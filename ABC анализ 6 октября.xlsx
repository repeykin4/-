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c3c372466ec0f29/Рабочий стол/BBI/"/>
    </mc:Choice>
  </mc:AlternateContent>
  <xr:revisionPtr revIDLastSave="0" documentId="14_{F6F074D7-4E36-4FEB-ABA5-789148340B1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Данные" sheetId="1" r:id="rId1"/>
    <sheet name="ABC Менеджеры" sheetId="2" r:id="rId2"/>
    <sheet name="ABC_XYZ Клиенты" sheetId="3" r:id="rId3"/>
    <sheet name="ABC расчет менеджеры" sheetId="4" r:id="rId4"/>
    <sheet name="График ABC менеджеры" sheetId="5" r:id="rId5"/>
    <sheet name="ABC мен по кл график" sheetId="7" r:id="rId6"/>
    <sheet name="ABC клиенты" sheetId="8" r:id="rId7"/>
    <sheet name="ABC клиенты график " sheetId="9" r:id="rId8"/>
    <sheet name="Клиенты" sheetId="10" r:id="rId9"/>
    <sheet name="Лист8" sheetId="11" r:id="rId10"/>
    <sheet name="Лист9" sheetId="12" r:id="rId11"/>
    <sheet name="Лист10" sheetId="13" r:id="rId12"/>
  </sheets>
  <calcPr calcId="191029"/>
  <pivotCaches>
    <pivotCache cacheId="15" r:id="rId13"/>
    <pivotCache cacheId="1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13" l="1"/>
  <c r="R4" i="13"/>
  <c r="S4" i="13"/>
  <c r="Q5" i="13"/>
  <c r="R5" i="13"/>
  <c r="S5" i="13"/>
  <c r="R3" i="13"/>
  <c r="S3" i="13"/>
  <c r="Q3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" i="13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" i="9"/>
  <c r="T3" i="12" a="1"/>
  <c r="T3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" i="12"/>
  <c r="N18" i="3"/>
  <c r="O18" i="3"/>
  <c r="P18" i="3"/>
  <c r="N19" i="3"/>
  <c r="O19" i="3"/>
  <c r="P19" i="3"/>
  <c r="O17" i="3"/>
  <c r="P17" i="3"/>
  <c r="N17" i="3"/>
  <c r="S4" i="10"/>
  <c r="S5" i="10"/>
  <c r="S9" i="10"/>
  <c r="S10" i="10"/>
  <c r="S11" i="10"/>
  <c r="S12" i="10"/>
  <c r="S13" i="10"/>
  <c r="S14" i="10"/>
  <c r="S15" i="10"/>
  <c r="S16" i="10"/>
  <c r="S17" i="10"/>
  <c r="S21" i="10"/>
  <c r="S22" i="10"/>
  <c r="S23" i="10"/>
  <c r="S24" i="10"/>
  <c r="S25" i="10"/>
  <c r="S26" i="10"/>
  <c r="S27" i="10"/>
  <c r="S28" i="10"/>
  <c r="S29" i="10"/>
  <c r="S33" i="10"/>
  <c r="S34" i="10"/>
  <c r="S35" i="10"/>
  <c r="S36" i="10"/>
  <c r="S37" i="10"/>
  <c r="S38" i="10"/>
  <c r="S39" i="10"/>
  <c r="S40" i="10"/>
  <c r="S41" i="10"/>
  <c r="S45" i="10"/>
  <c r="S46" i="10"/>
  <c r="S47" i="10"/>
  <c r="S48" i="10"/>
  <c r="S49" i="10"/>
  <c r="S50" i="10"/>
  <c r="S51" i="10"/>
  <c r="S52" i="10"/>
  <c r="S53" i="10"/>
  <c r="S57" i="10"/>
  <c r="S58" i="10"/>
  <c r="S59" i="10"/>
  <c r="S60" i="10"/>
  <c r="S61" i="10"/>
  <c r="S62" i="10"/>
  <c r="S63" i="10"/>
  <c r="S64" i="10"/>
  <c r="S65" i="10"/>
  <c r="S69" i="10"/>
  <c r="S70" i="10"/>
  <c r="S71" i="10"/>
  <c r="S72" i="10"/>
  <c r="S73" i="10"/>
  <c r="S74" i="10"/>
  <c r="S75" i="10"/>
  <c r="S76" i="10"/>
  <c r="S77" i="10"/>
  <c r="S81" i="10"/>
  <c r="S82" i="10"/>
  <c r="S83" i="10"/>
  <c r="S84" i="10"/>
  <c r="S85" i="10"/>
  <c r="S86" i="10"/>
  <c r="S87" i="10"/>
  <c r="S88" i="10"/>
  <c r="S89" i="10"/>
  <c r="S93" i="10"/>
  <c r="S94" i="10"/>
  <c r="S95" i="10"/>
  <c r="S96" i="10"/>
  <c r="S97" i="10"/>
  <c r="S98" i="10"/>
  <c r="S99" i="10"/>
  <c r="S100" i="10"/>
  <c r="S101" i="10"/>
  <c r="S105" i="10"/>
  <c r="S106" i="10"/>
  <c r="S107" i="10"/>
  <c r="S108" i="10"/>
  <c r="S109" i="10"/>
  <c r="S110" i="10"/>
  <c r="S111" i="10"/>
  <c r="S112" i="10"/>
  <c r="S113" i="10"/>
  <c r="S117" i="10"/>
  <c r="S118" i="10"/>
  <c r="S119" i="10"/>
  <c r="S120" i="10"/>
  <c r="S121" i="10"/>
  <c r="S122" i="10"/>
  <c r="S123" i="10"/>
  <c r="S124" i="10"/>
  <c r="S125" i="10"/>
  <c r="S129" i="10"/>
  <c r="S130" i="10"/>
  <c r="S131" i="10"/>
  <c r="S132" i="10"/>
  <c r="S133" i="10"/>
  <c r="S134" i="10"/>
  <c r="S135" i="10"/>
  <c r="S136" i="10"/>
  <c r="S137" i="10"/>
  <c r="S141" i="10"/>
  <c r="S142" i="10"/>
  <c r="S143" i="10"/>
  <c r="S144" i="10"/>
  <c r="S145" i="10"/>
  <c r="S146" i="10"/>
  <c r="S147" i="10"/>
  <c r="S148" i="10"/>
  <c r="S149" i="10"/>
  <c r="S153" i="10"/>
  <c r="S154" i="10"/>
  <c r="S155" i="10"/>
  <c r="S156" i="10"/>
  <c r="S157" i="10"/>
  <c r="S158" i="10"/>
  <c r="S159" i="10"/>
  <c r="S160" i="10"/>
  <c r="S161" i="10"/>
  <c r="S165" i="10"/>
  <c r="S166" i="10"/>
  <c r="S167" i="10"/>
  <c r="S168" i="10"/>
  <c r="S169" i="10"/>
  <c r="S170" i="10"/>
  <c r="S171" i="10"/>
  <c r="S172" i="10"/>
  <c r="S173" i="10"/>
  <c r="S177" i="10"/>
  <c r="S178" i="10"/>
  <c r="S179" i="10"/>
  <c r="S180" i="10"/>
  <c r="S181" i="10"/>
  <c r="S182" i="10"/>
  <c r="S183" i="10"/>
  <c r="S184" i="10"/>
  <c r="S185" i="10"/>
  <c r="S189" i="10"/>
  <c r="S190" i="10"/>
  <c r="S191" i="10"/>
  <c r="S192" i="10"/>
  <c r="S193" i="10"/>
  <c r="S194" i="10"/>
  <c r="S195" i="10"/>
  <c r="S196" i="10"/>
  <c r="S197" i="10"/>
  <c r="S201" i="10"/>
  <c r="S202" i="10"/>
  <c r="S203" i="10"/>
  <c r="S204" i="10"/>
  <c r="S205" i="10"/>
  <c r="S206" i="10"/>
  <c r="S207" i="10"/>
  <c r="S208" i="10"/>
  <c r="S209" i="10"/>
  <c r="S213" i="10"/>
  <c r="S214" i="10"/>
  <c r="S215" i="10"/>
  <c r="S216" i="10"/>
  <c r="S217" i="10"/>
  <c r="S218" i="10"/>
  <c r="S219" i="10"/>
  <c r="S220" i="10"/>
  <c r="S221" i="10"/>
  <c r="S225" i="10"/>
  <c r="S226" i="10"/>
  <c r="S227" i="10"/>
  <c r="S228" i="10"/>
  <c r="S229" i="10"/>
  <c r="S230" i="10"/>
  <c r="S231" i="10"/>
  <c r="S232" i="10"/>
  <c r="S233" i="10"/>
  <c r="S237" i="10"/>
  <c r="S238" i="10"/>
  <c r="S239" i="10"/>
  <c r="S240" i="10"/>
  <c r="S3" i="10"/>
  <c r="R4" i="10"/>
  <c r="R5" i="10"/>
  <c r="R6" i="10"/>
  <c r="S6" i="10" s="1"/>
  <c r="R7" i="10"/>
  <c r="S7" i="10" s="1"/>
  <c r="R8" i="10"/>
  <c r="S8" i="10" s="1"/>
  <c r="R9" i="10"/>
  <c r="R10" i="10"/>
  <c r="R11" i="10"/>
  <c r="R12" i="10"/>
  <c r="R13" i="10"/>
  <c r="R14" i="10"/>
  <c r="R15" i="10"/>
  <c r="R16" i="10"/>
  <c r="R17" i="10"/>
  <c r="R18" i="10"/>
  <c r="S18" i="10" s="1"/>
  <c r="R19" i="10"/>
  <c r="S19" i="10" s="1"/>
  <c r="R20" i="10"/>
  <c r="S20" i="10" s="1"/>
  <c r="R21" i="10"/>
  <c r="R22" i="10"/>
  <c r="R23" i="10"/>
  <c r="R24" i="10"/>
  <c r="R25" i="10"/>
  <c r="R26" i="10"/>
  <c r="R27" i="10"/>
  <c r="R28" i="10"/>
  <c r="R29" i="10"/>
  <c r="R30" i="10"/>
  <c r="S30" i="10" s="1"/>
  <c r="R31" i="10"/>
  <c r="S31" i="10" s="1"/>
  <c r="R32" i="10"/>
  <c r="S32" i="10" s="1"/>
  <c r="R33" i="10"/>
  <c r="R34" i="10"/>
  <c r="R35" i="10"/>
  <c r="R36" i="10"/>
  <c r="R37" i="10"/>
  <c r="R38" i="10"/>
  <c r="R39" i="10"/>
  <c r="R40" i="10"/>
  <c r="R41" i="10"/>
  <c r="R42" i="10"/>
  <c r="S42" i="10" s="1"/>
  <c r="R43" i="10"/>
  <c r="S43" i="10" s="1"/>
  <c r="R44" i="10"/>
  <c r="S44" i="10" s="1"/>
  <c r="R45" i="10"/>
  <c r="R46" i="10"/>
  <c r="R47" i="10"/>
  <c r="R48" i="10"/>
  <c r="R49" i="10"/>
  <c r="R50" i="10"/>
  <c r="R51" i="10"/>
  <c r="R52" i="10"/>
  <c r="R53" i="10"/>
  <c r="R54" i="10"/>
  <c r="S54" i="10" s="1"/>
  <c r="R55" i="10"/>
  <c r="S55" i="10" s="1"/>
  <c r="R56" i="10"/>
  <c r="S56" i="10" s="1"/>
  <c r="R57" i="10"/>
  <c r="R58" i="10"/>
  <c r="R59" i="10"/>
  <c r="R60" i="10"/>
  <c r="R61" i="10"/>
  <c r="R62" i="10"/>
  <c r="R63" i="10"/>
  <c r="R64" i="10"/>
  <c r="R65" i="10"/>
  <c r="R66" i="10"/>
  <c r="S66" i="10" s="1"/>
  <c r="R67" i="10"/>
  <c r="S67" i="10" s="1"/>
  <c r="R68" i="10"/>
  <c r="S68" i="10" s="1"/>
  <c r="R69" i="10"/>
  <c r="R70" i="10"/>
  <c r="R71" i="10"/>
  <c r="R72" i="10"/>
  <c r="R73" i="10"/>
  <c r="R74" i="10"/>
  <c r="R75" i="10"/>
  <c r="R76" i="10"/>
  <c r="R77" i="10"/>
  <c r="R78" i="10"/>
  <c r="S78" i="10" s="1"/>
  <c r="R79" i="10"/>
  <c r="S79" i="10" s="1"/>
  <c r="R80" i="10"/>
  <c r="S80" i="10" s="1"/>
  <c r="R81" i="10"/>
  <c r="R82" i="10"/>
  <c r="R83" i="10"/>
  <c r="R84" i="10"/>
  <c r="R85" i="10"/>
  <c r="R86" i="10"/>
  <c r="R87" i="10"/>
  <c r="R88" i="10"/>
  <c r="R89" i="10"/>
  <c r="R90" i="10"/>
  <c r="S90" i="10" s="1"/>
  <c r="R91" i="10"/>
  <c r="S91" i="10" s="1"/>
  <c r="R92" i="10"/>
  <c r="S92" i="10" s="1"/>
  <c r="R93" i="10"/>
  <c r="R94" i="10"/>
  <c r="R95" i="10"/>
  <c r="R96" i="10"/>
  <c r="R97" i="10"/>
  <c r="R98" i="10"/>
  <c r="R99" i="10"/>
  <c r="R100" i="10"/>
  <c r="R101" i="10"/>
  <c r="R102" i="10"/>
  <c r="S102" i="10" s="1"/>
  <c r="R103" i="10"/>
  <c r="S103" i="10" s="1"/>
  <c r="R104" i="10"/>
  <c r="S104" i="10" s="1"/>
  <c r="R105" i="10"/>
  <c r="R106" i="10"/>
  <c r="R107" i="10"/>
  <c r="R108" i="10"/>
  <c r="R109" i="10"/>
  <c r="R110" i="10"/>
  <c r="R111" i="10"/>
  <c r="R112" i="10"/>
  <c r="R113" i="10"/>
  <c r="R114" i="10"/>
  <c r="S114" i="10" s="1"/>
  <c r="R115" i="10"/>
  <c r="S115" i="10" s="1"/>
  <c r="R116" i="10"/>
  <c r="S116" i="10" s="1"/>
  <c r="R117" i="10"/>
  <c r="R118" i="10"/>
  <c r="R119" i="10"/>
  <c r="R120" i="10"/>
  <c r="R121" i="10"/>
  <c r="R122" i="10"/>
  <c r="R123" i="10"/>
  <c r="R124" i="10"/>
  <c r="R125" i="10"/>
  <c r="R126" i="10"/>
  <c r="S126" i="10" s="1"/>
  <c r="R127" i="10"/>
  <c r="S127" i="10" s="1"/>
  <c r="R128" i="10"/>
  <c r="S128" i="10" s="1"/>
  <c r="R129" i="10"/>
  <c r="R130" i="10"/>
  <c r="R131" i="10"/>
  <c r="R132" i="10"/>
  <c r="R133" i="10"/>
  <c r="R134" i="10"/>
  <c r="R135" i="10"/>
  <c r="R136" i="10"/>
  <c r="R137" i="10"/>
  <c r="R138" i="10"/>
  <c r="S138" i="10" s="1"/>
  <c r="R139" i="10"/>
  <c r="S139" i="10" s="1"/>
  <c r="R140" i="10"/>
  <c r="S140" i="10" s="1"/>
  <c r="R141" i="10"/>
  <c r="R142" i="10"/>
  <c r="R143" i="10"/>
  <c r="R144" i="10"/>
  <c r="R145" i="10"/>
  <c r="R146" i="10"/>
  <c r="R147" i="10"/>
  <c r="R148" i="10"/>
  <c r="R149" i="10"/>
  <c r="R150" i="10"/>
  <c r="S150" i="10" s="1"/>
  <c r="R151" i="10"/>
  <c r="S151" i="10" s="1"/>
  <c r="R152" i="10"/>
  <c r="S152" i="10" s="1"/>
  <c r="R153" i="10"/>
  <c r="R154" i="10"/>
  <c r="R155" i="10"/>
  <c r="R156" i="10"/>
  <c r="R157" i="10"/>
  <c r="R158" i="10"/>
  <c r="R159" i="10"/>
  <c r="R160" i="10"/>
  <c r="R161" i="10"/>
  <c r="R162" i="10"/>
  <c r="S162" i="10" s="1"/>
  <c r="R163" i="10"/>
  <c r="S163" i="10" s="1"/>
  <c r="R164" i="10"/>
  <c r="S164" i="10" s="1"/>
  <c r="R165" i="10"/>
  <c r="R166" i="10"/>
  <c r="R167" i="10"/>
  <c r="R168" i="10"/>
  <c r="R169" i="10"/>
  <c r="R170" i="10"/>
  <c r="R171" i="10"/>
  <c r="R172" i="10"/>
  <c r="R173" i="10"/>
  <c r="R174" i="10"/>
  <c r="S174" i="10" s="1"/>
  <c r="R175" i="10"/>
  <c r="S175" i="10" s="1"/>
  <c r="R176" i="10"/>
  <c r="S176" i="10" s="1"/>
  <c r="R177" i="10"/>
  <c r="R178" i="10"/>
  <c r="R179" i="10"/>
  <c r="R180" i="10"/>
  <c r="R181" i="10"/>
  <c r="R182" i="10"/>
  <c r="R183" i="10"/>
  <c r="R184" i="10"/>
  <c r="R185" i="10"/>
  <c r="R186" i="10"/>
  <c r="S186" i="10" s="1"/>
  <c r="R187" i="10"/>
  <c r="S187" i="10" s="1"/>
  <c r="R188" i="10"/>
  <c r="S188" i="10" s="1"/>
  <c r="R189" i="10"/>
  <c r="R190" i="10"/>
  <c r="R191" i="10"/>
  <c r="R192" i="10"/>
  <c r="R193" i="10"/>
  <c r="R194" i="10"/>
  <c r="R195" i="10"/>
  <c r="R196" i="10"/>
  <c r="R197" i="10"/>
  <c r="R198" i="10"/>
  <c r="S198" i="10" s="1"/>
  <c r="R199" i="10"/>
  <c r="S199" i="10" s="1"/>
  <c r="R200" i="10"/>
  <c r="S200" i="10" s="1"/>
  <c r="R201" i="10"/>
  <c r="R202" i="10"/>
  <c r="R203" i="10"/>
  <c r="R204" i="10"/>
  <c r="R205" i="10"/>
  <c r="R206" i="10"/>
  <c r="R207" i="10"/>
  <c r="R208" i="10"/>
  <c r="R209" i="10"/>
  <c r="R210" i="10"/>
  <c r="S210" i="10" s="1"/>
  <c r="R211" i="10"/>
  <c r="S211" i="10" s="1"/>
  <c r="R212" i="10"/>
  <c r="S212" i="10" s="1"/>
  <c r="R213" i="10"/>
  <c r="R214" i="10"/>
  <c r="R215" i="10"/>
  <c r="R216" i="10"/>
  <c r="R217" i="10"/>
  <c r="R218" i="10"/>
  <c r="R219" i="10"/>
  <c r="R220" i="10"/>
  <c r="R221" i="10"/>
  <c r="R222" i="10"/>
  <c r="S222" i="10" s="1"/>
  <c r="R223" i="10"/>
  <c r="S223" i="10" s="1"/>
  <c r="R224" i="10"/>
  <c r="S224" i="10" s="1"/>
  <c r="R225" i="10"/>
  <c r="R226" i="10"/>
  <c r="R227" i="10"/>
  <c r="R228" i="10"/>
  <c r="R229" i="10"/>
  <c r="R230" i="10"/>
  <c r="R231" i="10"/>
  <c r="R232" i="10"/>
  <c r="R233" i="10"/>
  <c r="R234" i="10"/>
  <c r="S234" i="10" s="1"/>
  <c r="R235" i="10"/>
  <c r="S235" i="10" s="1"/>
  <c r="R236" i="10"/>
  <c r="S236" i="10" s="1"/>
  <c r="R237" i="10"/>
  <c r="R238" i="10"/>
  <c r="R239" i="10"/>
  <c r="R240" i="10"/>
  <c r="R3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" i="8"/>
  <c r="A21" i="2"/>
  <c r="A22" i="2"/>
  <c r="A23" i="2"/>
  <c r="A24" i="2"/>
  <c r="A25" i="2"/>
  <c r="A26" i="2"/>
  <c r="A27" i="2"/>
  <c r="A20" i="2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" i="5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" i="7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<sst xmlns="http://schemas.openxmlformats.org/spreadsheetml/2006/main" count="15060" uniqueCount="301">
  <si>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</si>
  <si>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</si>
  <si>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</si>
  <si>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</si>
  <si>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</si>
  <si>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</si>
  <si>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</si>
  <si>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</si>
  <si>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</si>
  <si>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</si>
  <si>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</si>
  <si>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</si>
  <si>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</si>
  <si>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</si>
  <si>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</si>
  <si>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</si>
  <si>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</si>
  <si>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</si>
  <si>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</si>
  <si>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</si>
  <si>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</si>
  <si>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</si>
  <si>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</si>
  <si>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</si>
  <si>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</si>
  <si>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</si>
  <si>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</si>
  <si>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</si>
  <si>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</si>
  <si>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</si>
  <si>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</si>
  <si>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</si>
  <si>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</si>
  <si>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</si>
  <si>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</si>
  <si>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</si>
  <si>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</si>
  <si>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</si>
  <si>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</si>
  <si>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</si>
  <si>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</si>
  <si>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</si>
  <si>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</si>
  <si>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</si>
  <si>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</si>
  <si>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</si>
  <si>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</si>
  <si>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Федоров Николай Максимович</t>
  </si>
  <si>
    <t>Петров Илья Сергеевич</t>
  </si>
  <si>
    <t>Волкова Алина Романовна</t>
  </si>
  <si>
    <t>Попова Юлия Ивановна</t>
  </si>
  <si>
    <t>Михайлова Елена Федоровна</t>
  </si>
  <si>
    <t>Яковлева Анастасия Антоновна</t>
  </si>
  <si>
    <t>Егорова Софья Олеговна</t>
  </si>
  <si>
    <t>Михайлова Софья Юрьевна</t>
  </si>
  <si>
    <t>Степанов Антон Игоревич</t>
  </si>
  <si>
    <t>Сидоров Павел Кириллович</t>
  </si>
  <si>
    <t>Кузнецова Светлана Максимовна</t>
  </si>
  <si>
    <t>Степанов Сергей Игоревич</t>
  </si>
  <si>
    <t>Николаев Виктор Дмитриевич</t>
  </si>
  <si>
    <t>Григорьева Полина Денисовна</t>
  </si>
  <si>
    <t>Смирнова Елена Михайловна</t>
  </si>
  <si>
    <t>Морозова Софья Игоревна</t>
  </si>
  <si>
    <t>Андреева Анна Антоновна</t>
  </si>
  <si>
    <t>Алексеева Наталья Алексеевна</t>
  </si>
  <si>
    <t>Козлова Алина Владимировна</t>
  </si>
  <si>
    <t>Сидорова Софья Юрьевна</t>
  </si>
  <si>
    <t>Морозова Ольга Романовна</t>
  </si>
  <si>
    <t>Соловьева Анастасия Игоревна</t>
  </si>
  <si>
    <t>Волков Николай Ильич</t>
  </si>
  <si>
    <t>Сидорова Мария Николаевна</t>
  </si>
  <si>
    <t>Соколова Ирина Федоровна</t>
  </si>
  <si>
    <t>Волкова Ирина Владимировна</t>
  </si>
  <si>
    <t>Козлов Александр Федорович</t>
  </si>
  <si>
    <t>Козлов Федор Борисович</t>
  </si>
  <si>
    <t>Баранов Владимир Ильич</t>
  </si>
  <si>
    <t>Степанова Светлана Игоревна</t>
  </si>
  <si>
    <t>Ковалева Алина Андреевна</t>
  </si>
  <si>
    <t>Захарова Людмила Ивановна</t>
  </si>
  <si>
    <t>Белов Алексей Артемович</t>
  </si>
  <si>
    <t>Алексеева Надежда Романовна</t>
  </si>
  <si>
    <t>Романов Евгений Денисович</t>
  </si>
  <si>
    <t>Иванов Антон Павлович</t>
  </si>
  <si>
    <t>Сидорова Марина Алексеевна</t>
  </si>
  <si>
    <t>Захаров Николай Сергеевич</t>
  </si>
  <si>
    <t>Семенова Екатерина Владимировна</t>
  </si>
  <si>
    <t>Соловьева Александра Антоновна</t>
  </si>
  <si>
    <t>Алексеев Кирилл Иванович</t>
  </si>
  <si>
    <t>Морозов Павел Евгеньевич</t>
  </si>
  <si>
    <t>Петров Владимир Павлович</t>
  </si>
  <si>
    <t>Семенова Ирина Алексеевна</t>
  </si>
  <si>
    <t>Воробьева Мария Александровна</t>
  </si>
  <si>
    <t>Иванова Екатерина Николаевна</t>
  </si>
  <si>
    <t>Орлова Татьяна Александровна</t>
  </si>
  <si>
    <t>Морозов Вадим Дмитриевич</t>
  </si>
  <si>
    <t>Петрова Мария Андреевна</t>
  </si>
  <si>
    <t>Никитин Илья Романович</t>
  </si>
  <si>
    <t>Зайцев Сергей Игоревич</t>
  </si>
  <si>
    <t>Зайцева Ксения Игоревна</t>
  </si>
  <si>
    <t>Комарова Марина Андреевна</t>
  </si>
  <si>
    <t>Яковлев Антон Антонович</t>
  </si>
  <si>
    <t>Лебедев Федор Антонович</t>
  </si>
  <si>
    <t>Петров Николай Игоревич</t>
  </si>
  <si>
    <t>Павлов Виктор Антонович</t>
  </si>
  <si>
    <t>Смирнов Федор Ильич</t>
  </si>
  <si>
    <t>Соловьева Валерия Ильинична</t>
  </si>
  <si>
    <t>Баранов Степан Михайлович</t>
  </si>
  <si>
    <t>Николаева Полина Дмитриевна</t>
  </si>
  <si>
    <t>Сидоров Игорь Романович</t>
  </si>
  <si>
    <t>Смирнов Максим Романович</t>
  </si>
  <si>
    <t>Куликова Ольга Олеговна</t>
  </si>
  <si>
    <t>Баранов Степан Артемович</t>
  </si>
  <si>
    <t>Смирнова Анна Алексеевна</t>
  </si>
  <si>
    <t>Комарова Екатерина Игоревна</t>
  </si>
  <si>
    <t>Белова Марина Николаевна</t>
  </si>
  <si>
    <t>Куликов Вадим Владимирович</t>
  </si>
  <si>
    <t>Ковалева Екатерина Олеговна</t>
  </si>
  <si>
    <t>Алексеев Вадим Романович</t>
  </si>
  <si>
    <t>Новикова Полина Павловна</t>
  </si>
  <si>
    <t>Павлова Надежда Михайловна</t>
  </si>
  <si>
    <t>Захаров Виктор Евгеньевич</t>
  </si>
  <si>
    <t>Захарова Мария Игоревна</t>
  </si>
  <si>
    <t>Макарова Дарья Игоревна</t>
  </si>
  <si>
    <t>Ковалева Виктория Евгеньевна</t>
  </si>
  <si>
    <t>Попова Марина Владимировна</t>
  </si>
  <si>
    <t>Григорьев Илья Михайлович</t>
  </si>
  <si>
    <t>Зайцев Михаил Кириллович</t>
  </si>
  <si>
    <t>Михайлов Вадим Игоревич</t>
  </si>
  <si>
    <t>Григорьев Виктор Евгеньевич</t>
  </si>
  <si>
    <t>Никитина Наталья Михайловна</t>
  </si>
  <si>
    <t>Козлов Илья Александрович</t>
  </si>
  <si>
    <t>Степанов Игорь Антонович</t>
  </si>
  <si>
    <t>Новиков Максим Евгеньевич</t>
  </si>
  <si>
    <t>Борисова Софья Павловна</t>
  </si>
  <si>
    <t>Смирнов Александр Иванович</t>
  </si>
  <si>
    <t>Борисов Евгений Сергеевич</t>
  </si>
  <si>
    <t>Воробьева Анна Ивановна</t>
  </si>
  <si>
    <t>Романова Екатерина Викторовна</t>
  </si>
  <si>
    <t>Волков Михаил Федорович</t>
  </si>
  <si>
    <t>Лебедев Роман Денисович</t>
  </si>
  <si>
    <t>Сидоров Иван Александрович</t>
  </si>
  <si>
    <t>Иванов Степан Владимирович</t>
  </si>
  <si>
    <t>Иванов Михаил Олегович</t>
  </si>
  <si>
    <t>Баранов Евгений Ильич</t>
  </si>
  <si>
    <t>Николаев Павел Владимирович</t>
  </si>
  <si>
    <t>Кузнецов Вадим Иванович</t>
  </si>
  <si>
    <t>Павлова Софья Владимировна</t>
  </si>
  <si>
    <t>Соловьев Владимир Романович</t>
  </si>
  <si>
    <t>Макаров Виктор Дмитриевич</t>
  </si>
  <si>
    <t>Волков Илья Антонович</t>
  </si>
  <si>
    <t>Григорьева Наталья Антоновна</t>
  </si>
  <si>
    <t>Романова Алина Павловна</t>
  </si>
  <si>
    <t>Григорьев Павел Романович</t>
  </si>
  <si>
    <t>Соколова Анастасия Михайловна</t>
  </si>
  <si>
    <t>Ковалев Федор Павлович</t>
  </si>
  <si>
    <t>Петров Игорь Денисович</t>
  </si>
  <si>
    <t>Андреев Иван Викторович</t>
  </si>
  <si>
    <t>Павлова Ольга Александровна</t>
  </si>
  <si>
    <t>Степанова Ольга Александровна</t>
  </si>
  <si>
    <t>Куликова Александра Денисовна</t>
  </si>
  <si>
    <t>Михайлов Николай Ильич</t>
  </si>
  <si>
    <t>Куликов Иван Борисович</t>
  </si>
  <si>
    <t>Морозов Игорь Борисович</t>
  </si>
  <si>
    <t>Лебедев Юрий Олегович</t>
  </si>
  <si>
    <t>Белова Наталья Сергеевна</t>
  </si>
  <si>
    <t>Морозова Елена Максимовна</t>
  </si>
  <si>
    <t>Андреева Ольга Андреевна</t>
  </si>
  <si>
    <t>Васильева Ксения Антоновна</t>
  </si>
  <si>
    <t>Сидорова Марина Федоровна</t>
  </si>
  <si>
    <t>Кузнецова Наталья Николаевна</t>
  </si>
  <si>
    <t>Михайлов Федор Александрович</t>
  </si>
  <si>
    <t>Макаров Артем Алексеевич</t>
  </si>
  <si>
    <t>Семенов Вадим Михайлович</t>
  </si>
  <si>
    <t>Петрова Марина Ивановна</t>
  </si>
  <si>
    <t>Попов Артем Дмитриевич</t>
  </si>
  <si>
    <t>Смирнов Владимир Олегович</t>
  </si>
  <si>
    <t>Егоров Алексей Михайлович</t>
  </si>
  <si>
    <t>Егоров Илья Иванович</t>
  </si>
  <si>
    <t>Семенова Марина Евгеньевна</t>
  </si>
  <si>
    <t>Смирнова Надежда Максимовна</t>
  </si>
  <si>
    <t>Лебедев Игорь Александрович</t>
  </si>
  <si>
    <t>Борисова Наталья Евгеньевна</t>
  </si>
  <si>
    <t>Волкова Екатерина Александровна</t>
  </si>
  <si>
    <t>Козлов Олег Романович</t>
  </si>
  <si>
    <t>Андреева Ольга Павловна</t>
  </si>
  <si>
    <t>Захаров Никита Борисович</t>
  </si>
  <si>
    <t>Зайцев Никита Дмитриевич</t>
  </si>
  <si>
    <t>Кузнецов Роман Павлович</t>
  </si>
  <si>
    <t>Баранова Ксения Ивановна</t>
  </si>
  <si>
    <t>Тарасов Борис Александрович</t>
  </si>
  <si>
    <t>Козлов Юрий Федорович</t>
  </si>
  <si>
    <t>Егоров Степан Антонович</t>
  </si>
  <si>
    <t>Борисова Валерия Антоновна</t>
  </si>
  <si>
    <t>Иванова Ксения Дмитриевна</t>
  </si>
  <si>
    <t>Николаева Наталья Денисовна</t>
  </si>
  <si>
    <t>Романов Виктор Игоревич</t>
  </si>
  <si>
    <t>Зайцев Павел Антонович</t>
  </si>
  <si>
    <t>Ковалев Александр Михайлович</t>
  </si>
  <si>
    <t>Никитин Роман Алексеевич</t>
  </si>
  <si>
    <t>Соловьев Михаил Ильич</t>
  </si>
  <si>
    <t>Петрова Надежда Сергеевна</t>
  </si>
  <si>
    <t>Белова Ирина Олеговна</t>
  </si>
  <si>
    <t>Григорьев Никита Андреевич</t>
  </si>
  <si>
    <t>Борисова Анна Игоревна</t>
  </si>
  <si>
    <t>Яковлев Андрей Кириллович</t>
  </si>
  <si>
    <t>Сидорова Надежда Денисовна</t>
  </si>
  <si>
    <t>Степанова Алина Дмитриевна</t>
  </si>
  <si>
    <t>Григорьева Татьяна Ивановна</t>
  </si>
  <si>
    <t>Сергеев Олег Олегович</t>
  </si>
  <si>
    <t>Егоров Вадим Ильич</t>
  </si>
  <si>
    <t>Козлов Андрей Олегович</t>
  </si>
  <si>
    <t>Морозов Никита Федорович</t>
  </si>
  <si>
    <t>Семенова Татьяна Ивановна</t>
  </si>
  <si>
    <t>Григорьева Дарья Алексеевна</t>
  </si>
  <si>
    <t>Макаров Юрий Михайлович</t>
  </si>
  <si>
    <t>Попова Ксения Игоревна</t>
  </si>
  <si>
    <t>Козлов Вадим Владимирович</t>
  </si>
  <si>
    <t>Романов Михаил Ильич</t>
  </si>
  <si>
    <t>Сергеева Людмила Олеговна</t>
  </si>
  <si>
    <t>Макаров Кирилл Иванович</t>
  </si>
  <si>
    <t>Петров Игорь Михайлович</t>
  </si>
  <si>
    <t>Белова Мария Юрьевна</t>
  </si>
  <si>
    <t>Ковалев Евгений Дмитриевич</t>
  </si>
  <si>
    <t>Яковлев Антон Владимирович</t>
  </si>
  <si>
    <t>Соловьева Дарья Павловна</t>
  </si>
  <si>
    <t>Петров Борис Игоревич</t>
  </si>
  <si>
    <t>Николаева Анастасия Игоревна</t>
  </si>
  <si>
    <t>Белова Алина Ильинична</t>
  </si>
  <si>
    <t>Михайлова Ольга Викторовна</t>
  </si>
  <si>
    <t>Васильев Александр Александрович</t>
  </si>
  <si>
    <t>Борисова Валерия Дмитриевна</t>
  </si>
  <si>
    <t>Попова Анна Евгеньевна</t>
  </si>
  <si>
    <t>Захаров Павел Олегович</t>
  </si>
  <si>
    <t>Андреев Дмитрий Иванович</t>
  </si>
  <si>
    <t>Никитина Марина Дмитриевна</t>
  </si>
  <si>
    <t>Воробьев Иван Андреевич</t>
  </si>
  <si>
    <t>Семенов Федор Павлович</t>
  </si>
  <si>
    <t>Сергеева Виктория Викторовна</t>
  </si>
  <si>
    <t>Соловьев Денис Федорович</t>
  </si>
  <si>
    <t>Борисов Сергей Сергеевич</t>
  </si>
  <si>
    <t>Иванов Михаил Романович</t>
  </si>
  <si>
    <t>Лебедев Денис Кириллович</t>
  </si>
  <si>
    <t>Яковлева Валерия Ивановна</t>
  </si>
  <si>
    <t>Волкова Надежда Ильинична</t>
  </si>
  <si>
    <t>Борисова Дарья Сергеевна</t>
  </si>
  <si>
    <t>Ковалева Татьяна Максимовна</t>
  </si>
  <si>
    <t>Попова Ольга Антоновна</t>
  </si>
  <si>
    <t>Соколова Татьяна Федоровна</t>
  </si>
  <si>
    <t>Алексеева Татьяна Юрьевна</t>
  </si>
  <si>
    <t>Орлов Денис Денисович</t>
  </si>
  <si>
    <t>Комарова Дарья Викторовна</t>
  </si>
  <si>
    <t>Зайцев Александр Ильич</t>
  </si>
  <si>
    <t>Лебедева Юлия Алексеевна</t>
  </si>
  <si>
    <t>Козлов Дмитрий Иванович</t>
  </si>
  <si>
    <t>Тарасов Роман Дмитриевич</t>
  </si>
  <si>
    <t>Соколова Софья Алексеевна</t>
  </si>
  <si>
    <t>Иванова Александра Юрьевна</t>
  </si>
  <si>
    <t>Сергеев Игорь Игоревич</t>
  </si>
  <si>
    <t>Лебедева Софья Юрьевна</t>
  </si>
  <si>
    <t>Новиков Кирилл Викторович</t>
  </si>
  <si>
    <t>Баранова Алина Сергеевна</t>
  </si>
  <si>
    <t>Белова Екатерина Павловна</t>
  </si>
  <si>
    <t>Комарова Юлия Андреевна</t>
  </si>
  <si>
    <t>Степанов Иван Кириллович</t>
  </si>
  <si>
    <t>Романов Антон Дмитриевич</t>
  </si>
  <si>
    <t>Сергеев Иван Федорович</t>
  </si>
  <si>
    <t>Соловьева Елена Владимировна</t>
  </si>
  <si>
    <t>Комарова Наталья Романовна</t>
  </si>
  <si>
    <t>Борисова Алина Олеговна</t>
  </si>
  <si>
    <t>Егорова Татьяна Ильинична</t>
  </si>
  <si>
    <t>Павлов Федор Романович</t>
  </si>
  <si>
    <t>Макарова Валерия Игоревна</t>
  </si>
  <si>
    <t>Борисов Алексей Олегович</t>
  </si>
  <si>
    <t>Козлова Ксения Дмитриевна</t>
  </si>
  <si>
    <t>Алексеев Олег Олегович</t>
  </si>
  <si>
    <t>Никитина Юлия Павловна</t>
  </si>
  <si>
    <t>Воробьев Иван Игоревич</t>
  </si>
  <si>
    <t>Сергеева Наталья Николаевна</t>
  </si>
  <si>
    <t>Григорьев Дмитрий Андреевич</t>
  </si>
  <si>
    <t>Морозов Вадим Федорович</t>
  </si>
  <si>
    <t>Воробьева Ирина Андреевна</t>
  </si>
  <si>
    <t>Смирнова Надежда Денисовна</t>
  </si>
  <si>
    <t>Воробьев Иван Антонович</t>
  </si>
  <si>
    <t>Андреева Валерия Викторовна</t>
  </si>
  <si>
    <t>Названия строк</t>
  </si>
  <si>
    <t>Общий итог</t>
  </si>
  <si>
    <t>Количество по полю ФИО клиента</t>
  </si>
  <si>
    <t>Сумма по полю Сумма сделки</t>
  </si>
  <si>
    <t>Сумма по полю Сумма сделки2</t>
  </si>
  <si>
    <t>Менеджер</t>
  </si>
  <si>
    <t>Сделки</t>
  </si>
  <si>
    <t>Накоп. Итог</t>
  </si>
  <si>
    <t>Паретто</t>
  </si>
  <si>
    <t>Количество по полю ФИО клиента2</t>
  </si>
  <si>
    <t>Месяц</t>
  </si>
  <si>
    <t>Названия столбцов</t>
  </si>
  <si>
    <t>Итог Сумма по полю Сумма сделки</t>
  </si>
  <si>
    <t>Итог Сумма по полю Сумма сделки2</t>
  </si>
  <si>
    <t>Клиент</t>
  </si>
  <si>
    <t>Категория</t>
  </si>
  <si>
    <t>Вариация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</si>
</sst>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2" applyFont="1"/>
    <xf numFmtId="10" fontId="0" fillId="0" borderId="0" xfId="2" applyNumberFormat="1" applyFont="1"/>
    <xf numFmtId="9" fontId="0" fillId="0" borderId="0" xfId="0" applyNumberFormat="1"/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'ABC расчет менеджеры'!$B$1</c:f>
              <c:strCache>
                <c:ptCount val="1"/>
                <c:pt idx="0">
                  <c:v>Y</c:v>
                </c:pt>
              </c:strCache>
            </c:strRef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расчет менеджеры'!$A$2:$A$21</c:f>
              <c:numCache>
                <c:formatCode>0.00%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расчет менеджеры'!$B$2:$B$21</c:f>
              <c:numCache>
                <c:formatCode>0.00%</c:formatCode>
                <c:ptCount val="20"/>
                <c:pt idx="0">
                  <c:v>0.48823947764106701</c:v>
                </c:pt>
                <c:pt idx="1">
                  <c:v>0.68202120383455023</c:v>
                </c:pt>
                <c:pt idx="2">
                  <c:v>0.78531884923945128</c:v>
                </c:pt>
                <c:pt idx="3">
                  <c:v>0.84400216214377599</c:v>
                </c:pt>
                <c:pt idx="4">
                  <c:v>0.87736943239883813</c:v>
                </c:pt>
                <c:pt idx="5">
                  <c:v>0.90057237808799984</c:v>
                </c:pt>
                <c:pt idx="6">
                  <c:v>0.92100293605175121</c:v>
                </c:pt>
                <c:pt idx="7">
                  <c:v>0.93580576482920941</c:v>
                </c:pt>
                <c:pt idx="8">
                  <c:v>0.94812112341577337</c:v>
                </c:pt>
                <c:pt idx="9">
                  <c:v>0.95796362778945032</c:v>
                </c:pt>
                <c:pt idx="10">
                  <c:v>0.9669314840968688</c:v>
                </c:pt>
                <c:pt idx="11">
                  <c:v>0.97473929118659353</c:v>
                </c:pt>
                <c:pt idx="12">
                  <c:v>0.98244256985272105</c:v>
                </c:pt>
                <c:pt idx="13">
                  <c:v>0.98765387800384374</c:v>
                </c:pt>
                <c:pt idx="14">
                  <c:v>0.99053913654471004</c:v>
                </c:pt>
                <c:pt idx="15">
                  <c:v>0.99337510646121208</c:v>
                </c:pt>
                <c:pt idx="16">
                  <c:v>0.99612712854079621</c:v>
                </c:pt>
                <c:pt idx="17">
                  <c:v>0.99752977881256277</c:v>
                </c:pt>
                <c:pt idx="18">
                  <c:v>0.99879932696108042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6-4393-A4B2-39292052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586496"/>
        <c:axId val="480592256"/>
      </c:scatterChart>
      <c:valAx>
        <c:axId val="48058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592256"/>
        <c:crosses val="autoZero"/>
        <c:crossBetween val="midCat"/>
      </c:valAx>
      <c:valAx>
        <c:axId val="480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58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'ABC мен по кл график'!$B$1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мен по кл график'!$A$2:$A$431</c:f>
              <c:numCache>
                <c:formatCode>0%</c:formatCode>
                <c:ptCount val="43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 по кл график'!$B$2:$B$431</c:f>
              <c:numCache>
                <c:formatCode>General</c:formatCode>
                <c:ptCount val="430"/>
                <c:pt idx="0">
                  <c:v>0.34199465036301108</c:v>
                </c:pt>
                <c:pt idx="1">
                  <c:v>0.49904470768055026</c:v>
                </c:pt>
                <c:pt idx="2">
                  <c:v>0.60259839510890334</c:v>
                </c:pt>
                <c:pt idx="3">
                  <c:v>0.68016813144822319</c:v>
                </c:pt>
                <c:pt idx="4">
                  <c:v>0.73213603362628965</c:v>
                </c:pt>
                <c:pt idx="5">
                  <c:v>0.77684371417653797</c:v>
                </c:pt>
                <c:pt idx="6">
                  <c:v>0.81811234237676733</c:v>
                </c:pt>
                <c:pt idx="7">
                  <c:v>0.85059228123805886</c:v>
                </c:pt>
                <c:pt idx="8">
                  <c:v>0.87848681696599162</c:v>
                </c:pt>
                <c:pt idx="9">
                  <c:v>0.90332441727168511</c:v>
                </c:pt>
                <c:pt idx="10">
                  <c:v>0.92319449751623994</c:v>
                </c:pt>
                <c:pt idx="11">
                  <c:v>0.94153611004967519</c:v>
                </c:pt>
                <c:pt idx="12">
                  <c:v>0.95682078716087127</c:v>
                </c:pt>
                <c:pt idx="13">
                  <c:v>0.96904852884982806</c:v>
                </c:pt>
                <c:pt idx="14">
                  <c:v>0.977072984333206</c:v>
                </c:pt>
                <c:pt idx="15">
                  <c:v>0.98433320596102403</c:v>
                </c:pt>
                <c:pt idx="16">
                  <c:v>0.99082919373328238</c:v>
                </c:pt>
                <c:pt idx="17">
                  <c:v>0.99426824608330144</c:v>
                </c:pt>
                <c:pt idx="18">
                  <c:v>0.99732518150554073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A-40EE-ADE8-FDEBE541D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75104"/>
        <c:axId val="633475584"/>
      </c:scatterChart>
      <c:valAx>
        <c:axId val="63347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475584"/>
        <c:crosses val="autoZero"/>
        <c:crossBetween val="midCat"/>
      </c:valAx>
      <c:valAx>
        <c:axId val="6334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47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'ABC клиенты график 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клиенты график '!$B$2:$B$1048576</c:f>
              <c:numCache>
                <c:formatCode>0.00%</c:formatCode>
                <c:ptCount val="1048575"/>
                <c:pt idx="0">
                  <c:v>4.2194092827004216E-3</c:v>
                </c:pt>
                <c:pt idx="1">
                  <c:v>8.4388185654008432E-3</c:v>
                </c:pt>
                <c:pt idx="2">
                  <c:v>1.2658227848101266E-2</c:v>
                </c:pt>
                <c:pt idx="3">
                  <c:v>1.6877637130801686E-2</c:v>
                </c:pt>
                <c:pt idx="4">
                  <c:v>2.1097046413502109E-2</c:v>
                </c:pt>
                <c:pt idx="5">
                  <c:v>2.5316455696202531E-2</c:v>
                </c:pt>
                <c:pt idx="6">
                  <c:v>2.9535864978902954E-2</c:v>
                </c:pt>
                <c:pt idx="7">
                  <c:v>3.3755274261603373E-2</c:v>
                </c:pt>
                <c:pt idx="8">
                  <c:v>3.7974683544303799E-2</c:v>
                </c:pt>
                <c:pt idx="9">
                  <c:v>4.2194092827004218E-2</c:v>
                </c:pt>
                <c:pt idx="10">
                  <c:v>4.6413502109704644E-2</c:v>
                </c:pt>
                <c:pt idx="11">
                  <c:v>5.0632911392405063E-2</c:v>
                </c:pt>
                <c:pt idx="12">
                  <c:v>5.4852320675105488E-2</c:v>
                </c:pt>
                <c:pt idx="13">
                  <c:v>5.9071729957805907E-2</c:v>
                </c:pt>
                <c:pt idx="14">
                  <c:v>6.3291139240506333E-2</c:v>
                </c:pt>
                <c:pt idx="15">
                  <c:v>6.7510548523206745E-2</c:v>
                </c:pt>
                <c:pt idx="16">
                  <c:v>7.1729957805907171E-2</c:v>
                </c:pt>
                <c:pt idx="17">
                  <c:v>7.5949367088607597E-2</c:v>
                </c:pt>
                <c:pt idx="18">
                  <c:v>8.0168776371308023E-2</c:v>
                </c:pt>
                <c:pt idx="19">
                  <c:v>8.4388185654008435E-2</c:v>
                </c:pt>
                <c:pt idx="20">
                  <c:v>8.8607594936708861E-2</c:v>
                </c:pt>
                <c:pt idx="21">
                  <c:v>9.2827004219409287E-2</c:v>
                </c:pt>
                <c:pt idx="22">
                  <c:v>9.7046413502109699E-2</c:v>
                </c:pt>
                <c:pt idx="23">
                  <c:v>0.10126582278481013</c:v>
                </c:pt>
                <c:pt idx="24">
                  <c:v>0.10548523206751055</c:v>
                </c:pt>
                <c:pt idx="25">
                  <c:v>0.10970464135021098</c:v>
                </c:pt>
                <c:pt idx="26">
                  <c:v>0.11392405063291139</c:v>
                </c:pt>
                <c:pt idx="27">
                  <c:v>0.11814345991561181</c:v>
                </c:pt>
                <c:pt idx="28">
                  <c:v>0.12236286919831224</c:v>
                </c:pt>
                <c:pt idx="29">
                  <c:v>0.12658227848101267</c:v>
                </c:pt>
                <c:pt idx="30">
                  <c:v>0.13080168776371309</c:v>
                </c:pt>
                <c:pt idx="31">
                  <c:v>0.13502109704641349</c:v>
                </c:pt>
                <c:pt idx="32">
                  <c:v>0.13924050632911392</c:v>
                </c:pt>
                <c:pt idx="33">
                  <c:v>0.14345991561181434</c:v>
                </c:pt>
                <c:pt idx="34">
                  <c:v>0.14767932489451477</c:v>
                </c:pt>
                <c:pt idx="35">
                  <c:v>0.15189873417721519</c:v>
                </c:pt>
                <c:pt idx="36">
                  <c:v>0.15611814345991562</c:v>
                </c:pt>
                <c:pt idx="37">
                  <c:v>0.16033755274261605</c:v>
                </c:pt>
                <c:pt idx="38">
                  <c:v>0.16455696202531644</c:v>
                </c:pt>
                <c:pt idx="39">
                  <c:v>0.16877637130801687</c:v>
                </c:pt>
                <c:pt idx="40">
                  <c:v>0.1729957805907173</c:v>
                </c:pt>
                <c:pt idx="41">
                  <c:v>0.17721518987341772</c:v>
                </c:pt>
                <c:pt idx="42">
                  <c:v>0.18143459915611815</c:v>
                </c:pt>
                <c:pt idx="43">
                  <c:v>0.18565400843881857</c:v>
                </c:pt>
                <c:pt idx="44">
                  <c:v>0.189873417721519</c:v>
                </c:pt>
                <c:pt idx="45">
                  <c:v>0.1940928270042194</c:v>
                </c:pt>
                <c:pt idx="46">
                  <c:v>0.19831223628691982</c:v>
                </c:pt>
                <c:pt idx="47">
                  <c:v>0.20253164556962025</c:v>
                </c:pt>
                <c:pt idx="48">
                  <c:v>0.20675105485232068</c:v>
                </c:pt>
                <c:pt idx="49">
                  <c:v>0.2109704641350211</c:v>
                </c:pt>
                <c:pt idx="50">
                  <c:v>0.21518987341772153</c:v>
                </c:pt>
                <c:pt idx="51">
                  <c:v>0.21940928270042195</c:v>
                </c:pt>
                <c:pt idx="52">
                  <c:v>0.22362869198312235</c:v>
                </c:pt>
                <c:pt idx="53">
                  <c:v>0.22784810126582278</c:v>
                </c:pt>
                <c:pt idx="54">
                  <c:v>0.2320675105485232</c:v>
                </c:pt>
                <c:pt idx="55">
                  <c:v>0.23628691983122363</c:v>
                </c:pt>
                <c:pt idx="56">
                  <c:v>0.24050632911392406</c:v>
                </c:pt>
                <c:pt idx="57">
                  <c:v>0.24472573839662448</c:v>
                </c:pt>
                <c:pt idx="58">
                  <c:v>0.24894514767932491</c:v>
                </c:pt>
                <c:pt idx="59">
                  <c:v>0.25316455696202533</c:v>
                </c:pt>
                <c:pt idx="60">
                  <c:v>0.25738396624472576</c:v>
                </c:pt>
                <c:pt idx="61">
                  <c:v>0.26160337552742619</c:v>
                </c:pt>
                <c:pt idx="62">
                  <c:v>0.26582278481012656</c:v>
                </c:pt>
                <c:pt idx="63">
                  <c:v>0.27004219409282698</c:v>
                </c:pt>
                <c:pt idx="64">
                  <c:v>0.27426160337552741</c:v>
                </c:pt>
                <c:pt idx="65">
                  <c:v>0.27848101265822783</c:v>
                </c:pt>
                <c:pt idx="66">
                  <c:v>0.28270042194092826</c:v>
                </c:pt>
                <c:pt idx="67">
                  <c:v>0.28691983122362869</c:v>
                </c:pt>
                <c:pt idx="68">
                  <c:v>0.29113924050632911</c:v>
                </c:pt>
                <c:pt idx="69">
                  <c:v>0.29535864978902954</c:v>
                </c:pt>
                <c:pt idx="70">
                  <c:v>0.29957805907172996</c:v>
                </c:pt>
                <c:pt idx="71">
                  <c:v>0.30379746835443039</c:v>
                </c:pt>
                <c:pt idx="72">
                  <c:v>0.30801687763713081</c:v>
                </c:pt>
                <c:pt idx="73">
                  <c:v>0.31223628691983124</c:v>
                </c:pt>
                <c:pt idx="74">
                  <c:v>0.31645569620253167</c:v>
                </c:pt>
                <c:pt idx="75">
                  <c:v>0.32067510548523209</c:v>
                </c:pt>
                <c:pt idx="76">
                  <c:v>0.32489451476793246</c:v>
                </c:pt>
                <c:pt idx="77">
                  <c:v>0.32911392405063289</c:v>
                </c:pt>
                <c:pt idx="78">
                  <c:v>0.33333333333333331</c:v>
                </c:pt>
                <c:pt idx="79">
                  <c:v>0.33755274261603374</c:v>
                </c:pt>
                <c:pt idx="80">
                  <c:v>0.34177215189873417</c:v>
                </c:pt>
                <c:pt idx="81">
                  <c:v>0.34599156118143459</c:v>
                </c:pt>
                <c:pt idx="82">
                  <c:v>0.35021097046413502</c:v>
                </c:pt>
                <c:pt idx="83">
                  <c:v>0.35443037974683544</c:v>
                </c:pt>
                <c:pt idx="84">
                  <c:v>0.35864978902953587</c:v>
                </c:pt>
                <c:pt idx="85">
                  <c:v>0.3628691983122363</c:v>
                </c:pt>
                <c:pt idx="86">
                  <c:v>0.36708860759493672</c:v>
                </c:pt>
                <c:pt idx="87">
                  <c:v>0.37130801687763715</c:v>
                </c:pt>
                <c:pt idx="88">
                  <c:v>0.37552742616033757</c:v>
                </c:pt>
                <c:pt idx="89">
                  <c:v>0.379746835443038</c:v>
                </c:pt>
                <c:pt idx="90">
                  <c:v>0.38396624472573837</c:v>
                </c:pt>
                <c:pt idx="91">
                  <c:v>0.3881856540084388</c:v>
                </c:pt>
                <c:pt idx="92">
                  <c:v>0.39240506329113922</c:v>
                </c:pt>
                <c:pt idx="93">
                  <c:v>0.39662447257383965</c:v>
                </c:pt>
                <c:pt idx="94">
                  <c:v>0.40084388185654007</c:v>
                </c:pt>
                <c:pt idx="95">
                  <c:v>0.4050632911392405</c:v>
                </c:pt>
                <c:pt idx="96">
                  <c:v>0.40928270042194093</c:v>
                </c:pt>
                <c:pt idx="97">
                  <c:v>0.41350210970464135</c:v>
                </c:pt>
                <c:pt idx="98">
                  <c:v>0.41772151898734178</c:v>
                </c:pt>
                <c:pt idx="99">
                  <c:v>0.4219409282700422</c:v>
                </c:pt>
                <c:pt idx="100">
                  <c:v>0.42616033755274263</c:v>
                </c:pt>
                <c:pt idx="101">
                  <c:v>0.43037974683544306</c:v>
                </c:pt>
                <c:pt idx="102">
                  <c:v>0.43459915611814348</c:v>
                </c:pt>
                <c:pt idx="103">
                  <c:v>0.43881856540084391</c:v>
                </c:pt>
                <c:pt idx="104">
                  <c:v>0.44303797468354428</c:v>
                </c:pt>
                <c:pt idx="105">
                  <c:v>0.4472573839662447</c:v>
                </c:pt>
                <c:pt idx="106">
                  <c:v>0.45147679324894513</c:v>
                </c:pt>
                <c:pt idx="107">
                  <c:v>0.45569620253164556</c:v>
                </c:pt>
                <c:pt idx="108">
                  <c:v>0.45991561181434598</c:v>
                </c:pt>
                <c:pt idx="109">
                  <c:v>0.46413502109704641</c:v>
                </c:pt>
                <c:pt idx="110">
                  <c:v>0.46835443037974683</c:v>
                </c:pt>
                <c:pt idx="111">
                  <c:v>0.47257383966244726</c:v>
                </c:pt>
                <c:pt idx="112">
                  <c:v>0.47679324894514769</c:v>
                </c:pt>
                <c:pt idx="113">
                  <c:v>0.48101265822784811</c:v>
                </c:pt>
                <c:pt idx="114">
                  <c:v>0.48523206751054854</c:v>
                </c:pt>
                <c:pt idx="115">
                  <c:v>0.48945147679324896</c:v>
                </c:pt>
                <c:pt idx="116">
                  <c:v>0.49367088607594939</c:v>
                </c:pt>
                <c:pt idx="117">
                  <c:v>0.49789029535864981</c:v>
                </c:pt>
                <c:pt idx="118">
                  <c:v>0.50210970464135019</c:v>
                </c:pt>
                <c:pt idx="119">
                  <c:v>0.50632911392405067</c:v>
                </c:pt>
                <c:pt idx="120">
                  <c:v>0.51054852320675104</c:v>
                </c:pt>
                <c:pt idx="121">
                  <c:v>0.51476793248945152</c:v>
                </c:pt>
                <c:pt idx="122">
                  <c:v>0.51898734177215189</c:v>
                </c:pt>
                <c:pt idx="123">
                  <c:v>0.52320675105485237</c:v>
                </c:pt>
                <c:pt idx="124">
                  <c:v>0.52742616033755274</c:v>
                </c:pt>
                <c:pt idx="125">
                  <c:v>0.53164556962025311</c:v>
                </c:pt>
                <c:pt idx="126">
                  <c:v>0.53586497890295359</c:v>
                </c:pt>
                <c:pt idx="127">
                  <c:v>0.54008438818565396</c:v>
                </c:pt>
                <c:pt idx="128">
                  <c:v>0.54430379746835444</c:v>
                </c:pt>
                <c:pt idx="129">
                  <c:v>0.54852320675105481</c:v>
                </c:pt>
                <c:pt idx="130">
                  <c:v>0.5527426160337553</c:v>
                </c:pt>
                <c:pt idx="131">
                  <c:v>0.55696202531645567</c:v>
                </c:pt>
                <c:pt idx="132">
                  <c:v>0.56118143459915615</c:v>
                </c:pt>
                <c:pt idx="133">
                  <c:v>0.56540084388185652</c:v>
                </c:pt>
                <c:pt idx="134">
                  <c:v>0.569620253164557</c:v>
                </c:pt>
                <c:pt idx="135">
                  <c:v>0.57383966244725737</c:v>
                </c:pt>
                <c:pt idx="136">
                  <c:v>0.57805907172995785</c:v>
                </c:pt>
                <c:pt idx="137">
                  <c:v>0.58227848101265822</c:v>
                </c:pt>
                <c:pt idx="138">
                  <c:v>0.5864978902953587</c:v>
                </c:pt>
                <c:pt idx="139">
                  <c:v>0.59071729957805907</c:v>
                </c:pt>
                <c:pt idx="140">
                  <c:v>0.59493670886075944</c:v>
                </c:pt>
                <c:pt idx="141">
                  <c:v>0.59915611814345993</c:v>
                </c:pt>
                <c:pt idx="142">
                  <c:v>0.6033755274261603</c:v>
                </c:pt>
                <c:pt idx="143">
                  <c:v>0.60759493670886078</c:v>
                </c:pt>
                <c:pt idx="144">
                  <c:v>0.61181434599156115</c:v>
                </c:pt>
                <c:pt idx="145">
                  <c:v>0.61603375527426163</c:v>
                </c:pt>
                <c:pt idx="146">
                  <c:v>0.620253164556962</c:v>
                </c:pt>
                <c:pt idx="147">
                  <c:v>0.62447257383966248</c:v>
                </c:pt>
                <c:pt idx="148">
                  <c:v>0.62869198312236285</c:v>
                </c:pt>
                <c:pt idx="149">
                  <c:v>0.63291139240506333</c:v>
                </c:pt>
                <c:pt idx="150">
                  <c:v>0.6371308016877637</c:v>
                </c:pt>
                <c:pt idx="151">
                  <c:v>0.64135021097046419</c:v>
                </c:pt>
                <c:pt idx="152">
                  <c:v>0.64556962025316456</c:v>
                </c:pt>
                <c:pt idx="153">
                  <c:v>0.64978902953586493</c:v>
                </c:pt>
                <c:pt idx="154">
                  <c:v>0.65400843881856541</c:v>
                </c:pt>
                <c:pt idx="155">
                  <c:v>0.65822784810126578</c:v>
                </c:pt>
                <c:pt idx="156">
                  <c:v>0.66244725738396626</c:v>
                </c:pt>
                <c:pt idx="157">
                  <c:v>0.66666666666666663</c:v>
                </c:pt>
                <c:pt idx="158">
                  <c:v>0.67088607594936711</c:v>
                </c:pt>
                <c:pt idx="159">
                  <c:v>0.67510548523206748</c:v>
                </c:pt>
                <c:pt idx="160">
                  <c:v>0.67932489451476796</c:v>
                </c:pt>
                <c:pt idx="161">
                  <c:v>0.68354430379746833</c:v>
                </c:pt>
                <c:pt idx="162">
                  <c:v>0.68776371308016881</c:v>
                </c:pt>
                <c:pt idx="163">
                  <c:v>0.69198312236286919</c:v>
                </c:pt>
                <c:pt idx="164">
                  <c:v>0.69620253164556967</c:v>
                </c:pt>
                <c:pt idx="165">
                  <c:v>0.70042194092827004</c:v>
                </c:pt>
                <c:pt idx="166">
                  <c:v>0.70464135021097052</c:v>
                </c:pt>
                <c:pt idx="167">
                  <c:v>0.70886075949367089</c:v>
                </c:pt>
                <c:pt idx="168">
                  <c:v>0.71308016877637126</c:v>
                </c:pt>
                <c:pt idx="169">
                  <c:v>0.71729957805907174</c:v>
                </c:pt>
                <c:pt idx="170">
                  <c:v>0.72151898734177211</c:v>
                </c:pt>
                <c:pt idx="171">
                  <c:v>0.72573839662447259</c:v>
                </c:pt>
                <c:pt idx="172">
                  <c:v>0.72995780590717296</c:v>
                </c:pt>
                <c:pt idx="173">
                  <c:v>0.73417721518987344</c:v>
                </c:pt>
                <c:pt idx="174">
                  <c:v>0.73839662447257381</c:v>
                </c:pt>
                <c:pt idx="175">
                  <c:v>0.7426160337552743</c:v>
                </c:pt>
                <c:pt idx="176">
                  <c:v>0.74683544303797467</c:v>
                </c:pt>
                <c:pt idx="177">
                  <c:v>0.75105485232067515</c:v>
                </c:pt>
                <c:pt idx="178">
                  <c:v>0.75527426160337552</c:v>
                </c:pt>
                <c:pt idx="179">
                  <c:v>0.759493670886076</c:v>
                </c:pt>
                <c:pt idx="180">
                  <c:v>0.76371308016877637</c:v>
                </c:pt>
                <c:pt idx="181">
                  <c:v>0.76793248945147674</c:v>
                </c:pt>
                <c:pt idx="182">
                  <c:v>0.77215189873417722</c:v>
                </c:pt>
                <c:pt idx="183">
                  <c:v>0.77637130801687759</c:v>
                </c:pt>
                <c:pt idx="184">
                  <c:v>0.78059071729957807</c:v>
                </c:pt>
                <c:pt idx="185">
                  <c:v>0.78481012658227844</c:v>
                </c:pt>
                <c:pt idx="186">
                  <c:v>0.78902953586497893</c:v>
                </c:pt>
                <c:pt idx="187">
                  <c:v>0.7932489451476793</c:v>
                </c:pt>
                <c:pt idx="188">
                  <c:v>0.79746835443037978</c:v>
                </c:pt>
                <c:pt idx="189">
                  <c:v>0.80168776371308015</c:v>
                </c:pt>
                <c:pt idx="190">
                  <c:v>0.80590717299578063</c:v>
                </c:pt>
                <c:pt idx="191">
                  <c:v>0.810126582278481</c:v>
                </c:pt>
                <c:pt idx="192">
                  <c:v>0.81434599156118148</c:v>
                </c:pt>
                <c:pt idx="193">
                  <c:v>0.81856540084388185</c:v>
                </c:pt>
                <c:pt idx="194">
                  <c:v>0.82278481012658233</c:v>
                </c:pt>
                <c:pt idx="195">
                  <c:v>0.8270042194092827</c:v>
                </c:pt>
                <c:pt idx="196">
                  <c:v>0.83122362869198307</c:v>
                </c:pt>
                <c:pt idx="197">
                  <c:v>0.83544303797468356</c:v>
                </c:pt>
                <c:pt idx="198">
                  <c:v>0.83966244725738393</c:v>
                </c:pt>
                <c:pt idx="199">
                  <c:v>0.84388185654008441</c:v>
                </c:pt>
                <c:pt idx="200">
                  <c:v>0.84810126582278478</c:v>
                </c:pt>
                <c:pt idx="201">
                  <c:v>0.85232067510548526</c:v>
                </c:pt>
                <c:pt idx="202">
                  <c:v>0.85654008438818563</c:v>
                </c:pt>
                <c:pt idx="203">
                  <c:v>0.86075949367088611</c:v>
                </c:pt>
                <c:pt idx="204">
                  <c:v>0.86497890295358648</c:v>
                </c:pt>
                <c:pt idx="205">
                  <c:v>0.86919831223628696</c:v>
                </c:pt>
                <c:pt idx="206">
                  <c:v>0.87341772151898733</c:v>
                </c:pt>
                <c:pt idx="207">
                  <c:v>0.87763713080168781</c:v>
                </c:pt>
                <c:pt idx="208">
                  <c:v>0.88185654008438819</c:v>
                </c:pt>
                <c:pt idx="209">
                  <c:v>0.88607594936708856</c:v>
                </c:pt>
                <c:pt idx="210">
                  <c:v>0.89029535864978904</c:v>
                </c:pt>
                <c:pt idx="211">
                  <c:v>0.89451476793248941</c:v>
                </c:pt>
                <c:pt idx="212">
                  <c:v>0.89873417721518989</c:v>
                </c:pt>
                <c:pt idx="213">
                  <c:v>0.90295358649789026</c:v>
                </c:pt>
                <c:pt idx="214">
                  <c:v>0.90717299578059074</c:v>
                </c:pt>
                <c:pt idx="215">
                  <c:v>0.91139240506329111</c:v>
                </c:pt>
                <c:pt idx="216">
                  <c:v>0.91561181434599159</c:v>
                </c:pt>
                <c:pt idx="217">
                  <c:v>0.91983122362869196</c:v>
                </c:pt>
                <c:pt idx="218">
                  <c:v>0.92405063291139244</c:v>
                </c:pt>
                <c:pt idx="219">
                  <c:v>0.92827004219409281</c:v>
                </c:pt>
                <c:pt idx="220">
                  <c:v>0.9324894514767933</c:v>
                </c:pt>
                <c:pt idx="221">
                  <c:v>0.93670886075949367</c:v>
                </c:pt>
                <c:pt idx="222">
                  <c:v>0.94092827004219415</c:v>
                </c:pt>
                <c:pt idx="223">
                  <c:v>0.94514767932489452</c:v>
                </c:pt>
                <c:pt idx="224">
                  <c:v>0.94936708860759489</c:v>
                </c:pt>
                <c:pt idx="225">
                  <c:v>0.95358649789029537</c:v>
                </c:pt>
                <c:pt idx="226">
                  <c:v>0.95780590717299574</c:v>
                </c:pt>
                <c:pt idx="227">
                  <c:v>0.96202531645569622</c:v>
                </c:pt>
                <c:pt idx="228">
                  <c:v>0.96624472573839659</c:v>
                </c:pt>
                <c:pt idx="229">
                  <c:v>0.97046413502109707</c:v>
                </c:pt>
                <c:pt idx="230">
                  <c:v>0.97468354430379744</c:v>
                </c:pt>
                <c:pt idx="231">
                  <c:v>0.97890295358649793</c:v>
                </c:pt>
                <c:pt idx="232">
                  <c:v>0.9831223628691983</c:v>
                </c:pt>
                <c:pt idx="233">
                  <c:v>0.98734177215189878</c:v>
                </c:pt>
                <c:pt idx="234">
                  <c:v>0.99156118143459915</c:v>
                </c:pt>
                <c:pt idx="235">
                  <c:v>0.99578059071729963</c:v>
                </c:pt>
                <c:pt idx="236">
                  <c:v>1</c:v>
                </c:pt>
              </c:numCache>
            </c:numRef>
          </c:xVal>
          <c:yVal>
            <c:numRef>
              <c:f>'ABC клиенты график '!$C$2:$C$1048576</c:f>
              <c:numCache>
                <c:formatCode>0.00%</c:formatCode>
                <c:ptCount val="1048575"/>
                <c:pt idx="0">
                  <c:v>1.9026752384899745E-2</c:v>
                </c:pt>
                <c:pt idx="1">
                  <c:v>3.7671957888035776E-2</c:v>
                </c:pt>
                <c:pt idx="2">
                  <c:v>5.5555842889682024E-2</c:v>
                </c:pt>
                <c:pt idx="3">
                  <c:v>7.2817500989366027E-2</c:v>
                </c:pt>
                <c:pt idx="4">
                  <c:v>8.9539079894361412E-2</c:v>
                </c:pt>
                <c:pt idx="5">
                  <c:v>0.10625853625843296</c:v>
                </c:pt>
                <c:pt idx="6">
                  <c:v>0.12243096815150181</c:v>
                </c:pt>
                <c:pt idx="7">
                  <c:v>0.13799714593475043</c:v>
                </c:pt>
                <c:pt idx="8">
                  <c:v>0.1535632699827858</c:v>
                </c:pt>
                <c:pt idx="9">
                  <c:v>0.1689059898816862</c:v>
                </c:pt>
                <c:pt idx="10">
                  <c:v>0.1837022629631265</c:v>
                </c:pt>
                <c:pt idx="11">
                  <c:v>0.19815938624606647</c:v>
                </c:pt>
                <c:pt idx="12">
                  <c:v>0.21259500200989848</c:v>
                </c:pt>
                <c:pt idx="13">
                  <c:v>0.2270239008720728</c:v>
                </c:pt>
                <c:pt idx="14">
                  <c:v>0.24096376899215699</c:v>
                </c:pt>
                <c:pt idx="15">
                  <c:v>0.2542566920121786</c:v>
                </c:pt>
                <c:pt idx="16">
                  <c:v>0.2666936265187469</c:v>
                </c:pt>
                <c:pt idx="17">
                  <c:v>0.27873451906977414</c:v>
                </c:pt>
                <c:pt idx="18">
                  <c:v>0.29076242113299544</c:v>
                </c:pt>
                <c:pt idx="19">
                  <c:v>0.30273759551820378</c:v>
                </c:pt>
                <c:pt idx="20">
                  <c:v>0.31454503543521622</c:v>
                </c:pt>
                <c:pt idx="21">
                  <c:v>0.32561205784869757</c:v>
                </c:pt>
                <c:pt idx="22">
                  <c:v>0.33655117702081311</c:v>
                </c:pt>
                <c:pt idx="23">
                  <c:v>0.34722775937473599</c:v>
                </c:pt>
                <c:pt idx="24">
                  <c:v>0.35773228157579534</c:v>
                </c:pt>
                <c:pt idx="25">
                  <c:v>0.36783345383231009</c:v>
                </c:pt>
                <c:pt idx="26">
                  <c:v>0.37791221850489481</c:v>
                </c:pt>
                <c:pt idx="27">
                  <c:v>0.38771162723753594</c:v>
                </c:pt>
                <c:pt idx="28">
                  <c:v>0.39734271041463526</c:v>
                </c:pt>
                <c:pt idx="29">
                  <c:v>0.40674008571545678</c:v>
                </c:pt>
                <c:pt idx="30">
                  <c:v>0.41572138925999397</c:v>
                </c:pt>
                <c:pt idx="31">
                  <c:v>0.42438063080384802</c:v>
                </c:pt>
                <c:pt idx="32">
                  <c:v>0.43292392519128697</c:v>
                </c:pt>
                <c:pt idx="33">
                  <c:v>0.44132934845530003</c:v>
                </c:pt>
                <c:pt idx="34">
                  <c:v>0.44952008610852984</c:v>
                </c:pt>
                <c:pt idx="35">
                  <c:v>0.45759750963079437</c:v>
                </c:pt>
                <c:pt idx="36">
                  <c:v>0.46561407802404015</c:v>
                </c:pt>
                <c:pt idx="37">
                  <c:v>0.47346378514630549</c:v>
                </c:pt>
                <c:pt idx="38">
                  <c:v>0.48124068105460138</c:v>
                </c:pt>
                <c:pt idx="39">
                  <c:v>0.48869019517610124</c:v>
                </c:pt>
                <c:pt idx="40">
                  <c:v>0.49586897785938605</c:v>
                </c:pt>
                <c:pt idx="41">
                  <c:v>0.5030469545144719</c:v>
                </c:pt>
                <c:pt idx="42">
                  <c:v>0.51001708336466212</c:v>
                </c:pt>
                <c:pt idx="43">
                  <c:v>0.51696340751537739</c:v>
                </c:pt>
                <c:pt idx="44">
                  <c:v>0.52387415895491352</c:v>
                </c:pt>
                <c:pt idx="45">
                  <c:v>0.5307022522026501</c:v>
                </c:pt>
                <c:pt idx="46">
                  <c:v>0.53734005562642406</c:v>
                </c:pt>
                <c:pt idx="47">
                  <c:v>0.54396673586105304</c:v>
                </c:pt>
                <c:pt idx="48">
                  <c:v>0.55045457773841733</c:v>
                </c:pt>
                <c:pt idx="49">
                  <c:v>0.55685801502955112</c:v>
                </c:pt>
                <c:pt idx="50">
                  <c:v>0.56292652073642546</c:v>
                </c:pt>
                <c:pt idx="51">
                  <c:v>0.56886285125247982</c:v>
                </c:pt>
                <c:pt idx="52">
                  <c:v>0.5746856258291092</c:v>
                </c:pt>
                <c:pt idx="53">
                  <c:v>0.5804033614976154</c:v>
                </c:pt>
                <c:pt idx="54">
                  <c:v>0.58598497243712688</c:v>
                </c:pt>
                <c:pt idx="55">
                  <c:v>0.59151572299728628</c:v>
                </c:pt>
                <c:pt idx="56">
                  <c:v>0.59697647000836918</c:v>
                </c:pt>
                <c:pt idx="57">
                  <c:v>0.60236104735465379</c:v>
                </c:pt>
                <c:pt idx="58">
                  <c:v>0.60773103559053787</c:v>
                </c:pt>
                <c:pt idx="59">
                  <c:v>0.6130794088368875</c:v>
                </c:pt>
                <c:pt idx="60">
                  <c:v>0.6182322799435882</c:v>
                </c:pt>
                <c:pt idx="61">
                  <c:v>0.62336400624387056</c:v>
                </c:pt>
                <c:pt idx="62">
                  <c:v>0.6284856303240598</c:v>
                </c:pt>
                <c:pt idx="63">
                  <c:v>0.6335498383288789</c:v>
                </c:pt>
                <c:pt idx="64">
                  <c:v>0.63856165450076807</c:v>
                </c:pt>
                <c:pt idx="65">
                  <c:v>0.6435298376794889</c:v>
                </c:pt>
                <c:pt idx="66">
                  <c:v>0.64837919886788509</c:v>
                </c:pt>
                <c:pt idx="67">
                  <c:v>0.6531802520995591</c:v>
                </c:pt>
                <c:pt idx="68">
                  <c:v>0.65792863138843338</c:v>
                </c:pt>
                <c:pt idx="69">
                  <c:v>0.66265227904540414</c:v>
                </c:pt>
                <c:pt idx="70">
                  <c:v>0.66735810004537532</c:v>
                </c:pt>
                <c:pt idx="71">
                  <c:v>0.67189379536016047</c:v>
                </c:pt>
                <c:pt idx="72">
                  <c:v>0.67637442551515581</c:v>
                </c:pt>
                <c:pt idx="73">
                  <c:v>0.68078462223936853</c:v>
                </c:pt>
                <c:pt idx="74">
                  <c:v>0.6851379671079505</c:v>
                </c:pt>
                <c:pt idx="75">
                  <c:v>0.68942130842745608</c:v>
                </c:pt>
                <c:pt idx="76">
                  <c:v>0.69368283325037738</c:v>
                </c:pt>
                <c:pt idx="77">
                  <c:v>0.69772695883424574</c:v>
                </c:pt>
                <c:pt idx="78">
                  <c:v>0.70170829482141794</c:v>
                </c:pt>
                <c:pt idx="79">
                  <c:v>0.70551222400200708</c:v>
                </c:pt>
                <c:pt idx="80">
                  <c:v>0.7092724664542146</c:v>
                </c:pt>
                <c:pt idx="81">
                  <c:v>0.71297998122840922</c:v>
                </c:pt>
                <c:pt idx="82">
                  <c:v>0.71665628927750225</c:v>
                </c:pt>
                <c:pt idx="83">
                  <c:v>0.72017702045039966</c:v>
                </c:pt>
                <c:pt idx="84">
                  <c:v>0.72366690761088504</c:v>
                </c:pt>
                <c:pt idx="85">
                  <c:v>0.72713254675638606</c:v>
                </c:pt>
                <c:pt idx="86">
                  <c:v>0.73047037669714443</c:v>
                </c:pt>
                <c:pt idx="87">
                  <c:v>0.73377738949309734</c:v>
                </c:pt>
                <c:pt idx="88">
                  <c:v>0.73696617138607146</c:v>
                </c:pt>
                <c:pt idx="89">
                  <c:v>0.74014773932666522</c:v>
                </c:pt>
                <c:pt idx="90">
                  <c:v>0.74330575781004715</c:v>
                </c:pt>
                <c:pt idx="91">
                  <c:v>0.74645010068165407</c:v>
                </c:pt>
                <c:pt idx="92">
                  <c:v>0.74957904841466139</c:v>
                </c:pt>
                <c:pt idx="93">
                  <c:v>0.75270244798689956</c:v>
                </c:pt>
                <c:pt idx="94">
                  <c:v>0.75582353694496751</c:v>
                </c:pt>
                <c:pt idx="95">
                  <c:v>0.7588527924235714</c:v>
                </c:pt>
                <c:pt idx="96">
                  <c:v>0.7618673513213482</c:v>
                </c:pt>
                <c:pt idx="97">
                  <c:v>0.76486869135666269</c:v>
                </c:pt>
                <c:pt idx="98">
                  <c:v>0.76784700585309462</c:v>
                </c:pt>
                <c:pt idx="99">
                  <c:v>0.77082295600014306</c:v>
                </c:pt>
                <c:pt idx="100">
                  <c:v>0.77369166409532475</c:v>
                </c:pt>
                <c:pt idx="101">
                  <c:v>0.77655028340421661</c:v>
                </c:pt>
                <c:pt idx="102">
                  <c:v>0.77931864098863224</c:v>
                </c:pt>
                <c:pt idx="103">
                  <c:v>0.78196914381656202</c:v>
                </c:pt>
                <c:pt idx="104">
                  <c:v>0.78457800185421411</c:v>
                </c:pt>
                <c:pt idx="105">
                  <c:v>0.78718117739306381</c:v>
                </c:pt>
                <c:pt idx="106">
                  <c:v>0.78976010491692916</c:v>
                </c:pt>
                <c:pt idx="107">
                  <c:v>0.79230589124801554</c:v>
                </c:pt>
                <c:pt idx="108">
                  <c:v>0.79481216876355132</c:v>
                </c:pt>
                <c:pt idx="109">
                  <c:v>0.7973155983127842</c:v>
                </c:pt>
                <c:pt idx="110">
                  <c:v>0.79980689713762321</c:v>
                </c:pt>
                <c:pt idx="111">
                  <c:v>0.80229674511170435</c:v>
                </c:pt>
                <c:pt idx="112">
                  <c:v>0.80477329362050309</c:v>
                </c:pt>
                <c:pt idx="113">
                  <c:v>0.80716586742477736</c:v>
                </c:pt>
                <c:pt idx="114">
                  <c:v>0.80955811881777207</c:v>
                </c:pt>
                <c:pt idx="115">
                  <c:v>0.81193157631992863</c:v>
                </c:pt>
                <c:pt idx="116">
                  <c:v>0.81428712656226565</c:v>
                </c:pt>
                <c:pt idx="117">
                  <c:v>0.81661429117819739</c:v>
                </c:pt>
                <c:pt idx="118">
                  <c:v>0.81892878771760258</c:v>
                </c:pt>
                <c:pt idx="119">
                  <c:v>0.82124023478365527</c:v>
                </c:pt>
                <c:pt idx="120">
                  <c:v>0.82352537846281637</c:v>
                </c:pt>
                <c:pt idx="121">
                  <c:v>0.82580938026869566</c:v>
                </c:pt>
                <c:pt idx="122">
                  <c:v>0.82809292532526224</c:v>
                </c:pt>
                <c:pt idx="123">
                  <c:v>0.83036558900114343</c:v>
                </c:pt>
                <c:pt idx="124">
                  <c:v>0.83263438374166965</c:v>
                </c:pt>
                <c:pt idx="125">
                  <c:v>0.83485491082688379</c:v>
                </c:pt>
                <c:pt idx="126">
                  <c:v>0.8370156709211477</c:v>
                </c:pt>
                <c:pt idx="127">
                  <c:v>0.83908954117556767</c:v>
                </c:pt>
                <c:pt idx="128">
                  <c:v>0.84113730955014587</c:v>
                </c:pt>
                <c:pt idx="129">
                  <c:v>0.84315937905898164</c:v>
                </c:pt>
                <c:pt idx="130">
                  <c:v>0.84518062910581526</c:v>
                </c:pt>
                <c:pt idx="131">
                  <c:v>0.8471926232621646</c:v>
                </c:pt>
                <c:pt idx="132">
                  <c:v>0.84915639006461163</c:v>
                </c:pt>
                <c:pt idx="133">
                  <c:v>0.85109341016465767</c:v>
                </c:pt>
                <c:pt idx="134">
                  <c:v>0.85302748826177777</c:v>
                </c:pt>
                <c:pt idx="135">
                  <c:v>0.85492816992385567</c:v>
                </c:pt>
                <c:pt idx="136">
                  <c:v>0.85681674772914651</c:v>
                </c:pt>
                <c:pt idx="137">
                  <c:v>0.85870055653426036</c:v>
                </c:pt>
                <c:pt idx="138">
                  <c:v>0.86057195250511076</c:v>
                </c:pt>
                <c:pt idx="139">
                  <c:v>0.86244023183359209</c:v>
                </c:pt>
                <c:pt idx="140">
                  <c:v>0.86430438698445544</c:v>
                </c:pt>
                <c:pt idx="141">
                  <c:v>0.86615260964458685</c:v>
                </c:pt>
                <c:pt idx="142">
                  <c:v>0.86799207346495655</c:v>
                </c:pt>
                <c:pt idx="143">
                  <c:v>0.86982306055543435</c:v>
                </c:pt>
                <c:pt idx="144">
                  <c:v>0.87163737629599758</c:v>
                </c:pt>
                <c:pt idx="145">
                  <c:v>0.87344056884741583</c:v>
                </c:pt>
                <c:pt idx="146">
                  <c:v>0.87523865655357413</c:v>
                </c:pt>
                <c:pt idx="147">
                  <c:v>0.87702697788472217</c:v>
                </c:pt>
                <c:pt idx="148">
                  <c:v>0.87880146239845536</c:v>
                </c:pt>
                <c:pt idx="149">
                  <c:v>0.88056131750037814</c:v>
                </c:pt>
                <c:pt idx="150">
                  <c:v>0.88231242719634251</c:v>
                </c:pt>
                <c:pt idx="151">
                  <c:v>0.88405643041035309</c:v>
                </c:pt>
                <c:pt idx="152">
                  <c:v>0.88575244807892117</c:v>
                </c:pt>
                <c:pt idx="153">
                  <c:v>0.88743374229905547</c:v>
                </c:pt>
                <c:pt idx="154">
                  <c:v>0.88910982420350337</c:v>
                </c:pt>
                <c:pt idx="155">
                  <c:v>0.89078343428814133</c:v>
                </c:pt>
                <c:pt idx="156">
                  <c:v>0.89244621672730706</c:v>
                </c:pt>
                <c:pt idx="157">
                  <c:v>0.89410158370704274</c:v>
                </c:pt>
                <c:pt idx="158">
                  <c:v>0.89575556700503689</c:v>
                </c:pt>
                <c:pt idx="159">
                  <c:v>0.89740772330578011</c:v>
                </c:pt>
                <c:pt idx="160">
                  <c:v>0.89904523676090964</c:v>
                </c:pt>
                <c:pt idx="161">
                  <c:v>0.90063935903133041</c:v>
                </c:pt>
                <c:pt idx="162">
                  <c:v>0.90223329322850476</c:v>
                </c:pt>
                <c:pt idx="163">
                  <c:v>0.90381908654086995</c:v>
                </c:pt>
                <c:pt idx="164">
                  <c:v>0.90540193785030909</c:v>
                </c:pt>
                <c:pt idx="165">
                  <c:v>0.90692467288991185</c:v>
                </c:pt>
                <c:pt idx="166">
                  <c:v>0.90844645412947922</c:v>
                </c:pt>
                <c:pt idx="167">
                  <c:v>0.90996330516322987</c:v>
                </c:pt>
                <c:pt idx="168">
                  <c:v>0.91147990095471754</c:v>
                </c:pt>
                <c:pt idx="169">
                  <c:v>0.9129929367883266</c:v>
                </c:pt>
                <c:pt idx="170">
                  <c:v>0.914504494903571</c:v>
                </c:pt>
                <c:pt idx="171">
                  <c:v>0.91599466640393734</c:v>
                </c:pt>
                <c:pt idx="172">
                  <c:v>0.91746878450934166</c:v>
                </c:pt>
                <c:pt idx="173">
                  <c:v>0.9189360245074486</c:v>
                </c:pt>
                <c:pt idx="174">
                  <c:v>0.92040033593643278</c:v>
                </c:pt>
                <c:pt idx="175">
                  <c:v>0.92186378760200471</c:v>
                </c:pt>
                <c:pt idx="176">
                  <c:v>0.92331497420514974</c:v>
                </c:pt>
                <c:pt idx="177">
                  <c:v>0.92476249337998961</c:v>
                </c:pt>
                <c:pt idx="178">
                  <c:v>0.92620218064749671</c:v>
                </c:pt>
                <c:pt idx="179">
                  <c:v>0.9276418544812004</c:v>
                </c:pt>
                <c:pt idx="180">
                  <c:v>0.9290784385401416</c:v>
                </c:pt>
                <c:pt idx="181">
                  <c:v>0.9305117178834672</c:v>
                </c:pt>
                <c:pt idx="182">
                  <c:v>0.93194498379298951</c:v>
                </c:pt>
                <c:pt idx="183">
                  <c:v>0.93337137159521433</c:v>
                </c:pt>
                <c:pt idx="184">
                  <c:v>0.93478785868439562</c:v>
                </c:pt>
                <c:pt idx="185">
                  <c:v>0.9361958959112916</c:v>
                </c:pt>
                <c:pt idx="186">
                  <c:v>0.93759573851816524</c:v>
                </c:pt>
                <c:pt idx="187">
                  <c:v>0.93899535275038248</c:v>
                </c:pt>
                <c:pt idx="188">
                  <c:v>0.94039082937117857</c:v>
                </c:pt>
                <c:pt idx="189">
                  <c:v>0.94178040855231926</c:v>
                </c:pt>
                <c:pt idx="190">
                  <c:v>0.94316656211361438</c:v>
                </c:pt>
                <c:pt idx="191">
                  <c:v>0.94455208428615378</c:v>
                </c:pt>
                <c:pt idx="192">
                  <c:v>0.94593495999944011</c:v>
                </c:pt>
                <c:pt idx="193">
                  <c:v>0.94731203230969407</c:v>
                </c:pt>
                <c:pt idx="194">
                  <c:v>0.94867854565054222</c:v>
                </c:pt>
                <c:pt idx="195">
                  <c:v>0.95002451870612104</c:v>
                </c:pt>
                <c:pt idx="196">
                  <c:v>0.95136883940389216</c:v>
                </c:pt>
                <c:pt idx="197">
                  <c:v>0.95271193762556161</c:v>
                </c:pt>
                <c:pt idx="198">
                  <c:v>0.95404767412301417</c:v>
                </c:pt>
                <c:pt idx="199">
                  <c:v>0.95538038801472069</c:v>
                </c:pt>
                <c:pt idx="200">
                  <c:v>0.95671275262754107</c:v>
                </c:pt>
                <c:pt idx="201">
                  <c:v>0.95803531056394131</c:v>
                </c:pt>
                <c:pt idx="202">
                  <c:v>0.95935563848899108</c:v>
                </c:pt>
                <c:pt idx="203">
                  <c:v>0.9606704182532716</c:v>
                </c:pt>
                <c:pt idx="204">
                  <c:v>0.96198490247387924</c:v>
                </c:pt>
                <c:pt idx="205">
                  <c:v>0.96329641782395414</c:v>
                </c:pt>
                <c:pt idx="206">
                  <c:v>0.96459698462432697</c:v>
                </c:pt>
                <c:pt idx="207">
                  <c:v>0.96589252718225993</c:v>
                </c:pt>
                <c:pt idx="208">
                  <c:v>0.96716426504071795</c:v>
                </c:pt>
                <c:pt idx="209">
                  <c:v>0.96843336987372619</c:v>
                </c:pt>
                <c:pt idx="210">
                  <c:v>0.9696992102925287</c:v>
                </c:pt>
                <c:pt idx="211">
                  <c:v>0.97096034888017091</c:v>
                </c:pt>
                <c:pt idx="212">
                  <c:v>0.97222078891004071</c:v>
                </c:pt>
                <c:pt idx="213">
                  <c:v>0.97347987212577569</c:v>
                </c:pt>
                <c:pt idx="214">
                  <c:v>0.97473836425416471</c:v>
                </c:pt>
                <c:pt idx="215">
                  <c:v>0.97598829904984186</c:v>
                </c:pt>
                <c:pt idx="216">
                  <c:v>0.97723566798908579</c:v>
                </c:pt>
                <c:pt idx="217">
                  <c:v>0.9784750303815537</c:v>
                </c:pt>
                <c:pt idx="218">
                  <c:v>0.97970341735671296</c:v>
                </c:pt>
                <c:pt idx="219">
                  <c:v>0.98092742491199147</c:v>
                </c:pt>
                <c:pt idx="220">
                  <c:v>0.98214870540519694</c:v>
                </c:pt>
                <c:pt idx="221">
                  <c:v>0.98336566021373473</c:v>
                </c:pt>
                <c:pt idx="222">
                  <c:v>0.98457158586975069</c:v>
                </c:pt>
                <c:pt idx="223">
                  <c:v>0.98577373662703505</c:v>
                </c:pt>
                <c:pt idx="224">
                  <c:v>0.98697440966595462</c:v>
                </c:pt>
                <c:pt idx="225">
                  <c:v>0.98816801652433039</c:v>
                </c:pt>
                <c:pt idx="226">
                  <c:v>0.98932249071364842</c:v>
                </c:pt>
                <c:pt idx="227">
                  <c:v>0.9904659223166411</c:v>
                </c:pt>
                <c:pt idx="228">
                  <c:v>0.99160860162664821</c:v>
                </c:pt>
                <c:pt idx="229">
                  <c:v>0.99274465807162082</c:v>
                </c:pt>
                <c:pt idx="230">
                  <c:v>0.9938736886374594</c:v>
                </c:pt>
                <c:pt idx="231">
                  <c:v>0.99499636501432986</c:v>
                </c:pt>
                <c:pt idx="232">
                  <c:v>0.99610543294844189</c:v>
                </c:pt>
                <c:pt idx="233">
                  <c:v>0.99718420765607763</c:v>
                </c:pt>
                <c:pt idx="234">
                  <c:v>0.99819256236673415</c:v>
                </c:pt>
                <c:pt idx="235">
                  <c:v>0.99916613696060708</c:v>
                </c:pt>
                <c:pt idx="2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E-4598-8FCF-6955E0BC9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312432"/>
        <c:axId val="480316272"/>
      </c:scatterChart>
      <c:valAx>
        <c:axId val="48031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316272"/>
        <c:crosses val="autoZero"/>
        <c:crossBetween val="midCat"/>
      </c:valAx>
      <c:valAx>
        <c:axId val="48031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31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39732</xdr:colOff>
      <xdr:row>1</xdr:row>
      <xdr:rowOff>1361</xdr:rowOff>
    </xdr:from>
    <xdr:to>
      <xdr:col>23</xdr:col>
      <xdr:colOff>142058</xdr:colOff>
      <xdr:row>5</xdr:row>
      <xdr:rowOff>102598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926932" y="191861"/>
          <a:ext cx="3759926" cy="86323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314324</xdr:colOff>
      <xdr:row>2</xdr:row>
      <xdr:rowOff>85724</xdr:rowOff>
    </xdr:from>
    <xdr:to>
      <xdr:col>26</xdr:col>
      <xdr:colOff>400050</xdr:colOff>
      <xdr:row>36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9C812B-2D46-A45A-F415-124C9559C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0.02584</cdr:x>
      <cdr:y>0.21292</cdr:y>
    </cdr:from>
    <cdr:to>
      <cdr:x>0.33247</cdr:x>
      <cdr:y>0.50514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586FCA91-0532-75E4-5E35-5D1C059A6EA1}"/>
            </a:ext>
          </a:extLst>
        </cdr:cNvPr>
        <cdr:cNvCxnSpPr/>
      </cdr:nvCxnSpPr>
      <cdr:spPr>
        <a:xfrm xmlns:a="http://schemas.openxmlformats.org/drawingml/2006/main" flipV="1">
          <a:off x="285751" y="1381126"/>
          <a:ext cx="3390900" cy="18954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0.19524</cdr:x>
      <cdr:y>0.17505</cdr:y>
    </cdr:from>
    <cdr:to>
      <cdr:x>0.8085</cdr:x>
      <cdr:y>0.29253</cdr:y>
    </cdr:to>
    <cdr:cxnSp macro="">
      <cdr:nvCxnSpPr>
        <cdr:cNvPr id="9" name="Прямая соединительная линия 8">
          <a:extLst xmlns:a="http://schemas.openxmlformats.org/drawingml/2006/main">
            <a:ext uri="{FF2B5EF4-FFF2-40B4-BE49-F238E27FC236}">
              <a16:creationId xmlns:a16="http://schemas.microsoft.com/office/drawing/2014/main" id="{EBF37970-E082-20FE-6C54-EA3B6E0E86B8}"/>
            </a:ext>
          </a:extLst>
        </cdr:cNvPr>
        <cdr:cNvCxnSpPr/>
      </cdr:nvCxnSpPr>
      <cdr:spPr>
        <a:xfrm xmlns:a="http://schemas.openxmlformats.org/drawingml/2006/main" flipV="1">
          <a:off x="2166109" y="1135481"/>
          <a:ext cx="6803936" cy="762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104776</xdr:rowOff>
    </xdr:from>
    <xdr:to>
      <xdr:col>27</xdr:col>
      <xdr:colOff>295275</xdr:colOff>
      <xdr:row>33</xdr:row>
      <xdr:rowOff>85726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DED359-8B04-F927-8950-F7665ABC7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0.05501</cdr:x>
      <cdr:y>0.27964</cdr:y>
    </cdr:from>
    <cdr:to>
      <cdr:x>0.37378</cdr:x>
      <cdr:y>0.56991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A7753F38-C4A5-440E-B9E4-C7690D7F1ED2}"/>
            </a:ext>
          </a:extLst>
        </cdr:cNvPr>
        <cdr:cNvCxnSpPr/>
      </cdr:nvCxnSpPr>
      <cdr:spPr>
        <a:xfrm xmlns:a="http://schemas.openxmlformats.org/drawingml/2006/main" flipV="1">
          <a:off x="695325" y="1752599"/>
          <a:ext cx="4029075" cy="18192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0.19281</cdr:x>
      <cdr:y>0.16804</cdr:y>
    </cdr:from>
    <cdr:to>
      <cdr:x>0.78814</cdr:x>
      <cdr:y>0.36257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38675BA7-F380-33FE-F988-549FFFC4742A}"/>
            </a:ext>
          </a:extLst>
        </cdr:cNvPr>
        <cdr:cNvCxnSpPr/>
      </cdr:nvCxnSpPr>
      <cdr:spPr>
        <a:xfrm xmlns:a="http://schemas.openxmlformats.org/drawingml/2006/main" flipV="1">
          <a:off x="2437040" y="1053192"/>
          <a:ext cx="7524750" cy="12192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0</xdr:row>
      <xdr:rowOff>123824</xdr:rowOff>
    </xdr:from>
    <xdr:to>
      <xdr:col>25</xdr:col>
      <xdr:colOff>123824</xdr:colOff>
      <xdr:row>35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EF34D22-F290-D3A7-8672-893668660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102577</xdr:rowOff>
    </xdr:from>
    <xdr:to>
      <xdr:col>13</xdr:col>
      <xdr:colOff>29307</xdr:colOff>
      <xdr:row>23</xdr:row>
      <xdr:rowOff>183173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063CEEE8-9769-6C09-4527-355DAD93D516}"/>
            </a:ext>
          </a:extLst>
        </xdr:cNvPr>
        <xdr:cNvCxnSpPr/>
      </xdr:nvCxnSpPr>
      <xdr:spPr>
        <a:xfrm flipV="1">
          <a:off x="5993423" y="2579077"/>
          <a:ext cx="3678115" cy="19855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299.531538310184" createdVersion="8" refreshedVersion="8" minRefreshableVersion="3" recordCount="2617" xr:uid="{0AF560D8-B8E2-4239-9F60-492998F3859A}">
  <cacheSource type="worksheet">
    <worksheetSource ref="A1:D2618" sheet="Данные"/>
  </cacheSource>
  <cacheFields count="6">
    <cacheField name="ФИО менеджера" numFmtId="0">
      <sharedItems count="20">
        <s v="Иванова Анна Сергеевна"/>
        <s v="Лебедев Николай Олегович"/>
        <s v="Новикова Ольга Викторовна"/>
        <s v="Орлов Павел Денисович"/>
        <s v="Ткаченко Андрей Олегович"/>
        <s v="Козлов Алексей Михайлович"/>
        <s v="Фролов Сергей Викторович"/>
        <s v="Яковлев Артем Игоревич"/>
        <s v="Морозова Елена Андреевна"/>
        <s v="Семенова Ирина Валерьевна"/>
        <s v="Федорова Ксения Максимовна"/>
        <s v="Кузнецов Максим Алексеевич"/>
        <s v="Павлова Татьяна Сергеевна"/>
        <s v="Васильева Дарья Павловна"/>
        <s v="Соколова Мария Ильинична"/>
        <s v="Егоров Илья Александрович"/>
        <s v="Волков Дмитрий Романович"/>
        <s v="Попов Кирилл Денисович"/>
        <s v="Михайлова Алина Романовна"/>
        <s v="Смирнов Евгений Андреевич"/>
      </sharedItems>
    </cacheField>
    <cacheField name="ФИО клиента" numFmtId="0">
      <sharedItems count="237">
        <s v="Григорьева Полина Денисовна"/>
        <s v="Смирнова Елена Михайловна"/>
        <s v="Морозова Софья Игоревна"/>
        <s v="Андреева Анна Антоновна"/>
        <s v="Алексеева Наталья Алексеевна"/>
        <s v="Козлова Алина Владимировна"/>
        <s v="Сидорова Софья Юрьевна"/>
        <s v="Морозова Ольга Романовна"/>
        <s v="Соловьева Анастасия Игоревна"/>
        <s v="Волков Николай Ильич"/>
        <s v="Сидорова Мария Николаевна"/>
        <s v="Соколова Ирина Федоровна"/>
        <s v="Волкова Ирина Владимировна"/>
        <s v="Козлов Александр Федорович"/>
        <s v="Козлов Федор Борисович"/>
        <s v="Баранов Владимир Ильич"/>
        <s v="Степанова Светлана Игоревна"/>
        <s v="Ковалева Алина Андреевна"/>
        <s v="Захарова Людмила Ивановна"/>
        <s v="Белов Алексей Артемович"/>
        <s v="Алексеева Надежда Романовна"/>
        <s v="Романов Евгений Денисович"/>
        <s v="Иванов Антон Павлович"/>
        <s v="Сидорова Марина Алексеевна"/>
        <s v="Захаров Николай Сергеевич"/>
        <s v="Степанов Сергей Игоревич"/>
        <s v="Семенова Екатерина Владимировна"/>
        <s v="Соловьева Александра Антоновна"/>
        <s v="Алексеев Кирилл Иванович"/>
        <s v="Морозов Павел Евгеньевич"/>
        <s v="Петров Владимир Павлович"/>
        <s v="Семенова Ирина Алексеевна"/>
        <s v="Воробьева Мария Александровна"/>
        <s v="Иванова Екатерина Николаевна"/>
        <s v="Орлова Татьяна Александровна"/>
        <s v="Морозов Вадим Дмитриевич"/>
        <s v="Петрова Мария Андреевна"/>
        <s v="Никитин Илья Романович"/>
        <s v="Зайцев Сергей Игоревич"/>
        <s v="Зайцева Ксения Игоревна"/>
        <s v="Комарова Марина Андреевна"/>
        <s v="Яковлев Антон Антонович"/>
        <s v="Лебедев Федор Антонович"/>
        <s v="Степанов Антон Игоревич"/>
        <s v="Петров Николай Игоревич"/>
        <s v="Павлов Виктор Антонович"/>
        <s v="Смирнов Федор Ильич"/>
        <s v="Соловьева Валерия Ильинична"/>
        <s v="Баранов Степан Михайлович"/>
        <s v="Николаева Полина Дмитриевна"/>
        <s v="Сидоров Игорь Романович"/>
        <s v="Смирнов Максим Романович"/>
        <s v="Куликова Ольга Олеговна"/>
        <s v="Баранов Степан Артемович"/>
        <s v="Смирнова Анна Алексеевна"/>
        <s v="Комарова Екатерина Игоревна"/>
        <s v="Белова Марина Николаевна"/>
        <s v="Егорова Софья Олеговна"/>
        <s v="Куликов Вадим Владимирович"/>
        <s v="Михайлова Софья Юрьевна"/>
        <s v="Ковалева Екатерина Олеговна"/>
        <s v="Алексеев Вадим Романович"/>
        <s v="Новикова Полина Павловна"/>
        <s v="Павлова Надежда Михайловна"/>
        <s v="Захаров Виктор Евгеньевич"/>
        <s v="Захарова Мария Игоревна"/>
        <s v="Макарова Дарья Игоревна"/>
        <s v="Ковалева Виктория Евгеньевна"/>
        <s v="Попова Марина Владимировна"/>
        <s v="Григорьев Илья Михайлович"/>
        <s v="Зайцев Михаил Кириллович"/>
        <s v="Михайлов Вадим Игоревич"/>
        <s v="Григорьев Виктор Евгеньевич"/>
        <s v="Никитина Наталья Михайловна"/>
        <s v="Козлов Илья Александрович"/>
        <s v="Степанов Игорь Антонович"/>
        <s v="Новиков Максим Евгеньевич"/>
        <s v="Борисова Софья Павловна"/>
        <s v="Смирнов Александр Иванович"/>
        <s v="Борисов Евгений Сергеевич"/>
        <s v="Воробьева Анна Ивановна"/>
        <s v="Романова Екатерина Викторовна"/>
        <s v="Николаев Виктор Дмитриевич"/>
        <s v="Волков Михаил Федорович"/>
        <s v="Лебедев Роман Денисович"/>
        <s v="Сидоров Иван Александрович"/>
        <s v="Иванов Степан Владимирович"/>
        <s v="Иванов Михаил Олегович"/>
        <s v="Баранов Евгений Ильич"/>
        <s v="Николаев Павел Владимирович"/>
        <s v="Кузнецов Вадим Иванович"/>
        <s v="Павлова Софья Владимировна"/>
        <s v="Соловьев Владимир Романович"/>
        <s v="Макаров Виктор Дмитриевич"/>
        <s v="Волков Илья Антонович"/>
        <s v="Григорьева Наталья Антоновна"/>
        <s v="Романова Алина Павловна"/>
        <s v="Григорьев Павел Романович"/>
        <s v="Петров Илья Сергеевич"/>
        <s v="Соколова Анастасия Михайловна"/>
        <s v="Ковалев Федор Павлович"/>
        <s v="Петров Игорь Денисович"/>
        <s v="Андреев Иван Викторович"/>
        <s v="Павлова Ольга Александровна"/>
        <s v="Степанова Ольга Александровна"/>
        <s v="Куликова Александра Денисовна"/>
        <s v="Михайлов Николай Ильич"/>
        <s v="Куликов Иван Борисович"/>
        <s v="Морозов Игорь Борисович"/>
        <s v="Лебедев Юрий Олегович"/>
        <s v="Белова Наталья Сергеевна"/>
        <s v="Морозова Елена Максимовна"/>
        <s v="Андреева Ольга Андреевна"/>
        <s v="Васильева Ксения Антоновна"/>
        <s v="Сидорова Марина Федоровна"/>
        <s v="Кузнецова Наталья Николаевна"/>
        <s v="Михайлов Федор Александрович"/>
        <s v="Макаров Артем Алексеевич"/>
        <s v="Семенов Вадим Михайлович"/>
        <s v="Петрова Марина Ивановна"/>
        <s v="Попов Артем Дмитриевич"/>
        <s v="Смирнов Владимир Олегович"/>
        <s v="Егоров Алексей Михайлович"/>
        <s v="Егоров Илья Иванович"/>
        <s v="Семенова Марина Евгеньевна"/>
        <s v="Смирнова Надежда Максимовна"/>
        <s v="Лебедев Игорь Александрович"/>
        <s v="Борисова Наталья Евгеньевна"/>
        <s v="Волкова Екатерина Александровна"/>
        <s v="Козлов Олег Романович"/>
        <s v="Андреева Ольга Павловна"/>
        <s v="Захаров Никита Борисович"/>
        <s v="Зайцев Никита Дмитриевич"/>
        <s v="Кузнецов Роман Павлович"/>
        <s v="Баранова Ксения Ивановна"/>
        <s v="Тарасов Борис Александрович"/>
        <s v="Козлов Юрий Федорович"/>
        <s v="Попова Юлия Ивановна"/>
        <s v="Егоров Степан Антонович"/>
        <s v="Борисова Валерия Антоновна"/>
        <s v="Иванова Ксения Дмитриевна"/>
        <s v="Николаева Наталья Денисовна"/>
        <s v="Романов Виктор Игоревич"/>
        <s v="Зайцев Павел Антонович"/>
        <s v="Ковалев Александр Михайлович"/>
        <s v="Никитин Роман Алексеевич"/>
        <s v="Соловьев Михаил Ильич"/>
        <s v="Петрова Надежда Сергеевна"/>
        <s v="Белова Ирина Олеговна"/>
        <s v="Григорьев Никита Андреевич"/>
        <s v="Федоров Николай Максимович"/>
        <s v="Борисова Анна Игоревна"/>
        <s v="Яковлев Андрей Кириллович"/>
        <s v="Сидорова Надежда Денисовна"/>
        <s v="Степанова Алина Дмитриевна"/>
        <s v="Григорьева Татьяна Ивановна"/>
        <s v="Сергеев Олег Олегович"/>
        <s v="Кузнецова Светлана Максимовна"/>
        <s v="Егоров Вадим Ильич"/>
        <s v="Козлов Андрей Олегович"/>
        <s v="Морозов Никита Федорович"/>
        <s v="Семенова Татьяна Ивановна"/>
        <s v="Григорьева Дарья Алексеевна"/>
        <s v="Макаров Юрий Михайлович"/>
        <s v="Попова Ксения Игоревна"/>
        <s v="Козлов Вадим Владимирович"/>
        <s v="Романов Михаил Ильич"/>
        <s v="Сергеева Людмила Олеговна"/>
        <s v="Макаров Кирилл Иванович"/>
        <s v="Петров Игорь Михайлович"/>
        <s v="Белова Мария Юрьевна"/>
        <s v="Волкова Алина Романовна"/>
        <s v="Ковалев Евгений Дмитриевич"/>
        <s v="Яковлев Антон Владимирович"/>
        <s v="Соловьева Дарья Павловна"/>
        <s v="Петров Борис Игоревич"/>
        <s v="Михайлова Елена Федоровна"/>
        <s v="Николаева Анастасия Игоревна"/>
        <s v="Белова Алина Ильинична"/>
        <s v="Михайлова Ольга Викторовна"/>
        <s v="Васильев Александр Александрович"/>
        <s v="Борисова Валерия Дмитриевна"/>
        <s v="Попова Анна Евгеньевна"/>
        <s v="Захаров Павел Олегович"/>
        <s v="Андреев Дмитрий Иванович"/>
        <s v="Никитина Марина Дмитриевна"/>
        <s v="Воробьев Иван Андреевич"/>
        <s v="Семенов Федор Павлович"/>
        <s v="Сергеева Виктория Викторовна"/>
        <s v="Соловьев Денис Федорович"/>
        <s v="Борисов Сергей Сергеевич"/>
        <s v="Иванов Михаил Романович"/>
        <s v="Лебедев Денис Кириллович"/>
        <s v="Яковлева Валерия Ивановна"/>
        <s v="Волкова Надежда Ильинична"/>
        <s v="Борисова Дарья Сергеевна"/>
        <s v="Сидоров Павел Кириллович"/>
        <s v="Ковалева Татьяна Максимовна"/>
        <s v="Попова Ольга Антоновна"/>
        <s v="Соколова Татьяна Федоровна"/>
        <s v="Алексеева Татьяна Юрьевна"/>
        <s v="Орлов Денис Денисович"/>
        <s v="Комарова Дарья Викторовна"/>
        <s v="Зайцев Александр Ильич"/>
        <s v="Лебедева Юлия Алексеевна"/>
        <s v="Козлов Дмитрий Иванович"/>
        <s v="Тарасов Роман Дмитриевич"/>
        <s v="Соколова Софья Алексеевна"/>
        <s v="Иванова Александра Юрьевна"/>
        <s v="Сергеев Игорь Игоревич"/>
        <s v="Лебедева Софья Юрьевна"/>
        <s v="Новиков Кирилл Викторович"/>
        <s v="Баранова Алина Сергеевна"/>
        <s v="Белова Екатерина Павловна"/>
        <s v="Комарова Юлия Андреевна"/>
        <s v="Степанов Иван Кириллович"/>
        <s v="Романов Антон Дмитриевич"/>
        <s v="Сергеев Иван Федорович"/>
        <s v="Соловьева Елена Владимировна"/>
        <s v="Комарова Наталья Романовна"/>
        <s v="Яковлева Анастасия Антоновна"/>
        <s v="Борисова Алина Олеговна"/>
        <s v="Егорова Татьяна Ильинична"/>
        <s v="Павлов Федор Романович"/>
        <s v="Макарова Валерия Игоревна"/>
        <s v="Борисов Алексей Олегович"/>
        <s v="Козлова Ксения Дмитриевна"/>
        <s v="Алексеев Олег Олегович"/>
        <s v="Никитина Юлия Павловна"/>
        <s v="Воробьев Иван Игоревич"/>
        <s v="Сергеева Наталья Николаевна"/>
        <s v="Григорьев Дмитрий Андреевич"/>
        <s v="Морозов Вадим Федорович"/>
        <s v="Воробьева Ирина Андреевна"/>
        <s v="Смирнова Надежда Денисовна"/>
        <s v="Воробьев Иван Антонович"/>
        <s v="Андреева Валерия Викторовна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5"/>
    </cacheField>
    <cacheField name="Сумма сделки" numFmtId="3">
      <sharedItems containsSemiMixedTypes="0" containsString="0" containsNumber="1" containsInteger="1" minValue="5200" maxValue="66138"/>
    </cacheField>
    <cacheField name="Дни (Дата сделки)" numFmtId="0" databaseField="0">
      <fieldGroup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Месяцы (Дата сделки)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" refreshedDate="46299.553940972219" createdVersion="8" refreshedVersion="8" minRefreshableVersion="3" recordCount="2617" xr:uid="{E2ADD442-40F4-4C4D-8D0A-EEE418803518}">
  <cacheSource type="worksheet">
    <worksheetSource ref="A1:E2618" sheet="ABC клиенты"/>
  </cacheSource>
  <cacheFields count="5">
    <cacheField name="ФИО менеджера" numFmtId="0">
      <sharedItems/>
    </cacheField>
    <cacheField name="ФИО клиента" numFmtId="0">
      <sharedItems count="237">
        <s v="Григорьева Полина Денисовна"/>
        <s v="Смирнова Елена Михайловна"/>
        <s v="Морозова Софья Игоревна"/>
        <s v="Андреева Анна Антоновна"/>
        <s v="Алексеева Наталья Алексеевна"/>
        <s v="Козлова Алина Владимировна"/>
        <s v="Сидорова Софья Юрьевна"/>
        <s v="Морозова Ольга Романовна"/>
        <s v="Соловьева Анастасия Игоревна"/>
        <s v="Волков Николай Ильич"/>
        <s v="Сидорова Мария Николаевна"/>
        <s v="Соколова Ирина Федоровна"/>
        <s v="Волкова Ирина Владимировна"/>
        <s v="Козлов Александр Федорович"/>
        <s v="Козлов Федор Борисович"/>
        <s v="Баранов Владимир Ильич"/>
        <s v="Степанова Светлана Игоревна"/>
        <s v="Ковалева Алина Андреевна"/>
        <s v="Захарова Людмила Ивановна"/>
        <s v="Белов Алексей Артемович"/>
        <s v="Алексеева Надежда Романовна"/>
        <s v="Романов Евгений Денисович"/>
        <s v="Иванов Антон Павлович"/>
        <s v="Сидорова Марина Алексеевна"/>
        <s v="Захаров Николай Сергеевич"/>
        <s v="Степанов Сергей Игоревич"/>
        <s v="Семенова Екатерина Владимировна"/>
        <s v="Соловьева Александра Антоновна"/>
        <s v="Алексеев Кирилл Иванович"/>
        <s v="Морозов Павел Евгеньевич"/>
        <s v="Петров Владимир Павлович"/>
        <s v="Семенова Ирина Алексеевна"/>
        <s v="Воробьева Мария Александровна"/>
        <s v="Иванова Екатерина Николаевна"/>
        <s v="Орлова Татьяна Александровна"/>
        <s v="Морозов Вадим Дмитриевич"/>
        <s v="Петрова Мария Андреевна"/>
        <s v="Никитин Илья Романович"/>
        <s v="Зайцев Сергей Игоревич"/>
        <s v="Зайцева Ксения Игоревна"/>
        <s v="Комарова Марина Андреевна"/>
        <s v="Яковлев Антон Антонович"/>
        <s v="Лебедев Федор Антонович"/>
        <s v="Степанов Антон Игоревич"/>
        <s v="Петров Николай Игоревич"/>
        <s v="Павлов Виктор Антонович"/>
        <s v="Смирнов Федор Ильич"/>
        <s v="Соловьева Валерия Ильинична"/>
        <s v="Баранов Степан Михайлович"/>
        <s v="Николаева Полина Дмитриевна"/>
        <s v="Сидоров Игорь Романович"/>
        <s v="Смирнов Максим Романович"/>
        <s v="Куликова Ольга Олеговна"/>
        <s v="Баранов Степан Артемович"/>
        <s v="Смирнова Анна Алексеевна"/>
        <s v="Комарова Екатерина Игоревна"/>
        <s v="Белова Марина Николаевна"/>
        <s v="Егорова Софья Олеговна"/>
        <s v="Куликов Вадим Владимирович"/>
        <s v="Михайлова Софья Юрьевна"/>
        <s v="Ковалева Екатерина Олеговна"/>
        <s v="Алексеев Вадим Романович"/>
        <s v="Новикова Полина Павловна"/>
        <s v="Павлова Надежда Михайловна"/>
        <s v="Захаров Виктор Евгеньевич"/>
        <s v="Захарова Мария Игоревна"/>
        <s v="Макарова Дарья Игоревна"/>
        <s v="Ковалева Виктория Евгеньевна"/>
        <s v="Попова Марина Владимировна"/>
        <s v="Григорьев Илья Михайлович"/>
        <s v="Зайцев Михаил Кириллович"/>
        <s v="Михайлов Вадим Игоревич"/>
        <s v="Григорьев Виктор Евгеньевич"/>
        <s v="Никитина Наталья Михайловна"/>
        <s v="Козлов Илья Александрович"/>
        <s v="Степанов Игорь Антонович"/>
        <s v="Новиков Максим Евгеньевич"/>
        <s v="Борисова Софья Павловна"/>
        <s v="Смирнов Александр Иванович"/>
        <s v="Борисов Евгений Сергеевич"/>
        <s v="Воробьева Анна Ивановна"/>
        <s v="Романова Екатерина Викторовна"/>
        <s v="Николаев Виктор Дмитриевич"/>
        <s v="Волков Михаил Федорович"/>
        <s v="Лебедев Роман Денисович"/>
        <s v="Сидоров Иван Александрович"/>
        <s v="Иванов Степан Владимирович"/>
        <s v="Иванов Михаил Олегович"/>
        <s v="Баранов Евгений Ильич"/>
        <s v="Николаев Павел Владимирович"/>
        <s v="Кузнецов Вадим Иванович"/>
        <s v="Павлова Софья Владимировна"/>
        <s v="Соловьев Владимир Романович"/>
        <s v="Макаров Виктор Дмитриевич"/>
        <s v="Волков Илья Антонович"/>
        <s v="Григорьева Наталья Антоновна"/>
        <s v="Романова Алина Павловна"/>
        <s v="Григорьев Павел Романович"/>
        <s v="Петров Илья Сергеевич"/>
        <s v="Соколова Анастасия Михайловна"/>
        <s v="Ковалев Федор Павлович"/>
        <s v="Петров Игорь Денисович"/>
        <s v="Андреев Иван Викторович"/>
        <s v="Павлова Ольга Александровна"/>
        <s v="Степанова Ольга Александровна"/>
        <s v="Куликова Александра Денисовна"/>
        <s v="Михайлов Николай Ильич"/>
        <s v="Куликов Иван Борисович"/>
        <s v="Морозов Игорь Борисович"/>
        <s v="Лебедев Юрий Олегович"/>
        <s v="Белова Наталья Сергеевна"/>
        <s v="Морозова Елена Максимовна"/>
        <s v="Андреева Ольга Андреевна"/>
        <s v="Васильева Ксения Антоновна"/>
        <s v="Сидорова Марина Федоровна"/>
        <s v="Кузнецова Наталья Николаевна"/>
        <s v="Михайлов Федор Александрович"/>
        <s v="Макаров Артем Алексеевич"/>
        <s v="Семенов Вадим Михайлович"/>
        <s v="Петрова Марина Ивановна"/>
        <s v="Попов Артем Дмитриевич"/>
        <s v="Смирнов Владимир Олегович"/>
        <s v="Егоров Алексей Михайлович"/>
        <s v="Егоров Илья Иванович"/>
        <s v="Семенова Марина Евгеньевна"/>
        <s v="Смирнова Надежда Максимовна"/>
        <s v="Лебедев Игорь Александрович"/>
        <s v="Борисова Наталья Евгеньевна"/>
        <s v="Волкова Екатерина Александровна"/>
        <s v="Козлов Олег Романович"/>
        <s v="Андреева Ольга Павловна"/>
        <s v="Захаров Никита Борисович"/>
        <s v="Зайцев Никита Дмитриевич"/>
        <s v="Кузнецов Роман Павлович"/>
        <s v="Баранова Ксения Ивановна"/>
        <s v="Тарасов Борис Александрович"/>
        <s v="Козлов Юрий Федорович"/>
        <s v="Попова Юлия Ивановна"/>
        <s v="Егоров Степан Антонович"/>
        <s v="Борисова Валерия Антоновна"/>
        <s v="Иванова Ксения Дмитриевна"/>
        <s v="Николаева Наталья Денисовна"/>
        <s v="Романов Виктор Игоревич"/>
        <s v="Зайцев Павел Антонович"/>
        <s v="Ковалев Александр Михайлович"/>
        <s v="Никитин Роман Алексеевич"/>
        <s v="Соловьев Михаил Ильич"/>
        <s v="Петрова Надежда Сергеевна"/>
        <s v="Белова Ирина Олеговна"/>
        <s v="Григорьев Никита Андреевич"/>
        <s v="Федоров Николай Максимович"/>
        <s v="Борисова Анна Игоревна"/>
        <s v="Яковлев Андрей Кириллович"/>
        <s v="Сидорова Надежда Денисовна"/>
        <s v="Степанова Алина Дмитриевна"/>
        <s v="Григорьева Татьяна Ивановна"/>
        <s v="Сергеев Олег Олегович"/>
        <s v="Кузнецова Светлана Максимовна"/>
        <s v="Егоров Вадим Ильич"/>
        <s v="Козлов Андрей Олегович"/>
        <s v="Морозов Никита Федорович"/>
        <s v="Семенова Татьяна Ивановна"/>
        <s v="Григорьева Дарья Алексеевна"/>
        <s v="Макаров Юрий Михайлович"/>
        <s v="Попова Ксения Игоревна"/>
        <s v="Козлов Вадим Владимирович"/>
        <s v="Романов Михаил Ильич"/>
        <s v="Сергеева Людмила Олеговна"/>
        <s v="Макаров Кирилл Иванович"/>
        <s v="Петров Игорь Михайлович"/>
        <s v="Белова Мария Юрьевна"/>
        <s v="Волкова Алина Романовна"/>
        <s v="Ковалев Евгений Дмитриевич"/>
        <s v="Яковлев Антон Владимирович"/>
        <s v="Соловьева Дарья Павловна"/>
        <s v="Петров Борис Игоревич"/>
        <s v="Михайлова Елена Федоровна"/>
        <s v="Николаева Анастасия Игоревна"/>
        <s v="Белова Алина Ильинична"/>
        <s v="Михайлова Ольга Викторовна"/>
        <s v="Васильев Александр Александрович"/>
        <s v="Борисова Валерия Дмитриевна"/>
        <s v="Попова Анна Евгеньевна"/>
        <s v="Захаров Павел Олегович"/>
        <s v="Андреев Дмитрий Иванович"/>
        <s v="Никитина Марина Дмитриевна"/>
        <s v="Воробьев Иван Андреевич"/>
        <s v="Семенов Федор Павлович"/>
        <s v="Сергеева Виктория Викторовна"/>
        <s v="Соловьев Денис Федорович"/>
        <s v="Борисов Сергей Сергеевич"/>
        <s v="Иванов Михаил Романович"/>
        <s v="Лебедев Денис Кириллович"/>
        <s v="Яковлева Валерия Ивановна"/>
        <s v="Волкова Надежда Ильинична"/>
        <s v="Борисова Дарья Сергеевна"/>
        <s v="Сидоров Павел Кириллович"/>
        <s v="Ковалева Татьяна Максимовна"/>
        <s v="Попова Ольга Антоновна"/>
        <s v="Соколова Татьяна Федоровна"/>
        <s v="Алексеева Татьяна Юрьевна"/>
        <s v="Орлов Денис Денисович"/>
        <s v="Комарова Дарья Викторовна"/>
        <s v="Зайцев Александр Ильич"/>
        <s v="Лебедева Юлия Алексеевна"/>
        <s v="Козлов Дмитрий Иванович"/>
        <s v="Тарасов Роман Дмитриевич"/>
        <s v="Соколова Софья Алексеевна"/>
        <s v="Иванова Александра Юрьевна"/>
        <s v="Сергеев Игорь Игоревич"/>
        <s v="Лебедева Софья Юрьевна"/>
        <s v="Новиков Кирилл Викторович"/>
        <s v="Баранова Алина Сергеевна"/>
        <s v="Белова Екатерина Павловна"/>
        <s v="Комарова Юлия Андреевна"/>
        <s v="Степанов Иван Кириллович"/>
        <s v="Романов Антон Дмитриевич"/>
        <s v="Сергеев Иван Федорович"/>
        <s v="Соловьева Елена Владимировна"/>
        <s v="Комарова Наталья Романовна"/>
        <s v="Яковлева Анастасия Антоновна"/>
        <s v="Борисова Алина Олеговна"/>
        <s v="Егорова Татьяна Ильинична"/>
        <s v="Павлов Федор Романович"/>
        <s v="Макарова Валерия Игоревна"/>
        <s v="Борисов Алексей Олегович"/>
        <s v="Козлова Ксения Дмитриевна"/>
        <s v="Алексеев Олег Олегович"/>
        <s v="Никитина Юлия Павловна"/>
        <s v="Воробьев Иван Игоревич"/>
        <s v="Сергеева Наталья Николаевна"/>
        <s v="Григорьев Дмитрий Андреевич"/>
        <s v="Морозов Вадим Федорович"/>
        <s v="Воробьева Ирина Андреевна"/>
        <s v="Смирнова Надежда Денисовна"/>
        <s v="Воробьев Иван Антонович"/>
        <s v="Андреева Валерия Викторовна"/>
      </sharedItems>
    </cacheField>
    <cacheField name="Дата сделки" numFmtId="164">
      <sharedItems containsSemiMixedTypes="0" containsNonDate="0" containsDate="1" containsString="0" minDate="2026-01-01T00:00:00" maxDate="2026-09-01T00:00:00"/>
    </cacheField>
    <cacheField name="Сумма сделки" numFmtId="3">
      <sharedItems containsSemiMixedTypes="0" containsString="0" containsNumber="1" containsInteger="1" minValue="5200" maxValue="66138"/>
    </cacheField>
    <cacheField name="Месяц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7">
  <r>
    <x v="0"/>
    <x v="0"/>
    <x v="0"/>
    <n v="23669"/>
  </r>
  <r>
    <x v="0"/>
    <x v="1"/>
    <x v="0"/>
    <n v="31702"/>
  </r>
  <r>
    <x v="1"/>
    <x v="2"/>
    <x v="0"/>
    <n v="11340"/>
  </r>
  <r>
    <x v="2"/>
    <x v="3"/>
    <x v="0"/>
    <n v="11664"/>
  </r>
  <r>
    <x v="3"/>
    <x v="4"/>
    <x v="0"/>
    <n v="14687"/>
  </r>
  <r>
    <x v="4"/>
    <x v="5"/>
    <x v="0"/>
    <n v="39150"/>
  </r>
  <r>
    <x v="4"/>
    <x v="6"/>
    <x v="0"/>
    <n v="9609"/>
  </r>
  <r>
    <x v="0"/>
    <x v="7"/>
    <x v="1"/>
    <n v="29653"/>
  </r>
  <r>
    <x v="5"/>
    <x v="8"/>
    <x v="1"/>
    <n v="8474"/>
  </r>
  <r>
    <x v="4"/>
    <x v="9"/>
    <x v="1"/>
    <n v="38539"/>
  </r>
  <r>
    <x v="6"/>
    <x v="10"/>
    <x v="1"/>
    <n v="30855"/>
  </r>
  <r>
    <x v="6"/>
    <x v="11"/>
    <x v="1"/>
    <n v="47320"/>
  </r>
  <r>
    <x v="7"/>
    <x v="12"/>
    <x v="1"/>
    <n v="53081"/>
  </r>
  <r>
    <x v="7"/>
    <x v="13"/>
    <x v="1"/>
    <n v="48838"/>
  </r>
  <r>
    <x v="7"/>
    <x v="14"/>
    <x v="1"/>
    <n v="49009"/>
  </r>
  <r>
    <x v="7"/>
    <x v="1"/>
    <x v="1"/>
    <n v="40203"/>
  </r>
  <r>
    <x v="0"/>
    <x v="15"/>
    <x v="2"/>
    <n v="7030"/>
  </r>
  <r>
    <x v="0"/>
    <x v="16"/>
    <x v="2"/>
    <n v="22347"/>
  </r>
  <r>
    <x v="5"/>
    <x v="17"/>
    <x v="2"/>
    <n v="26765"/>
  </r>
  <r>
    <x v="8"/>
    <x v="18"/>
    <x v="2"/>
    <n v="9697"/>
  </r>
  <r>
    <x v="3"/>
    <x v="19"/>
    <x v="2"/>
    <n v="19022"/>
  </r>
  <r>
    <x v="9"/>
    <x v="20"/>
    <x v="2"/>
    <n v="27885"/>
  </r>
  <r>
    <x v="10"/>
    <x v="21"/>
    <x v="2"/>
    <n v="14801"/>
  </r>
  <r>
    <x v="6"/>
    <x v="22"/>
    <x v="2"/>
    <n v="38182"/>
  </r>
  <r>
    <x v="6"/>
    <x v="23"/>
    <x v="2"/>
    <n v="33655"/>
  </r>
  <r>
    <x v="7"/>
    <x v="24"/>
    <x v="2"/>
    <n v="47115"/>
  </r>
  <r>
    <x v="7"/>
    <x v="25"/>
    <x v="2"/>
    <n v="48000"/>
  </r>
  <r>
    <x v="0"/>
    <x v="26"/>
    <x v="3"/>
    <n v="7009"/>
  </r>
  <r>
    <x v="11"/>
    <x v="27"/>
    <x v="3"/>
    <n v="14238"/>
  </r>
  <r>
    <x v="12"/>
    <x v="28"/>
    <x v="3"/>
    <n v="11165"/>
  </r>
  <r>
    <x v="9"/>
    <x v="29"/>
    <x v="3"/>
    <n v="17035"/>
  </r>
  <r>
    <x v="4"/>
    <x v="30"/>
    <x v="3"/>
    <n v="19433"/>
  </r>
  <r>
    <x v="4"/>
    <x v="31"/>
    <x v="3"/>
    <n v="7267"/>
  </r>
  <r>
    <x v="6"/>
    <x v="32"/>
    <x v="3"/>
    <n v="32204"/>
  </r>
  <r>
    <x v="7"/>
    <x v="33"/>
    <x v="3"/>
    <n v="34177"/>
  </r>
  <r>
    <x v="7"/>
    <x v="34"/>
    <x v="3"/>
    <n v="48645"/>
  </r>
  <r>
    <x v="13"/>
    <x v="35"/>
    <x v="4"/>
    <n v="8917"/>
  </r>
  <r>
    <x v="8"/>
    <x v="36"/>
    <x v="4"/>
    <n v="19694"/>
  </r>
  <r>
    <x v="6"/>
    <x v="37"/>
    <x v="4"/>
    <n v="28094"/>
  </r>
  <r>
    <x v="7"/>
    <x v="38"/>
    <x v="4"/>
    <n v="55787"/>
  </r>
  <r>
    <x v="7"/>
    <x v="39"/>
    <x v="4"/>
    <n v="28935"/>
  </r>
  <r>
    <x v="7"/>
    <x v="14"/>
    <x v="4"/>
    <n v="34285"/>
  </r>
  <r>
    <x v="7"/>
    <x v="40"/>
    <x v="4"/>
    <n v="27476"/>
  </r>
  <r>
    <x v="7"/>
    <x v="41"/>
    <x v="4"/>
    <n v="20629"/>
  </r>
  <r>
    <x v="0"/>
    <x v="42"/>
    <x v="5"/>
    <n v="31439"/>
  </r>
  <r>
    <x v="11"/>
    <x v="43"/>
    <x v="5"/>
    <n v="17182"/>
  </r>
  <r>
    <x v="8"/>
    <x v="44"/>
    <x v="5"/>
    <n v="15522"/>
  </r>
  <r>
    <x v="9"/>
    <x v="45"/>
    <x v="5"/>
    <n v="26791"/>
  </r>
  <r>
    <x v="14"/>
    <x v="46"/>
    <x v="5"/>
    <n v="12631"/>
  </r>
  <r>
    <x v="4"/>
    <x v="47"/>
    <x v="5"/>
    <n v="26113"/>
  </r>
  <r>
    <x v="7"/>
    <x v="48"/>
    <x v="5"/>
    <n v="31463"/>
  </r>
  <r>
    <x v="7"/>
    <x v="33"/>
    <x v="5"/>
    <n v="40304"/>
  </r>
  <r>
    <x v="7"/>
    <x v="49"/>
    <x v="5"/>
    <n v="58773"/>
  </r>
  <r>
    <x v="7"/>
    <x v="34"/>
    <x v="5"/>
    <n v="39904"/>
  </r>
  <r>
    <x v="7"/>
    <x v="50"/>
    <x v="5"/>
    <n v="32515"/>
  </r>
  <r>
    <x v="7"/>
    <x v="51"/>
    <x v="5"/>
    <n v="57276"/>
  </r>
  <r>
    <x v="15"/>
    <x v="52"/>
    <x v="6"/>
    <n v="12199"/>
  </r>
  <r>
    <x v="0"/>
    <x v="53"/>
    <x v="6"/>
    <n v="51900"/>
  </r>
  <r>
    <x v="14"/>
    <x v="54"/>
    <x v="6"/>
    <n v="11328"/>
  </r>
  <r>
    <x v="6"/>
    <x v="55"/>
    <x v="6"/>
    <n v="21359"/>
  </r>
  <r>
    <x v="7"/>
    <x v="56"/>
    <x v="6"/>
    <n v="28208"/>
  </r>
  <r>
    <x v="7"/>
    <x v="57"/>
    <x v="6"/>
    <n v="48671"/>
  </r>
  <r>
    <x v="7"/>
    <x v="38"/>
    <x v="6"/>
    <n v="44820"/>
  </r>
  <r>
    <x v="7"/>
    <x v="58"/>
    <x v="6"/>
    <n v="27095"/>
  </r>
  <r>
    <x v="7"/>
    <x v="59"/>
    <x v="6"/>
    <n v="39491"/>
  </r>
  <r>
    <x v="7"/>
    <x v="51"/>
    <x v="6"/>
    <n v="44782"/>
  </r>
  <r>
    <x v="0"/>
    <x v="60"/>
    <x v="7"/>
    <n v="29767"/>
  </r>
  <r>
    <x v="11"/>
    <x v="61"/>
    <x v="7"/>
    <n v="13737"/>
  </r>
  <r>
    <x v="1"/>
    <x v="62"/>
    <x v="7"/>
    <n v="11899"/>
  </r>
  <r>
    <x v="8"/>
    <x v="63"/>
    <x v="7"/>
    <n v="5200"/>
  </r>
  <r>
    <x v="9"/>
    <x v="64"/>
    <x v="7"/>
    <n v="16659"/>
  </r>
  <r>
    <x v="14"/>
    <x v="65"/>
    <x v="7"/>
    <n v="5200"/>
  </r>
  <r>
    <x v="4"/>
    <x v="66"/>
    <x v="7"/>
    <n v="6843"/>
  </r>
  <r>
    <x v="7"/>
    <x v="67"/>
    <x v="7"/>
    <n v="48670"/>
  </r>
  <r>
    <x v="7"/>
    <x v="68"/>
    <x v="7"/>
    <n v="37671"/>
  </r>
  <r>
    <x v="16"/>
    <x v="69"/>
    <x v="8"/>
    <n v="10652"/>
  </r>
  <r>
    <x v="0"/>
    <x v="70"/>
    <x v="8"/>
    <n v="27572"/>
  </r>
  <r>
    <x v="0"/>
    <x v="71"/>
    <x v="8"/>
    <n v="23255"/>
  </r>
  <r>
    <x v="11"/>
    <x v="72"/>
    <x v="8"/>
    <n v="5200"/>
  </r>
  <r>
    <x v="3"/>
    <x v="73"/>
    <x v="8"/>
    <n v="11993"/>
  </r>
  <r>
    <x v="9"/>
    <x v="74"/>
    <x v="8"/>
    <n v="18320"/>
  </r>
  <r>
    <x v="9"/>
    <x v="75"/>
    <x v="8"/>
    <n v="17727"/>
  </r>
  <r>
    <x v="6"/>
    <x v="76"/>
    <x v="8"/>
    <n v="46384"/>
  </r>
  <r>
    <x v="7"/>
    <x v="77"/>
    <x v="8"/>
    <n v="35355"/>
  </r>
  <r>
    <x v="7"/>
    <x v="78"/>
    <x v="8"/>
    <n v="37524"/>
  </r>
  <r>
    <x v="16"/>
    <x v="79"/>
    <x v="9"/>
    <n v="13700"/>
  </r>
  <r>
    <x v="0"/>
    <x v="80"/>
    <x v="9"/>
    <n v="6117"/>
  </r>
  <r>
    <x v="0"/>
    <x v="81"/>
    <x v="9"/>
    <n v="44034"/>
  </r>
  <r>
    <x v="11"/>
    <x v="82"/>
    <x v="9"/>
    <n v="12745"/>
  </r>
  <r>
    <x v="8"/>
    <x v="83"/>
    <x v="9"/>
    <n v="13392"/>
  </r>
  <r>
    <x v="2"/>
    <x v="84"/>
    <x v="9"/>
    <n v="10633"/>
  </r>
  <r>
    <x v="3"/>
    <x v="85"/>
    <x v="9"/>
    <n v="14195"/>
  </r>
  <r>
    <x v="9"/>
    <x v="86"/>
    <x v="9"/>
    <n v="17202"/>
  </r>
  <r>
    <x v="4"/>
    <x v="87"/>
    <x v="9"/>
    <n v="16289"/>
  </r>
  <r>
    <x v="6"/>
    <x v="88"/>
    <x v="9"/>
    <n v="35669"/>
  </r>
  <r>
    <x v="6"/>
    <x v="89"/>
    <x v="9"/>
    <n v="22592"/>
  </r>
  <r>
    <x v="7"/>
    <x v="67"/>
    <x v="9"/>
    <n v="30810"/>
  </r>
  <r>
    <x v="7"/>
    <x v="90"/>
    <x v="9"/>
    <n v="55158"/>
  </r>
  <r>
    <x v="7"/>
    <x v="42"/>
    <x v="9"/>
    <n v="29935"/>
  </r>
  <r>
    <x v="7"/>
    <x v="34"/>
    <x v="9"/>
    <n v="48213"/>
  </r>
  <r>
    <x v="0"/>
    <x v="91"/>
    <x v="10"/>
    <n v="23190"/>
  </r>
  <r>
    <x v="3"/>
    <x v="92"/>
    <x v="10"/>
    <n v="15736"/>
  </r>
  <r>
    <x v="6"/>
    <x v="93"/>
    <x v="10"/>
    <n v="45620"/>
  </r>
  <r>
    <x v="7"/>
    <x v="48"/>
    <x v="10"/>
    <n v="39256"/>
  </r>
  <r>
    <x v="7"/>
    <x v="34"/>
    <x v="10"/>
    <n v="42770"/>
  </r>
  <r>
    <x v="16"/>
    <x v="94"/>
    <x v="11"/>
    <n v="12316"/>
  </r>
  <r>
    <x v="0"/>
    <x v="95"/>
    <x v="11"/>
    <n v="36121"/>
  </r>
  <r>
    <x v="0"/>
    <x v="96"/>
    <x v="11"/>
    <n v="22573"/>
  </r>
  <r>
    <x v="5"/>
    <x v="97"/>
    <x v="11"/>
    <n v="13424"/>
  </r>
  <r>
    <x v="5"/>
    <x v="98"/>
    <x v="11"/>
    <n v="11887"/>
  </r>
  <r>
    <x v="11"/>
    <x v="99"/>
    <x v="11"/>
    <n v="30073"/>
  </r>
  <r>
    <x v="14"/>
    <x v="100"/>
    <x v="11"/>
    <n v="10903"/>
  </r>
  <r>
    <x v="14"/>
    <x v="101"/>
    <x v="11"/>
    <n v="11842"/>
  </r>
  <r>
    <x v="4"/>
    <x v="102"/>
    <x v="11"/>
    <n v="5222"/>
  </r>
  <r>
    <x v="6"/>
    <x v="22"/>
    <x v="11"/>
    <n v="37694"/>
  </r>
  <r>
    <x v="6"/>
    <x v="103"/>
    <x v="11"/>
    <n v="37745"/>
  </r>
  <r>
    <x v="6"/>
    <x v="103"/>
    <x v="11"/>
    <n v="39005"/>
  </r>
  <r>
    <x v="6"/>
    <x v="104"/>
    <x v="11"/>
    <n v="30799"/>
  </r>
  <r>
    <x v="6"/>
    <x v="104"/>
    <x v="11"/>
    <n v="34201"/>
  </r>
  <r>
    <x v="7"/>
    <x v="38"/>
    <x v="11"/>
    <n v="44491"/>
  </r>
  <r>
    <x v="7"/>
    <x v="105"/>
    <x v="11"/>
    <n v="47254"/>
  </r>
  <r>
    <x v="0"/>
    <x v="106"/>
    <x v="12"/>
    <n v="28178"/>
  </r>
  <r>
    <x v="1"/>
    <x v="107"/>
    <x v="12"/>
    <n v="10607"/>
  </r>
  <r>
    <x v="2"/>
    <x v="108"/>
    <x v="12"/>
    <n v="11234"/>
  </r>
  <r>
    <x v="14"/>
    <x v="109"/>
    <x v="12"/>
    <n v="5200"/>
  </r>
  <r>
    <x v="6"/>
    <x v="110"/>
    <x v="12"/>
    <n v="29501"/>
  </r>
  <r>
    <x v="6"/>
    <x v="111"/>
    <x v="12"/>
    <n v="38303"/>
  </r>
  <r>
    <x v="7"/>
    <x v="112"/>
    <x v="12"/>
    <n v="45941"/>
  </r>
  <r>
    <x v="7"/>
    <x v="56"/>
    <x v="12"/>
    <n v="33727"/>
  </r>
  <r>
    <x v="7"/>
    <x v="77"/>
    <x v="12"/>
    <n v="35115"/>
  </r>
  <r>
    <x v="7"/>
    <x v="113"/>
    <x v="12"/>
    <n v="27078"/>
  </r>
  <r>
    <x v="7"/>
    <x v="39"/>
    <x v="12"/>
    <n v="45470"/>
  </r>
  <r>
    <x v="16"/>
    <x v="114"/>
    <x v="13"/>
    <n v="12119"/>
  </r>
  <r>
    <x v="17"/>
    <x v="115"/>
    <x v="13"/>
    <n v="11063"/>
  </r>
  <r>
    <x v="4"/>
    <x v="116"/>
    <x v="13"/>
    <n v="18334"/>
  </r>
  <r>
    <x v="6"/>
    <x v="117"/>
    <x v="13"/>
    <n v="41353"/>
  </r>
  <r>
    <x v="7"/>
    <x v="118"/>
    <x v="13"/>
    <n v="38004"/>
  </r>
  <r>
    <x v="16"/>
    <x v="119"/>
    <x v="14"/>
    <n v="5200"/>
  </r>
  <r>
    <x v="1"/>
    <x v="120"/>
    <x v="14"/>
    <n v="22502"/>
  </r>
  <r>
    <x v="4"/>
    <x v="121"/>
    <x v="14"/>
    <n v="20928"/>
  </r>
  <r>
    <x v="6"/>
    <x v="122"/>
    <x v="14"/>
    <n v="41622"/>
  </r>
  <r>
    <x v="6"/>
    <x v="123"/>
    <x v="14"/>
    <n v="31846"/>
  </r>
  <r>
    <x v="6"/>
    <x v="118"/>
    <x v="14"/>
    <n v="41007"/>
  </r>
  <r>
    <x v="6"/>
    <x v="124"/>
    <x v="14"/>
    <n v="48337"/>
  </r>
  <r>
    <x v="6"/>
    <x v="51"/>
    <x v="14"/>
    <n v="55392"/>
  </r>
  <r>
    <x v="6"/>
    <x v="125"/>
    <x v="14"/>
    <n v="40569"/>
  </r>
  <r>
    <x v="7"/>
    <x v="77"/>
    <x v="14"/>
    <n v="44660"/>
  </r>
  <r>
    <x v="7"/>
    <x v="49"/>
    <x v="14"/>
    <n v="48392"/>
  </r>
  <r>
    <x v="0"/>
    <x v="126"/>
    <x v="15"/>
    <n v="32072"/>
  </r>
  <r>
    <x v="7"/>
    <x v="127"/>
    <x v="15"/>
    <n v="28364"/>
  </r>
  <r>
    <x v="7"/>
    <x v="77"/>
    <x v="15"/>
    <n v="46156"/>
  </r>
  <r>
    <x v="7"/>
    <x v="128"/>
    <x v="15"/>
    <n v="26723"/>
  </r>
  <r>
    <x v="7"/>
    <x v="129"/>
    <x v="15"/>
    <n v="56083"/>
  </r>
  <r>
    <x v="7"/>
    <x v="49"/>
    <x v="15"/>
    <n v="50730"/>
  </r>
  <r>
    <x v="16"/>
    <x v="130"/>
    <x v="16"/>
    <n v="7140"/>
  </r>
  <r>
    <x v="0"/>
    <x v="131"/>
    <x v="16"/>
    <n v="26852"/>
  </r>
  <r>
    <x v="11"/>
    <x v="132"/>
    <x v="16"/>
    <n v="13261"/>
  </r>
  <r>
    <x v="6"/>
    <x v="133"/>
    <x v="16"/>
    <n v="45230"/>
  </r>
  <r>
    <x v="7"/>
    <x v="134"/>
    <x v="16"/>
    <n v="47151"/>
  </r>
  <r>
    <x v="7"/>
    <x v="12"/>
    <x v="16"/>
    <n v="51958"/>
  </r>
  <r>
    <x v="7"/>
    <x v="33"/>
    <x v="16"/>
    <n v="52124"/>
  </r>
  <r>
    <x v="7"/>
    <x v="135"/>
    <x v="16"/>
    <n v="45844"/>
  </r>
  <r>
    <x v="0"/>
    <x v="136"/>
    <x v="17"/>
    <n v="21609"/>
  </r>
  <r>
    <x v="0"/>
    <x v="137"/>
    <x v="17"/>
    <n v="24544"/>
  </r>
  <r>
    <x v="1"/>
    <x v="138"/>
    <x v="17"/>
    <n v="11913"/>
  </r>
  <r>
    <x v="9"/>
    <x v="139"/>
    <x v="17"/>
    <n v="18609"/>
  </r>
  <r>
    <x v="4"/>
    <x v="140"/>
    <x v="17"/>
    <n v="18274"/>
  </r>
  <r>
    <x v="4"/>
    <x v="141"/>
    <x v="17"/>
    <n v="23641"/>
  </r>
  <r>
    <x v="6"/>
    <x v="142"/>
    <x v="17"/>
    <n v="29919"/>
  </r>
  <r>
    <x v="7"/>
    <x v="40"/>
    <x v="17"/>
    <n v="34005"/>
  </r>
  <r>
    <x v="7"/>
    <x v="78"/>
    <x v="17"/>
    <n v="40078"/>
  </r>
  <r>
    <x v="16"/>
    <x v="143"/>
    <x v="18"/>
    <n v="10184"/>
  </r>
  <r>
    <x v="0"/>
    <x v="144"/>
    <x v="18"/>
    <n v="26597"/>
  </r>
  <r>
    <x v="0"/>
    <x v="136"/>
    <x v="18"/>
    <n v="21531"/>
  </r>
  <r>
    <x v="0"/>
    <x v="145"/>
    <x v="18"/>
    <n v="28977"/>
  </r>
  <r>
    <x v="5"/>
    <x v="146"/>
    <x v="18"/>
    <n v="18739"/>
  </r>
  <r>
    <x v="11"/>
    <x v="147"/>
    <x v="18"/>
    <n v="17497"/>
  </r>
  <r>
    <x v="4"/>
    <x v="148"/>
    <x v="18"/>
    <n v="18278"/>
  </r>
  <r>
    <x v="4"/>
    <x v="149"/>
    <x v="18"/>
    <n v="22658"/>
  </r>
  <r>
    <x v="4"/>
    <x v="81"/>
    <x v="18"/>
    <n v="45135"/>
  </r>
  <r>
    <x v="4"/>
    <x v="150"/>
    <x v="18"/>
    <n v="22141"/>
  </r>
  <r>
    <x v="6"/>
    <x v="151"/>
    <x v="18"/>
    <n v="27527"/>
  </r>
  <r>
    <x v="6"/>
    <x v="24"/>
    <x v="18"/>
    <n v="48009"/>
  </r>
  <r>
    <x v="6"/>
    <x v="22"/>
    <x v="18"/>
    <n v="27978"/>
  </r>
  <r>
    <x v="7"/>
    <x v="24"/>
    <x v="18"/>
    <n v="43764"/>
  </r>
  <r>
    <x v="7"/>
    <x v="152"/>
    <x v="18"/>
    <n v="46918"/>
  </r>
  <r>
    <x v="8"/>
    <x v="153"/>
    <x v="19"/>
    <n v="15435"/>
  </r>
  <r>
    <x v="2"/>
    <x v="154"/>
    <x v="19"/>
    <n v="11591"/>
  </r>
  <r>
    <x v="3"/>
    <x v="155"/>
    <x v="19"/>
    <n v="9389"/>
  </r>
  <r>
    <x v="9"/>
    <x v="156"/>
    <x v="19"/>
    <n v="19004"/>
  </r>
  <r>
    <x v="14"/>
    <x v="157"/>
    <x v="19"/>
    <n v="11857"/>
  </r>
  <r>
    <x v="6"/>
    <x v="37"/>
    <x v="19"/>
    <n v="32415"/>
  </r>
  <r>
    <x v="7"/>
    <x v="77"/>
    <x v="19"/>
    <n v="50350"/>
  </r>
  <r>
    <x v="7"/>
    <x v="158"/>
    <x v="19"/>
    <n v="46255"/>
  </r>
  <r>
    <x v="7"/>
    <x v="159"/>
    <x v="19"/>
    <n v="36569"/>
  </r>
  <r>
    <x v="7"/>
    <x v="160"/>
    <x v="19"/>
    <n v="23196"/>
  </r>
  <r>
    <x v="7"/>
    <x v="161"/>
    <x v="19"/>
    <n v="32525"/>
  </r>
  <r>
    <x v="7"/>
    <x v="152"/>
    <x v="19"/>
    <n v="36055"/>
  </r>
  <r>
    <x v="16"/>
    <x v="162"/>
    <x v="20"/>
    <n v="12229"/>
  </r>
  <r>
    <x v="11"/>
    <x v="163"/>
    <x v="20"/>
    <n v="14539"/>
  </r>
  <r>
    <x v="11"/>
    <x v="164"/>
    <x v="20"/>
    <n v="12898"/>
  </r>
  <r>
    <x v="8"/>
    <x v="165"/>
    <x v="20"/>
    <n v="12199"/>
  </r>
  <r>
    <x v="9"/>
    <x v="166"/>
    <x v="20"/>
    <n v="21865"/>
  </r>
  <r>
    <x v="9"/>
    <x v="167"/>
    <x v="20"/>
    <n v="13217"/>
  </r>
  <r>
    <x v="6"/>
    <x v="168"/>
    <x v="20"/>
    <n v="43488"/>
  </r>
  <r>
    <x v="6"/>
    <x v="169"/>
    <x v="20"/>
    <n v="35008"/>
  </r>
  <r>
    <x v="7"/>
    <x v="170"/>
    <x v="20"/>
    <n v="49366"/>
  </r>
  <r>
    <x v="7"/>
    <x v="171"/>
    <x v="20"/>
    <n v="41238"/>
  </r>
  <r>
    <x v="7"/>
    <x v="24"/>
    <x v="20"/>
    <n v="41259"/>
  </r>
  <r>
    <x v="7"/>
    <x v="68"/>
    <x v="20"/>
    <n v="27927"/>
  </r>
  <r>
    <x v="0"/>
    <x v="172"/>
    <x v="21"/>
    <n v="34493"/>
  </r>
  <r>
    <x v="0"/>
    <x v="173"/>
    <x v="21"/>
    <n v="53529"/>
  </r>
  <r>
    <x v="2"/>
    <x v="174"/>
    <x v="21"/>
    <n v="12139"/>
  </r>
  <r>
    <x v="3"/>
    <x v="175"/>
    <x v="21"/>
    <n v="23917"/>
  </r>
  <r>
    <x v="14"/>
    <x v="176"/>
    <x v="21"/>
    <n v="5200"/>
  </r>
  <r>
    <x v="4"/>
    <x v="177"/>
    <x v="21"/>
    <n v="21523"/>
  </r>
  <r>
    <x v="7"/>
    <x v="105"/>
    <x v="21"/>
    <n v="58623"/>
  </r>
  <r>
    <x v="7"/>
    <x v="59"/>
    <x v="21"/>
    <n v="53424"/>
  </r>
  <r>
    <x v="7"/>
    <x v="135"/>
    <x v="21"/>
    <n v="39216"/>
  </r>
  <r>
    <x v="0"/>
    <x v="178"/>
    <x v="22"/>
    <n v="13407"/>
  </r>
  <r>
    <x v="11"/>
    <x v="179"/>
    <x v="22"/>
    <n v="13370"/>
  </r>
  <r>
    <x v="18"/>
    <x v="180"/>
    <x v="22"/>
    <n v="10783"/>
  </r>
  <r>
    <x v="12"/>
    <x v="181"/>
    <x v="22"/>
    <n v="11883"/>
  </r>
  <r>
    <x v="9"/>
    <x v="182"/>
    <x v="22"/>
    <n v="20762"/>
  </r>
  <r>
    <x v="19"/>
    <x v="183"/>
    <x v="22"/>
    <n v="10033"/>
  </r>
  <r>
    <x v="4"/>
    <x v="184"/>
    <x v="22"/>
    <n v="24947"/>
  </r>
  <r>
    <x v="4"/>
    <x v="185"/>
    <x v="22"/>
    <n v="10025"/>
  </r>
  <r>
    <x v="6"/>
    <x v="186"/>
    <x v="22"/>
    <n v="45757"/>
  </r>
  <r>
    <x v="7"/>
    <x v="129"/>
    <x v="22"/>
    <n v="51374"/>
  </r>
  <r>
    <x v="8"/>
    <x v="187"/>
    <x v="23"/>
    <n v="8679"/>
  </r>
  <r>
    <x v="3"/>
    <x v="188"/>
    <x v="23"/>
    <n v="5200"/>
  </r>
  <r>
    <x v="4"/>
    <x v="189"/>
    <x v="23"/>
    <n v="22811"/>
  </r>
  <r>
    <x v="6"/>
    <x v="169"/>
    <x v="23"/>
    <n v="40094"/>
  </r>
  <r>
    <x v="7"/>
    <x v="190"/>
    <x v="23"/>
    <n v="31960"/>
  </r>
  <r>
    <x v="7"/>
    <x v="190"/>
    <x v="23"/>
    <n v="37179"/>
  </r>
  <r>
    <x v="7"/>
    <x v="12"/>
    <x v="23"/>
    <n v="41291"/>
  </r>
  <r>
    <x v="7"/>
    <x v="24"/>
    <x v="23"/>
    <n v="34923"/>
  </r>
  <r>
    <x v="7"/>
    <x v="50"/>
    <x v="23"/>
    <n v="47945"/>
  </r>
  <r>
    <x v="0"/>
    <x v="191"/>
    <x v="24"/>
    <n v="27143"/>
  </r>
  <r>
    <x v="0"/>
    <x v="192"/>
    <x v="24"/>
    <n v="20438"/>
  </r>
  <r>
    <x v="0"/>
    <x v="10"/>
    <x v="24"/>
    <n v="24266"/>
  </r>
  <r>
    <x v="1"/>
    <x v="193"/>
    <x v="24"/>
    <n v="22620"/>
  </r>
  <r>
    <x v="4"/>
    <x v="194"/>
    <x v="24"/>
    <n v="35201"/>
  </r>
  <r>
    <x v="6"/>
    <x v="88"/>
    <x v="24"/>
    <n v="31971"/>
  </r>
  <r>
    <x v="7"/>
    <x v="158"/>
    <x v="24"/>
    <n v="35615"/>
  </r>
  <r>
    <x v="7"/>
    <x v="152"/>
    <x v="24"/>
    <n v="44021"/>
  </r>
  <r>
    <x v="0"/>
    <x v="195"/>
    <x v="25"/>
    <n v="13846"/>
  </r>
  <r>
    <x v="3"/>
    <x v="196"/>
    <x v="25"/>
    <n v="6349"/>
  </r>
  <r>
    <x v="6"/>
    <x v="197"/>
    <x v="25"/>
    <n v="13010"/>
  </r>
  <r>
    <x v="6"/>
    <x v="169"/>
    <x v="25"/>
    <n v="34110"/>
  </r>
  <r>
    <x v="7"/>
    <x v="56"/>
    <x v="25"/>
    <n v="34185"/>
  </r>
  <r>
    <x v="7"/>
    <x v="24"/>
    <x v="25"/>
    <n v="45517"/>
  </r>
  <r>
    <x v="7"/>
    <x v="159"/>
    <x v="25"/>
    <n v="37059"/>
  </r>
  <r>
    <x v="7"/>
    <x v="14"/>
    <x v="25"/>
    <n v="47434"/>
  </r>
  <r>
    <x v="7"/>
    <x v="40"/>
    <x v="25"/>
    <n v="27486"/>
  </r>
  <r>
    <x v="7"/>
    <x v="118"/>
    <x v="25"/>
    <n v="38926"/>
  </r>
  <r>
    <x v="3"/>
    <x v="198"/>
    <x v="26"/>
    <n v="14912"/>
  </r>
  <r>
    <x v="12"/>
    <x v="199"/>
    <x v="26"/>
    <n v="11930"/>
  </r>
  <r>
    <x v="19"/>
    <x v="200"/>
    <x v="26"/>
    <n v="9766"/>
  </r>
  <r>
    <x v="4"/>
    <x v="201"/>
    <x v="26"/>
    <n v="23230"/>
  </r>
  <r>
    <x v="6"/>
    <x v="202"/>
    <x v="26"/>
    <n v="44255"/>
  </r>
  <r>
    <x v="7"/>
    <x v="112"/>
    <x v="26"/>
    <n v="32972"/>
  </r>
  <r>
    <x v="7"/>
    <x v="203"/>
    <x v="26"/>
    <n v="47216"/>
  </r>
  <r>
    <x v="7"/>
    <x v="203"/>
    <x v="26"/>
    <n v="39131"/>
  </r>
  <r>
    <x v="7"/>
    <x v="204"/>
    <x v="26"/>
    <n v="48239"/>
  </r>
  <r>
    <x v="7"/>
    <x v="160"/>
    <x v="26"/>
    <n v="30969"/>
  </r>
  <r>
    <x v="16"/>
    <x v="205"/>
    <x v="27"/>
    <n v="5200"/>
  </r>
  <r>
    <x v="0"/>
    <x v="206"/>
    <x v="27"/>
    <n v="30966"/>
  </r>
  <r>
    <x v="1"/>
    <x v="207"/>
    <x v="27"/>
    <n v="8621"/>
  </r>
  <r>
    <x v="8"/>
    <x v="208"/>
    <x v="27"/>
    <n v="14014"/>
  </r>
  <r>
    <x v="8"/>
    <x v="209"/>
    <x v="27"/>
    <n v="19996"/>
  </r>
  <r>
    <x v="3"/>
    <x v="210"/>
    <x v="27"/>
    <n v="24397"/>
  </r>
  <r>
    <x v="3"/>
    <x v="211"/>
    <x v="27"/>
    <n v="15943"/>
  </r>
  <r>
    <x v="9"/>
    <x v="212"/>
    <x v="27"/>
    <n v="28699"/>
  </r>
  <r>
    <x v="9"/>
    <x v="213"/>
    <x v="27"/>
    <n v="17970"/>
  </r>
  <r>
    <x v="9"/>
    <x v="214"/>
    <x v="27"/>
    <n v="16581"/>
  </r>
  <r>
    <x v="9"/>
    <x v="215"/>
    <x v="27"/>
    <n v="16679"/>
  </r>
  <r>
    <x v="6"/>
    <x v="151"/>
    <x v="27"/>
    <n v="33940"/>
  </r>
  <r>
    <x v="6"/>
    <x v="216"/>
    <x v="27"/>
    <n v="29931"/>
  </r>
  <r>
    <x v="7"/>
    <x v="171"/>
    <x v="27"/>
    <n v="34441"/>
  </r>
  <r>
    <x v="7"/>
    <x v="57"/>
    <x v="27"/>
    <n v="32147"/>
  </r>
  <r>
    <x v="7"/>
    <x v="90"/>
    <x v="27"/>
    <n v="41050"/>
  </r>
  <r>
    <x v="7"/>
    <x v="89"/>
    <x v="27"/>
    <n v="33183"/>
  </r>
  <r>
    <x v="7"/>
    <x v="34"/>
    <x v="27"/>
    <n v="38048"/>
  </r>
  <r>
    <x v="7"/>
    <x v="68"/>
    <x v="27"/>
    <n v="30958"/>
  </r>
  <r>
    <x v="7"/>
    <x v="50"/>
    <x v="27"/>
    <n v="47985"/>
  </r>
  <r>
    <x v="15"/>
    <x v="217"/>
    <x v="28"/>
    <n v="11760"/>
  </r>
  <r>
    <x v="0"/>
    <x v="218"/>
    <x v="28"/>
    <n v="51010"/>
  </r>
  <r>
    <x v="11"/>
    <x v="219"/>
    <x v="28"/>
    <n v="15868"/>
  </r>
  <r>
    <x v="3"/>
    <x v="220"/>
    <x v="28"/>
    <n v="15664"/>
  </r>
  <r>
    <x v="19"/>
    <x v="221"/>
    <x v="28"/>
    <n v="5200"/>
  </r>
  <r>
    <x v="6"/>
    <x v="186"/>
    <x v="28"/>
    <n v="33321"/>
  </r>
  <r>
    <x v="6"/>
    <x v="32"/>
    <x v="28"/>
    <n v="26585"/>
  </r>
  <r>
    <x v="6"/>
    <x v="222"/>
    <x v="28"/>
    <n v="40035"/>
  </r>
  <r>
    <x v="7"/>
    <x v="39"/>
    <x v="28"/>
    <n v="38177"/>
  </r>
  <r>
    <x v="7"/>
    <x v="223"/>
    <x v="28"/>
    <n v="52984"/>
  </r>
  <r>
    <x v="7"/>
    <x v="142"/>
    <x v="28"/>
    <n v="21569"/>
  </r>
  <r>
    <x v="7"/>
    <x v="50"/>
    <x v="28"/>
    <n v="40657"/>
  </r>
  <r>
    <x v="7"/>
    <x v="25"/>
    <x v="28"/>
    <n v="44739"/>
  </r>
  <r>
    <x v="13"/>
    <x v="224"/>
    <x v="29"/>
    <n v="5200"/>
  </r>
  <r>
    <x v="11"/>
    <x v="225"/>
    <x v="29"/>
    <n v="13234"/>
  </r>
  <r>
    <x v="3"/>
    <x v="226"/>
    <x v="29"/>
    <n v="15580"/>
  </r>
  <r>
    <x v="4"/>
    <x v="227"/>
    <x v="29"/>
    <n v="23141"/>
  </r>
  <r>
    <x v="4"/>
    <x v="228"/>
    <x v="29"/>
    <n v="20168"/>
  </r>
  <r>
    <x v="6"/>
    <x v="229"/>
    <x v="29"/>
    <n v="56331"/>
  </r>
  <r>
    <x v="7"/>
    <x v="57"/>
    <x v="29"/>
    <n v="39231"/>
  </r>
  <r>
    <x v="7"/>
    <x v="203"/>
    <x v="29"/>
    <n v="48028"/>
  </r>
  <r>
    <x v="7"/>
    <x v="24"/>
    <x v="29"/>
    <n v="40464"/>
  </r>
  <r>
    <x v="7"/>
    <x v="204"/>
    <x v="29"/>
    <n v="40426"/>
  </r>
  <r>
    <x v="7"/>
    <x v="230"/>
    <x v="29"/>
    <n v="23888"/>
  </r>
  <r>
    <x v="11"/>
    <x v="231"/>
    <x v="30"/>
    <n v="14357"/>
  </r>
  <r>
    <x v="1"/>
    <x v="232"/>
    <x v="30"/>
    <n v="8376"/>
  </r>
  <r>
    <x v="8"/>
    <x v="233"/>
    <x v="30"/>
    <n v="13158"/>
  </r>
  <r>
    <x v="3"/>
    <x v="234"/>
    <x v="30"/>
    <n v="20238"/>
  </r>
  <r>
    <x v="12"/>
    <x v="235"/>
    <x v="30"/>
    <n v="12784"/>
  </r>
  <r>
    <x v="6"/>
    <x v="236"/>
    <x v="30"/>
    <n v="46506"/>
  </r>
  <r>
    <x v="6"/>
    <x v="223"/>
    <x v="30"/>
    <n v="52413"/>
  </r>
  <r>
    <x v="7"/>
    <x v="113"/>
    <x v="30"/>
    <n v="36890"/>
  </r>
  <r>
    <x v="7"/>
    <x v="67"/>
    <x v="30"/>
    <n v="35835"/>
  </r>
  <r>
    <x v="7"/>
    <x v="58"/>
    <x v="30"/>
    <n v="39932"/>
  </r>
  <r>
    <x v="7"/>
    <x v="59"/>
    <x v="30"/>
    <n v="41675"/>
  </r>
  <r>
    <x v="16"/>
    <x v="94"/>
    <x v="31"/>
    <n v="12072"/>
  </r>
  <r>
    <x v="0"/>
    <x v="70"/>
    <x v="31"/>
    <n v="28021"/>
  </r>
  <r>
    <x v="5"/>
    <x v="8"/>
    <x v="31"/>
    <n v="9880"/>
  </r>
  <r>
    <x v="11"/>
    <x v="99"/>
    <x v="31"/>
    <n v="11603"/>
  </r>
  <r>
    <x v="12"/>
    <x v="199"/>
    <x v="31"/>
    <n v="12897"/>
  </r>
  <r>
    <x v="4"/>
    <x v="9"/>
    <x v="31"/>
    <n v="6273"/>
  </r>
  <r>
    <x v="6"/>
    <x v="103"/>
    <x v="31"/>
    <n v="37772"/>
  </r>
  <r>
    <x v="6"/>
    <x v="104"/>
    <x v="31"/>
    <n v="23615"/>
  </r>
  <r>
    <x v="7"/>
    <x v="203"/>
    <x v="31"/>
    <n v="55914"/>
  </r>
  <r>
    <x v="7"/>
    <x v="49"/>
    <x v="31"/>
    <n v="46246"/>
  </r>
  <r>
    <x v="7"/>
    <x v="118"/>
    <x v="31"/>
    <n v="42069"/>
  </r>
  <r>
    <x v="7"/>
    <x v="25"/>
    <x v="31"/>
    <n v="51919"/>
  </r>
  <r>
    <x v="0"/>
    <x v="136"/>
    <x v="32"/>
    <n v="29272"/>
  </r>
  <r>
    <x v="0"/>
    <x v="218"/>
    <x v="32"/>
    <n v="20853"/>
  </r>
  <r>
    <x v="0"/>
    <x v="16"/>
    <x v="32"/>
    <n v="30055"/>
  </r>
  <r>
    <x v="2"/>
    <x v="174"/>
    <x v="32"/>
    <n v="12253"/>
  </r>
  <r>
    <x v="14"/>
    <x v="176"/>
    <x v="32"/>
    <n v="20654"/>
  </r>
  <r>
    <x v="6"/>
    <x v="186"/>
    <x v="32"/>
    <n v="27065"/>
  </r>
  <r>
    <x v="6"/>
    <x v="204"/>
    <x v="32"/>
    <n v="40559"/>
  </r>
  <r>
    <x v="7"/>
    <x v="190"/>
    <x v="32"/>
    <n v="37171"/>
  </r>
  <r>
    <x v="7"/>
    <x v="39"/>
    <x v="32"/>
    <n v="53387"/>
  </r>
  <r>
    <x v="7"/>
    <x v="13"/>
    <x v="32"/>
    <n v="31077"/>
  </r>
  <r>
    <x v="7"/>
    <x v="13"/>
    <x v="32"/>
    <n v="39303"/>
  </r>
  <r>
    <x v="7"/>
    <x v="129"/>
    <x v="32"/>
    <n v="44684"/>
  </r>
  <r>
    <x v="7"/>
    <x v="49"/>
    <x v="32"/>
    <n v="50355"/>
  </r>
  <r>
    <x v="7"/>
    <x v="50"/>
    <x v="32"/>
    <n v="39642"/>
  </r>
  <r>
    <x v="7"/>
    <x v="152"/>
    <x v="32"/>
    <n v="44751"/>
  </r>
  <r>
    <x v="0"/>
    <x v="24"/>
    <x v="33"/>
    <n v="43950"/>
  </r>
  <r>
    <x v="1"/>
    <x v="107"/>
    <x v="33"/>
    <n v="10986"/>
  </r>
  <r>
    <x v="2"/>
    <x v="108"/>
    <x v="33"/>
    <n v="12075"/>
  </r>
  <r>
    <x v="4"/>
    <x v="201"/>
    <x v="33"/>
    <n v="24027"/>
  </r>
  <r>
    <x v="6"/>
    <x v="222"/>
    <x v="33"/>
    <n v="39468"/>
  </r>
  <r>
    <x v="6"/>
    <x v="160"/>
    <x v="33"/>
    <n v="33276"/>
  </r>
  <r>
    <x v="6"/>
    <x v="76"/>
    <x v="33"/>
    <n v="43125"/>
  </r>
  <r>
    <x v="7"/>
    <x v="12"/>
    <x v="33"/>
    <n v="39542"/>
  </r>
  <r>
    <x v="7"/>
    <x v="67"/>
    <x v="33"/>
    <n v="34889"/>
  </r>
  <r>
    <x v="7"/>
    <x v="14"/>
    <x v="33"/>
    <n v="43057"/>
  </r>
  <r>
    <x v="5"/>
    <x v="97"/>
    <x v="34"/>
    <n v="15742"/>
  </r>
  <r>
    <x v="8"/>
    <x v="165"/>
    <x v="34"/>
    <n v="12282"/>
  </r>
  <r>
    <x v="9"/>
    <x v="156"/>
    <x v="34"/>
    <n v="17346"/>
  </r>
  <r>
    <x v="14"/>
    <x v="109"/>
    <x v="34"/>
    <n v="5200"/>
  </r>
  <r>
    <x v="6"/>
    <x v="122"/>
    <x v="34"/>
    <n v="29519"/>
  </r>
  <r>
    <x v="6"/>
    <x v="33"/>
    <x v="34"/>
    <n v="48358"/>
  </r>
  <r>
    <x v="6"/>
    <x v="159"/>
    <x v="34"/>
    <n v="37502"/>
  </r>
  <r>
    <x v="7"/>
    <x v="129"/>
    <x v="34"/>
    <n v="33031"/>
  </r>
  <r>
    <x v="7"/>
    <x v="14"/>
    <x v="34"/>
    <n v="48084"/>
  </r>
  <r>
    <x v="7"/>
    <x v="14"/>
    <x v="34"/>
    <n v="35911"/>
  </r>
  <r>
    <x v="7"/>
    <x v="58"/>
    <x v="34"/>
    <n v="35499"/>
  </r>
  <r>
    <x v="7"/>
    <x v="34"/>
    <x v="34"/>
    <n v="55279"/>
  </r>
  <r>
    <x v="7"/>
    <x v="50"/>
    <x v="34"/>
    <n v="42868"/>
  </r>
  <r>
    <x v="13"/>
    <x v="224"/>
    <x v="35"/>
    <n v="23790"/>
  </r>
  <r>
    <x v="5"/>
    <x v="98"/>
    <x v="35"/>
    <n v="12867"/>
  </r>
  <r>
    <x v="1"/>
    <x v="62"/>
    <x v="35"/>
    <n v="11858"/>
  </r>
  <r>
    <x v="8"/>
    <x v="187"/>
    <x v="35"/>
    <n v="9286"/>
  </r>
  <r>
    <x v="3"/>
    <x v="85"/>
    <x v="35"/>
    <n v="15460"/>
  </r>
  <r>
    <x v="3"/>
    <x v="92"/>
    <x v="35"/>
    <n v="16035"/>
  </r>
  <r>
    <x v="6"/>
    <x v="236"/>
    <x v="35"/>
    <n v="25450"/>
  </r>
  <r>
    <x v="6"/>
    <x v="53"/>
    <x v="35"/>
    <n v="47917"/>
  </r>
  <r>
    <x v="7"/>
    <x v="128"/>
    <x v="35"/>
    <n v="41581"/>
  </r>
  <r>
    <x v="7"/>
    <x v="129"/>
    <x v="35"/>
    <n v="37425"/>
  </r>
  <r>
    <x v="7"/>
    <x v="106"/>
    <x v="35"/>
    <n v="30131"/>
  </r>
  <r>
    <x v="7"/>
    <x v="78"/>
    <x v="35"/>
    <n v="33375"/>
  </r>
  <r>
    <x v="13"/>
    <x v="35"/>
    <x v="36"/>
    <n v="5239"/>
  </r>
  <r>
    <x v="0"/>
    <x v="26"/>
    <x v="36"/>
    <n v="27783"/>
  </r>
  <r>
    <x v="9"/>
    <x v="167"/>
    <x v="36"/>
    <n v="11859"/>
  </r>
  <r>
    <x v="6"/>
    <x v="105"/>
    <x v="36"/>
    <n v="46522"/>
  </r>
  <r>
    <x v="6"/>
    <x v="216"/>
    <x v="36"/>
    <n v="34706"/>
  </r>
  <r>
    <x v="7"/>
    <x v="41"/>
    <x v="36"/>
    <n v="62167"/>
  </r>
  <r>
    <x v="0"/>
    <x v="91"/>
    <x v="37"/>
    <n v="23629"/>
  </r>
  <r>
    <x v="11"/>
    <x v="225"/>
    <x v="37"/>
    <n v="13924"/>
  </r>
  <r>
    <x v="1"/>
    <x v="2"/>
    <x v="37"/>
    <n v="9281"/>
  </r>
  <r>
    <x v="3"/>
    <x v="19"/>
    <x v="37"/>
    <n v="12386"/>
  </r>
  <r>
    <x v="12"/>
    <x v="181"/>
    <x v="37"/>
    <n v="12097"/>
  </r>
  <r>
    <x v="9"/>
    <x v="212"/>
    <x v="37"/>
    <n v="5676"/>
  </r>
  <r>
    <x v="9"/>
    <x v="45"/>
    <x v="37"/>
    <n v="29969"/>
  </r>
  <r>
    <x v="4"/>
    <x v="87"/>
    <x v="37"/>
    <n v="35641"/>
  </r>
  <r>
    <x v="4"/>
    <x v="47"/>
    <x v="37"/>
    <n v="20683"/>
  </r>
  <r>
    <x v="6"/>
    <x v="93"/>
    <x v="37"/>
    <n v="29857"/>
  </r>
  <r>
    <x v="6"/>
    <x v="34"/>
    <x v="37"/>
    <n v="53267"/>
  </r>
  <r>
    <x v="6"/>
    <x v="81"/>
    <x v="37"/>
    <n v="12378"/>
  </r>
  <r>
    <x v="7"/>
    <x v="14"/>
    <x v="37"/>
    <n v="34604"/>
  </r>
  <r>
    <x v="7"/>
    <x v="204"/>
    <x v="37"/>
    <n v="53740"/>
  </r>
  <r>
    <x v="7"/>
    <x v="68"/>
    <x v="37"/>
    <n v="33065"/>
  </r>
  <r>
    <x v="7"/>
    <x v="51"/>
    <x v="37"/>
    <n v="60289"/>
  </r>
  <r>
    <x v="7"/>
    <x v="25"/>
    <x v="37"/>
    <n v="43293"/>
  </r>
  <r>
    <x v="16"/>
    <x v="162"/>
    <x v="38"/>
    <n v="13282"/>
  </r>
  <r>
    <x v="0"/>
    <x v="191"/>
    <x v="38"/>
    <n v="19102"/>
  </r>
  <r>
    <x v="18"/>
    <x v="180"/>
    <x v="38"/>
    <n v="11194"/>
  </r>
  <r>
    <x v="6"/>
    <x v="22"/>
    <x v="38"/>
    <n v="39570"/>
  </r>
  <r>
    <x v="6"/>
    <x v="169"/>
    <x v="38"/>
    <n v="29607"/>
  </r>
  <r>
    <x v="7"/>
    <x v="203"/>
    <x v="38"/>
    <n v="48202"/>
  </r>
  <r>
    <x v="7"/>
    <x v="33"/>
    <x v="38"/>
    <n v="40170"/>
  </r>
  <r>
    <x v="7"/>
    <x v="14"/>
    <x v="38"/>
    <n v="39947"/>
  </r>
  <r>
    <x v="7"/>
    <x v="50"/>
    <x v="38"/>
    <n v="42641"/>
  </r>
  <r>
    <x v="11"/>
    <x v="72"/>
    <x v="39"/>
    <n v="20726"/>
  </r>
  <r>
    <x v="11"/>
    <x v="231"/>
    <x v="39"/>
    <n v="12075"/>
  </r>
  <r>
    <x v="9"/>
    <x v="213"/>
    <x v="39"/>
    <n v="16684"/>
  </r>
  <r>
    <x v="19"/>
    <x v="221"/>
    <x v="39"/>
    <n v="5200"/>
  </r>
  <r>
    <x v="4"/>
    <x v="195"/>
    <x v="39"/>
    <n v="19012"/>
  </r>
  <r>
    <x v="4"/>
    <x v="140"/>
    <x v="39"/>
    <n v="15538"/>
  </r>
  <r>
    <x v="6"/>
    <x v="123"/>
    <x v="39"/>
    <n v="38550"/>
  </r>
  <r>
    <x v="6"/>
    <x v="90"/>
    <x v="39"/>
    <n v="51561"/>
  </r>
  <r>
    <x v="6"/>
    <x v="103"/>
    <x v="39"/>
    <n v="42462"/>
  </r>
  <r>
    <x v="7"/>
    <x v="12"/>
    <x v="39"/>
    <n v="43207"/>
  </r>
  <r>
    <x v="7"/>
    <x v="42"/>
    <x v="39"/>
    <n v="34349"/>
  </r>
  <r>
    <x v="16"/>
    <x v="114"/>
    <x v="40"/>
    <n v="12045"/>
  </r>
  <r>
    <x v="0"/>
    <x v="178"/>
    <x v="40"/>
    <n v="24765"/>
  </r>
  <r>
    <x v="0"/>
    <x v="56"/>
    <x v="40"/>
    <n v="29125"/>
  </r>
  <r>
    <x v="8"/>
    <x v="18"/>
    <x v="40"/>
    <n v="13382"/>
  </r>
  <r>
    <x v="3"/>
    <x v="188"/>
    <x v="40"/>
    <n v="5200"/>
  </r>
  <r>
    <x v="9"/>
    <x v="166"/>
    <x v="40"/>
    <n v="17117"/>
  </r>
  <r>
    <x v="4"/>
    <x v="189"/>
    <x v="40"/>
    <n v="15605"/>
  </r>
  <r>
    <x v="6"/>
    <x v="55"/>
    <x v="40"/>
    <n v="25065"/>
  </r>
  <r>
    <x v="7"/>
    <x v="57"/>
    <x v="40"/>
    <n v="46272"/>
  </r>
  <r>
    <x v="7"/>
    <x v="38"/>
    <x v="40"/>
    <n v="53443"/>
  </r>
  <r>
    <x v="7"/>
    <x v="40"/>
    <x v="40"/>
    <n v="35576"/>
  </r>
  <r>
    <x v="7"/>
    <x v="68"/>
    <x v="40"/>
    <n v="33710"/>
  </r>
  <r>
    <x v="7"/>
    <x v="161"/>
    <x v="40"/>
    <n v="37928"/>
  </r>
  <r>
    <x v="16"/>
    <x v="79"/>
    <x v="41"/>
    <n v="13569"/>
  </r>
  <r>
    <x v="3"/>
    <x v="198"/>
    <x v="41"/>
    <n v="15947"/>
  </r>
  <r>
    <x v="14"/>
    <x v="157"/>
    <x v="41"/>
    <n v="14624"/>
  </r>
  <r>
    <x v="4"/>
    <x v="194"/>
    <x v="41"/>
    <n v="11403"/>
  </r>
  <r>
    <x v="6"/>
    <x v="93"/>
    <x v="41"/>
    <n v="28210"/>
  </r>
  <r>
    <x v="6"/>
    <x v="66"/>
    <x v="41"/>
    <n v="11759"/>
  </r>
  <r>
    <x v="7"/>
    <x v="39"/>
    <x v="41"/>
    <n v="48777"/>
  </r>
  <r>
    <x v="7"/>
    <x v="33"/>
    <x v="41"/>
    <n v="36724"/>
  </r>
  <r>
    <x v="0"/>
    <x v="15"/>
    <x v="42"/>
    <n v="27410"/>
  </r>
  <r>
    <x v="11"/>
    <x v="27"/>
    <x v="42"/>
    <n v="14908"/>
  </r>
  <r>
    <x v="1"/>
    <x v="232"/>
    <x v="42"/>
    <n v="10108"/>
  </r>
  <r>
    <x v="8"/>
    <x v="209"/>
    <x v="42"/>
    <n v="5200"/>
  </r>
  <r>
    <x v="12"/>
    <x v="235"/>
    <x v="42"/>
    <n v="13341"/>
  </r>
  <r>
    <x v="17"/>
    <x v="115"/>
    <x v="42"/>
    <n v="10479"/>
  </r>
  <r>
    <x v="4"/>
    <x v="102"/>
    <x v="42"/>
    <n v="15568"/>
  </r>
  <r>
    <x v="6"/>
    <x v="38"/>
    <x v="42"/>
    <n v="51506"/>
  </r>
  <r>
    <x v="6"/>
    <x v="23"/>
    <x v="42"/>
    <n v="9947"/>
  </r>
  <r>
    <x v="7"/>
    <x v="159"/>
    <x v="42"/>
    <n v="35268"/>
  </r>
  <r>
    <x v="7"/>
    <x v="105"/>
    <x v="42"/>
    <n v="51674"/>
  </r>
  <r>
    <x v="7"/>
    <x v="230"/>
    <x v="42"/>
    <n v="41947"/>
  </r>
  <r>
    <x v="0"/>
    <x v="60"/>
    <x v="43"/>
    <n v="28681"/>
  </r>
  <r>
    <x v="8"/>
    <x v="233"/>
    <x v="43"/>
    <n v="14258"/>
  </r>
  <r>
    <x v="6"/>
    <x v="88"/>
    <x v="43"/>
    <n v="33667"/>
  </r>
  <r>
    <x v="6"/>
    <x v="22"/>
    <x v="43"/>
    <n v="29422"/>
  </r>
  <r>
    <x v="6"/>
    <x v="142"/>
    <x v="43"/>
    <n v="49734"/>
  </r>
  <r>
    <x v="6"/>
    <x v="10"/>
    <x v="43"/>
    <n v="30891"/>
  </r>
  <r>
    <x v="7"/>
    <x v="42"/>
    <x v="43"/>
    <n v="27994"/>
  </r>
  <r>
    <x v="7"/>
    <x v="160"/>
    <x v="43"/>
    <n v="31934"/>
  </r>
  <r>
    <x v="7"/>
    <x v="230"/>
    <x v="43"/>
    <n v="47067"/>
  </r>
  <r>
    <x v="7"/>
    <x v="152"/>
    <x v="43"/>
    <n v="48673"/>
  </r>
  <r>
    <x v="16"/>
    <x v="143"/>
    <x v="44"/>
    <n v="13198"/>
  </r>
  <r>
    <x v="0"/>
    <x v="74"/>
    <x v="44"/>
    <n v="18924"/>
  </r>
  <r>
    <x v="0"/>
    <x v="111"/>
    <x v="44"/>
    <n v="41648"/>
  </r>
  <r>
    <x v="11"/>
    <x v="82"/>
    <x v="44"/>
    <n v="13104"/>
  </r>
  <r>
    <x v="11"/>
    <x v="147"/>
    <x v="44"/>
    <n v="16643"/>
  </r>
  <r>
    <x v="9"/>
    <x v="20"/>
    <x v="44"/>
    <n v="6329"/>
  </r>
  <r>
    <x v="4"/>
    <x v="116"/>
    <x v="44"/>
    <n v="19276"/>
  </r>
  <r>
    <x v="4"/>
    <x v="228"/>
    <x v="44"/>
    <n v="20881"/>
  </r>
  <r>
    <x v="6"/>
    <x v="229"/>
    <x v="44"/>
    <n v="34492"/>
  </r>
  <r>
    <x v="6"/>
    <x v="133"/>
    <x v="44"/>
    <n v="44695"/>
  </r>
  <r>
    <x v="6"/>
    <x v="37"/>
    <x v="44"/>
    <n v="25043"/>
  </r>
  <r>
    <x v="7"/>
    <x v="112"/>
    <x v="44"/>
    <n v="34627"/>
  </r>
  <r>
    <x v="7"/>
    <x v="190"/>
    <x v="44"/>
    <n v="41157"/>
  </r>
  <r>
    <x v="7"/>
    <x v="135"/>
    <x v="44"/>
    <n v="40626"/>
  </r>
  <r>
    <x v="0"/>
    <x v="29"/>
    <x v="45"/>
    <n v="17865"/>
  </r>
  <r>
    <x v="0"/>
    <x v="96"/>
    <x v="45"/>
    <n v="16491"/>
  </r>
  <r>
    <x v="11"/>
    <x v="219"/>
    <x v="45"/>
    <n v="14844"/>
  </r>
  <r>
    <x v="2"/>
    <x v="100"/>
    <x v="45"/>
    <n v="11226"/>
  </r>
  <r>
    <x v="3"/>
    <x v="4"/>
    <x v="45"/>
    <n v="13627"/>
  </r>
  <r>
    <x v="9"/>
    <x v="86"/>
    <x v="45"/>
    <n v="17951"/>
  </r>
  <r>
    <x v="9"/>
    <x v="75"/>
    <x v="45"/>
    <n v="17280"/>
  </r>
  <r>
    <x v="4"/>
    <x v="148"/>
    <x v="45"/>
    <n v="19227"/>
  </r>
  <r>
    <x v="4"/>
    <x v="31"/>
    <x v="45"/>
    <n v="35400"/>
  </r>
  <r>
    <x v="6"/>
    <x v="125"/>
    <x v="45"/>
    <n v="41105"/>
  </r>
  <r>
    <x v="7"/>
    <x v="134"/>
    <x v="45"/>
    <n v="20114"/>
  </r>
  <r>
    <x v="7"/>
    <x v="113"/>
    <x v="45"/>
    <n v="26628"/>
  </r>
  <r>
    <x v="7"/>
    <x v="105"/>
    <x v="45"/>
    <n v="58785"/>
  </r>
  <r>
    <x v="7"/>
    <x v="50"/>
    <x v="45"/>
    <n v="35936"/>
  </r>
  <r>
    <x v="7"/>
    <x v="50"/>
    <x v="45"/>
    <n v="35879"/>
  </r>
  <r>
    <x v="9"/>
    <x v="226"/>
    <x v="46"/>
    <n v="15373"/>
  </r>
  <r>
    <x v="9"/>
    <x v="182"/>
    <x v="46"/>
    <n v="14776"/>
  </r>
  <r>
    <x v="4"/>
    <x v="177"/>
    <x v="46"/>
    <n v="22166"/>
  </r>
  <r>
    <x v="6"/>
    <x v="170"/>
    <x v="46"/>
    <n v="45316"/>
  </r>
  <r>
    <x v="6"/>
    <x v="89"/>
    <x v="46"/>
    <n v="26781"/>
  </r>
  <r>
    <x v="6"/>
    <x v="118"/>
    <x v="46"/>
    <n v="41089"/>
  </r>
  <r>
    <x v="6"/>
    <x v="1"/>
    <x v="46"/>
    <n v="24092"/>
  </r>
  <r>
    <x v="7"/>
    <x v="78"/>
    <x v="46"/>
    <n v="37477"/>
  </r>
  <r>
    <x v="7"/>
    <x v="152"/>
    <x v="46"/>
    <n v="33845"/>
  </r>
  <r>
    <x v="16"/>
    <x v="69"/>
    <x v="47"/>
    <n v="14732"/>
  </r>
  <r>
    <x v="0"/>
    <x v="192"/>
    <x v="47"/>
    <n v="19118"/>
  </r>
  <r>
    <x v="11"/>
    <x v="164"/>
    <x v="47"/>
    <n v="9759"/>
  </r>
  <r>
    <x v="8"/>
    <x v="208"/>
    <x v="47"/>
    <n v="13324"/>
  </r>
  <r>
    <x v="2"/>
    <x v="84"/>
    <x v="47"/>
    <n v="10779"/>
  </r>
  <r>
    <x v="2"/>
    <x v="154"/>
    <x v="47"/>
    <n v="8603"/>
  </r>
  <r>
    <x v="9"/>
    <x v="215"/>
    <x v="47"/>
    <n v="15619"/>
  </r>
  <r>
    <x v="19"/>
    <x v="200"/>
    <x v="47"/>
    <n v="14815"/>
  </r>
  <r>
    <x v="14"/>
    <x v="101"/>
    <x v="47"/>
    <n v="15788"/>
  </r>
  <r>
    <x v="4"/>
    <x v="5"/>
    <x v="47"/>
    <n v="35955"/>
  </r>
  <r>
    <x v="4"/>
    <x v="141"/>
    <x v="47"/>
    <n v="24364"/>
  </r>
  <r>
    <x v="6"/>
    <x v="197"/>
    <x v="47"/>
    <n v="33493"/>
  </r>
  <r>
    <x v="6"/>
    <x v="10"/>
    <x v="47"/>
    <n v="27139"/>
  </r>
  <r>
    <x v="7"/>
    <x v="158"/>
    <x v="47"/>
    <n v="48753"/>
  </r>
  <r>
    <x v="7"/>
    <x v="57"/>
    <x v="47"/>
    <n v="41215"/>
  </r>
  <r>
    <x v="16"/>
    <x v="119"/>
    <x v="48"/>
    <n v="5200"/>
  </r>
  <r>
    <x v="16"/>
    <x v="46"/>
    <x v="48"/>
    <n v="12838"/>
  </r>
  <r>
    <x v="0"/>
    <x v="71"/>
    <x v="48"/>
    <n v="26163"/>
  </r>
  <r>
    <x v="11"/>
    <x v="43"/>
    <x v="48"/>
    <n v="12909"/>
  </r>
  <r>
    <x v="1"/>
    <x v="120"/>
    <x v="48"/>
    <n v="24732"/>
  </r>
  <r>
    <x v="3"/>
    <x v="196"/>
    <x v="48"/>
    <n v="28114"/>
  </r>
  <r>
    <x v="12"/>
    <x v="28"/>
    <x v="48"/>
    <n v="11322"/>
  </r>
  <r>
    <x v="9"/>
    <x v="214"/>
    <x v="48"/>
    <n v="16778"/>
  </r>
  <r>
    <x v="7"/>
    <x v="90"/>
    <x v="48"/>
    <n v="47158"/>
  </r>
  <r>
    <x v="7"/>
    <x v="105"/>
    <x v="48"/>
    <n v="47700"/>
  </r>
  <r>
    <x v="7"/>
    <x v="105"/>
    <x v="48"/>
    <n v="59172"/>
  </r>
  <r>
    <x v="7"/>
    <x v="105"/>
    <x v="48"/>
    <n v="38227"/>
  </r>
  <r>
    <x v="5"/>
    <x v="146"/>
    <x v="49"/>
    <n v="19654"/>
  </r>
  <r>
    <x v="1"/>
    <x v="193"/>
    <x v="49"/>
    <n v="6191"/>
  </r>
  <r>
    <x v="3"/>
    <x v="220"/>
    <x v="49"/>
    <n v="15441"/>
  </r>
  <r>
    <x v="4"/>
    <x v="150"/>
    <x v="49"/>
    <n v="20664"/>
  </r>
  <r>
    <x v="6"/>
    <x v="104"/>
    <x v="49"/>
    <n v="32578"/>
  </r>
  <r>
    <x v="7"/>
    <x v="14"/>
    <x v="49"/>
    <n v="34860"/>
  </r>
  <r>
    <x v="7"/>
    <x v="59"/>
    <x v="49"/>
    <n v="47634"/>
  </r>
  <r>
    <x v="7"/>
    <x v="160"/>
    <x v="49"/>
    <n v="35594"/>
  </r>
  <r>
    <x v="7"/>
    <x v="51"/>
    <x v="49"/>
    <n v="43002"/>
  </r>
  <r>
    <x v="0"/>
    <x v="127"/>
    <x v="50"/>
    <n v="27330"/>
  </r>
  <r>
    <x v="0"/>
    <x v="95"/>
    <x v="50"/>
    <n v="37378"/>
  </r>
  <r>
    <x v="0"/>
    <x v="172"/>
    <x v="50"/>
    <n v="35320"/>
  </r>
  <r>
    <x v="0"/>
    <x v="26"/>
    <x v="50"/>
    <n v="19501"/>
  </r>
  <r>
    <x v="8"/>
    <x v="36"/>
    <x v="50"/>
    <n v="5200"/>
  </r>
  <r>
    <x v="3"/>
    <x v="211"/>
    <x v="50"/>
    <n v="16002"/>
  </r>
  <r>
    <x v="6"/>
    <x v="89"/>
    <x v="50"/>
    <n v="25517"/>
  </r>
  <r>
    <x v="7"/>
    <x v="203"/>
    <x v="50"/>
    <n v="37547"/>
  </r>
  <r>
    <x v="7"/>
    <x v="160"/>
    <x v="50"/>
    <n v="35804"/>
  </r>
  <r>
    <x v="7"/>
    <x v="118"/>
    <x v="50"/>
    <n v="41721"/>
  </r>
  <r>
    <x v="13"/>
    <x v="183"/>
    <x v="51"/>
    <n v="13345"/>
  </r>
  <r>
    <x v="0"/>
    <x v="80"/>
    <x v="51"/>
    <n v="6600"/>
  </r>
  <r>
    <x v="11"/>
    <x v="179"/>
    <x v="51"/>
    <n v="12716"/>
  </r>
  <r>
    <x v="3"/>
    <x v="210"/>
    <x v="51"/>
    <n v="7726"/>
  </r>
  <r>
    <x v="4"/>
    <x v="121"/>
    <x v="51"/>
    <n v="17822"/>
  </r>
  <r>
    <x v="6"/>
    <x v="32"/>
    <x v="51"/>
    <n v="30861"/>
  </r>
  <r>
    <x v="7"/>
    <x v="77"/>
    <x v="51"/>
    <n v="30490"/>
  </r>
  <r>
    <x v="7"/>
    <x v="171"/>
    <x v="51"/>
    <n v="42923"/>
  </r>
  <r>
    <x v="7"/>
    <x v="203"/>
    <x v="51"/>
    <n v="41814"/>
  </r>
  <r>
    <x v="5"/>
    <x v="17"/>
    <x v="52"/>
    <n v="7928"/>
  </r>
  <r>
    <x v="8"/>
    <x v="83"/>
    <x v="52"/>
    <n v="13671"/>
  </r>
  <r>
    <x v="8"/>
    <x v="153"/>
    <x v="52"/>
    <n v="13953"/>
  </r>
  <r>
    <x v="17"/>
    <x v="217"/>
    <x v="52"/>
    <n v="11188"/>
  </r>
  <r>
    <x v="9"/>
    <x v="139"/>
    <x v="52"/>
    <n v="18752"/>
  </r>
  <r>
    <x v="4"/>
    <x v="184"/>
    <x v="52"/>
    <n v="18158"/>
  </r>
  <r>
    <x v="4"/>
    <x v="136"/>
    <x v="52"/>
    <n v="26787"/>
  </r>
  <r>
    <x v="6"/>
    <x v="110"/>
    <x v="52"/>
    <n v="28833"/>
  </r>
  <r>
    <x v="6"/>
    <x v="38"/>
    <x v="52"/>
    <n v="34576"/>
  </r>
  <r>
    <x v="6"/>
    <x v="202"/>
    <x v="52"/>
    <n v="42649"/>
  </r>
  <r>
    <x v="6"/>
    <x v="168"/>
    <x v="52"/>
    <n v="43113"/>
  </r>
  <r>
    <x v="6"/>
    <x v="124"/>
    <x v="52"/>
    <n v="57844"/>
  </r>
  <r>
    <x v="6"/>
    <x v="135"/>
    <x v="52"/>
    <n v="42759"/>
  </r>
  <r>
    <x v="7"/>
    <x v="151"/>
    <x v="52"/>
    <n v="34228"/>
  </r>
  <r>
    <x v="7"/>
    <x v="12"/>
    <x v="52"/>
    <n v="64339"/>
  </r>
  <r>
    <x v="7"/>
    <x v="78"/>
    <x v="52"/>
    <n v="28083"/>
  </r>
  <r>
    <x v="16"/>
    <x v="205"/>
    <x v="53"/>
    <n v="21602"/>
  </r>
  <r>
    <x v="16"/>
    <x v="44"/>
    <x v="53"/>
    <n v="14877"/>
  </r>
  <r>
    <x v="8"/>
    <x v="63"/>
    <x v="53"/>
    <n v="9339"/>
  </r>
  <r>
    <x v="3"/>
    <x v="163"/>
    <x v="53"/>
    <n v="17598"/>
  </r>
  <r>
    <x v="6"/>
    <x v="169"/>
    <x v="53"/>
    <n v="36979"/>
  </r>
  <r>
    <x v="6"/>
    <x v="6"/>
    <x v="53"/>
    <n v="20194"/>
  </r>
  <r>
    <x v="7"/>
    <x v="113"/>
    <x v="53"/>
    <n v="35703"/>
  </r>
  <r>
    <x v="7"/>
    <x v="67"/>
    <x v="53"/>
    <n v="43828"/>
  </r>
  <r>
    <x v="7"/>
    <x v="105"/>
    <x v="53"/>
    <n v="53645"/>
  </r>
  <r>
    <x v="7"/>
    <x v="59"/>
    <x v="53"/>
    <n v="51944"/>
  </r>
  <r>
    <x v="7"/>
    <x v="51"/>
    <x v="53"/>
    <n v="52278"/>
  </r>
  <r>
    <x v="0"/>
    <x v="48"/>
    <x v="54"/>
    <n v="48284"/>
  </r>
  <r>
    <x v="0"/>
    <x v="126"/>
    <x v="54"/>
    <n v="30676"/>
  </r>
  <r>
    <x v="0"/>
    <x v="173"/>
    <x v="54"/>
    <n v="13498"/>
  </r>
  <r>
    <x v="2"/>
    <x v="3"/>
    <x v="54"/>
    <n v="12235"/>
  </r>
  <r>
    <x v="3"/>
    <x v="73"/>
    <x v="54"/>
    <n v="16416"/>
  </r>
  <r>
    <x v="14"/>
    <x v="65"/>
    <x v="54"/>
    <n v="5200"/>
  </r>
  <r>
    <x v="14"/>
    <x v="54"/>
    <x v="54"/>
    <n v="10983"/>
  </r>
  <r>
    <x v="10"/>
    <x v="21"/>
    <x v="54"/>
    <n v="10441"/>
  </r>
  <r>
    <x v="6"/>
    <x v="186"/>
    <x v="54"/>
    <n v="30461"/>
  </r>
  <r>
    <x v="6"/>
    <x v="11"/>
    <x v="54"/>
    <n v="49256"/>
  </r>
  <r>
    <x v="7"/>
    <x v="59"/>
    <x v="54"/>
    <n v="39395"/>
  </r>
  <r>
    <x v="16"/>
    <x v="130"/>
    <x v="55"/>
    <n v="21598"/>
  </r>
  <r>
    <x v="0"/>
    <x v="15"/>
    <x v="55"/>
    <n v="31232"/>
  </r>
  <r>
    <x v="0"/>
    <x v="137"/>
    <x v="55"/>
    <n v="24336"/>
  </r>
  <r>
    <x v="11"/>
    <x v="61"/>
    <x v="55"/>
    <n v="10434"/>
  </r>
  <r>
    <x v="11"/>
    <x v="132"/>
    <x v="55"/>
    <n v="13573"/>
  </r>
  <r>
    <x v="6"/>
    <x v="229"/>
    <x v="55"/>
    <n v="42961"/>
  </r>
  <r>
    <x v="6"/>
    <x v="197"/>
    <x v="55"/>
    <n v="37085"/>
  </r>
  <r>
    <x v="7"/>
    <x v="158"/>
    <x v="55"/>
    <n v="33980"/>
  </r>
  <r>
    <x v="7"/>
    <x v="49"/>
    <x v="55"/>
    <n v="38354"/>
  </r>
  <r>
    <x v="7"/>
    <x v="223"/>
    <x v="55"/>
    <n v="54191"/>
  </r>
  <r>
    <x v="0"/>
    <x v="0"/>
    <x v="56"/>
    <n v="27169"/>
  </r>
  <r>
    <x v="0"/>
    <x v="7"/>
    <x v="56"/>
    <n v="30502"/>
  </r>
  <r>
    <x v="0"/>
    <x v="169"/>
    <x v="56"/>
    <n v="29229"/>
  </r>
  <r>
    <x v="3"/>
    <x v="155"/>
    <x v="56"/>
    <n v="33492"/>
  </r>
  <r>
    <x v="3"/>
    <x v="175"/>
    <x v="56"/>
    <n v="5200"/>
  </r>
  <r>
    <x v="14"/>
    <x v="138"/>
    <x v="56"/>
    <n v="12823"/>
  </r>
  <r>
    <x v="4"/>
    <x v="227"/>
    <x v="56"/>
    <n v="22804"/>
  </r>
  <r>
    <x v="6"/>
    <x v="151"/>
    <x v="56"/>
    <n v="27217"/>
  </r>
  <r>
    <x v="7"/>
    <x v="56"/>
    <x v="56"/>
    <n v="40363"/>
  </r>
  <r>
    <x v="7"/>
    <x v="67"/>
    <x v="56"/>
    <n v="33480"/>
  </r>
  <r>
    <x v="7"/>
    <x v="40"/>
    <x v="56"/>
    <n v="34972"/>
  </r>
  <r>
    <x v="7"/>
    <x v="58"/>
    <x v="56"/>
    <n v="32906"/>
  </r>
  <r>
    <x v="7"/>
    <x v="49"/>
    <x v="56"/>
    <n v="39873"/>
  </r>
  <r>
    <x v="7"/>
    <x v="223"/>
    <x v="56"/>
    <n v="43369"/>
  </r>
  <r>
    <x v="7"/>
    <x v="161"/>
    <x v="56"/>
    <n v="27569"/>
  </r>
  <r>
    <x v="0"/>
    <x v="0"/>
    <x v="57"/>
    <n v="20062"/>
  </r>
  <r>
    <x v="0"/>
    <x v="131"/>
    <x v="57"/>
    <n v="20580"/>
  </r>
  <r>
    <x v="0"/>
    <x v="206"/>
    <x v="57"/>
    <n v="29260"/>
  </r>
  <r>
    <x v="1"/>
    <x v="207"/>
    <x v="57"/>
    <n v="22924"/>
  </r>
  <r>
    <x v="3"/>
    <x v="234"/>
    <x v="57"/>
    <n v="10095"/>
  </r>
  <r>
    <x v="4"/>
    <x v="144"/>
    <x v="57"/>
    <n v="25290"/>
  </r>
  <r>
    <x v="4"/>
    <x v="30"/>
    <x v="57"/>
    <n v="19651"/>
  </r>
  <r>
    <x v="6"/>
    <x v="236"/>
    <x v="57"/>
    <n v="35825"/>
  </r>
  <r>
    <x v="6"/>
    <x v="32"/>
    <x v="57"/>
    <n v="28612"/>
  </r>
  <r>
    <x v="6"/>
    <x v="37"/>
    <x v="57"/>
    <n v="34279"/>
  </r>
  <r>
    <x v="6"/>
    <x v="185"/>
    <x v="57"/>
    <n v="8097"/>
  </r>
  <r>
    <x v="7"/>
    <x v="112"/>
    <x v="57"/>
    <n v="43903"/>
  </r>
  <r>
    <x v="7"/>
    <x v="230"/>
    <x v="57"/>
    <n v="37242"/>
  </r>
  <r>
    <x v="7"/>
    <x v="230"/>
    <x v="57"/>
    <n v="38780"/>
  </r>
  <r>
    <x v="15"/>
    <x v="52"/>
    <x v="58"/>
    <n v="11841"/>
  </r>
  <r>
    <x v="0"/>
    <x v="145"/>
    <x v="58"/>
    <n v="28677"/>
  </r>
  <r>
    <x v="9"/>
    <x v="64"/>
    <x v="58"/>
    <n v="18140"/>
  </r>
  <r>
    <x v="4"/>
    <x v="149"/>
    <x v="58"/>
    <n v="21715"/>
  </r>
  <r>
    <x v="6"/>
    <x v="117"/>
    <x v="58"/>
    <n v="42191"/>
  </r>
  <r>
    <x v="7"/>
    <x v="171"/>
    <x v="58"/>
    <n v="31268"/>
  </r>
  <r>
    <x v="7"/>
    <x v="68"/>
    <x v="58"/>
    <n v="32673"/>
  </r>
  <r>
    <x v="11"/>
    <x v="82"/>
    <x v="59"/>
    <n v="12450"/>
  </r>
  <r>
    <x v="2"/>
    <x v="100"/>
    <x v="59"/>
    <n v="11092"/>
  </r>
  <r>
    <x v="2"/>
    <x v="108"/>
    <x v="59"/>
    <n v="11703"/>
  </r>
  <r>
    <x v="9"/>
    <x v="156"/>
    <x v="59"/>
    <n v="17504"/>
  </r>
  <r>
    <x v="6"/>
    <x v="170"/>
    <x v="59"/>
    <n v="48873"/>
  </r>
  <r>
    <x v="6"/>
    <x v="93"/>
    <x v="59"/>
    <n v="30971"/>
  </r>
  <r>
    <x v="6"/>
    <x v="89"/>
    <x v="59"/>
    <n v="28929"/>
  </r>
  <r>
    <x v="7"/>
    <x v="204"/>
    <x v="59"/>
    <n v="43008"/>
  </r>
  <r>
    <x v="7"/>
    <x v="160"/>
    <x v="59"/>
    <n v="28158"/>
  </r>
  <r>
    <x v="7"/>
    <x v="37"/>
    <x v="59"/>
    <n v="32989"/>
  </r>
  <r>
    <x v="7"/>
    <x v="152"/>
    <x v="59"/>
    <n v="53703"/>
  </r>
  <r>
    <x v="0"/>
    <x v="7"/>
    <x v="60"/>
    <n v="29110"/>
  </r>
  <r>
    <x v="14"/>
    <x v="109"/>
    <x v="60"/>
    <n v="5200"/>
  </r>
  <r>
    <x v="4"/>
    <x v="5"/>
    <x v="60"/>
    <n v="40142"/>
  </r>
  <r>
    <x v="7"/>
    <x v="56"/>
    <x v="60"/>
    <n v="41540"/>
  </r>
  <r>
    <x v="7"/>
    <x v="57"/>
    <x v="60"/>
    <n v="38014"/>
  </r>
  <r>
    <x v="7"/>
    <x v="161"/>
    <x v="60"/>
    <n v="36305"/>
  </r>
  <r>
    <x v="14"/>
    <x v="176"/>
    <x v="61"/>
    <n v="8019"/>
  </r>
  <r>
    <x v="14"/>
    <x v="46"/>
    <x v="61"/>
    <n v="12136"/>
  </r>
  <r>
    <x v="6"/>
    <x v="151"/>
    <x v="61"/>
    <n v="33791"/>
  </r>
  <r>
    <x v="7"/>
    <x v="203"/>
    <x v="61"/>
    <n v="38396"/>
  </r>
  <r>
    <x v="7"/>
    <x v="14"/>
    <x v="61"/>
    <n v="34890"/>
  </r>
  <r>
    <x v="7"/>
    <x v="223"/>
    <x v="61"/>
    <n v="50885"/>
  </r>
  <r>
    <x v="7"/>
    <x v="118"/>
    <x v="61"/>
    <n v="30855"/>
  </r>
  <r>
    <x v="16"/>
    <x v="205"/>
    <x v="62"/>
    <n v="7664"/>
  </r>
  <r>
    <x v="0"/>
    <x v="173"/>
    <x v="62"/>
    <n v="35072"/>
  </r>
  <r>
    <x v="8"/>
    <x v="44"/>
    <x v="62"/>
    <n v="14726"/>
  </r>
  <r>
    <x v="2"/>
    <x v="84"/>
    <x v="62"/>
    <n v="15556"/>
  </r>
  <r>
    <x v="12"/>
    <x v="181"/>
    <x v="62"/>
    <n v="11284"/>
  </r>
  <r>
    <x v="9"/>
    <x v="29"/>
    <x v="62"/>
    <n v="17024"/>
  </r>
  <r>
    <x v="4"/>
    <x v="194"/>
    <x v="62"/>
    <n v="42285"/>
  </r>
  <r>
    <x v="4"/>
    <x v="149"/>
    <x v="62"/>
    <n v="22110"/>
  </r>
  <r>
    <x v="4"/>
    <x v="189"/>
    <x v="62"/>
    <n v="19038"/>
  </r>
  <r>
    <x v="6"/>
    <x v="122"/>
    <x v="62"/>
    <n v="24144"/>
  </r>
  <r>
    <x v="6"/>
    <x v="10"/>
    <x v="62"/>
    <n v="28625"/>
  </r>
  <r>
    <x v="7"/>
    <x v="77"/>
    <x v="62"/>
    <n v="30867"/>
  </r>
  <r>
    <x v="7"/>
    <x v="33"/>
    <x v="62"/>
    <n v="50221"/>
  </r>
  <r>
    <x v="7"/>
    <x v="90"/>
    <x v="62"/>
    <n v="50913"/>
  </r>
  <r>
    <x v="7"/>
    <x v="59"/>
    <x v="62"/>
    <n v="49174"/>
  </r>
  <r>
    <x v="7"/>
    <x v="161"/>
    <x v="62"/>
    <n v="36582"/>
  </r>
  <r>
    <x v="11"/>
    <x v="225"/>
    <x v="63"/>
    <n v="13313"/>
  </r>
  <r>
    <x v="11"/>
    <x v="147"/>
    <x v="63"/>
    <n v="14375"/>
  </r>
  <r>
    <x v="3"/>
    <x v="175"/>
    <x v="63"/>
    <n v="9385"/>
  </r>
  <r>
    <x v="3"/>
    <x v="188"/>
    <x v="63"/>
    <n v="23429"/>
  </r>
  <r>
    <x v="9"/>
    <x v="20"/>
    <x v="63"/>
    <n v="14342"/>
  </r>
  <r>
    <x v="14"/>
    <x v="65"/>
    <x v="63"/>
    <n v="25506"/>
  </r>
  <r>
    <x v="7"/>
    <x v="190"/>
    <x v="63"/>
    <n v="25573"/>
  </r>
  <r>
    <x v="7"/>
    <x v="38"/>
    <x v="63"/>
    <n v="46634"/>
  </r>
  <r>
    <x v="11"/>
    <x v="179"/>
    <x v="64"/>
    <n v="12950"/>
  </r>
  <r>
    <x v="17"/>
    <x v="217"/>
    <x v="64"/>
    <n v="11796"/>
  </r>
  <r>
    <x v="9"/>
    <x v="178"/>
    <x v="64"/>
    <n v="14559"/>
  </r>
  <r>
    <x v="9"/>
    <x v="64"/>
    <x v="64"/>
    <n v="18671"/>
  </r>
  <r>
    <x v="9"/>
    <x v="45"/>
    <x v="64"/>
    <n v="29297"/>
  </r>
  <r>
    <x v="9"/>
    <x v="215"/>
    <x v="64"/>
    <n v="16718"/>
  </r>
  <r>
    <x v="4"/>
    <x v="102"/>
    <x v="64"/>
    <n v="14086"/>
  </r>
  <r>
    <x v="4"/>
    <x v="177"/>
    <x v="64"/>
    <n v="20510"/>
  </r>
  <r>
    <x v="10"/>
    <x v="21"/>
    <x v="64"/>
    <n v="16001"/>
  </r>
  <r>
    <x v="6"/>
    <x v="124"/>
    <x v="64"/>
    <n v="56994"/>
  </r>
  <r>
    <x v="6"/>
    <x v="104"/>
    <x v="64"/>
    <n v="48933"/>
  </r>
  <r>
    <x v="7"/>
    <x v="134"/>
    <x v="64"/>
    <n v="35822"/>
  </r>
  <r>
    <x v="7"/>
    <x v="39"/>
    <x v="64"/>
    <n v="42456"/>
  </r>
  <r>
    <x v="7"/>
    <x v="129"/>
    <x v="64"/>
    <n v="40410"/>
  </r>
  <r>
    <x v="16"/>
    <x v="162"/>
    <x v="65"/>
    <n v="13160"/>
  </r>
  <r>
    <x v="5"/>
    <x v="17"/>
    <x v="65"/>
    <n v="26683"/>
  </r>
  <r>
    <x v="3"/>
    <x v="73"/>
    <x v="65"/>
    <n v="18321"/>
  </r>
  <r>
    <x v="4"/>
    <x v="31"/>
    <x v="65"/>
    <n v="28867"/>
  </r>
  <r>
    <x v="7"/>
    <x v="171"/>
    <x v="65"/>
    <n v="42166"/>
  </r>
  <r>
    <x v="0"/>
    <x v="126"/>
    <x v="66"/>
    <n v="31793"/>
  </r>
  <r>
    <x v="11"/>
    <x v="72"/>
    <x v="66"/>
    <n v="11582"/>
  </r>
  <r>
    <x v="17"/>
    <x v="115"/>
    <x v="66"/>
    <n v="10519"/>
  </r>
  <r>
    <x v="4"/>
    <x v="76"/>
    <x v="66"/>
    <n v="45077"/>
  </r>
  <r>
    <x v="7"/>
    <x v="38"/>
    <x v="66"/>
    <n v="57210"/>
  </r>
  <r>
    <x v="7"/>
    <x v="67"/>
    <x v="66"/>
    <n v="44936"/>
  </r>
  <r>
    <x v="7"/>
    <x v="40"/>
    <x v="66"/>
    <n v="29031"/>
  </r>
  <r>
    <x v="7"/>
    <x v="59"/>
    <x v="66"/>
    <n v="51678"/>
  </r>
  <r>
    <x v="7"/>
    <x v="78"/>
    <x v="66"/>
    <n v="27357"/>
  </r>
  <r>
    <x v="0"/>
    <x v="16"/>
    <x v="67"/>
    <n v="21814"/>
  </r>
  <r>
    <x v="1"/>
    <x v="193"/>
    <x v="67"/>
    <n v="15729"/>
  </r>
  <r>
    <x v="18"/>
    <x v="180"/>
    <x v="67"/>
    <n v="11414"/>
  </r>
  <r>
    <x v="3"/>
    <x v="198"/>
    <x v="67"/>
    <n v="15926"/>
  </r>
  <r>
    <x v="3"/>
    <x v="196"/>
    <x v="67"/>
    <n v="13193"/>
  </r>
  <r>
    <x v="12"/>
    <x v="235"/>
    <x v="67"/>
    <n v="12808"/>
  </r>
  <r>
    <x v="14"/>
    <x v="101"/>
    <x v="67"/>
    <n v="13220"/>
  </r>
  <r>
    <x v="4"/>
    <x v="148"/>
    <x v="67"/>
    <n v="19244"/>
  </r>
  <r>
    <x v="6"/>
    <x v="129"/>
    <x v="67"/>
    <n v="33604"/>
  </r>
  <r>
    <x v="7"/>
    <x v="128"/>
    <x v="67"/>
    <n v="47084"/>
  </r>
  <r>
    <x v="7"/>
    <x v="186"/>
    <x v="67"/>
    <n v="28436"/>
  </r>
  <r>
    <x v="7"/>
    <x v="90"/>
    <x v="67"/>
    <n v="51322"/>
  </r>
  <r>
    <x v="16"/>
    <x v="94"/>
    <x v="68"/>
    <n v="13197"/>
  </r>
  <r>
    <x v="0"/>
    <x v="131"/>
    <x v="68"/>
    <n v="31402"/>
  </r>
  <r>
    <x v="0"/>
    <x v="173"/>
    <x v="68"/>
    <n v="22767"/>
  </r>
  <r>
    <x v="1"/>
    <x v="207"/>
    <x v="68"/>
    <n v="17639"/>
  </r>
  <r>
    <x v="2"/>
    <x v="154"/>
    <x v="68"/>
    <n v="13333"/>
  </r>
  <r>
    <x v="3"/>
    <x v="210"/>
    <x v="68"/>
    <n v="5200"/>
  </r>
  <r>
    <x v="12"/>
    <x v="28"/>
    <x v="68"/>
    <n v="10163"/>
  </r>
  <r>
    <x v="12"/>
    <x v="199"/>
    <x v="68"/>
    <n v="11858"/>
  </r>
  <r>
    <x v="7"/>
    <x v="190"/>
    <x v="68"/>
    <n v="29092"/>
  </r>
  <r>
    <x v="7"/>
    <x v="105"/>
    <x v="68"/>
    <n v="50942"/>
  </r>
  <r>
    <x v="7"/>
    <x v="118"/>
    <x v="68"/>
    <n v="38157"/>
  </r>
  <r>
    <x v="7"/>
    <x v="41"/>
    <x v="68"/>
    <n v="42675"/>
  </r>
  <r>
    <x v="0"/>
    <x v="144"/>
    <x v="69"/>
    <n v="26575"/>
  </r>
  <r>
    <x v="0"/>
    <x v="192"/>
    <x v="69"/>
    <n v="17476"/>
  </r>
  <r>
    <x v="1"/>
    <x v="62"/>
    <x v="69"/>
    <n v="12194"/>
  </r>
  <r>
    <x v="6"/>
    <x v="197"/>
    <x v="69"/>
    <n v="34251"/>
  </r>
  <r>
    <x v="7"/>
    <x v="48"/>
    <x v="69"/>
    <n v="49683"/>
  </r>
  <r>
    <x v="7"/>
    <x v="203"/>
    <x v="69"/>
    <n v="51969"/>
  </r>
  <r>
    <x v="0"/>
    <x v="191"/>
    <x v="70"/>
    <n v="27320"/>
  </r>
  <r>
    <x v="0"/>
    <x v="136"/>
    <x v="70"/>
    <n v="27508"/>
  </r>
  <r>
    <x v="0"/>
    <x v="206"/>
    <x v="70"/>
    <n v="28964"/>
  </r>
  <r>
    <x v="1"/>
    <x v="232"/>
    <x v="70"/>
    <n v="13835"/>
  </r>
  <r>
    <x v="7"/>
    <x v="14"/>
    <x v="70"/>
    <n v="39440"/>
  </r>
  <r>
    <x v="7"/>
    <x v="223"/>
    <x v="70"/>
    <n v="46145"/>
  </r>
  <r>
    <x v="7"/>
    <x v="68"/>
    <x v="70"/>
    <n v="37562"/>
  </r>
  <r>
    <x v="7"/>
    <x v="50"/>
    <x v="70"/>
    <n v="39492"/>
  </r>
  <r>
    <x v="7"/>
    <x v="51"/>
    <x v="70"/>
    <n v="43382"/>
  </r>
  <r>
    <x v="11"/>
    <x v="27"/>
    <x v="71"/>
    <n v="15287"/>
  </r>
  <r>
    <x v="6"/>
    <x v="110"/>
    <x v="71"/>
    <n v="29182"/>
  </r>
  <r>
    <x v="7"/>
    <x v="171"/>
    <x v="71"/>
    <n v="31268"/>
  </r>
  <r>
    <x v="7"/>
    <x v="128"/>
    <x v="71"/>
    <n v="35369"/>
  </r>
  <r>
    <x v="7"/>
    <x v="158"/>
    <x v="71"/>
    <n v="44247"/>
  </r>
  <r>
    <x v="7"/>
    <x v="14"/>
    <x v="71"/>
    <n v="49716"/>
  </r>
  <r>
    <x v="7"/>
    <x v="105"/>
    <x v="71"/>
    <n v="59639"/>
  </r>
  <r>
    <x v="7"/>
    <x v="204"/>
    <x v="71"/>
    <n v="46539"/>
  </r>
  <r>
    <x v="7"/>
    <x v="49"/>
    <x v="71"/>
    <n v="25666"/>
  </r>
  <r>
    <x v="7"/>
    <x v="223"/>
    <x v="71"/>
    <n v="38085"/>
  </r>
  <r>
    <x v="7"/>
    <x v="118"/>
    <x v="71"/>
    <n v="35693"/>
  </r>
  <r>
    <x v="7"/>
    <x v="41"/>
    <x v="71"/>
    <n v="43517"/>
  </r>
  <r>
    <x v="16"/>
    <x v="114"/>
    <x v="72"/>
    <n v="12006"/>
  </r>
  <r>
    <x v="3"/>
    <x v="92"/>
    <x v="72"/>
    <n v="15252"/>
  </r>
  <r>
    <x v="9"/>
    <x v="74"/>
    <x v="72"/>
    <n v="19618"/>
  </r>
  <r>
    <x v="9"/>
    <x v="214"/>
    <x v="72"/>
    <n v="16635"/>
  </r>
  <r>
    <x v="4"/>
    <x v="103"/>
    <x v="72"/>
    <n v="12547"/>
  </r>
  <r>
    <x v="6"/>
    <x v="236"/>
    <x v="72"/>
    <n v="51139"/>
  </r>
  <r>
    <x v="6"/>
    <x v="125"/>
    <x v="72"/>
    <n v="43258"/>
  </r>
  <r>
    <x v="7"/>
    <x v="14"/>
    <x v="72"/>
    <n v="44585"/>
  </r>
  <r>
    <x v="7"/>
    <x v="34"/>
    <x v="72"/>
    <n v="40254"/>
  </r>
  <r>
    <x v="7"/>
    <x v="50"/>
    <x v="72"/>
    <n v="29179"/>
  </r>
  <r>
    <x v="7"/>
    <x v="50"/>
    <x v="72"/>
    <n v="38552"/>
  </r>
  <r>
    <x v="0"/>
    <x v="111"/>
    <x v="73"/>
    <n v="37715"/>
  </r>
  <r>
    <x v="1"/>
    <x v="107"/>
    <x v="73"/>
    <n v="15912"/>
  </r>
  <r>
    <x v="3"/>
    <x v="155"/>
    <x v="73"/>
    <n v="13124"/>
  </r>
  <r>
    <x v="7"/>
    <x v="134"/>
    <x v="73"/>
    <n v="38137"/>
  </r>
  <r>
    <x v="7"/>
    <x v="56"/>
    <x v="73"/>
    <n v="28271"/>
  </r>
  <r>
    <x v="7"/>
    <x v="14"/>
    <x v="73"/>
    <n v="35441"/>
  </r>
  <r>
    <x v="7"/>
    <x v="51"/>
    <x v="73"/>
    <n v="52739"/>
  </r>
  <r>
    <x v="16"/>
    <x v="130"/>
    <x v="74"/>
    <n v="25132"/>
  </r>
  <r>
    <x v="0"/>
    <x v="70"/>
    <x v="74"/>
    <n v="27217"/>
  </r>
  <r>
    <x v="0"/>
    <x v="105"/>
    <x v="74"/>
    <n v="47898"/>
  </r>
  <r>
    <x v="0"/>
    <x v="145"/>
    <x v="74"/>
    <n v="29855"/>
  </r>
  <r>
    <x v="0"/>
    <x v="185"/>
    <x v="74"/>
    <n v="20081"/>
  </r>
  <r>
    <x v="9"/>
    <x v="182"/>
    <x v="74"/>
    <n v="12501"/>
  </r>
  <r>
    <x v="19"/>
    <x v="183"/>
    <x v="74"/>
    <n v="7858"/>
  </r>
  <r>
    <x v="4"/>
    <x v="195"/>
    <x v="74"/>
    <n v="16975"/>
  </r>
  <r>
    <x v="6"/>
    <x v="151"/>
    <x v="74"/>
    <n v="29209"/>
  </r>
  <r>
    <x v="6"/>
    <x v="142"/>
    <x v="74"/>
    <n v="49021"/>
  </r>
  <r>
    <x v="7"/>
    <x v="112"/>
    <x v="74"/>
    <n v="41721"/>
  </r>
  <r>
    <x v="7"/>
    <x v="203"/>
    <x v="74"/>
    <n v="38905"/>
  </r>
  <r>
    <x v="7"/>
    <x v="159"/>
    <x v="74"/>
    <n v="37242"/>
  </r>
  <r>
    <x v="7"/>
    <x v="40"/>
    <x v="74"/>
    <n v="34593"/>
  </r>
  <r>
    <x v="7"/>
    <x v="40"/>
    <x v="74"/>
    <n v="32489"/>
  </r>
  <r>
    <x v="16"/>
    <x v="143"/>
    <x v="75"/>
    <n v="14332"/>
  </r>
  <r>
    <x v="15"/>
    <x v="52"/>
    <x v="75"/>
    <n v="11661"/>
  </r>
  <r>
    <x v="0"/>
    <x v="0"/>
    <x v="75"/>
    <n v="20674"/>
  </r>
  <r>
    <x v="11"/>
    <x v="61"/>
    <x v="75"/>
    <n v="12135"/>
  </r>
  <r>
    <x v="11"/>
    <x v="43"/>
    <x v="75"/>
    <n v="10467"/>
  </r>
  <r>
    <x v="8"/>
    <x v="99"/>
    <x v="75"/>
    <n v="23001"/>
  </r>
  <r>
    <x v="2"/>
    <x v="3"/>
    <x v="75"/>
    <n v="11787"/>
  </r>
  <r>
    <x v="3"/>
    <x v="234"/>
    <x v="75"/>
    <n v="5911"/>
  </r>
  <r>
    <x v="4"/>
    <x v="227"/>
    <x v="75"/>
    <n v="22240"/>
  </r>
  <r>
    <x v="4"/>
    <x v="47"/>
    <x v="75"/>
    <n v="18749"/>
  </r>
  <r>
    <x v="6"/>
    <x v="53"/>
    <x v="75"/>
    <n v="36259"/>
  </r>
  <r>
    <x v="6"/>
    <x v="186"/>
    <x v="75"/>
    <n v="27113"/>
  </r>
  <r>
    <x v="6"/>
    <x v="123"/>
    <x v="75"/>
    <n v="32691"/>
  </r>
  <r>
    <x v="6"/>
    <x v="11"/>
    <x v="75"/>
    <n v="45913"/>
  </r>
  <r>
    <x v="7"/>
    <x v="134"/>
    <x v="75"/>
    <n v="30759"/>
  </r>
  <r>
    <x v="7"/>
    <x v="190"/>
    <x v="75"/>
    <n v="36888"/>
  </r>
  <r>
    <x v="7"/>
    <x v="14"/>
    <x v="75"/>
    <n v="33175"/>
  </r>
  <r>
    <x v="7"/>
    <x v="160"/>
    <x v="75"/>
    <n v="35215"/>
  </r>
  <r>
    <x v="13"/>
    <x v="35"/>
    <x v="76"/>
    <n v="5200"/>
  </r>
  <r>
    <x v="16"/>
    <x v="79"/>
    <x v="76"/>
    <n v="13942"/>
  </r>
  <r>
    <x v="0"/>
    <x v="95"/>
    <x v="76"/>
    <n v="38450"/>
  </r>
  <r>
    <x v="8"/>
    <x v="83"/>
    <x v="76"/>
    <n v="12976"/>
  </r>
  <r>
    <x v="2"/>
    <x v="8"/>
    <x v="76"/>
    <n v="5200"/>
  </r>
  <r>
    <x v="3"/>
    <x v="85"/>
    <x v="76"/>
    <n v="14826"/>
  </r>
  <r>
    <x v="19"/>
    <x v="221"/>
    <x v="76"/>
    <n v="5200"/>
  </r>
  <r>
    <x v="14"/>
    <x v="157"/>
    <x v="76"/>
    <n v="11379"/>
  </r>
  <r>
    <x v="4"/>
    <x v="87"/>
    <x v="76"/>
    <n v="39134"/>
  </r>
  <r>
    <x v="6"/>
    <x v="22"/>
    <x v="76"/>
    <n v="19728"/>
  </r>
  <r>
    <x v="7"/>
    <x v="77"/>
    <x v="76"/>
    <n v="46831"/>
  </r>
  <r>
    <x v="7"/>
    <x v="158"/>
    <x v="76"/>
    <n v="39089"/>
  </r>
  <r>
    <x v="7"/>
    <x v="39"/>
    <x v="76"/>
    <n v="47860"/>
  </r>
  <r>
    <x v="0"/>
    <x v="106"/>
    <x v="77"/>
    <n v="29783"/>
  </r>
  <r>
    <x v="8"/>
    <x v="18"/>
    <x v="77"/>
    <n v="12999"/>
  </r>
  <r>
    <x v="3"/>
    <x v="220"/>
    <x v="77"/>
    <n v="14982"/>
  </r>
  <r>
    <x v="9"/>
    <x v="166"/>
    <x v="77"/>
    <n v="17662"/>
  </r>
  <r>
    <x v="4"/>
    <x v="140"/>
    <x v="77"/>
    <n v="17812"/>
  </r>
  <r>
    <x v="6"/>
    <x v="88"/>
    <x v="77"/>
    <n v="14718"/>
  </r>
  <r>
    <x v="6"/>
    <x v="222"/>
    <x v="77"/>
    <n v="41101"/>
  </r>
  <r>
    <x v="6"/>
    <x v="133"/>
    <x v="77"/>
    <n v="44115"/>
  </r>
  <r>
    <x v="6"/>
    <x v="6"/>
    <x v="77"/>
    <n v="35315"/>
  </r>
  <r>
    <x v="7"/>
    <x v="128"/>
    <x v="77"/>
    <n v="49070"/>
  </r>
  <r>
    <x v="7"/>
    <x v="42"/>
    <x v="77"/>
    <n v="30230"/>
  </r>
  <r>
    <x v="7"/>
    <x v="161"/>
    <x v="77"/>
    <n v="30845"/>
  </r>
  <r>
    <x v="7"/>
    <x v="78"/>
    <x v="77"/>
    <n v="32350"/>
  </r>
  <r>
    <x v="16"/>
    <x v="69"/>
    <x v="78"/>
    <n v="13131"/>
  </r>
  <r>
    <x v="0"/>
    <x v="172"/>
    <x v="78"/>
    <n v="35880"/>
  </r>
  <r>
    <x v="8"/>
    <x v="63"/>
    <x v="78"/>
    <n v="5200"/>
  </r>
  <r>
    <x v="8"/>
    <x v="153"/>
    <x v="78"/>
    <n v="15068"/>
  </r>
  <r>
    <x v="3"/>
    <x v="19"/>
    <x v="78"/>
    <n v="13871"/>
  </r>
  <r>
    <x v="9"/>
    <x v="226"/>
    <x v="78"/>
    <n v="15883"/>
  </r>
  <r>
    <x v="6"/>
    <x v="169"/>
    <x v="78"/>
    <n v="11766"/>
  </r>
  <r>
    <x v="6"/>
    <x v="216"/>
    <x v="78"/>
    <n v="40542"/>
  </r>
  <r>
    <x v="6"/>
    <x v="23"/>
    <x v="78"/>
    <n v="30469"/>
  </r>
  <r>
    <x v="7"/>
    <x v="38"/>
    <x v="78"/>
    <n v="41317"/>
  </r>
  <r>
    <x v="7"/>
    <x v="159"/>
    <x v="78"/>
    <n v="32861"/>
  </r>
  <r>
    <x v="0"/>
    <x v="60"/>
    <x v="79"/>
    <n v="29069"/>
  </r>
  <r>
    <x v="0"/>
    <x v="71"/>
    <x v="79"/>
    <n v="33186"/>
  </r>
  <r>
    <x v="0"/>
    <x v="26"/>
    <x v="79"/>
    <n v="13989"/>
  </r>
  <r>
    <x v="0"/>
    <x v="41"/>
    <x v="79"/>
    <n v="47321"/>
  </r>
  <r>
    <x v="11"/>
    <x v="231"/>
    <x v="79"/>
    <n v="15426"/>
  </r>
  <r>
    <x v="9"/>
    <x v="212"/>
    <x v="79"/>
    <n v="31283"/>
  </r>
  <r>
    <x v="4"/>
    <x v="218"/>
    <x v="79"/>
    <n v="24351"/>
  </r>
  <r>
    <x v="6"/>
    <x v="229"/>
    <x v="79"/>
    <n v="49464"/>
  </r>
  <r>
    <x v="6"/>
    <x v="32"/>
    <x v="79"/>
    <n v="31813"/>
  </r>
  <r>
    <x v="6"/>
    <x v="105"/>
    <x v="79"/>
    <n v="43123"/>
  </r>
  <r>
    <x v="6"/>
    <x v="93"/>
    <x v="79"/>
    <n v="27205"/>
  </r>
  <r>
    <x v="7"/>
    <x v="203"/>
    <x v="79"/>
    <n v="48647"/>
  </r>
  <r>
    <x v="7"/>
    <x v="24"/>
    <x v="79"/>
    <n v="36063"/>
  </r>
  <r>
    <x v="7"/>
    <x v="40"/>
    <x v="79"/>
    <n v="33621"/>
  </r>
  <r>
    <x v="3"/>
    <x v="211"/>
    <x v="80"/>
    <n v="16288"/>
  </r>
  <r>
    <x v="14"/>
    <x v="36"/>
    <x v="80"/>
    <n v="5200"/>
  </r>
  <r>
    <x v="4"/>
    <x v="201"/>
    <x v="80"/>
    <n v="16065"/>
  </r>
  <r>
    <x v="6"/>
    <x v="121"/>
    <x v="80"/>
    <n v="29109"/>
  </r>
  <r>
    <x v="7"/>
    <x v="112"/>
    <x v="80"/>
    <n v="42305"/>
  </r>
  <r>
    <x v="7"/>
    <x v="77"/>
    <x v="80"/>
    <n v="48274"/>
  </r>
  <r>
    <x v="7"/>
    <x v="113"/>
    <x v="80"/>
    <n v="30976"/>
  </r>
  <r>
    <x v="7"/>
    <x v="42"/>
    <x v="80"/>
    <n v="32230"/>
  </r>
  <r>
    <x v="7"/>
    <x v="168"/>
    <x v="80"/>
    <n v="48418"/>
  </r>
  <r>
    <x v="7"/>
    <x v="1"/>
    <x v="80"/>
    <n v="32444"/>
  </r>
  <r>
    <x v="7"/>
    <x v="41"/>
    <x v="80"/>
    <n v="41649"/>
  </r>
  <r>
    <x v="5"/>
    <x v="97"/>
    <x v="81"/>
    <n v="15435"/>
  </r>
  <r>
    <x v="8"/>
    <x v="165"/>
    <x v="81"/>
    <n v="12237"/>
  </r>
  <r>
    <x v="8"/>
    <x v="187"/>
    <x v="81"/>
    <n v="10662"/>
  </r>
  <r>
    <x v="9"/>
    <x v="213"/>
    <x v="81"/>
    <n v="17372"/>
  </r>
  <r>
    <x v="19"/>
    <x v="200"/>
    <x v="81"/>
    <n v="12972"/>
  </r>
  <r>
    <x v="4"/>
    <x v="30"/>
    <x v="81"/>
    <n v="28199"/>
  </r>
  <r>
    <x v="6"/>
    <x v="186"/>
    <x v="81"/>
    <n v="34339"/>
  </r>
  <r>
    <x v="6"/>
    <x v="117"/>
    <x v="81"/>
    <n v="42202"/>
  </r>
  <r>
    <x v="6"/>
    <x v="37"/>
    <x v="81"/>
    <n v="27396"/>
  </r>
  <r>
    <x v="6"/>
    <x v="91"/>
    <x v="81"/>
    <n v="22459"/>
  </r>
  <r>
    <x v="7"/>
    <x v="12"/>
    <x v="81"/>
    <n v="36338"/>
  </r>
  <r>
    <x v="7"/>
    <x v="129"/>
    <x v="81"/>
    <n v="40056"/>
  </r>
  <r>
    <x v="7"/>
    <x v="105"/>
    <x v="81"/>
    <n v="46272"/>
  </r>
  <r>
    <x v="7"/>
    <x v="68"/>
    <x v="81"/>
    <n v="31394"/>
  </r>
  <r>
    <x v="7"/>
    <x v="25"/>
    <x v="81"/>
    <n v="48222"/>
  </r>
  <r>
    <x v="5"/>
    <x v="146"/>
    <x v="82"/>
    <n v="20306"/>
  </r>
  <r>
    <x v="11"/>
    <x v="164"/>
    <x v="82"/>
    <n v="6233"/>
  </r>
  <r>
    <x v="1"/>
    <x v="2"/>
    <x v="82"/>
    <n v="8734"/>
  </r>
  <r>
    <x v="2"/>
    <x v="174"/>
    <x v="82"/>
    <n v="12414"/>
  </r>
  <r>
    <x v="4"/>
    <x v="66"/>
    <x v="82"/>
    <n v="36169"/>
  </r>
  <r>
    <x v="4"/>
    <x v="116"/>
    <x v="82"/>
    <n v="19420"/>
  </r>
  <r>
    <x v="4"/>
    <x v="228"/>
    <x v="82"/>
    <n v="20801"/>
  </r>
  <r>
    <x v="6"/>
    <x v="55"/>
    <x v="82"/>
    <n v="30798"/>
  </r>
  <r>
    <x v="7"/>
    <x v="33"/>
    <x v="82"/>
    <n v="44536"/>
  </r>
  <r>
    <x v="7"/>
    <x v="59"/>
    <x v="82"/>
    <n v="39141"/>
  </r>
  <r>
    <x v="7"/>
    <x v="34"/>
    <x v="82"/>
    <n v="36240"/>
  </r>
  <r>
    <x v="7"/>
    <x v="230"/>
    <x v="82"/>
    <n v="32906"/>
  </r>
  <r>
    <x v="0"/>
    <x v="96"/>
    <x v="83"/>
    <n v="28947"/>
  </r>
  <r>
    <x v="3"/>
    <x v="4"/>
    <x v="83"/>
    <n v="14426"/>
  </r>
  <r>
    <x v="14"/>
    <x v="138"/>
    <x v="83"/>
    <n v="12046"/>
  </r>
  <r>
    <x v="4"/>
    <x v="150"/>
    <x v="83"/>
    <n v="21213"/>
  </r>
  <r>
    <x v="7"/>
    <x v="14"/>
    <x v="83"/>
    <n v="48856"/>
  </r>
  <r>
    <x v="7"/>
    <x v="68"/>
    <x v="83"/>
    <n v="28228"/>
  </r>
  <r>
    <x v="8"/>
    <x v="209"/>
    <x v="84"/>
    <n v="5200"/>
  </r>
  <r>
    <x v="4"/>
    <x v="184"/>
    <x v="84"/>
    <n v="23681"/>
  </r>
  <r>
    <x v="4"/>
    <x v="9"/>
    <x v="84"/>
    <n v="37823"/>
  </r>
  <r>
    <x v="6"/>
    <x v="23"/>
    <x v="84"/>
    <n v="38911"/>
  </r>
  <r>
    <x v="6"/>
    <x v="10"/>
    <x v="84"/>
    <n v="28519"/>
  </r>
  <r>
    <x v="7"/>
    <x v="113"/>
    <x v="84"/>
    <n v="31797"/>
  </r>
  <r>
    <x v="7"/>
    <x v="160"/>
    <x v="84"/>
    <n v="39366"/>
  </r>
  <r>
    <x v="7"/>
    <x v="152"/>
    <x v="84"/>
    <n v="64289"/>
  </r>
  <r>
    <x v="0"/>
    <x v="136"/>
    <x v="85"/>
    <n v="24467"/>
  </r>
  <r>
    <x v="0"/>
    <x v="58"/>
    <x v="85"/>
    <n v="31790"/>
  </r>
  <r>
    <x v="0"/>
    <x v="137"/>
    <x v="85"/>
    <n v="24068"/>
  </r>
  <r>
    <x v="7"/>
    <x v="57"/>
    <x v="85"/>
    <n v="53577"/>
  </r>
  <r>
    <x v="7"/>
    <x v="39"/>
    <x v="85"/>
    <n v="65651"/>
  </r>
  <r>
    <x v="7"/>
    <x v="50"/>
    <x v="85"/>
    <n v="32236"/>
  </r>
  <r>
    <x v="11"/>
    <x v="132"/>
    <x v="86"/>
    <n v="12761"/>
  </r>
  <r>
    <x v="1"/>
    <x v="120"/>
    <x v="86"/>
    <n v="16582"/>
  </r>
  <r>
    <x v="9"/>
    <x v="75"/>
    <x v="86"/>
    <n v="16794"/>
  </r>
  <r>
    <x v="14"/>
    <x v="54"/>
    <x v="86"/>
    <n v="11113"/>
  </r>
  <r>
    <x v="4"/>
    <x v="141"/>
    <x v="86"/>
    <n v="24658"/>
  </r>
  <r>
    <x v="6"/>
    <x v="202"/>
    <x v="86"/>
    <n v="44932"/>
  </r>
  <r>
    <x v="6"/>
    <x v="89"/>
    <x v="86"/>
    <n v="27454"/>
  </r>
  <r>
    <x v="6"/>
    <x v="23"/>
    <x v="86"/>
    <n v="35143"/>
  </r>
  <r>
    <x v="7"/>
    <x v="134"/>
    <x v="86"/>
    <n v="37407"/>
  </r>
  <r>
    <x v="7"/>
    <x v="12"/>
    <x v="86"/>
    <n v="54184"/>
  </r>
  <r>
    <x v="7"/>
    <x v="161"/>
    <x v="86"/>
    <n v="30162"/>
  </r>
  <r>
    <x v="11"/>
    <x v="119"/>
    <x v="87"/>
    <n v="6582"/>
  </r>
  <r>
    <x v="9"/>
    <x v="139"/>
    <x v="87"/>
    <n v="17879"/>
  </r>
  <r>
    <x v="6"/>
    <x v="122"/>
    <x v="87"/>
    <n v="24807"/>
  </r>
  <r>
    <x v="7"/>
    <x v="12"/>
    <x v="87"/>
    <n v="54147"/>
  </r>
  <r>
    <x v="0"/>
    <x v="15"/>
    <x v="88"/>
    <n v="18565"/>
  </r>
  <r>
    <x v="0"/>
    <x v="13"/>
    <x v="88"/>
    <n v="35521"/>
  </r>
  <r>
    <x v="5"/>
    <x v="98"/>
    <x v="88"/>
    <n v="12889"/>
  </r>
  <r>
    <x v="8"/>
    <x v="233"/>
    <x v="88"/>
    <n v="13699"/>
  </r>
  <r>
    <x v="8"/>
    <x v="208"/>
    <x v="88"/>
    <n v="12879"/>
  </r>
  <r>
    <x v="9"/>
    <x v="86"/>
    <x v="88"/>
    <n v="17268"/>
  </r>
  <r>
    <x v="9"/>
    <x v="167"/>
    <x v="88"/>
    <n v="14223"/>
  </r>
  <r>
    <x v="6"/>
    <x v="81"/>
    <x v="88"/>
    <n v="18578"/>
  </r>
  <r>
    <x v="7"/>
    <x v="77"/>
    <x v="88"/>
    <n v="39425"/>
  </r>
  <r>
    <x v="7"/>
    <x v="33"/>
    <x v="88"/>
    <n v="37086"/>
  </r>
  <r>
    <x v="7"/>
    <x v="67"/>
    <x v="88"/>
    <n v="41742"/>
  </r>
  <r>
    <x v="7"/>
    <x v="135"/>
    <x v="88"/>
    <n v="30420"/>
  </r>
  <r>
    <x v="13"/>
    <x v="224"/>
    <x v="89"/>
    <n v="10955"/>
  </r>
  <r>
    <x v="0"/>
    <x v="127"/>
    <x v="89"/>
    <n v="28572"/>
  </r>
  <r>
    <x v="0"/>
    <x v="80"/>
    <x v="89"/>
    <n v="21713"/>
  </r>
  <r>
    <x v="0"/>
    <x v="57"/>
    <x v="89"/>
    <n v="41763"/>
  </r>
  <r>
    <x v="11"/>
    <x v="219"/>
    <x v="89"/>
    <n v="15959"/>
  </r>
  <r>
    <x v="3"/>
    <x v="163"/>
    <x v="89"/>
    <n v="18210"/>
  </r>
  <r>
    <x v="6"/>
    <x v="32"/>
    <x v="89"/>
    <n v="28075"/>
  </r>
  <r>
    <x v="6"/>
    <x v="55"/>
    <x v="89"/>
    <n v="38744"/>
  </r>
  <r>
    <x v="6"/>
    <x v="25"/>
    <x v="89"/>
    <n v="42950"/>
  </r>
  <r>
    <x v="7"/>
    <x v="77"/>
    <x v="89"/>
    <n v="32079"/>
  </r>
  <r>
    <x v="7"/>
    <x v="67"/>
    <x v="89"/>
    <n v="32918"/>
  </r>
  <r>
    <x v="7"/>
    <x v="13"/>
    <x v="89"/>
    <n v="36405"/>
  </r>
  <r>
    <x v="7"/>
    <x v="58"/>
    <x v="89"/>
    <n v="38418"/>
  </r>
  <r>
    <x v="7"/>
    <x v="105"/>
    <x v="89"/>
    <n v="47529"/>
  </r>
  <r>
    <x v="7"/>
    <x v="51"/>
    <x v="89"/>
    <n v="56195"/>
  </r>
  <r>
    <x v="7"/>
    <x v="135"/>
    <x v="89"/>
    <n v="42276"/>
  </r>
  <r>
    <x v="7"/>
    <x v="41"/>
    <x v="89"/>
    <n v="46042"/>
  </r>
  <r>
    <x v="5"/>
    <x v="8"/>
    <x v="90"/>
    <n v="5200"/>
  </r>
  <r>
    <x v="4"/>
    <x v="31"/>
    <x v="90"/>
    <n v="10045"/>
  </r>
  <r>
    <x v="6"/>
    <x v="151"/>
    <x v="90"/>
    <n v="29836"/>
  </r>
  <r>
    <x v="6"/>
    <x v="202"/>
    <x v="90"/>
    <n v="44423"/>
  </r>
  <r>
    <x v="6"/>
    <x v="76"/>
    <x v="90"/>
    <n v="43826"/>
  </r>
  <r>
    <x v="6"/>
    <x v="6"/>
    <x v="90"/>
    <n v="34273"/>
  </r>
  <r>
    <x v="6"/>
    <x v="173"/>
    <x v="90"/>
    <n v="8592"/>
  </r>
  <r>
    <x v="7"/>
    <x v="118"/>
    <x v="90"/>
    <n v="32009"/>
  </r>
  <r>
    <x v="0"/>
    <x v="15"/>
    <x v="91"/>
    <n v="9987"/>
  </r>
  <r>
    <x v="2"/>
    <x v="174"/>
    <x v="91"/>
    <n v="12205"/>
  </r>
  <r>
    <x v="9"/>
    <x v="64"/>
    <x v="91"/>
    <n v="15226"/>
  </r>
  <r>
    <x v="9"/>
    <x v="214"/>
    <x v="91"/>
    <n v="16117"/>
  </r>
  <r>
    <x v="14"/>
    <x v="176"/>
    <x v="91"/>
    <n v="20525"/>
  </r>
  <r>
    <x v="6"/>
    <x v="123"/>
    <x v="91"/>
    <n v="28136"/>
  </r>
  <r>
    <x v="6"/>
    <x v="10"/>
    <x v="91"/>
    <n v="25014"/>
  </r>
  <r>
    <x v="7"/>
    <x v="134"/>
    <x v="91"/>
    <n v="26323"/>
  </r>
  <r>
    <x v="7"/>
    <x v="12"/>
    <x v="91"/>
    <n v="45914"/>
  </r>
  <r>
    <x v="7"/>
    <x v="158"/>
    <x v="91"/>
    <n v="38895"/>
  </r>
  <r>
    <x v="7"/>
    <x v="14"/>
    <x v="91"/>
    <n v="46547"/>
  </r>
  <r>
    <x v="16"/>
    <x v="114"/>
    <x v="92"/>
    <n v="12195"/>
  </r>
  <r>
    <x v="0"/>
    <x v="191"/>
    <x v="92"/>
    <n v="18959"/>
  </r>
  <r>
    <x v="1"/>
    <x v="120"/>
    <x v="92"/>
    <n v="5200"/>
  </r>
  <r>
    <x v="8"/>
    <x v="83"/>
    <x v="92"/>
    <n v="12645"/>
  </r>
  <r>
    <x v="8"/>
    <x v="44"/>
    <x v="92"/>
    <n v="12696"/>
  </r>
  <r>
    <x v="4"/>
    <x v="228"/>
    <x v="92"/>
    <n v="21382"/>
  </r>
  <r>
    <x v="7"/>
    <x v="78"/>
    <x v="92"/>
    <n v="25573"/>
  </r>
  <r>
    <x v="16"/>
    <x v="79"/>
    <x v="93"/>
    <n v="13238"/>
  </r>
  <r>
    <x v="0"/>
    <x v="186"/>
    <x v="93"/>
    <n v="38933"/>
  </r>
  <r>
    <x v="0"/>
    <x v="136"/>
    <x v="93"/>
    <n v="14061"/>
  </r>
  <r>
    <x v="0"/>
    <x v="91"/>
    <x v="93"/>
    <n v="22927"/>
  </r>
  <r>
    <x v="0"/>
    <x v="137"/>
    <x v="93"/>
    <n v="24363"/>
  </r>
  <r>
    <x v="8"/>
    <x v="233"/>
    <x v="93"/>
    <n v="13142"/>
  </r>
  <r>
    <x v="2"/>
    <x v="154"/>
    <x v="93"/>
    <n v="13971"/>
  </r>
  <r>
    <x v="3"/>
    <x v="234"/>
    <x v="93"/>
    <n v="5200"/>
  </r>
  <r>
    <x v="9"/>
    <x v="215"/>
    <x v="93"/>
    <n v="12244"/>
  </r>
  <r>
    <x v="6"/>
    <x v="236"/>
    <x v="93"/>
    <n v="49120"/>
  </r>
  <r>
    <x v="7"/>
    <x v="12"/>
    <x v="93"/>
    <n v="46639"/>
  </r>
  <r>
    <x v="7"/>
    <x v="24"/>
    <x v="93"/>
    <n v="42541"/>
  </r>
  <r>
    <x v="7"/>
    <x v="58"/>
    <x v="93"/>
    <n v="33638"/>
  </r>
  <r>
    <x v="7"/>
    <x v="59"/>
    <x v="93"/>
    <n v="42976"/>
  </r>
  <r>
    <x v="7"/>
    <x v="68"/>
    <x v="93"/>
    <n v="35233"/>
  </r>
  <r>
    <x v="7"/>
    <x v="230"/>
    <x v="93"/>
    <n v="49735"/>
  </r>
  <r>
    <x v="5"/>
    <x v="17"/>
    <x v="94"/>
    <n v="21491"/>
  </r>
  <r>
    <x v="3"/>
    <x v="210"/>
    <x v="94"/>
    <n v="5200"/>
  </r>
  <r>
    <x v="19"/>
    <x v="200"/>
    <x v="94"/>
    <n v="12894"/>
  </r>
  <r>
    <x v="6"/>
    <x v="170"/>
    <x v="94"/>
    <n v="25209"/>
  </r>
  <r>
    <x v="6"/>
    <x v="11"/>
    <x v="94"/>
    <n v="47903"/>
  </r>
  <r>
    <x v="7"/>
    <x v="12"/>
    <x v="94"/>
    <n v="46331"/>
  </r>
  <r>
    <x v="7"/>
    <x v="32"/>
    <x v="94"/>
    <n v="36824"/>
  </r>
  <r>
    <x v="7"/>
    <x v="223"/>
    <x v="94"/>
    <n v="50823"/>
  </r>
  <r>
    <x v="7"/>
    <x v="152"/>
    <x v="94"/>
    <n v="60027"/>
  </r>
  <r>
    <x v="16"/>
    <x v="69"/>
    <x v="95"/>
    <n v="11091"/>
  </r>
  <r>
    <x v="8"/>
    <x v="82"/>
    <x v="95"/>
    <n v="13130"/>
  </r>
  <r>
    <x v="8"/>
    <x v="63"/>
    <x v="95"/>
    <n v="5200"/>
  </r>
  <r>
    <x v="3"/>
    <x v="92"/>
    <x v="95"/>
    <n v="15267"/>
  </r>
  <r>
    <x v="4"/>
    <x v="87"/>
    <x v="95"/>
    <n v="6568"/>
  </r>
  <r>
    <x v="4"/>
    <x v="121"/>
    <x v="95"/>
    <n v="28398"/>
  </r>
  <r>
    <x v="6"/>
    <x v="55"/>
    <x v="95"/>
    <n v="23946"/>
  </r>
  <r>
    <x v="7"/>
    <x v="42"/>
    <x v="95"/>
    <n v="39036"/>
  </r>
  <r>
    <x v="7"/>
    <x v="223"/>
    <x v="95"/>
    <n v="43262"/>
  </r>
  <r>
    <x v="7"/>
    <x v="41"/>
    <x v="95"/>
    <n v="41138"/>
  </r>
  <r>
    <x v="0"/>
    <x v="48"/>
    <x v="96"/>
    <n v="35190"/>
  </r>
  <r>
    <x v="0"/>
    <x v="80"/>
    <x v="96"/>
    <n v="19286"/>
  </r>
  <r>
    <x v="0"/>
    <x v="111"/>
    <x v="96"/>
    <n v="24105"/>
  </r>
  <r>
    <x v="11"/>
    <x v="231"/>
    <x v="96"/>
    <n v="13275"/>
  </r>
  <r>
    <x v="9"/>
    <x v="74"/>
    <x v="96"/>
    <n v="19425"/>
  </r>
  <r>
    <x v="4"/>
    <x v="148"/>
    <x v="96"/>
    <n v="18102"/>
  </r>
  <r>
    <x v="6"/>
    <x v="222"/>
    <x v="96"/>
    <n v="41783"/>
  </r>
  <r>
    <x v="6"/>
    <x v="13"/>
    <x v="96"/>
    <n v="35808"/>
  </r>
  <r>
    <x v="6"/>
    <x v="103"/>
    <x v="96"/>
    <n v="27129"/>
  </r>
  <r>
    <x v="0"/>
    <x v="0"/>
    <x v="97"/>
    <n v="26491"/>
  </r>
  <r>
    <x v="0"/>
    <x v="142"/>
    <x v="97"/>
    <n v="49561"/>
  </r>
  <r>
    <x v="18"/>
    <x v="180"/>
    <x v="97"/>
    <n v="11597"/>
  </r>
  <r>
    <x v="8"/>
    <x v="153"/>
    <x v="97"/>
    <n v="14865"/>
  </r>
  <r>
    <x v="3"/>
    <x v="175"/>
    <x v="97"/>
    <n v="28304"/>
  </r>
  <r>
    <x v="4"/>
    <x v="140"/>
    <x v="97"/>
    <n v="21297"/>
  </r>
  <r>
    <x v="6"/>
    <x v="184"/>
    <x v="97"/>
    <n v="16970"/>
  </r>
  <r>
    <x v="6"/>
    <x v="110"/>
    <x v="97"/>
    <n v="27855"/>
  </r>
  <r>
    <x v="6"/>
    <x v="32"/>
    <x v="97"/>
    <n v="23161"/>
  </r>
  <r>
    <x v="6"/>
    <x v="22"/>
    <x v="97"/>
    <n v="32582"/>
  </r>
  <r>
    <x v="6"/>
    <x v="169"/>
    <x v="97"/>
    <n v="32302"/>
  </r>
  <r>
    <x v="7"/>
    <x v="171"/>
    <x v="97"/>
    <n v="30657"/>
  </r>
  <r>
    <x v="7"/>
    <x v="38"/>
    <x v="97"/>
    <n v="53699"/>
  </r>
  <r>
    <x v="7"/>
    <x v="42"/>
    <x v="97"/>
    <n v="25660"/>
  </r>
  <r>
    <x v="7"/>
    <x v="204"/>
    <x v="97"/>
    <n v="36975"/>
  </r>
  <r>
    <x v="16"/>
    <x v="94"/>
    <x v="98"/>
    <n v="12365"/>
  </r>
  <r>
    <x v="16"/>
    <x v="205"/>
    <x v="98"/>
    <n v="5200"/>
  </r>
  <r>
    <x v="0"/>
    <x v="24"/>
    <x v="98"/>
    <n v="41562"/>
  </r>
  <r>
    <x v="11"/>
    <x v="99"/>
    <x v="98"/>
    <n v="9281"/>
  </r>
  <r>
    <x v="8"/>
    <x v="18"/>
    <x v="98"/>
    <n v="9698"/>
  </r>
  <r>
    <x v="8"/>
    <x v="36"/>
    <x v="98"/>
    <n v="5200"/>
  </r>
  <r>
    <x v="8"/>
    <x v="209"/>
    <x v="98"/>
    <n v="11238"/>
  </r>
  <r>
    <x v="9"/>
    <x v="20"/>
    <x v="98"/>
    <n v="36441"/>
  </r>
  <r>
    <x v="4"/>
    <x v="177"/>
    <x v="98"/>
    <n v="20651"/>
  </r>
  <r>
    <x v="6"/>
    <x v="33"/>
    <x v="98"/>
    <n v="38470"/>
  </r>
  <r>
    <x v="6"/>
    <x v="168"/>
    <x v="98"/>
    <n v="25734"/>
  </r>
  <r>
    <x v="6"/>
    <x v="49"/>
    <x v="98"/>
    <n v="38260"/>
  </r>
  <r>
    <x v="6"/>
    <x v="216"/>
    <x v="98"/>
    <n v="43369"/>
  </r>
  <r>
    <x v="6"/>
    <x v="125"/>
    <x v="98"/>
    <n v="43067"/>
  </r>
  <r>
    <x v="7"/>
    <x v="77"/>
    <x v="98"/>
    <n v="40061"/>
  </r>
  <r>
    <x v="7"/>
    <x v="113"/>
    <x v="98"/>
    <n v="28208"/>
  </r>
  <r>
    <x v="7"/>
    <x v="39"/>
    <x v="98"/>
    <n v="42578"/>
  </r>
  <r>
    <x v="7"/>
    <x v="230"/>
    <x v="98"/>
    <n v="46404"/>
  </r>
  <r>
    <x v="7"/>
    <x v="1"/>
    <x v="98"/>
    <n v="39740"/>
  </r>
  <r>
    <x v="7"/>
    <x v="25"/>
    <x v="98"/>
    <n v="53697"/>
  </r>
  <r>
    <x v="6"/>
    <x v="51"/>
    <x v="99"/>
    <n v="50362"/>
  </r>
  <r>
    <x v="7"/>
    <x v="105"/>
    <x v="99"/>
    <n v="39970"/>
  </r>
  <r>
    <x v="7"/>
    <x v="204"/>
    <x v="99"/>
    <n v="52150"/>
  </r>
  <r>
    <x v="7"/>
    <x v="230"/>
    <x v="99"/>
    <n v="46795"/>
  </r>
  <r>
    <x v="8"/>
    <x v="165"/>
    <x v="100"/>
    <n v="12139"/>
  </r>
  <r>
    <x v="3"/>
    <x v="198"/>
    <x v="100"/>
    <n v="15440"/>
  </r>
  <r>
    <x v="9"/>
    <x v="188"/>
    <x v="100"/>
    <n v="8094"/>
  </r>
  <r>
    <x v="9"/>
    <x v="75"/>
    <x v="100"/>
    <n v="17049"/>
  </r>
  <r>
    <x v="4"/>
    <x v="5"/>
    <x v="100"/>
    <n v="5200"/>
  </r>
  <r>
    <x v="4"/>
    <x v="93"/>
    <x v="100"/>
    <n v="43216"/>
  </r>
  <r>
    <x v="6"/>
    <x v="53"/>
    <x v="100"/>
    <n v="31414"/>
  </r>
  <r>
    <x v="7"/>
    <x v="40"/>
    <x v="100"/>
    <n v="33612"/>
  </r>
  <r>
    <x v="0"/>
    <x v="60"/>
    <x v="101"/>
    <n v="29243"/>
  </r>
  <r>
    <x v="2"/>
    <x v="3"/>
    <x v="101"/>
    <n v="11309"/>
  </r>
  <r>
    <x v="9"/>
    <x v="182"/>
    <x v="101"/>
    <n v="21434"/>
  </r>
  <r>
    <x v="14"/>
    <x v="109"/>
    <x v="101"/>
    <n v="5200"/>
  </r>
  <r>
    <x v="6"/>
    <x v="38"/>
    <x v="101"/>
    <n v="52130"/>
  </r>
  <r>
    <x v="6"/>
    <x v="169"/>
    <x v="101"/>
    <n v="29881"/>
  </r>
  <r>
    <x v="6"/>
    <x v="6"/>
    <x v="101"/>
    <n v="39667"/>
  </r>
  <r>
    <x v="7"/>
    <x v="190"/>
    <x v="101"/>
    <n v="45811"/>
  </r>
  <r>
    <x v="7"/>
    <x v="24"/>
    <x v="101"/>
    <n v="38055"/>
  </r>
  <r>
    <x v="7"/>
    <x v="192"/>
    <x v="101"/>
    <n v="22066"/>
  </r>
  <r>
    <x v="7"/>
    <x v="59"/>
    <x v="101"/>
    <n v="44398"/>
  </r>
  <r>
    <x v="7"/>
    <x v="78"/>
    <x v="101"/>
    <n v="31843"/>
  </r>
  <r>
    <x v="7"/>
    <x v="135"/>
    <x v="101"/>
    <n v="36593"/>
  </r>
  <r>
    <x v="15"/>
    <x v="21"/>
    <x v="102"/>
    <n v="9682"/>
  </r>
  <r>
    <x v="0"/>
    <x v="131"/>
    <x v="102"/>
    <n v="24970"/>
  </r>
  <r>
    <x v="0"/>
    <x v="135"/>
    <x v="102"/>
    <n v="42094"/>
  </r>
  <r>
    <x v="11"/>
    <x v="147"/>
    <x v="102"/>
    <n v="16236"/>
  </r>
  <r>
    <x v="1"/>
    <x v="107"/>
    <x v="102"/>
    <n v="14482"/>
  </r>
  <r>
    <x v="14"/>
    <x v="157"/>
    <x v="102"/>
    <n v="9486"/>
  </r>
  <r>
    <x v="14"/>
    <x v="101"/>
    <x v="102"/>
    <n v="16717"/>
  </r>
  <r>
    <x v="4"/>
    <x v="227"/>
    <x v="102"/>
    <n v="23285"/>
  </r>
  <r>
    <x v="4"/>
    <x v="156"/>
    <x v="102"/>
    <n v="14275"/>
  </r>
  <r>
    <x v="6"/>
    <x v="122"/>
    <x v="102"/>
    <n v="33257"/>
  </r>
  <r>
    <x v="6"/>
    <x v="197"/>
    <x v="102"/>
    <n v="22727"/>
  </r>
  <r>
    <x v="7"/>
    <x v="113"/>
    <x v="102"/>
    <n v="32282"/>
  </r>
  <r>
    <x v="7"/>
    <x v="105"/>
    <x v="102"/>
    <n v="49269"/>
  </r>
  <r>
    <x v="7"/>
    <x v="1"/>
    <x v="102"/>
    <n v="41405"/>
  </r>
  <r>
    <x v="0"/>
    <x v="172"/>
    <x v="103"/>
    <n v="36188"/>
  </r>
  <r>
    <x v="5"/>
    <x v="97"/>
    <x v="103"/>
    <n v="14255"/>
  </r>
  <r>
    <x v="11"/>
    <x v="130"/>
    <x v="103"/>
    <n v="19948"/>
  </r>
  <r>
    <x v="1"/>
    <x v="193"/>
    <x v="103"/>
    <n v="17610"/>
  </r>
  <r>
    <x v="12"/>
    <x v="181"/>
    <x v="103"/>
    <n v="11451"/>
  </r>
  <r>
    <x v="9"/>
    <x v="226"/>
    <x v="103"/>
    <n v="15766"/>
  </r>
  <r>
    <x v="6"/>
    <x v="151"/>
    <x v="103"/>
    <n v="34370"/>
  </r>
  <r>
    <x v="6"/>
    <x v="229"/>
    <x v="103"/>
    <n v="47693"/>
  </r>
  <r>
    <x v="6"/>
    <x v="104"/>
    <x v="103"/>
    <n v="33453"/>
  </r>
  <r>
    <x v="7"/>
    <x v="49"/>
    <x v="103"/>
    <n v="44116"/>
  </r>
  <r>
    <x v="7"/>
    <x v="51"/>
    <x v="103"/>
    <n v="44906"/>
  </r>
  <r>
    <x v="7"/>
    <x v="152"/>
    <x v="103"/>
    <n v="59276"/>
  </r>
  <r>
    <x v="13"/>
    <x v="35"/>
    <x v="104"/>
    <n v="23785"/>
  </r>
  <r>
    <x v="11"/>
    <x v="43"/>
    <x v="104"/>
    <n v="15295"/>
  </r>
  <r>
    <x v="2"/>
    <x v="100"/>
    <x v="104"/>
    <n v="10932"/>
  </r>
  <r>
    <x v="3"/>
    <x v="155"/>
    <x v="104"/>
    <n v="5200"/>
  </r>
  <r>
    <x v="9"/>
    <x v="166"/>
    <x v="104"/>
    <n v="17742"/>
  </r>
  <r>
    <x v="14"/>
    <x v="46"/>
    <x v="104"/>
    <n v="12453"/>
  </r>
  <r>
    <x v="6"/>
    <x v="22"/>
    <x v="104"/>
    <n v="24224"/>
  </r>
  <r>
    <x v="6"/>
    <x v="37"/>
    <x v="104"/>
    <n v="33967"/>
  </r>
  <r>
    <x v="6"/>
    <x v="81"/>
    <x v="104"/>
    <n v="27500"/>
  </r>
  <r>
    <x v="7"/>
    <x v="48"/>
    <x v="104"/>
    <n v="37873"/>
  </r>
  <r>
    <x v="7"/>
    <x v="128"/>
    <x v="104"/>
    <n v="42565"/>
  </r>
  <r>
    <x v="7"/>
    <x v="203"/>
    <x v="104"/>
    <n v="42161"/>
  </r>
  <r>
    <x v="7"/>
    <x v="105"/>
    <x v="104"/>
    <n v="47247"/>
  </r>
  <r>
    <x v="7"/>
    <x v="50"/>
    <x v="104"/>
    <n v="43860"/>
  </r>
  <r>
    <x v="7"/>
    <x v="50"/>
    <x v="104"/>
    <n v="46878"/>
  </r>
  <r>
    <x v="7"/>
    <x v="51"/>
    <x v="104"/>
    <n v="57838"/>
  </r>
  <r>
    <x v="7"/>
    <x v="1"/>
    <x v="104"/>
    <n v="29765"/>
  </r>
  <r>
    <x v="7"/>
    <x v="135"/>
    <x v="104"/>
    <n v="35640"/>
  </r>
  <r>
    <x v="16"/>
    <x v="143"/>
    <x v="105"/>
    <n v="15077"/>
  </r>
  <r>
    <x v="0"/>
    <x v="206"/>
    <x v="105"/>
    <n v="27338"/>
  </r>
  <r>
    <x v="11"/>
    <x v="164"/>
    <x v="105"/>
    <n v="8157"/>
  </r>
  <r>
    <x v="12"/>
    <x v="235"/>
    <x v="105"/>
    <n v="12640"/>
  </r>
  <r>
    <x v="12"/>
    <x v="199"/>
    <x v="105"/>
    <n v="12154"/>
  </r>
  <r>
    <x v="9"/>
    <x v="139"/>
    <x v="105"/>
    <n v="18354"/>
  </r>
  <r>
    <x v="9"/>
    <x v="45"/>
    <x v="105"/>
    <n v="30819"/>
  </r>
  <r>
    <x v="6"/>
    <x v="37"/>
    <x v="105"/>
    <n v="27076"/>
  </r>
  <r>
    <x v="7"/>
    <x v="90"/>
    <x v="105"/>
    <n v="49163"/>
  </r>
  <r>
    <x v="7"/>
    <x v="68"/>
    <x v="105"/>
    <n v="33395"/>
  </r>
  <r>
    <x v="7"/>
    <x v="161"/>
    <x v="105"/>
    <n v="26936"/>
  </r>
  <r>
    <x v="5"/>
    <x v="146"/>
    <x v="106"/>
    <n v="22426"/>
  </r>
  <r>
    <x v="11"/>
    <x v="72"/>
    <x v="106"/>
    <n v="9371"/>
  </r>
  <r>
    <x v="1"/>
    <x v="62"/>
    <x v="106"/>
    <n v="11698"/>
  </r>
  <r>
    <x v="4"/>
    <x v="194"/>
    <x v="106"/>
    <n v="41842"/>
  </r>
  <r>
    <x v="4"/>
    <x v="189"/>
    <x v="106"/>
    <n v="26044"/>
  </r>
  <r>
    <x v="4"/>
    <x v="150"/>
    <x v="106"/>
    <n v="20992"/>
  </r>
  <r>
    <x v="6"/>
    <x v="33"/>
    <x v="106"/>
    <n v="37303"/>
  </r>
  <r>
    <x v="6"/>
    <x v="89"/>
    <x v="106"/>
    <n v="27448"/>
  </r>
  <r>
    <x v="7"/>
    <x v="48"/>
    <x v="106"/>
    <n v="33827"/>
  </r>
  <r>
    <x v="7"/>
    <x v="129"/>
    <x v="106"/>
    <n v="55775"/>
  </r>
  <r>
    <x v="7"/>
    <x v="160"/>
    <x v="106"/>
    <n v="17201"/>
  </r>
  <r>
    <x v="7"/>
    <x v="49"/>
    <x v="106"/>
    <n v="50527"/>
  </r>
  <r>
    <x v="7"/>
    <x v="16"/>
    <x v="106"/>
    <n v="20468"/>
  </r>
  <r>
    <x v="0"/>
    <x v="71"/>
    <x v="107"/>
    <n v="28178"/>
  </r>
  <r>
    <x v="14"/>
    <x v="54"/>
    <x v="107"/>
    <n v="11371"/>
  </r>
  <r>
    <x v="4"/>
    <x v="220"/>
    <x v="107"/>
    <n v="14822"/>
  </r>
  <r>
    <x v="6"/>
    <x v="118"/>
    <x v="107"/>
    <n v="45409"/>
  </r>
  <r>
    <x v="7"/>
    <x v="57"/>
    <x v="107"/>
    <n v="43448"/>
  </r>
  <r>
    <x v="7"/>
    <x v="67"/>
    <x v="107"/>
    <n v="44780"/>
  </r>
  <r>
    <x v="7"/>
    <x v="118"/>
    <x v="107"/>
    <n v="46107"/>
  </r>
  <r>
    <x v="0"/>
    <x v="96"/>
    <x v="108"/>
    <n v="28098"/>
  </r>
  <r>
    <x v="0"/>
    <x v="218"/>
    <x v="108"/>
    <n v="14050"/>
  </r>
  <r>
    <x v="2"/>
    <x v="108"/>
    <x v="108"/>
    <n v="11846"/>
  </r>
  <r>
    <x v="3"/>
    <x v="163"/>
    <x v="108"/>
    <n v="19637"/>
  </r>
  <r>
    <x v="17"/>
    <x v="115"/>
    <x v="108"/>
    <n v="10560"/>
  </r>
  <r>
    <x v="17"/>
    <x v="224"/>
    <x v="108"/>
    <n v="5200"/>
  </r>
  <r>
    <x v="9"/>
    <x v="213"/>
    <x v="108"/>
    <n v="17566"/>
  </r>
  <r>
    <x v="6"/>
    <x v="10"/>
    <x v="108"/>
    <n v="31544"/>
  </r>
  <r>
    <x v="7"/>
    <x v="56"/>
    <x v="108"/>
    <n v="35347"/>
  </r>
  <r>
    <x v="7"/>
    <x v="39"/>
    <x v="108"/>
    <n v="35046"/>
  </r>
  <r>
    <x v="7"/>
    <x v="67"/>
    <x v="108"/>
    <n v="34524"/>
  </r>
  <r>
    <x v="7"/>
    <x v="159"/>
    <x v="108"/>
    <n v="41588"/>
  </r>
  <r>
    <x v="7"/>
    <x v="59"/>
    <x v="108"/>
    <n v="47686"/>
  </r>
  <r>
    <x v="7"/>
    <x v="34"/>
    <x v="108"/>
    <n v="34902"/>
  </r>
  <r>
    <x v="0"/>
    <x v="26"/>
    <x v="109"/>
    <n v="16052"/>
  </r>
  <r>
    <x v="1"/>
    <x v="207"/>
    <x v="109"/>
    <n v="5200"/>
  </r>
  <r>
    <x v="2"/>
    <x v="84"/>
    <x v="109"/>
    <n v="14837"/>
  </r>
  <r>
    <x v="3"/>
    <x v="211"/>
    <x v="109"/>
    <n v="17019"/>
  </r>
  <r>
    <x v="3"/>
    <x v="85"/>
    <x v="109"/>
    <n v="14327"/>
  </r>
  <r>
    <x v="9"/>
    <x v="4"/>
    <x v="109"/>
    <n v="14042"/>
  </r>
  <r>
    <x v="19"/>
    <x v="221"/>
    <x v="109"/>
    <n v="9780"/>
  </r>
  <r>
    <x v="14"/>
    <x v="138"/>
    <x v="109"/>
    <n v="12438"/>
  </r>
  <r>
    <x v="14"/>
    <x v="232"/>
    <x v="109"/>
    <n v="11691"/>
  </r>
  <r>
    <x v="4"/>
    <x v="7"/>
    <x v="109"/>
    <n v="29250"/>
  </r>
  <r>
    <x v="6"/>
    <x v="229"/>
    <x v="109"/>
    <n v="32114"/>
  </r>
  <r>
    <x v="7"/>
    <x v="57"/>
    <x v="109"/>
    <n v="53807"/>
  </r>
  <r>
    <x v="7"/>
    <x v="25"/>
    <x v="109"/>
    <n v="42690"/>
  </r>
  <r>
    <x v="16"/>
    <x v="162"/>
    <x v="110"/>
    <n v="13078"/>
  </r>
  <r>
    <x v="0"/>
    <x v="141"/>
    <x v="110"/>
    <n v="23459"/>
  </r>
  <r>
    <x v="11"/>
    <x v="132"/>
    <x v="110"/>
    <n v="12819"/>
  </r>
  <r>
    <x v="8"/>
    <x v="187"/>
    <x v="110"/>
    <n v="10815"/>
  </r>
  <r>
    <x v="9"/>
    <x v="212"/>
    <x v="110"/>
    <n v="29406"/>
  </r>
  <r>
    <x v="19"/>
    <x v="183"/>
    <x v="110"/>
    <n v="11221"/>
  </r>
  <r>
    <x v="6"/>
    <x v="104"/>
    <x v="110"/>
    <n v="28114"/>
  </r>
  <r>
    <x v="7"/>
    <x v="203"/>
    <x v="110"/>
    <n v="36244"/>
  </r>
  <r>
    <x v="7"/>
    <x v="24"/>
    <x v="110"/>
    <n v="58522"/>
  </r>
  <r>
    <x v="7"/>
    <x v="34"/>
    <x v="110"/>
    <n v="39857"/>
  </r>
  <r>
    <x v="0"/>
    <x v="127"/>
    <x v="111"/>
    <n v="27462"/>
  </r>
  <r>
    <x v="0"/>
    <x v="126"/>
    <x v="111"/>
    <n v="30810"/>
  </r>
  <r>
    <x v="6"/>
    <x v="23"/>
    <x v="111"/>
    <n v="41111"/>
  </r>
  <r>
    <x v="7"/>
    <x v="190"/>
    <x v="111"/>
    <n v="43335"/>
  </r>
  <r>
    <x v="7"/>
    <x v="203"/>
    <x v="111"/>
    <n v="43023"/>
  </r>
  <r>
    <x v="7"/>
    <x v="38"/>
    <x v="111"/>
    <n v="39338"/>
  </r>
  <r>
    <x v="7"/>
    <x v="39"/>
    <x v="111"/>
    <n v="43028"/>
  </r>
  <r>
    <x v="7"/>
    <x v="24"/>
    <x v="111"/>
    <n v="56697"/>
  </r>
  <r>
    <x v="7"/>
    <x v="159"/>
    <x v="111"/>
    <n v="30423"/>
  </r>
  <r>
    <x v="15"/>
    <x v="52"/>
    <x v="112"/>
    <n v="11331"/>
  </r>
  <r>
    <x v="5"/>
    <x v="98"/>
    <x v="112"/>
    <n v="12041"/>
  </r>
  <r>
    <x v="11"/>
    <x v="61"/>
    <x v="112"/>
    <n v="11576"/>
  </r>
  <r>
    <x v="8"/>
    <x v="208"/>
    <x v="112"/>
    <n v="13464"/>
  </r>
  <r>
    <x v="9"/>
    <x v="167"/>
    <x v="112"/>
    <n v="18071"/>
  </r>
  <r>
    <x v="4"/>
    <x v="66"/>
    <x v="112"/>
    <n v="7178"/>
  </r>
  <r>
    <x v="6"/>
    <x v="81"/>
    <x v="112"/>
    <n v="38676"/>
  </r>
  <r>
    <x v="7"/>
    <x v="48"/>
    <x v="112"/>
    <n v="24116"/>
  </r>
  <r>
    <x v="7"/>
    <x v="49"/>
    <x v="112"/>
    <n v="40009"/>
  </r>
  <r>
    <x v="7"/>
    <x v="50"/>
    <x v="112"/>
    <n v="40691"/>
  </r>
  <r>
    <x v="7"/>
    <x v="1"/>
    <x v="112"/>
    <n v="32173"/>
  </r>
  <r>
    <x v="0"/>
    <x v="29"/>
    <x v="113"/>
    <n v="17261"/>
  </r>
  <r>
    <x v="1"/>
    <x v="2"/>
    <x v="113"/>
    <n v="12208"/>
  </r>
  <r>
    <x v="3"/>
    <x v="19"/>
    <x v="113"/>
    <n v="13567"/>
  </r>
  <r>
    <x v="3"/>
    <x v="196"/>
    <x v="113"/>
    <n v="5200"/>
  </r>
  <r>
    <x v="6"/>
    <x v="186"/>
    <x v="113"/>
    <n v="39031"/>
  </r>
  <r>
    <x v="6"/>
    <x v="57"/>
    <x v="113"/>
    <n v="39020"/>
  </r>
  <r>
    <x v="6"/>
    <x v="168"/>
    <x v="113"/>
    <n v="35840"/>
  </r>
  <r>
    <x v="7"/>
    <x v="112"/>
    <x v="113"/>
    <n v="42868"/>
  </r>
  <r>
    <x v="7"/>
    <x v="171"/>
    <x v="113"/>
    <n v="46436"/>
  </r>
  <r>
    <x v="7"/>
    <x v="33"/>
    <x v="113"/>
    <n v="56184"/>
  </r>
  <r>
    <x v="7"/>
    <x v="14"/>
    <x v="113"/>
    <n v="49412"/>
  </r>
  <r>
    <x v="7"/>
    <x v="68"/>
    <x v="113"/>
    <n v="32081"/>
  </r>
  <r>
    <x v="0"/>
    <x v="178"/>
    <x v="114"/>
    <n v="5200"/>
  </r>
  <r>
    <x v="0"/>
    <x v="145"/>
    <x v="114"/>
    <n v="28303"/>
  </r>
  <r>
    <x v="11"/>
    <x v="27"/>
    <x v="114"/>
    <n v="14305"/>
  </r>
  <r>
    <x v="6"/>
    <x v="88"/>
    <x v="114"/>
    <n v="9758"/>
  </r>
  <r>
    <x v="6"/>
    <x v="170"/>
    <x v="114"/>
    <n v="34594"/>
  </r>
  <r>
    <x v="7"/>
    <x v="48"/>
    <x v="114"/>
    <n v="35013"/>
  </r>
  <r>
    <x v="7"/>
    <x v="158"/>
    <x v="114"/>
    <n v="47374"/>
  </r>
  <r>
    <x v="7"/>
    <x v="129"/>
    <x v="114"/>
    <n v="55736"/>
  </r>
  <r>
    <x v="7"/>
    <x v="40"/>
    <x v="114"/>
    <n v="43355"/>
  </r>
  <r>
    <x v="7"/>
    <x v="90"/>
    <x v="114"/>
    <n v="49363"/>
  </r>
  <r>
    <x v="16"/>
    <x v="119"/>
    <x v="115"/>
    <n v="21578"/>
  </r>
  <r>
    <x v="9"/>
    <x v="86"/>
    <x v="115"/>
    <n v="17161"/>
  </r>
  <r>
    <x v="4"/>
    <x v="47"/>
    <x v="115"/>
    <n v="23043"/>
  </r>
  <r>
    <x v="6"/>
    <x v="67"/>
    <x v="115"/>
    <n v="33334"/>
  </r>
  <r>
    <x v="6"/>
    <x v="89"/>
    <x v="115"/>
    <n v="24857"/>
  </r>
  <r>
    <x v="6"/>
    <x v="81"/>
    <x v="115"/>
    <n v="36443"/>
  </r>
  <r>
    <x v="7"/>
    <x v="1"/>
    <x v="115"/>
    <n v="32611"/>
  </r>
  <r>
    <x v="0"/>
    <x v="185"/>
    <x v="116"/>
    <n v="9882"/>
  </r>
  <r>
    <x v="14"/>
    <x v="65"/>
    <x v="116"/>
    <n v="9100"/>
  </r>
  <r>
    <x v="4"/>
    <x v="9"/>
    <x v="116"/>
    <n v="11912"/>
  </r>
  <r>
    <x v="4"/>
    <x v="149"/>
    <x v="116"/>
    <n v="22302"/>
  </r>
  <r>
    <x v="4"/>
    <x v="201"/>
    <x v="116"/>
    <n v="21302"/>
  </r>
  <r>
    <x v="4"/>
    <x v="30"/>
    <x v="116"/>
    <n v="25972"/>
  </r>
  <r>
    <x v="6"/>
    <x v="124"/>
    <x v="116"/>
    <n v="41926"/>
  </r>
  <r>
    <x v="0"/>
    <x v="70"/>
    <x v="117"/>
    <n v="28992"/>
  </r>
  <r>
    <x v="11"/>
    <x v="179"/>
    <x v="117"/>
    <n v="13244"/>
  </r>
  <r>
    <x v="3"/>
    <x v="73"/>
    <x v="117"/>
    <n v="14683"/>
  </r>
  <r>
    <x v="17"/>
    <x v="217"/>
    <x v="117"/>
    <n v="11163"/>
  </r>
  <r>
    <x v="4"/>
    <x v="195"/>
    <x v="117"/>
    <n v="19591"/>
  </r>
  <r>
    <x v="6"/>
    <x v="117"/>
    <x v="117"/>
    <n v="42542"/>
  </r>
  <r>
    <x v="7"/>
    <x v="56"/>
    <x v="117"/>
    <n v="26272"/>
  </r>
  <r>
    <x v="0"/>
    <x v="144"/>
    <x v="118"/>
    <n v="26962"/>
  </r>
  <r>
    <x v="0"/>
    <x v="106"/>
    <x v="118"/>
    <n v="28272"/>
  </r>
  <r>
    <x v="11"/>
    <x v="225"/>
    <x v="118"/>
    <n v="13846"/>
  </r>
  <r>
    <x v="11"/>
    <x v="219"/>
    <x v="118"/>
    <n v="15364"/>
  </r>
  <r>
    <x v="4"/>
    <x v="102"/>
    <x v="118"/>
    <n v="15698"/>
  </r>
  <r>
    <x v="4"/>
    <x v="22"/>
    <x v="118"/>
    <n v="23699"/>
  </r>
  <r>
    <x v="6"/>
    <x v="170"/>
    <x v="118"/>
    <n v="35685"/>
  </r>
  <r>
    <x v="6"/>
    <x v="133"/>
    <x v="118"/>
    <n v="41889"/>
  </r>
  <r>
    <x v="7"/>
    <x v="112"/>
    <x v="118"/>
    <n v="40851"/>
  </r>
  <r>
    <x v="7"/>
    <x v="77"/>
    <x v="118"/>
    <n v="42424"/>
  </r>
  <r>
    <x v="7"/>
    <x v="13"/>
    <x v="118"/>
    <n v="37095"/>
  </r>
  <r>
    <x v="7"/>
    <x v="58"/>
    <x v="118"/>
    <n v="34927"/>
  </r>
  <r>
    <x v="7"/>
    <x v="78"/>
    <x v="118"/>
    <n v="32740"/>
  </r>
  <r>
    <x v="0"/>
    <x v="95"/>
    <x v="119"/>
    <n v="36074"/>
  </r>
  <r>
    <x v="12"/>
    <x v="28"/>
    <x v="119"/>
    <n v="12839"/>
  </r>
  <r>
    <x v="4"/>
    <x v="116"/>
    <x v="119"/>
    <n v="18191"/>
  </r>
  <r>
    <x v="7"/>
    <x v="169"/>
    <x v="119"/>
    <n v="30424"/>
  </r>
  <r>
    <x v="7"/>
    <x v="230"/>
    <x v="119"/>
    <n v="55385"/>
  </r>
  <r>
    <x v="7"/>
    <x v="50"/>
    <x v="119"/>
    <n v="45691"/>
  </r>
  <r>
    <x v="4"/>
    <x v="184"/>
    <x v="120"/>
    <n v="23760"/>
  </r>
  <r>
    <x v="6"/>
    <x v="197"/>
    <x v="120"/>
    <n v="28218"/>
  </r>
  <r>
    <x v="6"/>
    <x v="10"/>
    <x v="120"/>
    <n v="26372"/>
  </r>
  <r>
    <x v="6"/>
    <x v="6"/>
    <x v="120"/>
    <n v="43757"/>
  </r>
  <r>
    <x v="7"/>
    <x v="67"/>
    <x v="120"/>
    <n v="40775"/>
  </r>
  <r>
    <x v="7"/>
    <x v="59"/>
    <x v="120"/>
    <n v="38654"/>
  </r>
  <r>
    <x v="7"/>
    <x v="50"/>
    <x v="120"/>
    <n v="35185"/>
  </r>
  <r>
    <x v="0"/>
    <x v="70"/>
    <x v="121"/>
    <n v="26957"/>
  </r>
  <r>
    <x v="0"/>
    <x v="26"/>
    <x v="121"/>
    <n v="40433"/>
  </r>
  <r>
    <x v="0"/>
    <x v="16"/>
    <x v="121"/>
    <n v="33119"/>
  </r>
  <r>
    <x v="9"/>
    <x v="167"/>
    <x v="121"/>
    <n v="19511"/>
  </r>
  <r>
    <x v="6"/>
    <x v="236"/>
    <x v="121"/>
    <n v="33484"/>
  </r>
  <r>
    <x v="6"/>
    <x v="55"/>
    <x v="121"/>
    <n v="27972"/>
  </r>
  <r>
    <x v="7"/>
    <x v="111"/>
    <x v="121"/>
    <n v="27900"/>
  </r>
  <r>
    <x v="7"/>
    <x v="41"/>
    <x v="121"/>
    <n v="51386"/>
  </r>
  <r>
    <x v="16"/>
    <x v="143"/>
    <x v="122"/>
    <n v="12930"/>
  </r>
  <r>
    <x v="0"/>
    <x v="80"/>
    <x v="122"/>
    <n v="42018"/>
  </r>
  <r>
    <x v="0"/>
    <x v="37"/>
    <x v="122"/>
    <n v="58484"/>
  </r>
  <r>
    <x v="11"/>
    <x v="119"/>
    <x v="122"/>
    <n v="20319"/>
  </r>
  <r>
    <x v="8"/>
    <x v="233"/>
    <x v="122"/>
    <n v="13924"/>
  </r>
  <r>
    <x v="3"/>
    <x v="92"/>
    <x v="122"/>
    <n v="14952"/>
  </r>
  <r>
    <x v="7"/>
    <x v="135"/>
    <x v="122"/>
    <n v="45656"/>
  </r>
  <r>
    <x v="0"/>
    <x v="206"/>
    <x v="123"/>
    <n v="24481"/>
  </r>
  <r>
    <x v="3"/>
    <x v="198"/>
    <x v="123"/>
    <n v="14716"/>
  </r>
  <r>
    <x v="14"/>
    <x v="65"/>
    <x v="123"/>
    <n v="5200"/>
  </r>
  <r>
    <x v="6"/>
    <x v="151"/>
    <x v="123"/>
    <n v="37673"/>
  </r>
  <r>
    <x v="6"/>
    <x v="168"/>
    <x v="123"/>
    <n v="39499"/>
  </r>
  <r>
    <x v="6"/>
    <x v="89"/>
    <x v="123"/>
    <n v="27333"/>
  </r>
  <r>
    <x v="7"/>
    <x v="38"/>
    <x v="123"/>
    <n v="47152"/>
  </r>
  <r>
    <x v="7"/>
    <x v="159"/>
    <x v="123"/>
    <n v="39966"/>
  </r>
  <r>
    <x v="7"/>
    <x v="50"/>
    <x v="123"/>
    <n v="32015"/>
  </r>
  <r>
    <x v="7"/>
    <x v="152"/>
    <x v="123"/>
    <n v="39707"/>
  </r>
  <r>
    <x v="0"/>
    <x v="145"/>
    <x v="124"/>
    <n v="29824"/>
  </r>
  <r>
    <x v="3"/>
    <x v="155"/>
    <x v="124"/>
    <n v="8371"/>
  </r>
  <r>
    <x v="3"/>
    <x v="234"/>
    <x v="124"/>
    <n v="7641"/>
  </r>
  <r>
    <x v="4"/>
    <x v="47"/>
    <x v="124"/>
    <n v="26891"/>
  </r>
  <r>
    <x v="6"/>
    <x v="151"/>
    <x v="124"/>
    <n v="24678"/>
  </r>
  <r>
    <x v="6"/>
    <x v="122"/>
    <x v="124"/>
    <n v="41302"/>
  </r>
  <r>
    <x v="6"/>
    <x v="202"/>
    <x v="124"/>
    <n v="42970"/>
  </r>
  <r>
    <x v="6"/>
    <x v="169"/>
    <x v="124"/>
    <n v="22646"/>
  </r>
  <r>
    <x v="7"/>
    <x v="48"/>
    <x v="124"/>
    <n v="32441"/>
  </r>
  <r>
    <x v="7"/>
    <x v="59"/>
    <x v="124"/>
    <n v="45330"/>
  </r>
  <r>
    <x v="7"/>
    <x v="34"/>
    <x v="124"/>
    <n v="40989"/>
  </r>
  <r>
    <x v="11"/>
    <x v="147"/>
    <x v="125"/>
    <n v="13874"/>
  </r>
  <r>
    <x v="3"/>
    <x v="85"/>
    <x v="125"/>
    <n v="14788"/>
  </r>
  <r>
    <x v="17"/>
    <x v="221"/>
    <x v="125"/>
    <n v="5200"/>
  </r>
  <r>
    <x v="9"/>
    <x v="64"/>
    <x v="125"/>
    <n v="19303"/>
  </r>
  <r>
    <x v="4"/>
    <x v="148"/>
    <x v="125"/>
    <n v="19500"/>
  </r>
  <r>
    <x v="6"/>
    <x v="229"/>
    <x v="125"/>
    <n v="39332"/>
  </r>
  <r>
    <x v="7"/>
    <x v="56"/>
    <x v="125"/>
    <n v="33611"/>
  </r>
  <r>
    <x v="7"/>
    <x v="38"/>
    <x v="125"/>
    <n v="39351"/>
  </r>
  <r>
    <x v="7"/>
    <x v="13"/>
    <x v="125"/>
    <n v="33052"/>
  </r>
  <r>
    <x v="7"/>
    <x v="160"/>
    <x v="125"/>
    <n v="17215"/>
  </r>
  <r>
    <x v="7"/>
    <x v="34"/>
    <x v="125"/>
    <n v="49667"/>
  </r>
  <r>
    <x v="16"/>
    <x v="94"/>
    <x v="126"/>
    <n v="12604"/>
  </r>
  <r>
    <x v="4"/>
    <x v="189"/>
    <x v="126"/>
    <n v="17675"/>
  </r>
  <r>
    <x v="6"/>
    <x v="22"/>
    <x v="126"/>
    <n v="18382"/>
  </r>
  <r>
    <x v="6"/>
    <x v="11"/>
    <x v="126"/>
    <n v="48456"/>
  </r>
  <r>
    <x v="7"/>
    <x v="112"/>
    <x v="126"/>
    <n v="41172"/>
  </r>
  <r>
    <x v="7"/>
    <x v="171"/>
    <x v="126"/>
    <n v="29496"/>
  </r>
  <r>
    <x v="7"/>
    <x v="57"/>
    <x v="126"/>
    <n v="40192"/>
  </r>
  <r>
    <x v="7"/>
    <x v="135"/>
    <x v="126"/>
    <n v="45506"/>
  </r>
  <r>
    <x v="0"/>
    <x v="192"/>
    <x v="127"/>
    <n v="19567"/>
  </r>
  <r>
    <x v="3"/>
    <x v="210"/>
    <x v="127"/>
    <n v="5200"/>
  </r>
  <r>
    <x v="19"/>
    <x v="200"/>
    <x v="127"/>
    <n v="11634"/>
  </r>
  <r>
    <x v="4"/>
    <x v="116"/>
    <x v="127"/>
    <n v="18299"/>
  </r>
  <r>
    <x v="6"/>
    <x v="81"/>
    <x v="127"/>
    <n v="15826"/>
  </r>
  <r>
    <x v="6"/>
    <x v="23"/>
    <x v="127"/>
    <n v="16925"/>
  </r>
  <r>
    <x v="7"/>
    <x v="48"/>
    <x v="127"/>
    <n v="31259"/>
  </r>
  <r>
    <x v="7"/>
    <x v="158"/>
    <x v="127"/>
    <n v="39770"/>
  </r>
  <r>
    <x v="7"/>
    <x v="24"/>
    <x v="127"/>
    <n v="41929"/>
  </r>
  <r>
    <x v="7"/>
    <x v="58"/>
    <x v="127"/>
    <n v="31173"/>
  </r>
  <r>
    <x v="7"/>
    <x v="51"/>
    <x v="127"/>
    <n v="55366"/>
  </r>
  <r>
    <x v="0"/>
    <x v="136"/>
    <x v="128"/>
    <n v="7541"/>
  </r>
  <r>
    <x v="0"/>
    <x v="91"/>
    <x v="128"/>
    <n v="23774"/>
  </r>
  <r>
    <x v="1"/>
    <x v="2"/>
    <x v="128"/>
    <n v="13841"/>
  </r>
  <r>
    <x v="8"/>
    <x v="18"/>
    <x v="128"/>
    <n v="12106"/>
  </r>
  <r>
    <x v="8"/>
    <x v="153"/>
    <x v="128"/>
    <n v="11927"/>
  </r>
  <r>
    <x v="9"/>
    <x v="20"/>
    <x v="128"/>
    <n v="35262"/>
  </r>
  <r>
    <x v="14"/>
    <x v="176"/>
    <x v="128"/>
    <n v="9752"/>
  </r>
  <r>
    <x v="4"/>
    <x v="177"/>
    <x v="128"/>
    <n v="21149"/>
  </r>
  <r>
    <x v="6"/>
    <x v="88"/>
    <x v="128"/>
    <n v="36253"/>
  </r>
  <r>
    <x v="6"/>
    <x v="142"/>
    <x v="128"/>
    <n v="50126"/>
  </r>
  <r>
    <x v="7"/>
    <x v="190"/>
    <x v="128"/>
    <n v="32501"/>
  </r>
  <r>
    <x v="7"/>
    <x v="33"/>
    <x v="128"/>
    <n v="40436"/>
  </r>
  <r>
    <x v="7"/>
    <x v="14"/>
    <x v="128"/>
    <n v="36706"/>
  </r>
  <r>
    <x v="7"/>
    <x v="25"/>
    <x v="128"/>
    <n v="36750"/>
  </r>
  <r>
    <x v="16"/>
    <x v="130"/>
    <x v="129"/>
    <n v="5200"/>
  </r>
  <r>
    <x v="16"/>
    <x v="79"/>
    <x v="129"/>
    <n v="14218"/>
  </r>
  <r>
    <x v="0"/>
    <x v="34"/>
    <x v="129"/>
    <n v="57355"/>
  </r>
  <r>
    <x v="1"/>
    <x v="232"/>
    <x v="129"/>
    <n v="8044"/>
  </r>
  <r>
    <x v="3"/>
    <x v="19"/>
    <x v="129"/>
    <n v="20767"/>
  </r>
  <r>
    <x v="3"/>
    <x v="188"/>
    <x v="129"/>
    <n v="5200"/>
  </r>
  <r>
    <x v="9"/>
    <x v="214"/>
    <x v="129"/>
    <n v="15593"/>
  </r>
  <r>
    <x v="7"/>
    <x v="236"/>
    <x v="129"/>
    <n v="24661"/>
  </r>
  <r>
    <x v="7"/>
    <x v="203"/>
    <x v="129"/>
    <n v="42979"/>
  </r>
  <r>
    <x v="7"/>
    <x v="41"/>
    <x v="129"/>
    <n v="54827"/>
  </r>
  <r>
    <x v="0"/>
    <x v="126"/>
    <x v="130"/>
    <n v="31805"/>
  </r>
  <r>
    <x v="0"/>
    <x v="185"/>
    <x v="130"/>
    <n v="19604"/>
  </r>
  <r>
    <x v="0"/>
    <x v="218"/>
    <x v="130"/>
    <n v="30806"/>
  </r>
  <r>
    <x v="0"/>
    <x v="173"/>
    <x v="130"/>
    <n v="38477"/>
  </r>
  <r>
    <x v="11"/>
    <x v="164"/>
    <x v="130"/>
    <n v="27439"/>
  </r>
  <r>
    <x v="2"/>
    <x v="154"/>
    <x v="130"/>
    <n v="15745"/>
  </r>
  <r>
    <x v="3"/>
    <x v="45"/>
    <x v="130"/>
    <n v="28910"/>
  </r>
  <r>
    <x v="4"/>
    <x v="102"/>
    <x v="130"/>
    <n v="6152"/>
  </r>
  <r>
    <x v="6"/>
    <x v="222"/>
    <x v="130"/>
    <n v="39789"/>
  </r>
  <r>
    <x v="1"/>
    <x v="207"/>
    <x v="131"/>
    <n v="5200"/>
  </r>
  <r>
    <x v="9"/>
    <x v="196"/>
    <x v="131"/>
    <n v="5854"/>
  </r>
  <r>
    <x v="14"/>
    <x v="138"/>
    <x v="131"/>
    <n v="12396"/>
  </r>
  <r>
    <x v="4"/>
    <x v="140"/>
    <x v="131"/>
    <n v="23636"/>
  </r>
  <r>
    <x v="10"/>
    <x v="21"/>
    <x v="131"/>
    <n v="11804"/>
  </r>
  <r>
    <x v="7"/>
    <x v="56"/>
    <x v="131"/>
    <n v="34981"/>
  </r>
  <r>
    <x v="7"/>
    <x v="40"/>
    <x v="131"/>
    <n v="44440"/>
  </r>
  <r>
    <x v="7"/>
    <x v="152"/>
    <x v="131"/>
    <n v="35025"/>
  </r>
  <r>
    <x v="13"/>
    <x v="224"/>
    <x v="132"/>
    <n v="9922"/>
  </r>
  <r>
    <x v="0"/>
    <x v="95"/>
    <x v="132"/>
    <n v="35988"/>
  </r>
  <r>
    <x v="4"/>
    <x v="195"/>
    <x v="132"/>
    <n v="13043"/>
  </r>
  <r>
    <x v="4"/>
    <x v="31"/>
    <x v="132"/>
    <n v="27470"/>
  </r>
  <r>
    <x v="6"/>
    <x v="159"/>
    <x v="132"/>
    <n v="35690"/>
  </r>
  <r>
    <x v="7"/>
    <x v="24"/>
    <x v="132"/>
    <n v="47196"/>
  </r>
  <r>
    <x v="7"/>
    <x v="24"/>
    <x v="132"/>
    <n v="48986"/>
  </r>
  <r>
    <x v="7"/>
    <x v="67"/>
    <x v="132"/>
    <n v="33825"/>
  </r>
  <r>
    <x v="7"/>
    <x v="129"/>
    <x v="132"/>
    <n v="46367"/>
  </r>
  <r>
    <x v="7"/>
    <x v="90"/>
    <x v="132"/>
    <n v="48249"/>
  </r>
  <r>
    <x v="7"/>
    <x v="223"/>
    <x v="132"/>
    <n v="53546"/>
  </r>
  <r>
    <x v="7"/>
    <x v="230"/>
    <x v="132"/>
    <n v="34420"/>
  </r>
  <r>
    <x v="7"/>
    <x v="152"/>
    <x v="132"/>
    <n v="50019"/>
  </r>
  <r>
    <x v="3"/>
    <x v="4"/>
    <x v="133"/>
    <n v="13658"/>
  </r>
  <r>
    <x v="9"/>
    <x v="29"/>
    <x v="133"/>
    <n v="17157"/>
  </r>
  <r>
    <x v="9"/>
    <x v="166"/>
    <x v="133"/>
    <n v="16136"/>
  </r>
  <r>
    <x v="9"/>
    <x v="156"/>
    <x v="133"/>
    <n v="18148"/>
  </r>
  <r>
    <x v="7"/>
    <x v="48"/>
    <x v="133"/>
    <n v="32203"/>
  </r>
  <r>
    <x v="7"/>
    <x v="77"/>
    <x v="133"/>
    <n v="44521"/>
  </r>
  <r>
    <x v="7"/>
    <x v="14"/>
    <x v="133"/>
    <n v="35516"/>
  </r>
  <r>
    <x v="16"/>
    <x v="162"/>
    <x v="134"/>
    <n v="13237"/>
  </r>
  <r>
    <x v="0"/>
    <x v="131"/>
    <x v="134"/>
    <n v="35818"/>
  </r>
  <r>
    <x v="8"/>
    <x v="36"/>
    <x v="134"/>
    <n v="22220"/>
  </r>
  <r>
    <x v="6"/>
    <x v="110"/>
    <x v="134"/>
    <n v="31814"/>
  </r>
  <r>
    <x v="7"/>
    <x v="33"/>
    <x v="134"/>
    <n v="44066"/>
  </r>
  <r>
    <x v="7"/>
    <x v="13"/>
    <x v="134"/>
    <n v="39972"/>
  </r>
  <r>
    <x v="7"/>
    <x v="59"/>
    <x v="134"/>
    <n v="56214"/>
  </r>
  <r>
    <x v="7"/>
    <x v="51"/>
    <x v="134"/>
    <n v="40995"/>
  </r>
  <r>
    <x v="11"/>
    <x v="99"/>
    <x v="135"/>
    <n v="6209"/>
  </r>
  <r>
    <x v="8"/>
    <x v="63"/>
    <x v="135"/>
    <n v="11110"/>
  </r>
  <r>
    <x v="12"/>
    <x v="199"/>
    <x v="135"/>
    <n v="12630"/>
  </r>
  <r>
    <x v="17"/>
    <x v="52"/>
    <x v="135"/>
    <n v="11501"/>
  </r>
  <r>
    <x v="4"/>
    <x v="227"/>
    <x v="135"/>
    <n v="23660"/>
  </r>
  <r>
    <x v="7"/>
    <x v="112"/>
    <x v="135"/>
    <n v="36780"/>
  </r>
  <r>
    <x v="7"/>
    <x v="77"/>
    <x v="135"/>
    <n v="31425"/>
  </r>
  <r>
    <x v="7"/>
    <x v="203"/>
    <x v="135"/>
    <n v="43777"/>
  </r>
  <r>
    <x v="7"/>
    <x v="24"/>
    <x v="135"/>
    <n v="40872"/>
  </r>
  <r>
    <x v="12"/>
    <x v="181"/>
    <x v="136"/>
    <n v="11671"/>
  </r>
  <r>
    <x v="17"/>
    <x v="115"/>
    <x v="136"/>
    <n v="10622"/>
  </r>
  <r>
    <x v="6"/>
    <x v="55"/>
    <x v="136"/>
    <n v="28519"/>
  </r>
  <r>
    <x v="6"/>
    <x v="161"/>
    <x v="136"/>
    <n v="30322"/>
  </r>
  <r>
    <x v="7"/>
    <x v="12"/>
    <x v="136"/>
    <n v="52823"/>
  </r>
  <r>
    <x v="7"/>
    <x v="203"/>
    <x v="136"/>
    <n v="38684"/>
  </r>
  <r>
    <x v="7"/>
    <x v="1"/>
    <x v="136"/>
    <n v="20174"/>
  </r>
  <r>
    <x v="7"/>
    <x v="25"/>
    <x v="136"/>
    <n v="57695"/>
  </r>
  <r>
    <x v="16"/>
    <x v="205"/>
    <x v="137"/>
    <n v="17021"/>
  </r>
  <r>
    <x v="0"/>
    <x v="172"/>
    <x v="137"/>
    <n v="35888"/>
  </r>
  <r>
    <x v="11"/>
    <x v="132"/>
    <x v="137"/>
    <n v="13708"/>
  </r>
  <r>
    <x v="11"/>
    <x v="27"/>
    <x v="137"/>
    <n v="15395"/>
  </r>
  <r>
    <x v="1"/>
    <x v="120"/>
    <x v="137"/>
    <n v="18442"/>
  </r>
  <r>
    <x v="1"/>
    <x v="193"/>
    <x v="137"/>
    <n v="23081"/>
  </r>
  <r>
    <x v="3"/>
    <x v="219"/>
    <x v="137"/>
    <n v="15600"/>
  </r>
  <r>
    <x v="12"/>
    <x v="28"/>
    <x v="137"/>
    <n v="10315"/>
  </r>
  <r>
    <x v="9"/>
    <x v="226"/>
    <x v="137"/>
    <n v="15888"/>
  </r>
  <r>
    <x v="9"/>
    <x v="215"/>
    <x v="137"/>
    <n v="12007"/>
  </r>
  <r>
    <x v="6"/>
    <x v="53"/>
    <x v="137"/>
    <n v="35042"/>
  </r>
  <r>
    <x v="6"/>
    <x v="186"/>
    <x v="137"/>
    <n v="35928"/>
  </r>
  <r>
    <x v="6"/>
    <x v="76"/>
    <x v="137"/>
    <n v="43465"/>
  </r>
  <r>
    <x v="6"/>
    <x v="103"/>
    <x v="137"/>
    <n v="9455"/>
  </r>
  <r>
    <x v="6"/>
    <x v="118"/>
    <x v="137"/>
    <n v="37103"/>
  </r>
  <r>
    <x v="7"/>
    <x v="33"/>
    <x v="137"/>
    <n v="45379"/>
  </r>
  <r>
    <x v="7"/>
    <x v="58"/>
    <x v="137"/>
    <n v="40703"/>
  </r>
  <r>
    <x v="7"/>
    <x v="68"/>
    <x v="137"/>
    <n v="36066"/>
  </r>
  <r>
    <x v="7"/>
    <x v="68"/>
    <x v="137"/>
    <n v="40819"/>
  </r>
  <r>
    <x v="7"/>
    <x v="50"/>
    <x v="137"/>
    <n v="44933"/>
  </r>
  <r>
    <x v="2"/>
    <x v="108"/>
    <x v="138"/>
    <n v="11518"/>
  </r>
  <r>
    <x v="3"/>
    <x v="86"/>
    <x v="138"/>
    <n v="18735"/>
  </r>
  <r>
    <x v="3"/>
    <x v="211"/>
    <x v="138"/>
    <n v="16911"/>
  </r>
  <r>
    <x v="4"/>
    <x v="9"/>
    <x v="138"/>
    <n v="7763"/>
  </r>
  <r>
    <x v="6"/>
    <x v="89"/>
    <x v="138"/>
    <n v="26757"/>
  </r>
  <r>
    <x v="7"/>
    <x v="113"/>
    <x v="138"/>
    <n v="26215"/>
  </r>
  <r>
    <x v="7"/>
    <x v="90"/>
    <x v="138"/>
    <n v="48212"/>
  </r>
  <r>
    <x v="7"/>
    <x v="50"/>
    <x v="138"/>
    <n v="42652"/>
  </r>
  <r>
    <x v="7"/>
    <x v="41"/>
    <x v="138"/>
    <n v="40447"/>
  </r>
  <r>
    <x v="0"/>
    <x v="133"/>
    <x v="139"/>
    <n v="44814"/>
  </r>
  <r>
    <x v="1"/>
    <x v="107"/>
    <x v="139"/>
    <n v="15363"/>
  </r>
  <r>
    <x v="1"/>
    <x v="62"/>
    <x v="139"/>
    <n v="11562"/>
  </r>
  <r>
    <x v="19"/>
    <x v="183"/>
    <x v="139"/>
    <n v="7905"/>
  </r>
  <r>
    <x v="4"/>
    <x v="149"/>
    <x v="139"/>
    <n v="21793"/>
  </r>
  <r>
    <x v="6"/>
    <x v="190"/>
    <x v="139"/>
    <n v="38672"/>
  </r>
  <r>
    <x v="7"/>
    <x v="48"/>
    <x v="139"/>
    <n v="40633"/>
  </r>
  <r>
    <x v="7"/>
    <x v="204"/>
    <x v="139"/>
    <n v="40208"/>
  </r>
  <r>
    <x v="16"/>
    <x v="114"/>
    <x v="140"/>
    <n v="12889"/>
  </r>
  <r>
    <x v="0"/>
    <x v="105"/>
    <x v="140"/>
    <n v="50753"/>
  </r>
  <r>
    <x v="0"/>
    <x v="96"/>
    <x v="140"/>
    <n v="24871"/>
  </r>
  <r>
    <x v="11"/>
    <x v="225"/>
    <x v="140"/>
    <n v="13219"/>
  </r>
  <r>
    <x v="18"/>
    <x v="180"/>
    <x v="140"/>
    <n v="10837"/>
  </r>
  <r>
    <x v="9"/>
    <x v="182"/>
    <x v="140"/>
    <n v="21717"/>
  </r>
  <r>
    <x v="14"/>
    <x v="109"/>
    <x v="140"/>
    <n v="5200"/>
  </r>
  <r>
    <x v="4"/>
    <x v="5"/>
    <x v="140"/>
    <n v="9034"/>
  </r>
  <r>
    <x v="4"/>
    <x v="228"/>
    <x v="140"/>
    <n v="20110"/>
  </r>
  <r>
    <x v="4"/>
    <x v="150"/>
    <x v="140"/>
    <n v="22372"/>
  </r>
  <r>
    <x v="6"/>
    <x v="197"/>
    <x v="140"/>
    <n v="20362"/>
  </r>
  <r>
    <x v="7"/>
    <x v="77"/>
    <x v="140"/>
    <n v="45302"/>
  </r>
  <r>
    <x v="7"/>
    <x v="128"/>
    <x v="140"/>
    <n v="50156"/>
  </r>
  <r>
    <x v="7"/>
    <x v="38"/>
    <x v="140"/>
    <n v="54824"/>
  </r>
  <r>
    <x v="7"/>
    <x v="223"/>
    <x v="140"/>
    <n v="46372"/>
  </r>
  <r>
    <x v="7"/>
    <x v="161"/>
    <x v="140"/>
    <n v="34696"/>
  </r>
  <r>
    <x v="0"/>
    <x v="10"/>
    <x v="141"/>
    <n v="29092"/>
  </r>
  <r>
    <x v="0"/>
    <x v="218"/>
    <x v="141"/>
    <n v="25987"/>
  </r>
  <r>
    <x v="5"/>
    <x v="17"/>
    <x v="141"/>
    <n v="23027"/>
  </r>
  <r>
    <x v="11"/>
    <x v="231"/>
    <x v="141"/>
    <n v="12612"/>
  </r>
  <r>
    <x v="9"/>
    <x v="75"/>
    <x v="141"/>
    <n v="16894"/>
  </r>
  <r>
    <x v="4"/>
    <x v="30"/>
    <x v="141"/>
    <n v="19614"/>
  </r>
  <r>
    <x v="6"/>
    <x v="32"/>
    <x v="141"/>
    <n v="34186"/>
  </r>
  <r>
    <x v="6"/>
    <x v="78"/>
    <x v="141"/>
    <n v="30228"/>
  </r>
  <r>
    <x v="7"/>
    <x v="57"/>
    <x v="141"/>
    <n v="56777"/>
  </r>
  <r>
    <x v="7"/>
    <x v="42"/>
    <x v="141"/>
    <n v="34729"/>
  </r>
  <r>
    <x v="7"/>
    <x v="161"/>
    <x v="141"/>
    <n v="31475"/>
  </r>
  <r>
    <x v="5"/>
    <x v="146"/>
    <x v="142"/>
    <n v="6170"/>
  </r>
  <r>
    <x v="5"/>
    <x v="8"/>
    <x v="142"/>
    <n v="24100"/>
  </r>
  <r>
    <x v="2"/>
    <x v="3"/>
    <x v="142"/>
    <n v="11692"/>
  </r>
  <r>
    <x v="12"/>
    <x v="97"/>
    <x v="142"/>
    <n v="13370"/>
  </r>
  <r>
    <x v="17"/>
    <x v="35"/>
    <x v="142"/>
    <n v="25653"/>
  </r>
  <r>
    <x v="14"/>
    <x v="46"/>
    <x v="142"/>
    <n v="12037"/>
  </r>
  <r>
    <x v="7"/>
    <x v="77"/>
    <x v="142"/>
    <n v="46633"/>
  </r>
  <r>
    <x v="7"/>
    <x v="171"/>
    <x v="142"/>
    <n v="44685"/>
  </r>
  <r>
    <x v="7"/>
    <x v="24"/>
    <x v="142"/>
    <n v="36689"/>
  </r>
  <r>
    <x v="7"/>
    <x v="40"/>
    <x v="142"/>
    <n v="29057"/>
  </r>
  <r>
    <x v="7"/>
    <x v="40"/>
    <x v="142"/>
    <n v="34129"/>
  </r>
  <r>
    <x v="8"/>
    <x v="208"/>
    <x v="143"/>
    <n v="13081"/>
  </r>
  <r>
    <x v="3"/>
    <x v="163"/>
    <x v="143"/>
    <n v="15988"/>
  </r>
  <r>
    <x v="3"/>
    <x v="220"/>
    <x v="143"/>
    <n v="15760"/>
  </r>
  <r>
    <x v="12"/>
    <x v="235"/>
    <x v="143"/>
    <n v="13406"/>
  </r>
  <r>
    <x v="17"/>
    <x v="217"/>
    <x v="143"/>
    <n v="11934"/>
  </r>
  <r>
    <x v="9"/>
    <x v="185"/>
    <x v="143"/>
    <n v="29893"/>
  </r>
  <r>
    <x v="4"/>
    <x v="121"/>
    <x v="143"/>
    <n v="25871"/>
  </r>
  <r>
    <x v="6"/>
    <x v="170"/>
    <x v="143"/>
    <n v="19964"/>
  </r>
  <r>
    <x v="7"/>
    <x v="77"/>
    <x v="143"/>
    <n v="36731"/>
  </r>
  <r>
    <x v="7"/>
    <x v="14"/>
    <x v="143"/>
    <n v="34548"/>
  </r>
  <r>
    <x v="7"/>
    <x v="118"/>
    <x v="143"/>
    <n v="31180"/>
  </r>
  <r>
    <x v="0"/>
    <x v="137"/>
    <x v="144"/>
    <n v="23753"/>
  </r>
  <r>
    <x v="5"/>
    <x v="174"/>
    <x v="144"/>
    <n v="13032"/>
  </r>
  <r>
    <x v="2"/>
    <x v="100"/>
    <x v="144"/>
    <n v="11866"/>
  </r>
  <r>
    <x v="4"/>
    <x v="141"/>
    <x v="144"/>
    <n v="24295"/>
  </r>
  <r>
    <x v="6"/>
    <x v="123"/>
    <x v="144"/>
    <n v="40001"/>
  </r>
  <r>
    <x v="6"/>
    <x v="197"/>
    <x v="144"/>
    <n v="28576"/>
  </r>
  <r>
    <x v="7"/>
    <x v="134"/>
    <x v="144"/>
    <n v="42693"/>
  </r>
  <r>
    <x v="7"/>
    <x v="77"/>
    <x v="144"/>
    <n v="38064"/>
  </r>
  <r>
    <x v="7"/>
    <x v="68"/>
    <x v="144"/>
    <n v="26294"/>
  </r>
  <r>
    <x v="7"/>
    <x v="161"/>
    <x v="144"/>
    <n v="37321"/>
  </r>
  <r>
    <x v="7"/>
    <x v="50"/>
    <x v="144"/>
    <n v="30051"/>
  </r>
  <r>
    <x v="7"/>
    <x v="41"/>
    <x v="144"/>
    <n v="40217"/>
  </r>
  <r>
    <x v="0"/>
    <x v="60"/>
    <x v="145"/>
    <n v="29630"/>
  </r>
  <r>
    <x v="11"/>
    <x v="44"/>
    <x v="145"/>
    <n v="10224"/>
  </r>
  <r>
    <x v="9"/>
    <x v="212"/>
    <x v="145"/>
    <n v="25560"/>
  </r>
  <r>
    <x v="9"/>
    <x v="213"/>
    <x v="145"/>
    <n v="18039"/>
  </r>
  <r>
    <x v="6"/>
    <x v="158"/>
    <x v="145"/>
    <n v="43078"/>
  </r>
  <r>
    <x v="6"/>
    <x v="230"/>
    <x v="145"/>
    <n v="55709"/>
  </r>
  <r>
    <x v="7"/>
    <x v="24"/>
    <x v="145"/>
    <n v="40267"/>
  </r>
  <r>
    <x v="7"/>
    <x v="230"/>
    <x v="145"/>
    <n v="48433"/>
  </r>
  <r>
    <x v="7"/>
    <x v="51"/>
    <x v="145"/>
    <n v="57626"/>
  </r>
  <r>
    <x v="0"/>
    <x v="204"/>
    <x v="146"/>
    <n v="52802"/>
  </r>
  <r>
    <x v="0"/>
    <x v="71"/>
    <x v="146"/>
    <n v="38498"/>
  </r>
  <r>
    <x v="0"/>
    <x v="7"/>
    <x v="146"/>
    <n v="30987"/>
  </r>
  <r>
    <x v="11"/>
    <x v="72"/>
    <x v="146"/>
    <n v="9448"/>
  </r>
  <r>
    <x v="9"/>
    <x v="178"/>
    <x v="146"/>
    <n v="33664"/>
  </r>
  <r>
    <x v="9"/>
    <x v="74"/>
    <x v="146"/>
    <n v="19631"/>
  </r>
  <r>
    <x v="14"/>
    <x v="157"/>
    <x v="146"/>
    <n v="14812"/>
  </r>
  <r>
    <x v="6"/>
    <x v="144"/>
    <x v="146"/>
    <n v="27248"/>
  </r>
  <r>
    <x v="6"/>
    <x v="117"/>
    <x v="146"/>
    <n v="42021"/>
  </r>
  <r>
    <x v="6"/>
    <x v="216"/>
    <x v="146"/>
    <n v="35015"/>
  </r>
  <r>
    <x v="6"/>
    <x v="118"/>
    <x v="146"/>
    <n v="43164"/>
  </r>
  <r>
    <x v="6"/>
    <x v="124"/>
    <x v="146"/>
    <n v="53313"/>
  </r>
  <r>
    <x v="6"/>
    <x v="125"/>
    <x v="146"/>
    <n v="42733"/>
  </r>
  <r>
    <x v="7"/>
    <x v="12"/>
    <x v="146"/>
    <n v="54440"/>
  </r>
  <r>
    <x v="7"/>
    <x v="39"/>
    <x v="146"/>
    <n v="58523"/>
  </r>
  <r>
    <x v="7"/>
    <x v="14"/>
    <x v="146"/>
    <n v="38070"/>
  </r>
  <r>
    <x v="16"/>
    <x v="69"/>
    <x v="147"/>
    <n v="10062"/>
  </r>
  <r>
    <x v="0"/>
    <x v="0"/>
    <x v="147"/>
    <n v="19442"/>
  </r>
  <r>
    <x v="0"/>
    <x v="191"/>
    <x v="147"/>
    <n v="26504"/>
  </r>
  <r>
    <x v="0"/>
    <x v="106"/>
    <x v="147"/>
    <n v="28253"/>
  </r>
  <r>
    <x v="5"/>
    <x v="98"/>
    <x v="147"/>
    <n v="11879"/>
  </r>
  <r>
    <x v="11"/>
    <x v="61"/>
    <x v="147"/>
    <n v="18495"/>
  </r>
  <r>
    <x v="11"/>
    <x v="179"/>
    <x v="147"/>
    <n v="12759"/>
  </r>
  <r>
    <x v="3"/>
    <x v="165"/>
    <x v="147"/>
    <n v="11766"/>
  </r>
  <r>
    <x v="3"/>
    <x v="175"/>
    <x v="147"/>
    <n v="11460"/>
  </r>
  <r>
    <x v="9"/>
    <x v="139"/>
    <x v="147"/>
    <n v="18707"/>
  </r>
  <r>
    <x v="14"/>
    <x v="101"/>
    <x v="147"/>
    <n v="11211"/>
  </r>
  <r>
    <x v="4"/>
    <x v="201"/>
    <x v="147"/>
    <n v="18180"/>
  </r>
  <r>
    <x v="7"/>
    <x v="129"/>
    <x v="147"/>
    <n v="66138"/>
  </r>
  <r>
    <x v="0"/>
    <x v="15"/>
    <x v="148"/>
    <n v="18942"/>
  </r>
  <r>
    <x v="0"/>
    <x v="127"/>
    <x v="148"/>
    <n v="27127"/>
  </r>
  <r>
    <x v="0"/>
    <x v="173"/>
    <x v="148"/>
    <n v="33932"/>
  </r>
  <r>
    <x v="11"/>
    <x v="82"/>
    <x v="148"/>
    <n v="13107"/>
  </r>
  <r>
    <x v="4"/>
    <x v="66"/>
    <x v="148"/>
    <n v="5821"/>
  </r>
  <r>
    <x v="6"/>
    <x v="53"/>
    <x v="148"/>
    <n v="21867"/>
  </r>
  <r>
    <x v="6"/>
    <x v="32"/>
    <x v="148"/>
    <n v="24535"/>
  </r>
  <r>
    <x v="6"/>
    <x v="93"/>
    <x v="148"/>
    <n v="55803"/>
  </r>
  <r>
    <x v="6"/>
    <x v="104"/>
    <x v="148"/>
    <n v="47436"/>
  </r>
  <r>
    <x v="7"/>
    <x v="12"/>
    <x v="148"/>
    <n v="36786"/>
  </r>
  <r>
    <x v="7"/>
    <x v="14"/>
    <x v="148"/>
    <n v="50178"/>
  </r>
  <r>
    <x v="7"/>
    <x v="230"/>
    <x v="148"/>
    <n v="49561"/>
  </r>
  <r>
    <x v="2"/>
    <x v="54"/>
    <x v="149"/>
    <n v="11250"/>
  </r>
  <r>
    <x v="3"/>
    <x v="73"/>
    <x v="149"/>
    <n v="14784"/>
  </r>
  <r>
    <x v="4"/>
    <x v="194"/>
    <x v="149"/>
    <n v="5200"/>
  </r>
  <r>
    <x v="4"/>
    <x v="87"/>
    <x v="149"/>
    <n v="45238"/>
  </r>
  <r>
    <x v="6"/>
    <x v="186"/>
    <x v="149"/>
    <n v="33851"/>
  </r>
  <r>
    <x v="6"/>
    <x v="229"/>
    <x v="149"/>
    <n v="37298"/>
  </r>
  <r>
    <x v="7"/>
    <x v="113"/>
    <x v="149"/>
    <n v="33965"/>
  </r>
  <r>
    <x v="7"/>
    <x v="128"/>
    <x v="149"/>
    <n v="46802"/>
  </r>
  <r>
    <x v="7"/>
    <x v="203"/>
    <x v="149"/>
    <n v="43638"/>
  </r>
  <r>
    <x v="7"/>
    <x v="14"/>
    <x v="149"/>
    <n v="35798"/>
  </r>
  <r>
    <x v="7"/>
    <x v="42"/>
    <x v="149"/>
    <n v="29199"/>
  </r>
  <r>
    <x v="7"/>
    <x v="34"/>
    <x v="149"/>
    <n v="52219"/>
  </r>
  <r>
    <x v="7"/>
    <x v="161"/>
    <x v="149"/>
    <n v="36074"/>
  </r>
  <r>
    <x v="16"/>
    <x v="187"/>
    <x v="150"/>
    <n v="10615"/>
  </r>
  <r>
    <x v="0"/>
    <x v="78"/>
    <x v="150"/>
    <n v="37306"/>
  </r>
  <r>
    <x v="11"/>
    <x v="43"/>
    <x v="150"/>
    <n v="16988"/>
  </r>
  <r>
    <x v="8"/>
    <x v="83"/>
    <x v="150"/>
    <n v="13351"/>
  </r>
  <r>
    <x v="8"/>
    <x v="209"/>
    <x v="150"/>
    <n v="24303"/>
  </r>
  <r>
    <x v="2"/>
    <x v="84"/>
    <x v="150"/>
    <n v="13841"/>
  </r>
  <r>
    <x v="7"/>
    <x v="190"/>
    <x v="150"/>
    <n v="27345"/>
  </r>
  <r>
    <x v="7"/>
    <x v="39"/>
    <x v="150"/>
    <n v="47283"/>
  </r>
  <r>
    <x v="7"/>
    <x v="67"/>
    <x v="150"/>
    <n v="42169"/>
  </r>
  <r>
    <x v="7"/>
    <x v="14"/>
    <x v="150"/>
    <n v="43132"/>
  </r>
  <r>
    <x v="7"/>
    <x v="49"/>
    <x v="150"/>
    <n v="58834"/>
  </r>
  <r>
    <x v="0"/>
    <x v="80"/>
    <x v="151"/>
    <n v="7441"/>
  </r>
  <r>
    <x v="0"/>
    <x v="192"/>
    <x v="151"/>
    <n v="28805"/>
  </r>
  <r>
    <x v="0"/>
    <x v="7"/>
    <x v="151"/>
    <n v="28645"/>
  </r>
  <r>
    <x v="0"/>
    <x v="137"/>
    <x v="151"/>
    <n v="23409"/>
  </r>
  <r>
    <x v="8"/>
    <x v="63"/>
    <x v="151"/>
    <n v="23606"/>
  </r>
  <r>
    <x v="8"/>
    <x v="187"/>
    <x v="151"/>
    <n v="12253"/>
  </r>
  <r>
    <x v="3"/>
    <x v="155"/>
    <x v="151"/>
    <n v="5994"/>
  </r>
  <r>
    <x v="4"/>
    <x v="111"/>
    <x v="151"/>
    <n v="29316"/>
  </r>
  <r>
    <x v="6"/>
    <x v="22"/>
    <x v="151"/>
    <n v="26536"/>
  </r>
  <r>
    <x v="7"/>
    <x v="203"/>
    <x v="151"/>
    <n v="41012"/>
  </r>
  <r>
    <x v="7"/>
    <x v="223"/>
    <x v="151"/>
    <n v="50509"/>
  </r>
  <r>
    <x v="7"/>
    <x v="118"/>
    <x v="151"/>
    <n v="29414"/>
  </r>
  <r>
    <x v="7"/>
    <x v="25"/>
    <x v="151"/>
    <n v="52499"/>
  </r>
  <r>
    <x v="7"/>
    <x v="135"/>
    <x v="151"/>
    <n v="49954"/>
  </r>
  <r>
    <x v="0"/>
    <x v="70"/>
    <x v="152"/>
    <n v="28690"/>
  </r>
  <r>
    <x v="11"/>
    <x v="72"/>
    <x v="152"/>
    <n v="26665"/>
  </r>
  <r>
    <x v="2"/>
    <x v="3"/>
    <x v="152"/>
    <n v="12067"/>
  </r>
  <r>
    <x v="7"/>
    <x v="39"/>
    <x v="152"/>
    <n v="45181"/>
  </r>
  <r>
    <x v="7"/>
    <x v="49"/>
    <x v="152"/>
    <n v="39611"/>
  </r>
  <r>
    <x v="7"/>
    <x v="50"/>
    <x v="152"/>
    <n v="43317"/>
  </r>
  <r>
    <x v="16"/>
    <x v="130"/>
    <x v="153"/>
    <n v="23862"/>
  </r>
  <r>
    <x v="3"/>
    <x v="188"/>
    <x v="153"/>
    <n v="27576"/>
  </r>
  <r>
    <x v="3"/>
    <x v="92"/>
    <x v="153"/>
    <n v="15970"/>
  </r>
  <r>
    <x v="9"/>
    <x v="227"/>
    <x v="153"/>
    <n v="23057"/>
  </r>
  <r>
    <x v="9"/>
    <x v="64"/>
    <x v="153"/>
    <n v="13754"/>
  </r>
  <r>
    <x v="4"/>
    <x v="5"/>
    <x v="153"/>
    <n v="7447"/>
  </r>
  <r>
    <x v="6"/>
    <x v="133"/>
    <x v="153"/>
    <n v="45202"/>
  </r>
  <r>
    <x v="7"/>
    <x v="113"/>
    <x v="153"/>
    <n v="27631"/>
  </r>
  <r>
    <x v="7"/>
    <x v="40"/>
    <x v="153"/>
    <n v="39205"/>
  </r>
  <r>
    <x v="7"/>
    <x v="58"/>
    <x v="153"/>
    <n v="36543"/>
  </r>
  <r>
    <x v="15"/>
    <x v="52"/>
    <x v="154"/>
    <n v="11863"/>
  </r>
  <r>
    <x v="0"/>
    <x v="39"/>
    <x v="154"/>
    <n v="37521"/>
  </r>
  <r>
    <x v="1"/>
    <x v="107"/>
    <x v="154"/>
    <n v="9540"/>
  </r>
  <r>
    <x v="1"/>
    <x v="120"/>
    <x v="154"/>
    <n v="18253"/>
  </r>
  <r>
    <x v="9"/>
    <x v="45"/>
    <x v="154"/>
    <n v="9907"/>
  </r>
  <r>
    <x v="14"/>
    <x v="232"/>
    <x v="154"/>
    <n v="13729"/>
  </r>
  <r>
    <x v="4"/>
    <x v="194"/>
    <x v="154"/>
    <n v="39873"/>
  </r>
  <r>
    <x v="4"/>
    <x v="47"/>
    <x v="154"/>
    <n v="24023"/>
  </r>
  <r>
    <x v="4"/>
    <x v="150"/>
    <x v="154"/>
    <n v="21019"/>
  </r>
  <r>
    <x v="7"/>
    <x v="48"/>
    <x v="154"/>
    <n v="29437"/>
  </r>
  <r>
    <x v="7"/>
    <x v="190"/>
    <x v="154"/>
    <n v="27060"/>
  </r>
  <r>
    <x v="7"/>
    <x v="13"/>
    <x v="154"/>
    <n v="49235"/>
  </r>
  <r>
    <x v="7"/>
    <x v="204"/>
    <x v="154"/>
    <n v="47612"/>
  </r>
  <r>
    <x v="7"/>
    <x v="49"/>
    <x v="154"/>
    <n v="59445"/>
  </r>
  <r>
    <x v="11"/>
    <x v="27"/>
    <x v="155"/>
    <n v="15478"/>
  </r>
  <r>
    <x v="8"/>
    <x v="208"/>
    <x v="155"/>
    <n v="14025"/>
  </r>
  <r>
    <x v="8"/>
    <x v="36"/>
    <x v="155"/>
    <n v="22910"/>
  </r>
  <r>
    <x v="3"/>
    <x v="198"/>
    <x v="155"/>
    <n v="15940"/>
  </r>
  <r>
    <x v="12"/>
    <x v="235"/>
    <x v="155"/>
    <n v="13379"/>
  </r>
  <r>
    <x v="6"/>
    <x v="88"/>
    <x v="155"/>
    <n v="28584"/>
  </r>
  <r>
    <x v="7"/>
    <x v="59"/>
    <x v="155"/>
    <n v="50498"/>
  </r>
  <r>
    <x v="7"/>
    <x v="160"/>
    <x v="155"/>
    <n v="35697"/>
  </r>
  <r>
    <x v="16"/>
    <x v="119"/>
    <x v="156"/>
    <n v="5200"/>
  </r>
  <r>
    <x v="0"/>
    <x v="136"/>
    <x v="156"/>
    <n v="20557"/>
  </r>
  <r>
    <x v="0"/>
    <x v="185"/>
    <x v="156"/>
    <n v="46977"/>
  </r>
  <r>
    <x v="11"/>
    <x v="179"/>
    <x v="156"/>
    <n v="12609"/>
  </r>
  <r>
    <x v="2"/>
    <x v="100"/>
    <x v="156"/>
    <n v="11627"/>
  </r>
  <r>
    <x v="3"/>
    <x v="73"/>
    <x v="156"/>
    <n v="18469"/>
  </r>
  <r>
    <x v="4"/>
    <x v="189"/>
    <x v="156"/>
    <n v="26715"/>
  </r>
  <r>
    <x v="6"/>
    <x v="48"/>
    <x v="156"/>
    <n v="38761"/>
  </r>
  <r>
    <x v="7"/>
    <x v="158"/>
    <x v="156"/>
    <n v="35029"/>
  </r>
  <r>
    <x v="7"/>
    <x v="40"/>
    <x v="156"/>
    <n v="32732"/>
  </r>
  <r>
    <x v="7"/>
    <x v="204"/>
    <x v="156"/>
    <n v="43125"/>
  </r>
  <r>
    <x v="7"/>
    <x v="59"/>
    <x v="156"/>
    <n v="42282"/>
  </r>
  <r>
    <x v="7"/>
    <x v="1"/>
    <x v="156"/>
    <n v="38859"/>
  </r>
  <r>
    <x v="0"/>
    <x v="95"/>
    <x v="157"/>
    <n v="38611"/>
  </r>
  <r>
    <x v="0"/>
    <x v="96"/>
    <x v="157"/>
    <n v="26883"/>
  </r>
  <r>
    <x v="8"/>
    <x v="165"/>
    <x v="157"/>
    <n v="12727"/>
  </r>
  <r>
    <x v="4"/>
    <x v="87"/>
    <x v="157"/>
    <n v="5495"/>
  </r>
  <r>
    <x v="6"/>
    <x v="169"/>
    <x v="157"/>
    <n v="45272"/>
  </r>
  <r>
    <x v="7"/>
    <x v="190"/>
    <x v="157"/>
    <n v="40628"/>
  </r>
  <r>
    <x v="7"/>
    <x v="128"/>
    <x v="157"/>
    <n v="48761"/>
  </r>
  <r>
    <x v="7"/>
    <x v="38"/>
    <x v="157"/>
    <n v="49123"/>
  </r>
  <r>
    <x v="7"/>
    <x v="39"/>
    <x v="157"/>
    <n v="51827"/>
  </r>
  <r>
    <x v="7"/>
    <x v="33"/>
    <x v="157"/>
    <n v="50478"/>
  </r>
  <r>
    <x v="7"/>
    <x v="67"/>
    <x v="157"/>
    <n v="38256"/>
  </r>
  <r>
    <x v="7"/>
    <x v="129"/>
    <x v="157"/>
    <n v="32832"/>
  </r>
  <r>
    <x v="13"/>
    <x v="35"/>
    <x v="158"/>
    <n v="11181"/>
  </r>
  <r>
    <x v="16"/>
    <x v="162"/>
    <x v="158"/>
    <n v="12841"/>
  </r>
  <r>
    <x v="0"/>
    <x v="206"/>
    <x v="158"/>
    <n v="29211"/>
  </r>
  <r>
    <x v="11"/>
    <x v="61"/>
    <x v="158"/>
    <n v="16692"/>
  </r>
  <r>
    <x v="3"/>
    <x v="4"/>
    <x v="158"/>
    <n v="14814"/>
  </r>
  <r>
    <x v="3"/>
    <x v="234"/>
    <x v="158"/>
    <n v="27731"/>
  </r>
  <r>
    <x v="9"/>
    <x v="175"/>
    <x v="158"/>
    <n v="5200"/>
  </r>
  <r>
    <x v="9"/>
    <x v="182"/>
    <x v="158"/>
    <n v="19524"/>
  </r>
  <r>
    <x v="4"/>
    <x v="30"/>
    <x v="158"/>
    <n v="25425"/>
  </r>
  <r>
    <x v="6"/>
    <x v="23"/>
    <x v="158"/>
    <n v="16654"/>
  </r>
  <r>
    <x v="6"/>
    <x v="6"/>
    <x v="158"/>
    <n v="39023"/>
  </r>
  <r>
    <x v="7"/>
    <x v="0"/>
    <x v="158"/>
    <n v="27517"/>
  </r>
  <r>
    <x v="7"/>
    <x v="230"/>
    <x v="158"/>
    <n v="39399"/>
  </r>
  <r>
    <x v="0"/>
    <x v="0"/>
    <x v="159"/>
    <n v="34504"/>
  </r>
  <r>
    <x v="0"/>
    <x v="144"/>
    <x v="159"/>
    <n v="27593"/>
  </r>
  <r>
    <x v="0"/>
    <x v="197"/>
    <x v="159"/>
    <n v="16158"/>
  </r>
  <r>
    <x v="4"/>
    <x v="9"/>
    <x v="159"/>
    <n v="13336"/>
  </r>
  <r>
    <x v="4"/>
    <x v="228"/>
    <x v="159"/>
    <n v="21500"/>
  </r>
  <r>
    <x v="6"/>
    <x v="151"/>
    <x v="159"/>
    <n v="35597"/>
  </r>
  <r>
    <x v="7"/>
    <x v="50"/>
    <x v="159"/>
    <n v="39426"/>
  </r>
  <r>
    <x v="7"/>
    <x v="152"/>
    <x v="159"/>
    <n v="46767"/>
  </r>
  <r>
    <x v="16"/>
    <x v="94"/>
    <x v="160"/>
    <n v="12626"/>
  </r>
  <r>
    <x v="3"/>
    <x v="211"/>
    <x v="160"/>
    <n v="16568"/>
  </r>
  <r>
    <x v="4"/>
    <x v="116"/>
    <x v="160"/>
    <n v="18263"/>
  </r>
  <r>
    <x v="4"/>
    <x v="37"/>
    <x v="160"/>
    <n v="31459"/>
  </r>
  <r>
    <x v="6"/>
    <x v="81"/>
    <x v="160"/>
    <n v="35532"/>
  </r>
  <r>
    <x v="7"/>
    <x v="48"/>
    <x v="160"/>
    <n v="35708"/>
  </r>
  <r>
    <x v="7"/>
    <x v="12"/>
    <x v="160"/>
    <n v="42923"/>
  </r>
  <r>
    <x v="7"/>
    <x v="68"/>
    <x v="160"/>
    <n v="35575"/>
  </r>
  <r>
    <x v="7"/>
    <x v="230"/>
    <x v="160"/>
    <n v="45943"/>
  </r>
  <r>
    <x v="7"/>
    <x v="135"/>
    <x v="160"/>
    <n v="36442"/>
  </r>
  <r>
    <x v="0"/>
    <x v="173"/>
    <x v="161"/>
    <n v="33350"/>
  </r>
  <r>
    <x v="9"/>
    <x v="139"/>
    <x v="161"/>
    <n v="17907"/>
  </r>
  <r>
    <x v="4"/>
    <x v="148"/>
    <x v="161"/>
    <n v="18128"/>
  </r>
  <r>
    <x v="7"/>
    <x v="38"/>
    <x v="161"/>
    <n v="50608"/>
  </r>
  <r>
    <x v="7"/>
    <x v="24"/>
    <x v="161"/>
    <n v="40166"/>
  </r>
  <r>
    <x v="7"/>
    <x v="129"/>
    <x v="161"/>
    <n v="41599"/>
  </r>
  <r>
    <x v="7"/>
    <x v="105"/>
    <x v="161"/>
    <n v="63301"/>
  </r>
  <r>
    <x v="7"/>
    <x v="230"/>
    <x v="161"/>
    <n v="37437"/>
  </r>
  <r>
    <x v="16"/>
    <x v="205"/>
    <x v="162"/>
    <n v="5200"/>
  </r>
  <r>
    <x v="0"/>
    <x v="15"/>
    <x v="162"/>
    <n v="23522"/>
  </r>
  <r>
    <x v="0"/>
    <x v="145"/>
    <x v="162"/>
    <n v="29306"/>
  </r>
  <r>
    <x v="0"/>
    <x v="26"/>
    <x v="162"/>
    <n v="10056"/>
  </r>
  <r>
    <x v="0"/>
    <x v="16"/>
    <x v="162"/>
    <n v="31550"/>
  </r>
  <r>
    <x v="11"/>
    <x v="43"/>
    <x v="162"/>
    <n v="9834"/>
  </r>
  <r>
    <x v="18"/>
    <x v="180"/>
    <x v="162"/>
    <n v="10789"/>
  </r>
  <r>
    <x v="6"/>
    <x v="14"/>
    <x v="162"/>
    <n v="37731"/>
  </r>
  <r>
    <x v="6"/>
    <x v="201"/>
    <x v="162"/>
    <n v="26481"/>
  </r>
  <r>
    <x v="7"/>
    <x v="171"/>
    <x v="162"/>
    <n v="40643"/>
  </r>
  <r>
    <x v="7"/>
    <x v="171"/>
    <x v="162"/>
    <n v="36457"/>
  </r>
  <r>
    <x v="7"/>
    <x v="24"/>
    <x v="162"/>
    <n v="38758"/>
  </r>
  <r>
    <x v="7"/>
    <x v="49"/>
    <x v="162"/>
    <n v="48899"/>
  </r>
  <r>
    <x v="0"/>
    <x v="172"/>
    <x v="163"/>
    <n v="33771"/>
  </r>
  <r>
    <x v="5"/>
    <x v="8"/>
    <x v="163"/>
    <n v="5200"/>
  </r>
  <r>
    <x v="4"/>
    <x v="215"/>
    <x v="163"/>
    <n v="19052"/>
  </r>
  <r>
    <x v="6"/>
    <x v="53"/>
    <x v="163"/>
    <n v="52536"/>
  </r>
  <r>
    <x v="6"/>
    <x v="24"/>
    <x v="163"/>
    <n v="47503"/>
  </r>
  <r>
    <x v="6"/>
    <x v="168"/>
    <x v="163"/>
    <n v="50893"/>
  </r>
  <r>
    <x v="6"/>
    <x v="142"/>
    <x v="163"/>
    <n v="23261"/>
  </r>
  <r>
    <x v="7"/>
    <x v="230"/>
    <x v="163"/>
    <n v="38517"/>
  </r>
  <r>
    <x v="5"/>
    <x v="154"/>
    <x v="164"/>
    <n v="11168"/>
  </r>
  <r>
    <x v="11"/>
    <x v="231"/>
    <x v="164"/>
    <n v="9426"/>
  </r>
  <r>
    <x v="11"/>
    <x v="219"/>
    <x v="164"/>
    <n v="15359"/>
  </r>
  <r>
    <x v="8"/>
    <x v="153"/>
    <x v="164"/>
    <n v="12804"/>
  </r>
  <r>
    <x v="2"/>
    <x v="174"/>
    <x v="164"/>
    <n v="12805"/>
  </r>
  <r>
    <x v="17"/>
    <x v="115"/>
    <x v="164"/>
    <n v="10996"/>
  </r>
  <r>
    <x v="9"/>
    <x v="75"/>
    <x v="164"/>
    <n v="17992"/>
  </r>
  <r>
    <x v="7"/>
    <x v="56"/>
    <x v="164"/>
    <n v="37128"/>
  </r>
  <r>
    <x v="7"/>
    <x v="57"/>
    <x v="164"/>
    <n v="44419"/>
  </r>
  <r>
    <x v="7"/>
    <x v="90"/>
    <x v="164"/>
    <n v="37603"/>
  </r>
  <r>
    <x v="7"/>
    <x v="51"/>
    <x v="164"/>
    <n v="52248"/>
  </r>
  <r>
    <x v="7"/>
    <x v="51"/>
    <x v="164"/>
    <n v="44604"/>
  </r>
  <r>
    <x v="16"/>
    <x v="79"/>
    <x v="165"/>
    <n v="13571"/>
  </r>
  <r>
    <x v="11"/>
    <x v="132"/>
    <x v="165"/>
    <n v="13264"/>
  </r>
  <r>
    <x v="8"/>
    <x v="209"/>
    <x v="165"/>
    <n v="8010"/>
  </r>
  <r>
    <x v="4"/>
    <x v="110"/>
    <x v="165"/>
    <n v="28314"/>
  </r>
  <r>
    <x v="6"/>
    <x v="102"/>
    <x v="165"/>
    <n v="36762"/>
  </r>
  <r>
    <x v="7"/>
    <x v="112"/>
    <x v="165"/>
    <n v="34451"/>
  </r>
  <r>
    <x v="7"/>
    <x v="56"/>
    <x v="165"/>
    <n v="27037"/>
  </r>
  <r>
    <x v="7"/>
    <x v="158"/>
    <x v="165"/>
    <n v="46032"/>
  </r>
  <r>
    <x v="7"/>
    <x v="67"/>
    <x v="165"/>
    <n v="43148"/>
  </r>
  <r>
    <x v="7"/>
    <x v="42"/>
    <x v="165"/>
    <n v="28931"/>
  </r>
  <r>
    <x v="7"/>
    <x v="49"/>
    <x v="165"/>
    <n v="57250"/>
  </r>
  <r>
    <x v="7"/>
    <x v="223"/>
    <x v="165"/>
    <n v="35068"/>
  </r>
  <r>
    <x v="7"/>
    <x v="51"/>
    <x v="165"/>
    <n v="63566"/>
  </r>
  <r>
    <x v="7"/>
    <x v="1"/>
    <x v="165"/>
    <n v="32332"/>
  </r>
  <r>
    <x v="0"/>
    <x v="131"/>
    <x v="166"/>
    <n v="21166"/>
  </r>
  <r>
    <x v="9"/>
    <x v="226"/>
    <x v="166"/>
    <n v="15343"/>
  </r>
  <r>
    <x v="6"/>
    <x v="229"/>
    <x v="166"/>
    <n v="31363"/>
  </r>
  <r>
    <x v="6"/>
    <x v="122"/>
    <x v="166"/>
    <n v="43373"/>
  </r>
  <r>
    <x v="6"/>
    <x v="22"/>
    <x v="166"/>
    <n v="35535"/>
  </r>
  <r>
    <x v="6"/>
    <x v="202"/>
    <x v="166"/>
    <n v="42357"/>
  </r>
  <r>
    <x v="6"/>
    <x v="55"/>
    <x v="166"/>
    <n v="13752"/>
  </r>
  <r>
    <x v="7"/>
    <x v="48"/>
    <x v="166"/>
    <n v="27230"/>
  </r>
  <r>
    <x v="7"/>
    <x v="77"/>
    <x v="166"/>
    <n v="51039"/>
  </r>
  <r>
    <x v="7"/>
    <x v="203"/>
    <x v="166"/>
    <n v="64820"/>
  </r>
  <r>
    <x v="7"/>
    <x v="67"/>
    <x v="166"/>
    <n v="31839"/>
  </r>
  <r>
    <x v="7"/>
    <x v="159"/>
    <x v="166"/>
    <n v="36458"/>
  </r>
  <r>
    <x v="7"/>
    <x v="1"/>
    <x v="166"/>
    <n v="46522"/>
  </r>
  <r>
    <x v="0"/>
    <x v="191"/>
    <x v="167"/>
    <n v="18767"/>
  </r>
  <r>
    <x v="0"/>
    <x v="71"/>
    <x v="167"/>
    <n v="36108"/>
  </r>
  <r>
    <x v="0"/>
    <x v="152"/>
    <x v="167"/>
    <n v="39499"/>
  </r>
  <r>
    <x v="5"/>
    <x v="146"/>
    <x v="167"/>
    <n v="21734"/>
  </r>
  <r>
    <x v="1"/>
    <x v="2"/>
    <x v="167"/>
    <n v="13253"/>
  </r>
  <r>
    <x v="12"/>
    <x v="28"/>
    <x v="167"/>
    <n v="12160"/>
  </r>
  <r>
    <x v="9"/>
    <x v="20"/>
    <x v="167"/>
    <n v="5200"/>
  </r>
  <r>
    <x v="9"/>
    <x v="86"/>
    <x v="167"/>
    <n v="18402"/>
  </r>
  <r>
    <x v="4"/>
    <x v="184"/>
    <x v="167"/>
    <n v="22713"/>
  </r>
  <r>
    <x v="6"/>
    <x v="88"/>
    <x v="167"/>
    <n v="36106"/>
  </r>
  <r>
    <x v="6"/>
    <x v="89"/>
    <x v="167"/>
    <n v="23324"/>
  </r>
  <r>
    <x v="7"/>
    <x v="159"/>
    <x v="167"/>
    <n v="35127"/>
  </r>
  <r>
    <x v="7"/>
    <x v="42"/>
    <x v="167"/>
    <n v="33002"/>
  </r>
  <r>
    <x v="7"/>
    <x v="34"/>
    <x v="167"/>
    <n v="34974"/>
  </r>
  <r>
    <x v="16"/>
    <x v="143"/>
    <x v="168"/>
    <n v="15272"/>
  </r>
  <r>
    <x v="0"/>
    <x v="106"/>
    <x v="168"/>
    <n v="30452"/>
  </r>
  <r>
    <x v="0"/>
    <x v="91"/>
    <x v="168"/>
    <n v="23534"/>
  </r>
  <r>
    <x v="3"/>
    <x v="19"/>
    <x v="168"/>
    <n v="15532"/>
  </r>
  <r>
    <x v="3"/>
    <x v="210"/>
    <x v="168"/>
    <n v="21728"/>
  </r>
  <r>
    <x v="3"/>
    <x v="85"/>
    <x v="168"/>
    <n v="15315"/>
  </r>
  <r>
    <x v="4"/>
    <x v="186"/>
    <x v="168"/>
    <n v="30649"/>
  </r>
  <r>
    <x v="4"/>
    <x v="140"/>
    <x v="168"/>
    <n v="25476"/>
  </r>
  <r>
    <x v="4"/>
    <x v="121"/>
    <x v="168"/>
    <n v="18303"/>
  </r>
  <r>
    <x v="6"/>
    <x v="151"/>
    <x v="168"/>
    <n v="25518"/>
  </r>
  <r>
    <x v="6"/>
    <x v="93"/>
    <x v="168"/>
    <n v="57162"/>
  </r>
  <r>
    <x v="6"/>
    <x v="89"/>
    <x v="168"/>
    <n v="29347"/>
  </r>
  <r>
    <x v="6"/>
    <x v="216"/>
    <x v="168"/>
    <n v="30652"/>
  </r>
  <r>
    <x v="7"/>
    <x v="90"/>
    <x v="168"/>
    <n v="56344"/>
  </r>
  <r>
    <x v="7"/>
    <x v="160"/>
    <x v="168"/>
    <n v="24615"/>
  </r>
  <r>
    <x v="7"/>
    <x v="124"/>
    <x v="168"/>
    <n v="38963"/>
  </r>
  <r>
    <x v="0"/>
    <x v="60"/>
    <x v="169"/>
    <n v="31119"/>
  </r>
  <r>
    <x v="1"/>
    <x v="207"/>
    <x v="169"/>
    <n v="25547"/>
  </r>
  <r>
    <x v="9"/>
    <x v="214"/>
    <x v="169"/>
    <n v="15659"/>
  </r>
  <r>
    <x v="6"/>
    <x v="142"/>
    <x v="169"/>
    <n v="28012"/>
  </r>
  <r>
    <x v="6"/>
    <x v="10"/>
    <x v="169"/>
    <n v="27064"/>
  </r>
  <r>
    <x v="7"/>
    <x v="12"/>
    <x v="169"/>
    <n v="50888"/>
  </r>
  <r>
    <x v="7"/>
    <x v="39"/>
    <x v="169"/>
    <n v="44522"/>
  </r>
  <r>
    <x v="7"/>
    <x v="118"/>
    <x v="169"/>
    <n v="31342"/>
  </r>
  <r>
    <x v="7"/>
    <x v="118"/>
    <x v="169"/>
    <n v="37829"/>
  </r>
  <r>
    <x v="11"/>
    <x v="147"/>
    <x v="170"/>
    <n v="16036"/>
  </r>
  <r>
    <x v="14"/>
    <x v="138"/>
    <x v="170"/>
    <n v="12164"/>
  </r>
  <r>
    <x v="14"/>
    <x v="46"/>
    <x v="170"/>
    <n v="12218"/>
  </r>
  <r>
    <x v="4"/>
    <x v="66"/>
    <x v="170"/>
    <n v="7310"/>
  </r>
  <r>
    <x v="6"/>
    <x v="117"/>
    <x v="170"/>
    <n v="41713"/>
  </r>
  <r>
    <x v="7"/>
    <x v="190"/>
    <x v="170"/>
    <n v="32566"/>
  </r>
  <r>
    <x v="7"/>
    <x v="10"/>
    <x v="170"/>
    <n v="29910"/>
  </r>
  <r>
    <x v="7"/>
    <x v="78"/>
    <x v="170"/>
    <n v="38857"/>
  </r>
  <r>
    <x v="11"/>
    <x v="225"/>
    <x v="171"/>
    <n v="12950"/>
  </r>
  <r>
    <x v="14"/>
    <x v="157"/>
    <x v="171"/>
    <n v="14050"/>
  </r>
  <r>
    <x v="4"/>
    <x v="31"/>
    <x v="171"/>
    <n v="35964"/>
  </r>
  <r>
    <x v="6"/>
    <x v="37"/>
    <x v="171"/>
    <n v="29027"/>
  </r>
  <r>
    <x v="16"/>
    <x v="69"/>
    <x v="172"/>
    <n v="10814"/>
  </r>
  <r>
    <x v="0"/>
    <x v="218"/>
    <x v="172"/>
    <n v="6795"/>
  </r>
  <r>
    <x v="9"/>
    <x v="213"/>
    <x v="172"/>
    <n v="16962"/>
  </r>
  <r>
    <x v="19"/>
    <x v="200"/>
    <x v="172"/>
    <n v="9535"/>
  </r>
  <r>
    <x v="14"/>
    <x v="65"/>
    <x v="172"/>
    <n v="5200"/>
  </r>
  <r>
    <x v="7"/>
    <x v="41"/>
    <x v="172"/>
    <n v="24919"/>
  </r>
  <r>
    <x v="13"/>
    <x v="224"/>
    <x v="173"/>
    <n v="5200"/>
  </r>
  <r>
    <x v="17"/>
    <x v="217"/>
    <x v="173"/>
    <n v="11657"/>
  </r>
  <r>
    <x v="4"/>
    <x v="177"/>
    <x v="173"/>
    <n v="21805"/>
  </r>
  <r>
    <x v="4"/>
    <x v="156"/>
    <x v="173"/>
    <n v="19077"/>
  </r>
  <r>
    <x v="6"/>
    <x v="186"/>
    <x v="173"/>
    <n v="37347"/>
  </r>
  <r>
    <x v="6"/>
    <x v="103"/>
    <x v="173"/>
    <n v="28056"/>
  </r>
  <r>
    <x v="6"/>
    <x v="11"/>
    <x v="173"/>
    <n v="46614"/>
  </r>
  <r>
    <x v="7"/>
    <x v="112"/>
    <x v="173"/>
    <n v="48646"/>
  </r>
  <r>
    <x v="7"/>
    <x v="160"/>
    <x v="173"/>
    <n v="29897"/>
  </r>
  <r>
    <x v="7"/>
    <x v="34"/>
    <x v="173"/>
    <n v="38836"/>
  </r>
  <r>
    <x v="7"/>
    <x v="1"/>
    <x v="173"/>
    <n v="34689"/>
  </r>
  <r>
    <x v="5"/>
    <x v="17"/>
    <x v="174"/>
    <n v="25191"/>
  </r>
  <r>
    <x v="11"/>
    <x v="18"/>
    <x v="174"/>
    <n v="14759"/>
  </r>
  <r>
    <x v="2"/>
    <x v="108"/>
    <x v="174"/>
    <n v="11450"/>
  </r>
  <r>
    <x v="12"/>
    <x v="199"/>
    <x v="174"/>
    <n v="12520"/>
  </r>
  <r>
    <x v="9"/>
    <x v="74"/>
    <x v="174"/>
    <n v="18958"/>
  </r>
  <r>
    <x v="9"/>
    <x v="29"/>
    <x v="174"/>
    <n v="16715"/>
  </r>
  <r>
    <x v="4"/>
    <x v="149"/>
    <x v="174"/>
    <n v="21696"/>
  </r>
  <r>
    <x v="6"/>
    <x v="6"/>
    <x v="174"/>
    <n v="34339"/>
  </r>
  <r>
    <x v="6"/>
    <x v="125"/>
    <x v="174"/>
    <n v="42935"/>
  </r>
  <r>
    <x v="6"/>
    <x v="104"/>
    <x v="174"/>
    <n v="37320"/>
  </r>
  <r>
    <x v="7"/>
    <x v="77"/>
    <x v="174"/>
    <n v="38501"/>
  </r>
  <r>
    <x v="7"/>
    <x v="33"/>
    <x v="174"/>
    <n v="48867"/>
  </r>
  <r>
    <x v="7"/>
    <x v="59"/>
    <x v="174"/>
    <n v="43921"/>
  </r>
  <r>
    <x v="12"/>
    <x v="181"/>
    <x v="175"/>
    <n v="11596"/>
  </r>
  <r>
    <x v="6"/>
    <x v="236"/>
    <x v="175"/>
    <n v="41350"/>
  </r>
  <r>
    <x v="6"/>
    <x v="32"/>
    <x v="175"/>
    <n v="29367"/>
  </r>
  <r>
    <x v="7"/>
    <x v="12"/>
    <x v="175"/>
    <n v="52413"/>
  </r>
  <r>
    <x v="7"/>
    <x v="57"/>
    <x v="175"/>
    <n v="45140"/>
  </r>
  <r>
    <x v="7"/>
    <x v="24"/>
    <x v="175"/>
    <n v="33622"/>
  </r>
  <r>
    <x v="7"/>
    <x v="33"/>
    <x v="175"/>
    <n v="37336"/>
  </r>
  <r>
    <x v="7"/>
    <x v="68"/>
    <x v="175"/>
    <n v="27090"/>
  </r>
  <r>
    <x v="7"/>
    <x v="50"/>
    <x v="175"/>
    <n v="39986"/>
  </r>
  <r>
    <x v="5"/>
    <x v="97"/>
    <x v="176"/>
    <n v="15088"/>
  </r>
  <r>
    <x v="5"/>
    <x v="98"/>
    <x v="176"/>
    <n v="12671"/>
  </r>
  <r>
    <x v="1"/>
    <x v="193"/>
    <x v="176"/>
    <n v="16888"/>
  </r>
  <r>
    <x v="8"/>
    <x v="44"/>
    <x v="176"/>
    <n v="14498"/>
  </r>
  <r>
    <x v="14"/>
    <x v="109"/>
    <x v="176"/>
    <n v="5200"/>
  </r>
  <r>
    <x v="4"/>
    <x v="195"/>
    <x v="176"/>
    <n v="10276"/>
  </r>
  <r>
    <x v="4"/>
    <x v="166"/>
    <x v="176"/>
    <n v="15898"/>
  </r>
  <r>
    <x v="6"/>
    <x v="104"/>
    <x v="176"/>
    <n v="37939"/>
  </r>
  <r>
    <x v="7"/>
    <x v="190"/>
    <x v="176"/>
    <n v="26197"/>
  </r>
  <r>
    <x v="7"/>
    <x v="24"/>
    <x v="176"/>
    <n v="43981"/>
  </r>
  <r>
    <x v="7"/>
    <x v="160"/>
    <x v="176"/>
    <n v="30200"/>
  </r>
  <r>
    <x v="11"/>
    <x v="82"/>
    <x v="177"/>
    <n v="13044"/>
  </r>
  <r>
    <x v="11"/>
    <x v="99"/>
    <x v="177"/>
    <n v="27805"/>
  </r>
  <r>
    <x v="3"/>
    <x v="163"/>
    <x v="177"/>
    <n v="17243"/>
  </r>
  <r>
    <x v="9"/>
    <x v="212"/>
    <x v="177"/>
    <n v="34507"/>
  </r>
  <r>
    <x v="9"/>
    <x v="167"/>
    <x v="177"/>
    <n v="14423"/>
  </r>
  <r>
    <x v="19"/>
    <x v="183"/>
    <x v="177"/>
    <n v="11530"/>
  </r>
  <r>
    <x v="14"/>
    <x v="62"/>
    <x v="177"/>
    <n v="11180"/>
  </r>
  <r>
    <x v="4"/>
    <x v="141"/>
    <x v="177"/>
    <n v="23649"/>
  </r>
  <r>
    <x v="10"/>
    <x v="21"/>
    <x v="177"/>
    <n v="13060"/>
  </r>
  <r>
    <x v="6"/>
    <x v="170"/>
    <x v="177"/>
    <n v="43563"/>
  </r>
  <r>
    <x v="6"/>
    <x v="229"/>
    <x v="177"/>
    <n v="46118"/>
  </r>
  <r>
    <x v="6"/>
    <x v="32"/>
    <x v="177"/>
    <n v="31194"/>
  </r>
  <r>
    <x v="6"/>
    <x v="222"/>
    <x v="177"/>
    <n v="41318"/>
  </r>
  <r>
    <x v="7"/>
    <x v="50"/>
    <x v="177"/>
    <n v="44173"/>
  </r>
  <r>
    <x v="0"/>
    <x v="127"/>
    <x v="178"/>
    <n v="28599"/>
  </r>
  <r>
    <x v="0"/>
    <x v="68"/>
    <x v="178"/>
    <n v="34159"/>
  </r>
  <r>
    <x v="11"/>
    <x v="164"/>
    <x v="178"/>
    <n v="22015"/>
  </r>
  <r>
    <x v="14"/>
    <x v="54"/>
    <x v="178"/>
    <n v="11033"/>
  </r>
  <r>
    <x v="7"/>
    <x v="48"/>
    <x v="178"/>
    <n v="34914"/>
  </r>
  <r>
    <x v="7"/>
    <x v="113"/>
    <x v="178"/>
    <n v="32533"/>
  </r>
  <r>
    <x v="7"/>
    <x v="128"/>
    <x v="178"/>
    <n v="45957"/>
  </r>
  <r>
    <x v="7"/>
    <x v="129"/>
    <x v="178"/>
    <n v="39282"/>
  </r>
  <r>
    <x v="7"/>
    <x v="78"/>
    <x v="178"/>
    <n v="39092"/>
  </r>
  <r>
    <x v="7"/>
    <x v="25"/>
    <x v="178"/>
    <n v="44412"/>
  </r>
  <r>
    <x v="7"/>
    <x v="152"/>
    <x v="178"/>
    <n v="36567"/>
  </r>
  <r>
    <x v="0"/>
    <x v="178"/>
    <x v="179"/>
    <n v="6540"/>
  </r>
  <r>
    <x v="0"/>
    <x v="126"/>
    <x v="179"/>
    <n v="30472"/>
  </r>
  <r>
    <x v="8"/>
    <x v="83"/>
    <x v="179"/>
    <n v="13176"/>
  </r>
  <r>
    <x v="8"/>
    <x v="233"/>
    <x v="179"/>
    <n v="13125"/>
  </r>
  <r>
    <x v="3"/>
    <x v="196"/>
    <x v="179"/>
    <n v="9601"/>
  </r>
  <r>
    <x v="3"/>
    <x v="220"/>
    <x v="179"/>
    <n v="15648"/>
  </r>
  <r>
    <x v="19"/>
    <x v="221"/>
    <x v="179"/>
    <n v="5200"/>
  </r>
  <r>
    <x v="14"/>
    <x v="101"/>
    <x v="179"/>
    <n v="11873"/>
  </r>
  <r>
    <x v="7"/>
    <x v="58"/>
    <x v="179"/>
    <n v="32125"/>
  </r>
  <r>
    <x v="7"/>
    <x v="161"/>
    <x v="179"/>
    <n v="43037"/>
  </r>
  <r>
    <x v="16"/>
    <x v="114"/>
    <x v="180"/>
    <n v="12046"/>
  </r>
  <r>
    <x v="2"/>
    <x v="84"/>
    <x v="180"/>
    <n v="15701"/>
  </r>
  <r>
    <x v="14"/>
    <x v="176"/>
    <x v="180"/>
    <n v="6043"/>
  </r>
  <r>
    <x v="6"/>
    <x v="123"/>
    <x v="180"/>
    <n v="36667"/>
  </r>
  <r>
    <x v="6"/>
    <x v="38"/>
    <x v="180"/>
    <n v="40917"/>
  </r>
  <r>
    <x v="6"/>
    <x v="22"/>
    <x v="180"/>
    <n v="25280"/>
  </r>
  <r>
    <x v="6"/>
    <x v="76"/>
    <x v="180"/>
    <n v="46569"/>
  </r>
  <r>
    <x v="6"/>
    <x v="81"/>
    <x v="180"/>
    <n v="49156"/>
  </r>
  <r>
    <x v="7"/>
    <x v="134"/>
    <x v="180"/>
    <n v="41622"/>
  </r>
  <r>
    <x v="7"/>
    <x v="56"/>
    <x v="180"/>
    <n v="25553"/>
  </r>
  <r>
    <x v="7"/>
    <x v="40"/>
    <x v="180"/>
    <n v="27976"/>
  </r>
  <r>
    <x v="16"/>
    <x v="94"/>
    <x v="181"/>
    <n v="12695"/>
  </r>
  <r>
    <x v="0"/>
    <x v="95"/>
    <x v="181"/>
    <n v="36199"/>
  </r>
  <r>
    <x v="2"/>
    <x v="62"/>
    <x v="181"/>
    <n v="11978"/>
  </r>
  <r>
    <x v="3"/>
    <x v="85"/>
    <x v="181"/>
    <n v="14558"/>
  </r>
  <r>
    <x v="4"/>
    <x v="106"/>
    <x v="181"/>
    <n v="29219"/>
  </r>
  <r>
    <x v="7"/>
    <x v="128"/>
    <x v="181"/>
    <n v="31109"/>
  </r>
  <r>
    <x v="7"/>
    <x v="203"/>
    <x v="181"/>
    <n v="36205"/>
  </r>
  <r>
    <x v="7"/>
    <x v="59"/>
    <x v="181"/>
    <n v="41810"/>
  </r>
  <r>
    <x v="7"/>
    <x v="230"/>
    <x v="181"/>
    <n v="47941"/>
  </r>
  <r>
    <x v="7"/>
    <x v="230"/>
    <x v="181"/>
    <n v="43675"/>
  </r>
  <r>
    <x v="7"/>
    <x v="41"/>
    <x v="181"/>
    <n v="41070"/>
  </r>
  <r>
    <x v="0"/>
    <x v="169"/>
    <x v="182"/>
    <n v="17810"/>
  </r>
  <r>
    <x v="11"/>
    <x v="231"/>
    <x v="182"/>
    <n v="10126"/>
  </r>
  <r>
    <x v="17"/>
    <x v="217"/>
    <x v="182"/>
    <n v="11808"/>
  </r>
  <r>
    <x v="14"/>
    <x v="109"/>
    <x v="182"/>
    <n v="22056"/>
  </r>
  <r>
    <x v="6"/>
    <x v="32"/>
    <x v="182"/>
    <n v="34634"/>
  </r>
  <r>
    <x v="6"/>
    <x v="93"/>
    <x v="182"/>
    <n v="40751"/>
  </r>
  <r>
    <x v="6"/>
    <x v="168"/>
    <x v="182"/>
    <n v="23408"/>
  </r>
  <r>
    <x v="7"/>
    <x v="56"/>
    <x v="182"/>
    <n v="29061"/>
  </r>
  <r>
    <x v="7"/>
    <x v="51"/>
    <x v="182"/>
    <n v="53516"/>
  </r>
  <r>
    <x v="0"/>
    <x v="168"/>
    <x v="183"/>
    <n v="28747"/>
  </r>
  <r>
    <x v="0"/>
    <x v="10"/>
    <x v="183"/>
    <n v="30255"/>
  </r>
  <r>
    <x v="0"/>
    <x v="218"/>
    <x v="183"/>
    <n v="28515"/>
  </r>
  <r>
    <x v="11"/>
    <x v="179"/>
    <x v="183"/>
    <n v="12720"/>
  </r>
  <r>
    <x v="3"/>
    <x v="219"/>
    <x v="183"/>
    <n v="15873"/>
  </r>
  <r>
    <x v="12"/>
    <x v="235"/>
    <x v="183"/>
    <n v="12703"/>
  </r>
  <r>
    <x v="6"/>
    <x v="197"/>
    <x v="183"/>
    <n v="31888"/>
  </r>
  <r>
    <x v="6"/>
    <x v="76"/>
    <x v="183"/>
    <n v="43220"/>
  </r>
  <r>
    <x v="7"/>
    <x v="203"/>
    <x v="183"/>
    <n v="41487"/>
  </r>
  <r>
    <x v="7"/>
    <x v="129"/>
    <x v="183"/>
    <n v="62349"/>
  </r>
  <r>
    <x v="7"/>
    <x v="68"/>
    <x v="183"/>
    <n v="32325"/>
  </r>
  <r>
    <x v="7"/>
    <x v="230"/>
    <x v="183"/>
    <n v="34964"/>
  </r>
  <r>
    <x v="7"/>
    <x v="50"/>
    <x v="183"/>
    <n v="38545"/>
  </r>
  <r>
    <x v="0"/>
    <x v="60"/>
    <x v="184"/>
    <n v="30536"/>
  </r>
  <r>
    <x v="5"/>
    <x v="8"/>
    <x v="184"/>
    <n v="9170"/>
  </r>
  <r>
    <x v="11"/>
    <x v="132"/>
    <x v="184"/>
    <n v="13560"/>
  </r>
  <r>
    <x v="11"/>
    <x v="164"/>
    <x v="184"/>
    <n v="29149"/>
  </r>
  <r>
    <x v="1"/>
    <x v="120"/>
    <x v="184"/>
    <n v="23010"/>
  </r>
  <r>
    <x v="1"/>
    <x v="193"/>
    <x v="184"/>
    <n v="5200"/>
  </r>
  <r>
    <x v="3"/>
    <x v="210"/>
    <x v="184"/>
    <n v="5200"/>
  </r>
  <r>
    <x v="4"/>
    <x v="149"/>
    <x v="184"/>
    <n v="22298"/>
  </r>
  <r>
    <x v="6"/>
    <x v="53"/>
    <x v="184"/>
    <n v="52328"/>
  </r>
  <r>
    <x v="6"/>
    <x v="133"/>
    <x v="184"/>
    <n v="43796"/>
  </r>
  <r>
    <x v="7"/>
    <x v="33"/>
    <x v="184"/>
    <n v="38516"/>
  </r>
  <r>
    <x v="7"/>
    <x v="13"/>
    <x v="184"/>
    <n v="36825"/>
  </r>
  <r>
    <x v="7"/>
    <x v="14"/>
    <x v="184"/>
    <n v="41656"/>
  </r>
  <r>
    <x v="7"/>
    <x v="105"/>
    <x v="184"/>
    <n v="53509"/>
  </r>
  <r>
    <x v="7"/>
    <x v="59"/>
    <x v="184"/>
    <n v="46313"/>
  </r>
  <r>
    <x v="7"/>
    <x v="135"/>
    <x v="184"/>
    <n v="39075"/>
  </r>
  <r>
    <x v="0"/>
    <x v="222"/>
    <x v="185"/>
    <n v="40624"/>
  </r>
  <r>
    <x v="3"/>
    <x v="19"/>
    <x v="185"/>
    <n v="13769"/>
  </r>
  <r>
    <x v="9"/>
    <x v="64"/>
    <x v="185"/>
    <n v="15566"/>
  </r>
  <r>
    <x v="4"/>
    <x v="116"/>
    <x v="185"/>
    <n v="19174"/>
  </r>
  <r>
    <x v="4"/>
    <x v="31"/>
    <x v="185"/>
    <n v="13475"/>
  </r>
  <r>
    <x v="10"/>
    <x v="21"/>
    <x v="185"/>
    <n v="15424"/>
  </r>
  <r>
    <x v="6"/>
    <x v="32"/>
    <x v="185"/>
    <n v="26042"/>
  </r>
  <r>
    <x v="7"/>
    <x v="33"/>
    <x v="185"/>
    <n v="46578"/>
  </r>
  <r>
    <x v="7"/>
    <x v="42"/>
    <x v="185"/>
    <n v="26425"/>
  </r>
  <r>
    <x v="7"/>
    <x v="34"/>
    <x v="185"/>
    <n v="45006"/>
  </r>
  <r>
    <x v="7"/>
    <x v="51"/>
    <x v="185"/>
    <n v="61687"/>
  </r>
  <r>
    <x v="16"/>
    <x v="130"/>
    <x v="186"/>
    <n v="5200"/>
  </r>
  <r>
    <x v="0"/>
    <x v="127"/>
    <x v="186"/>
    <n v="28958"/>
  </r>
  <r>
    <x v="0"/>
    <x v="131"/>
    <x v="186"/>
    <n v="24076"/>
  </r>
  <r>
    <x v="9"/>
    <x v="201"/>
    <x v="186"/>
    <n v="18128"/>
  </r>
  <r>
    <x v="9"/>
    <x v="75"/>
    <x v="186"/>
    <n v="18278"/>
  </r>
  <r>
    <x v="4"/>
    <x v="227"/>
    <x v="186"/>
    <n v="23153"/>
  </r>
  <r>
    <x v="4"/>
    <x v="148"/>
    <x v="186"/>
    <n v="19035"/>
  </r>
  <r>
    <x v="6"/>
    <x v="151"/>
    <x v="186"/>
    <n v="28597"/>
  </r>
  <r>
    <x v="7"/>
    <x v="56"/>
    <x v="186"/>
    <n v="36010"/>
  </r>
  <r>
    <x v="7"/>
    <x v="57"/>
    <x v="186"/>
    <n v="29498"/>
  </r>
  <r>
    <x v="7"/>
    <x v="203"/>
    <x v="186"/>
    <n v="46238"/>
  </r>
  <r>
    <x v="7"/>
    <x v="59"/>
    <x v="186"/>
    <n v="50308"/>
  </r>
  <r>
    <x v="7"/>
    <x v="68"/>
    <x v="186"/>
    <n v="35371"/>
  </r>
  <r>
    <x v="7"/>
    <x v="78"/>
    <x v="186"/>
    <n v="37136"/>
  </r>
  <r>
    <x v="7"/>
    <x v="25"/>
    <x v="186"/>
    <n v="43438"/>
  </r>
  <r>
    <x v="7"/>
    <x v="135"/>
    <x v="186"/>
    <n v="31229"/>
  </r>
  <r>
    <x v="0"/>
    <x v="16"/>
    <x v="187"/>
    <n v="26866"/>
  </r>
  <r>
    <x v="3"/>
    <x v="92"/>
    <x v="187"/>
    <n v="14802"/>
  </r>
  <r>
    <x v="9"/>
    <x v="215"/>
    <x v="187"/>
    <n v="11507"/>
  </r>
  <r>
    <x v="14"/>
    <x v="176"/>
    <x v="187"/>
    <n v="7671"/>
  </r>
  <r>
    <x v="6"/>
    <x v="88"/>
    <x v="187"/>
    <n v="27465"/>
  </r>
  <r>
    <x v="7"/>
    <x v="77"/>
    <x v="187"/>
    <n v="41572"/>
  </r>
  <r>
    <x v="7"/>
    <x v="77"/>
    <x v="187"/>
    <n v="49522"/>
  </r>
  <r>
    <x v="7"/>
    <x v="39"/>
    <x v="187"/>
    <n v="46068"/>
  </r>
  <r>
    <x v="11"/>
    <x v="72"/>
    <x v="188"/>
    <n v="25159"/>
  </r>
  <r>
    <x v="2"/>
    <x v="3"/>
    <x v="188"/>
    <n v="11538"/>
  </r>
  <r>
    <x v="9"/>
    <x v="29"/>
    <x v="188"/>
    <n v="16703"/>
  </r>
  <r>
    <x v="19"/>
    <x v="200"/>
    <x v="188"/>
    <n v="10768"/>
  </r>
  <r>
    <x v="4"/>
    <x v="5"/>
    <x v="188"/>
    <n v="29974"/>
  </r>
  <r>
    <x v="4"/>
    <x v="206"/>
    <x v="188"/>
    <n v="33652"/>
  </r>
  <r>
    <x v="6"/>
    <x v="186"/>
    <x v="188"/>
    <n v="33950"/>
  </r>
  <r>
    <x v="7"/>
    <x v="33"/>
    <x v="188"/>
    <n v="44244"/>
  </r>
  <r>
    <x v="7"/>
    <x v="50"/>
    <x v="188"/>
    <n v="35290"/>
  </r>
  <r>
    <x v="7"/>
    <x v="152"/>
    <x v="188"/>
    <n v="35796"/>
  </r>
  <r>
    <x v="0"/>
    <x v="136"/>
    <x v="189"/>
    <n v="29533"/>
  </r>
  <r>
    <x v="5"/>
    <x v="146"/>
    <x v="189"/>
    <n v="6532"/>
  </r>
  <r>
    <x v="9"/>
    <x v="212"/>
    <x v="189"/>
    <n v="33587"/>
  </r>
  <r>
    <x v="14"/>
    <x v="138"/>
    <x v="189"/>
    <n v="12702"/>
  </r>
  <r>
    <x v="14"/>
    <x v="101"/>
    <x v="189"/>
    <n v="12324"/>
  </r>
  <r>
    <x v="14"/>
    <x v="54"/>
    <x v="189"/>
    <n v="10763"/>
  </r>
  <r>
    <x v="4"/>
    <x v="194"/>
    <x v="189"/>
    <n v="14029"/>
  </r>
  <r>
    <x v="6"/>
    <x v="88"/>
    <x v="189"/>
    <n v="28371"/>
  </r>
  <r>
    <x v="6"/>
    <x v="77"/>
    <x v="189"/>
    <n v="34021"/>
  </r>
  <r>
    <x v="6"/>
    <x v="197"/>
    <x v="189"/>
    <n v="27312"/>
  </r>
  <r>
    <x v="7"/>
    <x v="134"/>
    <x v="189"/>
    <n v="23827"/>
  </r>
  <r>
    <x v="7"/>
    <x v="56"/>
    <x v="189"/>
    <n v="26614"/>
  </r>
  <r>
    <x v="7"/>
    <x v="128"/>
    <x v="189"/>
    <n v="42333"/>
  </r>
  <r>
    <x v="7"/>
    <x v="12"/>
    <x v="189"/>
    <n v="61390"/>
  </r>
  <r>
    <x v="18"/>
    <x v="180"/>
    <x v="190"/>
    <n v="11472"/>
  </r>
  <r>
    <x v="9"/>
    <x v="178"/>
    <x v="190"/>
    <n v="14710"/>
  </r>
  <r>
    <x v="6"/>
    <x v="89"/>
    <x v="190"/>
    <n v="26118"/>
  </r>
  <r>
    <x v="6"/>
    <x v="23"/>
    <x v="190"/>
    <n v="36639"/>
  </r>
  <r>
    <x v="7"/>
    <x v="48"/>
    <x v="190"/>
    <n v="43163"/>
  </r>
  <r>
    <x v="7"/>
    <x v="128"/>
    <x v="190"/>
    <n v="48325"/>
  </r>
  <r>
    <x v="7"/>
    <x v="38"/>
    <x v="190"/>
    <n v="50289"/>
  </r>
  <r>
    <x v="7"/>
    <x v="129"/>
    <x v="190"/>
    <n v="44481"/>
  </r>
  <r>
    <x v="7"/>
    <x v="90"/>
    <x v="190"/>
    <n v="40435"/>
  </r>
  <r>
    <x v="7"/>
    <x v="105"/>
    <x v="190"/>
    <n v="39830"/>
  </r>
  <r>
    <x v="0"/>
    <x v="14"/>
    <x v="191"/>
    <n v="39781"/>
  </r>
  <r>
    <x v="3"/>
    <x v="4"/>
    <x v="191"/>
    <n v="14019"/>
  </r>
  <r>
    <x v="9"/>
    <x v="155"/>
    <x v="191"/>
    <n v="29784"/>
  </r>
  <r>
    <x v="9"/>
    <x v="182"/>
    <x v="191"/>
    <n v="14937"/>
  </r>
  <r>
    <x v="4"/>
    <x v="156"/>
    <x v="191"/>
    <n v="16765"/>
  </r>
  <r>
    <x v="6"/>
    <x v="125"/>
    <x v="191"/>
    <n v="43071"/>
  </r>
  <r>
    <x v="7"/>
    <x v="118"/>
    <x v="191"/>
    <n v="35983"/>
  </r>
  <r>
    <x v="13"/>
    <x v="35"/>
    <x v="192"/>
    <n v="5200"/>
  </r>
  <r>
    <x v="5"/>
    <x v="98"/>
    <x v="192"/>
    <n v="12140"/>
  </r>
  <r>
    <x v="8"/>
    <x v="153"/>
    <x v="192"/>
    <n v="11077"/>
  </r>
  <r>
    <x v="3"/>
    <x v="175"/>
    <x v="192"/>
    <n v="5200"/>
  </r>
  <r>
    <x v="4"/>
    <x v="87"/>
    <x v="192"/>
    <n v="20746"/>
  </r>
  <r>
    <x v="4"/>
    <x v="121"/>
    <x v="192"/>
    <n v="25788"/>
  </r>
  <r>
    <x v="4"/>
    <x v="189"/>
    <x v="192"/>
    <n v="21760"/>
  </r>
  <r>
    <x v="7"/>
    <x v="190"/>
    <x v="192"/>
    <n v="35391"/>
  </r>
  <r>
    <x v="7"/>
    <x v="39"/>
    <x v="192"/>
    <n v="32186"/>
  </r>
  <r>
    <x v="7"/>
    <x v="51"/>
    <x v="192"/>
    <n v="43750"/>
  </r>
  <r>
    <x v="13"/>
    <x v="224"/>
    <x v="193"/>
    <n v="19649"/>
  </r>
  <r>
    <x v="16"/>
    <x v="143"/>
    <x v="193"/>
    <n v="14797"/>
  </r>
  <r>
    <x v="0"/>
    <x v="122"/>
    <x v="193"/>
    <n v="45425"/>
  </r>
  <r>
    <x v="0"/>
    <x v="185"/>
    <x v="193"/>
    <n v="22848"/>
  </r>
  <r>
    <x v="11"/>
    <x v="27"/>
    <x v="193"/>
    <n v="14643"/>
  </r>
  <r>
    <x v="8"/>
    <x v="209"/>
    <x v="193"/>
    <n v="21847"/>
  </r>
  <r>
    <x v="9"/>
    <x v="45"/>
    <x v="193"/>
    <n v="16415"/>
  </r>
  <r>
    <x v="4"/>
    <x v="30"/>
    <x v="193"/>
    <n v="25804"/>
  </r>
  <r>
    <x v="6"/>
    <x v="202"/>
    <x v="193"/>
    <n v="42862"/>
  </r>
  <r>
    <x v="6"/>
    <x v="55"/>
    <x v="193"/>
    <n v="22240"/>
  </r>
  <r>
    <x v="6"/>
    <x v="89"/>
    <x v="193"/>
    <n v="27681"/>
  </r>
  <r>
    <x v="7"/>
    <x v="77"/>
    <x v="193"/>
    <n v="50438"/>
  </r>
  <r>
    <x v="7"/>
    <x v="34"/>
    <x v="193"/>
    <n v="30162"/>
  </r>
  <r>
    <x v="7"/>
    <x v="230"/>
    <x v="193"/>
    <n v="49278"/>
  </r>
  <r>
    <x v="13"/>
    <x v="28"/>
    <x v="194"/>
    <n v="15636"/>
  </r>
  <r>
    <x v="0"/>
    <x v="191"/>
    <x v="194"/>
    <n v="26621"/>
  </r>
  <r>
    <x v="0"/>
    <x v="185"/>
    <x v="194"/>
    <n v="26213"/>
  </r>
  <r>
    <x v="8"/>
    <x v="233"/>
    <x v="194"/>
    <n v="14220"/>
  </r>
  <r>
    <x v="9"/>
    <x v="226"/>
    <x v="194"/>
    <n v="15186"/>
  </r>
  <r>
    <x v="6"/>
    <x v="236"/>
    <x v="194"/>
    <n v="26179"/>
  </r>
  <r>
    <x v="6"/>
    <x v="23"/>
    <x v="194"/>
    <n v="39150"/>
  </r>
  <r>
    <x v="7"/>
    <x v="203"/>
    <x v="194"/>
    <n v="41672"/>
  </r>
  <r>
    <x v="7"/>
    <x v="24"/>
    <x v="194"/>
    <n v="46386"/>
  </r>
  <r>
    <x v="7"/>
    <x v="14"/>
    <x v="194"/>
    <n v="33932"/>
  </r>
  <r>
    <x v="7"/>
    <x v="50"/>
    <x v="194"/>
    <n v="28862"/>
  </r>
  <r>
    <x v="16"/>
    <x v="205"/>
    <x v="195"/>
    <n v="22400"/>
  </r>
  <r>
    <x v="0"/>
    <x v="137"/>
    <x v="195"/>
    <n v="23126"/>
  </r>
  <r>
    <x v="5"/>
    <x v="17"/>
    <x v="195"/>
    <n v="5200"/>
  </r>
  <r>
    <x v="1"/>
    <x v="207"/>
    <x v="195"/>
    <n v="5200"/>
  </r>
  <r>
    <x v="3"/>
    <x v="211"/>
    <x v="195"/>
    <n v="16305"/>
  </r>
  <r>
    <x v="9"/>
    <x v="74"/>
    <x v="195"/>
    <n v="19282"/>
  </r>
  <r>
    <x v="6"/>
    <x v="103"/>
    <x v="195"/>
    <n v="28827"/>
  </r>
  <r>
    <x v="6"/>
    <x v="10"/>
    <x v="195"/>
    <n v="27469"/>
  </r>
  <r>
    <x v="7"/>
    <x v="112"/>
    <x v="195"/>
    <n v="42723"/>
  </r>
  <r>
    <x v="16"/>
    <x v="69"/>
    <x v="196"/>
    <n v="12257"/>
  </r>
  <r>
    <x v="0"/>
    <x v="91"/>
    <x v="196"/>
    <n v="22996"/>
  </r>
  <r>
    <x v="11"/>
    <x v="147"/>
    <x v="196"/>
    <n v="12380"/>
  </r>
  <r>
    <x v="3"/>
    <x v="163"/>
    <x v="196"/>
    <n v="18713"/>
  </r>
  <r>
    <x v="9"/>
    <x v="166"/>
    <x v="196"/>
    <n v="16135"/>
  </r>
  <r>
    <x v="14"/>
    <x v="46"/>
    <x v="196"/>
    <n v="12425"/>
  </r>
  <r>
    <x v="6"/>
    <x v="67"/>
    <x v="196"/>
    <n v="43073"/>
  </r>
  <r>
    <x v="7"/>
    <x v="190"/>
    <x v="196"/>
    <n v="34120"/>
  </r>
  <r>
    <x v="7"/>
    <x v="57"/>
    <x v="196"/>
    <n v="32958"/>
  </r>
  <r>
    <x v="7"/>
    <x v="39"/>
    <x v="196"/>
    <n v="52721"/>
  </r>
  <r>
    <x v="7"/>
    <x v="159"/>
    <x v="196"/>
    <n v="32348"/>
  </r>
  <r>
    <x v="7"/>
    <x v="105"/>
    <x v="196"/>
    <n v="57191"/>
  </r>
  <r>
    <x v="7"/>
    <x v="1"/>
    <x v="196"/>
    <n v="23707"/>
  </r>
  <r>
    <x v="11"/>
    <x v="99"/>
    <x v="197"/>
    <n v="5200"/>
  </r>
  <r>
    <x v="17"/>
    <x v="115"/>
    <x v="197"/>
    <n v="10501"/>
  </r>
  <r>
    <x v="9"/>
    <x v="139"/>
    <x v="197"/>
    <n v="17314"/>
  </r>
  <r>
    <x v="7"/>
    <x v="48"/>
    <x v="197"/>
    <n v="33009"/>
  </r>
  <r>
    <x v="7"/>
    <x v="90"/>
    <x v="197"/>
    <n v="53827"/>
  </r>
  <r>
    <x v="7"/>
    <x v="160"/>
    <x v="197"/>
    <n v="24802"/>
  </r>
  <r>
    <x v="7"/>
    <x v="41"/>
    <x v="197"/>
    <n v="45677"/>
  </r>
  <r>
    <x v="0"/>
    <x v="15"/>
    <x v="198"/>
    <n v="5799"/>
  </r>
  <r>
    <x v="2"/>
    <x v="84"/>
    <x v="198"/>
    <n v="11902"/>
  </r>
  <r>
    <x v="6"/>
    <x v="170"/>
    <x v="198"/>
    <n v="49453"/>
  </r>
  <r>
    <x v="6"/>
    <x v="34"/>
    <x v="198"/>
    <n v="44981"/>
  </r>
  <r>
    <x v="7"/>
    <x v="118"/>
    <x v="198"/>
    <n v="43535"/>
  </r>
  <r>
    <x v="11"/>
    <x v="43"/>
    <x v="199"/>
    <n v="11182"/>
  </r>
  <r>
    <x v="8"/>
    <x v="208"/>
    <x v="199"/>
    <n v="13015"/>
  </r>
  <r>
    <x v="3"/>
    <x v="234"/>
    <x v="199"/>
    <n v="23637"/>
  </r>
  <r>
    <x v="4"/>
    <x v="141"/>
    <x v="199"/>
    <n v="22818"/>
  </r>
  <r>
    <x v="6"/>
    <x v="81"/>
    <x v="199"/>
    <n v="46663"/>
  </r>
  <r>
    <x v="6"/>
    <x v="104"/>
    <x v="199"/>
    <n v="41925"/>
  </r>
  <r>
    <x v="7"/>
    <x v="48"/>
    <x v="199"/>
    <n v="45909"/>
  </r>
  <r>
    <x v="7"/>
    <x v="38"/>
    <x v="199"/>
    <n v="45883"/>
  </r>
  <r>
    <x v="7"/>
    <x v="25"/>
    <x v="199"/>
    <n v="49516"/>
  </r>
  <r>
    <x v="0"/>
    <x v="80"/>
    <x v="200"/>
    <n v="17768"/>
  </r>
  <r>
    <x v="4"/>
    <x v="5"/>
    <x v="200"/>
    <n v="23048"/>
  </r>
  <r>
    <x v="6"/>
    <x v="186"/>
    <x v="200"/>
    <n v="36423"/>
  </r>
  <r>
    <x v="7"/>
    <x v="151"/>
    <x v="200"/>
    <n v="31273"/>
  </r>
  <r>
    <x v="7"/>
    <x v="13"/>
    <x v="200"/>
    <n v="38702"/>
  </r>
  <r>
    <x v="7"/>
    <x v="14"/>
    <x v="200"/>
    <n v="42526"/>
  </r>
  <r>
    <x v="7"/>
    <x v="40"/>
    <x v="200"/>
    <n v="41066"/>
  </r>
  <r>
    <x v="7"/>
    <x v="40"/>
    <x v="200"/>
    <n v="38364"/>
  </r>
  <r>
    <x v="7"/>
    <x v="58"/>
    <x v="200"/>
    <n v="35513"/>
  </r>
  <r>
    <x v="7"/>
    <x v="78"/>
    <x v="200"/>
    <n v="31617"/>
  </r>
  <r>
    <x v="16"/>
    <x v="79"/>
    <x v="201"/>
    <n v="13706"/>
  </r>
  <r>
    <x v="16"/>
    <x v="119"/>
    <x v="201"/>
    <n v="22978"/>
  </r>
  <r>
    <x v="0"/>
    <x v="26"/>
    <x v="201"/>
    <n v="40430"/>
  </r>
  <r>
    <x v="8"/>
    <x v="187"/>
    <x v="201"/>
    <n v="10245"/>
  </r>
  <r>
    <x v="4"/>
    <x v="195"/>
    <x v="201"/>
    <n v="17880"/>
  </r>
  <r>
    <x v="7"/>
    <x v="105"/>
    <x v="201"/>
    <n v="50102"/>
  </r>
  <r>
    <x v="7"/>
    <x v="42"/>
    <x v="201"/>
    <n v="38403"/>
  </r>
  <r>
    <x v="0"/>
    <x v="71"/>
    <x v="202"/>
    <n v="24688"/>
  </r>
  <r>
    <x v="0"/>
    <x v="7"/>
    <x v="202"/>
    <n v="29403"/>
  </r>
  <r>
    <x v="8"/>
    <x v="83"/>
    <x v="202"/>
    <n v="13503"/>
  </r>
  <r>
    <x v="8"/>
    <x v="44"/>
    <x v="202"/>
    <n v="18372"/>
  </r>
  <r>
    <x v="8"/>
    <x v="36"/>
    <x v="202"/>
    <n v="5200"/>
  </r>
  <r>
    <x v="2"/>
    <x v="108"/>
    <x v="202"/>
    <n v="11482"/>
  </r>
  <r>
    <x v="2"/>
    <x v="174"/>
    <x v="202"/>
    <n v="12553"/>
  </r>
  <r>
    <x v="14"/>
    <x v="157"/>
    <x v="202"/>
    <n v="11643"/>
  </r>
  <r>
    <x v="4"/>
    <x v="47"/>
    <x v="202"/>
    <n v="19508"/>
  </r>
  <r>
    <x v="6"/>
    <x v="236"/>
    <x v="202"/>
    <n v="33558"/>
  </r>
  <r>
    <x v="6"/>
    <x v="88"/>
    <x v="202"/>
    <n v="31063"/>
  </r>
  <r>
    <x v="6"/>
    <x v="22"/>
    <x v="202"/>
    <n v="27499"/>
  </r>
  <r>
    <x v="6"/>
    <x v="228"/>
    <x v="202"/>
    <n v="19928"/>
  </r>
  <r>
    <x v="7"/>
    <x v="112"/>
    <x v="202"/>
    <n v="35377"/>
  </r>
  <r>
    <x v="7"/>
    <x v="158"/>
    <x v="202"/>
    <n v="37533"/>
  </r>
  <r>
    <x v="7"/>
    <x v="57"/>
    <x v="202"/>
    <n v="46081"/>
  </r>
  <r>
    <x v="7"/>
    <x v="105"/>
    <x v="202"/>
    <n v="49191"/>
  </r>
  <r>
    <x v="7"/>
    <x v="223"/>
    <x v="202"/>
    <n v="41618"/>
  </r>
  <r>
    <x v="0"/>
    <x v="0"/>
    <x v="203"/>
    <n v="9851"/>
  </r>
  <r>
    <x v="0"/>
    <x v="70"/>
    <x v="203"/>
    <n v="28829"/>
  </r>
  <r>
    <x v="0"/>
    <x v="111"/>
    <x v="203"/>
    <n v="40531"/>
  </r>
  <r>
    <x v="11"/>
    <x v="82"/>
    <x v="203"/>
    <n v="12567"/>
  </r>
  <r>
    <x v="11"/>
    <x v="114"/>
    <x v="203"/>
    <n v="12617"/>
  </r>
  <r>
    <x v="3"/>
    <x v="220"/>
    <x v="203"/>
    <n v="15708"/>
  </r>
  <r>
    <x v="6"/>
    <x v="171"/>
    <x v="203"/>
    <n v="36235"/>
  </r>
  <r>
    <x v="7"/>
    <x v="12"/>
    <x v="203"/>
    <n v="39374"/>
  </r>
  <r>
    <x v="7"/>
    <x v="14"/>
    <x v="203"/>
    <n v="35417"/>
  </r>
  <r>
    <x v="7"/>
    <x v="14"/>
    <x v="203"/>
    <n v="33578"/>
  </r>
  <r>
    <x v="7"/>
    <x v="230"/>
    <x v="203"/>
    <n v="46619"/>
  </r>
  <r>
    <x v="0"/>
    <x v="145"/>
    <x v="204"/>
    <n v="29287"/>
  </r>
  <r>
    <x v="0"/>
    <x v="142"/>
    <x v="204"/>
    <n v="49089"/>
  </r>
  <r>
    <x v="1"/>
    <x v="232"/>
    <x v="204"/>
    <n v="8850"/>
  </r>
  <r>
    <x v="8"/>
    <x v="165"/>
    <x v="204"/>
    <n v="11776"/>
  </r>
  <r>
    <x v="9"/>
    <x v="86"/>
    <x v="204"/>
    <n v="18563"/>
  </r>
  <r>
    <x v="4"/>
    <x v="184"/>
    <x v="204"/>
    <n v="24691"/>
  </r>
  <r>
    <x v="4"/>
    <x v="140"/>
    <x v="204"/>
    <n v="20615"/>
  </r>
  <r>
    <x v="6"/>
    <x v="37"/>
    <x v="204"/>
    <n v="33399"/>
  </r>
  <r>
    <x v="6"/>
    <x v="216"/>
    <x v="204"/>
    <n v="35399"/>
  </r>
  <r>
    <x v="6"/>
    <x v="11"/>
    <x v="204"/>
    <n v="49763"/>
  </r>
  <r>
    <x v="7"/>
    <x v="12"/>
    <x v="204"/>
    <n v="43220"/>
  </r>
  <r>
    <x v="7"/>
    <x v="58"/>
    <x v="204"/>
    <n v="35647"/>
  </r>
  <r>
    <x v="7"/>
    <x v="204"/>
    <x v="204"/>
    <n v="41527"/>
  </r>
  <r>
    <x v="3"/>
    <x v="73"/>
    <x v="205"/>
    <n v="12823"/>
  </r>
  <r>
    <x v="6"/>
    <x v="110"/>
    <x v="205"/>
    <n v="38704"/>
  </r>
  <r>
    <x v="6"/>
    <x v="117"/>
    <x v="205"/>
    <n v="41260"/>
  </r>
  <r>
    <x v="6"/>
    <x v="81"/>
    <x v="205"/>
    <n v="46330"/>
  </r>
  <r>
    <x v="7"/>
    <x v="171"/>
    <x v="205"/>
    <n v="38886"/>
  </r>
  <r>
    <x v="13"/>
    <x v="221"/>
    <x v="206"/>
    <n v="20111"/>
  </r>
  <r>
    <x v="16"/>
    <x v="162"/>
    <x v="206"/>
    <n v="13328"/>
  </r>
  <r>
    <x v="15"/>
    <x v="52"/>
    <x v="206"/>
    <n v="11920"/>
  </r>
  <r>
    <x v="0"/>
    <x v="172"/>
    <x v="206"/>
    <n v="33205"/>
  </r>
  <r>
    <x v="0"/>
    <x v="96"/>
    <x v="206"/>
    <n v="24484"/>
  </r>
  <r>
    <x v="5"/>
    <x v="97"/>
    <x v="206"/>
    <n v="9201"/>
  </r>
  <r>
    <x v="8"/>
    <x v="63"/>
    <x v="206"/>
    <n v="8524"/>
  </r>
  <r>
    <x v="12"/>
    <x v="181"/>
    <x v="206"/>
    <n v="12242"/>
  </r>
  <r>
    <x v="4"/>
    <x v="102"/>
    <x v="206"/>
    <n v="28706"/>
  </r>
  <r>
    <x v="7"/>
    <x v="77"/>
    <x v="206"/>
    <n v="36496"/>
  </r>
  <r>
    <x v="7"/>
    <x v="68"/>
    <x v="206"/>
    <n v="29380"/>
  </r>
  <r>
    <x v="8"/>
    <x v="18"/>
    <x v="207"/>
    <n v="16576"/>
  </r>
  <r>
    <x v="3"/>
    <x v="196"/>
    <x v="207"/>
    <n v="6034"/>
  </r>
  <r>
    <x v="9"/>
    <x v="20"/>
    <x v="207"/>
    <n v="31725"/>
  </r>
  <r>
    <x v="9"/>
    <x v="213"/>
    <x v="207"/>
    <n v="16985"/>
  </r>
  <r>
    <x v="4"/>
    <x v="66"/>
    <x v="207"/>
    <n v="11160"/>
  </r>
  <r>
    <x v="6"/>
    <x v="124"/>
    <x v="207"/>
    <n v="37324"/>
  </r>
  <r>
    <x v="6"/>
    <x v="23"/>
    <x v="207"/>
    <n v="32854"/>
  </r>
  <r>
    <x v="7"/>
    <x v="38"/>
    <x v="207"/>
    <n v="45977"/>
  </r>
  <r>
    <x v="7"/>
    <x v="223"/>
    <x v="207"/>
    <n v="40025"/>
  </r>
  <r>
    <x v="16"/>
    <x v="107"/>
    <x v="208"/>
    <n v="15560"/>
  </r>
  <r>
    <x v="11"/>
    <x v="198"/>
    <x v="208"/>
    <n v="14769"/>
  </r>
  <r>
    <x v="2"/>
    <x v="100"/>
    <x v="208"/>
    <n v="11873"/>
  </r>
  <r>
    <x v="2"/>
    <x v="154"/>
    <x v="208"/>
    <n v="10303"/>
  </r>
  <r>
    <x v="9"/>
    <x v="167"/>
    <x v="208"/>
    <n v="16076"/>
  </r>
  <r>
    <x v="14"/>
    <x v="65"/>
    <x v="208"/>
    <n v="8752"/>
  </r>
  <r>
    <x v="6"/>
    <x v="197"/>
    <x v="208"/>
    <n v="32651"/>
  </r>
  <r>
    <x v="6"/>
    <x v="37"/>
    <x v="208"/>
    <n v="29247"/>
  </r>
  <r>
    <x v="7"/>
    <x v="67"/>
    <x v="208"/>
    <n v="33627"/>
  </r>
  <r>
    <x v="7"/>
    <x v="105"/>
    <x v="208"/>
    <n v="41495"/>
  </r>
  <r>
    <x v="7"/>
    <x v="204"/>
    <x v="208"/>
    <n v="53352"/>
  </r>
  <r>
    <x v="7"/>
    <x v="161"/>
    <x v="208"/>
    <n v="20236"/>
  </r>
  <r>
    <x v="7"/>
    <x v="152"/>
    <x v="208"/>
    <n v="54112"/>
  </r>
  <r>
    <x v="0"/>
    <x v="144"/>
    <x v="209"/>
    <n v="27234"/>
  </r>
  <r>
    <x v="0"/>
    <x v="192"/>
    <x v="209"/>
    <n v="23288"/>
  </r>
  <r>
    <x v="0"/>
    <x v="173"/>
    <x v="209"/>
    <n v="23063"/>
  </r>
  <r>
    <x v="11"/>
    <x v="61"/>
    <x v="209"/>
    <n v="11290"/>
  </r>
  <r>
    <x v="3"/>
    <x v="188"/>
    <x v="209"/>
    <n v="24914"/>
  </r>
  <r>
    <x v="12"/>
    <x v="199"/>
    <x v="209"/>
    <n v="12027"/>
  </r>
  <r>
    <x v="6"/>
    <x v="229"/>
    <x v="209"/>
    <n v="56459"/>
  </r>
  <r>
    <x v="7"/>
    <x v="113"/>
    <x v="209"/>
    <n v="29411"/>
  </r>
  <r>
    <x v="7"/>
    <x v="158"/>
    <x v="209"/>
    <n v="48501"/>
  </r>
  <r>
    <x v="7"/>
    <x v="105"/>
    <x v="209"/>
    <n v="43576"/>
  </r>
  <r>
    <x v="7"/>
    <x v="34"/>
    <x v="209"/>
    <n v="37957"/>
  </r>
  <r>
    <x v="7"/>
    <x v="135"/>
    <x v="209"/>
    <n v="35145"/>
  </r>
  <r>
    <x v="1"/>
    <x v="2"/>
    <x v="210"/>
    <n v="9808"/>
  </r>
  <r>
    <x v="4"/>
    <x v="9"/>
    <x v="210"/>
    <n v="5200"/>
  </r>
  <r>
    <x v="4"/>
    <x v="177"/>
    <x v="210"/>
    <n v="21171"/>
  </r>
  <r>
    <x v="6"/>
    <x v="123"/>
    <x v="210"/>
    <n v="25861"/>
  </r>
  <r>
    <x v="7"/>
    <x v="113"/>
    <x v="210"/>
    <n v="31746"/>
  </r>
  <r>
    <x v="7"/>
    <x v="159"/>
    <x v="210"/>
    <n v="40069"/>
  </r>
  <r>
    <x v="7"/>
    <x v="34"/>
    <x v="210"/>
    <n v="46970"/>
  </r>
  <r>
    <x v="7"/>
    <x v="50"/>
    <x v="210"/>
    <n v="42871"/>
  </r>
  <r>
    <x v="0"/>
    <x v="136"/>
    <x v="211"/>
    <n v="27927"/>
  </r>
  <r>
    <x v="0"/>
    <x v="126"/>
    <x v="211"/>
    <n v="29975"/>
  </r>
  <r>
    <x v="11"/>
    <x v="225"/>
    <x v="211"/>
    <n v="13840"/>
  </r>
  <r>
    <x v="9"/>
    <x v="214"/>
    <x v="211"/>
    <n v="15744"/>
  </r>
  <r>
    <x v="19"/>
    <x v="183"/>
    <x v="211"/>
    <n v="13546"/>
  </r>
  <r>
    <x v="4"/>
    <x v="150"/>
    <x v="211"/>
    <n v="21828"/>
  </r>
  <r>
    <x v="6"/>
    <x v="6"/>
    <x v="211"/>
    <n v="41513"/>
  </r>
  <r>
    <x v="7"/>
    <x v="67"/>
    <x v="211"/>
    <n v="42527"/>
  </r>
  <r>
    <x v="7"/>
    <x v="49"/>
    <x v="211"/>
    <n v="56632"/>
  </r>
  <r>
    <x v="7"/>
    <x v="152"/>
    <x v="211"/>
    <n v="36415"/>
  </r>
  <r>
    <x v="0"/>
    <x v="111"/>
    <x v="212"/>
    <n v="36466"/>
  </r>
  <r>
    <x v="0"/>
    <x v="185"/>
    <x v="212"/>
    <n v="40442"/>
  </r>
  <r>
    <x v="11"/>
    <x v="27"/>
    <x v="212"/>
    <n v="14397"/>
  </r>
  <r>
    <x v="19"/>
    <x v="183"/>
    <x v="212"/>
    <n v="8133"/>
  </r>
  <r>
    <x v="14"/>
    <x v="109"/>
    <x v="212"/>
    <n v="19216"/>
  </r>
  <r>
    <x v="6"/>
    <x v="55"/>
    <x v="212"/>
    <n v="31793"/>
  </r>
  <r>
    <x v="6"/>
    <x v="93"/>
    <x v="212"/>
    <n v="52909"/>
  </r>
  <r>
    <x v="6"/>
    <x v="168"/>
    <x v="212"/>
    <n v="33935"/>
  </r>
  <r>
    <x v="6"/>
    <x v="169"/>
    <x v="212"/>
    <n v="34054"/>
  </r>
  <r>
    <x v="7"/>
    <x v="49"/>
    <x v="212"/>
    <n v="39435"/>
  </r>
  <r>
    <x v="7"/>
    <x v="34"/>
    <x v="212"/>
    <n v="38637"/>
  </r>
  <r>
    <x v="7"/>
    <x v="51"/>
    <x v="212"/>
    <n v="49551"/>
  </r>
  <r>
    <x v="7"/>
    <x v="41"/>
    <x v="212"/>
    <n v="46948"/>
  </r>
  <r>
    <x v="1"/>
    <x v="120"/>
    <x v="213"/>
    <n v="8207"/>
  </r>
  <r>
    <x v="3"/>
    <x v="92"/>
    <x v="213"/>
    <n v="15762"/>
  </r>
  <r>
    <x v="4"/>
    <x v="228"/>
    <x v="213"/>
    <n v="20524"/>
  </r>
  <r>
    <x v="6"/>
    <x v="186"/>
    <x v="213"/>
    <n v="30860"/>
  </r>
  <r>
    <x v="6"/>
    <x v="123"/>
    <x v="213"/>
    <n v="28328"/>
  </r>
  <r>
    <x v="6"/>
    <x v="6"/>
    <x v="213"/>
    <n v="37013"/>
  </r>
  <r>
    <x v="7"/>
    <x v="204"/>
    <x v="213"/>
    <n v="48052"/>
  </r>
  <r>
    <x v="7"/>
    <x v="34"/>
    <x v="213"/>
    <n v="39179"/>
  </r>
  <r>
    <x v="7"/>
    <x v="34"/>
    <x v="213"/>
    <n v="40169"/>
  </r>
  <r>
    <x v="7"/>
    <x v="34"/>
    <x v="213"/>
    <n v="42795"/>
  </r>
  <r>
    <x v="7"/>
    <x v="68"/>
    <x v="213"/>
    <n v="35078"/>
  </r>
  <r>
    <x v="7"/>
    <x v="1"/>
    <x v="213"/>
    <n v="47556"/>
  </r>
  <r>
    <x v="0"/>
    <x v="60"/>
    <x v="214"/>
    <n v="29325"/>
  </r>
  <r>
    <x v="4"/>
    <x v="195"/>
    <x v="214"/>
    <n v="26418"/>
  </r>
  <r>
    <x v="4"/>
    <x v="116"/>
    <x v="214"/>
    <n v="18814"/>
  </r>
  <r>
    <x v="4"/>
    <x v="47"/>
    <x v="214"/>
    <n v="19067"/>
  </r>
  <r>
    <x v="6"/>
    <x v="26"/>
    <x v="214"/>
    <n v="22613"/>
  </r>
  <r>
    <x v="7"/>
    <x v="67"/>
    <x v="214"/>
    <n v="49496"/>
  </r>
  <r>
    <x v="7"/>
    <x v="160"/>
    <x v="214"/>
    <n v="45711"/>
  </r>
  <r>
    <x v="7"/>
    <x v="41"/>
    <x v="214"/>
    <n v="33174"/>
  </r>
  <r>
    <x v="0"/>
    <x v="192"/>
    <x v="215"/>
    <n v="19346"/>
  </r>
  <r>
    <x v="0"/>
    <x v="173"/>
    <x v="215"/>
    <n v="33098"/>
  </r>
  <r>
    <x v="11"/>
    <x v="132"/>
    <x v="215"/>
    <n v="13233"/>
  </r>
  <r>
    <x v="14"/>
    <x v="157"/>
    <x v="215"/>
    <n v="9998"/>
  </r>
  <r>
    <x v="4"/>
    <x v="149"/>
    <x v="215"/>
    <n v="22106"/>
  </r>
  <r>
    <x v="6"/>
    <x v="32"/>
    <x v="215"/>
    <n v="25873"/>
  </r>
  <r>
    <x v="6"/>
    <x v="197"/>
    <x v="215"/>
    <n v="27734"/>
  </r>
  <r>
    <x v="7"/>
    <x v="25"/>
    <x v="215"/>
    <n v="47068"/>
  </r>
  <r>
    <x v="0"/>
    <x v="48"/>
    <x v="216"/>
    <n v="31840"/>
  </r>
  <r>
    <x v="11"/>
    <x v="147"/>
    <x v="216"/>
    <n v="16183"/>
  </r>
  <r>
    <x v="8"/>
    <x v="208"/>
    <x v="216"/>
    <n v="12890"/>
  </r>
  <r>
    <x v="9"/>
    <x v="86"/>
    <x v="216"/>
    <n v="18689"/>
  </r>
  <r>
    <x v="10"/>
    <x v="21"/>
    <x v="216"/>
    <n v="12973"/>
  </r>
  <r>
    <x v="7"/>
    <x v="12"/>
    <x v="216"/>
    <n v="32604"/>
  </r>
  <r>
    <x v="7"/>
    <x v="39"/>
    <x v="216"/>
    <n v="47628"/>
  </r>
  <r>
    <x v="8"/>
    <x v="211"/>
    <x v="217"/>
    <n v="17055"/>
  </r>
  <r>
    <x v="14"/>
    <x v="54"/>
    <x v="217"/>
    <n v="11010"/>
  </r>
  <r>
    <x v="4"/>
    <x v="148"/>
    <x v="217"/>
    <n v="19007"/>
  </r>
  <r>
    <x v="4"/>
    <x v="163"/>
    <x v="217"/>
    <n v="18656"/>
  </r>
  <r>
    <x v="6"/>
    <x v="22"/>
    <x v="217"/>
    <n v="9179"/>
  </r>
  <r>
    <x v="7"/>
    <x v="118"/>
    <x v="217"/>
    <n v="28337"/>
  </r>
  <r>
    <x v="16"/>
    <x v="94"/>
    <x v="218"/>
    <n v="12318"/>
  </r>
  <r>
    <x v="15"/>
    <x v="52"/>
    <x v="218"/>
    <n v="12155"/>
  </r>
  <r>
    <x v="8"/>
    <x v="209"/>
    <x v="218"/>
    <n v="7645"/>
  </r>
  <r>
    <x v="6"/>
    <x v="133"/>
    <x v="218"/>
    <n v="41883"/>
  </r>
  <r>
    <x v="6"/>
    <x v="89"/>
    <x v="218"/>
    <n v="26961"/>
  </r>
  <r>
    <x v="6"/>
    <x v="169"/>
    <x v="218"/>
    <n v="36718"/>
  </r>
  <r>
    <x v="7"/>
    <x v="33"/>
    <x v="218"/>
    <n v="40936"/>
  </r>
  <r>
    <x v="7"/>
    <x v="67"/>
    <x v="218"/>
    <n v="32781"/>
  </r>
  <r>
    <x v="7"/>
    <x v="129"/>
    <x v="218"/>
    <n v="55527"/>
  </r>
  <r>
    <x v="7"/>
    <x v="14"/>
    <x v="218"/>
    <n v="54297"/>
  </r>
  <r>
    <x v="7"/>
    <x v="49"/>
    <x v="218"/>
    <n v="46818"/>
  </r>
  <r>
    <x v="7"/>
    <x v="50"/>
    <x v="218"/>
    <n v="33695"/>
  </r>
  <r>
    <x v="7"/>
    <x v="78"/>
    <x v="218"/>
    <n v="24766"/>
  </r>
  <r>
    <x v="7"/>
    <x v="135"/>
    <x v="218"/>
    <n v="38224"/>
  </r>
  <r>
    <x v="16"/>
    <x v="205"/>
    <x v="219"/>
    <n v="5200"/>
  </r>
  <r>
    <x v="0"/>
    <x v="7"/>
    <x v="219"/>
    <n v="29283"/>
  </r>
  <r>
    <x v="0"/>
    <x v="26"/>
    <x v="219"/>
    <n v="23661"/>
  </r>
  <r>
    <x v="0"/>
    <x v="6"/>
    <x v="219"/>
    <n v="35124"/>
  </r>
  <r>
    <x v="11"/>
    <x v="99"/>
    <x v="219"/>
    <n v="21884"/>
  </r>
  <r>
    <x v="3"/>
    <x v="4"/>
    <x v="219"/>
    <n v="13621"/>
  </r>
  <r>
    <x v="14"/>
    <x v="138"/>
    <x v="219"/>
    <n v="12949"/>
  </r>
  <r>
    <x v="4"/>
    <x v="140"/>
    <x v="219"/>
    <n v="18197"/>
  </r>
  <r>
    <x v="6"/>
    <x v="88"/>
    <x v="219"/>
    <n v="42822"/>
  </r>
  <r>
    <x v="0"/>
    <x v="15"/>
    <x v="220"/>
    <n v="26400"/>
  </r>
  <r>
    <x v="5"/>
    <x v="98"/>
    <x v="220"/>
    <n v="12806"/>
  </r>
  <r>
    <x v="1"/>
    <x v="193"/>
    <x v="220"/>
    <n v="5200"/>
  </r>
  <r>
    <x v="3"/>
    <x v="175"/>
    <x v="220"/>
    <n v="8147"/>
  </r>
  <r>
    <x v="12"/>
    <x v="199"/>
    <x v="220"/>
    <n v="12268"/>
  </r>
  <r>
    <x v="9"/>
    <x v="213"/>
    <x v="220"/>
    <n v="17188"/>
  </r>
  <r>
    <x v="7"/>
    <x v="12"/>
    <x v="220"/>
    <n v="37051"/>
  </r>
  <r>
    <x v="7"/>
    <x v="24"/>
    <x v="220"/>
    <n v="37580"/>
  </r>
  <r>
    <x v="7"/>
    <x v="14"/>
    <x v="220"/>
    <n v="36250"/>
  </r>
  <r>
    <x v="7"/>
    <x v="34"/>
    <x v="220"/>
    <n v="38493"/>
  </r>
  <r>
    <x v="0"/>
    <x v="106"/>
    <x v="221"/>
    <n v="28043"/>
  </r>
  <r>
    <x v="0"/>
    <x v="91"/>
    <x v="221"/>
    <n v="22833"/>
  </r>
  <r>
    <x v="0"/>
    <x v="96"/>
    <x v="221"/>
    <n v="21854"/>
  </r>
  <r>
    <x v="1"/>
    <x v="2"/>
    <x v="221"/>
    <n v="12446"/>
  </r>
  <r>
    <x v="8"/>
    <x v="63"/>
    <x v="221"/>
    <n v="21589"/>
  </r>
  <r>
    <x v="8"/>
    <x v="44"/>
    <x v="221"/>
    <n v="11714"/>
  </r>
  <r>
    <x v="3"/>
    <x v="188"/>
    <x v="221"/>
    <n v="5200"/>
  </r>
  <r>
    <x v="17"/>
    <x v="217"/>
    <x v="221"/>
    <n v="11738"/>
  </r>
  <r>
    <x v="14"/>
    <x v="176"/>
    <x v="221"/>
    <n v="7196"/>
  </r>
  <r>
    <x v="4"/>
    <x v="103"/>
    <x v="221"/>
    <n v="35805"/>
  </r>
  <r>
    <x v="4"/>
    <x v="30"/>
    <x v="221"/>
    <n v="22467"/>
  </r>
  <r>
    <x v="6"/>
    <x v="11"/>
    <x v="221"/>
    <n v="46776"/>
  </r>
  <r>
    <x v="7"/>
    <x v="77"/>
    <x v="221"/>
    <n v="41358"/>
  </r>
  <r>
    <x v="7"/>
    <x v="39"/>
    <x v="221"/>
    <n v="38719"/>
  </r>
  <r>
    <x v="7"/>
    <x v="67"/>
    <x v="221"/>
    <n v="34532"/>
  </r>
  <r>
    <x v="16"/>
    <x v="65"/>
    <x v="222"/>
    <n v="10903"/>
  </r>
  <r>
    <x v="0"/>
    <x v="77"/>
    <x v="222"/>
    <n v="45533"/>
  </r>
  <r>
    <x v="1"/>
    <x v="62"/>
    <x v="222"/>
    <n v="11312"/>
  </r>
  <r>
    <x v="1"/>
    <x v="207"/>
    <x v="222"/>
    <n v="9648"/>
  </r>
  <r>
    <x v="8"/>
    <x v="165"/>
    <x v="222"/>
    <n v="12502"/>
  </r>
  <r>
    <x v="8"/>
    <x v="187"/>
    <x v="222"/>
    <n v="12012"/>
  </r>
  <r>
    <x v="9"/>
    <x v="182"/>
    <x v="222"/>
    <n v="13422"/>
  </r>
  <r>
    <x v="4"/>
    <x v="66"/>
    <x v="222"/>
    <n v="5200"/>
  </r>
  <r>
    <x v="6"/>
    <x v="48"/>
    <x v="222"/>
    <n v="43700"/>
  </r>
  <r>
    <x v="6"/>
    <x v="55"/>
    <x v="222"/>
    <n v="36853"/>
  </r>
  <r>
    <x v="6"/>
    <x v="117"/>
    <x v="222"/>
    <n v="40252"/>
  </r>
  <r>
    <x v="6"/>
    <x v="104"/>
    <x v="222"/>
    <n v="45582"/>
  </r>
  <r>
    <x v="7"/>
    <x v="48"/>
    <x v="222"/>
    <n v="29261"/>
  </r>
  <r>
    <x v="7"/>
    <x v="13"/>
    <x v="222"/>
    <n v="37511"/>
  </r>
  <r>
    <x v="7"/>
    <x v="129"/>
    <x v="222"/>
    <n v="54668"/>
  </r>
  <r>
    <x v="16"/>
    <x v="130"/>
    <x v="223"/>
    <n v="5200"/>
  </r>
  <r>
    <x v="16"/>
    <x v="162"/>
    <x v="223"/>
    <n v="12723"/>
  </r>
  <r>
    <x v="16"/>
    <x v="119"/>
    <x v="223"/>
    <n v="5200"/>
  </r>
  <r>
    <x v="0"/>
    <x v="127"/>
    <x v="223"/>
    <n v="29083"/>
  </r>
  <r>
    <x v="0"/>
    <x v="80"/>
    <x v="223"/>
    <n v="10059"/>
  </r>
  <r>
    <x v="0"/>
    <x v="0"/>
    <x v="223"/>
    <n v="26466"/>
  </r>
  <r>
    <x v="0"/>
    <x v="172"/>
    <x v="223"/>
    <n v="35164"/>
  </r>
  <r>
    <x v="0"/>
    <x v="137"/>
    <x v="223"/>
    <n v="24374"/>
  </r>
  <r>
    <x v="11"/>
    <x v="61"/>
    <x v="223"/>
    <n v="14643"/>
  </r>
  <r>
    <x v="11"/>
    <x v="219"/>
    <x v="223"/>
    <n v="15715"/>
  </r>
  <r>
    <x v="11"/>
    <x v="82"/>
    <x v="223"/>
    <n v="12793"/>
  </r>
  <r>
    <x v="3"/>
    <x v="198"/>
    <x v="223"/>
    <n v="15335"/>
  </r>
  <r>
    <x v="17"/>
    <x v="115"/>
    <x v="223"/>
    <n v="11198"/>
  </r>
  <r>
    <x v="9"/>
    <x v="215"/>
    <x v="223"/>
    <n v="14000"/>
  </r>
  <r>
    <x v="6"/>
    <x v="229"/>
    <x v="223"/>
    <n v="28336"/>
  </r>
  <r>
    <x v="6"/>
    <x v="122"/>
    <x v="223"/>
    <n v="35399"/>
  </r>
  <r>
    <x v="6"/>
    <x v="169"/>
    <x v="223"/>
    <n v="48530"/>
  </r>
  <r>
    <x v="7"/>
    <x v="134"/>
    <x v="223"/>
    <n v="24164"/>
  </r>
  <r>
    <x v="7"/>
    <x v="39"/>
    <x v="223"/>
    <n v="39580"/>
  </r>
  <r>
    <x v="7"/>
    <x v="49"/>
    <x v="223"/>
    <n v="55753"/>
  </r>
  <r>
    <x v="7"/>
    <x v="49"/>
    <x v="223"/>
    <n v="38845"/>
  </r>
  <r>
    <x v="7"/>
    <x v="78"/>
    <x v="223"/>
    <n v="29578"/>
  </r>
  <r>
    <x v="7"/>
    <x v="135"/>
    <x v="223"/>
    <n v="40230"/>
  </r>
  <r>
    <x v="0"/>
    <x v="126"/>
    <x v="224"/>
    <n v="30862"/>
  </r>
  <r>
    <x v="5"/>
    <x v="8"/>
    <x v="224"/>
    <n v="23365"/>
  </r>
  <r>
    <x v="3"/>
    <x v="85"/>
    <x v="224"/>
    <n v="15196"/>
  </r>
  <r>
    <x v="12"/>
    <x v="28"/>
    <x v="224"/>
    <n v="10226"/>
  </r>
  <r>
    <x v="4"/>
    <x v="218"/>
    <x v="224"/>
    <n v="21050"/>
  </r>
  <r>
    <x v="6"/>
    <x v="151"/>
    <x v="224"/>
    <n v="30638"/>
  </r>
  <r>
    <x v="7"/>
    <x v="56"/>
    <x v="224"/>
    <n v="32709"/>
  </r>
  <r>
    <x v="7"/>
    <x v="49"/>
    <x v="224"/>
    <n v="41251"/>
  </r>
  <r>
    <x v="7"/>
    <x v="25"/>
    <x v="224"/>
    <n v="45034"/>
  </r>
  <r>
    <x v="7"/>
    <x v="41"/>
    <x v="224"/>
    <n v="49846"/>
  </r>
  <r>
    <x v="16"/>
    <x v="69"/>
    <x v="225"/>
    <n v="10986"/>
  </r>
  <r>
    <x v="2"/>
    <x v="154"/>
    <x v="225"/>
    <n v="9953"/>
  </r>
  <r>
    <x v="19"/>
    <x v="200"/>
    <x v="225"/>
    <n v="15487"/>
  </r>
  <r>
    <x v="6"/>
    <x v="125"/>
    <x v="225"/>
    <n v="40895"/>
  </r>
  <r>
    <x v="7"/>
    <x v="128"/>
    <x v="225"/>
    <n v="40911"/>
  </r>
  <r>
    <x v="7"/>
    <x v="57"/>
    <x v="225"/>
    <n v="29330"/>
  </r>
  <r>
    <x v="7"/>
    <x v="24"/>
    <x v="225"/>
    <n v="42912"/>
  </r>
  <r>
    <x v="7"/>
    <x v="159"/>
    <x v="225"/>
    <n v="38808"/>
  </r>
  <r>
    <x v="7"/>
    <x v="42"/>
    <x v="225"/>
    <n v="34652"/>
  </r>
  <r>
    <x v="7"/>
    <x v="161"/>
    <x v="225"/>
    <n v="25065"/>
  </r>
  <r>
    <x v="16"/>
    <x v="79"/>
    <x v="226"/>
    <n v="13276"/>
  </r>
  <r>
    <x v="0"/>
    <x v="95"/>
    <x v="226"/>
    <n v="37546"/>
  </r>
  <r>
    <x v="0"/>
    <x v="33"/>
    <x v="226"/>
    <n v="50142"/>
  </r>
  <r>
    <x v="8"/>
    <x v="153"/>
    <x v="226"/>
    <n v="11562"/>
  </r>
  <r>
    <x v="9"/>
    <x v="144"/>
    <x v="226"/>
    <n v="26045"/>
  </r>
  <r>
    <x v="4"/>
    <x v="102"/>
    <x v="226"/>
    <n v="28266"/>
  </r>
  <r>
    <x v="4"/>
    <x v="141"/>
    <x v="226"/>
    <n v="22622"/>
  </r>
  <r>
    <x v="4"/>
    <x v="189"/>
    <x v="226"/>
    <n v="20337"/>
  </r>
  <r>
    <x v="6"/>
    <x v="124"/>
    <x v="226"/>
    <n v="48874"/>
  </r>
  <r>
    <x v="6"/>
    <x v="10"/>
    <x v="226"/>
    <n v="32408"/>
  </r>
  <r>
    <x v="7"/>
    <x v="58"/>
    <x v="226"/>
    <n v="35922"/>
  </r>
  <r>
    <x v="16"/>
    <x v="143"/>
    <x v="227"/>
    <n v="15137"/>
  </r>
  <r>
    <x v="11"/>
    <x v="225"/>
    <x v="227"/>
    <n v="12843"/>
  </r>
  <r>
    <x v="8"/>
    <x v="36"/>
    <x v="227"/>
    <n v="10815"/>
  </r>
  <r>
    <x v="2"/>
    <x v="3"/>
    <x v="227"/>
    <n v="11936"/>
  </r>
  <r>
    <x v="9"/>
    <x v="214"/>
    <x v="227"/>
    <n v="16715"/>
  </r>
  <r>
    <x v="4"/>
    <x v="184"/>
    <x v="227"/>
    <n v="20425"/>
  </r>
  <r>
    <x v="7"/>
    <x v="59"/>
    <x v="227"/>
    <n v="43760"/>
  </r>
  <r>
    <x v="0"/>
    <x v="178"/>
    <x v="228"/>
    <n v="5200"/>
  </r>
  <r>
    <x v="1"/>
    <x v="232"/>
    <x v="228"/>
    <n v="9411"/>
  </r>
  <r>
    <x v="8"/>
    <x v="233"/>
    <x v="228"/>
    <n v="14206"/>
  </r>
  <r>
    <x v="2"/>
    <x v="108"/>
    <x v="228"/>
    <n v="11545"/>
  </r>
  <r>
    <x v="12"/>
    <x v="181"/>
    <x v="228"/>
    <n v="11654"/>
  </r>
  <r>
    <x v="19"/>
    <x v="221"/>
    <x v="228"/>
    <n v="6181"/>
  </r>
  <r>
    <x v="6"/>
    <x v="37"/>
    <x v="228"/>
    <n v="35379"/>
  </r>
  <r>
    <x v="7"/>
    <x v="190"/>
    <x v="228"/>
    <n v="36176"/>
  </r>
  <r>
    <x v="7"/>
    <x v="40"/>
    <x v="228"/>
    <n v="29667"/>
  </r>
  <r>
    <x v="11"/>
    <x v="179"/>
    <x v="229"/>
    <n v="12816"/>
  </r>
  <r>
    <x v="18"/>
    <x v="180"/>
    <x v="229"/>
    <n v="11291"/>
  </r>
  <r>
    <x v="8"/>
    <x v="83"/>
    <x v="229"/>
    <n v="12728"/>
  </r>
  <r>
    <x v="4"/>
    <x v="201"/>
    <x v="229"/>
    <n v="21762"/>
  </r>
  <r>
    <x v="6"/>
    <x v="151"/>
    <x v="229"/>
    <n v="29192"/>
  </r>
  <r>
    <x v="6"/>
    <x v="32"/>
    <x v="229"/>
    <n v="32700"/>
  </r>
  <r>
    <x v="6"/>
    <x v="216"/>
    <x v="229"/>
    <n v="33547"/>
  </r>
  <r>
    <x v="7"/>
    <x v="77"/>
    <x v="229"/>
    <n v="42612"/>
  </r>
  <r>
    <x v="7"/>
    <x v="38"/>
    <x v="229"/>
    <n v="49969"/>
  </r>
  <r>
    <x v="7"/>
    <x v="223"/>
    <x v="229"/>
    <n v="32375"/>
  </r>
  <r>
    <x v="7"/>
    <x v="152"/>
    <x v="229"/>
    <n v="42680"/>
  </r>
  <r>
    <x v="7"/>
    <x v="152"/>
    <x v="229"/>
    <n v="35752"/>
  </r>
  <r>
    <x v="5"/>
    <x v="97"/>
    <x v="230"/>
    <n v="11510"/>
  </r>
  <r>
    <x v="2"/>
    <x v="84"/>
    <x v="230"/>
    <n v="13919"/>
  </r>
  <r>
    <x v="3"/>
    <x v="226"/>
    <x v="230"/>
    <n v="16135"/>
  </r>
  <r>
    <x v="3"/>
    <x v="234"/>
    <x v="230"/>
    <n v="12460"/>
  </r>
  <r>
    <x v="9"/>
    <x v="29"/>
    <x v="230"/>
    <n v="17820"/>
  </r>
  <r>
    <x v="7"/>
    <x v="113"/>
    <x v="230"/>
    <n v="38521"/>
  </r>
  <r>
    <x v="7"/>
    <x v="38"/>
    <x v="230"/>
    <n v="46321"/>
  </r>
  <r>
    <x v="7"/>
    <x v="68"/>
    <x v="230"/>
    <n v="29663"/>
  </r>
  <r>
    <x v="3"/>
    <x v="73"/>
    <x v="231"/>
    <n v="18761"/>
  </r>
  <r>
    <x v="3"/>
    <x v="220"/>
    <x v="231"/>
    <n v="15096"/>
  </r>
  <r>
    <x v="12"/>
    <x v="235"/>
    <x v="231"/>
    <n v="13142"/>
  </r>
  <r>
    <x v="9"/>
    <x v="45"/>
    <x v="231"/>
    <n v="14245"/>
  </r>
  <r>
    <x v="4"/>
    <x v="87"/>
    <x v="231"/>
    <n v="8990"/>
  </r>
  <r>
    <x v="4"/>
    <x v="5"/>
    <x v="231"/>
    <n v="45130"/>
  </r>
  <r>
    <x v="6"/>
    <x v="222"/>
    <x v="231"/>
    <n v="39941"/>
  </r>
  <r>
    <x v="7"/>
    <x v="203"/>
    <x v="231"/>
    <n v="50495"/>
  </r>
  <r>
    <x v="7"/>
    <x v="24"/>
    <x v="231"/>
    <n v="39293"/>
  </r>
  <r>
    <x v="7"/>
    <x v="13"/>
    <x v="231"/>
    <n v="34978"/>
  </r>
  <r>
    <x v="7"/>
    <x v="105"/>
    <x v="231"/>
    <n v="45493"/>
  </r>
  <r>
    <x v="7"/>
    <x v="118"/>
    <x v="231"/>
    <n v="30749"/>
  </r>
  <r>
    <x v="7"/>
    <x v="50"/>
    <x v="231"/>
    <n v="40315"/>
  </r>
  <r>
    <x v="7"/>
    <x v="51"/>
    <x v="231"/>
    <n v="53801"/>
  </r>
  <r>
    <x v="9"/>
    <x v="75"/>
    <x v="232"/>
    <n v="18215"/>
  </r>
  <r>
    <x v="6"/>
    <x v="236"/>
    <x v="232"/>
    <n v="39221"/>
  </r>
  <r>
    <x v="6"/>
    <x v="110"/>
    <x v="232"/>
    <n v="43776"/>
  </r>
  <r>
    <x v="6"/>
    <x v="10"/>
    <x v="232"/>
    <n v="22311"/>
  </r>
  <r>
    <x v="7"/>
    <x v="12"/>
    <x v="232"/>
    <n v="40339"/>
  </r>
  <r>
    <x v="7"/>
    <x v="158"/>
    <x v="232"/>
    <n v="44391"/>
  </r>
  <r>
    <x v="7"/>
    <x v="57"/>
    <x v="232"/>
    <n v="36955"/>
  </r>
  <r>
    <x v="7"/>
    <x v="33"/>
    <x v="232"/>
    <n v="35036"/>
  </r>
  <r>
    <x v="7"/>
    <x v="118"/>
    <x v="232"/>
    <n v="34107"/>
  </r>
  <r>
    <x v="7"/>
    <x v="152"/>
    <x v="232"/>
    <n v="45616"/>
  </r>
  <r>
    <x v="0"/>
    <x v="206"/>
    <x v="233"/>
    <n v="28631"/>
  </r>
  <r>
    <x v="2"/>
    <x v="174"/>
    <x v="233"/>
    <n v="12669"/>
  </r>
  <r>
    <x v="6"/>
    <x v="53"/>
    <x v="233"/>
    <n v="51986"/>
  </r>
  <r>
    <x v="6"/>
    <x v="186"/>
    <x v="233"/>
    <n v="40861"/>
  </r>
  <r>
    <x v="6"/>
    <x v="202"/>
    <x v="233"/>
    <n v="45849"/>
  </r>
  <r>
    <x v="7"/>
    <x v="134"/>
    <x v="233"/>
    <n v="31718"/>
  </r>
  <r>
    <x v="7"/>
    <x v="38"/>
    <x v="233"/>
    <n v="46733"/>
  </r>
  <r>
    <x v="7"/>
    <x v="40"/>
    <x v="233"/>
    <n v="33989"/>
  </r>
  <r>
    <x v="7"/>
    <x v="1"/>
    <x v="233"/>
    <n v="36465"/>
  </r>
  <r>
    <x v="0"/>
    <x v="191"/>
    <x v="234"/>
    <n v="21034"/>
  </r>
  <r>
    <x v="0"/>
    <x v="42"/>
    <x v="234"/>
    <n v="32063"/>
  </r>
  <r>
    <x v="9"/>
    <x v="64"/>
    <x v="234"/>
    <n v="16529"/>
  </r>
  <r>
    <x v="9"/>
    <x v="74"/>
    <x v="234"/>
    <n v="18276"/>
  </r>
  <r>
    <x v="9"/>
    <x v="156"/>
    <x v="234"/>
    <n v="12109"/>
  </r>
  <r>
    <x v="6"/>
    <x v="88"/>
    <x v="234"/>
    <n v="41681"/>
  </r>
  <r>
    <x v="6"/>
    <x v="170"/>
    <x v="234"/>
    <n v="24952"/>
  </r>
  <r>
    <x v="7"/>
    <x v="223"/>
    <x v="234"/>
    <n v="34952"/>
  </r>
  <r>
    <x v="7"/>
    <x v="230"/>
    <x v="234"/>
    <n v="43456"/>
  </r>
  <r>
    <x v="5"/>
    <x v="17"/>
    <x v="235"/>
    <n v="5200"/>
  </r>
  <r>
    <x v="7"/>
    <x v="112"/>
    <x v="235"/>
    <n v="45812"/>
  </r>
  <r>
    <x v="7"/>
    <x v="56"/>
    <x v="235"/>
    <n v="29969"/>
  </r>
  <r>
    <x v="7"/>
    <x v="113"/>
    <x v="235"/>
    <n v="24528"/>
  </r>
  <r>
    <x v="7"/>
    <x v="204"/>
    <x v="235"/>
    <n v="41145"/>
  </r>
  <r>
    <x v="7"/>
    <x v="230"/>
    <x v="235"/>
    <n v="40674"/>
  </r>
  <r>
    <x v="13"/>
    <x v="35"/>
    <x v="236"/>
    <n v="22577"/>
  </r>
  <r>
    <x v="0"/>
    <x v="203"/>
    <x v="236"/>
    <n v="50528"/>
  </r>
  <r>
    <x v="0"/>
    <x v="71"/>
    <x v="236"/>
    <n v="36095"/>
  </r>
  <r>
    <x v="3"/>
    <x v="155"/>
    <x v="236"/>
    <n v="33951"/>
  </r>
  <r>
    <x v="9"/>
    <x v="212"/>
    <x v="236"/>
    <n v="24075"/>
  </r>
  <r>
    <x v="4"/>
    <x v="195"/>
    <x v="236"/>
    <n v="17336"/>
  </r>
  <r>
    <x v="6"/>
    <x v="37"/>
    <x v="236"/>
    <n v="24695"/>
  </r>
  <r>
    <x v="7"/>
    <x v="90"/>
    <x v="236"/>
    <n v="47980"/>
  </r>
  <r>
    <x v="7"/>
    <x v="58"/>
    <x v="236"/>
    <n v="32704"/>
  </r>
  <r>
    <x v="13"/>
    <x v="224"/>
    <x v="237"/>
    <n v="5200"/>
  </r>
  <r>
    <x v="16"/>
    <x v="114"/>
    <x v="237"/>
    <n v="12533"/>
  </r>
  <r>
    <x v="0"/>
    <x v="145"/>
    <x v="237"/>
    <n v="28687"/>
  </r>
  <r>
    <x v="1"/>
    <x v="107"/>
    <x v="237"/>
    <n v="9272"/>
  </r>
  <r>
    <x v="14"/>
    <x v="101"/>
    <x v="237"/>
    <n v="15963"/>
  </r>
  <r>
    <x v="4"/>
    <x v="227"/>
    <x v="237"/>
    <n v="23012"/>
  </r>
  <r>
    <x v="4"/>
    <x v="121"/>
    <x v="237"/>
    <n v="27559"/>
  </r>
  <r>
    <x v="6"/>
    <x v="76"/>
    <x v="237"/>
    <n v="45720"/>
  </r>
  <r>
    <x v="7"/>
    <x v="77"/>
    <x v="237"/>
    <n v="39875"/>
  </r>
  <r>
    <x v="7"/>
    <x v="77"/>
    <x v="237"/>
    <n v="49212"/>
  </r>
  <r>
    <x v="7"/>
    <x v="57"/>
    <x v="237"/>
    <n v="40420"/>
  </r>
  <r>
    <x v="7"/>
    <x v="90"/>
    <x v="237"/>
    <n v="53609"/>
  </r>
  <r>
    <x v="0"/>
    <x v="0"/>
    <x v="238"/>
    <n v="23939"/>
  </r>
  <r>
    <x v="0"/>
    <x v="131"/>
    <x v="238"/>
    <n v="36839"/>
  </r>
  <r>
    <x v="0"/>
    <x v="136"/>
    <x v="238"/>
    <n v="22868"/>
  </r>
  <r>
    <x v="0"/>
    <x v="173"/>
    <x v="238"/>
    <n v="21846"/>
  </r>
  <r>
    <x v="11"/>
    <x v="72"/>
    <x v="238"/>
    <n v="5200"/>
  </r>
  <r>
    <x v="9"/>
    <x v="20"/>
    <x v="238"/>
    <n v="14878"/>
  </r>
  <r>
    <x v="9"/>
    <x v="139"/>
    <x v="238"/>
    <n v="18659"/>
  </r>
  <r>
    <x v="9"/>
    <x v="166"/>
    <x v="238"/>
    <n v="21635"/>
  </r>
  <r>
    <x v="14"/>
    <x v="46"/>
    <x v="238"/>
    <n v="12468"/>
  </r>
  <r>
    <x v="4"/>
    <x v="23"/>
    <x v="238"/>
    <n v="29524"/>
  </r>
  <r>
    <x v="7"/>
    <x v="12"/>
    <x v="238"/>
    <n v="37506"/>
  </r>
  <r>
    <x v="7"/>
    <x v="158"/>
    <x v="238"/>
    <n v="40018"/>
  </r>
  <r>
    <x v="7"/>
    <x v="59"/>
    <x v="238"/>
    <n v="49330"/>
  </r>
  <r>
    <x v="7"/>
    <x v="118"/>
    <x v="238"/>
    <n v="41557"/>
  </r>
  <r>
    <x v="7"/>
    <x v="50"/>
    <x v="238"/>
    <n v="36444"/>
  </r>
  <r>
    <x v="7"/>
    <x v="1"/>
    <x v="238"/>
    <n v="41253"/>
  </r>
  <r>
    <x v="0"/>
    <x v="59"/>
    <x v="239"/>
    <n v="44385"/>
  </r>
  <r>
    <x v="11"/>
    <x v="231"/>
    <x v="239"/>
    <n v="15211"/>
  </r>
  <r>
    <x v="11"/>
    <x v="43"/>
    <x v="239"/>
    <n v="13081"/>
  </r>
  <r>
    <x v="3"/>
    <x v="19"/>
    <x v="239"/>
    <n v="21437"/>
  </r>
  <r>
    <x v="3"/>
    <x v="210"/>
    <x v="239"/>
    <n v="5652"/>
  </r>
  <r>
    <x v="3"/>
    <x v="196"/>
    <x v="239"/>
    <n v="8213"/>
  </r>
  <r>
    <x v="9"/>
    <x v="167"/>
    <x v="239"/>
    <n v="17386"/>
  </r>
  <r>
    <x v="4"/>
    <x v="9"/>
    <x v="239"/>
    <n v="12275"/>
  </r>
  <r>
    <x v="4"/>
    <x v="31"/>
    <x v="239"/>
    <n v="14744"/>
  </r>
  <r>
    <x v="4"/>
    <x v="150"/>
    <x v="239"/>
    <n v="22060"/>
  </r>
  <r>
    <x v="6"/>
    <x v="112"/>
    <x v="239"/>
    <n v="34437"/>
  </r>
  <r>
    <x v="6"/>
    <x v="142"/>
    <x v="239"/>
    <n v="24705"/>
  </r>
  <r>
    <x v="7"/>
    <x v="159"/>
    <x v="239"/>
    <n v="31927"/>
  </r>
  <r>
    <x v="7"/>
    <x v="14"/>
    <x v="239"/>
    <n v="37965"/>
  </r>
  <r>
    <x v="0"/>
    <x v="70"/>
    <x v="240"/>
    <n v="28123"/>
  </r>
  <r>
    <x v="0"/>
    <x v="16"/>
    <x v="240"/>
    <n v="19855"/>
  </r>
  <r>
    <x v="5"/>
    <x v="146"/>
    <x v="240"/>
    <n v="20736"/>
  </r>
  <r>
    <x v="7"/>
    <x v="171"/>
    <x v="240"/>
    <n v="40615"/>
  </r>
  <r>
    <x v="7"/>
    <x v="68"/>
    <x v="240"/>
    <n v="39038"/>
  </r>
  <r>
    <x v="6"/>
    <x v="103"/>
    <x v="241"/>
    <n v="29488"/>
  </r>
  <r>
    <x v="6"/>
    <x v="142"/>
    <x v="241"/>
    <n v="25826"/>
  </r>
  <r>
    <x v="7"/>
    <x v="190"/>
    <x v="241"/>
    <n v="40710"/>
  </r>
  <r>
    <x v="7"/>
    <x v="40"/>
    <x v="241"/>
    <n v="33413"/>
  </r>
  <r>
    <x v="7"/>
    <x v="34"/>
    <x v="241"/>
    <n v="48093"/>
  </r>
  <r>
    <x v="7"/>
    <x v="51"/>
    <x v="241"/>
    <n v="49588"/>
  </r>
  <r>
    <x v="7"/>
    <x v="41"/>
    <x v="241"/>
    <n v="50170"/>
  </r>
  <r>
    <x v="11"/>
    <x v="164"/>
    <x v="242"/>
    <n v="6245"/>
  </r>
  <r>
    <x v="8"/>
    <x v="18"/>
    <x v="242"/>
    <n v="13920"/>
  </r>
  <r>
    <x v="2"/>
    <x v="100"/>
    <x v="242"/>
    <n v="11595"/>
  </r>
  <r>
    <x v="4"/>
    <x v="194"/>
    <x v="242"/>
    <n v="7468"/>
  </r>
  <r>
    <x v="4"/>
    <x v="177"/>
    <x v="242"/>
    <n v="21044"/>
  </r>
  <r>
    <x v="6"/>
    <x v="229"/>
    <x v="242"/>
    <n v="32421"/>
  </r>
  <r>
    <x v="6"/>
    <x v="89"/>
    <x v="242"/>
    <n v="29160"/>
  </r>
  <r>
    <x v="6"/>
    <x v="81"/>
    <x v="242"/>
    <n v="9372"/>
  </r>
  <r>
    <x v="7"/>
    <x v="48"/>
    <x v="242"/>
    <n v="32140"/>
  </r>
  <r>
    <x v="7"/>
    <x v="171"/>
    <x v="242"/>
    <n v="33862"/>
  </r>
  <r>
    <x v="7"/>
    <x v="39"/>
    <x v="242"/>
    <n v="41450"/>
  </r>
  <r>
    <x v="7"/>
    <x v="223"/>
    <x v="242"/>
    <n v="47676"/>
  </r>
  <r>
    <x v="7"/>
    <x v="50"/>
    <x v="242"/>
    <n v="40853"/>
  </r>
  <r>
    <x v="7"/>
    <x v="78"/>
    <x v="242"/>
    <n v="409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7">
  <r>
    <s v="Иванова Анна Сергеевна"/>
    <x v="0"/>
    <d v="2026-01-01T00:00:00"/>
    <n v="23669"/>
    <x v="0"/>
  </r>
  <r>
    <s v="Иванова Анна Сергеевна"/>
    <x v="1"/>
    <d v="2026-01-01T00:00:00"/>
    <n v="31702"/>
    <x v="0"/>
  </r>
  <r>
    <s v="Лебедев Николай Олегович"/>
    <x v="2"/>
    <d v="2026-01-01T00:00:00"/>
    <n v="11340"/>
    <x v="0"/>
  </r>
  <r>
    <s v="Новикова Ольга Викторовна"/>
    <x v="3"/>
    <d v="2026-01-01T00:00:00"/>
    <n v="11664"/>
    <x v="0"/>
  </r>
  <r>
    <s v="Орлов Павел Денисович"/>
    <x v="4"/>
    <d v="2026-01-01T00:00:00"/>
    <n v="14687"/>
    <x v="0"/>
  </r>
  <r>
    <s v="Ткаченко Андрей Олегович"/>
    <x v="5"/>
    <d v="2026-01-01T00:00:00"/>
    <n v="39150"/>
    <x v="0"/>
  </r>
  <r>
    <s v="Ткаченко Андрей Олегович"/>
    <x v="6"/>
    <d v="2026-01-01T00:00:00"/>
    <n v="9609"/>
    <x v="0"/>
  </r>
  <r>
    <s v="Иванова Анна Сергеевна"/>
    <x v="7"/>
    <d v="2026-01-02T00:00:00"/>
    <n v="29653"/>
    <x v="0"/>
  </r>
  <r>
    <s v="Козлов Алексей Михайлович"/>
    <x v="8"/>
    <d v="2026-01-02T00:00:00"/>
    <n v="8474"/>
    <x v="0"/>
  </r>
  <r>
    <s v="Ткаченко Андрей Олегович"/>
    <x v="9"/>
    <d v="2026-01-02T00:00:00"/>
    <n v="38539"/>
    <x v="0"/>
  </r>
  <r>
    <s v="Фролов Сергей Викторович"/>
    <x v="10"/>
    <d v="2026-01-02T00:00:00"/>
    <n v="30855"/>
    <x v="0"/>
  </r>
  <r>
    <s v="Фролов Сергей Викторович"/>
    <x v="11"/>
    <d v="2026-01-02T00:00:00"/>
    <n v="47320"/>
    <x v="0"/>
  </r>
  <r>
    <s v="Яковлев Артем Игоревич"/>
    <x v="12"/>
    <d v="2026-01-02T00:00:00"/>
    <n v="53081"/>
    <x v="0"/>
  </r>
  <r>
    <s v="Яковлев Артем Игоревич"/>
    <x v="13"/>
    <d v="2026-01-02T00:00:00"/>
    <n v="48838"/>
    <x v="0"/>
  </r>
  <r>
    <s v="Яковлев Артем Игоревич"/>
    <x v="14"/>
    <d v="2026-01-02T00:00:00"/>
    <n v="49009"/>
    <x v="0"/>
  </r>
  <r>
    <s v="Яковлев Артем Игоревич"/>
    <x v="1"/>
    <d v="2026-01-02T00:00:00"/>
    <n v="40203"/>
    <x v="0"/>
  </r>
  <r>
    <s v="Иванова Анна Сергеевна"/>
    <x v="15"/>
    <d v="2026-01-03T00:00:00"/>
    <n v="7030"/>
    <x v="0"/>
  </r>
  <r>
    <s v="Иванова Анна Сергеевна"/>
    <x v="16"/>
    <d v="2026-01-03T00:00:00"/>
    <n v="22347"/>
    <x v="0"/>
  </r>
  <r>
    <s v="Козлов Алексей Михайлович"/>
    <x v="17"/>
    <d v="2026-01-03T00:00:00"/>
    <n v="26765"/>
    <x v="0"/>
  </r>
  <r>
    <s v="Морозова Елена Андреевна"/>
    <x v="18"/>
    <d v="2026-01-03T00:00:00"/>
    <n v="9697"/>
    <x v="0"/>
  </r>
  <r>
    <s v="Орлов Павел Денисович"/>
    <x v="19"/>
    <d v="2026-01-03T00:00:00"/>
    <n v="19022"/>
    <x v="0"/>
  </r>
  <r>
    <s v="Семенова Ирина Валерьевна"/>
    <x v="20"/>
    <d v="2026-01-03T00:00:00"/>
    <n v="27885"/>
    <x v="0"/>
  </r>
  <r>
    <s v="Федорова Ксения Максимовна"/>
    <x v="21"/>
    <d v="2026-01-03T00:00:00"/>
    <n v="14801"/>
    <x v="0"/>
  </r>
  <r>
    <s v="Фролов Сергей Викторович"/>
    <x v="22"/>
    <d v="2026-01-03T00:00:00"/>
    <n v="38182"/>
    <x v="0"/>
  </r>
  <r>
    <s v="Фролов Сергей Викторович"/>
    <x v="23"/>
    <d v="2026-01-03T00:00:00"/>
    <n v="33655"/>
    <x v="0"/>
  </r>
  <r>
    <s v="Яковлев Артем Игоревич"/>
    <x v="24"/>
    <d v="2026-01-03T00:00:00"/>
    <n v="47115"/>
    <x v="0"/>
  </r>
  <r>
    <s v="Яковлев Артем Игоревич"/>
    <x v="25"/>
    <d v="2026-01-03T00:00:00"/>
    <n v="48000"/>
    <x v="0"/>
  </r>
  <r>
    <s v="Иванова Анна Сергеевна"/>
    <x v="26"/>
    <d v="2026-01-04T00:00:00"/>
    <n v="7009"/>
    <x v="0"/>
  </r>
  <r>
    <s v="Кузнецов Максим Алексеевич"/>
    <x v="27"/>
    <d v="2026-01-04T00:00:00"/>
    <n v="14238"/>
    <x v="0"/>
  </r>
  <r>
    <s v="Павлова Татьяна Сергеевна"/>
    <x v="28"/>
    <d v="2026-01-04T00:00:00"/>
    <n v="11165"/>
    <x v="0"/>
  </r>
  <r>
    <s v="Семенова Ирина Валерьевна"/>
    <x v="29"/>
    <d v="2026-01-04T00:00:00"/>
    <n v="17035"/>
    <x v="0"/>
  </r>
  <r>
    <s v="Ткаченко Андрей Олегович"/>
    <x v="30"/>
    <d v="2026-01-04T00:00:00"/>
    <n v="19433"/>
    <x v="0"/>
  </r>
  <r>
    <s v="Ткаченко Андрей Олегович"/>
    <x v="31"/>
    <d v="2026-01-04T00:00:00"/>
    <n v="7267"/>
    <x v="0"/>
  </r>
  <r>
    <s v="Фролов Сергей Викторович"/>
    <x v="32"/>
    <d v="2026-01-04T00:00:00"/>
    <n v="32204"/>
    <x v="0"/>
  </r>
  <r>
    <s v="Яковлев Артем Игоревич"/>
    <x v="33"/>
    <d v="2026-01-04T00:00:00"/>
    <n v="34177"/>
    <x v="0"/>
  </r>
  <r>
    <s v="Яковлев Артем Игоревич"/>
    <x v="34"/>
    <d v="2026-01-04T00:00:00"/>
    <n v="48645"/>
    <x v="0"/>
  </r>
  <r>
    <s v="Васильева Дарья Павловна"/>
    <x v="35"/>
    <d v="2026-01-05T00:00:00"/>
    <n v="8917"/>
    <x v="0"/>
  </r>
  <r>
    <s v="Морозова Елена Андреевна"/>
    <x v="36"/>
    <d v="2026-01-05T00:00:00"/>
    <n v="19694"/>
    <x v="0"/>
  </r>
  <r>
    <s v="Фролов Сергей Викторович"/>
    <x v="37"/>
    <d v="2026-01-05T00:00:00"/>
    <n v="28094"/>
    <x v="0"/>
  </r>
  <r>
    <s v="Яковлев Артем Игоревич"/>
    <x v="38"/>
    <d v="2026-01-05T00:00:00"/>
    <n v="55787"/>
    <x v="0"/>
  </r>
  <r>
    <s v="Яковлев Артем Игоревич"/>
    <x v="39"/>
    <d v="2026-01-05T00:00:00"/>
    <n v="28935"/>
    <x v="0"/>
  </r>
  <r>
    <s v="Яковлев Артем Игоревич"/>
    <x v="14"/>
    <d v="2026-01-05T00:00:00"/>
    <n v="34285"/>
    <x v="0"/>
  </r>
  <r>
    <s v="Яковлев Артем Игоревич"/>
    <x v="40"/>
    <d v="2026-01-05T00:00:00"/>
    <n v="27476"/>
    <x v="0"/>
  </r>
  <r>
    <s v="Яковлев Артем Игоревич"/>
    <x v="41"/>
    <d v="2026-01-05T00:00:00"/>
    <n v="20629"/>
    <x v="0"/>
  </r>
  <r>
    <s v="Иванова Анна Сергеевна"/>
    <x v="42"/>
    <d v="2026-01-06T00:00:00"/>
    <n v="31439"/>
    <x v="0"/>
  </r>
  <r>
    <s v="Кузнецов Максим Алексеевич"/>
    <x v="43"/>
    <d v="2026-01-06T00:00:00"/>
    <n v="17182"/>
    <x v="0"/>
  </r>
  <r>
    <s v="Морозова Елена Андреевна"/>
    <x v="44"/>
    <d v="2026-01-06T00:00:00"/>
    <n v="15522"/>
    <x v="0"/>
  </r>
  <r>
    <s v="Семенова Ирина Валерьевна"/>
    <x v="45"/>
    <d v="2026-01-06T00:00:00"/>
    <n v="26791"/>
    <x v="0"/>
  </r>
  <r>
    <s v="Соколова Мария Ильинична"/>
    <x v="46"/>
    <d v="2026-01-06T00:00:00"/>
    <n v="12631"/>
    <x v="0"/>
  </r>
  <r>
    <s v="Ткаченко Андрей Олегович"/>
    <x v="47"/>
    <d v="2026-01-06T00:00:00"/>
    <n v="26113"/>
    <x v="0"/>
  </r>
  <r>
    <s v="Яковлев Артем Игоревич"/>
    <x v="48"/>
    <d v="2026-01-06T00:00:00"/>
    <n v="31463"/>
    <x v="0"/>
  </r>
  <r>
    <s v="Яковлев Артем Игоревич"/>
    <x v="33"/>
    <d v="2026-01-06T00:00:00"/>
    <n v="40304"/>
    <x v="0"/>
  </r>
  <r>
    <s v="Яковлев Артем Игоревич"/>
    <x v="49"/>
    <d v="2026-01-06T00:00:00"/>
    <n v="58773"/>
    <x v="0"/>
  </r>
  <r>
    <s v="Яковлев Артем Игоревич"/>
    <x v="34"/>
    <d v="2026-01-06T00:00:00"/>
    <n v="39904"/>
    <x v="0"/>
  </r>
  <r>
    <s v="Яковлев Артем Игоревич"/>
    <x v="50"/>
    <d v="2026-01-06T00:00:00"/>
    <n v="32515"/>
    <x v="0"/>
  </r>
  <r>
    <s v="Яковлев Артем Игоревич"/>
    <x v="51"/>
    <d v="2026-01-06T00:00:00"/>
    <n v="57276"/>
    <x v="0"/>
  </r>
  <r>
    <s v="Егоров Илья Александрович"/>
    <x v="52"/>
    <d v="2026-01-07T00:00:00"/>
    <n v="12199"/>
    <x v="0"/>
  </r>
  <r>
    <s v="Иванова Анна Сергеевна"/>
    <x v="53"/>
    <d v="2026-01-07T00:00:00"/>
    <n v="51900"/>
    <x v="0"/>
  </r>
  <r>
    <s v="Соколова Мария Ильинична"/>
    <x v="54"/>
    <d v="2026-01-07T00:00:00"/>
    <n v="11328"/>
    <x v="0"/>
  </r>
  <r>
    <s v="Фролов Сергей Викторович"/>
    <x v="55"/>
    <d v="2026-01-07T00:00:00"/>
    <n v="21359"/>
    <x v="0"/>
  </r>
  <r>
    <s v="Яковлев Артем Игоревич"/>
    <x v="56"/>
    <d v="2026-01-07T00:00:00"/>
    <n v="28208"/>
    <x v="0"/>
  </r>
  <r>
    <s v="Яковлев Артем Игоревич"/>
    <x v="57"/>
    <d v="2026-01-07T00:00:00"/>
    <n v="48671"/>
    <x v="0"/>
  </r>
  <r>
    <s v="Яковлев Артем Игоревич"/>
    <x v="38"/>
    <d v="2026-01-07T00:00:00"/>
    <n v="44820"/>
    <x v="0"/>
  </r>
  <r>
    <s v="Яковлев Артем Игоревич"/>
    <x v="58"/>
    <d v="2026-01-07T00:00:00"/>
    <n v="27095"/>
    <x v="0"/>
  </r>
  <r>
    <s v="Яковлев Артем Игоревич"/>
    <x v="59"/>
    <d v="2026-01-07T00:00:00"/>
    <n v="39491"/>
    <x v="0"/>
  </r>
  <r>
    <s v="Яковлев Артем Игоревич"/>
    <x v="51"/>
    <d v="2026-01-07T00:00:00"/>
    <n v="44782"/>
    <x v="0"/>
  </r>
  <r>
    <s v="Иванова Анна Сергеевна"/>
    <x v="60"/>
    <d v="2026-01-08T00:00:00"/>
    <n v="29767"/>
    <x v="0"/>
  </r>
  <r>
    <s v="Кузнецов Максим Алексеевич"/>
    <x v="61"/>
    <d v="2026-01-08T00:00:00"/>
    <n v="13737"/>
    <x v="0"/>
  </r>
  <r>
    <s v="Лебедев Николай Олегович"/>
    <x v="62"/>
    <d v="2026-01-08T00:00:00"/>
    <n v="11899"/>
    <x v="0"/>
  </r>
  <r>
    <s v="Морозова Елена Андреевна"/>
    <x v="63"/>
    <d v="2026-01-08T00:00:00"/>
    <n v="5200"/>
    <x v="0"/>
  </r>
  <r>
    <s v="Семенова Ирина Валерьевна"/>
    <x v="64"/>
    <d v="2026-01-08T00:00:00"/>
    <n v="16659"/>
    <x v="0"/>
  </r>
  <r>
    <s v="Соколова Мария Ильинична"/>
    <x v="65"/>
    <d v="2026-01-08T00:00:00"/>
    <n v="5200"/>
    <x v="0"/>
  </r>
  <r>
    <s v="Ткаченко Андрей Олегович"/>
    <x v="66"/>
    <d v="2026-01-08T00:00:00"/>
    <n v="6843"/>
    <x v="0"/>
  </r>
  <r>
    <s v="Яковлев Артем Игоревич"/>
    <x v="67"/>
    <d v="2026-01-08T00:00:00"/>
    <n v="48670"/>
    <x v="0"/>
  </r>
  <r>
    <s v="Яковлев Артем Игоревич"/>
    <x v="68"/>
    <d v="2026-01-08T00:00:00"/>
    <n v="37671"/>
    <x v="0"/>
  </r>
  <r>
    <s v="Волков Дмитрий Романович"/>
    <x v="69"/>
    <d v="2026-01-09T00:00:00"/>
    <n v="10652"/>
    <x v="0"/>
  </r>
  <r>
    <s v="Иванова Анна Сергеевна"/>
    <x v="70"/>
    <d v="2026-01-09T00:00:00"/>
    <n v="27572"/>
    <x v="0"/>
  </r>
  <r>
    <s v="Иванова Анна Сергеевна"/>
    <x v="71"/>
    <d v="2026-01-09T00:00:00"/>
    <n v="23255"/>
    <x v="0"/>
  </r>
  <r>
    <s v="Кузнецов Максим Алексеевич"/>
    <x v="72"/>
    <d v="2026-01-09T00:00:00"/>
    <n v="5200"/>
    <x v="0"/>
  </r>
  <r>
    <s v="Орлов Павел Денисович"/>
    <x v="73"/>
    <d v="2026-01-09T00:00:00"/>
    <n v="11993"/>
    <x v="0"/>
  </r>
  <r>
    <s v="Семенова Ирина Валерьевна"/>
    <x v="74"/>
    <d v="2026-01-09T00:00:00"/>
    <n v="18320"/>
    <x v="0"/>
  </r>
  <r>
    <s v="Семенова Ирина Валерьевна"/>
    <x v="75"/>
    <d v="2026-01-09T00:00:00"/>
    <n v="17727"/>
    <x v="0"/>
  </r>
  <r>
    <s v="Фролов Сергей Викторович"/>
    <x v="76"/>
    <d v="2026-01-09T00:00:00"/>
    <n v="46384"/>
    <x v="0"/>
  </r>
  <r>
    <s v="Яковлев Артем Игоревич"/>
    <x v="77"/>
    <d v="2026-01-09T00:00:00"/>
    <n v="35355"/>
    <x v="0"/>
  </r>
  <r>
    <s v="Яковлев Артем Игоревич"/>
    <x v="78"/>
    <d v="2026-01-09T00:00:00"/>
    <n v="37524"/>
    <x v="0"/>
  </r>
  <r>
    <s v="Волков Дмитрий Романович"/>
    <x v="79"/>
    <d v="2026-01-10T00:00:00"/>
    <n v="13700"/>
    <x v="0"/>
  </r>
  <r>
    <s v="Иванова Анна Сергеевна"/>
    <x v="80"/>
    <d v="2026-01-10T00:00:00"/>
    <n v="6117"/>
    <x v="0"/>
  </r>
  <r>
    <s v="Иванова Анна Сергеевна"/>
    <x v="81"/>
    <d v="2026-01-10T00:00:00"/>
    <n v="44034"/>
    <x v="0"/>
  </r>
  <r>
    <s v="Кузнецов Максим Алексеевич"/>
    <x v="82"/>
    <d v="2026-01-10T00:00:00"/>
    <n v="12745"/>
    <x v="0"/>
  </r>
  <r>
    <s v="Морозова Елена Андреевна"/>
    <x v="83"/>
    <d v="2026-01-10T00:00:00"/>
    <n v="13392"/>
    <x v="0"/>
  </r>
  <r>
    <s v="Новикова Ольга Викторовна"/>
    <x v="84"/>
    <d v="2026-01-10T00:00:00"/>
    <n v="10633"/>
    <x v="0"/>
  </r>
  <r>
    <s v="Орлов Павел Денисович"/>
    <x v="85"/>
    <d v="2026-01-10T00:00:00"/>
    <n v="14195"/>
    <x v="0"/>
  </r>
  <r>
    <s v="Семенова Ирина Валерьевна"/>
    <x v="86"/>
    <d v="2026-01-10T00:00:00"/>
    <n v="17202"/>
    <x v="0"/>
  </r>
  <r>
    <s v="Ткаченко Андрей Олегович"/>
    <x v="87"/>
    <d v="2026-01-10T00:00:00"/>
    <n v="16289"/>
    <x v="0"/>
  </r>
  <r>
    <s v="Фролов Сергей Викторович"/>
    <x v="88"/>
    <d v="2026-01-10T00:00:00"/>
    <n v="35669"/>
    <x v="0"/>
  </r>
  <r>
    <s v="Фролов Сергей Викторович"/>
    <x v="89"/>
    <d v="2026-01-10T00:00:00"/>
    <n v="22592"/>
    <x v="0"/>
  </r>
  <r>
    <s v="Яковлев Артем Игоревич"/>
    <x v="67"/>
    <d v="2026-01-10T00:00:00"/>
    <n v="30810"/>
    <x v="0"/>
  </r>
  <r>
    <s v="Яковлев Артем Игоревич"/>
    <x v="90"/>
    <d v="2026-01-10T00:00:00"/>
    <n v="55158"/>
    <x v="0"/>
  </r>
  <r>
    <s v="Яковлев Артем Игоревич"/>
    <x v="42"/>
    <d v="2026-01-10T00:00:00"/>
    <n v="29935"/>
    <x v="0"/>
  </r>
  <r>
    <s v="Яковлев Артем Игоревич"/>
    <x v="34"/>
    <d v="2026-01-10T00:00:00"/>
    <n v="48213"/>
    <x v="0"/>
  </r>
  <r>
    <s v="Иванова Анна Сергеевна"/>
    <x v="91"/>
    <d v="2026-01-11T00:00:00"/>
    <n v="23190"/>
    <x v="0"/>
  </r>
  <r>
    <s v="Орлов Павел Денисович"/>
    <x v="92"/>
    <d v="2026-01-11T00:00:00"/>
    <n v="15736"/>
    <x v="0"/>
  </r>
  <r>
    <s v="Фролов Сергей Викторович"/>
    <x v="93"/>
    <d v="2026-01-11T00:00:00"/>
    <n v="45620"/>
    <x v="0"/>
  </r>
  <r>
    <s v="Яковлев Артем Игоревич"/>
    <x v="48"/>
    <d v="2026-01-11T00:00:00"/>
    <n v="39256"/>
    <x v="0"/>
  </r>
  <r>
    <s v="Яковлев Артем Игоревич"/>
    <x v="34"/>
    <d v="2026-01-11T00:00:00"/>
    <n v="42770"/>
    <x v="0"/>
  </r>
  <r>
    <s v="Волков Дмитрий Романович"/>
    <x v="94"/>
    <d v="2026-01-12T00:00:00"/>
    <n v="12316"/>
    <x v="0"/>
  </r>
  <r>
    <s v="Иванова Анна Сергеевна"/>
    <x v="95"/>
    <d v="2026-01-12T00:00:00"/>
    <n v="36121"/>
    <x v="0"/>
  </r>
  <r>
    <s v="Иванова Анна Сергеевна"/>
    <x v="96"/>
    <d v="2026-01-12T00:00:00"/>
    <n v="22573"/>
    <x v="0"/>
  </r>
  <r>
    <s v="Козлов Алексей Михайлович"/>
    <x v="97"/>
    <d v="2026-01-12T00:00:00"/>
    <n v="13424"/>
    <x v="0"/>
  </r>
  <r>
    <s v="Козлов Алексей Михайлович"/>
    <x v="98"/>
    <d v="2026-01-12T00:00:00"/>
    <n v="11887"/>
    <x v="0"/>
  </r>
  <r>
    <s v="Кузнецов Максим Алексеевич"/>
    <x v="99"/>
    <d v="2026-01-12T00:00:00"/>
    <n v="30073"/>
    <x v="0"/>
  </r>
  <r>
    <s v="Соколова Мария Ильинична"/>
    <x v="100"/>
    <d v="2026-01-12T00:00:00"/>
    <n v="10903"/>
    <x v="0"/>
  </r>
  <r>
    <s v="Соколова Мария Ильинична"/>
    <x v="101"/>
    <d v="2026-01-12T00:00:00"/>
    <n v="11842"/>
    <x v="0"/>
  </r>
  <r>
    <s v="Ткаченко Андрей Олегович"/>
    <x v="102"/>
    <d v="2026-01-12T00:00:00"/>
    <n v="5222"/>
    <x v="0"/>
  </r>
  <r>
    <s v="Фролов Сергей Викторович"/>
    <x v="22"/>
    <d v="2026-01-12T00:00:00"/>
    <n v="37694"/>
    <x v="0"/>
  </r>
  <r>
    <s v="Фролов Сергей Викторович"/>
    <x v="103"/>
    <d v="2026-01-12T00:00:00"/>
    <n v="37745"/>
    <x v="0"/>
  </r>
  <r>
    <s v="Фролов Сергей Викторович"/>
    <x v="103"/>
    <d v="2026-01-12T00:00:00"/>
    <n v="39005"/>
    <x v="0"/>
  </r>
  <r>
    <s v="Фролов Сергей Викторович"/>
    <x v="104"/>
    <d v="2026-01-12T00:00:00"/>
    <n v="30799"/>
    <x v="0"/>
  </r>
  <r>
    <s v="Фролов Сергей Викторович"/>
    <x v="104"/>
    <d v="2026-01-12T00:00:00"/>
    <n v="34201"/>
    <x v="0"/>
  </r>
  <r>
    <s v="Яковлев Артем Игоревич"/>
    <x v="38"/>
    <d v="2026-01-12T00:00:00"/>
    <n v="44491"/>
    <x v="0"/>
  </r>
  <r>
    <s v="Яковлев Артем Игоревич"/>
    <x v="105"/>
    <d v="2026-01-12T00:00:00"/>
    <n v="47254"/>
    <x v="0"/>
  </r>
  <r>
    <s v="Иванова Анна Сергеевна"/>
    <x v="106"/>
    <d v="2026-01-13T00:00:00"/>
    <n v="28178"/>
    <x v="0"/>
  </r>
  <r>
    <s v="Лебедев Николай Олегович"/>
    <x v="107"/>
    <d v="2026-01-13T00:00:00"/>
    <n v="10607"/>
    <x v="0"/>
  </r>
  <r>
    <s v="Новикова Ольга Викторовна"/>
    <x v="108"/>
    <d v="2026-01-13T00:00:00"/>
    <n v="11234"/>
    <x v="0"/>
  </r>
  <r>
    <s v="Соколова Мария Ильинична"/>
    <x v="109"/>
    <d v="2026-01-13T00:00:00"/>
    <n v="5200"/>
    <x v="0"/>
  </r>
  <r>
    <s v="Фролов Сергей Викторович"/>
    <x v="110"/>
    <d v="2026-01-13T00:00:00"/>
    <n v="29501"/>
    <x v="0"/>
  </r>
  <r>
    <s v="Фролов Сергей Викторович"/>
    <x v="111"/>
    <d v="2026-01-13T00:00:00"/>
    <n v="38303"/>
    <x v="0"/>
  </r>
  <r>
    <s v="Яковлев Артем Игоревич"/>
    <x v="112"/>
    <d v="2026-01-13T00:00:00"/>
    <n v="45941"/>
    <x v="0"/>
  </r>
  <r>
    <s v="Яковлев Артем Игоревич"/>
    <x v="56"/>
    <d v="2026-01-13T00:00:00"/>
    <n v="33727"/>
    <x v="0"/>
  </r>
  <r>
    <s v="Яковлев Артем Игоревич"/>
    <x v="77"/>
    <d v="2026-01-13T00:00:00"/>
    <n v="35115"/>
    <x v="0"/>
  </r>
  <r>
    <s v="Яковлев Артем Игоревич"/>
    <x v="113"/>
    <d v="2026-01-13T00:00:00"/>
    <n v="27078"/>
    <x v="0"/>
  </r>
  <r>
    <s v="Яковлев Артем Игоревич"/>
    <x v="39"/>
    <d v="2026-01-13T00:00:00"/>
    <n v="45470"/>
    <x v="0"/>
  </r>
  <r>
    <s v="Волков Дмитрий Романович"/>
    <x v="114"/>
    <d v="2026-01-14T00:00:00"/>
    <n v="12119"/>
    <x v="0"/>
  </r>
  <r>
    <s v="Попов Кирилл Денисович"/>
    <x v="115"/>
    <d v="2026-01-14T00:00:00"/>
    <n v="11063"/>
    <x v="0"/>
  </r>
  <r>
    <s v="Ткаченко Андрей Олегович"/>
    <x v="116"/>
    <d v="2026-01-14T00:00:00"/>
    <n v="18334"/>
    <x v="0"/>
  </r>
  <r>
    <s v="Фролов Сергей Викторович"/>
    <x v="117"/>
    <d v="2026-01-14T00:00:00"/>
    <n v="41353"/>
    <x v="0"/>
  </r>
  <r>
    <s v="Яковлев Артем Игоревич"/>
    <x v="118"/>
    <d v="2026-01-14T00:00:00"/>
    <n v="38004"/>
    <x v="0"/>
  </r>
  <r>
    <s v="Волков Дмитрий Романович"/>
    <x v="119"/>
    <d v="2026-01-15T00:00:00"/>
    <n v="5200"/>
    <x v="0"/>
  </r>
  <r>
    <s v="Лебедев Николай Олегович"/>
    <x v="120"/>
    <d v="2026-01-15T00:00:00"/>
    <n v="22502"/>
    <x v="0"/>
  </r>
  <r>
    <s v="Ткаченко Андрей Олегович"/>
    <x v="121"/>
    <d v="2026-01-15T00:00:00"/>
    <n v="20928"/>
    <x v="0"/>
  </r>
  <r>
    <s v="Фролов Сергей Викторович"/>
    <x v="122"/>
    <d v="2026-01-15T00:00:00"/>
    <n v="41622"/>
    <x v="0"/>
  </r>
  <r>
    <s v="Фролов Сергей Викторович"/>
    <x v="123"/>
    <d v="2026-01-15T00:00:00"/>
    <n v="31846"/>
    <x v="0"/>
  </r>
  <r>
    <s v="Фролов Сергей Викторович"/>
    <x v="118"/>
    <d v="2026-01-15T00:00:00"/>
    <n v="41007"/>
    <x v="0"/>
  </r>
  <r>
    <s v="Фролов Сергей Викторович"/>
    <x v="124"/>
    <d v="2026-01-15T00:00:00"/>
    <n v="48337"/>
    <x v="0"/>
  </r>
  <r>
    <s v="Фролов Сергей Викторович"/>
    <x v="51"/>
    <d v="2026-01-15T00:00:00"/>
    <n v="55392"/>
    <x v="0"/>
  </r>
  <r>
    <s v="Фролов Сергей Викторович"/>
    <x v="125"/>
    <d v="2026-01-15T00:00:00"/>
    <n v="40569"/>
    <x v="0"/>
  </r>
  <r>
    <s v="Яковлев Артем Игоревич"/>
    <x v="77"/>
    <d v="2026-01-15T00:00:00"/>
    <n v="44660"/>
    <x v="0"/>
  </r>
  <r>
    <s v="Яковлев Артем Игоревич"/>
    <x v="49"/>
    <d v="2026-01-15T00:00:00"/>
    <n v="48392"/>
    <x v="0"/>
  </r>
  <r>
    <s v="Иванова Анна Сергеевна"/>
    <x v="126"/>
    <d v="2026-01-16T00:00:00"/>
    <n v="32072"/>
    <x v="0"/>
  </r>
  <r>
    <s v="Яковлев Артем Игоревич"/>
    <x v="127"/>
    <d v="2026-01-16T00:00:00"/>
    <n v="28364"/>
    <x v="0"/>
  </r>
  <r>
    <s v="Яковлев Артем Игоревич"/>
    <x v="77"/>
    <d v="2026-01-16T00:00:00"/>
    <n v="46156"/>
    <x v="0"/>
  </r>
  <r>
    <s v="Яковлев Артем Игоревич"/>
    <x v="128"/>
    <d v="2026-01-16T00:00:00"/>
    <n v="26723"/>
    <x v="0"/>
  </r>
  <r>
    <s v="Яковлев Артем Игоревич"/>
    <x v="129"/>
    <d v="2026-01-16T00:00:00"/>
    <n v="56083"/>
    <x v="0"/>
  </r>
  <r>
    <s v="Яковлев Артем Игоревич"/>
    <x v="49"/>
    <d v="2026-01-16T00:00:00"/>
    <n v="50730"/>
    <x v="0"/>
  </r>
  <r>
    <s v="Волков Дмитрий Романович"/>
    <x v="130"/>
    <d v="2026-01-17T00:00:00"/>
    <n v="7140"/>
    <x v="0"/>
  </r>
  <r>
    <s v="Иванова Анна Сергеевна"/>
    <x v="131"/>
    <d v="2026-01-17T00:00:00"/>
    <n v="26852"/>
    <x v="0"/>
  </r>
  <r>
    <s v="Кузнецов Максим Алексеевич"/>
    <x v="132"/>
    <d v="2026-01-17T00:00:00"/>
    <n v="13261"/>
    <x v="0"/>
  </r>
  <r>
    <s v="Фролов Сергей Викторович"/>
    <x v="133"/>
    <d v="2026-01-17T00:00:00"/>
    <n v="45230"/>
    <x v="0"/>
  </r>
  <r>
    <s v="Яковлев Артем Игоревич"/>
    <x v="134"/>
    <d v="2026-01-17T00:00:00"/>
    <n v="47151"/>
    <x v="0"/>
  </r>
  <r>
    <s v="Яковлев Артем Игоревич"/>
    <x v="12"/>
    <d v="2026-01-17T00:00:00"/>
    <n v="51958"/>
    <x v="0"/>
  </r>
  <r>
    <s v="Яковлев Артем Игоревич"/>
    <x v="33"/>
    <d v="2026-01-17T00:00:00"/>
    <n v="52124"/>
    <x v="0"/>
  </r>
  <r>
    <s v="Яковлев Артем Игоревич"/>
    <x v="135"/>
    <d v="2026-01-17T00:00:00"/>
    <n v="45844"/>
    <x v="0"/>
  </r>
  <r>
    <s v="Иванова Анна Сергеевна"/>
    <x v="136"/>
    <d v="2026-01-18T00:00:00"/>
    <n v="21609"/>
    <x v="0"/>
  </r>
  <r>
    <s v="Иванова Анна Сергеевна"/>
    <x v="137"/>
    <d v="2026-01-18T00:00:00"/>
    <n v="24544"/>
    <x v="0"/>
  </r>
  <r>
    <s v="Лебедев Николай Олегович"/>
    <x v="138"/>
    <d v="2026-01-18T00:00:00"/>
    <n v="11913"/>
    <x v="0"/>
  </r>
  <r>
    <s v="Семенова Ирина Валерьевна"/>
    <x v="139"/>
    <d v="2026-01-18T00:00:00"/>
    <n v="18609"/>
    <x v="0"/>
  </r>
  <r>
    <s v="Ткаченко Андрей Олегович"/>
    <x v="140"/>
    <d v="2026-01-18T00:00:00"/>
    <n v="18274"/>
    <x v="0"/>
  </r>
  <r>
    <s v="Ткаченко Андрей Олегович"/>
    <x v="141"/>
    <d v="2026-01-18T00:00:00"/>
    <n v="23641"/>
    <x v="0"/>
  </r>
  <r>
    <s v="Фролов Сергей Викторович"/>
    <x v="142"/>
    <d v="2026-01-18T00:00:00"/>
    <n v="29919"/>
    <x v="0"/>
  </r>
  <r>
    <s v="Яковлев Артем Игоревич"/>
    <x v="40"/>
    <d v="2026-01-18T00:00:00"/>
    <n v="34005"/>
    <x v="0"/>
  </r>
  <r>
    <s v="Яковлев Артем Игоревич"/>
    <x v="78"/>
    <d v="2026-01-18T00:00:00"/>
    <n v="40078"/>
    <x v="0"/>
  </r>
  <r>
    <s v="Волков Дмитрий Романович"/>
    <x v="143"/>
    <d v="2026-01-19T00:00:00"/>
    <n v="10184"/>
    <x v="0"/>
  </r>
  <r>
    <s v="Иванова Анна Сергеевна"/>
    <x v="144"/>
    <d v="2026-01-19T00:00:00"/>
    <n v="26597"/>
    <x v="0"/>
  </r>
  <r>
    <s v="Иванова Анна Сергеевна"/>
    <x v="136"/>
    <d v="2026-01-19T00:00:00"/>
    <n v="21531"/>
    <x v="0"/>
  </r>
  <r>
    <s v="Иванова Анна Сергеевна"/>
    <x v="145"/>
    <d v="2026-01-19T00:00:00"/>
    <n v="28977"/>
    <x v="0"/>
  </r>
  <r>
    <s v="Козлов Алексей Михайлович"/>
    <x v="146"/>
    <d v="2026-01-19T00:00:00"/>
    <n v="18739"/>
    <x v="0"/>
  </r>
  <r>
    <s v="Кузнецов Максим Алексеевич"/>
    <x v="147"/>
    <d v="2026-01-19T00:00:00"/>
    <n v="17497"/>
    <x v="0"/>
  </r>
  <r>
    <s v="Ткаченко Андрей Олегович"/>
    <x v="148"/>
    <d v="2026-01-19T00:00:00"/>
    <n v="18278"/>
    <x v="0"/>
  </r>
  <r>
    <s v="Ткаченко Андрей Олегович"/>
    <x v="149"/>
    <d v="2026-01-19T00:00:00"/>
    <n v="22658"/>
    <x v="0"/>
  </r>
  <r>
    <s v="Ткаченко Андрей Олегович"/>
    <x v="81"/>
    <d v="2026-01-19T00:00:00"/>
    <n v="45135"/>
    <x v="0"/>
  </r>
  <r>
    <s v="Ткаченко Андрей Олегович"/>
    <x v="150"/>
    <d v="2026-01-19T00:00:00"/>
    <n v="22141"/>
    <x v="0"/>
  </r>
  <r>
    <s v="Фролов Сергей Викторович"/>
    <x v="151"/>
    <d v="2026-01-19T00:00:00"/>
    <n v="27527"/>
    <x v="0"/>
  </r>
  <r>
    <s v="Фролов Сергей Викторович"/>
    <x v="24"/>
    <d v="2026-01-19T00:00:00"/>
    <n v="48009"/>
    <x v="0"/>
  </r>
  <r>
    <s v="Фролов Сергей Викторович"/>
    <x v="22"/>
    <d v="2026-01-19T00:00:00"/>
    <n v="27978"/>
    <x v="0"/>
  </r>
  <r>
    <s v="Яковлев Артем Игоревич"/>
    <x v="24"/>
    <d v="2026-01-19T00:00:00"/>
    <n v="43764"/>
    <x v="0"/>
  </r>
  <r>
    <s v="Яковлев Артем Игоревич"/>
    <x v="152"/>
    <d v="2026-01-19T00:00:00"/>
    <n v="46918"/>
    <x v="0"/>
  </r>
  <r>
    <s v="Морозова Елена Андреевна"/>
    <x v="153"/>
    <d v="2026-01-20T00:00:00"/>
    <n v="15435"/>
    <x v="0"/>
  </r>
  <r>
    <s v="Новикова Ольга Викторовна"/>
    <x v="154"/>
    <d v="2026-01-20T00:00:00"/>
    <n v="11591"/>
    <x v="0"/>
  </r>
  <r>
    <s v="Орлов Павел Денисович"/>
    <x v="155"/>
    <d v="2026-01-20T00:00:00"/>
    <n v="9389"/>
    <x v="0"/>
  </r>
  <r>
    <s v="Семенова Ирина Валерьевна"/>
    <x v="156"/>
    <d v="2026-01-20T00:00:00"/>
    <n v="19004"/>
    <x v="0"/>
  </r>
  <r>
    <s v="Соколова Мария Ильинична"/>
    <x v="157"/>
    <d v="2026-01-20T00:00:00"/>
    <n v="11857"/>
    <x v="0"/>
  </r>
  <r>
    <s v="Фролов Сергей Викторович"/>
    <x v="37"/>
    <d v="2026-01-20T00:00:00"/>
    <n v="32415"/>
    <x v="0"/>
  </r>
  <r>
    <s v="Яковлев Артем Игоревич"/>
    <x v="77"/>
    <d v="2026-01-20T00:00:00"/>
    <n v="50350"/>
    <x v="0"/>
  </r>
  <r>
    <s v="Яковлев Артем Игоревич"/>
    <x v="158"/>
    <d v="2026-01-20T00:00:00"/>
    <n v="46255"/>
    <x v="0"/>
  </r>
  <r>
    <s v="Яковлев Артем Игоревич"/>
    <x v="159"/>
    <d v="2026-01-20T00:00:00"/>
    <n v="36569"/>
    <x v="0"/>
  </r>
  <r>
    <s v="Яковлев Артем Игоревич"/>
    <x v="160"/>
    <d v="2026-01-20T00:00:00"/>
    <n v="23196"/>
    <x v="0"/>
  </r>
  <r>
    <s v="Яковлев Артем Игоревич"/>
    <x v="161"/>
    <d v="2026-01-20T00:00:00"/>
    <n v="32525"/>
    <x v="0"/>
  </r>
  <r>
    <s v="Яковлев Артем Игоревич"/>
    <x v="152"/>
    <d v="2026-01-20T00:00:00"/>
    <n v="36055"/>
    <x v="0"/>
  </r>
  <r>
    <s v="Волков Дмитрий Романович"/>
    <x v="162"/>
    <d v="2026-01-21T00:00:00"/>
    <n v="12229"/>
    <x v="0"/>
  </r>
  <r>
    <s v="Кузнецов Максим Алексеевич"/>
    <x v="163"/>
    <d v="2026-01-21T00:00:00"/>
    <n v="14539"/>
    <x v="0"/>
  </r>
  <r>
    <s v="Кузнецов Максим Алексеевич"/>
    <x v="164"/>
    <d v="2026-01-21T00:00:00"/>
    <n v="12898"/>
    <x v="0"/>
  </r>
  <r>
    <s v="Морозова Елена Андреевна"/>
    <x v="165"/>
    <d v="2026-01-21T00:00:00"/>
    <n v="12199"/>
    <x v="0"/>
  </r>
  <r>
    <s v="Семенова Ирина Валерьевна"/>
    <x v="166"/>
    <d v="2026-01-21T00:00:00"/>
    <n v="21865"/>
    <x v="0"/>
  </r>
  <r>
    <s v="Семенова Ирина Валерьевна"/>
    <x v="167"/>
    <d v="2026-01-21T00:00:00"/>
    <n v="13217"/>
    <x v="0"/>
  </r>
  <r>
    <s v="Фролов Сергей Викторович"/>
    <x v="168"/>
    <d v="2026-01-21T00:00:00"/>
    <n v="43488"/>
    <x v="0"/>
  </r>
  <r>
    <s v="Фролов Сергей Викторович"/>
    <x v="169"/>
    <d v="2026-01-21T00:00:00"/>
    <n v="35008"/>
    <x v="0"/>
  </r>
  <r>
    <s v="Яковлев Артем Игоревич"/>
    <x v="170"/>
    <d v="2026-01-21T00:00:00"/>
    <n v="49366"/>
    <x v="0"/>
  </r>
  <r>
    <s v="Яковлев Артем Игоревич"/>
    <x v="171"/>
    <d v="2026-01-21T00:00:00"/>
    <n v="41238"/>
    <x v="0"/>
  </r>
  <r>
    <s v="Яковлев Артем Игоревич"/>
    <x v="24"/>
    <d v="2026-01-21T00:00:00"/>
    <n v="41259"/>
    <x v="0"/>
  </r>
  <r>
    <s v="Яковлев Артем Игоревич"/>
    <x v="68"/>
    <d v="2026-01-21T00:00:00"/>
    <n v="27927"/>
    <x v="0"/>
  </r>
  <r>
    <s v="Иванова Анна Сергеевна"/>
    <x v="172"/>
    <d v="2026-01-22T00:00:00"/>
    <n v="34493"/>
    <x v="0"/>
  </r>
  <r>
    <s v="Иванова Анна Сергеевна"/>
    <x v="173"/>
    <d v="2026-01-22T00:00:00"/>
    <n v="53529"/>
    <x v="0"/>
  </r>
  <r>
    <s v="Новикова Ольга Викторовна"/>
    <x v="174"/>
    <d v="2026-01-22T00:00:00"/>
    <n v="12139"/>
    <x v="0"/>
  </r>
  <r>
    <s v="Орлов Павел Денисович"/>
    <x v="175"/>
    <d v="2026-01-22T00:00:00"/>
    <n v="23917"/>
    <x v="0"/>
  </r>
  <r>
    <s v="Соколова Мария Ильинична"/>
    <x v="176"/>
    <d v="2026-01-22T00:00:00"/>
    <n v="5200"/>
    <x v="0"/>
  </r>
  <r>
    <s v="Ткаченко Андрей Олегович"/>
    <x v="177"/>
    <d v="2026-01-22T00:00:00"/>
    <n v="21523"/>
    <x v="0"/>
  </r>
  <r>
    <s v="Яковлев Артем Игоревич"/>
    <x v="105"/>
    <d v="2026-01-22T00:00:00"/>
    <n v="58623"/>
    <x v="0"/>
  </r>
  <r>
    <s v="Яковлев Артем Игоревич"/>
    <x v="59"/>
    <d v="2026-01-22T00:00:00"/>
    <n v="53424"/>
    <x v="0"/>
  </r>
  <r>
    <s v="Яковлев Артем Игоревич"/>
    <x v="135"/>
    <d v="2026-01-22T00:00:00"/>
    <n v="39216"/>
    <x v="0"/>
  </r>
  <r>
    <s v="Иванова Анна Сергеевна"/>
    <x v="178"/>
    <d v="2026-01-23T00:00:00"/>
    <n v="13407"/>
    <x v="0"/>
  </r>
  <r>
    <s v="Кузнецов Максим Алексеевич"/>
    <x v="179"/>
    <d v="2026-01-23T00:00:00"/>
    <n v="13370"/>
    <x v="0"/>
  </r>
  <r>
    <s v="Михайлова Алина Романовна"/>
    <x v="180"/>
    <d v="2026-01-23T00:00:00"/>
    <n v="10783"/>
    <x v="0"/>
  </r>
  <r>
    <s v="Павлова Татьяна Сергеевна"/>
    <x v="181"/>
    <d v="2026-01-23T00:00:00"/>
    <n v="11883"/>
    <x v="0"/>
  </r>
  <r>
    <s v="Семенова Ирина Валерьевна"/>
    <x v="182"/>
    <d v="2026-01-23T00:00:00"/>
    <n v="20762"/>
    <x v="0"/>
  </r>
  <r>
    <s v="Смирнов Евгений Андреевич"/>
    <x v="183"/>
    <d v="2026-01-23T00:00:00"/>
    <n v="10033"/>
    <x v="0"/>
  </r>
  <r>
    <s v="Ткаченко Андрей Олегович"/>
    <x v="184"/>
    <d v="2026-01-23T00:00:00"/>
    <n v="24947"/>
    <x v="0"/>
  </r>
  <r>
    <s v="Ткаченко Андрей Олегович"/>
    <x v="185"/>
    <d v="2026-01-23T00:00:00"/>
    <n v="10025"/>
    <x v="0"/>
  </r>
  <r>
    <s v="Фролов Сергей Викторович"/>
    <x v="186"/>
    <d v="2026-01-23T00:00:00"/>
    <n v="45757"/>
    <x v="0"/>
  </r>
  <r>
    <s v="Яковлев Артем Игоревич"/>
    <x v="129"/>
    <d v="2026-01-23T00:00:00"/>
    <n v="51374"/>
    <x v="0"/>
  </r>
  <r>
    <s v="Морозова Елена Андреевна"/>
    <x v="187"/>
    <d v="2026-01-24T00:00:00"/>
    <n v="8679"/>
    <x v="0"/>
  </r>
  <r>
    <s v="Орлов Павел Денисович"/>
    <x v="188"/>
    <d v="2026-01-24T00:00:00"/>
    <n v="5200"/>
    <x v="0"/>
  </r>
  <r>
    <s v="Ткаченко Андрей Олегович"/>
    <x v="189"/>
    <d v="2026-01-24T00:00:00"/>
    <n v="22811"/>
    <x v="0"/>
  </r>
  <r>
    <s v="Фролов Сергей Викторович"/>
    <x v="169"/>
    <d v="2026-01-24T00:00:00"/>
    <n v="40094"/>
    <x v="0"/>
  </r>
  <r>
    <s v="Яковлев Артем Игоревич"/>
    <x v="190"/>
    <d v="2026-01-24T00:00:00"/>
    <n v="31960"/>
    <x v="0"/>
  </r>
  <r>
    <s v="Яковлев Артем Игоревич"/>
    <x v="190"/>
    <d v="2026-01-24T00:00:00"/>
    <n v="37179"/>
    <x v="0"/>
  </r>
  <r>
    <s v="Яковлев Артем Игоревич"/>
    <x v="12"/>
    <d v="2026-01-24T00:00:00"/>
    <n v="41291"/>
    <x v="0"/>
  </r>
  <r>
    <s v="Яковлев Артем Игоревич"/>
    <x v="24"/>
    <d v="2026-01-24T00:00:00"/>
    <n v="34923"/>
    <x v="0"/>
  </r>
  <r>
    <s v="Яковлев Артем Игоревич"/>
    <x v="50"/>
    <d v="2026-01-24T00:00:00"/>
    <n v="47945"/>
    <x v="0"/>
  </r>
  <r>
    <s v="Иванова Анна Сергеевна"/>
    <x v="191"/>
    <d v="2026-01-25T00:00:00"/>
    <n v="27143"/>
    <x v="0"/>
  </r>
  <r>
    <s v="Иванова Анна Сергеевна"/>
    <x v="192"/>
    <d v="2026-01-25T00:00:00"/>
    <n v="20438"/>
    <x v="0"/>
  </r>
  <r>
    <s v="Иванова Анна Сергеевна"/>
    <x v="10"/>
    <d v="2026-01-25T00:00:00"/>
    <n v="24266"/>
    <x v="0"/>
  </r>
  <r>
    <s v="Лебедев Николай Олегович"/>
    <x v="193"/>
    <d v="2026-01-25T00:00:00"/>
    <n v="22620"/>
    <x v="0"/>
  </r>
  <r>
    <s v="Ткаченко Андрей Олегович"/>
    <x v="194"/>
    <d v="2026-01-25T00:00:00"/>
    <n v="35201"/>
    <x v="0"/>
  </r>
  <r>
    <s v="Фролов Сергей Викторович"/>
    <x v="88"/>
    <d v="2026-01-25T00:00:00"/>
    <n v="31971"/>
    <x v="0"/>
  </r>
  <r>
    <s v="Яковлев Артем Игоревич"/>
    <x v="158"/>
    <d v="2026-01-25T00:00:00"/>
    <n v="35615"/>
    <x v="0"/>
  </r>
  <r>
    <s v="Яковлев Артем Игоревич"/>
    <x v="152"/>
    <d v="2026-01-25T00:00:00"/>
    <n v="44021"/>
    <x v="0"/>
  </r>
  <r>
    <s v="Иванова Анна Сергеевна"/>
    <x v="195"/>
    <d v="2026-01-26T00:00:00"/>
    <n v="13846"/>
    <x v="0"/>
  </r>
  <r>
    <s v="Орлов Павел Денисович"/>
    <x v="196"/>
    <d v="2026-01-26T00:00:00"/>
    <n v="6349"/>
    <x v="0"/>
  </r>
  <r>
    <s v="Фролов Сергей Викторович"/>
    <x v="197"/>
    <d v="2026-01-26T00:00:00"/>
    <n v="13010"/>
    <x v="0"/>
  </r>
  <r>
    <s v="Фролов Сергей Викторович"/>
    <x v="169"/>
    <d v="2026-01-26T00:00:00"/>
    <n v="34110"/>
    <x v="0"/>
  </r>
  <r>
    <s v="Яковлев Артем Игоревич"/>
    <x v="56"/>
    <d v="2026-01-26T00:00:00"/>
    <n v="34185"/>
    <x v="0"/>
  </r>
  <r>
    <s v="Яковлев Артем Игоревич"/>
    <x v="24"/>
    <d v="2026-01-26T00:00:00"/>
    <n v="45517"/>
    <x v="0"/>
  </r>
  <r>
    <s v="Яковлев Артем Игоревич"/>
    <x v="159"/>
    <d v="2026-01-26T00:00:00"/>
    <n v="37059"/>
    <x v="0"/>
  </r>
  <r>
    <s v="Яковлев Артем Игоревич"/>
    <x v="14"/>
    <d v="2026-01-26T00:00:00"/>
    <n v="47434"/>
    <x v="0"/>
  </r>
  <r>
    <s v="Яковлев Артем Игоревич"/>
    <x v="40"/>
    <d v="2026-01-26T00:00:00"/>
    <n v="27486"/>
    <x v="0"/>
  </r>
  <r>
    <s v="Яковлев Артем Игоревич"/>
    <x v="118"/>
    <d v="2026-01-26T00:00:00"/>
    <n v="38926"/>
    <x v="0"/>
  </r>
  <r>
    <s v="Орлов Павел Денисович"/>
    <x v="198"/>
    <d v="2026-01-27T00:00:00"/>
    <n v="14912"/>
    <x v="0"/>
  </r>
  <r>
    <s v="Павлова Татьяна Сергеевна"/>
    <x v="199"/>
    <d v="2026-01-27T00:00:00"/>
    <n v="11930"/>
    <x v="0"/>
  </r>
  <r>
    <s v="Смирнов Евгений Андреевич"/>
    <x v="200"/>
    <d v="2026-01-27T00:00:00"/>
    <n v="9766"/>
    <x v="0"/>
  </r>
  <r>
    <s v="Ткаченко Андрей Олегович"/>
    <x v="201"/>
    <d v="2026-01-27T00:00:00"/>
    <n v="23230"/>
    <x v="0"/>
  </r>
  <r>
    <s v="Фролов Сергей Викторович"/>
    <x v="202"/>
    <d v="2026-01-27T00:00:00"/>
    <n v="44255"/>
    <x v="0"/>
  </r>
  <r>
    <s v="Яковлев Артем Игоревич"/>
    <x v="112"/>
    <d v="2026-01-27T00:00:00"/>
    <n v="32972"/>
    <x v="0"/>
  </r>
  <r>
    <s v="Яковлев Артем Игоревич"/>
    <x v="203"/>
    <d v="2026-01-27T00:00:00"/>
    <n v="47216"/>
    <x v="0"/>
  </r>
  <r>
    <s v="Яковлев Артем Игоревич"/>
    <x v="203"/>
    <d v="2026-01-27T00:00:00"/>
    <n v="39131"/>
    <x v="0"/>
  </r>
  <r>
    <s v="Яковлев Артем Игоревич"/>
    <x v="204"/>
    <d v="2026-01-27T00:00:00"/>
    <n v="48239"/>
    <x v="0"/>
  </r>
  <r>
    <s v="Яковлев Артем Игоревич"/>
    <x v="160"/>
    <d v="2026-01-27T00:00:00"/>
    <n v="30969"/>
    <x v="0"/>
  </r>
  <r>
    <s v="Волков Дмитрий Романович"/>
    <x v="205"/>
    <d v="2026-01-28T00:00:00"/>
    <n v="5200"/>
    <x v="0"/>
  </r>
  <r>
    <s v="Иванова Анна Сергеевна"/>
    <x v="206"/>
    <d v="2026-01-28T00:00:00"/>
    <n v="30966"/>
    <x v="0"/>
  </r>
  <r>
    <s v="Лебедев Николай Олегович"/>
    <x v="207"/>
    <d v="2026-01-28T00:00:00"/>
    <n v="8621"/>
    <x v="0"/>
  </r>
  <r>
    <s v="Морозова Елена Андреевна"/>
    <x v="208"/>
    <d v="2026-01-28T00:00:00"/>
    <n v="14014"/>
    <x v="0"/>
  </r>
  <r>
    <s v="Морозова Елена Андреевна"/>
    <x v="209"/>
    <d v="2026-01-28T00:00:00"/>
    <n v="19996"/>
    <x v="0"/>
  </r>
  <r>
    <s v="Орлов Павел Денисович"/>
    <x v="210"/>
    <d v="2026-01-28T00:00:00"/>
    <n v="24397"/>
    <x v="0"/>
  </r>
  <r>
    <s v="Орлов Павел Денисович"/>
    <x v="211"/>
    <d v="2026-01-28T00:00:00"/>
    <n v="15943"/>
    <x v="0"/>
  </r>
  <r>
    <s v="Семенова Ирина Валерьевна"/>
    <x v="212"/>
    <d v="2026-01-28T00:00:00"/>
    <n v="28699"/>
    <x v="0"/>
  </r>
  <r>
    <s v="Семенова Ирина Валерьевна"/>
    <x v="213"/>
    <d v="2026-01-28T00:00:00"/>
    <n v="17970"/>
    <x v="0"/>
  </r>
  <r>
    <s v="Семенова Ирина Валерьевна"/>
    <x v="214"/>
    <d v="2026-01-28T00:00:00"/>
    <n v="16581"/>
    <x v="0"/>
  </r>
  <r>
    <s v="Семенова Ирина Валерьевна"/>
    <x v="215"/>
    <d v="2026-01-28T00:00:00"/>
    <n v="16679"/>
    <x v="0"/>
  </r>
  <r>
    <s v="Фролов Сергей Викторович"/>
    <x v="151"/>
    <d v="2026-01-28T00:00:00"/>
    <n v="33940"/>
    <x v="0"/>
  </r>
  <r>
    <s v="Фролов Сергей Викторович"/>
    <x v="216"/>
    <d v="2026-01-28T00:00:00"/>
    <n v="29931"/>
    <x v="0"/>
  </r>
  <r>
    <s v="Яковлев Артем Игоревич"/>
    <x v="171"/>
    <d v="2026-01-28T00:00:00"/>
    <n v="34441"/>
    <x v="0"/>
  </r>
  <r>
    <s v="Яковлев Артем Игоревич"/>
    <x v="57"/>
    <d v="2026-01-28T00:00:00"/>
    <n v="32147"/>
    <x v="0"/>
  </r>
  <r>
    <s v="Яковлев Артем Игоревич"/>
    <x v="90"/>
    <d v="2026-01-28T00:00:00"/>
    <n v="41050"/>
    <x v="0"/>
  </r>
  <r>
    <s v="Яковлев Артем Игоревич"/>
    <x v="89"/>
    <d v="2026-01-28T00:00:00"/>
    <n v="33183"/>
    <x v="0"/>
  </r>
  <r>
    <s v="Яковлев Артем Игоревич"/>
    <x v="34"/>
    <d v="2026-01-28T00:00:00"/>
    <n v="38048"/>
    <x v="0"/>
  </r>
  <r>
    <s v="Яковлев Артем Игоревич"/>
    <x v="68"/>
    <d v="2026-01-28T00:00:00"/>
    <n v="30958"/>
    <x v="0"/>
  </r>
  <r>
    <s v="Яковлев Артем Игоревич"/>
    <x v="50"/>
    <d v="2026-01-28T00:00:00"/>
    <n v="47985"/>
    <x v="0"/>
  </r>
  <r>
    <s v="Егоров Илья Александрович"/>
    <x v="217"/>
    <d v="2026-01-29T00:00:00"/>
    <n v="11760"/>
    <x v="0"/>
  </r>
  <r>
    <s v="Иванова Анна Сергеевна"/>
    <x v="218"/>
    <d v="2026-01-29T00:00:00"/>
    <n v="51010"/>
    <x v="0"/>
  </r>
  <r>
    <s v="Кузнецов Максим Алексеевич"/>
    <x v="219"/>
    <d v="2026-01-29T00:00:00"/>
    <n v="15868"/>
    <x v="0"/>
  </r>
  <r>
    <s v="Орлов Павел Денисович"/>
    <x v="220"/>
    <d v="2026-01-29T00:00:00"/>
    <n v="15664"/>
    <x v="0"/>
  </r>
  <r>
    <s v="Смирнов Евгений Андреевич"/>
    <x v="221"/>
    <d v="2026-01-29T00:00:00"/>
    <n v="5200"/>
    <x v="0"/>
  </r>
  <r>
    <s v="Фролов Сергей Викторович"/>
    <x v="186"/>
    <d v="2026-01-29T00:00:00"/>
    <n v="33321"/>
    <x v="0"/>
  </r>
  <r>
    <s v="Фролов Сергей Викторович"/>
    <x v="32"/>
    <d v="2026-01-29T00:00:00"/>
    <n v="26585"/>
    <x v="0"/>
  </r>
  <r>
    <s v="Фролов Сергей Викторович"/>
    <x v="222"/>
    <d v="2026-01-29T00:00:00"/>
    <n v="40035"/>
    <x v="0"/>
  </r>
  <r>
    <s v="Яковлев Артем Игоревич"/>
    <x v="39"/>
    <d v="2026-01-29T00:00:00"/>
    <n v="38177"/>
    <x v="0"/>
  </r>
  <r>
    <s v="Яковлев Артем Игоревич"/>
    <x v="223"/>
    <d v="2026-01-29T00:00:00"/>
    <n v="52984"/>
    <x v="0"/>
  </r>
  <r>
    <s v="Яковлев Артем Игоревич"/>
    <x v="142"/>
    <d v="2026-01-29T00:00:00"/>
    <n v="21569"/>
    <x v="0"/>
  </r>
  <r>
    <s v="Яковлев Артем Игоревич"/>
    <x v="50"/>
    <d v="2026-01-29T00:00:00"/>
    <n v="40657"/>
    <x v="0"/>
  </r>
  <r>
    <s v="Яковлев Артем Игоревич"/>
    <x v="25"/>
    <d v="2026-01-29T00:00:00"/>
    <n v="44739"/>
    <x v="0"/>
  </r>
  <r>
    <s v="Васильева Дарья Павловна"/>
    <x v="224"/>
    <d v="2026-01-30T00:00:00"/>
    <n v="5200"/>
    <x v="0"/>
  </r>
  <r>
    <s v="Кузнецов Максим Алексеевич"/>
    <x v="225"/>
    <d v="2026-01-30T00:00:00"/>
    <n v="13234"/>
    <x v="0"/>
  </r>
  <r>
    <s v="Орлов Павел Денисович"/>
    <x v="226"/>
    <d v="2026-01-30T00:00:00"/>
    <n v="15580"/>
    <x v="0"/>
  </r>
  <r>
    <s v="Ткаченко Андрей Олегович"/>
    <x v="227"/>
    <d v="2026-01-30T00:00:00"/>
    <n v="23141"/>
    <x v="0"/>
  </r>
  <r>
    <s v="Ткаченко Андрей Олегович"/>
    <x v="228"/>
    <d v="2026-01-30T00:00:00"/>
    <n v="20168"/>
    <x v="0"/>
  </r>
  <r>
    <s v="Фролов Сергей Викторович"/>
    <x v="229"/>
    <d v="2026-01-30T00:00:00"/>
    <n v="56331"/>
    <x v="0"/>
  </r>
  <r>
    <s v="Яковлев Артем Игоревич"/>
    <x v="57"/>
    <d v="2026-01-30T00:00:00"/>
    <n v="39231"/>
    <x v="0"/>
  </r>
  <r>
    <s v="Яковлев Артем Игоревич"/>
    <x v="203"/>
    <d v="2026-01-30T00:00:00"/>
    <n v="48028"/>
    <x v="0"/>
  </r>
  <r>
    <s v="Яковлев Артем Игоревич"/>
    <x v="24"/>
    <d v="2026-01-30T00:00:00"/>
    <n v="40464"/>
    <x v="0"/>
  </r>
  <r>
    <s v="Яковлев Артем Игоревич"/>
    <x v="204"/>
    <d v="2026-01-30T00:00:00"/>
    <n v="40426"/>
    <x v="0"/>
  </r>
  <r>
    <s v="Яковлев Артем Игоревич"/>
    <x v="230"/>
    <d v="2026-01-30T00:00:00"/>
    <n v="23888"/>
    <x v="0"/>
  </r>
  <r>
    <s v="Кузнецов Максим Алексеевич"/>
    <x v="231"/>
    <d v="2026-01-31T00:00:00"/>
    <n v="14357"/>
    <x v="0"/>
  </r>
  <r>
    <s v="Лебедев Николай Олегович"/>
    <x v="232"/>
    <d v="2026-01-31T00:00:00"/>
    <n v="8376"/>
    <x v="0"/>
  </r>
  <r>
    <s v="Морозова Елена Андреевна"/>
    <x v="233"/>
    <d v="2026-01-31T00:00:00"/>
    <n v="13158"/>
    <x v="0"/>
  </r>
  <r>
    <s v="Орлов Павел Денисович"/>
    <x v="234"/>
    <d v="2026-01-31T00:00:00"/>
    <n v="20238"/>
    <x v="0"/>
  </r>
  <r>
    <s v="Павлова Татьяна Сергеевна"/>
    <x v="235"/>
    <d v="2026-01-31T00:00:00"/>
    <n v="12784"/>
    <x v="0"/>
  </r>
  <r>
    <s v="Фролов Сергей Викторович"/>
    <x v="236"/>
    <d v="2026-01-31T00:00:00"/>
    <n v="46506"/>
    <x v="0"/>
  </r>
  <r>
    <s v="Фролов Сергей Викторович"/>
    <x v="223"/>
    <d v="2026-01-31T00:00:00"/>
    <n v="52413"/>
    <x v="0"/>
  </r>
  <r>
    <s v="Яковлев Артем Игоревич"/>
    <x v="113"/>
    <d v="2026-01-31T00:00:00"/>
    <n v="36890"/>
    <x v="0"/>
  </r>
  <r>
    <s v="Яковлев Артем Игоревич"/>
    <x v="67"/>
    <d v="2026-01-31T00:00:00"/>
    <n v="35835"/>
    <x v="0"/>
  </r>
  <r>
    <s v="Яковлев Артем Игоревич"/>
    <x v="58"/>
    <d v="2026-01-31T00:00:00"/>
    <n v="39932"/>
    <x v="0"/>
  </r>
  <r>
    <s v="Яковлев Артем Игоревич"/>
    <x v="59"/>
    <d v="2026-01-31T00:00:00"/>
    <n v="41675"/>
    <x v="0"/>
  </r>
  <r>
    <s v="Волков Дмитрий Романович"/>
    <x v="94"/>
    <d v="2026-02-01T00:00:00"/>
    <n v="12072"/>
    <x v="1"/>
  </r>
  <r>
    <s v="Иванова Анна Сергеевна"/>
    <x v="70"/>
    <d v="2026-02-01T00:00:00"/>
    <n v="28021"/>
    <x v="1"/>
  </r>
  <r>
    <s v="Козлов Алексей Михайлович"/>
    <x v="8"/>
    <d v="2026-02-01T00:00:00"/>
    <n v="9880"/>
    <x v="1"/>
  </r>
  <r>
    <s v="Кузнецов Максим Алексеевич"/>
    <x v="99"/>
    <d v="2026-02-01T00:00:00"/>
    <n v="11603"/>
    <x v="1"/>
  </r>
  <r>
    <s v="Павлова Татьяна Сергеевна"/>
    <x v="199"/>
    <d v="2026-02-01T00:00:00"/>
    <n v="12897"/>
    <x v="1"/>
  </r>
  <r>
    <s v="Ткаченко Андрей Олегович"/>
    <x v="9"/>
    <d v="2026-02-01T00:00:00"/>
    <n v="6273"/>
    <x v="1"/>
  </r>
  <r>
    <s v="Фролов Сергей Викторович"/>
    <x v="103"/>
    <d v="2026-02-01T00:00:00"/>
    <n v="37772"/>
    <x v="1"/>
  </r>
  <r>
    <s v="Фролов Сергей Викторович"/>
    <x v="104"/>
    <d v="2026-02-01T00:00:00"/>
    <n v="23615"/>
    <x v="1"/>
  </r>
  <r>
    <s v="Яковлев Артем Игоревич"/>
    <x v="203"/>
    <d v="2026-02-01T00:00:00"/>
    <n v="55914"/>
    <x v="1"/>
  </r>
  <r>
    <s v="Яковлев Артем Игоревич"/>
    <x v="49"/>
    <d v="2026-02-01T00:00:00"/>
    <n v="46246"/>
    <x v="1"/>
  </r>
  <r>
    <s v="Яковлев Артем Игоревич"/>
    <x v="118"/>
    <d v="2026-02-01T00:00:00"/>
    <n v="42069"/>
    <x v="1"/>
  </r>
  <r>
    <s v="Яковлев Артем Игоревич"/>
    <x v="25"/>
    <d v="2026-02-01T00:00:00"/>
    <n v="51919"/>
    <x v="1"/>
  </r>
  <r>
    <s v="Иванова Анна Сергеевна"/>
    <x v="136"/>
    <d v="2026-02-02T00:00:00"/>
    <n v="29272"/>
    <x v="1"/>
  </r>
  <r>
    <s v="Иванова Анна Сергеевна"/>
    <x v="218"/>
    <d v="2026-02-02T00:00:00"/>
    <n v="20853"/>
    <x v="1"/>
  </r>
  <r>
    <s v="Иванова Анна Сергеевна"/>
    <x v="16"/>
    <d v="2026-02-02T00:00:00"/>
    <n v="30055"/>
    <x v="1"/>
  </r>
  <r>
    <s v="Новикова Ольга Викторовна"/>
    <x v="174"/>
    <d v="2026-02-02T00:00:00"/>
    <n v="12253"/>
    <x v="1"/>
  </r>
  <r>
    <s v="Соколова Мария Ильинична"/>
    <x v="176"/>
    <d v="2026-02-02T00:00:00"/>
    <n v="20654"/>
    <x v="1"/>
  </r>
  <r>
    <s v="Фролов Сергей Викторович"/>
    <x v="186"/>
    <d v="2026-02-02T00:00:00"/>
    <n v="27065"/>
    <x v="1"/>
  </r>
  <r>
    <s v="Фролов Сергей Викторович"/>
    <x v="204"/>
    <d v="2026-02-02T00:00:00"/>
    <n v="40559"/>
    <x v="1"/>
  </r>
  <r>
    <s v="Яковлев Артем Игоревич"/>
    <x v="190"/>
    <d v="2026-02-02T00:00:00"/>
    <n v="37171"/>
    <x v="1"/>
  </r>
  <r>
    <s v="Яковлев Артем Игоревич"/>
    <x v="39"/>
    <d v="2026-02-02T00:00:00"/>
    <n v="53387"/>
    <x v="1"/>
  </r>
  <r>
    <s v="Яковлев Артем Игоревич"/>
    <x v="13"/>
    <d v="2026-02-02T00:00:00"/>
    <n v="31077"/>
    <x v="1"/>
  </r>
  <r>
    <s v="Яковлев Артем Игоревич"/>
    <x v="13"/>
    <d v="2026-02-02T00:00:00"/>
    <n v="39303"/>
    <x v="1"/>
  </r>
  <r>
    <s v="Яковлев Артем Игоревич"/>
    <x v="129"/>
    <d v="2026-02-02T00:00:00"/>
    <n v="44684"/>
    <x v="1"/>
  </r>
  <r>
    <s v="Яковлев Артем Игоревич"/>
    <x v="49"/>
    <d v="2026-02-02T00:00:00"/>
    <n v="50355"/>
    <x v="1"/>
  </r>
  <r>
    <s v="Яковлев Артем Игоревич"/>
    <x v="50"/>
    <d v="2026-02-02T00:00:00"/>
    <n v="39642"/>
    <x v="1"/>
  </r>
  <r>
    <s v="Яковлев Артем Игоревич"/>
    <x v="152"/>
    <d v="2026-02-02T00:00:00"/>
    <n v="44751"/>
    <x v="1"/>
  </r>
  <r>
    <s v="Иванова Анна Сергеевна"/>
    <x v="24"/>
    <d v="2026-02-03T00:00:00"/>
    <n v="43950"/>
    <x v="1"/>
  </r>
  <r>
    <s v="Лебедев Николай Олегович"/>
    <x v="107"/>
    <d v="2026-02-03T00:00:00"/>
    <n v="10986"/>
    <x v="1"/>
  </r>
  <r>
    <s v="Новикова Ольга Викторовна"/>
    <x v="108"/>
    <d v="2026-02-03T00:00:00"/>
    <n v="12075"/>
    <x v="1"/>
  </r>
  <r>
    <s v="Ткаченко Андрей Олегович"/>
    <x v="201"/>
    <d v="2026-02-03T00:00:00"/>
    <n v="24027"/>
    <x v="1"/>
  </r>
  <r>
    <s v="Фролов Сергей Викторович"/>
    <x v="222"/>
    <d v="2026-02-03T00:00:00"/>
    <n v="39468"/>
    <x v="1"/>
  </r>
  <r>
    <s v="Фролов Сергей Викторович"/>
    <x v="160"/>
    <d v="2026-02-03T00:00:00"/>
    <n v="33276"/>
    <x v="1"/>
  </r>
  <r>
    <s v="Фролов Сергей Викторович"/>
    <x v="76"/>
    <d v="2026-02-03T00:00:00"/>
    <n v="43125"/>
    <x v="1"/>
  </r>
  <r>
    <s v="Яковлев Артем Игоревич"/>
    <x v="12"/>
    <d v="2026-02-03T00:00:00"/>
    <n v="39542"/>
    <x v="1"/>
  </r>
  <r>
    <s v="Яковлев Артем Игоревич"/>
    <x v="67"/>
    <d v="2026-02-03T00:00:00"/>
    <n v="34889"/>
    <x v="1"/>
  </r>
  <r>
    <s v="Яковлев Артем Игоревич"/>
    <x v="14"/>
    <d v="2026-02-03T00:00:00"/>
    <n v="43057"/>
    <x v="1"/>
  </r>
  <r>
    <s v="Козлов Алексей Михайлович"/>
    <x v="97"/>
    <d v="2026-02-04T00:00:00"/>
    <n v="15742"/>
    <x v="1"/>
  </r>
  <r>
    <s v="Морозова Елена Андреевна"/>
    <x v="165"/>
    <d v="2026-02-04T00:00:00"/>
    <n v="12282"/>
    <x v="1"/>
  </r>
  <r>
    <s v="Семенова Ирина Валерьевна"/>
    <x v="156"/>
    <d v="2026-02-04T00:00:00"/>
    <n v="17346"/>
    <x v="1"/>
  </r>
  <r>
    <s v="Соколова Мария Ильинична"/>
    <x v="109"/>
    <d v="2026-02-04T00:00:00"/>
    <n v="5200"/>
    <x v="1"/>
  </r>
  <r>
    <s v="Фролов Сергей Викторович"/>
    <x v="122"/>
    <d v="2026-02-04T00:00:00"/>
    <n v="29519"/>
    <x v="1"/>
  </r>
  <r>
    <s v="Фролов Сергей Викторович"/>
    <x v="33"/>
    <d v="2026-02-04T00:00:00"/>
    <n v="48358"/>
    <x v="1"/>
  </r>
  <r>
    <s v="Фролов Сергей Викторович"/>
    <x v="159"/>
    <d v="2026-02-04T00:00:00"/>
    <n v="37502"/>
    <x v="1"/>
  </r>
  <r>
    <s v="Яковлев Артем Игоревич"/>
    <x v="129"/>
    <d v="2026-02-04T00:00:00"/>
    <n v="33031"/>
    <x v="1"/>
  </r>
  <r>
    <s v="Яковлев Артем Игоревич"/>
    <x v="14"/>
    <d v="2026-02-04T00:00:00"/>
    <n v="48084"/>
    <x v="1"/>
  </r>
  <r>
    <s v="Яковлев Артем Игоревич"/>
    <x v="14"/>
    <d v="2026-02-04T00:00:00"/>
    <n v="35911"/>
    <x v="1"/>
  </r>
  <r>
    <s v="Яковлев Артем Игоревич"/>
    <x v="58"/>
    <d v="2026-02-04T00:00:00"/>
    <n v="35499"/>
    <x v="1"/>
  </r>
  <r>
    <s v="Яковлев Артем Игоревич"/>
    <x v="34"/>
    <d v="2026-02-04T00:00:00"/>
    <n v="55279"/>
    <x v="1"/>
  </r>
  <r>
    <s v="Яковлев Артем Игоревич"/>
    <x v="50"/>
    <d v="2026-02-04T00:00:00"/>
    <n v="42868"/>
    <x v="1"/>
  </r>
  <r>
    <s v="Васильева Дарья Павловна"/>
    <x v="224"/>
    <d v="2026-02-05T00:00:00"/>
    <n v="23790"/>
    <x v="1"/>
  </r>
  <r>
    <s v="Козлов Алексей Михайлович"/>
    <x v="98"/>
    <d v="2026-02-05T00:00:00"/>
    <n v="12867"/>
    <x v="1"/>
  </r>
  <r>
    <s v="Лебедев Николай Олегович"/>
    <x v="62"/>
    <d v="2026-02-05T00:00:00"/>
    <n v="11858"/>
    <x v="1"/>
  </r>
  <r>
    <s v="Морозова Елена Андреевна"/>
    <x v="187"/>
    <d v="2026-02-05T00:00:00"/>
    <n v="9286"/>
    <x v="1"/>
  </r>
  <r>
    <s v="Орлов Павел Денисович"/>
    <x v="85"/>
    <d v="2026-02-05T00:00:00"/>
    <n v="15460"/>
    <x v="1"/>
  </r>
  <r>
    <s v="Орлов Павел Денисович"/>
    <x v="92"/>
    <d v="2026-02-05T00:00:00"/>
    <n v="16035"/>
    <x v="1"/>
  </r>
  <r>
    <s v="Фролов Сергей Викторович"/>
    <x v="236"/>
    <d v="2026-02-05T00:00:00"/>
    <n v="25450"/>
    <x v="1"/>
  </r>
  <r>
    <s v="Фролов Сергей Викторович"/>
    <x v="53"/>
    <d v="2026-02-05T00:00:00"/>
    <n v="47917"/>
    <x v="1"/>
  </r>
  <r>
    <s v="Яковлев Артем Игоревич"/>
    <x v="128"/>
    <d v="2026-02-05T00:00:00"/>
    <n v="41581"/>
    <x v="1"/>
  </r>
  <r>
    <s v="Яковлев Артем Игоревич"/>
    <x v="129"/>
    <d v="2026-02-05T00:00:00"/>
    <n v="37425"/>
    <x v="1"/>
  </r>
  <r>
    <s v="Яковлев Артем Игоревич"/>
    <x v="106"/>
    <d v="2026-02-05T00:00:00"/>
    <n v="30131"/>
    <x v="1"/>
  </r>
  <r>
    <s v="Яковлев Артем Игоревич"/>
    <x v="78"/>
    <d v="2026-02-05T00:00:00"/>
    <n v="33375"/>
    <x v="1"/>
  </r>
  <r>
    <s v="Васильева Дарья Павловна"/>
    <x v="35"/>
    <d v="2026-02-06T00:00:00"/>
    <n v="5239"/>
    <x v="1"/>
  </r>
  <r>
    <s v="Иванова Анна Сергеевна"/>
    <x v="26"/>
    <d v="2026-02-06T00:00:00"/>
    <n v="27783"/>
    <x v="1"/>
  </r>
  <r>
    <s v="Семенова Ирина Валерьевна"/>
    <x v="167"/>
    <d v="2026-02-06T00:00:00"/>
    <n v="11859"/>
    <x v="1"/>
  </r>
  <r>
    <s v="Фролов Сергей Викторович"/>
    <x v="105"/>
    <d v="2026-02-06T00:00:00"/>
    <n v="46522"/>
    <x v="1"/>
  </r>
  <r>
    <s v="Фролов Сергей Викторович"/>
    <x v="216"/>
    <d v="2026-02-06T00:00:00"/>
    <n v="34706"/>
    <x v="1"/>
  </r>
  <r>
    <s v="Яковлев Артем Игоревич"/>
    <x v="41"/>
    <d v="2026-02-06T00:00:00"/>
    <n v="62167"/>
    <x v="1"/>
  </r>
  <r>
    <s v="Иванова Анна Сергеевна"/>
    <x v="91"/>
    <d v="2026-02-07T00:00:00"/>
    <n v="23629"/>
    <x v="1"/>
  </r>
  <r>
    <s v="Кузнецов Максим Алексеевич"/>
    <x v="225"/>
    <d v="2026-02-07T00:00:00"/>
    <n v="13924"/>
    <x v="1"/>
  </r>
  <r>
    <s v="Лебедев Николай Олегович"/>
    <x v="2"/>
    <d v="2026-02-07T00:00:00"/>
    <n v="9281"/>
    <x v="1"/>
  </r>
  <r>
    <s v="Орлов Павел Денисович"/>
    <x v="19"/>
    <d v="2026-02-07T00:00:00"/>
    <n v="12386"/>
    <x v="1"/>
  </r>
  <r>
    <s v="Павлова Татьяна Сергеевна"/>
    <x v="181"/>
    <d v="2026-02-07T00:00:00"/>
    <n v="12097"/>
    <x v="1"/>
  </r>
  <r>
    <s v="Семенова Ирина Валерьевна"/>
    <x v="212"/>
    <d v="2026-02-07T00:00:00"/>
    <n v="5676"/>
    <x v="1"/>
  </r>
  <r>
    <s v="Семенова Ирина Валерьевна"/>
    <x v="45"/>
    <d v="2026-02-07T00:00:00"/>
    <n v="29969"/>
    <x v="1"/>
  </r>
  <r>
    <s v="Ткаченко Андрей Олегович"/>
    <x v="87"/>
    <d v="2026-02-07T00:00:00"/>
    <n v="35641"/>
    <x v="1"/>
  </r>
  <r>
    <s v="Ткаченко Андрей Олегович"/>
    <x v="47"/>
    <d v="2026-02-07T00:00:00"/>
    <n v="20683"/>
    <x v="1"/>
  </r>
  <r>
    <s v="Фролов Сергей Викторович"/>
    <x v="93"/>
    <d v="2026-02-07T00:00:00"/>
    <n v="29857"/>
    <x v="1"/>
  </r>
  <r>
    <s v="Фролов Сергей Викторович"/>
    <x v="34"/>
    <d v="2026-02-07T00:00:00"/>
    <n v="53267"/>
    <x v="1"/>
  </r>
  <r>
    <s v="Фролов Сергей Викторович"/>
    <x v="81"/>
    <d v="2026-02-07T00:00:00"/>
    <n v="12378"/>
    <x v="1"/>
  </r>
  <r>
    <s v="Яковлев Артем Игоревич"/>
    <x v="14"/>
    <d v="2026-02-07T00:00:00"/>
    <n v="34604"/>
    <x v="1"/>
  </r>
  <r>
    <s v="Яковлев Артем Игоревич"/>
    <x v="204"/>
    <d v="2026-02-07T00:00:00"/>
    <n v="53740"/>
    <x v="1"/>
  </r>
  <r>
    <s v="Яковлев Артем Игоревич"/>
    <x v="68"/>
    <d v="2026-02-07T00:00:00"/>
    <n v="33065"/>
    <x v="1"/>
  </r>
  <r>
    <s v="Яковлев Артем Игоревич"/>
    <x v="51"/>
    <d v="2026-02-07T00:00:00"/>
    <n v="60289"/>
    <x v="1"/>
  </r>
  <r>
    <s v="Яковлев Артем Игоревич"/>
    <x v="25"/>
    <d v="2026-02-07T00:00:00"/>
    <n v="43293"/>
    <x v="1"/>
  </r>
  <r>
    <s v="Волков Дмитрий Романович"/>
    <x v="162"/>
    <d v="2026-02-08T00:00:00"/>
    <n v="13282"/>
    <x v="1"/>
  </r>
  <r>
    <s v="Иванова Анна Сергеевна"/>
    <x v="191"/>
    <d v="2026-02-08T00:00:00"/>
    <n v="19102"/>
    <x v="1"/>
  </r>
  <r>
    <s v="Михайлова Алина Романовна"/>
    <x v="180"/>
    <d v="2026-02-08T00:00:00"/>
    <n v="11194"/>
    <x v="1"/>
  </r>
  <r>
    <s v="Фролов Сергей Викторович"/>
    <x v="22"/>
    <d v="2026-02-08T00:00:00"/>
    <n v="39570"/>
    <x v="1"/>
  </r>
  <r>
    <s v="Фролов Сергей Викторович"/>
    <x v="169"/>
    <d v="2026-02-08T00:00:00"/>
    <n v="29607"/>
    <x v="1"/>
  </r>
  <r>
    <s v="Яковлев Артем Игоревич"/>
    <x v="203"/>
    <d v="2026-02-08T00:00:00"/>
    <n v="48202"/>
    <x v="1"/>
  </r>
  <r>
    <s v="Яковлев Артем Игоревич"/>
    <x v="33"/>
    <d v="2026-02-08T00:00:00"/>
    <n v="40170"/>
    <x v="1"/>
  </r>
  <r>
    <s v="Яковлев Артем Игоревич"/>
    <x v="14"/>
    <d v="2026-02-08T00:00:00"/>
    <n v="39947"/>
    <x v="1"/>
  </r>
  <r>
    <s v="Яковлев Артем Игоревич"/>
    <x v="50"/>
    <d v="2026-02-08T00:00:00"/>
    <n v="42641"/>
    <x v="1"/>
  </r>
  <r>
    <s v="Кузнецов Максим Алексеевич"/>
    <x v="72"/>
    <d v="2026-02-09T00:00:00"/>
    <n v="20726"/>
    <x v="1"/>
  </r>
  <r>
    <s v="Кузнецов Максим Алексеевич"/>
    <x v="231"/>
    <d v="2026-02-09T00:00:00"/>
    <n v="12075"/>
    <x v="1"/>
  </r>
  <r>
    <s v="Семенова Ирина Валерьевна"/>
    <x v="213"/>
    <d v="2026-02-09T00:00:00"/>
    <n v="16684"/>
    <x v="1"/>
  </r>
  <r>
    <s v="Смирнов Евгений Андреевич"/>
    <x v="221"/>
    <d v="2026-02-09T00:00:00"/>
    <n v="5200"/>
    <x v="1"/>
  </r>
  <r>
    <s v="Ткаченко Андрей Олегович"/>
    <x v="195"/>
    <d v="2026-02-09T00:00:00"/>
    <n v="19012"/>
    <x v="1"/>
  </r>
  <r>
    <s v="Ткаченко Андрей Олегович"/>
    <x v="140"/>
    <d v="2026-02-09T00:00:00"/>
    <n v="15538"/>
    <x v="1"/>
  </r>
  <r>
    <s v="Фролов Сергей Викторович"/>
    <x v="123"/>
    <d v="2026-02-09T00:00:00"/>
    <n v="38550"/>
    <x v="1"/>
  </r>
  <r>
    <s v="Фролов Сергей Викторович"/>
    <x v="90"/>
    <d v="2026-02-09T00:00:00"/>
    <n v="51561"/>
    <x v="1"/>
  </r>
  <r>
    <s v="Фролов Сергей Викторович"/>
    <x v="103"/>
    <d v="2026-02-09T00:00:00"/>
    <n v="42462"/>
    <x v="1"/>
  </r>
  <r>
    <s v="Яковлев Артем Игоревич"/>
    <x v="12"/>
    <d v="2026-02-09T00:00:00"/>
    <n v="43207"/>
    <x v="1"/>
  </r>
  <r>
    <s v="Яковлев Артем Игоревич"/>
    <x v="42"/>
    <d v="2026-02-09T00:00:00"/>
    <n v="34349"/>
    <x v="1"/>
  </r>
  <r>
    <s v="Волков Дмитрий Романович"/>
    <x v="114"/>
    <d v="2026-02-10T00:00:00"/>
    <n v="12045"/>
    <x v="1"/>
  </r>
  <r>
    <s v="Иванова Анна Сергеевна"/>
    <x v="178"/>
    <d v="2026-02-10T00:00:00"/>
    <n v="24765"/>
    <x v="1"/>
  </r>
  <r>
    <s v="Иванова Анна Сергеевна"/>
    <x v="56"/>
    <d v="2026-02-10T00:00:00"/>
    <n v="29125"/>
    <x v="1"/>
  </r>
  <r>
    <s v="Морозова Елена Андреевна"/>
    <x v="18"/>
    <d v="2026-02-10T00:00:00"/>
    <n v="13382"/>
    <x v="1"/>
  </r>
  <r>
    <s v="Орлов Павел Денисович"/>
    <x v="188"/>
    <d v="2026-02-10T00:00:00"/>
    <n v="5200"/>
    <x v="1"/>
  </r>
  <r>
    <s v="Семенова Ирина Валерьевна"/>
    <x v="166"/>
    <d v="2026-02-10T00:00:00"/>
    <n v="17117"/>
    <x v="1"/>
  </r>
  <r>
    <s v="Ткаченко Андрей Олегович"/>
    <x v="189"/>
    <d v="2026-02-10T00:00:00"/>
    <n v="15605"/>
    <x v="1"/>
  </r>
  <r>
    <s v="Фролов Сергей Викторович"/>
    <x v="55"/>
    <d v="2026-02-10T00:00:00"/>
    <n v="25065"/>
    <x v="1"/>
  </r>
  <r>
    <s v="Яковлев Артем Игоревич"/>
    <x v="57"/>
    <d v="2026-02-10T00:00:00"/>
    <n v="46272"/>
    <x v="1"/>
  </r>
  <r>
    <s v="Яковлев Артем Игоревич"/>
    <x v="38"/>
    <d v="2026-02-10T00:00:00"/>
    <n v="53443"/>
    <x v="1"/>
  </r>
  <r>
    <s v="Яковлев Артем Игоревич"/>
    <x v="40"/>
    <d v="2026-02-10T00:00:00"/>
    <n v="35576"/>
    <x v="1"/>
  </r>
  <r>
    <s v="Яковлев Артем Игоревич"/>
    <x v="68"/>
    <d v="2026-02-10T00:00:00"/>
    <n v="33710"/>
    <x v="1"/>
  </r>
  <r>
    <s v="Яковлев Артем Игоревич"/>
    <x v="161"/>
    <d v="2026-02-10T00:00:00"/>
    <n v="37928"/>
    <x v="1"/>
  </r>
  <r>
    <s v="Волков Дмитрий Романович"/>
    <x v="79"/>
    <d v="2026-02-11T00:00:00"/>
    <n v="13569"/>
    <x v="1"/>
  </r>
  <r>
    <s v="Орлов Павел Денисович"/>
    <x v="198"/>
    <d v="2026-02-11T00:00:00"/>
    <n v="15947"/>
    <x v="1"/>
  </r>
  <r>
    <s v="Соколова Мария Ильинична"/>
    <x v="157"/>
    <d v="2026-02-11T00:00:00"/>
    <n v="14624"/>
    <x v="1"/>
  </r>
  <r>
    <s v="Ткаченко Андрей Олегович"/>
    <x v="194"/>
    <d v="2026-02-11T00:00:00"/>
    <n v="11403"/>
    <x v="1"/>
  </r>
  <r>
    <s v="Фролов Сергей Викторович"/>
    <x v="93"/>
    <d v="2026-02-11T00:00:00"/>
    <n v="28210"/>
    <x v="1"/>
  </r>
  <r>
    <s v="Фролов Сергей Викторович"/>
    <x v="66"/>
    <d v="2026-02-11T00:00:00"/>
    <n v="11759"/>
    <x v="1"/>
  </r>
  <r>
    <s v="Яковлев Артем Игоревич"/>
    <x v="39"/>
    <d v="2026-02-11T00:00:00"/>
    <n v="48777"/>
    <x v="1"/>
  </r>
  <r>
    <s v="Яковлев Артем Игоревич"/>
    <x v="33"/>
    <d v="2026-02-11T00:00:00"/>
    <n v="36724"/>
    <x v="1"/>
  </r>
  <r>
    <s v="Иванова Анна Сергеевна"/>
    <x v="15"/>
    <d v="2026-02-12T00:00:00"/>
    <n v="27410"/>
    <x v="1"/>
  </r>
  <r>
    <s v="Кузнецов Максим Алексеевич"/>
    <x v="27"/>
    <d v="2026-02-12T00:00:00"/>
    <n v="14908"/>
    <x v="1"/>
  </r>
  <r>
    <s v="Лебедев Николай Олегович"/>
    <x v="232"/>
    <d v="2026-02-12T00:00:00"/>
    <n v="10108"/>
    <x v="1"/>
  </r>
  <r>
    <s v="Морозова Елена Андреевна"/>
    <x v="209"/>
    <d v="2026-02-12T00:00:00"/>
    <n v="5200"/>
    <x v="1"/>
  </r>
  <r>
    <s v="Павлова Татьяна Сергеевна"/>
    <x v="235"/>
    <d v="2026-02-12T00:00:00"/>
    <n v="13341"/>
    <x v="1"/>
  </r>
  <r>
    <s v="Попов Кирилл Денисович"/>
    <x v="115"/>
    <d v="2026-02-12T00:00:00"/>
    <n v="10479"/>
    <x v="1"/>
  </r>
  <r>
    <s v="Ткаченко Андрей Олегович"/>
    <x v="102"/>
    <d v="2026-02-12T00:00:00"/>
    <n v="15568"/>
    <x v="1"/>
  </r>
  <r>
    <s v="Фролов Сергей Викторович"/>
    <x v="38"/>
    <d v="2026-02-12T00:00:00"/>
    <n v="51506"/>
    <x v="1"/>
  </r>
  <r>
    <s v="Фролов Сергей Викторович"/>
    <x v="23"/>
    <d v="2026-02-12T00:00:00"/>
    <n v="9947"/>
    <x v="1"/>
  </r>
  <r>
    <s v="Яковлев Артем Игоревич"/>
    <x v="159"/>
    <d v="2026-02-12T00:00:00"/>
    <n v="35268"/>
    <x v="1"/>
  </r>
  <r>
    <s v="Яковлев Артем Игоревич"/>
    <x v="105"/>
    <d v="2026-02-12T00:00:00"/>
    <n v="51674"/>
    <x v="1"/>
  </r>
  <r>
    <s v="Яковлев Артем Игоревич"/>
    <x v="230"/>
    <d v="2026-02-12T00:00:00"/>
    <n v="41947"/>
    <x v="1"/>
  </r>
  <r>
    <s v="Иванова Анна Сергеевна"/>
    <x v="60"/>
    <d v="2026-02-13T00:00:00"/>
    <n v="28681"/>
    <x v="1"/>
  </r>
  <r>
    <s v="Морозова Елена Андреевна"/>
    <x v="233"/>
    <d v="2026-02-13T00:00:00"/>
    <n v="14258"/>
    <x v="1"/>
  </r>
  <r>
    <s v="Фролов Сергей Викторович"/>
    <x v="88"/>
    <d v="2026-02-13T00:00:00"/>
    <n v="33667"/>
    <x v="1"/>
  </r>
  <r>
    <s v="Фролов Сергей Викторович"/>
    <x v="22"/>
    <d v="2026-02-13T00:00:00"/>
    <n v="29422"/>
    <x v="1"/>
  </r>
  <r>
    <s v="Фролов Сергей Викторович"/>
    <x v="142"/>
    <d v="2026-02-13T00:00:00"/>
    <n v="49734"/>
    <x v="1"/>
  </r>
  <r>
    <s v="Фролов Сергей Викторович"/>
    <x v="10"/>
    <d v="2026-02-13T00:00:00"/>
    <n v="30891"/>
    <x v="1"/>
  </r>
  <r>
    <s v="Яковлев Артем Игоревич"/>
    <x v="42"/>
    <d v="2026-02-13T00:00:00"/>
    <n v="27994"/>
    <x v="1"/>
  </r>
  <r>
    <s v="Яковлев Артем Игоревич"/>
    <x v="160"/>
    <d v="2026-02-13T00:00:00"/>
    <n v="31934"/>
    <x v="1"/>
  </r>
  <r>
    <s v="Яковлев Артем Игоревич"/>
    <x v="230"/>
    <d v="2026-02-13T00:00:00"/>
    <n v="47067"/>
    <x v="1"/>
  </r>
  <r>
    <s v="Яковлев Артем Игоревич"/>
    <x v="152"/>
    <d v="2026-02-13T00:00:00"/>
    <n v="48673"/>
    <x v="1"/>
  </r>
  <r>
    <s v="Волков Дмитрий Романович"/>
    <x v="143"/>
    <d v="2026-02-14T00:00:00"/>
    <n v="13198"/>
    <x v="1"/>
  </r>
  <r>
    <s v="Иванова Анна Сергеевна"/>
    <x v="74"/>
    <d v="2026-02-14T00:00:00"/>
    <n v="18924"/>
    <x v="1"/>
  </r>
  <r>
    <s v="Иванова Анна Сергеевна"/>
    <x v="111"/>
    <d v="2026-02-14T00:00:00"/>
    <n v="41648"/>
    <x v="1"/>
  </r>
  <r>
    <s v="Кузнецов Максим Алексеевич"/>
    <x v="82"/>
    <d v="2026-02-14T00:00:00"/>
    <n v="13104"/>
    <x v="1"/>
  </r>
  <r>
    <s v="Кузнецов Максим Алексеевич"/>
    <x v="147"/>
    <d v="2026-02-14T00:00:00"/>
    <n v="16643"/>
    <x v="1"/>
  </r>
  <r>
    <s v="Семенова Ирина Валерьевна"/>
    <x v="20"/>
    <d v="2026-02-14T00:00:00"/>
    <n v="6329"/>
    <x v="1"/>
  </r>
  <r>
    <s v="Ткаченко Андрей Олегович"/>
    <x v="116"/>
    <d v="2026-02-14T00:00:00"/>
    <n v="19276"/>
    <x v="1"/>
  </r>
  <r>
    <s v="Ткаченко Андрей Олегович"/>
    <x v="228"/>
    <d v="2026-02-14T00:00:00"/>
    <n v="20881"/>
    <x v="1"/>
  </r>
  <r>
    <s v="Фролов Сергей Викторович"/>
    <x v="229"/>
    <d v="2026-02-14T00:00:00"/>
    <n v="34492"/>
    <x v="1"/>
  </r>
  <r>
    <s v="Фролов Сергей Викторович"/>
    <x v="133"/>
    <d v="2026-02-14T00:00:00"/>
    <n v="44695"/>
    <x v="1"/>
  </r>
  <r>
    <s v="Фролов Сергей Викторович"/>
    <x v="37"/>
    <d v="2026-02-14T00:00:00"/>
    <n v="25043"/>
    <x v="1"/>
  </r>
  <r>
    <s v="Яковлев Артем Игоревич"/>
    <x v="112"/>
    <d v="2026-02-14T00:00:00"/>
    <n v="34627"/>
    <x v="1"/>
  </r>
  <r>
    <s v="Яковлев Артем Игоревич"/>
    <x v="190"/>
    <d v="2026-02-14T00:00:00"/>
    <n v="41157"/>
    <x v="1"/>
  </r>
  <r>
    <s v="Яковлев Артем Игоревич"/>
    <x v="135"/>
    <d v="2026-02-14T00:00:00"/>
    <n v="40626"/>
    <x v="1"/>
  </r>
  <r>
    <s v="Иванова Анна Сергеевна"/>
    <x v="29"/>
    <d v="2026-02-15T00:00:00"/>
    <n v="17865"/>
    <x v="1"/>
  </r>
  <r>
    <s v="Иванова Анна Сергеевна"/>
    <x v="96"/>
    <d v="2026-02-15T00:00:00"/>
    <n v="16491"/>
    <x v="1"/>
  </r>
  <r>
    <s v="Кузнецов Максим Алексеевич"/>
    <x v="219"/>
    <d v="2026-02-15T00:00:00"/>
    <n v="14844"/>
    <x v="1"/>
  </r>
  <r>
    <s v="Новикова Ольга Викторовна"/>
    <x v="100"/>
    <d v="2026-02-15T00:00:00"/>
    <n v="11226"/>
    <x v="1"/>
  </r>
  <r>
    <s v="Орлов Павел Денисович"/>
    <x v="4"/>
    <d v="2026-02-15T00:00:00"/>
    <n v="13627"/>
    <x v="1"/>
  </r>
  <r>
    <s v="Семенова Ирина Валерьевна"/>
    <x v="86"/>
    <d v="2026-02-15T00:00:00"/>
    <n v="17951"/>
    <x v="1"/>
  </r>
  <r>
    <s v="Семенова Ирина Валерьевна"/>
    <x v="75"/>
    <d v="2026-02-15T00:00:00"/>
    <n v="17280"/>
    <x v="1"/>
  </r>
  <r>
    <s v="Ткаченко Андрей Олегович"/>
    <x v="148"/>
    <d v="2026-02-15T00:00:00"/>
    <n v="19227"/>
    <x v="1"/>
  </r>
  <r>
    <s v="Ткаченко Андрей Олегович"/>
    <x v="31"/>
    <d v="2026-02-15T00:00:00"/>
    <n v="35400"/>
    <x v="1"/>
  </r>
  <r>
    <s v="Фролов Сергей Викторович"/>
    <x v="125"/>
    <d v="2026-02-15T00:00:00"/>
    <n v="41105"/>
    <x v="1"/>
  </r>
  <r>
    <s v="Яковлев Артем Игоревич"/>
    <x v="134"/>
    <d v="2026-02-15T00:00:00"/>
    <n v="20114"/>
    <x v="1"/>
  </r>
  <r>
    <s v="Яковлев Артем Игоревич"/>
    <x v="113"/>
    <d v="2026-02-15T00:00:00"/>
    <n v="26628"/>
    <x v="1"/>
  </r>
  <r>
    <s v="Яковлев Артем Игоревич"/>
    <x v="105"/>
    <d v="2026-02-15T00:00:00"/>
    <n v="58785"/>
    <x v="1"/>
  </r>
  <r>
    <s v="Яковлев Артем Игоревич"/>
    <x v="50"/>
    <d v="2026-02-15T00:00:00"/>
    <n v="35936"/>
    <x v="1"/>
  </r>
  <r>
    <s v="Яковлев Артем Игоревич"/>
    <x v="50"/>
    <d v="2026-02-15T00:00:00"/>
    <n v="35879"/>
    <x v="1"/>
  </r>
  <r>
    <s v="Семенова Ирина Валерьевна"/>
    <x v="226"/>
    <d v="2026-02-16T00:00:00"/>
    <n v="15373"/>
    <x v="1"/>
  </r>
  <r>
    <s v="Семенова Ирина Валерьевна"/>
    <x v="182"/>
    <d v="2026-02-16T00:00:00"/>
    <n v="14776"/>
    <x v="1"/>
  </r>
  <r>
    <s v="Ткаченко Андрей Олегович"/>
    <x v="177"/>
    <d v="2026-02-16T00:00:00"/>
    <n v="22166"/>
    <x v="1"/>
  </r>
  <r>
    <s v="Фролов Сергей Викторович"/>
    <x v="170"/>
    <d v="2026-02-16T00:00:00"/>
    <n v="45316"/>
    <x v="1"/>
  </r>
  <r>
    <s v="Фролов Сергей Викторович"/>
    <x v="89"/>
    <d v="2026-02-16T00:00:00"/>
    <n v="26781"/>
    <x v="1"/>
  </r>
  <r>
    <s v="Фролов Сергей Викторович"/>
    <x v="118"/>
    <d v="2026-02-16T00:00:00"/>
    <n v="41089"/>
    <x v="1"/>
  </r>
  <r>
    <s v="Фролов Сергей Викторович"/>
    <x v="1"/>
    <d v="2026-02-16T00:00:00"/>
    <n v="24092"/>
    <x v="1"/>
  </r>
  <r>
    <s v="Яковлев Артем Игоревич"/>
    <x v="78"/>
    <d v="2026-02-16T00:00:00"/>
    <n v="37477"/>
    <x v="1"/>
  </r>
  <r>
    <s v="Яковлев Артем Игоревич"/>
    <x v="152"/>
    <d v="2026-02-16T00:00:00"/>
    <n v="33845"/>
    <x v="1"/>
  </r>
  <r>
    <s v="Волков Дмитрий Романович"/>
    <x v="69"/>
    <d v="2026-02-17T00:00:00"/>
    <n v="14732"/>
    <x v="1"/>
  </r>
  <r>
    <s v="Иванова Анна Сергеевна"/>
    <x v="192"/>
    <d v="2026-02-17T00:00:00"/>
    <n v="19118"/>
    <x v="1"/>
  </r>
  <r>
    <s v="Кузнецов Максим Алексеевич"/>
    <x v="164"/>
    <d v="2026-02-17T00:00:00"/>
    <n v="9759"/>
    <x v="1"/>
  </r>
  <r>
    <s v="Морозова Елена Андреевна"/>
    <x v="208"/>
    <d v="2026-02-17T00:00:00"/>
    <n v="13324"/>
    <x v="1"/>
  </r>
  <r>
    <s v="Новикова Ольга Викторовна"/>
    <x v="84"/>
    <d v="2026-02-17T00:00:00"/>
    <n v="10779"/>
    <x v="1"/>
  </r>
  <r>
    <s v="Новикова Ольга Викторовна"/>
    <x v="154"/>
    <d v="2026-02-17T00:00:00"/>
    <n v="8603"/>
    <x v="1"/>
  </r>
  <r>
    <s v="Семенова Ирина Валерьевна"/>
    <x v="215"/>
    <d v="2026-02-17T00:00:00"/>
    <n v="15619"/>
    <x v="1"/>
  </r>
  <r>
    <s v="Смирнов Евгений Андреевич"/>
    <x v="200"/>
    <d v="2026-02-17T00:00:00"/>
    <n v="14815"/>
    <x v="1"/>
  </r>
  <r>
    <s v="Соколова Мария Ильинична"/>
    <x v="101"/>
    <d v="2026-02-17T00:00:00"/>
    <n v="15788"/>
    <x v="1"/>
  </r>
  <r>
    <s v="Ткаченко Андрей Олегович"/>
    <x v="5"/>
    <d v="2026-02-17T00:00:00"/>
    <n v="35955"/>
    <x v="1"/>
  </r>
  <r>
    <s v="Ткаченко Андрей Олегович"/>
    <x v="141"/>
    <d v="2026-02-17T00:00:00"/>
    <n v="24364"/>
    <x v="1"/>
  </r>
  <r>
    <s v="Фролов Сергей Викторович"/>
    <x v="197"/>
    <d v="2026-02-17T00:00:00"/>
    <n v="33493"/>
    <x v="1"/>
  </r>
  <r>
    <s v="Фролов Сергей Викторович"/>
    <x v="10"/>
    <d v="2026-02-17T00:00:00"/>
    <n v="27139"/>
    <x v="1"/>
  </r>
  <r>
    <s v="Яковлев Артем Игоревич"/>
    <x v="158"/>
    <d v="2026-02-17T00:00:00"/>
    <n v="48753"/>
    <x v="1"/>
  </r>
  <r>
    <s v="Яковлев Артем Игоревич"/>
    <x v="57"/>
    <d v="2026-02-17T00:00:00"/>
    <n v="41215"/>
    <x v="1"/>
  </r>
  <r>
    <s v="Волков Дмитрий Романович"/>
    <x v="119"/>
    <d v="2026-02-18T00:00:00"/>
    <n v="5200"/>
    <x v="1"/>
  </r>
  <r>
    <s v="Волков Дмитрий Романович"/>
    <x v="46"/>
    <d v="2026-02-18T00:00:00"/>
    <n v="12838"/>
    <x v="1"/>
  </r>
  <r>
    <s v="Иванова Анна Сергеевна"/>
    <x v="71"/>
    <d v="2026-02-18T00:00:00"/>
    <n v="26163"/>
    <x v="1"/>
  </r>
  <r>
    <s v="Кузнецов Максим Алексеевич"/>
    <x v="43"/>
    <d v="2026-02-18T00:00:00"/>
    <n v="12909"/>
    <x v="1"/>
  </r>
  <r>
    <s v="Лебедев Николай Олегович"/>
    <x v="120"/>
    <d v="2026-02-18T00:00:00"/>
    <n v="24732"/>
    <x v="1"/>
  </r>
  <r>
    <s v="Орлов Павел Денисович"/>
    <x v="196"/>
    <d v="2026-02-18T00:00:00"/>
    <n v="28114"/>
    <x v="1"/>
  </r>
  <r>
    <s v="Павлова Татьяна Сергеевна"/>
    <x v="28"/>
    <d v="2026-02-18T00:00:00"/>
    <n v="11322"/>
    <x v="1"/>
  </r>
  <r>
    <s v="Семенова Ирина Валерьевна"/>
    <x v="214"/>
    <d v="2026-02-18T00:00:00"/>
    <n v="16778"/>
    <x v="1"/>
  </r>
  <r>
    <s v="Яковлев Артем Игоревич"/>
    <x v="90"/>
    <d v="2026-02-18T00:00:00"/>
    <n v="47158"/>
    <x v="1"/>
  </r>
  <r>
    <s v="Яковлев Артем Игоревич"/>
    <x v="105"/>
    <d v="2026-02-18T00:00:00"/>
    <n v="47700"/>
    <x v="1"/>
  </r>
  <r>
    <s v="Яковлев Артем Игоревич"/>
    <x v="105"/>
    <d v="2026-02-18T00:00:00"/>
    <n v="59172"/>
    <x v="1"/>
  </r>
  <r>
    <s v="Яковлев Артем Игоревич"/>
    <x v="105"/>
    <d v="2026-02-18T00:00:00"/>
    <n v="38227"/>
    <x v="1"/>
  </r>
  <r>
    <s v="Козлов Алексей Михайлович"/>
    <x v="146"/>
    <d v="2026-02-19T00:00:00"/>
    <n v="19654"/>
    <x v="1"/>
  </r>
  <r>
    <s v="Лебедев Николай Олегович"/>
    <x v="193"/>
    <d v="2026-02-19T00:00:00"/>
    <n v="6191"/>
    <x v="1"/>
  </r>
  <r>
    <s v="Орлов Павел Денисович"/>
    <x v="220"/>
    <d v="2026-02-19T00:00:00"/>
    <n v="15441"/>
    <x v="1"/>
  </r>
  <r>
    <s v="Ткаченко Андрей Олегович"/>
    <x v="150"/>
    <d v="2026-02-19T00:00:00"/>
    <n v="20664"/>
    <x v="1"/>
  </r>
  <r>
    <s v="Фролов Сергей Викторович"/>
    <x v="104"/>
    <d v="2026-02-19T00:00:00"/>
    <n v="32578"/>
    <x v="1"/>
  </r>
  <r>
    <s v="Яковлев Артем Игоревич"/>
    <x v="14"/>
    <d v="2026-02-19T00:00:00"/>
    <n v="34860"/>
    <x v="1"/>
  </r>
  <r>
    <s v="Яковлев Артем Игоревич"/>
    <x v="59"/>
    <d v="2026-02-19T00:00:00"/>
    <n v="47634"/>
    <x v="1"/>
  </r>
  <r>
    <s v="Яковлев Артем Игоревич"/>
    <x v="160"/>
    <d v="2026-02-19T00:00:00"/>
    <n v="35594"/>
    <x v="1"/>
  </r>
  <r>
    <s v="Яковлев Артем Игоревич"/>
    <x v="51"/>
    <d v="2026-02-19T00:00:00"/>
    <n v="43002"/>
    <x v="1"/>
  </r>
  <r>
    <s v="Иванова Анна Сергеевна"/>
    <x v="127"/>
    <d v="2026-02-20T00:00:00"/>
    <n v="27330"/>
    <x v="1"/>
  </r>
  <r>
    <s v="Иванова Анна Сергеевна"/>
    <x v="95"/>
    <d v="2026-02-20T00:00:00"/>
    <n v="37378"/>
    <x v="1"/>
  </r>
  <r>
    <s v="Иванова Анна Сергеевна"/>
    <x v="172"/>
    <d v="2026-02-20T00:00:00"/>
    <n v="35320"/>
    <x v="1"/>
  </r>
  <r>
    <s v="Иванова Анна Сергеевна"/>
    <x v="26"/>
    <d v="2026-02-20T00:00:00"/>
    <n v="19501"/>
    <x v="1"/>
  </r>
  <r>
    <s v="Морозова Елена Андреевна"/>
    <x v="36"/>
    <d v="2026-02-20T00:00:00"/>
    <n v="5200"/>
    <x v="1"/>
  </r>
  <r>
    <s v="Орлов Павел Денисович"/>
    <x v="211"/>
    <d v="2026-02-20T00:00:00"/>
    <n v="16002"/>
    <x v="1"/>
  </r>
  <r>
    <s v="Фролов Сергей Викторович"/>
    <x v="89"/>
    <d v="2026-02-20T00:00:00"/>
    <n v="25517"/>
    <x v="1"/>
  </r>
  <r>
    <s v="Яковлев Артем Игоревич"/>
    <x v="203"/>
    <d v="2026-02-20T00:00:00"/>
    <n v="37547"/>
    <x v="1"/>
  </r>
  <r>
    <s v="Яковлев Артем Игоревич"/>
    <x v="160"/>
    <d v="2026-02-20T00:00:00"/>
    <n v="35804"/>
    <x v="1"/>
  </r>
  <r>
    <s v="Яковлев Артем Игоревич"/>
    <x v="118"/>
    <d v="2026-02-20T00:00:00"/>
    <n v="41721"/>
    <x v="1"/>
  </r>
  <r>
    <s v="Васильева Дарья Павловна"/>
    <x v="183"/>
    <d v="2026-02-21T00:00:00"/>
    <n v="13345"/>
    <x v="1"/>
  </r>
  <r>
    <s v="Иванова Анна Сергеевна"/>
    <x v="80"/>
    <d v="2026-02-21T00:00:00"/>
    <n v="6600"/>
    <x v="1"/>
  </r>
  <r>
    <s v="Кузнецов Максим Алексеевич"/>
    <x v="179"/>
    <d v="2026-02-21T00:00:00"/>
    <n v="12716"/>
    <x v="1"/>
  </r>
  <r>
    <s v="Орлов Павел Денисович"/>
    <x v="210"/>
    <d v="2026-02-21T00:00:00"/>
    <n v="7726"/>
    <x v="1"/>
  </r>
  <r>
    <s v="Ткаченко Андрей Олегович"/>
    <x v="121"/>
    <d v="2026-02-21T00:00:00"/>
    <n v="17822"/>
    <x v="1"/>
  </r>
  <r>
    <s v="Фролов Сергей Викторович"/>
    <x v="32"/>
    <d v="2026-02-21T00:00:00"/>
    <n v="30861"/>
    <x v="1"/>
  </r>
  <r>
    <s v="Яковлев Артем Игоревич"/>
    <x v="77"/>
    <d v="2026-02-21T00:00:00"/>
    <n v="30490"/>
    <x v="1"/>
  </r>
  <r>
    <s v="Яковлев Артем Игоревич"/>
    <x v="171"/>
    <d v="2026-02-21T00:00:00"/>
    <n v="42923"/>
    <x v="1"/>
  </r>
  <r>
    <s v="Яковлев Артем Игоревич"/>
    <x v="203"/>
    <d v="2026-02-21T00:00:00"/>
    <n v="41814"/>
    <x v="1"/>
  </r>
  <r>
    <s v="Козлов Алексей Михайлович"/>
    <x v="17"/>
    <d v="2026-02-22T00:00:00"/>
    <n v="7928"/>
    <x v="1"/>
  </r>
  <r>
    <s v="Морозова Елена Андреевна"/>
    <x v="83"/>
    <d v="2026-02-22T00:00:00"/>
    <n v="13671"/>
    <x v="1"/>
  </r>
  <r>
    <s v="Морозова Елена Андреевна"/>
    <x v="153"/>
    <d v="2026-02-22T00:00:00"/>
    <n v="13953"/>
    <x v="1"/>
  </r>
  <r>
    <s v="Попов Кирилл Денисович"/>
    <x v="217"/>
    <d v="2026-02-22T00:00:00"/>
    <n v="11188"/>
    <x v="1"/>
  </r>
  <r>
    <s v="Семенова Ирина Валерьевна"/>
    <x v="139"/>
    <d v="2026-02-22T00:00:00"/>
    <n v="18752"/>
    <x v="1"/>
  </r>
  <r>
    <s v="Ткаченко Андрей Олегович"/>
    <x v="184"/>
    <d v="2026-02-22T00:00:00"/>
    <n v="18158"/>
    <x v="1"/>
  </r>
  <r>
    <s v="Ткаченко Андрей Олегович"/>
    <x v="136"/>
    <d v="2026-02-22T00:00:00"/>
    <n v="26787"/>
    <x v="1"/>
  </r>
  <r>
    <s v="Фролов Сергей Викторович"/>
    <x v="110"/>
    <d v="2026-02-22T00:00:00"/>
    <n v="28833"/>
    <x v="1"/>
  </r>
  <r>
    <s v="Фролов Сергей Викторович"/>
    <x v="38"/>
    <d v="2026-02-22T00:00:00"/>
    <n v="34576"/>
    <x v="1"/>
  </r>
  <r>
    <s v="Фролов Сергей Викторович"/>
    <x v="202"/>
    <d v="2026-02-22T00:00:00"/>
    <n v="42649"/>
    <x v="1"/>
  </r>
  <r>
    <s v="Фролов Сергей Викторович"/>
    <x v="168"/>
    <d v="2026-02-22T00:00:00"/>
    <n v="43113"/>
    <x v="1"/>
  </r>
  <r>
    <s v="Фролов Сергей Викторович"/>
    <x v="124"/>
    <d v="2026-02-22T00:00:00"/>
    <n v="57844"/>
    <x v="1"/>
  </r>
  <r>
    <s v="Фролов Сергей Викторович"/>
    <x v="135"/>
    <d v="2026-02-22T00:00:00"/>
    <n v="42759"/>
    <x v="1"/>
  </r>
  <r>
    <s v="Яковлев Артем Игоревич"/>
    <x v="151"/>
    <d v="2026-02-22T00:00:00"/>
    <n v="34228"/>
    <x v="1"/>
  </r>
  <r>
    <s v="Яковлев Артем Игоревич"/>
    <x v="12"/>
    <d v="2026-02-22T00:00:00"/>
    <n v="64339"/>
    <x v="1"/>
  </r>
  <r>
    <s v="Яковлев Артем Игоревич"/>
    <x v="78"/>
    <d v="2026-02-22T00:00:00"/>
    <n v="28083"/>
    <x v="1"/>
  </r>
  <r>
    <s v="Волков Дмитрий Романович"/>
    <x v="205"/>
    <d v="2026-02-23T00:00:00"/>
    <n v="21602"/>
    <x v="1"/>
  </r>
  <r>
    <s v="Волков Дмитрий Романович"/>
    <x v="44"/>
    <d v="2026-02-23T00:00:00"/>
    <n v="14877"/>
    <x v="1"/>
  </r>
  <r>
    <s v="Морозова Елена Андреевна"/>
    <x v="63"/>
    <d v="2026-02-23T00:00:00"/>
    <n v="9339"/>
    <x v="1"/>
  </r>
  <r>
    <s v="Орлов Павел Денисович"/>
    <x v="163"/>
    <d v="2026-02-23T00:00:00"/>
    <n v="17598"/>
    <x v="1"/>
  </r>
  <r>
    <s v="Фролов Сергей Викторович"/>
    <x v="169"/>
    <d v="2026-02-23T00:00:00"/>
    <n v="36979"/>
    <x v="1"/>
  </r>
  <r>
    <s v="Фролов Сергей Викторович"/>
    <x v="6"/>
    <d v="2026-02-23T00:00:00"/>
    <n v="20194"/>
    <x v="1"/>
  </r>
  <r>
    <s v="Яковлев Артем Игоревич"/>
    <x v="113"/>
    <d v="2026-02-23T00:00:00"/>
    <n v="35703"/>
    <x v="1"/>
  </r>
  <r>
    <s v="Яковлев Артем Игоревич"/>
    <x v="67"/>
    <d v="2026-02-23T00:00:00"/>
    <n v="43828"/>
    <x v="1"/>
  </r>
  <r>
    <s v="Яковлев Артем Игоревич"/>
    <x v="105"/>
    <d v="2026-02-23T00:00:00"/>
    <n v="53645"/>
    <x v="1"/>
  </r>
  <r>
    <s v="Яковлев Артем Игоревич"/>
    <x v="59"/>
    <d v="2026-02-23T00:00:00"/>
    <n v="51944"/>
    <x v="1"/>
  </r>
  <r>
    <s v="Яковлев Артем Игоревич"/>
    <x v="51"/>
    <d v="2026-02-23T00:00:00"/>
    <n v="52278"/>
    <x v="1"/>
  </r>
  <r>
    <s v="Иванова Анна Сергеевна"/>
    <x v="48"/>
    <d v="2026-02-24T00:00:00"/>
    <n v="48284"/>
    <x v="1"/>
  </r>
  <r>
    <s v="Иванова Анна Сергеевна"/>
    <x v="126"/>
    <d v="2026-02-24T00:00:00"/>
    <n v="30676"/>
    <x v="1"/>
  </r>
  <r>
    <s v="Иванова Анна Сергеевна"/>
    <x v="173"/>
    <d v="2026-02-24T00:00:00"/>
    <n v="13498"/>
    <x v="1"/>
  </r>
  <r>
    <s v="Новикова Ольга Викторовна"/>
    <x v="3"/>
    <d v="2026-02-24T00:00:00"/>
    <n v="12235"/>
    <x v="1"/>
  </r>
  <r>
    <s v="Орлов Павел Денисович"/>
    <x v="73"/>
    <d v="2026-02-24T00:00:00"/>
    <n v="16416"/>
    <x v="1"/>
  </r>
  <r>
    <s v="Соколова Мария Ильинична"/>
    <x v="65"/>
    <d v="2026-02-24T00:00:00"/>
    <n v="5200"/>
    <x v="1"/>
  </r>
  <r>
    <s v="Соколова Мария Ильинична"/>
    <x v="54"/>
    <d v="2026-02-24T00:00:00"/>
    <n v="10983"/>
    <x v="1"/>
  </r>
  <r>
    <s v="Федорова Ксения Максимовна"/>
    <x v="21"/>
    <d v="2026-02-24T00:00:00"/>
    <n v="10441"/>
    <x v="1"/>
  </r>
  <r>
    <s v="Фролов Сергей Викторович"/>
    <x v="186"/>
    <d v="2026-02-24T00:00:00"/>
    <n v="30461"/>
    <x v="1"/>
  </r>
  <r>
    <s v="Фролов Сергей Викторович"/>
    <x v="11"/>
    <d v="2026-02-24T00:00:00"/>
    <n v="49256"/>
    <x v="1"/>
  </r>
  <r>
    <s v="Яковлев Артем Игоревич"/>
    <x v="59"/>
    <d v="2026-02-24T00:00:00"/>
    <n v="39395"/>
    <x v="1"/>
  </r>
  <r>
    <s v="Волков Дмитрий Романович"/>
    <x v="130"/>
    <d v="2026-02-25T00:00:00"/>
    <n v="21598"/>
    <x v="1"/>
  </r>
  <r>
    <s v="Иванова Анна Сергеевна"/>
    <x v="15"/>
    <d v="2026-02-25T00:00:00"/>
    <n v="31232"/>
    <x v="1"/>
  </r>
  <r>
    <s v="Иванова Анна Сергеевна"/>
    <x v="137"/>
    <d v="2026-02-25T00:00:00"/>
    <n v="24336"/>
    <x v="1"/>
  </r>
  <r>
    <s v="Кузнецов Максим Алексеевич"/>
    <x v="61"/>
    <d v="2026-02-25T00:00:00"/>
    <n v="10434"/>
    <x v="1"/>
  </r>
  <r>
    <s v="Кузнецов Максим Алексеевич"/>
    <x v="132"/>
    <d v="2026-02-25T00:00:00"/>
    <n v="13573"/>
    <x v="1"/>
  </r>
  <r>
    <s v="Фролов Сергей Викторович"/>
    <x v="229"/>
    <d v="2026-02-25T00:00:00"/>
    <n v="42961"/>
    <x v="1"/>
  </r>
  <r>
    <s v="Фролов Сергей Викторович"/>
    <x v="197"/>
    <d v="2026-02-25T00:00:00"/>
    <n v="37085"/>
    <x v="1"/>
  </r>
  <r>
    <s v="Яковлев Артем Игоревич"/>
    <x v="158"/>
    <d v="2026-02-25T00:00:00"/>
    <n v="33980"/>
    <x v="1"/>
  </r>
  <r>
    <s v="Яковлев Артем Игоревич"/>
    <x v="49"/>
    <d v="2026-02-25T00:00:00"/>
    <n v="38354"/>
    <x v="1"/>
  </r>
  <r>
    <s v="Яковлев Артем Игоревич"/>
    <x v="223"/>
    <d v="2026-02-25T00:00:00"/>
    <n v="54191"/>
    <x v="1"/>
  </r>
  <r>
    <s v="Иванова Анна Сергеевна"/>
    <x v="0"/>
    <d v="2026-02-26T00:00:00"/>
    <n v="27169"/>
    <x v="1"/>
  </r>
  <r>
    <s v="Иванова Анна Сергеевна"/>
    <x v="7"/>
    <d v="2026-02-26T00:00:00"/>
    <n v="30502"/>
    <x v="1"/>
  </r>
  <r>
    <s v="Иванова Анна Сергеевна"/>
    <x v="169"/>
    <d v="2026-02-26T00:00:00"/>
    <n v="29229"/>
    <x v="1"/>
  </r>
  <r>
    <s v="Орлов Павел Денисович"/>
    <x v="155"/>
    <d v="2026-02-26T00:00:00"/>
    <n v="33492"/>
    <x v="1"/>
  </r>
  <r>
    <s v="Орлов Павел Денисович"/>
    <x v="175"/>
    <d v="2026-02-26T00:00:00"/>
    <n v="5200"/>
    <x v="1"/>
  </r>
  <r>
    <s v="Соколова Мария Ильинична"/>
    <x v="138"/>
    <d v="2026-02-26T00:00:00"/>
    <n v="12823"/>
    <x v="1"/>
  </r>
  <r>
    <s v="Ткаченко Андрей Олегович"/>
    <x v="227"/>
    <d v="2026-02-26T00:00:00"/>
    <n v="22804"/>
    <x v="1"/>
  </r>
  <r>
    <s v="Фролов Сергей Викторович"/>
    <x v="151"/>
    <d v="2026-02-26T00:00:00"/>
    <n v="27217"/>
    <x v="1"/>
  </r>
  <r>
    <s v="Яковлев Артем Игоревич"/>
    <x v="56"/>
    <d v="2026-02-26T00:00:00"/>
    <n v="40363"/>
    <x v="1"/>
  </r>
  <r>
    <s v="Яковлев Артем Игоревич"/>
    <x v="67"/>
    <d v="2026-02-26T00:00:00"/>
    <n v="33480"/>
    <x v="1"/>
  </r>
  <r>
    <s v="Яковлев Артем Игоревич"/>
    <x v="40"/>
    <d v="2026-02-26T00:00:00"/>
    <n v="34972"/>
    <x v="1"/>
  </r>
  <r>
    <s v="Яковлев Артем Игоревич"/>
    <x v="58"/>
    <d v="2026-02-26T00:00:00"/>
    <n v="32906"/>
    <x v="1"/>
  </r>
  <r>
    <s v="Яковлев Артем Игоревич"/>
    <x v="49"/>
    <d v="2026-02-26T00:00:00"/>
    <n v="39873"/>
    <x v="1"/>
  </r>
  <r>
    <s v="Яковлев Артем Игоревич"/>
    <x v="223"/>
    <d v="2026-02-26T00:00:00"/>
    <n v="43369"/>
    <x v="1"/>
  </r>
  <r>
    <s v="Яковлев Артем Игоревич"/>
    <x v="161"/>
    <d v="2026-02-26T00:00:00"/>
    <n v="27569"/>
    <x v="1"/>
  </r>
  <r>
    <s v="Иванова Анна Сергеевна"/>
    <x v="0"/>
    <d v="2026-02-27T00:00:00"/>
    <n v="20062"/>
    <x v="1"/>
  </r>
  <r>
    <s v="Иванова Анна Сергеевна"/>
    <x v="131"/>
    <d v="2026-02-27T00:00:00"/>
    <n v="20580"/>
    <x v="1"/>
  </r>
  <r>
    <s v="Иванова Анна Сергеевна"/>
    <x v="206"/>
    <d v="2026-02-27T00:00:00"/>
    <n v="29260"/>
    <x v="1"/>
  </r>
  <r>
    <s v="Лебедев Николай Олегович"/>
    <x v="207"/>
    <d v="2026-02-27T00:00:00"/>
    <n v="22924"/>
    <x v="1"/>
  </r>
  <r>
    <s v="Орлов Павел Денисович"/>
    <x v="234"/>
    <d v="2026-02-27T00:00:00"/>
    <n v="10095"/>
    <x v="1"/>
  </r>
  <r>
    <s v="Ткаченко Андрей Олегович"/>
    <x v="144"/>
    <d v="2026-02-27T00:00:00"/>
    <n v="25290"/>
    <x v="1"/>
  </r>
  <r>
    <s v="Ткаченко Андрей Олегович"/>
    <x v="30"/>
    <d v="2026-02-27T00:00:00"/>
    <n v="19651"/>
    <x v="1"/>
  </r>
  <r>
    <s v="Фролов Сергей Викторович"/>
    <x v="236"/>
    <d v="2026-02-27T00:00:00"/>
    <n v="35825"/>
    <x v="1"/>
  </r>
  <r>
    <s v="Фролов Сергей Викторович"/>
    <x v="32"/>
    <d v="2026-02-27T00:00:00"/>
    <n v="28612"/>
    <x v="1"/>
  </r>
  <r>
    <s v="Фролов Сергей Викторович"/>
    <x v="37"/>
    <d v="2026-02-27T00:00:00"/>
    <n v="34279"/>
    <x v="1"/>
  </r>
  <r>
    <s v="Фролов Сергей Викторович"/>
    <x v="185"/>
    <d v="2026-02-27T00:00:00"/>
    <n v="8097"/>
    <x v="1"/>
  </r>
  <r>
    <s v="Яковлев Артем Игоревич"/>
    <x v="112"/>
    <d v="2026-02-27T00:00:00"/>
    <n v="43903"/>
    <x v="1"/>
  </r>
  <r>
    <s v="Яковлев Артем Игоревич"/>
    <x v="230"/>
    <d v="2026-02-27T00:00:00"/>
    <n v="37242"/>
    <x v="1"/>
  </r>
  <r>
    <s v="Яковлев Артем Игоревич"/>
    <x v="230"/>
    <d v="2026-02-27T00:00:00"/>
    <n v="38780"/>
    <x v="1"/>
  </r>
  <r>
    <s v="Егоров Илья Александрович"/>
    <x v="52"/>
    <d v="2026-02-28T00:00:00"/>
    <n v="11841"/>
    <x v="1"/>
  </r>
  <r>
    <s v="Иванова Анна Сергеевна"/>
    <x v="145"/>
    <d v="2026-02-28T00:00:00"/>
    <n v="28677"/>
    <x v="1"/>
  </r>
  <r>
    <s v="Семенова Ирина Валерьевна"/>
    <x v="64"/>
    <d v="2026-02-28T00:00:00"/>
    <n v="18140"/>
    <x v="1"/>
  </r>
  <r>
    <s v="Ткаченко Андрей Олегович"/>
    <x v="149"/>
    <d v="2026-02-28T00:00:00"/>
    <n v="21715"/>
    <x v="1"/>
  </r>
  <r>
    <s v="Фролов Сергей Викторович"/>
    <x v="117"/>
    <d v="2026-02-28T00:00:00"/>
    <n v="42191"/>
    <x v="1"/>
  </r>
  <r>
    <s v="Яковлев Артем Игоревич"/>
    <x v="171"/>
    <d v="2026-02-28T00:00:00"/>
    <n v="31268"/>
    <x v="1"/>
  </r>
  <r>
    <s v="Яковлев Артем Игоревич"/>
    <x v="68"/>
    <d v="2026-02-28T00:00:00"/>
    <n v="32673"/>
    <x v="1"/>
  </r>
  <r>
    <s v="Кузнецов Максим Алексеевич"/>
    <x v="82"/>
    <d v="2026-03-01T00:00:00"/>
    <n v="12450"/>
    <x v="2"/>
  </r>
  <r>
    <s v="Новикова Ольга Викторовна"/>
    <x v="100"/>
    <d v="2026-03-01T00:00:00"/>
    <n v="11092"/>
    <x v="2"/>
  </r>
  <r>
    <s v="Новикова Ольга Викторовна"/>
    <x v="108"/>
    <d v="2026-03-01T00:00:00"/>
    <n v="11703"/>
    <x v="2"/>
  </r>
  <r>
    <s v="Семенова Ирина Валерьевна"/>
    <x v="156"/>
    <d v="2026-03-01T00:00:00"/>
    <n v="17504"/>
    <x v="2"/>
  </r>
  <r>
    <s v="Фролов Сергей Викторович"/>
    <x v="170"/>
    <d v="2026-03-01T00:00:00"/>
    <n v="48873"/>
    <x v="2"/>
  </r>
  <r>
    <s v="Фролов Сергей Викторович"/>
    <x v="93"/>
    <d v="2026-03-01T00:00:00"/>
    <n v="30971"/>
    <x v="2"/>
  </r>
  <r>
    <s v="Фролов Сергей Викторович"/>
    <x v="89"/>
    <d v="2026-03-01T00:00:00"/>
    <n v="28929"/>
    <x v="2"/>
  </r>
  <r>
    <s v="Яковлев Артем Игоревич"/>
    <x v="204"/>
    <d v="2026-03-01T00:00:00"/>
    <n v="43008"/>
    <x v="2"/>
  </r>
  <r>
    <s v="Яковлев Артем Игоревич"/>
    <x v="160"/>
    <d v="2026-03-01T00:00:00"/>
    <n v="28158"/>
    <x v="2"/>
  </r>
  <r>
    <s v="Яковлев Артем Игоревич"/>
    <x v="37"/>
    <d v="2026-03-01T00:00:00"/>
    <n v="32989"/>
    <x v="2"/>
  </r>
  <r>
    <s v="Яковлев Артем Игоревич"/>
    <x v="152"/>
    <d v="2026-03-01T00:00:00"/>
    <n v="53703"/>
    <x v="2"/>
  </r>
  <r>
    <s v="Иванова Анна Сергеевна"/>
    <x v="7"/>
    <d v="2026-03-02T00:00:00"/>
    <n v="29110"/>
    <x v="2"/>
  </r>
  <r>
    <s v="Соколова Мария Ильинична"/>
    <x v="109"/>
    <d v="2026-03-02T00:00:00"/>
    <n v="5200"/>
    <x v="2"/>
  </r>
  <r>
    <s v="Ткаченко Андрей Олегович"/>
    <x v="5"/>
    <d v="2026-03-02T00:00:00"/>
    <n v="40142"/>
    <x v="2"/>
  </r>
  <r>
    <s v="Яковлев Артем Игоревич"/>
    <x v="56"/>
    <d v="2026-03-02T00:00:00"/>
    <n v="41540"/>
    <x v="2"/>
  </r>
  <r>
    <s v="Яковлев Артем Игоревич"/>
    <x v="57"/>
    <d v="2026-03-02T00:00:00"/>
    <n v="38014"/>
    <x v="2"/>
  </r>
  <r>
    <s v="Яковлев Артем Игоревич"/>
    <x v="161"/>
    <d v="2026-03-02T00:00:00"/>
    <n v="36305"/>
    <x v="2"/>
  </r>
  <r>
    <s v="Соколова Мария Ильинична"/>
    <x v="176"/>
    <d v="2026-03-03T00:00:00"/>
    <n v="8019"/>
    <x v="2"/>
  </r>
  <r>
    <s v="Соколова Мария Ильинична"/>
    <x v="46"/>
    <d v="2026-03-03T00:00:00"/>
    <n v="12136"/>
    <x v="2"/>
  </r>
  <r>
    <s v="Фролов Сергей Викторович"/>
    <x v="151"/>
    <d v="2026-03-03T00:00:00"/>
    <n v="33791"/>
    <x v="2"/>
  </r>
  <r>
    <s v="Яковлев Артем Игоревич"/>
    <x v="203"/>
    <d v="2026-03-03T00:00:00"/>
    <n v="38396"/>
    <x v="2"/>
  </r>
  <r>
    <s v="Яковлев Артем Игоревич"/>
    <x v="14"/>
    <d v="2026-03-03T00:00:00"/>
    <n v="34890"/>
    <x v="2"/>
  </r>
  <r>
    <s v="Яковлев Артем Игоревич"/>
    <x v="223"/>
    <d v="2026-03-03T00:00:00"/>
    <n v="50885"/>
    <x v="2"/>
  </r>
  <r>
    <s v="Яковлев Артем Игоревич"/>
    <x v="118"/>
    <d v="2026-03-03T00:00:00"/>
    <n v="30855"/>
    <x v="2"/>
  </r>
  <r>
    <s v="Волков Дмитрий Романович"/>
    <x v="205"/>
    <d v="2026-03-04T00:00:00"/>
    <n v="7664"/>
    <x v="2"/>
  </r>
  <r>
    <s v="Иванова Анна Сергеевна"/>
    <x v="173"/>
    <d v="2026-03-04T00:00:00"/>
    <n v="35072"/>
    <x v="2"/>
  </r>
  <r>
    <s v="Морозова Елена Андреевна"/>
    <x v="44"/>
    <d v="2026-03-04T00:00:00"/>
    <n v="14726"/>
    <x v="2"/>
  </r>
  <r>
    <s v="Новикова Ольга Викторовна"/>
    <x v="84"/>
    <d v="2026-03-04T00:00:00"/>
    <n v="15556"/>
    <x v="2"/>
  </r>
  <r>
    <s v="Павлова Татьяна Сергеевна"/>
    <x v="181"/>
    <d v="2026-03-04T00:00:00"/>
    <n v="11284"/>
    <x v="2"/>
  </r>
  <r>
    <s v="Семенова Ирина Валерьевна"/>
    <x v="29"/>
    <d v="2026-03-04T00:00:00"/>
    <n v="17024"/>
    <x v="2"/>
  </r>
  <r>
    <s v="Ткаченко Андрей Олегович"/>
    <x v="194"/>
    <d v="2026-03-04T00:00:00"/>
    <n v="42285"/>
    <x v="2"/>
  </r>
  <r>
    <s v="Ткаченко Андрей Олегович"/>
    <x v="149"/>
    <d v="2026-03-04T00:00:00"/>
    <n v="22110"/>
    <x v="2"/>
  </r>
  <r>
    <s v="Ткаченко Андрей Олегович"/>
    <x v="189"/>
    <d v="2026-03-04T00:00:00"/>
    <n v="19038"/>
    <x v="2"/>
  </r>
  <r>
    <s v="Фролов Сергей Викторович"/>
    <x v="122"/>
    <d v="2026-03-04T00:00:00"/>
    <n v="24144"/>
    <x v="2"/>
  </r>
  <r>
    <s v="Фролов Сергей Викторович"/>
    <x v="10"/>
    <d v="2026-03-04T00:00:00"/>
    <n v="28625"/>
    <x v="2"/>
  </r>
  <r>
    <s v="Яковлев Артем Игоревич"/>
    <x v="77"/>
    <d v="2026-03-04T00:00:00"/>
    <n v="30867"/>
    <x v="2"/>
  </r>
  <r>
    <s v="Яковлев Артем Игоревич"/>
    <x v="33"/>
    <d v="2026-03-04T00:00:00"/>
    <n v="50221"/>
    <x v="2"/>
  </r>
  <r>
    <s v="Яковлев Артем Игоревич"/>
    <x v="90"/>
    <d v="2026-03-04T00:00:00"/>
    <n v="50913"/>
    <x v="2"/>
  </r>
  <r>
    <s v="Яковлев Артем Игоревич"/>
    <x v="59"/>
    <d v="2026-03-04T00:00:00"/>
    <n v="49174"/>
    <x v="2"/>
  </r>
  <r>
    <s v="Яковлев Артем Игоревич"/>
    <x v="161"/>
    <d v="2026-03-04T00:00:00"/>
    <n v="36582"/>
    <x v="2"/>
  </r>
  <r>
    <s v="Кузнецов Максим Алексеевич"/>
    <x v="225"/>
    <d v="2026-03-05T00:00:00"/>
    <n v="13313"/>
    <x v="2"/>
  </r>
  <r>
    <s v="Кузнецов Максим Алексеевич"/>
    <x v="147"/>
    <d v="2026-03-05T00:00:00"/>
    <n v="14375"/>
    <x v="2"/>
  </r>
  <r>
    <s v="Орлов Павел Денисович"/>
    <x v="175"/>
    <d v="2026-03-05T00:00:00"/>
    <n v="9385"/>
    <x v="2"/>
  </r>
  <r>
    <s v="Орлов Павел Денисович"/>
    <x v="188"/>
    <d v="2026-03-05T00:00:00"/>
    <n v="23429"/>
    <x v="2"/>
  </r>
  <r>
    <s v="Семенова Ирина Валерьевна"/>
    <x v="20"/>
    <d v="2026-03-05T00:00:00"/>
    <n v="14342"/>
    <x v="2"/>
  </r>
  <r>
    <s v="Соколова Мария Ильинична"/>
    <x v="65"/>
    <d v="2026-03-05T00:00:00"/>
    <n v="25506"/>
    <x v="2"/>
  </r>
  <r>
    <s v="Яковлев Артем Игоревич"/>
    <x v="190"/>
    <d v="2026-03-05T00:00:00"/>
    <n v="25573"/>
    <x v="2"/>
  </r>
  <r>
    <s v="Яковлев Артем Игоревич"/>
    <x v="38"/>
    <d v="2026-03-05T00:00:00"/>
    <n v="46634"/>
    <x v="2"/>
  </r>
  <r>
    <s v="Кузнецов Максим Алексеевич"/>
    <x v="179"/>
    <d v="2026-03-06T00:00:00"/>
    <n v="12950"/>
    <x v="2"/>
  </r>
  <r>
    <s v="Попов Кирилл Денисович"/>
    <x v="217"/>
    <d v="2026-03-06T00:00:00"/>
    <n v="11796"/>
    <x v="2"/>
  </r>
  <r>
    <s v="Семенова Ирина Валерьевна"/>
    <x v="178"/>
    <d v="2026-03-06T00:00:00"/>
    <n v="14559"/>
    <x v="2"/>
  </r>
  <r>
    <s v="Семенова Ирина Валерьевна"/>
    <x v="64"/>
    <d v="2026-03-06T00:00:00"/>
    <n v="18671"/>
    <x v="2"/>
  </r>
  <r>
    <s v="Семенова Ирина Валерьевна"/>
    <x v="45"/>
    <d v="2026-03-06T00:00:00"/>
    <n v="29297"/>
    <x v="2"/>
  </r>
  <r>
    <s v="Семенова Ирина Валерьевна"/>
    <x v="215"/>
    <d v="2026-03-06T00:00:00"/>
    <n v="16718"/>
    <x v="2"/>
  </r>
  <r>
    <s v="Ткаченко Андрей Олегович"/>
    <x v="102"/>
    <d v="2026-03-06T00:00:00"/>
    <n v="14086"/>
    <x v="2"/>
  </r>
  <r>
    <s v="Ткаченко Андрей Олегович"/>
    <x v="177"/>
    <d v="2026-03-06T00:00:00"/>
    <n v="20510"/>
    <x v="2"/>
  </r>
  <r>
    <s v="Федорова Ксения Максимовна"/>
    <x v="21"/>
    <d v="2026-03-06T00:00:00"/>
    <n v="16001"/>
    <x v="2"/>
  </r>
  <r>
    <s v="Фролов Сергей Викторович"/>
    <x v="124"/>
    <d v="2026-03-06T00:00:00"/>
    <n v="56994"/>
    <x v="2"/>
  </r>
  <r>
    <s v="Фролов Сергей Викторович"/>
    <x v="104"/>
    <d v="2026-03-06T00:00:00"/>
    <n v="48933"/>
    <x v="2"/>
  </r>
  <r>
    <s v="Яковлев Артем Игоревич"/>
    <x v="134"/>
    <d v="2026-03-06T00:00:00"/>
    <n v="35822"/>
    <x v="2"/>
  </r>
  <r>
    <s v="Яковлев Артем Игоревич"/>
    <x v="39"/>
    <d v="2026-03-06T00:00:00"/>
    <n v="42456"/>
    <x v="2"/>
  </r>
  <r>
    <s v="Яковлев Артем Игоревич"/>
    <x v="129"/>
    <d v="2026-03-06T00:00:00"/>
    <n v="40410"/>
    <x v="2"/>
  </r>
  <r>
    <s v="Волков Дмитрий Романович"/>
    <x v="162"/>
    <d v="2026-03-07T00:00:00"/>
    <n v="13160"/>
    <x v="2"/>
  </r>
  <r>
    <s v="Козлов Алексей Михайлович"/>
    <x v="17"/>
    <d v="2026-03-07T00:00:00"/>
    <n v="26683"/>
    <x v="2"/>
  </r>
  <r>
    <s v="Орлов Павел Денисович"/>
    <x v="73"/>
    <d v="2026-03-07T00:00:00"/>
    <n v="18321"/>
    <x v="2"/>
  </r>
  <r>
    <s v="Ткаченко Андрей Олегович"/>
    <x v="31"/>
    <d v="2026-03-07T00:00:00"/>
    <n v="28867"/>
    <x v="2"/>
  </r>
  <r>
    <s v="Яковлев Артем Игоревич"/>
    <x v="171"/>
    <d v="2026-03-07T00:00:00"/>
    <n v="42166"/>
    <x v="2"/>
  </r>
  <r>
    <s v="Иванова Анна Сергеевна"/>
    <x v="126"/>
    <d v="2026-03-08T00:00:00"/>
    <n v="31793"/>
    <x v="2"/>
  </r>
  <r>
    <s v="Кузнецов Максим Алексеевич"/>
    <x v="72"/>
    <d v="2026-03-08T00:00:00"/>
    <n v="11582"/>
    <x v="2"/>
  </r>
  <r>
    <s v="Попов Кирилл Денисович"/>
    <x v="115"/>
    <d v="2026-03-08T00:00:00"/>
    <n v="10519"/>
    <x v="2"/>
  </r>
  <r>
    <s v="Ткаченко Андрей Олегович"/>
    <x v="76"/>
    <d v="2026-03-08T00:00:00"/>
    <n v="45077"/>
    <x v="2"/>
  </r>
  <r>
    <s v="Яковлев Артем Игоревич"/>
    <x v="38"/>
    <d v="2026-03-08T00:00:00"/>
    <n v="57210"/>
    <x v="2"/>
  </r>
  <r>
    <s v="Яковлев Артем Игоревич"/>
    <x v="67"/>
    <d v="2026-03-08T00:00:00"/>
    <n v="44936"/>
    <x v="2"/>
  </r>
  <r>
    <s v="Яковлев Артем Игоревич"/>
    <x v="40"/>
    <d v="2026-03-08T00:00:00"/>
    <n v="29031"/>
    <x v="2"/>
  </r>
  <r>
    <s v="Яковлев Артем Игоревич"/>
    <x v="59"/>
    <d v="2026-03-08T00:00:00"/>
    <n v="51678"/>
    <x v="2"/>
  </r>
  <r>
    <s v="Яковлев Артем Игоревич"/>
    <x v="78"/>
    <d v="2026-03-08T00:00:00"/>
    <n v="27357"/>
    <x v="2"/>
  </r>
  <r>
    <s v="Иванова Анна Сергеевна"/>
    <x v="16"/>
    <d v="2026-03-09T00:00:00"/>
    <n v="21814"/>
    <x v="2"/>
  </r>
  <r>
    <s v="Лебедев Николай Олегович"/>
    <x v="193"/>
    <d v="2026-03-09T00:00:00"/>
    <n v="15729"/>
    <x v="2"/>
  </r>
  <r>
    <s v="Михайлова Алина Романовна"/>
    <x v="180"/>
    <d v="2026-03-09T00:00:00"/>
    <n v="11414"/>
    <x v="2"/>
  </r>
  <r>
    <s v="Орлов Павел Денисович"/>
    <x v="198"/>
    <d v="2026-03-09T00:00:00"/>
    <n v="15926"/>
    <x v="2"/>
  </r>
  <r>
    <s v="Орлов Павел Денисович"/>
    <x v="196"/>
    <d v="2026-03-09T00:00:00"/>
    <n v="13193"/>
    <x v="2"/>
  </r>
  <r>
    <s v="Павлова Татьяна Сергеевна"/>
    <x v="235"/>
    <d v="2026-03-09T00:00:00"/>
    <n v="12808"/>
    <x v="2"/>
  </r>
  <r>
    <s v="Соколова Мария Ильинична"/>
    <x v="101"/>
    <d v="2026-03-09T00:00:00"/>
    <n v="13220"/>
    <x v="2"/>
  </r>
  <r>
    <s v="Ткаченко Андрей Олегович"/>
    <x v="148"/>
    <d v="2026-03-09T00:00:00"/>
    <n v="19244"/>
    <x v="2"/>
  </r>
  <r>
    <s v="Фролов Сергей Викторович"/>
    <x v="129"/>
    <d v="2026-03-09T00:00:00"/>
    <n v="33604"/>
    <x v="2"/>
  </r>
  <r>
    <s v="Яковлев Артем Игоревич"/>
    <x v="128"/>
    <d v="2026-03-09T00:00:00"/>
    <n v="47084"/>
    <x v="2"/>
  </r>
  <r>
    <s v="Яковлев Артем Игоревич"/>
    <x v="186"/>
    <d v="2026-03-09T00:00:00"/>
    <n v="28436"/>
    <x v="2"/>
  </r>
  <r>
    <s v="Яковлев Артем Игоревич"/>
    <x v="90"/>
    <d v="2026-03-09T00:00:00"/>
    <n v="51322"/>
    <x v="2"/>
  </r>
  <r>
    <s v="Волков Дмитрий Романович"/>
    <x v="94"/>
    <d v="2026-03-10T00:00:00"/>
    <n v="13197"/>
    <x v="2"/>
  </r>
  <r>
    <s v="Иванова Анна Сергеевна"/>
    <x v="131"/>
    <d v="2026-03-10T00:00:00"/>
    <n v="31402"/>
    <x v="2"/>
  </r>
  <r>
    <s v="Иванова Анна Сергеевна"/>
    <x v="173"/>
    <d v="2026-03-10T00:00:00"/>
    <n v="22767"/>
    <x v="2"/>
  </r>
  <r>
    <s v="Лебедев Николай Олегович"/>
    <x v="207"/>
    <d v="2026-03-10T00:00:00"/>
    <n v="17639"/>
    <x v="2"/>
  </r>
  <r>
    <s v="Новикова Ольга Викторовна"/>
    <x v="154"/>
    <d v="2026-03-10T00:00:00"/>
    <n v="13333"/>
    <x v="2"/>
  </r>
  <r>
    <s v="Орлов Павел Денисович"/>
    <x v="210"/>
    <d v="2026-03-10T00:00:00"/>
    <n v="5200"/>
    <x v="2"/>
  </r>
  <r>
    <s v="Павлова Татьяна Сергеевна"/>
    <x v="28"/>
    <d v="2026-03-10T00:00:00"/>
    <n v="10163"/>
    <x v="2"/>
  </r>
  <r>
    <s v="Павлова Татьяна Сергеевна"/>
    <x v="199"/>
    <d v="2026-03-10T00:00:00"/>
    <n v="11858"/>
    <x v="2"/>
  </r>
  <r>
    <s v="Яковлев Артем Игоревич"/>
    <x v="190"/>
    <d v="2026-03-10T00:00:00"/>
    <n v="29092"/>
    <x v="2"/>
  </r>
  <r>
    <s v="Яковлев Артем Игоревич"/>
    <x v="105"/>
    <d v="2026-03-10T00:00:00"/>
    <n v="50942"/>
    <x v="2"/>
  </r>
  <r>
    <s v="Яковлев Артем Игоревич"/>
    <x v="118"/>
    <d v="2026-03-10T00:00:00"/>
    <n v="38157"/>
    <x v="2"/>
  </r>
  <r>
    <s v="Яковлев Артем Игоревич"/>
    <x v="41"/>
    <d v="2026-03-10T00:00:00"/>
    <n v="42675"/>
    <x v="2"/>
  </r>
  <r>
    <s v="Иванова Анна Сергеевна"/>
    <x v="144"/>
    <d v="2026-03-11T00:00:00"/>
    <n v="26575"/>
    <x v="2"/>
  </r>
  <r>
    <s v="Иванова Анна Сергеевна"/>
    <x v="192"/>
    <d v="2026-03-11T00:00:00"/>
    <n v="17476"/>
    <x v="2"/>
  </r>
  <r>
    <s v="Лебедев Николай Олегович"/>
    <x v="62"/>
    <d v="2026-03-11T00:00:00"/>
    <n v="12194"/>
    <x v="2"/>
  </r>
  <r>
    <s v="Фролов Сергей Викторович"/>
    <x v="197"/>
    <d v="2026-03-11T00:00:00"/>
    <n v="34251"/>
    <x v="2"/>
  </r>
  <r>
    <s v="Яковлев Артем Игоревич"/>
    <x v="48"/>
    <d v="2026-03-11T00:00:00"/>
    <n v="49683"/>
    <x v="2"/>
  </r>
  <r>
    <s v="Яковлев Артем Игоревич"/>
    <x v="203"/>
    <d v="2026-03-11T00:00:00"/>
    <n v="51969"/>
    <x v="2"/>
  </r>
  <r>
    <s v="Иванова Анна Сергеевна"/>
    <x v="191"/>
    <d v="2026-03-12T00:00:00"/>
    <n v="27320"/>
    <x v="2"/>
  </r>
  <r>
    <s v="Иванова Анна Сергеевна"/>
    <x v="136"/>
    <d v="2026-03-12T00:00:00"/>
    <n v="27508"/>
    <x v="2"/>
  </r>
  <r>
    <s v="Иванова Анна Сергеевна"/>
    <x v="206"/>
    <d v="2026-03-12T00:00:00"/>
    <n v="28964"/>
    <x v="2"/>
  </r>
  <r>
    <s v="Лебедев Николай Олегович"/>
    <x v="232"/>
    <d v="2026-03-12T00:00:00"/>
    <n v="13835"/>
    <x v="2"/>
  </r>
  <r>
    <s v="Яковлев Артем Игоревич"/>
    <x v="14"/>
    <d v="2026-03-12T00:00:00"/>
    <n v="39440"/>
    <x v="2"/>
  </r>
  <r>
    <s v="Яковлев Артем Игоревич"/>
    <x v="223"/>
    <d v="2026-03-12T00:00:00"/>
    <n v="46145"/>
    <x v="2"/>
  </r>
  <r>
    <s v="Яковлев Артем Игоревич"/>
    <x v="68"/>
    <d v="2026-03-12T00:00:00"/>
    <n v="37562"/>
    <x v="2"/>
  </r>
  <r>
    <s v="Яковлев Артем Игоревич"/>
    <x v="50"/>
    <d v="2026-03-12T00:00:00"/>
    <n v="39492"/>
    <x v="2"/>
  </r>
  <r>
    <s v="Яковлев Артем Игоревич"/>
    <x v="51"/>
    <d v="2026-03-12T00:00:00"/>
    <n v="43382"/>
    <x v="2"/>
  </r>
  <r>
    <s v="Кузнецов Максим Алексеевич"/>
    <x v="27"/>
    <d v="2026-03-13T00:00:00"/>
    <n v="15287"/>
    <x v="2"/>
  </r>
  <r>
    <s v="Фролов Сергей Викторович"/>
    <x v="110"/>
    <d v="2026-03-13T00:00:00"/>
    <n v="29182"/>
    <x v="2"/>
  </r>
  <r>
    <s v="Яковлев Артем Игоревич"/>
    <x v="171"/>
    <d v="2026-03-13T00:00:00"/>
    <n v="31268"/>
    <x v="2"/>
  </r>
  <r>
    <s v="Яковлев Артем Игоревич"/>
    <x v="128"/>
    <d v="2026-03-13T00:00:00"/>
    <n v="35369"/>
    <x v="2"/>
  </r>
  <r>
    <s v="Яковлев Артем Игоревич"/>
    <x v="158"/>
    <d v="2026-03-13T00:00:00"/>
    <n v="44247"/>
    <x v="2"/>
  </r>
  <r>
    <s v="Яковлев Артем Игоревич"/>
    <x v="14"/>
    <d v="2026-03-13T00:00:00"/>
    <n v="49716"/>
    <x v="2"/>
  </r>
  <r>
    <s v="Яковлев Артем Игоревич"/>
    <x v="105"/>
    <d v="2026-03-13T00:00:00"/>
    <n v="59639"/>
    <x v="2"/>
  </r>
  <r>
    <s v="Яковлев Артем Игоревич"/>
    <x v="204"/>
    <d v="2026-03-13T00:00:00"/>
    <n v="46539"/>
    <x v="2"/>
  </r>
  <r>
    <s v="Яковлев Артем Игоревич"/>
    <x v="49"/>
    <d v="2026-03-13T00:00:00"/>
    <n v="25666"/>
    <x v="2"/>
  </r>
  <r>
    <s v="Яковлев Артем Игоревич"/>
    <x v="223"/>
    <d v="2026-03-13T00:00:00"/>
    <n v="38085"/>
    <x v="2"/>
  </r>
  <r>
    <s v="Яковлев Артем Игоревич"/>
    <x v="118"/>
    <d v="2026-03-13T00:00:00"/>
    <n v="35693"/>
    <x v="2"/>
  </r>
  <r>
    <s v="Яковлев Артем Игоревич"/>
    <x v="41"/>
    <d v="2026-03-13T00:00:00"/>
    <n v="43517"/>
    <x v="2"/>
  </r>
  <r>
    <s v="Волков Дмитрий Романович"/>
    <x v="114"/>
    <d v="2026-03-14T00:00:00"/>
    <n v="12006"/>
    <x v="2"/>
  </r>
  <r>
    <s v="Орлов Павел Денисович"/>
    <x v="92"/>
    <d v="2026-03-14T00:00:00"/>
    <n v="15252"/>
    <x v="2"/>
  </r>
  <r>
    <s v="Семенова Ирина Валерьевна"/>
    <x v="74"/>
    <d v="2026-03-14T00:00:00"/>
    <n v="19618"/>
    <x v="2"/>
  </r>
  <r>
    <s v="Семенова Ирина Валерьевна"/>
    <x v="214"/>
    <d v="2026-03-14T00:00:00"/>
    <n v="16635"/>
    <x v="2"/>
  </r>
  <r>
    <s v="Ткаченко Андрей Олегович"/>
    <x v="103"/>
    <d v="2026-03-14T00:00:00"/>
    <n v="12547"/>
    <x v="2"/>
  </r>
  <r>
    <s v="Фролов Сергей Викторович"/>
    <x v="236"/>
    <d v="2026-03-14T00:00:00"/>
    <n v="51139"/>
    <x v="2"/>
  </r>
  <r>
    <s v="Фролов Сергей Викторович"/>
    <x v="125"/>
    <d v="2026-03-14T00:00:00"/>
    <n v="43258"/>
    <x v="2"/>
  </r>
  <r>
    <s v="Яковлев Артем Игоревич"/>
    <x v="14"/>
    <d v="2026-03-14T00:00:00"/>
    <n v="44585"/>
    <x v="2"/>
  </r>
  <r>
    <s v="Яковлев Артем Игоревич"/>
    <x v="34"/>
    <d v="2026-03-14T00:00:00"/>
    <n v="40254"/>
    <x v="2"/>
  </r>
  <r>
    <s v="Яковлев Артем Игоревич"/>
    <x v="50"/>
    <d v="2026-03-14T00:00:00"/>
    <n v="29179"/>
    <x v="2"/>
  </r>
  <r>
    <s v="Яковлев Артем Игоревич"/>
    <x v="50"/>
    <d v="2026-03-14T00:00:00"/>
    <n v="38552"/>
    <x v="2"/>
  </r>
  <r>
    <s v="Иванова Анна Сергеевна"/>
    <x v="111"/>
    <d v="2026-03-15T00:00:00"/>
    <n v="37715"/>
    <x v="2"/>
  </r>
  <r>
    <s v="Лебедев Николай Олегович"/>
    <x v="107"/>
    <d v="2026-03-15T00:00:00"/>
    <n v="15912"/>
    <x v="2"/>
  </r>
  <r>
    <s v="Орлов Павел Денисович"/>
    <x v="155"/>
    <d v="2026-03-15T00:00:00"/>
    <n v="13124"/>
    <x v="2"/>
  </r>
  <r>
    <s v="Яковлев Артем Игоревич"/>
    <x v="134"/>
    <d v="2026-03-15T00:00:00"/>
    <n v="38137"/>
    <x v="2"/>
  </r>
  <r>
    <s v="Яковлев Артем Игоревич"/>
    <x v="56"/>
    <d v="2026-03-15T00:00:00"/>
    <n v="28271"/>
    <x v="2"/>
  </r>
  <r>
    <s v="Яковлев Артем Игоревич"/>
    <x v="14"/>
    <d v="2026-03-15T00:00:00"/>
    <n v="35441"/>
    <x v="2"/>
  </r>
  <r>
    <s v="Яковлев Артем Игоревич"/>
    <x v="51"/>
    <d v="2026-03-15T00:00:00"/>
    <n v="52739"/>
    <x v="2"/>
  </r>
  <r>
    <s v="Волков Дмитрий Романович"/>
    <x v="130"/>
    <d v="2026-03-16T00:00:00"/>
    <n v="25132"/>
    <x v="2"/>
  </r>
  <r>
    <s v="Иванова Анна Сергеевна"/>
    <x v="70"/>
    <d v="2026-03-16T00:00:00"/>
    <n v="27217"/>
    <x v="2"/>
  </r>
  <r>
    <s v="Иванова Анна Сергеевна"/>
    <x v="105"/>
    <d v="2026-03-16T00:00:00"/>
    <n v="47898"/>
    <x v="2"/>
  </r>
  <r>
    <s v="Иванова Анна Сергеевна"/>
    <x v="145"/>
    <d v="2026-03-16T00:00:00"/>
    <n v="29855"/>
    <x v="2"/>
  </r>
  <r>
    <s v="Иванова Анна Сергеевна"/>
    <x v="185"/>
    <d v="2026-03-16T00:00:00"/>
    <n v="20081"/>
    <x v="2"/>
  </r>
  <r>
    <s v="Семенова Ирина Валерьевна"/>
    <x v="182"/>
    <d v="2026-03-16T00:00:00"/>
    <n v="12501"/>
    <x v="2"/>
  </r>
  <r>
    <s v="Смирнов Евгений Андреевич"/>
    <x v="183"/>
    <d v="2026-03-16T00:00:00"/>
    <n v="7858"/>
    <x v="2"/>
  </r>
  <r>
    <s v="Ткаченко Андрей Олегович"/>
    <x v="195"/>
    <d v="2026-03-16T00:00:00"/>
    <n v="16975"/>
    <x v="2"/>
  </r>
  <r>
    <s v="Фролов Сергей Викторович"/>
    <x v="151"/>
    <d v="2026-03-16T00:00:00"/>
    <n v="29209"/>
    <x v="2"/>
  </r>
  <r>
    <s v="Фролов Сергей Викторович"/>
    <x v="142"/>
    <d v="2026-03-16T00:00:00"/>
    <n v="49021"/>
    <x v="2"/>
  </r>
  <r>
    <s v="Яковлев Артем Игоревич"/>
    <x v="112"/>
    <d v="2026-03-16T00:00:00"/>
    <n v="41721"/>
    <x v="2"/>
  </r>
  <r>
    <s v="Яковлев Артем Игоревич"/>
    <x v="203"/>
    <d v="2026-03-16T00:00:00"/>
    <n v="38905"/>
    <x v="2"/>
  </r>
  <r>
    <s v="Яковлев Артем Игоревич"/>
    <x v="159"/>
    <d v="2026-03-16T00:00:00"/>
    <n v="37242"/>
    <x v="2"/>
  </r>
  <r>
    <s v="Яковлев Артем Игоревич"/>
    <x v="40"/>
    <d v="2026-03-16T00:00:00"/>
    <n v="34593"/>
    <x v="2"/>
  </r>
  <r>
    <s v="Яковлев Артем Игоревич"/>
    <x v="40"/>
    <d v="2026-03-16T00:00:00"/>
    <n v="32489"/>
    <x v="2"/>
  </r>
  <r>
    <s v="Волков Дмитрий Романович"/>
    <x v="143"/>
    <d v="2026-03-17T00:00:00"/>
    <n v="14332"/>
    <x v="2"/>
  </r>
  <r>
    <s v="Егоров Илья Александрович"/>
    <x v="52"/>
    <d v="2026-03-17T00:00:00"/>
    <n v="11661"/>
    <x v="2"/>
  </r>
  <r>
    <s v="Иванова Анна Сергеевна"/>
    <x v="0"/>
    <d v="2026-03-17T00:00:00"/>
    <n v="20674"/>
    <x v="2"/>
  </r>
  <r>
    <s v="Кузнецов Максим Алексеевич"/>
    <x v="61"/>
    <d v="2026-03-17T00:00:00"/>
    <n v="12135"/>
    <x v="2"/>
  </r>
  <r>
    <s v="Кузнецов Максим Алексеевич"/>
    <x v="43"/>
    <d v="2026-03-17T00:00:00"/>
    <n v="10467"/>
    <x v="2"/>
  </r>
  <r>
    <s v="Морозова Елена Андреевна"/>
    <x v="99"/>
    <d v="2026-03-17T00:00:00"/>
    <n v="23001"/>
    <x v="2"/>
  </r>
  <r>
    <s v="Новикова Ольга Викторовна"/>
    <x v="3"/>
    <d v="2026-03-17T00:00:00"/>
    <n v="11787"/>
    <x v="2"/>
  </r>
  <r>
    <s v="Орлов Павел Денисович"/>
    <x v="234"/>
    <d v="2026-03-17T00:00:00"/>
    <n v="5911"/>
    <x v="2"/>
  </r>
  <r>
    <s v="Ткаченко Андрей Олегович"/>
    <x v="227"/>
    <d v="2026-03-17T00:00:00"/>
    <n v="22240"/>
    <x v="2"/>
  </r>
  <r>
    <s v="Ткаченко Андрей Олегович"/>
    <x v="47"/>
    <d v="2026-03-17T00:00:00"/>
    <n v="18749"/>
    <x v="2"/>
  </r>
  <r>
    <s v="Фролов Сергей Викторович"/>
    <x v="53"/>
    <d v="2026-03-17T00:00:00"/>
    <n v="36259"/>
    <x v="2"/>
  </r>
  <r>
    <s v="Фролов Сергей Викторович"/>
    <x v="186"/>
    <d v="2026-03-17T00:00:00"/>
    <n v="27113"/>
    <x v="2"/>
  </r>
  <r>
    <s v="Фролов Сергей Викторович"/>
    <x v="123"/>
    <d v="2026-03-17T00:00:00"/>
    <n v="32691"/>
    <x v="2"/>
  </r>
  <r>
    <s v="Фролов Сергей Викторович"/>
    <x v="11"/>
    <d v="2026-03-17T00:00:00"/>
    <n v="45913"/>
    <x v="2"/>
  </r>
  <r>
    <s v="Яковлев Артем Игоревич"/>
    <x v="134"/>
    <d v="2026-03-17T00:00:00"/>
    <n v="30759"/>
    <x v="2"/>
  </r>
  <r>
    <s v="Яковлев Артем Игоревич"/>
    <x v="190"/>
    <d v="2026-03-17T00:00:00"/>
    <n v="36888"/>
    <x v="2"/>
  </r>
  <r>
    <s v="Яковлев Артем Игоревич"/>
    <x v="14"/>
    <d v="2026-03-17T00:00:00"/>
    <n v="33175"/>
    <x v="2"/>
  </r>
  <r>
    <s v="Яковлев Артем Игоревич"/>
    <x v="160"/>
    <d v="2026-03-17T00:00:00"/>
    <n v="35215"/>
    <x v="2"/>
  </r>
  <r>
    <s v="Васильева Дарья Павловна"/>
    <x v="35"/>
    <d v="2026-03-18T00:00:00"/>
    <n v="5200"/>
    <x v="2"/>
  </r>
  <r>
    <s v="Волков Дмитрий Романович"/>
    <x v="79"/>
    <d v="2026-03-18T00:00:00"/>
    <n v="13942"/>
    <x v="2"/>
  </r>
  <r>
    <s v="Иванова Анна Сергеевна"/>
    <x v="95"/>
    <d v="2026-03-18T00:00:00"/>
    <n v="38450"/>
    <x v="2"/>
  </r>
  <r>
    <s v="Морозова Елена Андреевна"/>
    <x v="83"/>
    <d v="2026-03-18T00:00:00"/>
    <n v="12976"/>
    <x v="2"/>
  </r>
  <r>
    <s v="Новикова Ольга Викторовна"/>
    <x v="8"/>
    <d v="2026-03-18T00:00:00"/>
    <n v="5200"/>
    <x v="2"/>
  </r>
  <r>
    <s v="Орлов Павел Денисович"/>
    <x v="85"/>
    <d v="2026-03-18T00:00:00"/>
    <n v="14826"/>
    <x v="2"/>
  </r>
  <r>
    <s v="Смирнов Евгений Андреевич"/>
    <x v="221"/>
    <d v="2026-03-18T00:00:00"/>
    <n v="5200"/>
    <x v="2"/>
  </r>
  <r>
    <s v="Соколова Мария Ильинична"/>
    <x v="157"/>
    <d v="2026-03-18T00:00:00"/>
    <n v="11379"/>
    <x v="2"/>
  </r>
  <r>
    <s v="Ткаченко Андрей Олегович"/>
    <x v="87"/>
    <d v="2026-03-18T00:00:00"/>
    <n v="39134"/>
    <x v="2"/>
  </r>
  <r>
    <s v="Фролов Сергей Викторович"/>
    <x v="22"/>
    <d v="2026-03-18T00:00:00"/>
    <n v="19728"/>
    <x v="2"/>
  </r>
  <r>
    <s v="Яковлев Артем Игоревич"/>
    <x v="77"/>
    <d v="2026-03-18T00:00:00"/>
    <n v="46831"/>
    <x v="2"/>
  </r>
  <r>
    <s v="Яковлев Артем Игоревич"/>
    <x v="158"/>
    <d v="2026-03-18T00:00:00"/>
    <n v="39089"/>
    <x v="2"/>
  </r>
  <r>
    <s v="Яковлев Артем Игоревич"/>
    <x v="39"/>
    <d v="2026-03-18T00:00:00"/>
    <n v="47860"/>
    <x v="2"/>
  </r>
  <r>
    <s v="Иванова Анна Сергеевна"/>
    <x v="106"/>
    <d v="2026-03-19T00:00:00"/>
    <n v="29783"/>
    <x v="2"/>
  </r>
  <r>
    <s v="Морозова Елена Андреевна"/>
    <x v="18"/>
    <d v="2026-03-19T00:00:00"/>
    <n v="12999"/>
    <x v="2"/>
  </r>
  <r>
    <s v="Орлов Павел Денисович"/>
    <x v="220"/>
    <d v="2026-03-19T00:00:00"/>
    <n v="14982"/>
    <x v="2"/>
  </r>
  <r>
    <s v="Семенова Ирина Валерьевна"/>
    <x v="166"/>
    <d v="2026-03-19T00:00:00"/>
    <n v="17662"/>
    <x v="2"/>
  </r>
  <r>
    <s v="Ткаченко Андрей Олегович"/>
    <x v="140"/>
    <d v="2026-03-19T00:00:00"/>
    <n v="17812"/>
    <x v="2"/>
  </r>
  <r>
    <s v="Фролов Сергей Викторович"/>
    <x v="88"/>
    <d v="2026-03-19T00:00:00"/>
    <n v="14718"/>
    <x v="2"/>
  </r>
  <r>
    <s v="Фролов Сергей Викторович"/>
    <x v="222"/>
    <d v="2026-03-19T00:00:00"/>
    <n v="41101"/>
    <x v="2"/>
  </r>
  <r>
    <s v="Фролов Сергей Викторович"/>
    <x v="133"/>
    <d v="2026-03-19T00:00:00"/>
    <n v="44115"/>
    <x v="2"/>
  </r>
  <r>
    <s v="Фролов Сергей Викторович"/>
    <x v="6"/>
    <d v="2026-03-19T00:00:00"/>
    <n v="35315"/>
    <x v="2"/>
  </r>
  <r>
    <s v="Яковлев Артем Игоревич"/>
    <x v="128"/>
    <d v="2026-03-19T00:00:00"/>
    <n v="49070"/>
    <x v="2"/>
  </r>
  <r>
    <s v="Яковлев Артем Игоревич"/>
    <x v="42"/>
    <d v="2026-03-19T00:00:00"/>
    <n v="30230"/>
    <x v="2"/>
  </r>
  <r>
    <s v="Яковлев Артем Игоревич"/>
    <x v="161"/>
    <d v="2026-03-19T00:00:00"/>
    <n v="30845"/>
    <x v="2"/>
  </r>
  <r>
    <s v="Яковлев Артем Игоревич"/>
    <x v="78"/>
    <d v="2026-03-19T00:00:00"/>
    <n v="32350"/>
    <x v="2"/>
  </r>
  <r>
    <s v="Волков Дмитрий Романович"/>
    <x v="69"/>
    <d v="2026-03-20T00:00:00"/>
    <n v="13131"/>
    <x v="2"/>
  </r>
  <r>
    <s v="Иванова Анна Сергеевна"/>
    <x v="172"/>
    <d v="2026-03-20T00:00:00"/>
    <n v="35880"/>
    <x v="2"/>
  </r>
  <r>
    <s v="Морозова Елена Андреевна"/>
    <x v="63"/>
    <d v="2026-03-20T00:00:00"/>
    <n v="5200"/>
    <x v="2"/>
  </r>
  <r>
    <s v="Морозова Елена Андреевна"/>
    <x v="153"/>
    <d v="2026-03-20T00:00:00"/>
    <n v="15068"/>
    <x v="2"/>
  </r>
  <r>
    <s v="Орлов Павел Денисович"/>
    <x v="19"/>
    <d v="2026-03-20T00:00:00"/>
    <n v="13871"/>
    <x v="2"/>
  </r>
  <r>
    <s v="Семенова Ирина Валерьевна"/>
    <x v="226"/>
    <d v="2026-03-20T00:00:00"/>
    <n v="15883"/>
    <x v="2"/>
  </r>
  <r>
    <s v="Фролов Сергей Викторович"/>
    <x v="169"/>
    <d v="2026-03-20T00:00:00"/>
    <n v="11766"/>
    <x v="2"/>
  </r>
  <r>
    <s v="Фролов Сергей Викторович"/>
    <x v="216"/>
    <d v="2026-03-20T00:00:00"/>
    <n v="40542"/>
    <x v="2"/>
  </r>
  <r>
    <s v="Фролов Сергей Викторович"/>
    <x v="23"/>
    <d v="2026-03-20T00:00:00"/>
    <n v="30469"/>
    <x v="2"/>
  </r>
  <r>
    <s v="Яковлев Артем Игоревич"/>
    <x v="38"/>
    <d v="2026-03-20T00:00:00"/>
    <n v="41317"/>
    <x v="2"/>
  </r>
  <r>
    <s v="Яковлев Артем Игоревич"/>
    <x v="159"/>
    <d v="2026-03-20T00:00:00"/>
    <n v="32861"/>
    <x v="2"/>
  </r>
  <r>
    <s v="Иванова Анна Сергеевна"/>
    <x v="60"/>
    <d v="2026-03-21T00:00:00"/>
    <n v="29069"/>
    <x v="2"/>
  </r>
  <r>
    <s v="Иванова Анна Сергеевна"/>
    <x v="71"/>
    <d v="2026-03-21T00:00:00"/>
    <n v="33186"/>
    <x v="2"/>
  </r>
  <r>
    <s v="Иванова Анна Сергеевна"/>
    <x v="26"/>
    <d v="2026-03-21T00:00:00"/>
    <n v="13989"/>
    <x v="2"/>
  </r>
  <r>
    <s v="Иванова Анна Сергеевна"/>
    <x v="41"/>
    <d v="2026-03-21T00:00:00"/>
    <n v="47321"/>
    <x v="2"/>
  </r>
  <r>
    <s v="Кузнецов Максим Алексеевич"/>
    <x v="231"/>
    <d v="2026-03-21T00:00:00"/>
    <n v="15426"/>
    <x v="2"/>
  </r>
  <r>
    <s v="Семенова Ирина Валерьевна"/>
    <x v="212"/>
    <d v="2026-03-21T00:00:00"/>
    <n v="31283"/>
    <x v="2"/>
  </r>
  <r>
    <s v="Ткаченко Андрей Олегович"/>
    <x v="218"/>
    <d v="2026-03-21T00:00:00"/>
    <n v="24351"/>
    <x v="2"/>
  </r>
  <r>
    <s v="Фролов Сергей Викторович"/>
    <x v="229"/>
    <d v="2026-03-21T00:00:00"/>
    <n v="49464"/>
    <x v="2"/>
  </r>
  <r>
    <s v="Фролов Сергей Викторович"/>
    <x v="32"/>
    <d v="2026-03-21T00:00:00"/>
    <n v="31813"/>
    <x v="2"/>
  </r>
  <r>
    <s v="Фролов Сергей Викторович"/>
    <x v="105"/>
    <d v="2026-03-21T00:00:00"/>
    <n v="43123"/>
    <x v="2"/>
  </r>
  <r>
    <s v="Фролов Сергей Викторович"/>
    <x v="93"/>
    <d v="2026-03-21T00:00:00"/>
    <n v="27205"/>
    <x v="2"/>
  </r>
  <r>
    <s v="Яковлев Артем Игоревич"/>
    <x v="203"/>
    <d v="2026-03-21T00:00:00"/>
    <n v="48647"/>
    <x v="2"/>
  </r>
  <r>
    <s v="Яковлев Артем Игоревич"/>
    <x v="24"/>
    <d v="2026-03-21T00:00:00"/>
    <n v="36063"/>
    <x v="2"/>
  </r>
  <r>
    <s v="Яковлев Артем Игоревич"/>
    <x v="40"/>
    <d v="2026-03-21T00:00:00"/>
    <n v="33621"/>
    <x v="2"/>
  </r>
  <r>
    <s v="Орлов Павел Денисович"/>
    <x v="211"/>
    <d v="2026-03-22T00:00:00"/>
    <n v="16288"/>
    <x v="2"/>
  </r>
  <r>
    <s v="Соколова Мария Ильинична"/>
    <x v="36"/>
    <d v="2026-03-22T00:00:00"/>
    <n v="5200"/>
    <x v="2"/>
  </r>
  <r>
    <s v="Ткаченко Андрей Олегович"/>
    <x v="201"/>
    <d v="2026-03-22T00:00:00"/>
    <n v="16065"/>
    <x v="2"/>
  </r>
  <r>
    <s v="Фролов Сергей Викторович"/>
    <x v="121"/>
    <d v="2026-03-22T00:00:00"/>
    <n v="29109"/>
    <x v="2"/>
  </r>
  <r>
    <s v="Яковлев Артем Игоревич"/>
    <x v="112"/>
    <d v="2026-03-22T00:00:00"/>
    <n v="42305"/>
    <x v="2"/>
  </r>
  <r>
    <s v="Яковлев Артем Игоревич"/>
    <x v="77"/>
    <d v="2026-03-22T00:00:00"/>
    <n v="48274"/>
    <x v="2"/>
  </r>
  <r>
    <s v="Яковлев Артем Игоревич"/>
    <x v="113"/>
    <d v="2026-03-22T00:00:00"/>
    <n v="30976"/>
    <x v="2"/>
  </r>
  <r>
    <s v="Яковлев Артем Игоревич"/>
    <x v="42"/>
    <d v="2026-03-22T00:00:00"/>
    <n v="32230"/>
    <x v="2"/>
  </r>
  <r>
    <s v="Яковлев Артем Игоревич"/>
    <x v="168"/>
    <d v="2026-03-22T00:00:00"/>
    <n v="48418"/>
    <x v="2"/>
  </r>
  <r>
    <s v="Яковлев Артем Игоревич"/>
    <x v="1"/>
    <d v="2026-03-22T00:00:00"/>
    <n v="32444"/>
    <x v="2"/>
  </r>
  <r>
    <s v="Яковлев Артем Игоревич"/>
    <x v="41"/>
    <d v="2026-03-22T00:00:00"/>
    <n v="41649"/>
    <x v="2"/>
  </r>
  <r>
    <s v="Козлов Алексей Михайлович"/>
    <x v="97"/>
    <d v="2026-03-23T00:00:00"/>
    <n v="15435"/>
    <x v="2"/>
  </r>
  <r>
    <s v="Морозова Елена Андреевна"/>
    <x v="165"/>
    <d v="2026-03-23T00:00:00"/>
    <n v="12237"/>
    <x v="2"/>
  </r>
  <r>
    <s v="Морозова Елена Андреевна"/>
    <x v="187"/>
    <d v="2026-03-23T00:00:00"/>
    <n v="10662"/>
    <x v="2"/>
  </r>
  <r>
    <s v="Семенова Ирина Валерьевна"/>
    <x v="213"/>
    <d v="2026-03-23T00:00:00"/>
    <n v="17372"/>
    <x v="2"/>
  </r>
  <r>
    <s v="Смирнов Евгений Андреевич"/>
    <x v="200"/>
    <d v="2026-03-23T00:00:00"/>
    <n v="12972"/>
    <x v="2"/>
  </r>
  <r>
    <s v="Ткаченко Андрей Олегович"/>
    <x v="30"/>
    <d v="2026-03-23T00:00:00"/>
    <n v="28199"/>
    <x v="2"/>
  </r>
  <r>
    <s v="Фролов Сергей Викторович"/>
    <x v="186"/>
    <d v="2026-03-23T00:00:00"/>
    <n v="34339"/>
    <x v="2"/>
  </r>
  <r>
    <s v="Фролов Сергей Викторович"/>
    <x v="117"/>
    <d v="2026-03-23T00:00:00"/>
    <n v="42202"/>
    <x v="2"/>
  </r>
  <r>
    <s v="Фролов Сергей Викторович"/>
    <x v="37"/>
    <d v="2026-03-23T00:00:00"/>
    <n v="27396"/>
    <x v="2"/>
  </r>
  <r>
    <s v="Фролов Сергей Викторович"/>
    <x v="91"/>
    <d v="2026-03-23T00:00:00"/>
    <n v="22459"/>
    <x v="2"/>
  </r>
  <r>
    <s v="Яковлев Артем Игоревич"/>
    <x v="12"/>
    <d v="2026-03-23T00:00:00"/>
    <n v="36338"/>
    <x v="2"/>
  </r>
  <r>
    <s v="Яковлев Артем Игоревич"/>
    <x v="129"/>
    <d v="2026-03-23T00:00:00"/>
    <n v="40056"/>
    <x v="2"/>
  </r>
  <r>
    <s v="Яковлев Артем Игоревич"/>
    <x v="105"/>
    <d v="2026-03-23T00:00:00"/>
    <n v="46272"/>
    <x v="2"/>
  </r>
  <r>
    <s v="Яковлев Артем Игоревич"/>
    <x v="68"/>
    <d v="2026-03-23T00:00:00"/>
    <n v="31394"/>
    <x v="2"/>
  </r>
  <r>
    <s v="Яковлев Артем Игоревич"/>
    <x v="25"/>
    <d v="2026-03-23T00:00:00"/>
    <n v="48222"/>
    <x v="2"/>
  </r>
  <r>
    <s v="Козлов Алексей Михайлович"/>
    <x v="146"/>
    <d v="2026-03-24T00:00:00"/>
    <n v="20306"/>
    <x v="2"/>
  </r>
  <r>
    <s v="Кузнецов Максим Алексеевич"/>
    <x v="164"/>
    <d v="2026-03-24T00:00:00"/>
    <n v="6233"/>
    <x v="2"/>
  </r>
  <r>
    <s v="Лебедев Николай Олегович"/>
    <x v="2"/>
    <d v="2026-03-24T00:00:00"/>
    <n v="8734"/>
    <x v="2"/>
  </r>
  <r>
    <s v="Новикова Ольга Викторовна"/>
    <x v="174"/>
    <d v="2026-03-24T00:00:00"/>
    <n v="12414"/>
    <x v="2"/>
  </r>
  <r>
    <s v="Ткаченко Андрей Олегович"/>
    <x v="66"/>
    <d v="2026-03-24T00:00:00"/>
    <n v="36169"/>
    <x v="2"/>
  </r>
  <r>
    <s v="Ткаченко Андрей Олегович"/>
    <x v="116"/>
    <d v="2026-03-24T00:00:00"/>
    <n v="19420"/>
    <x v="2"/>
  </r>
  <r>
    <s v="Ткаченко Андрей Олегович"/>
    <x v="228"/>
    <d v="2026-03-24T00:00:00"/>
    <n v="20801"/>
    <x v="2"/>
  </r>
  <r>
    <s v="Фролов Сергей Викторович"/>
    <x v="55"/>
    <d v="2026-03-24T00:00:00"/>
    <n v="30798"/>
    <x v="2"/>
  </r>
  <r>
    <s v="Яковлев Артем Игоревич"/>
    <x v="33"/>
    <d v="2026-03-24T00:00:00"/>
    <n v="44536"/>
    <x v="2"/>
  </r>
  <r>
    <s v="Яковлев Артем Игоревич"/>
    <x v="59"/>
    <d v="2026-03-24T00:00:00"/>
    <n v="39141"/>
    <x v="2"/>
  </r>
  <r>
    <s v="Яковлев Артем Игоревич"/>
    <x v="34"/>
    <d v="2026-03-24T00:00:00"/>
    <n v="36240"/>
    <x v="2"/>
  </r>
  <r>
    <s v="Яковлев Артем Игоревич"/>
    <x v="230"/>
    <d v="2026-03-24T00:00:00"/>
    <n v="32906"/>
    <x v="2"/>
  </r>
  <r>
    <s v="Иванова Анна Сергеевна"/>
    <x v="96"/>
    <d v="2026-03-25T00:00:00"/>
    <n v="28947"/>
    <x v="2"/>
  </r>
  <r>
    <s v="Орлов Павел Денисович"/>
    <x v="4"/>
    <d v="2026-03-25T00:00:00"/>
    <n v="14426"/>
    <x v="2"/>
  </r>
  <r>
    <s v="Соколова Мария Ильинична"/>
    <x v="138"/>
    <d v="2026-03-25T00:00:00"/>
    <n v="12046"/>
    <x v="2"/>
  </r>
  <r>
    <s v="Ткаченко Андрей Олегович"/>
    <x v="150"/>
    <d v="2026-03-25T00:00:00"/>
    <n v="21213"/>
    <x v="2"/>
  </r>
  <r>
    <s v="Яковлев Артем Игоревич"/>
    <x v="14"/>
    <d v="2026-03-25T00:00:00"/>
    <n v="48856"/>
    <x v="2"/>
  </r>
  <r>
    <s v="Яковлев Артем Игоревич"/>
    <x v="68"/>
    <d v="2026-03-25T00:00:00"/>
    <n v="28228"/>
    <x v="2"/>
  </r>
  <r>
    <s v="Морозова Елена Андреевна"/>
    <x v="209"/>
    <d v="2026-03-26T00:00:00"/>
    <n v="5200"/>
    <x v="2"/>
  </r>
  <r>
    <s v="Ткаченко Андрей Олегович"/>
    <x v="184"/>
    <d v="2026-03-26T00:00:00"/>
    <n v="23681"/>
    <x v="2"/>
  </r>
  <r>
    <s v="Ткаченко Андрей Олегович"/>
    <x v="9"/>
    <d v="2026-03-26T00:00:00"/>
    <n v="37823"/>
    <x v="2"/>
  </r>
  <r>
    <s v="Фролов Сергей Викторович"/>
    <x v="23"/>
    <d v="2026-03-26T00:00:00"/>
    <n v="38911"/>
    <x v="2"/>
  </r>
  <r>
    <s v="Фролов Сергей Викторович"/>
    <x v="10"/>
    <d v="2026-03-26T00:00:00"/>
    <n v="28519"/>
    <x v="2"/>
  </r>
  <r>
    <s v="Яковлев Артем Игоревич"/>
    <x v="113"/>
    <d v="2026-03-26T00:00:00"/>
    <n v="31797"/>
    <x v="2"/>
  </r>
  <r>
    <s v="Яковлев Артем Игоревич"/>
    <x v="160"/>
    <d v="2026-03-26T00:00:00"/>
    <n v="39366"/>
    <x v="2"/>
  </r>
  <r>
    <s v="Яковлев Артем Игоревич"/>
    <x v="152"/>
    <d v="2026-03-26T00:00:00"/>
    <n v="64289"/>
    <x v="2"/>
  </r>
  <r>
    <s v="Иванова Анна Сергеевна"/>
    <x v="136"/>
    <d v="2026-03-27T00:00:00"/>
    <n v="24467"/>
    <x v="2"/>
  </r>
  <r>
    <s v="Иванова Анна Сергеевна"/>
    <x v="58"/>
    <d v="2026-03-27T00:00:00"/>
    <n v="31790"/>
    <x v="2"/>
  </r>
  <r>
    <s v="Иванова Анна Сергеевна"/>
    <x v="137"/>
    <d v="2026-03-27T00:00:00"/>
    <n v="24068"/>
    <x v="2"/>
  </r>
  <r>
    <s v="Яковлев Артем Игоревич"/>
    <x v="57"/>
    <d v="2026-03-27T00:00:00"/>
    <n v="53577"/>
    <x v="2"/>
  </r>
  <r>
    <s v="Яковлев Артем Игоревич"/>
    <x v="39"/>
    <d v="2026-03-27T00:00:00"/>
    <n v="65651"/>
    <x v="2"/>
  </r>
  <r>
    <s v="Яковлев Артем Игоревич"/>
    <x v="50"/>
    <d v="2026-03-27T00:00:00"/>
    <n v="32236"/>
    <x v="2"/>
  </r>
  <r>
    <s v="Кузнецов Максим Алексеевич"/>
    <x v="132"/>
    <d v="2026-03-28T00:00:00"/>
    <n v="12761"/>
    <x v="2"/>
  </r>
  <r>
    <s v="Лебедев Николай Олегович"/>
    <x v="120"/>
    <d v="2026-03-28T00:00:00"/>
    <n v="16582"/>
    <x v="2"/>
  </r>
  <r>
    <s v="Семенова Ирина Валерьевна"/>
    <x v="75"/>
    <d v="2026-03-28T00:00:00"/>
    <n v="16794"/>
    <x v="2"/>
  </r>
  <r>
    <s v="Соколова Мария Ильинична"/>
    <x v="54"/>
    <d v="2026-03-28T00:00:00"/>
    <n v="11113"/>
    <x v="2"/>
  </r>
  <r>
    <s v="Ткаченко Андрей Олегович"/>
    <x v="141"/>
    <d v="2026-03-28T00:00:00"/>
    <n v="24658"/>
    <x v="2"/>
  </r>
  <r>
    <s v="Фролов Сергей Викторович"/>
    <x v="202"/>
    <d v="2026-03-28T00:00:00"/>
    <n v="44932"/>
    <x v="2"/>
  </r>
  <r>
    <s v="Фролов Сергей Викторович"/>
    <x v="89"/>
    <d v="2026-03-28T00:00:00"/>
    <n v="27454"/>
    <x v="2"/>
  </r>
  <r>
    <s v="Фролов Сергей Викторович"/>
    <x v="23"/>
    <d v="2026-03-28T00:00:00"/>
    <n v="35143"/>
    <x v="2"/>
  </r>
  <r>
    <s v="Яковлев Артем Игоревич"/>
    <x v="134"/>
    <d v="2026-03-28T00:00:00"/>
    <n v="37407"/>
    <x v="2"/>
  </r>
  <r>
    <s v="Яковлев Артем Игоревич"/>
    <x v="12"/>
    <d v="2026-03-28T00:00:00"/>
    <n v="54184"/>
    <x v="2"/>
  </r>
  <r>
    <s v="Яковлев Артем Игоревич"/>
    <x v="161"/>
    <d v="2026-03-28T00:00:00"/>
    <n v="30162"/>
    <x v="2"/>
  </r>
  <r>
    <s v="Кузнецов Максим Алексеевич"/>
    <x v="119"/>
    <d v="2026-03-29T00:00:00"/>
    <n v="6582"/>
    <x v="2"/>
  </r>
  <r>
    <s v="Семенова Ирина Валерьевна"/>
    <x v="139"/>
    <d v="2026-03-29T00:00:00"/>
    <n v="17879"/>
    <x v="2"/>
  </r>
  <r>
    <s v="Фролов Сергей Викторович"/>
    <x v="122"/>
    <d v="2026-03-29T00:00:00"/>
    <n v="24807"/>
    <x v="2"/>
  </r>
  <r>
    <s v="Яковлев Артем Игоревич"/>
    <x v="12"/>
    <d v="2026-03-29T00:00:00"/>
    <n v="54147"/>
    <x v="2"/>
  </r>
  <r>
    <s v="Иванова Анна Сергеевна"/>
    <x v="15"/>
    <d v="2026-03-30T00:00:00"/>
    <n v="18565"/>
    <x v="2"/>
  </r>
  <r>
    <s v="Иванова Анна Сергеевна"/>
    <x v="13"/>
    <d v="2026-03-30T00:00:00"/>
    <n v="35521"/>
    <x v="2"/>
  </r>
  <r>
    <s v="Козлов Алексей Михайлович"/>
    <x v="98"/>
    <d v="2026-03-30T00:00:00"/>
    <n v="12889"/>
    <x v="2"/>
  </r>
  <r>
    <s v="Морозова Елена Андреевна"/>
    <x v="233"/>
    <d v="2026-03-30T00:00:00"/>
    <n v="13699"/>
    <x v="2"/>
  </r>
  <r>
    <s v="Морозова Елена Андреевна"/>
    <x v="208"/>
    <d v="2026-03-30T00:00:00"/>
    <n v="12879"/>
    <x v="2"/>
  </r>
  <r>
    <s v="Семенова Ирина Валерьевна"/>
    <x v="86"/>
    <d v="2026-03-30T00:00:00"/>
    <n v="17268"/>
    <x v="2"/>
  </r>
  <r>
    <s v="Семенова Ирина Валерьевна"/>
    <x v="167"/>
    <d v="2026-03-30T00:00:00"/>
    <n v="14223"/>
    <x v="2"/>
  </r>
  <r>
    <s v="Фролов Сергей Викторович"/>
    <x v="81"/>
    <d v="2026-03-30T00:00:00"/>
    <n v="18578"/>
    <x v="2"/>
  </r>
  <r>
    <s v="Яковлев Артем Игоревич"/>
    <x v="77"/>
    <d v="2026-03-30T00:00:00"/>
    <n v="39425"/>
    <x v="2"/>
  </r>
  <r>
    <s v="Яковлев Артем Игоревич"/>
    <x v="33"/>
    <d v="2026-03-30T00:00:00"/>
    <n v="37086"/>
    <x v="2"/>
  </r>
  <r>
    <s v="Яковлев Артем Игоревич"/>
    <x v="67"/>
    <d v="2026-03-30T00:00:00"/>
    <n v="41742"/>
    <x v="2"/>
  </r>
  <r>
    <s v="Яковлев Артем Игоревич"/>
    <x v="135"/>
    <d v="2026-03-30T00:00:00"/>
    <n v="30420"/>
    <x v="2"/>
  </r>
  <r>
    <s v="Васильева Дарья Павловна"/>
    <x v="224"/>
    <d v="2026-03-31T00:00:00"/>
    <n v="10955"/>
    <x v="2"/>
  </r>
  <r>
    <s v="Иванова Анна Сергеевна"/>
    <x v="127"/>
    <d v="2026-03-31T00:00:00"/>
    <n v="28572"/>
    <x v="2"/>
  </r>
  <r>
    <s v="Иванова Анна Сергеевна"/>
    <x v="80"/>
    <d v="2026-03-31T00:00:00"/>
    <n v="21713"/>
    <x v="2"/>
  </r>
  <r>
    <s v="Иванова Анна Сергеевна"/>
    <x v="57"/>
    <d v="2026-03-31T00:00:00"/>
    <n v="41763"/>
    <x v="2"/>
  </r>
  <r>
    <s v="Кузнецов Максим Алексеевич"/>
    <x v="219"/>
    <d v="2026-03-31T00:00:00"/>
    <n v="15959"/>
    <x v="2"/>
  </r>
  <r>
    <s v="Орлов Павел Денисович"/>
    <x v="163"/>
    <d v="2026-03-31T00:00:00"/>
    <n v="18210"/>
    <x v="2"/>
  </r>
  <r>
    <s v="Фролов Сергей Викторович"/>
    <x v="32"/>
    <d v="2026-03-31T00:00:00"/>
    <n v="28075"/>
    <x v="2"/>
  </r>
  <r>
    <s v="Фролов Сергей Викторович"/>
    <x v="55"/>
    <d v="2026-03-31T00:00:00"/>
    <n v="38744"/>
    <x v="2"/>
  </r>
  <r>
    <s v="Фролов Сергей Викторович"/>
    <x v="25"/>
    <d v="2026-03-31T00:00:00"/>
    <n v="42950"/>
    <x v="2"/>
  </r>
  <r>
    <s v="Яковлев Артем Игоревич"/>
    <x v="77"/>
    <d v="2026-03-31T00:00:00"/>
    <n v="32079"/>
    <x v="2"/>
  </r>
  <r>
    <s v="Яковлев Артем Игоревич"/>
    <x v="67"/>
    <d v="2026-03-31T00:00:00"/>
    <n v="32918"/>
    <x v="2"/>
  </r>
  <r>
    <s v="Яковлев Артем Игоревич"/>
    <x v="13"/>
    <d v="2026-03-31T00:00:00"/>
    <n v="36405"/>
    <x v="2"/>
  </r>
  <r>
    <s v="Яковлев Артем Игоревич"/>
    <x v="58"/>
    <d v="2026-03-31T00:00:00"/>
    <n v="38418"/>
    <x v="2"/>
  </r>
  <r>
    <s v="Яковлев Артем Игоревич"/>
    <x v="105"/>
    <d v="2026-03-31T00:00:00"/>
    <n v="47529"/>
    <x v="2"/>
  </r>
  <r>
    <s v="Яковлев Артем Игоревич"/>
    <x v="51"/>
    <d v="2026-03-31T00:00:00"/>
    <n v="56195"/>
    <x v="2"/>
  </r>
  <r>
    <s v="Яковлев Артем Игоревич"/>
    <x v="135"/>
    <d v="2026-03-31T00:00:00"/>
    <n v="42276"/>
    <x v="2"/>
  </r>
  <r>
    <s v="Яковлев Артем Игоревич"/>
    <x v="41"/>
    <d v="2026-03-31T00:00:00"/>
    <n v="46042"/>
    <x v="2"/>
  </r>
  <r>
    <s v="Козлов Алексей Михайлович"/>
    <x v="8"/>
    <d v="2026-04-01T00:00:00"/>
    <n v="5200"/>
    <x v="3"/>
  </r>
  <r>
    <s v="Ткаченко Андрей Олегович"/>
    <x v="31"/>
    <d v="2026-04-01T00:00:00"/>
    <n v="10045"/>
    <x v="3"/>
  </r>
  <r>
    <s v="Фролов Сергей Викторович"/>
    <x v="151"/>
    <d v="2026-04-01T00:00:00"/>
    <n v="29836"/>
    <x v="3"/>
  </r>
  <r>
    <s v="Фролов Сергей Викторович"/>
    <x v="202"/>
    <d v="2026-04-01T00:00:00"/>
    <n v="44423"/>
    <x v="3"/>
  </r>
  <r>
    <s v="Фролов Сергей Викторович"/>
    <x v="76"/>
    <d v="2026-04-01T00:00:00"/>
    <n v="43826"/>
    <x v="3"/>
  </r>
  <r>
    <s v="Фролов Сергей Викторович"/>
    <x v="6"/>
    <d v="2026-04-01T00:00:00"/>
    <n v="34273"/>
    <x v="3"/>
  </r>
  <r>
    <s v="Фролов Сергей Викторович"/>
    <x v="173"/>
    <d v="2026-04-01T00:00:00"/>
    <n v="8592"/>
    <x v="3"/>
  </r>
  <r>
    <s v="Яковлев Артем Игоревич"/>
    <x v="118"/>
    <d v="2026-04-01T00:00:00"/>
    <n v="32009"/>
    <x v="3"/>
  </r>
  <r>
    <s v="Иванова Анна Сергеевна"/>
    <x v="15"/>
    <d v="2026-04-02T00:00:00"/>
    <n v="9987"/>
    <x v="3"/>
  </r>
  <r>
    <s v="Новикова Ольга Викторовна"/>
    <x v="174"/>
    <d v="2026-04-02T00:00:00"/>
    <n v="12205"/>
    <x v="3"/>
  </r>
  <r>
    <s v="Семенова Ирина Валерьевна"/>
    <x v="64"/>
    <d v="2026-04-02T00:00:00"/>
    <n v="15226"/>
    <x v="3"/>
  </r>
  <r>
    <s v="Семенова Ирина Валерьевна"/>
    <x v="214"/>
    <d v="2026-04-02T00:00:00"/>
    <n v="16117"/>
    <x v="3"/>
  </r>
  <r>
    <s v="Соколова Мария Ильинична"/>
    <x v="176"/>
    <d v="2026-04-02T00:00:00"/>
    <n v="20525"/>
    <x v="3"/>
  </r>
  <r>
    <s v="Фролов Сергей Викторович"/>
    <x v="123"/>
    <d v="2026-04-02T00:00:00"/>
    <n v="28136"/>
    <x v="3"/>
  </r>
  <r>
    <s v="Фролов Сергей Викторович"/>
    <x v="10"/>
    <d v="2026-04-02T00:00:00"/>
    <n v="25014"/>
    <x v="3"/>
  </r>
  <r>
    <s v="Яковлев Артем Игоревич"/>
    <x v="134"/>
    <d v="2026-04-02T00:00:00"/>
    <n v="26323"/>
    <x v="3"/>
  </r>
  <r>
    <s v="Яковлев Артем Игоревич"/>
    <x v="12"/>
    <d v="2026-04-02T00:00:00"/>
    <n v="45914"/>
    <x v="3"/>
  </r>
  <r>
    <s v="Яковлев Артем Игоревич"/>
    <x v="158"/>
    <d v="2026-04-02T00:00:00"/>
    <n v="38895"/>
    <x v="3"/>
  </r>
  <r>
    <s v="Яковлев Артем Игоревич"/>
    <x v="14"/>
    <d v="2026-04-02T00:00:00"/>
    <n v="46547"/>
    <x v="3"/>
  </r>
  <r>
    <s v="Волков Дмитрий Романович"/>
    <x v="114"/>
    <d v="2026-04-03T00:00:00"/>
    <n v="12195"/>
    <x v="3"/>
  </r>
  <r>
    <s v="Иванова Анна Сергеевна"/>
    <x v="191"/>
    <d v="2026-04-03T00:00:00"/>
    <n v="18959"/>
    <x v="3"/>
  </r>
  <r>
    <s v="Лебедев Николай Олегович"/>
    <x v="120"/>
    <d v="2026-04-03T00:00:00"/>
    <n v="5200"/>
    <x v="3"/>
  </r>
  <r>
    <s v="Морозова Елена Андреевна"/>
    <x v="83"/>
    <d v="2026-04-03T00:00:00"/>
    <n v="12645"/>
    <x v="3"/>
  </r>
  <r>
    <s v="Морозова Елена Андреевна"/>
    <x v="44"/>
    <d v="2026-04-03T00:00:00"/>
    <n v="12696"/>
    <x v="3"/>
  </r>
  <r>
    <s v="Ткаченко Андрей Олегович"/>
    <x v="228"/>
    <d v="2026-04-03T00:00:00"/>
    <n v="21382"/>
    <x v="3"/>
  </r>
  <r>
    <s v="Яковлев Артем Игоревич"/>
    <x v="78"/>
    <d v="2026-04-03T00:00:00"/>
    <n v="25573"/>
    <x v="3"/>
  </r>
  <r>
    <s v="Волков Дмитрий Романович"/>
    <x v="79"/>
    <d v="2026-04-04T00:00:00"/>
    <n v="13238"/>
    <x v="3"/>
  </r>
  <r>
    <s v="Иванова Анна Сергеевна"/>
    <x v="186"/>
    <d v="2026-04-04T00:00:00"/>
    <n v="38933"/>
    <x v="3"/>
  </r>
  <r>
    <s v="Иванова Анна Сергеевна"/>
    <x v="136"/>
    <d v="2026-04-04T00:00:00"/>
    <n v="14061"/>
    <x v="3"/>
  </r>
  <r>
    <s v="Иванова Анна Сергеевна"/>
    <x v="91"/>
    <d v="2026-04-04T00:00:00"/>
    <n v="22927"/>
    <x v="3"/>
  </r>
  <r>
    <s v="Иванова Анна Сергеевна"/>
    <x v="137"/>
    <d v="2026-04-04T00:00:00"/>
    <n v="24363"/>
    <x v="3"/>
  </r>
  <r>
    <s v="Морозова Елена Андреевна"/>
    <x v="233"/>
    <d v="2026-04-04T00:00:00"/>
    <n v="13142"/>
    <x v="3"/>
  </r>
  <r>
    <s v="Новикова Ольга Викторовна"/>
    <x v="154"/>
    <d v="2026-04-04T00:00:00"/>
    <n v="13971"/>
    <x v="3"/>
  </r>
  <r>
    <s v="Орлов Павел Денисович"/>
    <x v="234"/>
    <d v="2026-04-04T00:00:00"/>
    <n v="5200"/>
    <x v="3"/>
  </r>
  <r>
    <s v="Семенова Ирина Валерьевна"/>
    <x v="215"/>
    <d v="2026-04-04T00:00:00"/>
    <n v="12244"/>
    <x v="3"/>
  </r>
  <r>
    <s v="Фролов Сергей Викторович"/>
    <x v="236"/>
    <d v="2026-04-04T00:00:00"/>
    <n v="49120"/>
    <x v="3"/>
  </r>
  <r>
    <s v="Яковлев Артем Игоревич"/>
    <x v="12"/>
    <d v="2026-04-04T00:00:00"/>
    <n v="46639"/>
    <x v="3"/>
  </r>
  <r>
    <s v="Яковлев Артем Игоревич"/>
    <x v="24"/>
    <d v="2026-04-04T00:00:00"/>
    <n v="42541"/>
    <x v="3"/>
  </r>
  <r>
    <s v="Яковлев Артем Игоревич"/>
    <x v="58"/>
    <d v="2026-04-04T00:00:00"/>
    <n v="33638"/>
    <x v="3"/>
  </r>
  <r>
    <s v="Яковлев Артем Игоревич"/>
    <x v="59"/>
    <d v="2026-04-04T00:00:00"/>
    <n v="42976"/>
    <x v="3"/>
  </r>
  <r>
    <s v="Яковлев Артем Игоревич"/>
    <x v="68"/>
    <d v="2026-04-04T00:00:00"/>
    <n v="35233"/>
    <x v="3"/>
  </r>
  <r>
    <s v="Яковлев Артем Игоревич"/>
    <x v="230"/>
    <d v="2026-04-04T00:00:00"/>
    <n v="49735"/>
    <x v="3"/>
  </r>
  <r>
    <s v="Козлов Алексей Михайлович"/>
    <x v="17"/>
    <d v="2026-04-05T00:00:00"/>
    <n v="21491"/>
    <x v="3"/>
  </r>
  <r>
    <s v="Орлов Павел Денисович"/>
    <x v="210"/>
    <d v="2026-04-05T00:00:00"/>
    <n v="5200"/>
    <x v="3"/>
  </r>
  <r>
    <s v="Смирнов Евгений Андреевич"/>
    <x v="200"/>
    <d v="2026-04-05T00:00:00"/>
    <n v="12894"/>
    <x v="3"/>
  </r>
  <r>
    <s v="Фролов Сергей Викторович"/>
    <x v="170"/>
    <d v="2026-04-05T00:00:00"/>
    <n v="25209"/>
    <x v="3"/>
  </r>
  <r>
    <s v="Фролов Сергей Викторович"/>
    <x v="11"/>
    <d v="2026-04-05T00:00:00"/>
    <n v="47903"/>
    <x v="3"/>
  </r>
  <r>
    <s v="Яковлев Артем Игоревич"/>
    <x v="12"/>
    <d v="2026-04-05T00:00:00"/>
    <n v="46331"/>
    <x v="3"/>
  </r>
  <r>
    <s v="Яковлев Артем Игоревич"/>
    <x v="32"/>
    <d v="2026-04-05T00:00:00"/>
    <n v="36824"/>
    <x v="3"/>
  </r>
  <r>
    <s v="Яковлев Артем Игоревич"/>
    <x v="223"/>
    <d v="2026-04-05T00:00:00"/>
    <n v="50823"/>
    <x v="3"/>
  </r>
  <r>
    <s v="Яковлев Артем Игоревич"/>
    <x v="152"/>
    <d v="2026-04-05T00:00:00"/>
    <n v="60027"/>
    <x v="3"/>
  </r>
  <r>
    <s v="Волков Дмитрий Романович"/>
    <x v="69"/>
    <d v="2026-04-06T00:00:00"/>
    <n v="11091"/>
    <x v="3"/>
  </r>
  <r>
    <s v="Морозова Елена Андреевна"/>
    <x v="82"/>
    <d v="2026-04-06T00:00:00"/>
    <n v="13130"/>
    <x v="3"/>
  </r>
  <r>
    <s v="Морозова Елена Андреевна"/>
    <x v="63"/>
    <d v="2026-04-06T00:00:00"/>
    <n v="5200"/>
    <x v="3"/>
  </r>
  <r>
    <s v="Орлов Павел Денисович"/>
    <x v="92"/>
    <d v="2026-04-06T00:00:00"/>
    <n v="15267"/>
    <x v="3"/>
  </r>
  <r>
    <s v="Ткаченко Андрей Олегович"/>
    <x v="87"/>
    <d v="2026-04-06T00:00:00"/>
    <n v="6568"/>
    <x v="3"/>
  </r>
  <r>
    <s v="Ткаченко Андрей Олегович"/>
    <x v="121"/>
    <d v="2026-04-06T00:00:00"/>
    <n v="28398"/>
    <x v="3"/>
  </r>
  <r>
    <s v="Фролов Сергей Викторович"/>
    <x v="55"/>
    <d v="2026-04-06T00:00:00"/>
    <n v="23946"/>
    <x v="3"/>
  </r>
  <r>
    <s v="Яковлев Артем Игоревич"/>
    <x v="42"/>
    <d v="2026-04-06T00:00:00"/>
    <n v="39036"/>
    <x v="3"/>
  </r>
  <r>
    <s v="Яковлев Артем Игоревич"/>
    <x v="223"/>
    <d v="2026-04-06T00:00:00"/>
    <n v="43262"/>
    <x v="3"/>
  </r>
  <r>
    <s v="Яковлев Артем Игоревич"/>
    <x v="41"/>
    <d v="2026-04-06T00:00:00"/>
    <n v="41138"/>
    <x v="3"/>
  </r>
  <r>
    <s v="Иванова Анна Сергеевна"/>
    <x v="48"/>
    <d v="2026-04-07T00:00:00"/>
    <n v="35190"/>
    <x v="3"/>
  </r>
  <r>
    <s v="Иванова Анна Сергеевна"/>
    <x v="80"/>
    <d v="2026-04-07T00:00:00"/>
    <n v="19286"/>
    <x v="3"/>
  </r>
  <r>
    <s v="Иванова Анна Сергеевна"/>
    <x v="111"/>
    <d v="2026-04-07T00:00:00"/>
    <n v="24105"/>
    <x v="3"/>
  </r>
  <r>
    <s v="Кузнецов Максим Алексеевич"/>
    <x v="231"/>
    <d v="2026-04-07T00:00:00"/>
    <n v="13275"/>
    <x v="3"/>
  </r>
  <r>
    <s v="Семенова Ирина Валерьевна"/>
    <x v="74"/>
    <d v="2026-04-07T00:00:00"/>
    <n v="19425"/>
    <x v="3"/>
  </r>
  <r>
    <s v="Ткаченко Андрей Олегович"/>
    <x v="148"/>
    <d v="2026-04-07T00:00:00"/>
    <n v="18102"/>
    <x v="3"/>
  </r>
  <r>
    <s v="Фролов Сергей Викторович"/>
    <x v="222"/>
    <d v="2026-04-07T00:00:00"/>
    <n v="41783"/>
    <x v="3"/>
  </r>
  <r>
    <s v="Фролов Сергей Викторович"/>
    <x v="13"/>
    <d v="2026-04-07T00:00:00"/>
    <n v="35808"/>
    <x v="3"/>
  </r>
  <r>
    <s v="Фролов Сергей Викторович"/>
    <x v="103"/>
    <d v="2026-04-07T00:00:00"/>
    <n v="27129"/>
    <x v="3"/>
  </r>
  <r>
    <s v="Иванова Анна Сергеевна"/>
    <x v="0"/>
    <d v="2026-04-08T00:00:00"/>
    <n v="26491"/>
    <x v="3"/>
  </r>
  <r>
    <s v="Иванова Анна Сергеевна"/>
    <x v="142"/>
    <d v="2026-04-08T00:00:00"/>
    <n v="49561"/>
    <x v="3"/>
  </r>
  <r>
    <s v="Михайлова Алина Романовна"/>
    <x v="180"/>
    <d v="2026-04-08T00:00:00"/>
    <n v="11597"/>
    <x v="3"/>
  </r>
  <r>
    <s v="Морозова Елена Андреевна"/>
    <x v="153"/>
    <d v="2026-04-08T00:00:00"/>
    <n v="14865"/>
    <x v="3"/>
  </r>
  <r>
    <s v="Орлов Павел Денисович"/>
    <x v="175"/>
    <d v="2026-04-08T00:00:00"/>
    <n v="28304"/>
    <x v="3"/>
  </r>
  <r>
    <s v="Ткаченко Андрей Олегович"/>
    <x v="140"/>
    <d v="2026-04-08T00:00:00"/>
    <n v="21297"/>
    <x v="3"/>
  </r>
  <r>
    <s v="Фролов Сергей Викторович"/>
    <x v="184"/>
    <d v="2026-04-08T00:00:00"/>
    <n v="16970"/>
    <x v="3"/>
  </r>
  <r>
    <s v="Фролов Сергей Викторович"/>
    <x v="110"/>
    <d v="2026-04-08T00:00:00"/>
    <n v="27855"/>
    <x v="3"/>
  </r>
  <r>
    <s v="Фролов Сергей Викторович"/>
    <x v="32"/>
    <d v="2026-04-08T00:00:00"/>
    <n v="23161"/>
    <x v="3"/>
  </r>
  <r>
    <s v="Фролов Сергей Викторович"/>
    <x v="22"/>
    <d v="2026-04-08T00:00:00"/>
    <n v="32582"/>
    <x v="3"/>
  </r>
  <r>
    <s v="Фролов Сергей Викторович"/>
    <x v="169"/>
    <d v="2026-04-08T00:00:00"/>
    <n v="32302"/>
    <x v="3"/>
  </r>
  <r>
    <s v="Яковлев Артем Игоревич"/>
    <x v="171"/>
    <d v="2026-04-08T00:00:00"/>
    <n v="30657"/>
    <x v="3"/>
  </r>
  <r>
    <s v="Яковлев Артем Игоревич"/>
    <x v="38"/>
    <d v="2026-04-08T00:00:00"/>
    <n v="53699"/>
    <x v="3"/>
  </r>
  <r>
    <s v="Яковлев Артем Игоревич"/>
    <x v="42"/>
    <d v="2026-04-08T00:00:00"/>
    <n v="25660"/>
    <x v="3"/>
  </r>
  <r>
    <s v="Яковлев Артем Игоревич"/>
    <x v="204"/>
    <d v="2026-04-08T00:00:00"/>
    <n v="36975"/>
    <x v="3"/>
  </r>
  <r>
    <s v="Волков Дмитрий Романович"/>
    <x v="94"/>
    <d v="2026-04-09T00:00:00"/>
    <n v="12365"/>
    <x v="3"/>
  </r>
  <r>
    <s v="Волков Дмитрий Романович"/>
    <x v="205"/>
    <d v="2026-04-09T00:00:00"/>
    <n v="5200"/>
    <x v="3"/>
  </r>
  <r>
    <s v="Иванова Анна Сергеевна"/>
    <x v="24"/>
    <d v="2026-04-09T00:00:00"/>
    <n v="41562"/>
    <x v="3"/>
  </r>
  <r>
    <s v="Кузнецов Максим Алексеевич"/>
    <x v="99"/>
    <d v="2026-04-09T00:00:00"/>
    <n v="9281"/>
    <x v="3"/>
  </r>
  <r>
    <s v="Морозова Елена Андреевна"/>
    <x v="18"/>
    <d v="2026-04-09T00:00:00"/>
    <n v="9698"/>
    <x v="3"/>
  </r>
  <r>
    <s v="Морозова Елена Андреевна"/>
    <x v="36"/>
    <d v="2026-04-09T00:00:00"/>
    <n v="5200"/>
    <x v="3"/>
  </r>
  <r>
    <s v="Морозова Елена Андреевна"/>
    <x v="209"/>
    <d v="2026-04-09T00:00:00"/>
    <n v="11238"/>
    <x v="3"/>
  </r>
  <r>
    <s v="Семенова Ирина Валерьевна"/>
    <x v="20"/>
    <d v="2026-04-09T00:00:00"/>
    <n v="36441"/>
    <x v="3"/>
  </r>
  <r>
    <s v="Ткаченко Андрей Олегович"/>
    <x v="177"/>
    <d v="2026-04-09T00:00:00"/>
    <n v="20651"/>
    <x v="3"/>
  </r>
  <r>
    <s v="Фролов Сергей Викторович"/>
    <x v="33"/>
    <d v="2026-04-09T00:00:00"/>
    <n v="38470"/>
    <x v="3"/>
  </r>
  <r>
    <s v="Фролов Сергей Викторович"/>
    <x v="168"/>
    <d v="2026-04-09T00:00:00"/>
    <n v="25734"/>
    <x v="3"/>
  </r>
  <r>
    <s v="Фролов Сергей Викторович"/>
    <x v="49"/>
    <d v="2026-04-09T00:00:00"/>
    <n v="38260"/>
    <x v="3"/>
  </r>
  <r>
    <s v="Фролов Сергей Викторович"/>
    <x v="216"/>
    <d v="2026-04-09T00:00:00"/>
    <n v="43369"/>
    <x v="3"/>
  </r>
  <r>
    <s v="Фролов Сергей Викторович"/>
    <x v="125"/>
    <d v="2026-04-09T00:00:00"/>
    <n v="43067"/>
    <x v="3"/>
  </r>
  <r>
    <s v="Яковлев Артем Игоревич"/>
    <x v="77"/>
    <d v="2026-04-09T00:00:00"/>
    <n v="40061"/>
    <x v="3"/>
  </r>
  <r>
    <s v="Яковлев Артем Игоревич"/>
    <x v="113"/>
    <d v="2026-04-09T00:00:00"/>
    <n v="28208"/>
    <x v="3"/>
  </r>
  <r>
    <s v="Яковлев Артем Игоревич"/>
    <x v="39"/>
    <d v="2026-04-09T00:00:00"/>
    <n v="42578"/>
    <x v="3"/>
  </r>
  <r>
    <s v="Яковлев Артем Игоревич"/>
    <x v="230"/>
    <d v="2026-04-09T00:00:00"/>
    <n v="46404"/>
    <x v="3"/>
  </r>
  <r>
    <s v="Яковлев Артем Игоревич"/>
    <x v="1"/>
    <d v="2026-04-09T00:00:00"/>
    <n v="39740"/>
    <x v="3"/>
  </r>
  <r>
    <s v="Яковлев Артем Игоревич"/>
    <x v="25"/>
    <d v="2026-04-09T00:00:00"/>
    <n v="53697"/>
    <x v="3"/>
  </r>
  <r>
    <s v="Фролов Сергей Викторович"/>
    <x v="51"/>
    <d v="2026-04-10T00:00:00"/>
    <n v="50362"/>
    <x v="3"/>
  </r>
  <r>
    <s v="Яковлев Артем Игоревич"/>
    <x v="105"/>
    <d v="2026-04-10T00:00:00"/>
    <n v="39970"/>
    <x v="3"/>
  </r>
  <r>
    <s v="Яковлев Артем Игоревич"/>
    <x v="204"/>
    <d v="2026-04-10T00:00:00"/>
    <n v="52150"/>
    <x v="3"/>
  </r>
  <r>
    <s v="Яковлев Артем Игоревич"/>
    <x v="230"/>
    <d v="2026-04-10T00:00:00"/>
    <n v="46795"/>
    <x v="3"/>
  </r>
  <r>
    <s v="Морозова Елена Андреевна"/>
    <x v="165"/>
    <d v="2026-04-11T00:00:00"/>
    <n v="12139"/>
    <x v="3"/>
  </r>
  <r>
    <s v="Орлов Павел Денисович"/>
    <x v="198"/>
    <d v="2026-04-11T00:00:00"/>
    <n v="15440"/>
    <x v="3"/>
  </r>
  <r>
    <s v="Семенова Ирина Валерьевна"/>
    <x v="188"/>
    <d v="2026-04-11T00:00:00"/>
    <n v="8094"/>
    <x v="3"/>
  </r>
  <r>
    <s v="Семенова Ирина Валерьевна"/>
    <x v="75"/>
    <d v="2026-04-11T00:00:00"/>
    <n v="17049"/>
    <x v="3"/>
  </r>
  <r>
    <s v="Ткаченко Андрей Олегович"/>
    <x v="5"/>
    <d v="2026-04-11T00:00:00"/>
    <n v="5200"/>
    <x v="3"/>
  </r>
  <r>
    <s v="Ткаченко Андрей Олегович"/>
    <x v="93"/>
    <d v="2026-04-11T00:00:00"/>
    <n v="43216"/>
    <x v="3"/>
  </r>
  <r>
    <s v="Фролов Сергей Викторович"/>
    <x v="53"/>
    <d v="2026-04-11T00:00:00"/>
    <n v="31414"/>
    <x v="3"/>
  </r>
  <r>
    <s v="Яковлев Артем Игоревич"/>
    <x v="40"/>
    <d v="2026-04-11T00:00:00"/>
    <n v="33612"/>
    <x v="3"/>
  </r>
  <r>
    <s v="Иванова Анна Сергеевна"/>
    <x v="60"/>
    <d v="2026-04-12T00:00:00"/>
    <n v="29243"/>
    <x v="3"/>
  </r>
  <r>
    <s v="Новикова Ольга Викторовна"/>
    <x v="3"/>
    <d v="2026-04-12T00:00:00"/>
    <n v="11309"/>
    <x v="3"/>
  </r>
  <r>
    <s v="Семенова Ирина Валерьевна"/>
    <x v="182"/>
    <d v="2026-04-12T00:00:00"/>
    <n v="21434"/>
    <x v="3"/>
  </r>
  <r>
    <s v="Соколова Мария Ильинична"/>
    <x v="109"/>
    <d v="2026-04-12T00:00:00"/>
    <n v="5200"/>
    <x v="3"/>
  </r>
  <r>
    <s v="Фролов Сергей Викторович"/>
    <x v="38"/>
    <d v="2026-04-12T00:00:00"/>
    <n v="52130"/>
    <x v="3"/>
  </r>
  <r>
    <s v="Фролов Сергей Викторович"/>
    <x v="169"/>
    <d v="2026-04-12T00:00:00"/>
    <n v="29881"/>
    <x v="3"/>
  </r>
  <r>
    <s v="Фролов Сергей Викторович"/>
    <x v="6"/>
    <d v="2026-04-12T00:00:00"/>
    <n v="39667"/>
    <x v="3"/>
  </r>
  <r>
    <s v="Яковлев Артем Игоревич"/>
    <x v="190"/>
    <d v="2026-04-12T00:00:00"/>
    <n v="45811"/>
    <x v="3"/>
  </r>
  <r>
    <s v="Яковлев Артем Игоревич"/>
    <x v="24"/>
    <d v="2026-04-12T00:00:00"/>
    <n v="38055"/>
    <x v="3"/>
  </r>
  <r>
    <s v="Яковлев Артем Игоревич"/>
    <x v="192"/>
    <d v="2026-04-12T00:00:00"/>
    <n v="22066"/>
    <x v="3"/>
  </r>
  <r>
    <s v="Яковлев Артем Игоревич"/>
    <x v="59"/>
    <d v="2026-04-12T00:00:00"/>
    <n v="44398"/>
    <x v="3"/>
  </r>
  <r>
    <s v="Яковлев Артем Игоревич"/>
    <x v="78"/>
    <d v="2026-04-12T00:00:00"/>
    <n v="31843"/>
    <x v="3"/>
  </r>
  <r>
    <s v="Яковлев Артем Игоревич"/>
    <x v="135"/>
    <d v="2026-04-12T00:00:00"/>
    <n v="36593"/>
    <x v="3"/>
  </r>
  <r>
    <s v="Егоров Илья Александрович"/>
    <x v="21"/>
    <d v="2026-04-13T00:00:00"/>
    <n v="9682"/>
    <x v="3"/>
  </r>
  <r>
    <s v="Иванова Анна Сергеевна"/>
    <x v="131"/>
    <d v="2026-04-13T00:00:00"/>
    <n v="24970"/>
    <x v="3"/>
  </r>
  <r>
    <s v="Иванова Анна Сергеевна"/>
    <x v="135"/>
    <d v="2026-04-13T00:00:00"/>
    <n v="42094"/>
    <x v="3"/>
  </r>
  <r>
    <s v="Кузнецов Максим Алексеевич"/>
    <x v="147"/>
    <d v="2026-04-13T00:00:00"/>
    <n v="16236"/>
    <x v="3"/>
  </r>
  <r>
    <s v="Лебедев Николай Олегович"/>
    <x v="107"/>
    <d v="2026-04-13T00:00:00"/>
    <n v="14482"/>
    <x v="3"/>
  </r>
  <r>
    <s v="Соколова Мария Ильинична"/>
    <x v="157"/>
    <d v="2026-04-13T00:00:00"/>
    <n v="9486"/>
    <x v="3"/>
  </r>
  <r>
    <s v="Соколова Мария Ильинична"/>
    <x v="101"/>
    <d v="2026-04-13T00:00:00"/>
    <n v="16717"/>
    <x v="3"/>
  </r>
  <r>
    <s v="Ткаченко Андрей Олегович"/>
    <x v="227"/>
    <d v="2026-04-13T00:00:00"/>
    <n v="23285"/>
    <x v="3"/>
  </r>
  <r>
    <s v="Ткаченко Андрей Олегович"/>
    <x v="156"/>
    <d v="2026-04-13T00:00:00"/>
    <n v="14275"/>
    <x v="3"/>
  </r>
  <r>
    <s v="Фролов Сергей Викторович"/>
    <x v="122"/>
    <d v="2026-04-13T00:00:00"/>
    <n v="33257"/>
    <x v="3"/>
  </r>
  <r>
    <s v="Фролов Сергей Викторович"/>
    <x v="197"/>
    <d v="2026-04-13T00:00:00"/>
    <n v="22727"/>
    <x v="3"/>
  </r>
  <r>
    <s v="Яковлев Артем Игоревич"/>
    <x v="113"/>
    <d v="2026-04-13T00:00:00"/>
    <n v="32282"/>
    <x v="3"/>
  </r>
  <r>
    <s v="Яковлев Артем Игоревич"/>
    <x v="105"/>
    <d v="2026-04-13T00:00:00"/>
    <n v="49269"/>
    <x v="3"/>
  </r>
  <r>
    <s v="Яковлев Артем Игоревич"/>
    <x v="1"/>
    <d v="2026-04-13T00:00:00"/>
    <n v="41405"/>
    <x v="3"/>
  </r>
  <r>
    <s v="Иванова Анна Сергеевна"/>
    <x v="172"/>
    <d v="2026-04-14T00:00:00"/>
    <n v="36188"/>
    <x v="3"/>
  </r>
  <r>
    <s v="Козлов Алексей Михайлович"/>
    <x v="97"/>
    <d v="2026-04-14T00:00:00"/>
    <n v="14255"/>
    <x v="3"/>
  </r>
  <r>
    <s v="Кузнецов Максим Алексеевич"/>
    <x v="130"/>
    <d v="2026-04-14T00:00:00"/>
    <n v="19948"/>
    <x v="3"/>
  </r>
  <r>
    <s v="Лебедев Николай Олегович"/>
    <x v="193"/>
    <d v="2026-04-14T00:00:00"/>
    <n v="17610"/>
    <x v="3"/>
  </r>
  <r>
    <s v="Павлова Татьяна Сергеевна"/>
    <x v="181"/>
    <d v="2026-04-14T00:00:00"/>
    <n v="11451"/>
    <x v="3"/>
  </r>
  <r>
    <s v="Семенова Ирина Валерьевна"/>
    <x v="226"/>
    <d v="2026-04-14T00:00:00"/>
    <n v="15766"/>
    <x v="3"/>
  </r>
  <r>
    <s v="Фролов Сергей Викторович"/>
    <x v="151"/>
    <d v="2026-04-14T00:00:00"/>
    <n v="34370"/>
    <x v="3"/>
  </r>
  <r>
    <s v="Фролов Сергей Викторович"/>
    <x v="229"/>
    <d v="2026-04-14T00:00:00"/>
    <n v="47693"/>
    <x v="3"/>
  </r>
  <r>
    <s v="Фролов Сергей Викторович"/>
    <x v="104"/>
    <d v="2026-04-14T00:00:00"/>
    <n v="33453"/>
    <x v="3"/>
  </r>
  <r>
    <s v="Яковлев Артем Игоревич"/>
    <x v="49"/>
    <d v="2026-04-14T00:00:00"/>
    <n v="44116"/>
    <x v="3"/>
  </r>
  <r>
    <s v="Яковлев Артем Игоревич"/>
    <x v="51"/>
    <d v="2026-04-14T00:00:00"/>
    <n v="44906"/>
    <x v="3"/>
  </r>
  <r>
    <s v="Яковлев Артем Игоревич"/>
    <x v="152"/>
    <d v="2026-04-14T00:00:00"/>
    <n v="59276"/>
    <x v="3"/>
  </r>
  <r>
    <s v="Васильева Дарья Павловна"/>
    <x v="35"/>
    <d v="2026-04-15T00:00:00"/>
    <n v="23785"/>
    <x v="3"/>
  </r>
  <r>
    <s v="Кузнецов Максим Алексеевич"/>
    <x v="43"/>
    <d v="2026-04-15T00:00:00"/>
    <n v="15295"/>
    <x v="3"/>
  </r>
  <r>
    <s v="Новикова Ольга Викторовна"/>
    <x v="100"/>
    <d v="2026-04-15T00:00:00"/>
    <n v="10932"/>
    <x v="3"/>
  </r>
  <r>
    <s v="Орлов Павел Денисович"/>
    <x v="155"/>
    <d v="2026-04-15T00:00:00"/>
    <n v="5200"/>
    <x v="3"/>
  </r>
  <r>
    <s v="Семенова Ирина Валерьевна"/>
    <x v="166"/>
    <d v="2026-04-15T00:00:00"/>
    <n v="17742"/>
    <x v="3"/>
  </r>
  <r>
    <s v="Соколова Мария Ильинична"/>
    <x v="46"/>
    <d v="2026-04-15T00:00:00"/>
    <n v="12453"/>
    <x v="3"/>
  </r>
  <r>
    <s v="Фролов Сергей Викторович"/>
    <x v="22"/>
    <d v="2026-04-15T00:00:00"/>
    <n v="24224"/>
    <x v="3"/>
  </r>
  <r>
    <s v="Фролов Сергей Викторович"/>
    <x v="37"/>
    <d v="2026-04-15T00:00:00"/>
    <n v="33967"/>
    <x v="3"/>
  </r>
  <r>
    <s v="Фролов Сергей Викторович"/>
    <x v="81"/>
    <d v="2026-04-15T00:00:00"/>
    <n v="27500"/>
    <x v="3"/>
  </r>
  <r>
    <s v="Яковлев Артем Игоревич"/>
    <x v="48"/>
    <d v="2026-04-15T00:00:00"/>
    <n v="37873"/>
    <x v="3"/>
  </r>
  <r>
    <s v="Яковлев Артем Игоревич"/>
    <x v="128"/>
    <d v="2026-04-15T00:00:00"/>
    <n v="42565"/>
    <x v="3"/>
  </r>
  <r>
    <s v="Яковлев Артем Игоревич"/>
    <x v="203"/>
    <d v="2026-04-15T00:00:00"/>
    <n v="42161"/>
    <x v="3"/>
  </r>
  <r>
    <s v="Яковлев Артем Игоревич"/>
    <x v="105"/>
    <d v="2026-04-15T00:00:00"/>
    <n v="47247"/>
    <x v="3"/>
  </r>
  <r>
    <s v="Яковлев Артем Игоревич"/>
    <x v="50"/>
    <d v="2026-04-15T00:00:00"/>
    <n v="43860"/>
    <x v="3"/>
  </r>
  <r>
    <s v="Яковлев Артем Игоревич"/>
    <x v="50"/>
    <d v="2026-04-15T00:00:00"/>
    <n v="46878"/>
    <x v="3"/>
  </r>
  <r>
    <s v="Яковлев Артем Игоревич"/>
    <x v="51"/>
    <d v="2026-04-15T00:00:00"/>
    <n v="57838"/>
    <x v="3"/>
  </r>
  <r>
    <s v="Яковлев Артем Игоревич"/>
    <x v="1"/>
    <d v="2026-04-15T00:00:00"/>
    <n v="29765"/>
    <x v="3"/>
  </r>
  <r>
    <s v="Яковлев Артем Игоревич"/>
    <x v="135"/>
    <d v="2026-04-15T00:00:00"/>
    <n v="35640"/>
    <x v="3"/>
  </r>
  <r>
    <s v="Волков Дмитрий Романович"/>
    <x v="143"/>
    <d v="2026-04-16T00:00:00"/>
    <n v="15077"/>
    <x v="3"/>
  </r>
  <r>
    <s v="Иванова Анна Сергеевна"/>
    <x v="206"/>
    <d v="2026-04-16T00:00:00"/>
    <n v="27338"/>
    <x v="3"/>
  </r>
  <r>
    <s v="Кузнецов Максим Алексеевич"/>
    <x v="164"/>
    <d v="2026-04-16T00:00:00"/>
    <n v="8157"/>
    <x v="3"/>
  </r>
  <r>
    <s v="Павлова Татьяна Сергеевна"/>
    <x v="235"/>
    <d v="2026-04-16T00:00:00"/>
    <n v="12640"/>
    <x v="3"/>
  </r>
  <r>
    <s v="Павлова Татьяна Сергеевна"/>
    <x v="199"/>
    <d v="2026-04-16T00:00:00"/>
    <n v="12154"/>
    <x v="3"/>
  </r>
  <r>
    <s v="Семенова Ирина Валерьевна"/>
    <x v="139"/>
    <d v="2026-04-16T00:00:00"/>
    <n v="18354"/>
    <x v="3"/>
  </r>
  <r>
    <s v="Семенова Ирина Валерьевна"/>
    <x v="45"/>
    <d v="2026-04-16T00:00:00"/>
    <n v="30819"/>
    <x v="3"/>
  </r>
  <r>
    <s v="Фролов Сергей Викторович"/>
    <x v="37"/>
    <d v="2026-04-16T00:00:00"/>
    <n v="27076"/>
    <x v="3"/>
  </r>
  <r>
    <s v="Яковлев Артем Игоревич"/>
    <x v="90"/>
    <d v="2026-04-16T00:00:00"/>
    <n v="49163"/>
    <x v="3"/>
  </r>
  <r>
    <s v="Яковлев Артем Игоревич"/>
    <x v="68"/>
    <d v="2026-04-16T00:00:00"/>
    <n v="33395"/>
    <x v="3"/>
  </r>
  <r>
    <s v="Яковлев Артем Игоревич"/>
    <x v="161"/>
    <d v="2026-04-16T00:00:00"/>
    <n v="26936"/>
    <x v="3"/>
  </r>
  <r>
    <s v="Козлов Алексей Михайлович"/>
    <x v="146"/>
    <d v="2026-04-17T00:00:00"/>
    <n v="22426"/>
    <x v="3"/>
  </r>
  <r>
    <s v="Кузнецов Максим Алексеевич"/>
    <x v="72"/>
    <d v="2026-04-17T00:00:00"/>
    <n v="9371"/>
    <x v="3"/>
  </r>
  <r>
    <s v="Лебедев Николай Олегович"/>
    <x v="62"/>
    <d v="2026-04-17T00:00:00"/>
    <n v="11698"/>
    <x v="3"/>
  </r>
  <r>
    <s v="Ткаченко Андрей Олегович"/>
    <x v="194"/>
    <d v="2026-04-17T00:00:00"/>
    <n v="41842"/>
    <x v="3"/>
  </r>
  <r>
    <s v="Ткаченко Андрей Олегович"/>
    <x v="189"/>
    <d v="2026-04-17T00:00:00"/>
    <n v="26044"/>
    <x v="3"/>
  </r>
  <r>
    <s v="Ткаченко Андрей Олегович"/>
    <x v="150"/>
    <d v="2026-04-17T00:00:00"/>
    <n v="20992"/>
    <x v="3"/>
  </r>
  <r>
    <s v="Фролов Сергей Викторович"/>
    <x v="33"/>
    <d v="2026-04-17T00:00:00"/>
    <n v="37303"/>
    <x v="3"/>
  </r>
  <r>
    <s v="Фролов Сергей Викторович"/>
    <x v="89"/>
    <d v="2026-04-17T00:00:00"/>
    <n v="27448"/>
    <x v="3"/>
  </r>
  <r>
    <s v="Яковлев Артем Игоревич"/>
    <x v="48"/>
    <d v="2026-04-17T00:00:00"/>
    <n v="33827"/>
    <x v="3"/>
  </r>
  <r>
    <s v="Яковлев Артем Игоревич"/>
    <x v="129"/>
    <d v="2026-04-17T00:00:00"/>
    <n v="55775"/>
    <x v="3"/>
  </r>
  <r>
    <s v="Яковлев Артем Игоревич"/>
    <x v="160"/>
    <d v="2026-04-17T00:00:00"/>
    <n v="17201"/>
    <x v="3"/>
  </r>
  <r>
    <s v="Яковлев Артем Игоревич"/>
    <x v="49"/>
    <d v="2026-04-17T00:00:00"/>
    <n v="50527"/>
    <x v="3"/>
  </r>
  <r>
    <s v="Яковлев Артем Игоревич"/>
    <x v="16"/>
    <d v="2026-04-17T00:00:00"/>
    <n v="20468"/>
    <x v="3"/>
  </r>
  <r>
    <s v="Иванова Анна Сергеевна"/>
    <x v="71"/>
    <d v="2026-04-18T00:00:00"/>
    <n v="28178"/>
    <x v="3"/>
  </r>
  <r>
    <s v="Соколова Мария Ильинична"/>
    <x v="54"/>
    <d v="2026-04-18T00:00:00"/>
    <n v="11371"/>
    <x v="3"/>
  </r>
  <r>
    <s v="Ткаченко Андрей Олегович"/>
    <x v="220"/>
    <d v="2026-04-18T00:00:00"/>
    <n v="14822"/>
    <x v="3"/>
  </r>
  <r>
    <s v="Фролов Сергей Викторович"/>
    <x v="118"/>
    <d v="2026-04-18T00:00:00"/>
    <n v="45409"/>
    <x v="3"/>
  </r>
  <r>
    <s v="Яковлев Артем Игоревич"/>
    <x v="57"/>
    <d v="2026-04-18T00:00:00"/>
    <n v="43448"/>
    <x v="3"/>
  </r>
  <r>
    <s v="Яковлев Артем Игоревич"/>
    <x v="67"/>
    <d v="2026-04-18T00:00:00"/>
    <n v="44780"/>
    <x v="3"/>
  </r>
  <r>
    <s v="Яковлев Артем Игоревич"/>
    <x v="118"/>
    <d v="2026-04-18T00:00:00"/>
    <n v="46107"/>
    <x v="3"/>
  </r>
  <r>
    <s v="Иванова Анна Сергеевна"/>
    <x v="96"/>
    <d v="2026-04-19T00:00:00"/>
    <n v="28098"/>
    <x v="3"/>
  </r>
  <r>
    <s v="Иванова Анна Сергеевна"/>
    <x v="218"/>
    <d v="2026-04-19T00:00:00"/>
    <n v="14050"/>
    <x v="3"/>
  </r>
  <r>
    <s v="Новикова Ольга Викторовна"/>
    <x v="108"/>
    <d v="2026-04-19T00:00:00"/>
    <n v="11846"/>
    <x v="3"/>
  </r>
  <r>
    <s v="Орлов Павел Денисович"/>
    <x v="163"/>
    <d v="2026-04-19T00:00:00"/>
    <n v="19637"/>
    <x v="3"/>
  </r>
  <r>
    <s v="Попов Кирилл Денисович"/>
    <x v="115"/>
    <d v="2026-04-19T00:00:00"/>
    <n v="10560"/>
    <x v="3"/>
  </r>
  <r>
    <s v="Попов Кирилл Денисович"/>
    <x v="224"/>
    <d v="2026-04-19T00:00:00"/>
    <n v="5200"/>
    <x v="3"/>
  </r>
  <r>
    <s v="Семенова Ирина Валерьевна"/>
    <x v="213"/>
    <d v="2026-04-19T00:00:00"/>
    <n v="17566"/>
    <x v="3"/>
  </r>
  <r>
    <s v="Фролов Сергей Викторович"/>
    <x v="10"/>
    <d v="2026-04-19T00:00:00"/>
    <n v="31544"/>
    <x v="3"/>
  </r>
  <r>
    <s v="Яковлев Артем Игоревич"/>
    <x v="56"/>
    <d v="2026-04-19T00:00:00"/>
    <n v="35347"/>
    <x v="3"/>
  </r>
  <r>
    <s v="Яковлев Артем Игоревич"/>
    <x v="39"/>
    <d v="2026-04-19T00:00:00"/>
    <n v="35046"/>
    <x v="3"/>
  </r>
  <r>
    <s v="Яковлев Артем Игоревич"/>
    <x v="67"/>
    <d v="2026-04-19T00:00:00"/>
    <n v="34524"/>
    <x v="3"/>
  </r>
  <r>
    <s v="Яковлев Артем Игоревич"/>
    <x v="159"/>
    <d v="2026-04-19T00:00:00"/>
    <n v="41588"/>
    <x v="3"/>
  </r>
  <r>
    <s v="Яковлев Артем Игоревич"/>
    <x v="59"/>
    <d v="2026-04-19T00:00:00"/>
    <n v="47686"/>
    <x v="3"/>
  </r>
  <r>
    <s v="Яковлев Артем Игоревич"/>
    <x v="34"/>
    <d v="2026-04-19T00:00:00"/>
    <n v="34902"/>
    <x v="3"/>
  </r>
  <r>
    <s v="Иванова Анна Сергеевна"/>
    <x v="26"/>
    <d v="2026-04-20T00:00:00"/>
    <n v="16052"/>
    <x v="3"/>
  </r>
  <r>
    <s v="Лебедев Николай Олегович"/>
    <x v="207"/>
    <d v="2026-04-20T00:00:00"/>
    <n v="5200"/>
    <x v="3"/>
  </r>
  <r>
    <s v="Новикова Ольга Викторовна"/>
    <x v="84"/>
    <d v="2026-04-20T00:00:00"/>
    <n v="14837"/>
    <x v="3"/>
  </r>
  <r>
    <s v="Орлов Павел Денисович"/>
    <x v="211"/>
    <d v="2026-04-20T00:00:00"/>
    <n v="17019"/>
    <x v="3"/>
  </r>
  <r>
    <s v="Орлов Павел Денисович"/>
    <x v="85"/>
    <d v="2026-04-20T00:00:00"/>
    <n v="14327"/>
    <x v="3"/>
  </r>
  <r>
    <s v="Семенова Ирина Валерьевна"/>
    <x v="4"/>
    <d v="2026-04-20T00:00:00"/>
    <n v="14042"/>
    <x v="3"/>
  </r>
  <r>
    <s v="Смирнов Евгений Андреевич"/>
    <x v="221"/>
    <d v="2026-04-20T00:00:00"/>
    <n v="9780"/>
    <x v="3"/>
  </r>
  <r>
    <s v="Соколова Мария Ильинична"/>
    <x v="138"/>
    <d v="2026-04-20T00:00:00"/>
    <n v="12438"/>
    <x v="3"/>
  </r>
  <r>
    <s v="Соколова Мария Ильинична"/>
    <x v="232"/>
    <d v="2026-04-20T00:00:00"/>
    <n v="11691"/>
    <x v="3"/>
  </r>
  <r>
    <s v="Ткаченко Андрей Олегович"/>
    <x v="7"/>
    <d v="2026-04-20T00:00:00"/>
    <n v="29250"/>
    <x v="3"/>
  </r>
  <r>
    <s v="Фролов Сергей Викторович"/>
    <x v="229"/>
    <d v="2026-04-20T00:00:00"/>
    <n v="32114"/>
    <x v="3"/>
  </r>
  <r>
    <s v="Яковлев Артем Игоревич"/>
    <x v="57"/>
    <d v="2026-04-20T00:00:00"/>
    <n v="53807"/>
    <x v="3"/>
  </r>
  <r>
    <s v="Яковлев Артем Игоревич"/>
    <x v="25"/>
    <d v="2026-04-20T00:00:00"/>
    <n v="42690"/>
    <x v="3"/>
  </r>
  <r>
    <s v="Волков Дмитрий Романович"/>
    <x v="162"/>
    <d v="2026-04-21T00:00:00"/>
    <n v="13078"/>
    <x v="3"/>
  </r>
  <r>
    <s v="Иванова Анна Сергеевна"/>
    <x v="141"/>
    <d v="2026-04-21T00:00:00"/>
    <n v="23459"/>
    <x v="3"/>
  </r>
  <r>
    <s v="Кузнецов Максим Алексеевич"/>
    <x v="132"/>
    <d v="2026-04-21T00:00:00"/>
    <n v="12819"/>
    <x v="3"/>
  </r>
  <r>
    <s v="Морозова Елена Андреевна"/>
    <x v="187"/>
    <d v="2026-04-21T00:00:00"/>
    <n v="10815"/>
    <x v="3"/>
  </r>
  <r>
    <s v="Семенова Ирина Валерьевна"/>
    <x v="212"/>
    <d v="2026-04-21T00:00:00"/>
    <n v="29406"/>
    <x v="3"/>
  </r>
  <r>
    <s v="Смирнов Евгений Андреевич"/>
    <x v="183"/>
    <d v="2026-04-21T00:00:00"/>
    <n v="11221"/>
    <x v="3"/>
  </r>
  <r>
    <s v="Фролов Сергей Викторович"/>
    <x v="104"/>
    <d v="2026-04-21T00:00:00"/>
    <n v="28114"/>
    <x v="3"/>
  </r>
  <r>
    <s v="Яковлев Артем Игоревич"/>
    <x v="203"/>
    <d v="2026-04-21T00:00:00"/>
    <n v="36244"/>
    <x v="3"/>
  </r>
  <r>
    <s v="Яковлев Артем Игоревич"/>
    <x v="24"/>
    <d v="2026-04-21T00:00:00"/>
    <n v="58522"/>
    <x v="3"/>
  </r>
  <r>
    <s v="Яковлев Артем Игоревич"/>
    <x v="34"/>
    <d v="2026-04-21T00:00:00"/>
    <n v="39857"/>
    <x v="3"/>
  </r>
  <r>
    <s v="Иванова Анна Сергеевна"/>
    <x v="127"/>
    <d v="2026-04-22T00:00:00"/>
    <n v="27462"/>
    <x v="3"/>
  </r>
  <r>
    <s v="Иванова Анна Сергеевна"/>
    <x v="126"/>
    <d v="2026-04-22T00:00:00"/>
    <n v="30810"/>
    <x v="3"/>
  </r>
  <r>
    <s v="Фролов Сергей Викторович"/>
    <x v="23"/>
    <d v="2026-04-22T00:00:00"/>
    <n v="41111"/>
    <x v="3"/>
  </r>
  <r>
    <s v="Яковлев Артем Игоревич"/>
    <x v="190"/>
    <d v="2026-04-22T00:00:00"/>
    <n v="43335"/>
    <x v="3"/>
  </r>
  <r>
    <s v="Яковлев Артем Игоревич"/>
    <x v="203"/>
    <d v="2026-04-22T00:00:00"/>
    <n v="43023"/>
    <x v="3"/>
  </r>
  <r>
    <s v="Яковлев Артем Игоревич"/>
    <x v="38"/>
    <d v="2026-04-22T00:00:00"/>
    <n v="39338"/>
    <x v="3"/>
  </r>
  <r>
    <s v="Яковлев Артем Игоревич"/>
    <x v="39"/>
    <d v="2026-04-22T00:00:00"/>
    <n v="43028"/>
    <x v="3"/>
  </r>
  <r>
    <s v="Яковлев Артем Игоревич"/>
    <x v="24"/>
    <d v="2026-04-22T00:00:00"/>
    <n v="56697"/>
    <x v="3"/>
  </r>
  <r>
    <s v="Яковлев Артем Игоревич"/>
    <x v="159"/>
    <d v="2026-04-22T00:00:00"/>
    <n v="30423"/>
    <x v="3"/>
  </r>
  <r>
    <s v="Егоров Илья Александрович"/>
    <x v="52"/>
    <d v="2026-04-23T00:00:00"/>
    <n v="11331"/>
    <x v="3"/>
  </r>
  <r>
    <s v="Козлов Алексей Михайлович"/>
    <x v="98"/>
    <d v="2026-04-23T00:00:00"/>
    <n v="12041"/>
    <x v="3"/>
  </r>
  <r>
    <s v="Кузнецов Максим Алексеевич"/>
    <x v="61"/>
    <d v="2026-04-23T00:00:00"/>
    <n v="11576"/>
    <x v="3"/>
  </r>
  <r>
    <s v="Морозова Елена Андреевна"/>
    <x v="208"/>
    <d v="2026-04-23T00:00:00"/>
    <n v="13464"/>
    <x v="3"/>
  </r>
  <r>
    <s v="Семенова Ирина Валерьевна"/>
    <x v="167"/>
    <d v="2026-04-23T00:00:00"/>
    <n v="18071"/>
    <x v="3"/>
  </r>
  <r>
    <s v="Ткаченко Андрей Олегович"/>
    <x v="66"/>
    <d v="2026-04-23T00:00:00"/>
    <n v="7178"/>
    <x v="3"/>
  </r>
  <r>
    <s v="Фролов Сергей Викторович"/>
    <x v="81"/>
    <d v="2026-04-23T00:00:00"/>
    <n v="38676"/>
    <x v="3"/>
  </r>
  <r>
    <s v="Яковлев Артем Игоревич"/>
    <x v="48"/>
    <d v="2026-04-23T00:00:00"/>
    <n v="24116"/>
    <x v="3"/>
  </r>
  <r>
    <s v="Яковлев Артем Игоревич"/>
    <x v="49"/>
    <d v="2026-04-23T00:00:00"/>
    <n v="40009"/>
    <x v="3"/>
  </r>
  <r>
    <s v="Яковлев Артем Игоревич"/>
    <x v="50"/>
    <d v="2026-04-23T00:00:00"/>
    <n v="40691"/>
    <x v="3"/>
  </r>
  <r>
    <s v="Яковлев Артем Игоревич"/>
    <x v="1"/>
    <d v="2026-04-23T00:00:00"/>
    <n v="32173"/>
    <x v="3"/>
  </r>
  <r>
    <s v="Иванова Анна Сергеевна"/>
    <x v="29"/>
    <d v="2026-04-24T00:00:00"/>
    <n v="17261"/>
    <x v="3"/>
  </r>
  <r>
    <s v="Лебедев Николай Олегович"/>
    <x v="2"/>
    <d v="2026-04-24T00:00:00"/>
    <n v="12208"/>
    <x v="3"/>
  </r>
  <r>
    <s v="Орлов Павел Денисович"/>
    <x v="19"/>
    <d v="2026-04-24T00:00:00"/>
    <n v="13567"/>
    <x v="3"/>
  </r>
  <r>
    <s v="Орлов Павел Денисович"/>
    <x v="196"/>
    <d v="2026-04-24T00:00:00"/>
    <n v="5200"/>
    <x v="3"/>
  </r>
  <r>
    <s v="Фролов Сергей Викторович"/>
    <x v="186"/>
    <d v="2026-04-24T00:00:00"/>
    <n v="39031"/>
    <x v="3"/>
  </r>
  <r>
    <s v="Фролов Сергей Викторович"/>
    <x v="57"/>
    <d v="2026-04-24T00:00:00"/>
    <n v="39020"/>
    <x v="3"/>
  </r>
  <r>
    <s v="Фролов Сергей Викторович"/>
    <x v="168"/>
    <d v="2026-04-24T00:00:00"/>
    <n v="35840"/>
    <x v="3"/>
  </r>
  <r>
    <s v="Яковлев Артем Игоревич"/>
    <x v="112"/>
    <d v="2026-04-24T00:00:00"/>
    <n v="42868"/>
    <x v="3"/>
  </r>
  <r>
    <s v="Яковлев Артем Игоревич"/>
    <x v="171"/>
    <d v="2026-04-24T00:00:00"/>
    <n v="46436"/>
    <x v="3"/>
  </r>
  <r>
    <s v="Яковлев Артем Игоревич"/>
    <x v="33"/>
    <d v="2026-04-24T00:00:00"/>
    <n v="56184"/>
    <x v="3"/>
  </r>
  <r>
    <s v="Яковлев Артем Игоревич"/>
    <x v="14"/>
    <d v="2026-04-24T00:00:00"/>
    <n v="49412"/>
    <x v="3"/>
  </r>
  <r>
    <s v="Яковлев Артем Игоревич"/>
    <x v="68"/>
    <d v="2026-04-24T00:00:00"/>
    <n v="32081"/>
    <x v="3"/>
  </r>
  <r>
    <s v="Иванова Анна Сергеевна"/>
    <x v="178"/>
    <d v="2026-04-25T00:00:00"/>
    <n v="5200"/>
    <x v="3"/>
  </r>
  <r>
    <s v="Иванова Анна Сергеевна"/>
    <x v="145"/>
    <d v="2026-04-25T00:00:00"/>
    <n v="28303"/>
    <x v="3"/>
  </r>
  <r>
    <s v="Кузнецов Максим Алексеевич"/>
    <x v="27"/>
    <d v="2026-04-25T00:00:00"/>
    <n v="14305"/>
    <x v="3"/>
  </r>
  <r>
    <s v="Фролов Сергей Викторович"/>
    <x v="88"/>
    <d v="2026-04-25T00:00:00"/>
    <n v="9758"/>
    <x v="3"/>
  </r>
  <r>
    <s v="Фролов Сергей Викторович"/>
    <x v="170"/>
    <d v="2026-04-25T00:00:00"/>
    <n v="34594"/>
    <x v="3"/>
  </r>
  <r>
    <s v="Яковлев Артем Игоревич"/>
    <x v="48"/>
    <d v="2026-04-25T00:00:00"/>
    <n v="35013"/>
    <x v="3"/>
  </r>
  <r>
    <s v="Яковлев Артем Игоревич"/>
    <x v="158"/>
    <d v="2026-04-25T00:00:00"/>
    <n v="47374"/>
    <x v="3"/>
  </r>
  <r>
    <s v="Яковлев Артем Игоревич"/>
    <x v="129"/>
    <d v="2026-04-25T00:00:00"/>
    <n v="55736"/>
    <x v="3"/>
  </r>
  <r>
    <s v="Яковлев Артем Игоревич"/>
    <x v="40"/>
    <d v="2026-04-25T00:00:00"/>
    <n v="43355"/>
    <x v="3"/>
  </r>
  <r>
    <s v="Яковлев Артем Игоревич"/>
    <x v="90"/>
    <d v="2026-04-25T00:00:00"/>
    <n v="49363"/>
    <x v="3"/>
  </r>
  <r>
    <s v="Волков Дмитрий Романович"/>
    <x v="119"/>
    <d v="2026-04-26T00:00:00"/>
    <n v="21578"/>
    <x v="3"/>
  </r>
  <r>
    <s v="Семенова Ирина Валерьевна"/>
    <x v="86"/>
    <d v="2026-04-26T00:00:00"/>
    <n v="17161"/>
    <x v="3"/>
  </r>
  <r>
    <s v="Ткаченко Андрей Олегович"/>
    <x v="47"/>
    <d v="2026-04-26T00:00:00"/>
    <n v="23043"/>
    <x v="3"/>
  </r>
  <r>
    <s v="Фролов Сергей Викторович"/>
    <x v="67"/>
    <d v="2026-04-26T00:00:00"/>
    <n v="33334"/>
    <x v="3"/>
  </r>
  <r>
    <s v="Фролов Сергей Викторович"/>
    <x v="89"/>
    <d v="2026-04-26T00:00:00"/>
    <n v="24857"/>
    <x v="3"/>
  </r>
  <r>
    <s v="Фролов Сергей Викторович"/>
    <x v="81"/>
    <d v="2026-04-26T00:00:00"/>
    <n v="36443"/>
    <x v="3"/>
  </r>
  <r>
    <s v="Яковлев Артем Игоревич"/>
    <x v="1"/>
    <d v="2026-04-26T00:00:00"/>
    <n v="32611"/>
    <x v="3"/>
  </r>
  <r>
    <s v="Иванова Анна Сергеевна"/>
    <x v="185"/>
    <d v="2026-04-27T00:00:00"/>
    <n v="9882"/>
    <x v="3"/>
  </r>
  <r>
    <s v="Соколова Мария Ильинична"/>
    <x v="65"/>
    <d v="2026-04-27T00:00:00"/>
    <n v="9100"/>
    <x v="3"/>
  </r>
  <r>
    <s v="Ткаченко Андрей Олегович"/>
    <x v="9"/>
    <d v="2026-04-27T00:00:00"/>
    <n v="11912"/>
    <x v="3"/>
  </r>
  <r>
    <s v="Ткаченко Андрей Олегович"/>
    <x v="149"/>
    <d v="2026-04-27T00:00:00"/>
    <n v="22302"/>
    <x v="3"/>
  </r>
  <r>
    <s v="Ткаченко Андрей Олегович"/>
    <x v="201"/>
    <d v="2026-04-27T00:00:00"/>
    <n v="21302"/>
    <x v="3"/>
  </r>
  <r>
    <s v="Ткаченко Андрей Олегович"/>
    <x v="30"/>
    <d v="2026-04-27T00:00:00"/>
    <n v="25972"/>
    <x v="3"/>
  </r>
  <r>
    <s v="Фролов Сергей Викторович"/>
    <x v="124"/>
    <d v="2026-04-27T00:00:00"/>
    <n v="41926"/>
    <x v="3"/>
  </r>
  <r>
    <s v="Иванова Анна Сергеевна"/>
    <x v="70"/>
    <d v="2026-04-28T00:00:00"/>
    <n v="28992"/>
    <x v="3"/>
  </r>
  <r>
    <s v="Кузнецов Максим Алексеевич"/>
    <x v="179"/>
    <d v="2026-04-28T00:00:00"/>
    <n v="13244"/>
    <x v="3"/>
  </r>
  <r>
    <s v="Орлов Павел Денисович"/>
    <x v="73"/>
    <d v="2026-04-28T00:00:00"/>
    <n v="14683"/>
    <x v="3"/>
  </r>
  <r>
    <s v="Попов Кирилл Денисович"/>
    <x v="217"/>
    <d v="2026-04-28T00:00:00"/>
    <n v="11163"/>
    <x v="3"/>
  </r>
  <r>
    <s v="Ткаченко Андрей Олегович"/>
    <x v="195"/>
    <d v="2026-04-28T00:00:00"/>
    <n v="19591"/>
    <x v="3"/>
  </r>
  <r>
    <s v="Фролов Сергей Викторович"/>
    <x v="117"/>
    <d v="2026-04-28T00:00:00"/>
    <n v="42542"/>
    <x v="3"/>
  </r>
  <r>
    <s v="Яковлев Артем Игоревич"/>
    <x v="56"/>
    <d v="2026-04-28T00:00:00"/>
    <n v="26272"/>
    <x v="3"/>
  </r>
  <r>
    <s v="Иванова Анна Сергеевна"/>
    <x v="144"/>
    <d v="2026-04-29T00:00:00"/>
    <n v="26962"/>
    <x v="3"/>
  </r>
  <r>
    <s v="Иванова Анна Сергеевна"/>
    <x v="106"/>
    <d v="2026-04-29T00:00:00"/>
    <n v="28272"/>
    <x v="3"/>
  </r>
  <r>
    <s v="Кузнецов Максим Алексеевич"/>
    <x v="225"/>
    <d v="2026-04-29T00:00:00"/>
    <n v="13846"/>
    <x v="3"/>
  </r>
  <r>
    <s v="Кузнецов Максим Алексеевич"/>
    <x v="219"/>
    <d v="2026-04-29T00:00:00"/>
    <n v="15364"/>
    <x v="3"/>
  </r>
  <r>
    <s v="Ткаченко Андрей Олегович"/>
    <x v="102"/>
    <d v="2026-04-29T00:00:00"/>
    <n v="15698"/>
    <x v="3"/>
  </r>
  <r>
    <s v="Ткаченко Андрей Олегович"/>
    <x v="22"/>
    <d v="2026-04-29T00:00:00"/>
    <n v="23699"/>
    <x v="3"/>
  </r>
  <r>
    <s v="Фролов Сергей Викторович"/>
    <x v="170"/>
    <d v="2026-04-29T00:00:00"/>
    <n v="35685"/>
    <x v="3"/>
  </r>
  <r>
    <s v="Фролов Сергей Викторович"/>
    <x v="133"/>
    <d v="2026-04-29T00:00:00"/>
    <n v="41889"/>
    <x v="3"/>
  </r>
  <r>
    <s v="Яковлев Артем Игоревич"/>
    <x v="112"/>
    <d v="2026-04-29T00:00:00"/>
    <n v="40851"/>
    <x v="3"/>
  </r>
  <r>
    <s v="Яковлев Артем Игоревич"/>
    <x v="77"/>
    <d v="2026-04-29T00:00:00"/>
    <n v="42424"/>
    <x v="3"/>
  </r>
  <r>
    <s v="Яковлев Артем Игоревич"/>
    <x v="13"/>
    <d v="2026-04-29T00:00:00"/>
    <n v="37095"/>
    <x v="3"/>
  </r>
  <r>
    <s v="Яковлев Артем Игоревич"/>
    <x v="58"/>
    <d v="2026-04-29T00:00:00"/>
    <n v="34927"/>
    <x v="3"/>
  </r>
  <r>
    <s v="Яковлев Артем Игоревич"/>
    <x v="78"/>
    <d v="2026-04-29T00:00:00"/>
    <n v="32740"/>
    <x v="3"/>
  </r>
  <r>
    <s v="Иванова Анна Сергеевна"/>
    <x v="95"/>
    <d v="2026-04-30T00:00:00"/>
    <n v="36074"/>
    <x v="3"/>
  </r>
  <r>
    <s v="Павлова Татьяна Сергеевна"/>
    <x v="28"/>
    <d v="2026-04-30T00:00:00"/>
    <n v="12839"/>
    <x v="3"/>
  </r>
  <r>
    <s v="Ткаченко Андрей Олегович"/>
    <x v="116"/>
    <d v="2026-04-30T00:00:00"/>
    <n v="18191"/>
    <x v="3"/>
  </r>
  <r>
    <s v="Яковлев Артем Игоревич"/>
    <x v="169"/>
    <d v="2026-04-30T00:00:00"/>
    <n v="30424"/>
    <x v="3"/>
  </r>
  <r>
    <s v="Яковлев Артем Игоревич"/>
    <x v="230"/>
    <d v="2026-04-30T00:00:00"/>
    <n v="55385"/>
    <x v="3"/>
  </r>
  <r>
    <s v="Яковлев Артем Игоревич"/>
    <x v="50"/>
    <d v="2026-04-30T00:00:00"/>
    <n v="45691"/>
    <x v="3"/>
  </r>
  <r>
    <s v="Ткаченко Андрей Олегович"/>
    <x v="184"/>
    <d v="2026-05-01T00:00:00"/>
    <n v="23760"/>
    <x v="4"/>
  </r>
  <r>
    <s v="Фролов Сергей Викторович"/>
    <x v="197"/>
    <d v="2026-05-01T00:00:00"/>
    <n v="28218"/>
    <x v="4"/>
  </r>
  <r>
    <s v="Фролов Сергей Викторович"/>
    <x v="10"/>
    <d v="2026-05-01T00:00:00"/>
    <n v="26372"/>
    <x v="4"/>
  </r>
  <r>
    <s v="Фролов Сергей Викторович"/>
    <x v="6"/>
    <d v="2026-05-01T00:00:00"/>
    <n v="43757"/>
    <x v="4"/>
  </r>
  <r>
    <s v="Яковлев Артем Игоревич"/>
    <x v="67"/>
    <d v="2026-05-01T00:00:00"/>
    <n v="40775"/>
    <x v="4"/>
  </r>
  <r>
    <s v="Яковлев Артем Игоревич"/>
    <x v="59"/>
    <d v="2026-05-01T00:00:00"/>
    <n v="38654"/>
    <x v="4"/>
  </r>
  <r>
    <s v="Яковлев Артем Игоревич"/>
    <x v="50"/>
    <d v="2026-05-01T00:00:00"/>
    <n v="35185"/>
    <x v="4"/>
  </r>
  <r>
    <s v="Иванова Анна Сергеевна"/>
    <x v="70"/>
    <d v="2026-05-02T00:00:00"/>
    <n v="26957"/>
    <x v="4"/>
  </r>
  <r>
    <s v="Иванова Анна Сергеевна"/>
    <x v="26"/>
    <d v="2026-05-02T00:00:00"/>
    <n v="40433"/>
    <x v="4"/>
  </r>
  <r>
    <s v="Иванова Анна Сергеевна"/>
    <x v="16"/>
    <d v="2026-05-02T00:00:00"/>
    <n v="33119"/>
    <x v="4"/>
  </r>
  <r>
    <s v="Семенова Ирина Валерьевна"/>
    <x v="167"/>
    <d v="2026-05-02T00:00:00"/>
    <n v="19511"/>
    <x v="4"/>
  </r>
  <r>
    <s v="Фролов Сергей Викторович"/>
    <x v="236"/>
    <d v="2026-05-02T00:00:00"/>
    <n v="33484"/>
    <x v="4"/>
  </r>
  <r>
    <s v="Фролов Сергей Викторович"/>
    <x v="55"/>
    <d v="2026-05-02T00:00:00"/>
    <n v="27972"/>
    <x v="4"/>
  </r>
  <r>
    <s v="Яковлев Артем Игоревич"/>
    <x v="111"/>
    <d v="2026-05-02T00:00:00"/>
    <n v="27900"/>
    <x v="4"/>
  </r>
  <r>
    <s v="Яковлев Артем Игоревич"/>
    <x v="41"/>
    <d v="2026-05-02T00:00:00"/>
    <n v="51386"/>
    <x v="4"/>
  </r>
  <r>
    <s v="Волков Дмитрий Романович"/>
    <x v="143"/>
    <d v="2026-05-03T00:00:00"/>
    <n v="12930"/>
    <x v="4"/>
  </r>
  <r>
    <s v="Иванова Анна Сергеевна"/>
    <x v="80"/>
    <d v="2026-05-03T00:00:00"/>
    <n v="42018"/>
    <x v="4"/>
  </r>
  <r>
    <s v="Иванова Анна Сергеевна"/>
    <x v="37"/>
    <d v="2026-05-03T00:00:00"/>
    <n v="58484"/>
    <x v="4"/>
  </r>
  <r>
    <s v="Кузнецов Максим Алексеевич"/>
    <x v="119"/>
    <d v="2026-05-03T00:00:00"/>
    <n v="20319"/>
    <x v="4"/>
  </r>
  <r>
    <s v="Морозова Елена Андреевна"/>
    <x v="233"/>
    <d v="2026-05-03T00:00:00"/>
    <n v="13924"/>
    <x v="4"/>
  </r>
  <r>
    <s v="Орлов Павел Денисович"/>
    <x v="92"/>
    <d v="2026-05-03T00:00:00"/>
    <n v="14952"/>
    <x v="4"/>
  </r>
  <r>
    <s v="Яковлев Артем Игоревич"/>
    <x v="135"/>
    <d v="2026-05-03T00:00:00"/>
    <n v="45656"/>
    <x v="4"/>
  </r>
  <r>
    <s v="Иванова Анна Сергеевна"/>
    <x v="206"/>
    <d v="2026-05-04T00:00:00"/>
    <n v="24481"/>
    <x v="4"/>
  </r>
  <r>
    <s v="Орлов Павел Денисович"/>
    <x v="198"/>
    <d v="2026-05-04T00:00:00"/>
    <n v="14716"/>
    <x v="4"/>
  </r>
  <r>
    <s v="Соколова Мария Ильинична"/>
    <x v="65"/>
    <d v="2026-05-04T00:00:00"/>
    <n v="5200"/>
    <x v="4"/>
  </r>
  <r>
    <s v="Фролов Сергей Викторович"/>
    <x v="151"/>
    <d v="2026-05-04T00:00:00"/>
    <n v="37673"/>
    <x v="4"/>
  </r>
  <r>
    <s v="Фролов Сергей Викторович"/>
    <x v="168"/>
    <d v="2026-05-04T00:00:00"/>
    <n v="39499"/>
    <x v="4"/>
  </r>
  <r>
    <s v="Фролов Сергей Викторович"/>
    <x v="89"/>
    <d v="2026-05-04T00:00:00"/>
    <n v="27333"/>
    <x v="4"/>
  </r>
  <r>
    <s v="Яковлев Артем Игоревич"/>
    <x v="38"/>
    <d v="2026-05-04T00:00:00"/>
    <n v="47152"/>
    <x v="4"/>
  </r>
  <r>
    <s v="Яковлев Артем Игоревич"/>
    <x v="159"/>
    <d v="2026-05-04T00:00:00"/>
    <n v="39966"/>
    <x v="4"/>
  </r>
  <r>
    <s v="Яковлев Артем Игоревич"/>
    <x v="50"/>
    <d v="2026-05-04T00:00:00"/>
    <n v="32015"/>
    <x v="4"/>
  </r>
  <r>
    <s v="Яковлев Артем Игоревич"/>
    <x v="152"/>
    <d v="2026-05-04T00:00:00"/>
    <n v="39707"/>
    <x v="4"/>
  </r>
  <r>
    <s v="Иванова Анна Сергеевна"/>
    <x v="145"/>
    <d v="2026-05-05T00:00:00"/>
    <n v="29824"/>
    <x v="4"/>
  </r>
  <r>
    <s v="Орлов Павел Денисович"/>
    <x v="155"/>
    <d v="2026-05-05T00:00:00"/>
    <n v="8371"/>
    <x v="4"/>
  </r>
  <r>
    <s v="Орлов Павел Денисович"/>
    <x v="234"/>
    <d v="2026-05-05T00:00:00"/>
    <n v="7641"/>
    <x v="4"/>
  </r>
  <r>
    <s v="Ткаченко Андрей Олегович"/>
    <x v="47"/>
    <d v="2026-05-05T00:00:00"/>
    <n v="26891"/>
    <x v="4"/>
  </r>
  <r>
    <s v="Фролов Сергей Викторович"/>
    <x v="151"/>
    <d v="2026-05-05T00:00:00"/>
    <n v="24678"/>
    <x v="4"/>
  </r>
  <r>
    <s v="Фролов Сергей Викторович"/>
    <x v="122"/>
    <d v="2026-05-05T00:00:00"/>
    <n v="41302"/>
    <x v="4"/>
  </r>
  <r>
    <s v="Фролов Сергей Викторович"/>
    <x v="202"/>
    <d v="2026-05-05T00:00:00"/>
    <n v="42970"/>
    <x v="4"/>
  </r>
  <r>
    <s v="Фролов Сергей Викторович"/>
    <x v="169"/>
    <d v="2026-05-05T00:00:00"/>
    <n v="22646"/>
    <x v="4"/>
  </r>
  <r>
    <s v="Яковлев Артем Игоревич"/>
    <x v="48"/>
    <d v="2026-05-05T00:00:00"/>
    <n v="32441"/>
    <x v="4"/>
  </r>
  <r>
    <s v="Яковлев Артем Игоревич"/>
    <x v="59"/>
    <d v="2026-05-05T00:00:00"/>
    <n v="45330"/>
    <x v="4"/>
  </r>
  <r>
    <s v="Яковлев Артем Игоревич"/>
    <x v="34"/>
    <d v="2026-05-05T00:00:00"/>
    <n v="40989"/>
    <x v="4"/>
  </r>
  <r>
    <s v="Кузнецов Максим Алексеевич"/>
    <x v="147"/>
    <d v="2026-05-06T00:00:00"/>
    <n v="13874"/>
    <x v="4"/>
  </r>
  <r>
    <s v="Орлов Павел Денисович"/>
    <x v="85"/>
    <d v="2026-05-06T00:00:00"/>
    <n v="14788"/>
    <x v="4"/>
  </r>
  <r>
    <s v="Попов Кирилл Денисович"/>
    <x v="221"/>
    <d v="2026-05-06T00:00:00"/>
    <n v="5200"/>
    <x v="4"/>
  </r>
  <r>
    <s v="Семенова Ирина Валерьевна"/>
    <x v="64"/>
    <d v="2026-05-06T00:00:00"/>
    <n v="19303"/>
    <x v="4"/>
  </r>
  <r>
    <s v="Ткаченко Андрей Олегович"/>
    <x v="148"/>
    <d v="2026-05-06T00:00:00"/>
    <n v="19500"/>
    <x v="4"/>
  </r>
  <r>
    <s v="Фролов Сергей Викторович"/>
    <x v="229"/>
    <d v="2026-05-06T00:00:00"/>
    <n v="39332"/>
    <x v="4"/>
  </r>
  <r>
    <s v="Яковлев Артем Игоревич"/>
    <x v="56"/>
    <d v="2026-05-06T00:00:00"/>
    <n v="33611"/>
    <x v="4"/>
  </r>
  <r>
    <s v="Яковлев Артем Игоревич"/>
    <x v="38"/>
    <d v="2026-05-06T00:00:00"/>
    <n v="39351"/>
    <x v="4"/>
  </r>
  <r>
    <s v="Яковлев Артем Игоревич"/>
    <x v="13"/>
    <d v="2026-05-06T00:00:00"/>
    <n v="33052"/>
    <x v="4"/>
  </r>
  <r>
    <s v="Яковлев Артем Игоревич"/>
    <x v="160"/>
    <d v="2026-05-06T00:00:00"/>
    <n v="17215"/>
    <x v="4"/>
  </r>
  <r>
    <s v="Яковлев Артем Игоревич"/>
    <x v="34"/>
    <d v="2026-05-06T00:00:00"/>
    <n v="49667"/>
    <x v="4"/>
  </r>
  <r>
    <s v="Волков Дмитрий Романович"/>
    <x v="94"/>
    <d v="2026-05-07T00:00:00"/>
    <n v="12604"/>
    <x v="4"/>
  </r>
  <r>
    <s v="Ткаченко Андрей Олегович"/>
    <x v="189"/>
    <d v="2026-05-07T00:00:00"/>
    <n v="17675"/>
    <x v="4"/>
  </r>
  <r>
    <s v="Фролов Сергей Викторович"/>
    <x v="22"/>
    <d v="2026-05-07T00:00:00"/>
    <n v="18382"/>
    <x v="4"/>
  </r>
  <r>
    <s v="Фролов Сергей Викторович"/>
    <x v="11"/>
    <d v="2026-05-07T00:00:00"/>
    <n v="48456"/>
    <x v="4"/>
  </r>
  <r>
    <s v="Яковлев Артем Игоревич"/>
    <x v="112"/>
    <d v="2026-05-07T00:00:00"/>
    <n v="41172"/>
    <x v="4"/>
  </r>
  <r>
    <s v="Яковлев Артем Игоревич"/>
    <x v="171"/>
    <d v="2026-05-07T00:00:00"/>
    <n v="29496"/>
    <x v="4"/>
  </r>
  <r>
    <s v="Яковлев Артем Игоревич"/>
    <x v="57"/>
    <d v="2026-05-07T00:00:00"/>
    <n v="40192"/>
    <x v="4"/>
  </r>
  <r>
    <s v="Яковлев Артем Игоревич"/>
    <x v="135"/>
    <d v="2026-05-07T00:00:00"/>
    <n v="45506"/>
    <x v="4"/>
  </r>
  <r>
    <s v="Иванова Анна Сергеевна"/>
    <x v="192"/>
    <d v="2026-05-08T00:00:00"/>
    <n v="19567"/>
    <x v="4"/>
  </r>
  <r>
    <s v="Орлов Павел Денисович"/>
    <x v="210"/>
    <d v="2026-05-08T00:00:00"/>
    <n v="5200"/>
    <x v="4"/>
  </r>
  <r>
    <s v="Смирнов Евгений Андреевич"/>
    <x v="200"/>
    <d v="2026-05-08T00:00:00"/>
    <n v="11634"/>
    <x v="4"/>
  </r>
  <r>
    <s v="Ткаченко Андрей Олегович"/>
    <x v="116"/>
    <d v="2026-05-08T00:00:00"/>
    <n v="18299"/>
    <x v="4"/>
  </r>
  <r>
    <s v="Фролов Сергей Викторович"/>
    <x v="81"/>
    <d v="2026-05-08T00:00:00"/>
    <n v="15826"/>
    <x v="4"/>
  </r>
  <r>
    <s v="Фролов Сергей Викторович"/>
    <x v="23"/>
    <d v="2026-05-08T00:00:00"/>
    <n v="16925"/>
    <x v="4"/>
  </r>
  <r>
    <s v="Яковлев Артем Игоревич"/>
    <x v="48"/>
    <d v="2026-05-08T00:00:00"/>
    <n v="31259"/>
    <x v="4"/>
  </r>
  <r>
    <s v="Яковлев Артем Игоревич"/>
    <x v="158"/>
    <d v="2026-05-08T00:00:00"/>
    <n v="39770"/>
    <x v="4"/>
  </r>
  <r>
    <s v="Яковлев Артем Игоревич"/>
    <x v="24"/>
    <d v="2026-05-08T00:00:00"/>
    <n v="41929"/>
    <x v="4"/>
  </r>
  <r>
    <s v="Яковлев Артем Игоревич"/>
    <x v="58"/>
    <d v="2026-05-08T00:00:00"/>
    <n v="31173"/>
    <x v="4"/>
  </r>
  <r>
    <s v="Яковлев Артем Игоревич"/>
    <x v="51"/>
    <d v="2026-05-08T00:00:00"/>
    <n v="55366"/>
    <x v="4"/>
  </r>
  <r>
    <s v="Иванова Анна Сергеевна"/>
    <x v="136"/>
    <d v="2026-05-09T00:00:00"/>
    <n v="7541"/>
    <x v="4"/>
  </r>
  <r>
    <s v="Иванова Анна Сергеевна"/>
    <x v="91"/>
    <d v="2026-05-09T00:00:00"/>
    <n v="23774"/>
    <x v="4"/>
  </r>
  <r>
    <s v="Лебедев Николай Олегович"/>
    <x v="2"/>
    <d v="2026-05-09T00:00:00"/>
    <n v="13841"/>
    <x v="4"/>
  </r>
  <r>
    <s v="Морозова Елена Андреевна"/>
    <x v="18"/>
    <d v="2026-05-09T00:00:00"/>
    <n v="12106"/>
    <x v="4"/>
  </r>
  <r>
    <s v="Морозова Елена Андреевна"/>
    <x v="153"/>
    <d v="2026-05-09T00:00:00"/>
    <n v="11927"/>
    <x v="4"/>
  </r>
  <r>
    <s v="Семенова Ирина Валерьевна"/>
    <x v="20"/>
    <d v="2026-05-09T00:00:00"/>
    <n v="35262"/>
    <x v="4"/>
  </r>
  <r>
    <s v="Соколова Мария Ильинична"/>
    <x v="176"/>
    <d v="2026-05-09T00:00:00"/>
    <n v="9752"/>
    <x v="4"/>
  </r>
  <r>
    <s v="Ткаченко Андрей Олегович"/>
    <x v="177"/>
    <d v="2026-05-09T00:00:00"/>
    <n v="21149"/>
    <x v="4"/>
  </r>
  <r>
    <s v="Фролов Сергей Викторович"/>
    <x v="88"/>
    <d v="2026-05-09T00:00:00"/>
    <n v="36253"/>
    <x v="4"/>
  </r>
  <r>
    <s v="Фролов Сергей Викторович"/>
    <x v="142"/>
    <d v="2026-05-09T00:00:00"/>
    <n v="50126"/>
    <x v="4"/>
  </r>
  <r>
    <s v="Яковлев Артем Игоревич"/>
    <x v="190"/>
    <d v="2026-05-09T00:00:00"/>
    <n v="32501"/>
    <x v="4"/>
  </r>
  <r>
    <s v="Яковлев Артем Игоревич"/>
    <x v="33"/>
    <d v="2026-05-09T00:00:00"/>
    <n v="40436"/>
    <x v="4"/>
  </r>
  <r>
    <s v="Яковлев Артем Игоревич"/>
    <x v="14"/>
    <d v="2026-05-09T00:00:00"/>
    <n v="36706"/>
    <x v="4"/>
  </r>
  <r>
    <s v="Яковлев Артем Игоревич"/>
    <x v="25"/>
    <d v="2026-05-09T00:00:00"/>
    <n v="36750"/>
    <x v="4"/>
  </r>
  <r>
    <s v="Волков Дмитрий Романович"/>
    <x v="130"/>
    <d v="2026-05-10T00:00:00"/>
    <n v="5200"/>
    <x v="4"/>
  </r>
  <r>
    <s v="Волков Дмитрий Романович"/>
    <x v="79"/>
    <d v="2026-05-10T00:00:00"/>
    <n v="14218"/>
    <x v="4"/>
  </r>
  <r>
    <s v="Иванова Анна Сергеевна"/>
    <x v="34"/>
    <d v="2026-05-10T00:00:00"/>
    <n v="57355"/>
    <x v="4"/>
  </r>
  <r>
    <s v="Лебедев Николай Олегович"/>
    <x v="232"/>
    <d v="2026-05-10T00:00:00"/>
    <n v="8044"/>
    <x v="4"/>
  </r>
  <r>
    <s v="Орлов Павел Денисович"/>
    <x v="19"/>
    <d v="2026-05-10T00:00:00"/>
    <n v="20767"/>
    <x v="4"/>
  </r>
  <r>
    <s v="Орлов Павел Денисович"/>
    <x v="188"/>
    <d v="2026-05-10T00:00:00"/>
    <n v="5200"/>
    <x v="4"/>
  </r>
  <r>
    <s v="Семенова Ирина Валерьевна"/>
    <x v="214"/>
    <d v="2026-05-10T00:00:00"/>
    <n v="15593"/>
    <x v="4"/>
  </r>
  <r>
    <s v="Яковлев Артем Игоревич"/>
    <x v="236"/>
    <d v="2026-05-10T00:00:00"/>
    <n v="24661"/>
    <x v="4"/>
  </r>
  <r>
    <s v="Яковлев Артем Игоревич"/>
    <x v="203"/>
    <d v="2026-05-10T00:00:00"/>
    <n v="42979"/>
    <x v="4"/>
  </r>
  <r>
    <s v="Яковлев Артем Игоревич"/>
    <x v="41"/>
    <d v="2026-05-10T00:00:00"/>
    <n v="54827"/>
    <x v="4"/>
  </r>
  <r>
    <s v="Иванова Анна Сергеевна"/>
    <x v="126"/>
    <d v="2026-05-11T00:00:00"/>
    <n v="31805"/>
    <x v="4"/>
  </r>
  <r>
    <s v="Иванова Анна Сергеевна"/>
    <x v="185"/>
    <d v="2026-05-11T00:00:00"/>
    <n v="19604"/>
    <x v="4"/>
  </r>
  <r>
    <s v="Иванова Анна Сергеевна"/>
    <x v="218"/>
    <d v="2026-05-11T00:00:00"/>
    <n v="30806"/>
    <x v="4"/>
  </r>
  <r>
    <s v="Иванова Анна Сергеевна"/>
    <x v="173"/>
    <d v="2026-05-11T00:00:00"/>
    <n v="38477"/>
    <x v="4"/>
  </r>
  <r>
    <s v="Кузнецов Максим Алексеевич"/>
    <x v="164"/>
    <d v="2026-05-11T00:00:00"/>
    <n v="27439"/>
    <x v="4"/>
  </r>
  <r>
    <s v="Новикова Ольга Викторовна"/>
    <x v="154"/>
    <d v="2026-05-11T00:00:00"/>
    <n v="15745"/>
    <x v="4"/>
  </r>
  <r>
    <s v="Орлов Павел Денисович"/>
    <x v="45"/>
    <d v="2026-05-11T00:00:00"/>
    <n v="28910"/>
    <x v="4"/>
  </r>
  <r>
    <s v="Ткаченко Андрей Олегович"/>
    <x v="102"/>
    <d v="2026-05-11T00:00:00"/>
    <n v="6152"/>
    <x v="4"/>
  </r>
  <r>
    <s v="Фролов Сергей Викторович"/>
    <x v="222"/>
    <d v="2026-05-11T00:00:00"/>
    <n v="39789"/>
    <x v="4"/>
  </r>
  <r>
    <s v="Лебедев Николай Олегович"/>
    <x v="207"/>
    <d v="2026-05-12T00:00:00"/>
    <n v="5200"/>
    <x v="4"/>
  </r>
  <r>
    <s v="Семенова Ирина Валерьевна"/>
    <x v="196"/>
    <d v="2026-05-12T00:00:00"/>
    <n v="5854"/>
    <x v="4"/>
  </r>
  <r>
    <s v="Соколова Мария Ильинична"/>
    <x v="138"/>
    <d v="2026-05-12T00:00:00"/>
    <n v="12396"/>
    <x v="4"/>
  </r>
  <r>
    <s v="Ткаченко Андрей Олегович"/>
    <x v="140"/>
    <d v="2026-05-12T00:00:00"/>
    <n v="23636"/>
    <x v="4"/>
  </r>
  <r>
    <s v="Федорова Ксения Максимовна"/>
    <x v="21"/>
    <d v="2026-05-12T00:00:00"/>
    <n v="11804"/>
    <x v="4"/>
  </r>
  <r>
    <s v="Яковлев Артем Игоревич"/>
    <x v="56"/>
    <d v="2026-05-12T00:00:00"/>
    <n v="34981"/>
    <x v="4"/>
  </r>
  <r>
    <s v="Яковлев Артем Игоревич"/>
    <x v="40"/>
    <d v="2026-05-12T00:00:00"/>
    <n v="44440"/>
    <x v="4"/>
  </r>
  <r>
    <s v="Яковлев Артем Игоревич"/>
    <x v="152"/>
    <d v="2026-05-12T00:00:00"/>
    <n v="35025"/>
    <x v="4"/>
  </r>
  <r>
    <s v="Васильева Дарья Павловна"/>
    <x v="224"/>
    <d v="2026-05-13T00:00:00"/>
    <n v="9922"/>
    <x v="4"/>
  </r>
  <r>
    <s v="Иванова Анна Сергеевна"/>
    <x v="95"/>
    <d v="2026-05-13T00:00:00"/>
    <n v="35988"/>
    <x v="4"/>
  </r>
  <r>
    <s v="Ткаченко Андрей Олегович"/>
    <x v="195"/>
    <d v="2026-05-13T00:00:00"/>
    <n v="13043"/>
    <x v="4"/>
  </r>
  <r>
    <s v="Ткаченко Андрей Олегович"/>
    <x v="31"/>
    <d v="2026-05-13T00:00:00"/>
    <n v="27470"/>
    <x v="4"/>
  </r>
  <r>
    <s v="Фролов Сергей Викторович"/>
    <x v="159"/>
    <d v="2026-05-13T00:00:00"/>
    <n v="35690"/>
    <x v="4"/>
  </r>
  <r>
    <s v="Яковлев Артем Игоревич"/>
    <x v="24"/>
    <d v="2026-05-13T00:00:00"/>
    <n v="47196"/>
    <x v="4"/>
  </r>
  <r>
    <s v="Яковлев Артем Игоревич"/>
    <x v="24"/>
    <d v="2026-05-13T00:00:00"/>
    <n v="48986"/>
    <x v="4"/>
  </r>
  <r>
    <s v="Яковлев Артем Игоревич"/>
    <x v="67"/>
    <d v="2026-05-13T00:00:00"/>
    <n v="33825"/>
    <x v="4"/>
  </r>
  <r>
    <s v="Яковлев Артем Игоревич"/>
    <x v="129"/>
    <d v="2026-05-13T00:00:00"/>
    <n v="46367"/>
    <x v="4"/>
  </r>
  <r>
    <s v="Яковлев Артем Игоревич"/>
    <x v="90"/>
    <d v="2026-05-13T00:00:00"/>
    <n v="48249"/>
    <x v="4"/>
  </r>
  <r>
    <s v="Яковлев Артем Игоревич"/>
    <x v="223"/>
    <d v="2026-05-13T00:00:00"/>
    <n v="53546"/>
    <x v="4"/>
  </r>
  <r>
    <s v="Яковлев Артем Игоревич"/>
    <x v="230"/>
    <d v="2026-05-13T00:00:00"/>
    <n v="34420"/>
    <x v="4"/>
  </r>
  <r>
    <s v="Яковлев Артем Игоревич"/>
    <x v="152"/>
    <d v="2026-05-13T00:00:00"/>
    <n v="50019"/>
    <x v="4"/>
  </r>
  <r>
    <s v="Орлов Павел Денисович"/>
    <x v="4"/>
    <d v="2026-05-14T00:00:00"/>
    <n v="13658"/>
    <x v="4"/>
  </r>
  <r>
    <s v="Семенова Ирина Валерьевна"/>
    <x v="29"/>
    <d v="2026-05-14T00:00:00"/>
    <n v="17157"/>
    <x v="4"/>
  </r>
  <r>
    <s v="Семенова Ирина Валерьевна"/>
    <x v="166"/>
    <d v="2026-05-14T00:00:00"/>
    <n v="16136"/>
    <x v="4"/>
  </r>
  <r>
    <s v="Семенова Ирина Валерьевна"/>
    <x v="156"/>
    <d v="2026-05-14T00:00:00"/>
    <n v="18148"/>
    <x v="4"/>
  </r>
  <r>
    <s v="Яковлев Артем Игоревич"/>
    <x v="48"/>
    <d v="2026-05-14T00:00:00"/>
    <n v="32203"/>
    <x v="4"/>
  </r>
  <r>
    <s v="Яковлев Артем Игоревич"/>
    <x v="77"/>
    <d v="2026-05-14T00:00:00"/>
    <n v="44521"/>
    <x v="4"/>
  </r>
  <r>
    <s v="Яковлев Артем Игоревич"/>
    <x v="14"/>
    <d v="2026-05-14T00:00:00"/>
    <n v="35516"/>
    <x v="4"/>
  </r>
  <r>
    <s v="Волков Дмитрий Романович"/>
    <x v="162"/>
    <d v="2026-05-15T00:00:00"/>
    <n v="13237"/>
    <x v="4"/>
  </r>
  <r>
    <s v="Иванова Анна Сергеевна"/>
    <x v="131"/>
    <d v="2026-05-15T00:00:00"/>
    <n v="35818"/>
    <x v="4"/>
  </r>
  <r>
    <s v="Морозова Елена Андреевна"/>
    <x v="36"/>
    <d v="2026-05-15T00:00:00"/>
    <n v="22220"/>
    <x v="4"/>
  </r>
  <r>
    <s v="Фролов Сергей Викторович"/>
    <x v="110"/>
    <d v="2026-05-15T00:00:00"/>
    <n v="31814"/>
    <x v="4"/>
  </r>
  <r>
    <s v="Яковлев Артем Игоревич"/>
    <x v="33"/>
    <d v="2026-05-15T00:00:00"/>
    <n v="44066"/>
    <x v="4"/>
  </r>
  <r>
    <s v="Яковлев Артем Игоревич"/>
    <x v="13"/>
    <d v="2026-05-15T00:00:00"/>
    <n v="39972"/>
    <x v="4"/>
  </r>
  <r>
    <s v="Яковлев Артем Игоревич"/>
    <x v="59"/>
    <d v="2026-05-15T00:00:00"/>
    <n v="56214"/>
    <x v="4"/>
  </r>
  <r>
    <s v="Яковлев Артем Игоревич"/>
    <x v="51"/>
    <d v="2026-05-15T00:00:00"/>
    <n v="40995"/>
    <x v="4"/>
  </r>
  <r>
    <s v="Кузнецов Максим Алексеевич"/>
    <x v="99"/>
    <d v="2026-05-16T00:00:00"/>
    <n v="6209"/>
    <x v="4"/>
  </r>
  <r>
    <s v="Морозова Елена Андреевна"/>
    <x v="63"/>
    <d v="2026-05-16T00:00:00"/>
    <n v="11110"/>
    <x v="4"/>
  </r>
  <r>
    <s v="Павлова Татьяна Сергеевна"/>
    <x v="199"/>
    <d v="2026-05-16T00:00:00"/>
    <n v="12630"/>
    <x v="4"/>
  </r>
  <r>
    <s v="Попов Кирилл Денисович"/>
    <x v="52"/>
    <d v="2026-05-16T00:00:00"/>
    <n v="11501"/>
    <x v="4"/>
  </r>
  <r>
    <s v="Ткаченко Андрей Олегович"/>
    <x v="227"/>
    <d v="2026-05-16T00:00:00"/>
    <n v="23660"/>
    <x v="4"/>
  </r>
  <r>
    <s v="Яковлев Артем Игоревич"/>
    <x v="112"/>
    <d v="2026-05-16T00:00:00"/>
    <n v="36780"/>
    <x v="4"/>
  </r>
  <r>
    <s v="Яковлев Артем Игоревич"/>
    <x v="77"/>
    <d v="2026-05-16T00:00:00"/>
    <n v="31425"/>
    <x v="4"/>
  </r>
  <r>
    <s v="Яковлев Артем Игоревич"/>
    <x v="203"/>
    <d v="2026-05-16T00:00:00"/>
    <n v="43777"/>
    <x v="4"/>
  </r>
  <r>
    <s v="Яковлев Артем Игоревич"/>
    <x v="24"/>
    <d v="2026-05-16T00:00:00"/>
    <n v="40872"/>
    <x v="4"/>
  </r>
  <r>
    <s v="Павлова Татьяна Сергеевна"/>
    <x v="181"/>
    <d v="2026-05-17T00:00:00"/>
    <n v="11671"/>
    <x v="4"/>
  </r>
  <r>
    <s v="Попов Кирилл Денисович"/>
    <x v="115"/>
    <d v="2026-05-17T00:00:00"/>
    <n v="10622"/>
    <x v="4"/>
  </r>
  <r>
    <s v="Фролов Сергей Викторович"/>
    <x v="55"/>
    <d v="2026-05-17T00:00:00"/>
    <n v="28519"/>
    <x v="4"/>
  </r>
  <r>
    <s v="Фролов Сергей Викторович"/>
    <x v="161"/>
    <d v="2026-05-17T00:00:00"/>
    <n v="30322"/>
    <x v="4"/>
  </r>
  <r>
    <s v="Яковлев Артем Игоревич"/>
    <x v="12"/>
    <d v="2026-05-17T00:00:00"/>
    <n v="52823"/>
    <x v="4"/>
  </r>
  <r>
    <s v="Яковлев Артем Игоревич"/>
    <x v="203"/>
    <d v="2026-05-17T00:00:00"/>
    <n v="38684"/>
    <x v="4"/>
  </r>
  <r>
    <s v="Яковлев Артем Игоревич"/>
    <x v="1"/>
    <d v="2026-05-17T00:00:00"/>
    <n v="20174"/>
    <x v="4"/>
  </r>
  <r>
    <s v="Яковлев Артем Игоревич"/>
    <x v="25"/>
    <d v="2026-05-17T00:00:00"/>
    <n v="57695"/>
    <x v="4"/>
  </r>
  <r>
    <s v="Волков Дмитрий Романович"/>
    <x v="205"/>
    <d v="2026-05-18T00:00:00"/>
    <n v="17021"/>
    <x v="4"/>
  </r>
  <r>
    <s v="Иванова Анна Сергеевна"/>
    <x v="172"/>
    <d v="2026-05-18T00:00:00"/>
    <n v="35888"/>
    <x v="4"/>
  </r>
  <r>
    <s v="Кузнецов Максим Алексеевич"/>
    <x v="132"/>
    <d v="2026-05-18T00:00:00"/>
    <n v="13708"/>
    <x v="4"/>
  </r>
  <r>
    <s v="Кузнецов Максим Алексеевич"/>
    <x v="27"/>
    <d v="2026-05-18T00:00:00"/>
    <n v="15395"/>
    <x v="4"/>
  </r>
  <r>
    <s v="Лебедев Николай Олегович"/>
    <x v="120"/>
    <d v="2026-05-18T00:00:00"/>
    <n v="18442"/>
    <x v="4"/>
  </r>
  <r>
    <s v="Лебедев Николай Олегович"/>
    <x v="193"/>
    <d v="2026-05-18T00:00:00"/>
    <n v="23081"/>
    <x v="4"/>
  </r>
  <r>
    <s v="Орлов Павел Денисович"/>
    <x v="219"/>
    <d v="2026-05-18T00:00:00"/>
    <n v="15600"/>
    <x v="4"/>
  </r>
  <r>
    <s v="Павлова Татьяна Сергеевна"/>
    <x v="28"/>
    <d v="2026-05-18T00:00:00"/>
    <n v="10315"/>
    <x v="4"/>
  </r>
  <r>
    <s v="Семенова Ирина Валерьевна"/>
    <x v="226"/>
    <d v="2026-05-18T00:00:00"/>
    <n v="15888"/>
    <x v="4"/>
  </r>
  <r>
    <s v="Семенова Ирина Валерьевна"/>
    <x v="215"/>
    <d v="2026-05-18T00:00:00"/>
    <n v="12007"/>
    <x v="4"/>
  </r>
  <r>
    <s v="Фролов Сергей Викторович"/>
    <x v="53"/>
    <d v="2026-05-18T00:00:00"/>
    <n v="35042"/>
    <x v="4"/>
  </r>
  <r>
    <s v="Фролов Сергей Викторович"/>
    <x v="186"/>
    <d v="2026-05-18T00:00:00"/>
    <n v="35928"/>
    <x v="4"/>
  </r>
  <r>
    <s v="Фролов Сергей Викторович"/>
    <x v="76"/>
    <d v="2026-05-18T00:00:00"/>
    <n v="43465"/>
    <x v="4"/>
  </r>
  <r>
    <s v="Фролов Сергей Викторович"/>
    <x v="103"/>
    <d v="2026-05-18T00:00:00"/>
    <n v="9455"/>
    <x v="4"/>
  </r>
  <r>
    <s v="Фролов Сергей Викторович"/>
    <x v="118"/>
    <d v="2026-05-18T00:00:00"/>
    <n v="37103"/>
    <x v="4"/>
  </r>
  <r>
    <s v="Яковлев Артем Игоревич"/>
    <x v="33"/>
    <d v="2026-05-18T00:00:00"/>
    <n v="45379"/>
    <x v="4"/>
  </r>
  <r>
    <s v="Яковлев Артем Игоревич"/>
    <x v="58"/>
    <d v="2026-05-18T00:00:00"/>
    <n v="40703"/>
    <x v="4"/>
  </r>
  <r>
    <s v="Яковлев Артем Игоревич"/>
    <x v="68"/>
    <d v="2026-05-18T00:00:00"/>
    <n v="36066"/>
    <x v="4"/>
  </r>
  <r>
    <s v="Яковлев Артем Игоревич"/>
    <x v="68"/>
    <d v="2026-05-18T00:00:00"/>
    <n v="40819"/>
    <x v="4"/>
  </r>
  <r>
    <s v="Яковлев Артем Игоревич"/>
    <x v="50"/>
    <d v="2026-05-18T00:00:00"/>
    <n v="44933"/>
    <x v="4"/>
  </r>
  <r>
    <s v="Новикова Ольга Викторовна"/>
    <x v="108"/>
    <d v="2026-05-19T00:00:00"/>
    <n v="11518"/>
    <x v="4"/>
  </r>
  <r>
    <s v="Орлов Павел Денисович"/>
    <x v="86"/>
    <d v="2026-05-19T00:00:00"/>
    <n v="18735"/>
    <x v="4"/>
  </r>
  <r>
    <s v="Орлов Павел Денисович"/>
    <x v="211"/>
    <d v="2026-05-19T00:00:00"/>
    <n v="16911"/>
    <x v="4"/>
  </r>
  <r>
    <s v="Ткаченко Андрей Олегович"/>
    <x v="9"/>
    <d v="2026-05-19T00:00:00"/>
    <n v="7763"/>
    <x v="4"/>
  </r>
  <r>
    <s v="Фролов Сергей Викторович"/>
    <x v="89"/>
    <d v="2026-05-19T00:00:00"/>
    <n v="26757"/>
    <x v="4"/>
  </r>
  <r>
    <s v="Яковлев Артем Игоревич"/>
    <x v="113"/>
    <d v="2026-05-19T00:00:00"/>
    <n v="26215"/>
    <x v="4"/>
  </r>
  <r>
    <s v="Яковлев Артем Игоревич"/>
    <x v="90"/>
    <d v="2026-05-19T00:00:00"/>
    <n v="48212"/>
    <x v="4"/>
  </r>
  <r>
    <s v="Яковлев Артем Игоревич"/>
    <x v="50"/>
    <d v="2026-05-19T00:00:00"/>
    <n v="42652"/>
    <x v="4"/>
  </r>
  <r>
    <s v="Яковлев Артем Игоревич"/>
    <x v="41"/>
    <d v="2026-05-19T00:00:00"/>
    <n v="40447"/>
    <x v="4"/>
  </r>
  <r>
    <s v="Иванова Анна Сергеевна"/>
    <x v="133"/>
    <d v="2026-05-20T00:00:00"/>
    <n v="44814"/>
    <x v="4"/>
  </r>
  <r>
    <s v="Лебедев Николай Олегович"/>
    <x v="107"/>
    <d v="2026-05-20T00:00:00"/>
    <n v="15363"/>
    <x v="4"/>
  </r>
  <r>
    <s v="Лебедев Николай Олегович"/>
    <x v="62"/>
    <d v="2026-05-20T00:00:00"/>
    <n v="11562"/>
    <x v="4"/>
  </r>
  <r>
    <s v="Смирнов Евгений Андреевич"/>
    <x v="183"/>
    <d v="2026-05-20T00:00:00"/>
    <n v="7905"/>
    <x v="4"/>
  </r>
  <r>
    <s v="Ткаченко Андрей Олегович"/>
    <x v="149"/>
    <d v="2026-05-20T00:00:00"/>
    <n v="21793"/>
    <x v="4"/>
  </r>
  <r>
    <s v="Фролов Сергей Викторович"/>
    <x v="190"/>
    <d v="2026-05-20T00:00:00"/>
    <n v="38672"/>
    <x v="4"/>
  </r>
  <r>
    <s v="Яковлев Артем Игоревич"/>
    <x v="48"/>
    <d v="2026-05-20T00:00:00"/>
    <n v="40633"/>
    <x v="4"/>
  </r>
  <r>
    <s v="Яковлев Артем Игоревич"/>
    <x v="204"/>
    <d v="2026-05-20T00:00:00"/>
    <n v="40208"/>
    <x v="4"/>
  </r>
  <r>
    <s v="Волков Дмитрий Романович"/>
    <x v="114"/>
    <d v="2026-05-21T00:00:00"/>
    <n v="12889"/>
    <x v="4"/>
  </r>
  <r>
    <s v="Иванова Анна Сергеевна"/>
    <x v="105"/>
    <d v="2026-05-21T00:00:00"/>
    <n v="50753"/>
    <x v="4"/>
  </r>
  <r>
    <s v="Иванова Анна Сергеевна"/>
    <x v="96"/>
    <d v="2026-05-21T00:00:00"/>
    <n v="24871"/>
    <x v="4"/>
  </r>
  <r>
    <s v="Кузнецов Максим Алексеевич"/>
    <x v="225"/>
    <d v="2026-05-21T00:00:00"/>
    <n v="13219"/>
    <x v="4"/>
  </r>
  <r>
    <s v="Михайлова Алина Романовна"/>
    <x v="180"/>
    <d v="2026-05-21T00:00:00"/>
    <n v="10837"/>
    <x v="4"/>
  </r>
  <r>
    <s v="Семенова Ирина Валерьевна"/>
    <x v="182"/>
    <d v="2026-05-21T00:00:00"/>
    <n v="21717"/>
    <x v="4"/>
  </r>
  <r>
    <s v="Соколова Мария Ильинична"/>
    <x v="109"/>
    <d v="2026-05-21T00:00:00"/>
    <n v="5200"/>
    <x v="4"/>
  </r>
  <r>
    <s v="Ткаченко Андрей Олегович"/>
    <x v="5"/>
    <d v="2026-05-21T00:00:00"/>
    <n v="9034"/>
    <x v="4"/>
  </r>
  <r>
    <s v="Ткаченко Андрей Олегович"/>
    <x v="228"/>
    <d v="2026-05-21T00:00:00"/>
    <n v="20110"/>
    <x v="4"/>
  </r>
  <r>
    <s v="Ткаченко Андрей Олегович"/>
    <x v="150"/>
    <d v="2026-05-21T00:00:00"/>
    <n v="22372"/>
    <x v="4"/>
  </r>
  <r>
    <s v="Фролов Сергей Викторович"/>
    <x v="197"/>
    <d v="2026-05-21T00:00:00"/>
    <n v="20362"/>
    <x v="4"/>
  </r>
  <r>
    <s v="Яковлев Артем Игоревич"/>
    <x v="77"/>
    <d v="2026-05-21T00:00:00"/>
    <n v="45302"/>
    <x v="4"/>
  </r>
  <r>
    <s v="Яковлев Артем Игоревич"/>
    <x v="128"/>
    <d v="2026-05-21T00:00:00"/>
    <n v="50156"/>
    <x v="4"/>
  </r>
  <r>
    <s v="Яковлев Артем Игоревич"/>
    <x v="38"/>
    <d v="2026-05-21T00:00:00"/>
    <n v="54824"/>
    <x v="4"/>
  </r>
  <r>
    <s v="Яковлев Артем Игоревич"/>
    <x v="223"/>
    <d v="2026-05-21T00:00:00"/>
    <n v="46372"/>
    <x v="4"/>
  </r>
  <r>
    <s v="Яковлев Артем Игоревич"/>
    <x v="161"/>
    <d v="2026-05-21T00:00:00"/>
    <n v="34696"/>
    <x v="4"/>
  </r>
  <r>
    <s v="Иванова Анна Сергеевна"/>
    <x v="10"/>
    <d v="2026-05-22T00:00:00"/>
    <n v="29092"/>
    <x v="4"/>
  </r>
  <r>
    <s v="Иванова Анна Сергеевна"/>
    <x v="218"/>
    <d v="2026-05-22T00:00:00"/>
    <n v="25987"/>
    <x v="4"/>
  </r>
  <r>
    <s v="Козлов Алексей Михайлович"/>
    <x v="17"/>
    <d v="2026-05-22T00:00:00"/>
    <n v="23027"/>
    <x v="4"/>
  </r>
  <r>
    <s v="Кузнецов Максим Алексеевич"/>
    <x v="231"/>
    <d v="2026-05-22T00:00:00"/>
    <n v="12612"/>
    <x v="4"/>
  </r>
  <r>
    <s v="Семенова Ирина Валерьевна"/>
    <x v="75"/>
    <d v="2026-05-22T00:00:00"/>
    <n v="16894"/>
    <x v="4"/>
  </r>
  <r>
    <s v="Ткаченко Андрей Олегович"/>
    <x v="30"/>
    <d v="2026-05-22T00:00:00"/>
    <n v="19614"/>
    <x v="4"/>
  </r>
  <r>
    <s v="Фролов Сергей Викторович"/>
    <x v="32"/>
    <d v="2026-05-22T00:00:00"/>
    <n v="34186"/>
    <x v="4"/>
  </r>
  <r>
    <s v="Фролов Сергей Викторович"/>
    <x v="78"/>
    <d v="2026-05-22T00:00:00"/>
    <n v="30228"/>
    <x v="4"/>
  </r>
  <r>
    <s v="Яковлев Артем Игоревич"/>
    <x v="57"/>
    <d v="2026-05-22T00:00:00"/>
    <n v="56777"/>
    <x v="4"/>
  </r>
  <r>
    <s v="Яковлев Артем Игоревич"/>
    <x v="42"/>
    <d v="2026-05-22T00:00:00"/>
    <n v="34729"/>
    <x v="4"/>
  </r>
  <r>
    <s v="Яковлев Артем Игоревич"/>
    <x v="161"/>
    <d v="2026-05-22T00:00:00"/>
    <n v="31475"/>
    <x v="4"/>
  </r>
  <r>
    <s v="Козлов Алексей Михайлович"/>
    <x v="146"/>
    <d v="2026-05-23T00:00:00"/>
    <n v="6170"/>
    <x v="4"/>
  </r>
  <r>
    <s v="Козлов Алексей Михайлович"/>
    <x v="8"/>
    <d v="2026-05-23T00:00:00"/>
    <n v="24100"/>
    <x v="4"/>
  </r>
  <r>
    <s v="Новикова Ольга Викторовна"/>
    <x v="3"/>
    <d v="2026-05-23T00:00:00"/>
    <n v="11692"/>
    <x v="4"/>
  </r>
  <r>
    <s v="Павлова Татьяна Сергеевна"/>
    <x v="97"/>
    <d v="2026-05-23T00:00:00"/>
    <n v="13370"/>
    <x v="4"/>
  </r>
  <r>
    <s v="Попов Кирилл Денисович"/>
    <x v="35"/>
    <d v="2026-05-23T00:00:00"/>
    <n v="25653"/>
    <x v="4"/>
  </r>
  <r>
    <s v="Соколова Мария Ильинична"/>
    <x v="46"/>
    <d v="2026-05-23T00:00:00"/>
    <n v="12037"/>
    <x v="4"/>
  </r>
  <r>
    <s v="Яковлев Артем Игоревич"/>
    <x v="77"/>
    <d v="2026-05-23T00:00:00"/>
    <n v="46633"/>
    <x v="4"/>
  </r>
  <r>
    <s v="Яковлев Артем Игоревич"/>
    <x v="171"/>
    <d v="2026-05-23T00:00:00"/>
    <n v="44685"/>
    <x v="4"/>
  </r>
  <r>
    <s v="Яковлев Артем Игоревич"/>
    <x v="24"/>
    <d v="2026-05-23T00:00:00"/>
    <n v="36689"/>
    <x v="4"/>
  </r>
  <r>
    <s v="Яковлев Артем Игоревич"/>
    <x v="40"/>
    <d v="2026-05-23T00:00:00"/>
    <n v="29057"/>
    <x v="4"/>
  </r>
  <r>
    <s v="Яковлев Артем Игоревич"/>
    <x v="40"/>
    <d v="2026-05-23T00:00:00"/>
    <n v="34129"/>
    <x v="4"/>
  </r>
  <r>
    <s v="Морозова Елена Андреевна"/>
    <x v="208"/>
    <d v="2026-05-24T00:00:00"/>
    <n v="13081"/>
    <x v="4"/>
  </r>
  <r>
    <s v="Орлов Павел Денисович"/>
    <x v="163"/>
    <d v="2026-05-24T00:00:00"/>
    <n v="15988"/>
    <x v="4"/>
  </r>
  <r>
    <s v="Орлов Павел Денисович"/>
    <x v="220"/>
    <d v="2026-05-24T00:00:00"/>
    <n v="15760"/>
    <x v="4"/>
  </r>
  <r>
    <s v="Павлова Татьяна Сергеевна"/>
    <x v="235"/>
    <d v="2026-05-24T00:00:00"/>
    <n v="13406"/>
    <x v="4"/>
  </r>
  <r>
    <s v="Попов Кирилл Денисович"/>
    <x v="217"/>
    <d v="2026-05-24T00:00:00"/>
    <n v="11934"/>
    <x v="4"/>
  </r>
  <r>
    <s v="Семенова Ирина Валерьевна"/>
    <x v="185"/>
    <d v="2026-05-24T00:00:00"/>
    <n v="29893"/>
    <x v="4"/>
  </r>
  <r>
    <s v="Ткаченко Андрей Олегович"/>
    <x v="121"/>
    <d v="2026-05-24T00:00:00"/>
    <n v="25871"/>
    <x v="4"/>
  </r>
  <r>
    <s v="Фролов Сергей Викторович"/>
    <x v="170"/>
    <d v="2026-05-24T00:00:00"/>
    <n v="19964"/>
    <x v="4"/>
  </r>
  <r>
    <s v="Яковлев Артем Игоревич"/>
    <x v="77"/>
    <d v="2026-05-24T00:00:00"/>
    <n v="36731"/>
    <x v="4"/>
  </r>
  <r>
    <s v="Яковлев Артем Игоревич"/>
    <x v="14"/>
    <d v="2026-05-24T00:00:00"/>
    <n v="34548"/>
    <x v="4"/>
  </r>
  <r>
    <s v="Яковлев Артем Игоревич"/>
    <x v="118"/>
    <d v="2026-05-24T00:00:00"/>
    <n v="31180"/>
    <x v="4"/>
  </r>
  <r>
    <s v="Иванова Анна Сергеевна"/>
    <x v="137"/>
    <d v="2026-05-25T00:00:00"/>
    <n v="23753"/>
    <x v="4"/>
  </r>
  <r>
    <s v="Козлов Алексей Михайлович"/>
    <x v="174"/>
    <d v="2026-05-25T00:00:00"/>
    <n v="13032"/>
    <x v="4"/>
  </r>
  <r>
    <s v="Новикова Ольга Викторовна"/>
    <x v="100"/>
    <d v="2026-05-25T00:00:00"/>
    <n v="11866"/>
    <x v="4"/>
  </r>
  <r>
    <s v="Ткаченко Андрей Олегович"/>
    <x v="141"/>
    <d v="2026-05-25T00:00:00"/>
    <n v="24295"/>
    <x v="4"/>
  </r>
  <r>
    <s v="Фролов Сергей Викторович"/>
    <x v="123"/>
    <d v="2026-05-25T00:00:00"/>
    <n v="40001"/>
    <x v="4"/>
  </r>
  <r>
    <s v="Фролов Сергей Викторович"/>
    <x v="197"/>
    <d v="2026-05-25T00:00:00"/>
    <n v="28576"/>
    <x v="4"/>
  </r>
  <r>
    <s v="Яковлев Артем Игоревич"/>
    <x v="134"/>
    <d v="2026-05-25T00:00:00"/>
    <n v="42693"/>
    <x v="4"/>
  </r>
  <r>
    <s v="Яковлев Артем Игоревич"/>
    <x v="77"/>
    <d v="2026-05-25T00:00:00"/>
    <n v="38064"/>
    <x v="4"/>
  </r>
  <r>
    <s v="Яковлев Артем Игоревич"/>
    <x v="68"/>
    <d v="2026-05-25T00:00:00"/>
    <n v="26294"/>
    <x v="4"/>
  </r>
  <r>
    <s v="Яковлев Артем Игоревич"/>
    <x v="161"/>
    <d v="2026-05-25T00:00:00"/>
    <n v="37321"/>
    <x v="4"/>
  </r>
  <r>
    <s v="Яковлев Артем Игоревич"/>
    <x v="50"/>
    <d v="2026-05-25T00:00:00"/>
    <n v="30051"/>
    <x v="4"/>
  </r>
  <r>
    <s v="Яковлев Артем Игоревич"/>
    <x v="41"/>
    <d v="2026-05-25T00:00:00"/>
    <n v="40217"/>
    <x v="4"/>
  </r>
  <r>
    <s v="Иванова Анна Сергеевна"/>
    <x v="60"/>
    <d v="2026-05-26T00:00:00"/>
    <n v="29630"/>
    <x v="4"/>
  </r>
  <r>
    <s v="Кузнецов Максим Алексеевич"/>
    <x v="44"/>
    <d v="2026-05-26T00:00:00"/>
    <n v="10224"/>
    <x v="4"/>
  </r>
  <r>
    <s v="Семенова Ирина Валерьевна"/>
    <x v="212"/>
    <d v="2026-05-26T00:00:00"/>
    <n v="25560"/>
    <x v="4"/>
  </r>
  <r>
    <s v="Семенова Ирина Валерьевна"/>
    <x v="213"/>
    <d v="2026-05-26T00:00:00"/>
    <n v="18039"/>
    <x v="4"/>
  </r>
  <r>
    <s v="Фролов Сергей Викторович"/>
    <x v="158"/>
    <d v="2026-05-26T00:00:00"/>
    <n v="43078"/>
    <x v="4"/>
  </r>
  <r>
    <s v="Фролов Сергей Викторович"/>
    <x v="230"/>
    <d v="2026-05-26T00:00:00"/>
    <n v="55709"/>
    <x v="4"/>
  </r>
  <r>
    <s v="Яковлев Артем Игоревич"/>
    <x v="24"/>
    <d v="2026-05-26T00:00:00"/>
    <n v="40267"/>
    <x v="4"/>
  </r>
  <r>
    <s v="Яковлев Артем Игоревич"/>
    <x v="230"/>
    <d v="2026-05-26T00:00:00"/>
    <n v="48433"/>
    <x v="4"/>
  </r>
  <r>
    <s v="Яковлев Артем Игоревич"/>
    <x v="51"/>
    <d v="2026-05-26T00:00:00"/>
    <n v="57626"/>
    <x v="4"/>
  </r>
  <r>
    <s v="Иванова Анна Сергеевна"/>
    <x v="204"/>
    <d v="2026-05-27T00:00:00"/>
    <n v="52802"/>
    <x v="4"/>
  </r>
  <r>
    <s v="Иванова Анна Сергеевна"/>
    <x v="71"/>
    <d v="2026-05-27T00:00:00"/>
    <n v="38498"/>
    <x v="4"/>
  </r>
  <r>
    <s v="Иванова Анна Сергеевна"/>
    <x v="7"/>
    <d v="2026-05-27T00:00:00"/>
    <n v="30987"/>
    <x v="4"/>
  </r>
  <r>
    <s v="Кузнецов Максим Алексеевич"/>
    <x v="72"/>
    <d v="2026-05-27T00:00:00"/>
    <n v="9448"/>
    <x v="4"/>
  </r>
  <r>
    <s v="Семенова Ирина Валерьевна"/>
    <x v="178"/>
    <d v="2026-05-27T00:00:00"/>
    <n v="33664"/>
    <x v="4"/>
  </r>
  <r>
    <s v="Семенова Ирина Валерьевна"/>
    <x v="74"/>
    <d v="2026-05-27T00:00:00"/>
    <n v="19631"/>
    <x v="4"/>
  </r>
  <r>
    <s v="Соколова Мария Ильинична"/>
    <x v="157"/>
    <d v="2026-05-27T00:00:00"/>
    <n v="14812"/>
    <x v="4"/>
  </r>
  <r>
    <s v="Фролов Сергей Викторович"/>
    <x v="144"/>
    <d v="2026-05-27T00:00:00"/>
    <n v="27248"/>
    <x v="4"/>
  </r>
  <r>
    <s v="Фролов Сергей Викторович"/>
    <x v="117"/>
    <d v="2026-05-27T00:00:00"/>
    <n v="42021"/>
    <x v="4"/>
  </r>
  <r>
    <s v="Фролов Сергей Викторович"/>
    <x v="216"/>
    <d v="2026-05-27T00:00:00"/>
    <n v="35015"/>
    <x v="4"/>
  </r>
  <r>
    <s v="Фролов Сергей Викторович"/>
    <x v="118"/>
    <d v="2026-05-27T00:00:00"/>
    <n v="43164"/>
    <x v="4"/>
  </r>
  <r>
    <s v="Фролов Сергей Викторович"/>
    <x v="124"/>
    <d v="2026-05-27T00:00:00"/>
    <n v="53313"/>
    <x v="4"/>
  </r>
  <r>
    <s v="Фролов Сергей Викторович"/>
    <x v="125"/>
    <d v="2026-05-27T00:00:00"/>
    <n v="42733"/>
    <x v="4"/>
  </r>
  <r>
    <s v="Яковлев Артем Игоревич"/>
    <x v="12"/>
    <d v="2026-05-27T00:00:00"/>
    <n v="54440"/>
    <x v="4"/>
  </r>
  <r>
    <s v="Яковлев Артем Игоревич"/>
    <x v="39"/>
    <d v="2026-05-27T00:00:00"/>
    <n v="58523"/>
    <x v="4"/>
  </r>
  <r>
    <s v="Яковлев Артем Игоревич"/>
    <x v="14"/>
    <d v="2026-05-27T00:00:00"/>
    <n v="38070"/>
    <x v="4"/>
  </r>
  <r>
    <s v="Волков Дмитрий Романович"/>
    <x v="69"/>
    <d v="2026-05-28T00:00:00"/>
    <n v="10062"/>
    <x v="4"/>
  </r>
  <r>
    <s v="Иванова Анна Сергеевна"/>
    <x v="0"/>
    <d v="2026-05-28T00:00:00"/>
    <n v="19442"/>
    <x v="4"/>
  </r>
  <r>
    <s v="Иванова Анна Сергеевна"/>
    <x v="191"/>
    <d v="2026-05-28T00:00:00"/>
    <n v="26504"/>
    <x v="4"/>
  </r>
  <r>
    <s v="Иванова Анна Сергеевна"/>
    <x v="106"/>
    <d v="2026-05-28T00:00:00"/>
    <n v="28253"/>
    <x v="4"/>
  </r>
  <r>
    <s v="Козлов Алексей Михайлович"/>
    <x v="98"/>
    <d v="2026-05-28T00:00:00"/>
    <n v="11879"/>
    <x v="4"/>
  </r>
  <r>
    <s v="Кузнецов Максим Алексеевич"/>
    <x v="61"/>
    <d v="2026-05-28T00:00:00"/>
    <n v="18495"/>
    <x v="4"/>
  </r>
  <r>
    <s v="Кузнецов Максим Алексеевич"/>
    <x v="179"/>
    <d v="2026-05-28T00:00:00"/>
    <n v="12759"/>
    <x v="4"/>
  </r>
  <r>
    <s v="Орлов Павел Денисович"/>
    <x v="165"/>
    <d v="2026-05-28T00:00:00"/>
    <n v="11766"/>
    <x v="4"/>
  </r>
  <r>
    <s v="Орлов Павел Денисович"/>
    <x v="175"/>
    <d v="2026-05-28T00:00:00"/>
    <n v="11460"/>
    <x v="4"/>
  </r>
  <r>
    <s v="Семенова Ирина Валерьевна"/>
    <x v="139"/>
    <d v="2026-05-28T00:00:00"/>
    <n v="18707"/>
    <x v="4"/>
  </r>
  <r>
    <s v="Соколова Мария Ильинична"/>
    <x v="101"/>
    <d v="2026-05-28T00:00:00"/>
    <n v="11211"/>
    <x v="4"/>
  </r>
  <r>
    <s v="Ткаченко Андрей Олегович"/>
    <x v="201"/>
    <d v="2026-05-28T00:00:00"/>
    <n v="18180"/>
    <x v="4"/>
  </r>
  <r>
    <s v="Яковлев Артем Игоревич"/>
    <x v="129"/>
    <d v="2026-05-28T00:00:00"/>
    <n v="66138"/>
    <x v="4"/>
  </r>
  <r>
    <s v="Иванова Анна Сергеевна"/>
    <x v="15"/>
    <d v="2026-05-29T00:00:00"/>
    <n v="18942"/>
    <x v="4"/>
  </r>
  <r>
    <s v="Иванова Анна Сергеевна"/>
    <x v="127"/>
    <d v="2026-05-29T00:00:00"/>
    <n v="27127"/>
    <x v="4"/>
  </r>
  <r>
    <s v="Иванова Анна Сергеевна"/>
    <x v="173"/>
    <d v="2026-05-29T00:00:00"/>
    <n v="33932"/>
    <x v="4"/>
  </r>
  <r>
    <s v="Кузнецов Максим Алексеевич"/>
    <x v="82"/>
    <d v="2026-05-29T00:00:00"/>
    <n v="13107"/>
    <x v="4"/>
  </r>
  <r>
    <s v="Ткаченко Андрей Олегович"/>
    <x v="66"/>
    <d v="2026-05-29T00:00:00"/>
    <n v="5821"/>
    <x v="4"/>
  </r>
  <r>
    <s v="Фролов Сергей Викторович"/>
    <x v="53"/>
    <d v="2026-05-29T00:00:00"/>
    <n v="21867"/>
    <x v="4"/>
  </r>
  <r>
    <s v="Фролов Сергей Викторович"/>
    <x v="32"/>
    <d v="2026-05-29T00:00:00"/>
    <n v="24535"/>
    <x v="4"/>
  </r>
  <r>
    <s v="Фролов Сергей Викторович"/>
    <x v="93"/>
    <d v="2026-05-29T00:00:00"/>
    <n v="55803"/>
    <x v="4"/>
  </r>
  <r>
    <s v="Фролов Сергей Викторович"/>
    <x v="104"/>
    <d v="2026-05-29T00:00:00"/>
    <n v="47436"/>
    <x v="4"/>
  </r>
  <r>
    <s v="Яковлев Артем Игоревич"/>
    <x v="12"/>
    <d v="2026-05-29T00:00:00"/>
    <n v="36786"/>
    <x v="4"/>
  </r>
  <r>
    <s v="Яковлев Артем Игоревич"/>
    <x v="14"/>
    <d v="2026-05-29T00:00:00"/>
    <n v="50178"/>
    <x v="4"/>
  </r>
  <r>
    <s v="Яковлев Артем Игоревич"/>
    <x v="230"/>
    <d v="2026-05-29T00:00:00"/>
    <n v="49561"/>
    <x v="4"/>
  </r>
  <r>
    <s v="Новикова Ольга Викторовна"/>
    <x v="54"/>
    <d v="2026-05-30T00:00:00"/>
    <n v="11250"/>
    <x v="4"/>
  </r>
  <r>
    <s v="Орлов Павел Денисович"/>
    <x v="73"/>
    <d v="2026-05-30T00:00:00"/>
    <n v="14784"/>
    <x v="4"/>
  </r>
  <r>
    <s v="Ткаченко Андрей Олегович"/>
    <x v="194"/>
    <d v="2026-05-30T00:00:00"/>
    <n v="5200"/>
    <x v="4"/>
  </r>
  <r>
    <s v="Ткаченко Андрей Олегович"/>
    <x v="87"/>
    <d v="2026-05-30T00:00:00"/>
    <n v="45238"/>
    <x v="4"/>
  </r>
  <r>
    <s v="Фролов Сергей Викторович"/>
    <x v="186"/>
    <d v="2026-05-30T00:00:00"/>
    <n v="33851"/>
    <x v="4"/>
  </r>
  <r>
    <s v="Фролов Сергей Викторович"/>
    <x v="229"/>
    <d v="2026-05-30T00:00:00"/>
    <n v="37298"/>
    <x v="4"/>
  </r>
  <r>
    <s v="Яковлев Артем Игоревич"/>
    <x v="113"/>
    <d v="2026-05-30T00:00:00"/>
    <n v="33965"/>
    <x v="4"/>
  </r>
  <r>
    <s v="Яковлев Артем Игоревич"/>
    <x v="128"/>
    <d v="2026-05-30T00:00:00"/>
    <n v="46802"/>
    <x v="4"/>
  </r>
  <r>
    <s v="Яковлев Артем Игоревич"/>
    <x v="203"/>
    <d v="2026-05-30T00:00:00"/>
    <n v="43638"/>
    <x v="4"/>
  </r>
  <r>
    <s v="Яковлев Артем Игоревич"/>
    <x v="14"/>
    <d v="2026-05-30T00:00:00"/>
    <n v="35798"/>
    <x v="4"/>
  </r>
  <r>
    <s v="Яковлев Артем Игоревич"/>
    <x v="42"/>
    <d v="2026-05-30T00:00:00"/>
    <n v="29199"/>
    <x v="4"/>
  </r>
  <r>
    <s v="Яковлев Артем Игоревич"/>
    <x v="34"/>
    <d v="2026-05-30T00:00:00"/>
    <n v="52219"/>
    <x v="4"/>
  </r>
  <r>
    <s v="Яковлев Артем Игоревич"/>
    <x v="161"/>
    <d v="2026-05-30T00:00:00"/>
    <n v="36074"/>
    <x v="4"/>
  </r>
  <r>
    <s v="Волков Дмитрий Романович"/>
    <x v="187"/>
    <d v="2026-05-31T00:00:00"/>
    <n v="10615"/>
    <x v="4"/>
  </r>
  <r>
    <s v="Иванова Анна Сергеевна"/>
    <x v="78"/>
    <d v="2026-05-31T00:00:00"/>
    <n v="37306"/>
    <x v="4"/>
  </r>
  <r>
    <s v="Кузнецов Максим Алексеевич"/>
    <x v="43"/>
    <d v="2026-05-31T00:00:00"/>
    <n v="16988"/>
    <x v="4"/>
  </r>
  <r>
    <s v="Морозова Елена Андреевна"/>
    <x v="83"/>
    <d v="2026-05-31T00:00:00"/>
    <n v="13351"/>
    <x v="4"/>
  </r>
  <r>
    <s v="Морозова Елена Андреевна"/>
    <x v="209"/>
    <d v="2026-05-31T00:00:00"/>
    <n v="24303"/>
    <x v="4"/>
  </r>
  <r>
    <s v="Новикова Ольга Викторовна"/>
    <x v="84"/>
    <d v="2026-05-31T00:00:00"/>
    <n v="13841"/>
    <x v="4"/>
  </r>
  <r>
    <s v="Яковлев Артем Игоревич"/>
    <x v="190"/>
    <d v="2026-05-31T00:00:00"/>
    <n v="27345"/>
    <x v="4"/>
  </r>
  <r>
    <s v="Яковлев Артем Игоревич"/>
    <x v="39"/>
    <d v="2026-05-31T00:00:00"/>
    <n v="47283"/>
    <x v="4"/>
  </r>
  <r>
    <s v="Яковлев Артем Игоревич"/>
    <x v="67"/>
    <d v="2026-05-31T00:00:00"/>
    <n v="42169"/>
    <x v="4"/>
  </r>
  <r>
    <s v="Яковлев Артем Игоревич"/>
    <x v="14"/>
    <d v="2026-05-31T00:00:00"/>
    <n v="43132"/>
    <x v="4"/>
  </r>
  <r>
    <s v="Яковлев Артем Игоревич"/>
    <x v="49"/>
    <d v="2026-05-31T00:00:00"/>
    <n v="58834"/>
    <x v="4"/>
  </r>
  <r>
    <s v="Иванова Анна Сергеевна"/>
    <x v="80"/>
    <d v="2026-06-01T00:00:00"/>
    <n v="7441"/>
    <x v="5"/>
  </r>
  <r>
    <s v="Иванова Анна Сергеевна"/>
    <x v="192"/>
    <d v="2026-06-01T00:00:00"/>
    <n v="28805"/>
    <x v="5"/>
  </r>
  <r>
    <s v="Иванова Анна Сергеевна"/>
    <x v="7"/>
    <d v="2026-06-01T00:00:00"/>
    <n v="28645"/>
    <x v="5"/>
  </r>
  <r>
    <s v="Иванова Анна Сергеевна"/>
    <x v="137"/>
    <d v="2026-06-01T00:00:00"/>
    <n v="23409"/>
    <x v="5"/>
  </r>
  <r>
    <s v="Морозова Елена Андреевна"/>
    <x v="63"/>
    <d v="2026-06-01T00:00:00"/>
    <n v="23606"/>
    <x v="5"/>
  </r>
  <r>
    <s v="Морозова Елена Андреевна"/>
    <x v="187"/>
    <d v="2026-06-01T00:00:00"/>
    <n v="12253"/>
    <x v="5"/>
  </r>
  <r>
    <s v="Орлов Павел Денисович"/>
    <x v="155"/>
    <d v="2026-06-01T00:00:00"/>
    <n v="5994"/>
    <x v="5"/>
  </r>
  <r>
    <s v="Ткаченко Андрей Олегович"/>
    <x v="111"/>
    <d v="2026-06-01T00:00:00"/>
    <n v="29316"/>
    <x v="5"/>
  </r>
  <r>
    <s v="Фролов Сергей Викторович"/>
    <x v="22"/>
    <d v="2026-06-01T00:00:00"/>
    <n v="26536"/>
    <x v="5"/>
  </r>
  <r>
    <s v="Яковлев Артем Игоревич"/>
    <x v="203"/>
    <d v="2026-06-01T00:00:00"/>
    <n v="41012"/>
    <x v="5"/>
  </r>
  <r>
    <s v="Яковлев Артем Игоревич"/>
    <x v="223"/>
    <d v="2026-06-01T00:00:00"/>
    <n v="50509"/>
    <x v="5"/>
  </r>
  <r>
    <s v="Яковлев Артем Игоревич"/>
    <x v="118"/>
    <d v="2026-06-01T00:00:00"/>
    <n v="29414"/>
    <x v="5"/>
  </r>
  <r>
    <s v="Яковлев Артем Игоревич"/>
    <x v="25"/>
    <d v="2026-06-01T00:00:00"/>
    <n v="52499"/>
    <x v="5"/>
  </r>
  <r>
    <s v="Яковлев Артем Игоревич"/>
    <x v="135"/>
    <d v="2026-06-01T00:00:00"/>
    <n v="49954"/>
    <x v="5"/>
  </r>
  <r>
    <s v="Иванова Анна Сергеевна"/>
    <x v="70"/>
    <d v="2026-06-02T00:00:00"/>
    <n v="28690"/>
    <x v="5"/>
  </r>
  <r>
    <s v="Кузнецов Максим Алексеевич"/>
    <x v="72"/>
    <d v="2026-06-02T00:00:00"/>
    <n v="26665"/>
    <x v="5"/>
  </r>
  <r>
    <s v="Новикова Ольга Викторовна"/>
    <x v="3"/>
    <d v="2026-06-02T00:00:00"/>
    <n v="12067"/>
    <x v="5"/>
  </r>
  <r>
    <s v="Яковлев Артем Игоревич"/>
    <x v="39"/>
    <d v="2026-06-02T00:00:00"/>
    <n v="45181"/>
    <x v="5"/>
  </r>
  <r>
    <s v="Яковлев Артем Игоревич"/>
    <x v="49"/>
    <d v="2026-06-02T00:00:00"/>
    <n v="39611"/>
    <x v="5"/>
  </r>
  <r>
    <s v="Яковлев Артем Игоревич"/>
    <x v="50"/>
    <d v="2026-06-02T00:00:00"/>
    <n v="43317"/>
    <x v="5"/>
  </r>
  <r>
    <s v="Волков Дмитрий Романович"/>
    <x v="130"/>
    <d v="2026-06-03T00:00:00"/>
    <n v="23862"/>
    <x v="5"/>
  </r>
  <r>
    <s v="Орлов Павел Денисович"/>
    <x v="188"/>
    <d v="2026-06-03T00:00:00"/>
    <n v="27576"/>
    <x v="5"/>
  </r>
  <r>
    <s v="Орлов Павел Денисович"/>
    <x v="92"/>
    <d v="2026-06-03T00:00:00"/>
    <n v="15970"/>
    <x v="5"/>
  </r>
  <r>
    <s v="Семенова Ирина Валерьевна"/>
    <x v="227"/>
    <d v="2026-06-03T00:00:00"/>
    <n v="23057"/>
    <x v="5"/>
  </r>
  <r>
    <s v="Семенова Ирина Валерьевна"/>
    <x v="64"/>
    <d v="2026-06-03T00:00:00"/>
    <n v="13754"/>
    <x v="5"/>
  </r>
  <r>
    <s v="Ткаченко Андрей Олегович"/>
    <x v="5"/>
    <d v="2026-06-03T00:00:00"/>
    <n v="7447"/>
    <x v="5"/>
  </r>
  <r>
    <s v="Фролов Сергей Викторович"/>
    <x v="133"/>
    <d v="2026-06-03T00:00:00"/>
    <n v="45202"/>
    <x v="5"/>
  </r>
  <r>
    <s v="Яковлев Артем Игоревич"/>
    <x v="113"/>
    <d v="2026-06-03T00:00:00"/>
    <n v="27631"/>
    <x v="5"/>
  </r>
  <r>
    <s v="Яковлев Артем Игоревич"/>
    <x v="40"/>
    <d v="2026-06-03T00:00:00"/>
    <n v="39205"/>
    <x v="5"/>
  </r>
  <r>
    <s v="Яковлев Артем Игоревич"/>
    <x v="58"/>
    <d v="2026-06-03T00:00:00"/>
    <n v="36543"/>
    <x v="5"/>
  </r>
  <r>
    <s v="Егоров Илья Александрович"/>
    <x v="52"/>
    <d v="2026-06-04T00:00:00"/>
    <n v="11863"/>
    <x v="5"/>
  </r>
  <r>
    <s v="Иванова Анна Сергеевна"/>
    <x v="39"/>
    <d v="2026-06-04T00:00:00"/>
    <n v="37521"/>
    <x v="5"/>
  </r>
  <r>
    <s v="Лебедев Николай Олегович"/>
    <x v="107"/>
    <d v="2026-06-04T00:00:00"/>
    <n v="9540"/>
    <x v="5"/>
  </r>
  <r>
    <s v="Лебедев Николай Олегович"/>
    <x v="120"/>
    <d v="2026-06-04T00:00:00"/>
    <n v="18253"/>
    <x v="5"/>
  </r>
  <r>
    <s v="Семенова Ирина Валерьевна"/>
    <x v="45"/>
    <d v="2026-06-04T00:00:00"/>
    <n v="9907"/>
    <x v="5"/>
  </r>
  <r>
    <s v="Соколова Мария Ильинична"/>
    <x v="232"/>
    <d v="2026-06-04T00:00:00"/>
    <n v="13729"/>
    <x v="5"/>
  </r>
  <r>
    <s v="Ткаченко Андрей Олегович"/>
    <x v="194"/>
    <d v="2026-06-04T00:00:00"/>
    <n v="39873"/>
    <x v="5"/>
  </r>
  <r>
    <s v="Ткаченко Андрей Олегович"/>
    <x v="47"/>
    <d v="2026-06-04T00:00:00"/>
    <n v="24023"/>
    <x v="5"/>
  </r>
  <r>
    <s v="Ткаченко Андрей Олегович"/>
    <x v="150"/>
    <d v="2026-06-04T00:00:00"/>
    <n v="21019"/>
    <x v="5"/>
  </r>
  <r>
    <s v="Яковлев Артем Игоревич"/>
    <x v="48"/>
    <d v="2026-06-04T00:00:00"/>
    <n v="29437"/>
    <x v="5"/>
  </r>
  <r>
    <s v="Яковлев Артем Игоревич"/>
    <x v="190"/>
    <d v="2026-06-04T00:00:00"/>
    <n v="27060"/>
    <x v="5"/>
  </r>
  <r>
    <s v="Яковлев Артем Игоревич"/>
    <x v="13"/>
    <d v="2026-06-04T00:00:00"/>
    <n v="49235"/>
    <x v="5"/>
  </r>
  <r>
    <s v="Яковлев Артем Игоревич"/>
    <x v="204"/>
    <d v="2026-06-04T00:00:00"/>
    <n v="47612"/>
    <x v="5"/>
  </r>
  <r>
    <s v="Яковлев Артем Игоревич"/>
    <x v="49"/>
    <d v="2026-06-04T00:00:00"/>
    <n v="59445"/>
    <x v="5"/>
  </r>
  <r>
    <s v="Кузнецов Максим Алексеевич"/>
    <x v="27"/>
    <d v="2026-06-05T00:00:00"/>
    <n v="15478"/>
    <x v="5"/>
  </r>
  <r>
    <s v="Морозова Елена Андреевна"/>
    <x v="208"/>
    <d v="2026-06-05T00:00:00"/>
    <n v="14025"/>
    <x v="5"/>
  </r>
  <r>
    <s v="Морозова Елена Андреевна"/>
    <x v="36"/>
    <d v="2026-06-05T00:00:00"/>
    <n v="22910"/>
    <x v="5"/>
  </r>
  <r>
    <s v="Орлов Павел Денисович"/>
    <x v="198"/>
    <d v="2026-06-05T00:00:00"/>
    <n v="15940"/>
    <x v="5"/>
  </r>
  <r>
    <s v="Павлова Татьяна Сергеевна"/>
    <x v="235"/>
    <d v="2026-06-05T00:00:00"/>
    <n v="13379"/>
    <x v="5"/>
  </r>
  <r>
    <s v="Фролов Сергей Викторович"/>
    <x v="88"/>
    <d v="2026-06-05T00:00:00"/>
    <n v="28584"/>
    <x v="5"/>
  </r>
  <r>
    <s v="Яковлев Артем Игоревич"/>
    <x v="59"/>
    <d v="2026-06-05T00:00:00"/>
    <n v="50498"/>
    <x v="5"/>
  </r>
  <r>
    <s v="Яковлев Артем Игоревич"/>
    <x v="160"/>
    <d v="2026-06-05T00:00:00"/>
    <n v="35697"/>
    <x v="5"/>
  </r>
  <r>
    <s v="Волков Дмитрий Романович"/>
    <x v="119"/>
    <d v="2026-06-06T00:00:00"/>
    <n v="5200"/>
    <x v="5"/>
  </r>
  <r>
    <s v="Иванова Анна Сергеевна"/>
    <x v="136"/>
    <d v="2026-06-06T00:00:00"/>
    <n v="20557"/>
    <x v="5"/>
  </r>
  <r>
    <s v="Иванова Анна Сергеевна"/>
    <x v="185"/>
    <d v="2026-06-06T00:00:00"/>
    <n v="46977"/>
    <x v="5"/>
  </r>
  <r>
    <s v="Кузнецов Максим Алексеевич"/>
    <x v="179"/>
    <d v="2026-06-06T00:00:00"/>
    <n v="12609"/>
    <x v="5"/>
  </r>
  <r>
    <s v="Новикова Ольга Викторовна"/>
    <x v="100"/>
    <d v="2026-06-06T00:00:00"/>
    <n v="11627"/>
    <x v="5"/>
  </r>
  <r>
    <s v="Орлов Павел Денисович"/>
    <x v="73"/>
    <d v="2026-06-06T00:00:00"/>
    <n v="18469"/>
    <x v="5"/>
  </r>
  <r>
    <s v="Ткаченко Андрей Олегович"/>
    <x v="189"/>
    <d v="2026-06-06T00:00:00"/>
    <n v="26715"/>
    <x v="5"/>
  </r>
  <r>
    <s v="Фролов Сергей Викторович"/>
    <x v="48"/>
    <d v="2026-06-06T00:00:00"/>
    <n v="38761"/>
    <x v="5"/>
  </r>
  <r>
    <s v="Яковлев Артем Игоревич"/>
    <x v="158"/>
    <d v="2026-06-06T00:00:00"/>
    <n v="35029"/>
    <x v="5"/>
  </r>
  <r>
    <s v="Яковлев Артем Игоревич"/>
    <x v="40"/>
    <d v="2026-06-06T00:00:00"/>
    <n v="32732"/>
    <x v="5"/>
  </r>
  <r>
    <s v="Яковлев Артем Игоревич"/>
    <x v="204"/>
    <d v="2026-06-06T00:00:00"/>
    <n v="43125"/>
    <x v="5"/>
  </r>
  <r>
    <s v="Яковлев Артем Игоревич"/>
    <x v="59"/>
    <d v="2026-06-06T00:00:00"/>
    <n v="42282"/>
    <x v="5"/>
  </r>
  <r>
    <s v="Яковлев Артем Игоревич"/>
    <x v="1"/>
    <d v="2026-06-06T00:00:00"/>
    <n v="38859"/>
    <x v="5"/>
  </r>
  <r>
    <s v="Иванова Анна Сергеевна"/>
    <x v="95"/>
    <d v="2026-06-07T00:00:00"/>
    <n v="38611"/>
    <x v="5"/>
  </r>
  <r>
    <s v="Иванова Анна Сергеевна"/>
    <x v="96"/>
    <d v="2026-06-07T00:00:00"/>
    <n v="26883"/>
    <x v="5"/>
  </r>
  <r>
    <s v="Морозова Елена Андреевна"/>
    <x v="165"/>
    <d v="2026-06-07T00:00:00"/>
    <n v="12727"/>
    <x v="5"/>
  </r>
  <r>
    <s v="Ткаченко Андрей Олегович"/>
    <x v="87"/>
    <d v="2026-06-07T00:00:00"/>
    <n v="5495"/>
    <x v="5"/>
  </r>
  <r>
    <s v="Фролов Сергей Викторович"/>
    <x v="169"/>
    <d v="2026-06-07T00:00:00"/>
    <n v="45272"/>
    <x v="5"/>
  </r>
  <r>
    <s v="Яковлев Артем Игоревич"/>
    <x v="190"/>
    <d v="2026-06-07T00:00:00"/>
    <n v="40628"/>
    <x v="5"/>
  </r>
  <r>
    <s v="Яковлев Артем Игоревич"/>
    <x v="128"/>
    <d v="2026-06-07T00:00:00"/>
    <n v="48761"/>
    <x v="5"/>
  </r>
  <r>
    <s v="Яковлев Артем Игоревич"/>
    <x v="38"/>
    <d v="2026-06-07T00:00:00"/>
    <n v="49123"/>
    <x v="5"/>
  </r>
  <r>
    <s v="Яковлев Артем Игоревич"/>
    <x v="39"/>
    <d v="2026-06-07T00:00:00"/>
    <n v="51827"/>
    <x v="5"/>
  </r>
  <r>
    <s v="Яковлев Артем Игоревич"/>
    <x v="33"/>
    <d v="2026-06-07T00:00:00"/>
    <n v="50478"/>
    <x v="5"/>
  </r>
  <r>
    <s v="Яковлев Артем Игоревич"/>
    <x v="67"/>
    <d v="2026-06-07T00:00:00"/>
    <n v="38256"/>
    <x v="5"/>
  </r>
  <r>
    <s v="Яковлев Артем Игоревич"/>
    <x v="129"/>
    <d v="2026-06-07T00:00:00"/>
    <n v="32832"/>
    <x v="5"/>
  </r>
  <r>
    <s v="Васильева Дарья Павловна"/>
    <x v="35"/>
    <d v="2026-06-08T00:00:00"/>
    <n v="11181"/>
    <x v="5"/>
  </r>
  <r>
    <s v="Волков Дмитрий Романович"/>
    <x v="162"/>
    <d v="2026-06-08T00:00:00"/>
    <n v="12841"/>
    <x v="5"/>
  </r>
  <r>
    <s v="Иванова Анна Сергеевна"/>
    <x v="206"/>
    <d v="2026-06-08T00:00:00"/>
    <n v="29211"/>
    <x v="5"/>
  </r>
  <r>
    <s v="Кузнецов Максим Алексеевич"/>
    <x v="61"/>
    <d v="2026-06-08T00:00:00"/>
    <n v="16692"/>
    <x v="5"/>
  </r>
  <r>
    <s v="Орлов Павел Денисович"/>
    <x v="4"/>
    <d v="2026-06-08T00:00:00"/>
    <n v="14814"/>
    <x v="5"/>
  </r>
  <r>
    <s v="Орлов Павел Денисович"/>
    <x v="234"/>
    <d v="2026-06-08T00:00:00"/>
    <n v="27731"/>
    <x v="5"/>
  </r>
  <r>
    <s v="Семенова Ирина Валерьевна"/>
    <x v="175"/>
    <d v="2026-06-08T00:00:00"/>
    <n v="5200"/>
    <x v="5"/>
  </r>
  <r>
    <s v="Семенова Ирина Валерьевна"/>
    <x v="182"/>
    <d v="2026-06-08T00:00:00"/>
    <n v="19524"/>
    <x v="5"/>
  </r>
  <r>
    <s v="Ткаченко Андрей Олегович"/>
    <x v="30"/>
    <d v="2026-06-08T00:00:00"/>
    <n v="25425"/>
    <x v="5"/>
  </r>
  <r>
    <s v="Фролов Сергей Викторович"/>
    <x v="23"/>
    <d v="2026-06-08T00:00:00"/>
    <n v="16654"/>
    <x v="5"/>
  </r>
  <r>
    <s v="Фролов Сергей Викторович"/>
    <x v="6"/>
    <d v="2026-06-08T00:00:00"/>
    <n v="39023"/>
    <x v="5"/>
  </r>
  <r>
    <s v="Яковлев Артем Игоревич"/>
    <x v="0"/>
    <d v="2026-06-08T00:00:00"/>
    <n v="27517"/>
    <x v="5"/>
  </r>
  <r>
    <s v="Яковлев Артем Игоревич"/>
    <x v="230"/>
    <d v="2026-06-08T00:00:00"/>
    <n v="39399"/>
    <x v="5"/>
  </r>
  <r>
    <s v="Иванова Анна Сергеевна"/>
    <x v="0"/>
    <d v="2026-06-09T00:00:00"/>
    <n v="34504"/>
    <x v="5"/>
  </r>
  <r>
    <s v="Иванова Анна Сергеевна"/>
    <x v="144"/>
    <d v="2026-06-09T00:00:00"/>
    <n v="27593"/>
    <x v="5"/>
  </r>
  <r>
    <s v="Иванова Анна Сергеевна"/>
    <x v="197"/>
    <d v="2026-06-09T00:00:00"/>
    <n v="16158"/>
    <x v="5"/>
  </r>
  <r>
    <s v="Ткаченко Андрей Олегович"/>
    <x v="9"/>
    <d v="2026-06-09T00:00:00"/>
    <n v="13336"/>
    <x v="5"/>
  </r>
  <r>
    <s v="Ткаченко Андрей Олегович"/>
    <x v="228"/>
    <d v="2026-06-09T00:00:00"/>
    <n v="21500"/>
    <x v="5"/>
  </r>
  <r>
    <s v="Фролов Сергей Викторович"/>
    <x v="151"/>
    <d v="2026-06-09T00:00:00"/>
    <n v="35597"/>
    <x v="5"/>
  </r>
  <r>
    <s v="Яковлев Артем Игоревич"/>
    <x v="50"/>
    <d v="2026-06-09T00:00:00"/>
    <n v="39426"/>
    <x v="5"/>
  </r>
  <r>
    <s v="Яковлев Артем Игоревич"/>
    <x v="152"/>
    <d v="2026-06-09T00:00:00"/>
    <n v="46767"/>
    <x v="5"/>
  </r>
  <r>
    <s v="Волков Дмитрий Романович"/>
    <x v="94"/>
    <d v="2026-06-10T00:00:00"/>
    <n v="12626"/>
    <x v="5"/>
  </r>
  <r>
    <s v="Орлов Павел Денисович"/>
    <x v="211"/>
    <d v="2026-06-10T00:00:00"/>
    <n v="16568"/>
    <x v="5"/>
  </r>
  <r>
    <s v="Ткаченко Андрей Олегович"/>
    <x v="116"/>
    <d v="2026-06-10T00:00:00"/>
    <n v="18263"/>
    <x v="5"/>
  </r>
  <r>
    <s v="Ткаченко Андрей Олегович"/>
    <x v="37"/>
    <d v="2026-06-10T00:00:00"/>
    <n v="31459"/>
    <x v="5"/>
  </r>
  <r>
    <s v="Фролов Сергей Викторович"/>
    <x v="81"/>
    <d v="2026-06-10T00:00:00"/>
    <n v="35532"/>
    <x v="5"/>
  </r>
  <r>
    <s v="Яковлев Артем Игоревич"/>
    <x v="48"/>
    <d v="2026-06-10T00:00:00"/>
    <n v="35708"/>
    <x v="5"/>
  </r>
  <r>
    <s v="Яковлев Артем Игоревич"/>
    <x v="12"/>
    <d v="2026-06-10T00:00:00"/>
    <n v="42923"/>
    <x v="5"/>
  </r>
  <r>
    <s v="Яковлев Артем Игоревич"/>
    <x v="68"/>
    <d v="2026-06-10T00:00:00"/>
    <n v="35575"/>
    <x v="5"/>
  </r>
  <r>
    <s v="Яковлев Артем Игоревич"/>
    <x v="230"/>
    <d v="2026-06-10T00:00:00"/>
    <n v="45943"/>
    <x v="5"/>
  </r>
  <r>
    <s v="Яковлев Артем Игоревич"/>
    <x v="135"/>
    <d v="2026-06-10T00:00:00"/>
    <n v="36442"/>
    <x v="5"/>
  </r>
  <r>
    <s v="Иванова Анна Сергеевна"/>
    <x v="173"/>
    <d v="2026-06-11T00:00:00"/>
    <n v="33350"/>
    <x v="5"/>
  </r>
  <r>
    <s v="Семенова Ирина Валерьевна"/>
    <x v="139"/>
    <d v="2026-06-11T00:00:00"/>
    <n v="17907"/>
    <x v="5"/>
  </r>
  <r>
    <s v="Ткаченко Андрей Олегович"/>
    <x v="148"/>
    <d v="2026-06-11T00:00:00"/>
    <n v="18128"/>
    <x v="5"/>
  </r>
  <r>
    <s v="Яковлев Артем Игоревич"/>
    <x v="38"/>
    <d v="2026-06-11T00:00:00"/>
    <n v="50608"/>
    <x v="5"/>
  </r>
  <r>
    <s v="Яковлев Артем Игоревич"/>
    <x v="24"/>
    <d v="2026-06-11T00:00:00"/>
    <n v="40166"/>
    <x v="5"/>
  </r>
  <r>
    <s v="Яковлев Артем Игоревич"/>
    <x v="129"/>
    <d v="2026-06-11T00:00:00"/>
    <n v="41599"/>
    <x v="5"/>
  </r>
  <r>
    <s v="Яковлев Артем Игоревич"/>
    <x v="105"/>
    <d v="2026-06-11T00:00:00"/>
    <n v="63301"/>
    <x v="5"/>
  </r>
  <r>
    <s v="Яковлев Артем Игоревич"/>
    <x v="230"/>
    <d v="2026-06-11T00:00:00"/>
    <n v="37437"/>
    <x v="5"/>
  </r>
  <r>
    <s v="Волков Дмитрий Романович"/>
    <x v="205"/>
    <d v="2026-06-12T00:00:00"/>
    <n v="5200"/>
    <x v="5"/>
  </r>
  <r>
    <s v="Иванова Анна Сергеевна"/>
    <x v="15"/>
    <d v="2026-06-12T00:00:00"/>
    <n v="23522"/>
    <x v="5"/>
  </r>
  <r>
    <s v="Иванова Анна Сергеевна"/>
    <x v="145"/>
    <d v="2026-06-12T00:00:00"/>
    <n v="29306"/>
    <x v="5"/>
  </r>
  <r>
    <s v="Иванова Анна Сергеевна"/>
    <x v="26"/>
    <d v="2026-06-12T00:00:00"/>
    <n v="10056"/>
    <x v="5"/>
  </r>
  <r>
    <s v="Иванова Анна Сергеевна"/>
    <x v="16"/>
    <d v="2026-06-12T00:00:00"/>
    <n v="31550"/>
    <x v="5"/>
  </r>
  <r>
    <s v="Кузнецов Максим Алексеевич"/>
    <x v="43"/>
    <d v="2026-06-12T00:00:00"/>
    <n v="9834"/>
    <x v="5"/>
  </r>
  <r>
    <s v="Михайлова Алина Романовна"/>
    <x v="180"/>
    <d v="2026-06-12T00:00:00"/>
    <n v="10789"/>
    <x v="5"/>
  </r>
  <r>
    <s v="Фролов Сергей Викторович"/>
    <x v="14"/>
    <d v="2026-06-12T00:00:00"/>
    <n v="37731"/>
    <x v="5"/>
  </r>
  <r>
    <s v="Фролов Сергей Викторович"/>
    <x v="201"/>
    <d v="2026-06-12T00:00:00"/>
    <n v="26481"/>
    <x v="5"/>
  </r>
  <r>
    <s v="Яковлев Артем Игоревич"/>
    <x v="171"/>
    <d v="2026-06-12T00:00:00"/>
    <n v="40643"/>
    <x v="5"/>
  </r>
  <r>
    <s v="Яковлев Артем Игоревич"/>
    <x v="171"/>
    <d v="2026-06-12T00:00:00"/>
    <n v="36457"/>
    <x v="5"/>
  </r>
  <r>
    <s v="Яковлев Артем Игоревич"/>
    <x v="24"/>
    <d v="2026-06-12T00:00:00"/>
    <n v="38758"/>
    <x v="5"/>
  </r>
  <r>
    <s v="Яковлев Артем Игоревич"/>
    <x v="49"/>
    <d v="2026-06-12T00:00:00"/>
    <n v="48899"/>
    <x v="5"/>
  </r>
  <r>
    <s v="Иванова Анна Сергеевна"/>
    <x v="172"/>
    <d v="2026-06-13T00:00:00"/>
    <n v="33771"/>
    <x v="5"/>
  </r>
  <r>
    <s v="Козлов Алексей Михайлович"/>
    <x v="8"/>
    <d v="2026-06-13T00:00:00"/>
    <n v="5200"/>
    <x v="5"/>
  </r>
  <r>
    <s v="Ткаченко Андрей Олегович"/>
    <x v="215"/>
    <d v="2026-06-13T00:00:00"/>
    <n v="19052"/>
    <x v="5"/>
  </r>
  <r>
    <s v="Фролов Сергей Викторович"/>
    <x v="53"/>
    <d v="2026-06-13T00:00:00"/>
    <n v="52536"/>
    <x v="5"/>
  </r>
  <r>
    <s v="Фролов Сергей Викторович"/>
    <x v="24"/>
    <d v="2026-06-13T00:00:00"/>
    <n v="47503"/>
    <x v="5"/>
  </r>
  <r>
    <s v="Фролов Сергей Викторович"/>
    <x v="168"/>
    <d v="2026-06-13T00:00:00"/>
    <n v="50893"/>
    <x v="5"/>
  </r>
  <r>
    <s v="Фролов Сергей Викторович"/>
    <x v="142"/>
    <d v="2026-06-13T00:00:00"/>
    <n v="23261"/>
    <x v="5"/>
  </r>
  <r>
    <s v="Яковлев Артем Игоревич"/>
    <x v="230"/>
    <d v="2026-06-13T00:00:00"/>
    <n v="38517"/>
    <x v="5"/>
  </r>
  <r>
    <s v="Козлов Алексей Михайлович"/>
    <x v="154"/>
    <d v="2026-06-14T00:00:00"/>
    <n v="11168"/>
    <x v="5"/>
  </r>
  <r>
    <s v="Кузнецов Максим Алексеевич"/>
    <x v="231"/>
    <d v="2026-06-14T00:00:00"/>
    <n v="9426"/>
    <x v="5"/>
  </r>
  <r>
    <s v="Кузнецов Максим Алексеевич"/>
    <x v="219"/>
    <d v="2026-06-14T00:00:00"/>
    <n v="15359"/>
    <x v="5"/>
  </r>
  <r>
    <s v="Морозова Елена Андреевна"/>
    <x v="153"/>
    <d v="2026-06-14T00:00:00"/>
    <n v="12804"/>
    <x v="5"/>
  </r>
  <r>
    <s v="Новикова Ольга Викторовна"/>
    <x v="174"/>
    <d v="2026-06-14T00:00:00"/>
    <n v="12805"/>
    <x v="5"/>
  </r>
  <r>
    <s v="Попов Кирилл Денисович"/>
    <x v="115"/>
    <d v="2026-06-14T00:00:00"/>
    <n v="10996"/>
    <x v="5"/>
  </r>
  <r>
    <s v="Семенова Ирина Валерьевна"/>
    <x v="75"/>
    <d v="2026-06-14T00:00:00"/>
    <n v="17992"/>
    <x v="5"/>
  </r>
  <r>
    <s v="Яковлев Артем Игоревич"/>
    <x v="56"/>
    <d v="2026-06-14T00:00:00"/>
    <n v="37128"/>
    <x v="5"/>
  </r>
  <r>
    <s v="Яковлев Артем Игоревич"/>
    <x v="57"/>
    <d v="2026-06-14T00:00:00"/>
    <n v="44419"/>
    <x v="5"/>
  </r>
  <r>
    <s v="Яковлев Артем Игоревич"/>
    <x v="90"/>
    <d v="2026-06-14T00:00:00"/>
    <n v="37603"/>
    <x v="5"/>
  </r>
  <r>
    <s v="Яковлев Артем Игоревич"/>
    <x v="51"/>
    <d v="2026-06-14T00:00:00"/>
    <n v="52248"/>
    <x v="5"/>
  </r>
  <r>
    <s v="Яковлев Артем Игоревич"/>
    <x v="51"/>
    <d v="2026-06-14T00:00:00"/>
    <n v="44604"/>
    <x v="5"/>
  </r>
  <r>
    <s v="Волков Дмитрий Романович"/>
    <x v="79"/>
    <d v="2026-06-15T00:00:00"/>
    <n v="13571"/>
    <x v="5"/>
  </r>
  <r>
    <s v="Кузнецов Максим Алексеевич"/>
    <x v="132"/>
    <d v="2026-06-15T00:00:00"/>
    <n v="13264"/>
    <x v="5"/>
  </r>
  <r>
    <s v="Морозова Елена Андреевна"/>
    <x v="209"/>
    <d v="2026-06-15T00:00:00"/>
    <n v="8010"/>
    <x v="5"/>
  </r>
  <r>
    <s v="Ткаченко Андрей Олегович"/>
    <x v="110"/>
    <d v="2026-06-15T00:00:00"/>
    <n v="28314"/>
    <x v="5"/>
  </r>
  <r>
    <s v="Фролов Сергей Викторович"/>
    <x v="102"/>
    <d v="2026-06-15T00:00:00"/>
    <n v="36762"/>
    <x v="5"/>
  </r>
  <r>
    <s v="Яковлев Артем Игоревич"/>
    <x v="112"/>
    <d v="2026-06-15T00:00:00"/>
    <n v="34451"/>
    <x v="5"/>
  </r>
  <r>
    <s v="Яковлев Артем Игоревич"/>
    <x v="56"/>
    <d v="2026-06-15T00:00:00"/>
    <n v="27037"/>
    <x v="5"/>
  </r>
  <r>
    <s v="Яковлев Артем Игоревич"/>
    <x v="158"/>
    <d v="2026-06-15T00:00:00"/>
    <n v="46032"/>
    <x v="5"/>
  </r>
  <r>
    <s v="Яковлев Артем Игоревич"/>
    <x v="67"/>
    <d v="2026-06-15T00:00:00"/>
    <n v="43148"/>
    <x v="5"/>
  </r>
  <r>
    <s v="Яковлев Артем Игоревич"/>
    <x v="42"/>
    <d v="2026-06-15T00:00:00"/>
    <n v="28931"/>
    <x v="5"/>
  </r>
  <r>
    <s v="Яковлев Артем Игоревич"/>
    <x v="49"/>
    <d v="2026-06-15T00:00:00"/>
    <n v="57250"/>
    <x v="5"/>
  </r>
  <r>
    <s v="Яковлев Артем Игоревич"/>
    <x v="223"/>
    <d v="2026-06-15T00:00:00"/>
    <n v="35068"/>
    <x v="5"/>
  </r>
  <r>
    <s v="Яковлев Артем Игоревич"/>
    <x v="51"/>
    <d v="2026-06-15T00:00:00"/>
    <n v="63566"/>
    <x v="5"/>
  </r>
  <r>
    <s v="Яковлев Артем Игоревич"/>
    <x v="1"/>
    <d v="2026-06-15T00:00:00"/>
    <n v="32332"/>
    <x v="5"/>
  </r>
  <r>
    <s v="Иванова Анна Сергеевна"/>
    <x v="131"/>
    <d v="2026-06-16T00:00:00"/>
    <n v="21166"/>
    <x v="5"/>
  </r>
  <r>
    <s v="Семенова Ирина Валерьевна"/>
    <x v="226"/>
    <d v="2026-06-16T00:00:00"/>
    <n v="15343"/>
    <x v="5"/>
  </r>
  <r>
    <s v="Фролов Сергей Викторович"/>
    <x v="229"/>
    <d v="2026-06-16T00:00:00"/>
    <n v="31363"/>
    <x v="5"/>
  </r>
  <r>
    <s v="Фролов Сергей Викторович"/>
    <x v="122"/>
    <d v="2026-06-16T00:00:00"/>
    <n v="43373"/>
    <x v="5"/>
  </r>
  <r>
    <s v="Фролов Сергей Викторович"/>
    <x v="22"/>
    <d v="2026-06-16T00:00:00"/>
    <n v="35535"/>
    <x v="5"/>
  </r>
  <r>
    <s v="Фролов Сергей Викторович"/>
    <x v="202"/>
    <d v="2026-06-16T00:00:00"/>
    <n v="42357"/>
    <x v="5"/>
  </r>
  <r>
    <s v="Фролов Сергей Викторович"/>
    <x v="55"/>
    <d v="2026-06-16T00:00:00"/>
    <n v="13752"/>
    <x v="5"/>
  </r>
  <r>
    <s v="Яковлев Артем Игоревич"/>
    <x v="48"/>
    <d v="2026-06-16T00:00:00"/>
    <n v="27230"/>
    <x v="5"/>
  </r>
  <r>
    <s v="Яковлев Артем Игоревич"/>
    <x v="77"/>
    <d v="2026-06-16T00:00:00"/>
    <n v="51039"/>
    <x v="5"/>
  </r>
  <r>
    <s v="Яковлев Артем Игоревич"/>
    <x v="203"/>
    <d v="2026-06-16T00:00:00"/>
    <n v="64820"/>
    <x v="5"/>
  </r>
  <r>
    <s v="Яковлев Артем Игоревич"/>
    <x v="67"/>
    <d v="2026-06-16T00:00:00"/>
    <n v="31839"/>
    <x v="5"/>
  </r>
  <r>
    <s v="Яковлев Артем Игоревич"/>
    <x v="159"/>
    <d v="2026-06-16T00:00:00"/>
    <n v="36458"/>
    <x v="5"/>
  </r>
  <r>
    <s v="Яковлев Артем Игоревич"/>
    <x v="1"/>
    <d v="2026-06-16T00:00:00"/>
    <n v="46522"/>
    <x v="5"/>
  </r>
  <r>
    <s v="Иванова Анна Сергеевна"/>
    <x v="191"/>
    <d v="2026-06-17T00:00:00"/>
    <n v="18767"/>
    <x v="5"/>
  </r>
  <r>
    <s v="Иванова Анна Сергеевна"/>
    <x v="71"/>
    <d v="2026-06-17T00:00:00"/>
    <n v="36108"/>
    <x v="5"/>
  </r>
  <r>
    <s v="Иванова Анна Сергеевна"/>
    <x v="152"/>
    <d v="2026-06-17T00:00:00"/>
    <n v="39499"/>
    <x v="5"/>
  </r>
  <r>
    <s v="Козлов Алексей Михайлович"/>
    <x v="146"/>
    <d v="2026-06-17T00:00:00"/>
    <n v="21734"/>
    <x v="5"/>
  </r>
  <r>
    <s v="Лебедев Николай Олегович"/>
    <x v="2"/>
    <d v="2026-06-17T00:00:00"/>
    <n v="13253"/>
    <x v="5"/>
  </r>
  <r>
    <s v="Павлова Татьяна Сергеевна"/>
    <x v="28"/>
    <d v="2026-06-17T00:00:00"/>
    <n v="12160"/>
    <x v="5"/>
  </r>
  <r>
    <s v="Семенова Ирина Валерьевна"/>
    <x v="20"/>
    <d v="2026-06-17T00:00:00"/>
    <n v="5200"/>
    <x v="5"/>
  </r>
  <r>
    <s v="Семенова Ирина Валерьевна"/>
    <x v="86"/>
    <d v="2026-06-17T00:00:00"/>
    <n v="18402"/>
    <x v="5"/>
  </r>
  <r>
    <s v="Ткаченко Андрей Олегович"/>
    <x v="184"/>
    <d v="2026-06-17T00:00:00"/>
    <n v="22713"/>
    <x v="5"/>
  </r>
  <r>
    <s v="Фролов Сергей Викторович"/>
    <x v="88"/>
    <d v="2026-06-17T00:00:00"/>
    <n v="36106"/>
    <x v="5"/>
  </r>
  <r>
    <s v="Фролов Сергей Викторович"/>
    <x v="89"/>
    <d v="2026-06-17T00:00:00"/>
    <n v="23324"/>
    <x v="5"/>
  </r>
  <r>
    <s v="Яковлев Артем Игоревич"/>
    <x v="159"/>
    <d v="2026-06-17T00:00:00"/>
    <n v="35127"/>
    <x v="5"/>
  </r>
  <r>
    <s v="Яковлев Артем Игоревич"/>
    <x v="42"/>
    <d v="2026-06-17T00:00:00"/>
    <n v="33002"/>
    <x v="5"/>
  </r>
  <r>
    <s v="Яковлев Артем Игоревич"/>
    <x v="34"/>
    <d v="2026-06-17T00:00:00"/>
    <n v="34974"/>
    <x v="5"/>
  </r>
  <r>
    <s v="Волков Дмитрий Романович"/>
    <x v="143"/>
    <d v="2026-06-18T00:00:00"/>
    <n v="15272"/>
    <x v="5"/>
  </r>
  <r>
    <s v="Иванова Анна Сергеевна"/>
    <x v="106"/>
    <d v="2026-06-18T00:00:00"/>
    <n v="30452"/>
    <x v="5"/>
  </r>
  <r>
    <s v="Иванова Анна Сергеевна"/>
    <x v="91"/>
    <d v="2026-06-18T00:00:00"/>
    <n v="23534"/>
    <x v="5"/>
  </r>
  <r>
    <s v="Орлов Павел Денисович"/>
    <x v="19"/>
    <d v="2026-06-18T00:00:00"/>
    <n v="15532"/>
    <x v="5"/>
  </r>
  <r>
    <s v="Орлов Павел Денисович"/>
    <x v="210"/>
    <d v="2026-06-18T00:00:00"/>
    <n v="21728"/>
    <x v="5"/>
  </r>
  <r>
    <s v="Орлов Павел Денисович"/>
    <x v="85"/>
    <d v="2026-06-18T00:00:00"/>
    <n v="15315"/>
    <x v="5"/>
  </r>
  <r>
    <s v="Ткаченко Андрей Олегович"/>
    <x v="186"/>
    <d v="2026-06-18T00:00:00"/>
    <n v="30649"/>
    <x v="5"/>
  </r>
  <r>
    <s v="Ткаченко Андрей Олегович"/>
    <x v="140"/>
    <d v="2026-06-18T00:00:00"/>
    <n v="25476"/>
    <x v="5"/>
  </r>
  <r>
    <s v="Ткаченко Андрей Олегович"/>
    <x v="121"/>
    <d v="2026-06-18T00:00:00"/>
    <n v="18303"/>
    <x v="5"/>
  </r>
  <r>
    <s v="Фролов Сергей Викторович"/>
    <x v="151"/>
    <d v="2026-06-18T00:00:00"/>
    <n v="25518"/>
    <x v="5"/>
  </r>
  <r>
    <s v="Фролов Сергей Викторович"/>
    <x v="93"/>
    <d v="2026-06-18T00:00:00"/>
    <n v="57162"/>
    <x v="5"/>
  </r>
  <r>
    <s v="Фролов Сергей Викторович"/>
    <x v="89"/>
    <d v="2026-06-18T00:00:00"/>
    <n v="29347"/>
    <x v="5"/>
  </r>
  <r>
    <s v="Фролов Сергей Викторович"/>
    <x v="216"/>
    <d v="2026-06-18T00:00:00"/>
    <n v="30652"/>
    <x v="5"/>
  </r>
  <r>
    <s v="Яковлев Артем Игоревич"/>
    <x v="90"/>
    <d v="2026-06-18T00:00:00"/>
    <n v="56344"/>
    <x v="5"/>
  </r>
  <r>
    <s v="Яковлев Артем Игоревич"/>
    <x v="160"/>
    <d v="2026-06-18T00:00:00"/>
    <n v="24615"/>
    <x v="5"/>
  </r>
  <r>
    <s v="Яковлев Артем Игоревич"/>
    <x v="124"/>
    <d v="2026-06-18T00:00:00"/>
    <n v="38963"/>
    <x v="5"/>
  </r>
  <r>
    <s v="Иванова Анна Сергеевна"/>
    <x v="60"/>
    <d v="2026-06-19T00:00:00"/>
    <n v="31119"/>
    <x v="5"/>
  </r>
  <r>
    <s v="Лебедев Николай Олегович"/>
    <x v="207"/>
    <d v="2026-06-19T00:00:00"/>
    <n v="25547"/>
    <x v="5"/>
  </r>
  <r>
    <s v="Семенова Ирина Валерьевна"/>
    <x v="214"/>
    <d v="2026-06-19T00:00:00"/>
    <n v="15659"/>
    <x v="5"/>
  </r>
  <r>
    <s v="Фролов Сергей Викторович"/>
    <x v="142"/>
    <d v="2026-06-19T00:00:00"/>
    <n v="28012"/>
    <x v="5"/>
  </r>
  <r>
    <s v="Фролов Сергей Викторович"/>
    <x v="10"/>
    <d v="2026-06-19T00:00:00"/>
    <n v="27064"/>
    <x v="5"/>
  </r>
  <r>
    <s v="Яковлев Артем Игоревич"/>
    <x v="12"/>
    <d v="2026-06-19T00:00:00"/>
    <n v="50888"/>
    <x v="5"/>
  </r>
  <r>
    <s v="Яковлев Артем Игоревич"/>
    <x v="39"/>
    <d v="2026-06-19T00:00:00"/>
    <n v="44522"/>
    <x v="5"/>
  </r>
  <r>
    <s v="Яковлев Артем Игоревич"/>
    <x v="118"/>
    <d v="2026-06-19T00:00:00"/>
    <n v="31342"/>
    <x v="5"/>
  </r>
  <r>
    <s v="Яковлев Артем Игоревич"/>
    <x v="118"/>
    <d v="2026-06-19T00:00:00"/>
    <n v="37829"/>
    <x v="5"/>
  </r>
  <r>
    <s v="Кузнецов Максим Алексеевич"/>
    <x v="147"/>
    <d v="2026-06-20T00:00:00"/>
    <n v="16036"/>
    <x v="5"/>
  </r>
  <r>
    <s v="Соколова Мария Ильинична"/>
    <x v="138"/>
    <d v="2026-06-20T00:00:00"/>
    <n v="12164"/>
    <x v="5"/>
  </r>
  <r>
    <s v="Соколова Мария Ильинична"/>
    <x v="46"/>
    <d v="2026-06-20T00:00:00"/>
    <n v="12218"/>
    <x v="5"/>
  </r>
  <r>
    <s v="Ткаченко Андрей Олегович"/>
    <x v="66"/>
    <d v="2026-06-20T00:00:00"/>
    <n v="7310"/>
    <x v="5"/>
  </r>
  <r>
    <s v="Фролов Сергей Викторович"/>
    <x v="117"/>
    <d v="2026-06-20T00:00:00"/>
    <n v="41713"/>
    <x v="5"/>
  </r>
  <r>
    <s v="Яковлев Артем Игоревич"/>
    <x v="190"/>
    <d v="2026-06-20T00:00:00"/>
    <n v="32566"/>
    <x v="5"/>
  </r>
  <r>
    <s v="Яковлев Артем Игоревич"/>
    <x v="10"/>
    <d v="2026-06-20T00:00:00"/>
    <n v="29910"/>
    <x v="5"/>
  </r>
  <r>
    <s v="Яковлев Артем Игоревич"/>
    <x v="78"/>
    <d v="2026-06-20T00:00:00"/>
    <n v="38857"/>
    <x v="5"/>
  </r>
  <r>
    <s v="Кузнецов Максим Алексеевич"/>
    <x v="225"/>
    <d v="2026-06-21T00:00:00"/>
    <n v="12950"/>
    <x v="5"/>
  </r>
  <r>
    <s v="Соколова Мария Ильинична"/>
    <x v="157"/>
    <d v="2026-06-21T00:00:00"/>
    <n v="14050"/>
    <x v="5"/>
  </r>
  <r>
    <s v="Ткаченко Андрей Олегович"/>
    <x v="31"/>
    <d v="2026-06-21T00:00:00"/>
    <n v="35964"/>
    <x v="5"/>
  </r>
  <r>
    <s v="Фролов Сергей Викторович"/>
    <x v="37"/>
    <d v="2026-06-21T00:00:00"/>
    <n v="29027"/>
    <x v="5"/>
  </r>
  <r>
    <s v="Волков Дмитрий Романович"/>
    <x v="69"/>
    <d v="2026-06-22T00:00:00"/>
    <n v="10814"/>
    <x v="5"/>
  </r>
  <r>
    <s v="Иванова Анна Сергеевна"/>
    <x v="218"/>
    <d v="2026-06-22T00:00:00"/>
    <n v="6795"/>
    <x v="5"/>
  </r>
  <r>
    <s v="Семенова Ирина Валерьевна"/>
    <x v="213"/>
    <d v="2026-06-22T00:00:00"/>
    <n v="16962"/>
    <x v="5"/>
  </r>
  <r>
    <s v="Смирнов Евгений Андреевич"/>
    <x v="200"/>
    <d v="2026-06-22T00:00:00"/>
    <n v="9535"/>
    <x v="5"/>
  </r>
  <r>
    <s v="Соколова Мария Ильинична"/>
    <x v="65"/>
    <d v="2026-06-22T00:00:00"/>
    <n v="5200"/>
    <x v="5"/>
  </r>
  <r>
    <s v="Яковлев Артем Игоревич"/>
    <x v="41"/>
    <d v="2026-06-22T00:00:00"/>
    <n v="24919"/>
    <x v="5"/>
  </r>
  <r>
    <s v="Васильева Дарья Павловна"/>
    <x v="224"/>
    <d v="2026-06-23T00:00:00"/>
    <n v="5200"/>
    <x v="5"/>
  </r>
  <r>
    <s v="Попов Кирилл Денисович"/>
    <x v="217"/>
    <d v="2026-06-23T00:00:00"/>
    <n v="11657"/>
    <x v="5"/>
  </r>
  <r>
    <s v="Ткаченко Андрей Олегович"/>
    <x v="177"/>
    <d v="2026-06-23T00:00:00"/>
    <n v="21805"/>
    <x v="5"/>
  </r>
  <r>
    <s v="Ткаченко Андрей Олегович"/>
    <x v="156"/>
    <d v="2026-06-23T00:00:00"/>
    <n v="19077"/>
    <x v="5"/>
  </r>
  <r>
    <s v="Фролов Сергей Викторович"/>
    <x v="186"/>
    <d v="2026-06-23T00:00:00"/>
    <n v="37347"/>
    <x v="5"/>
  </r>
  <r>
    <s v="Фролов Сергей Викторович"/>
    <x v="103"/>
    <d v="2026-06-23T00:00:00"/>
    <n v="28056"/>
    <x v="5"/>
  </r>
  <r>
    <s v="Фролов Сергей Викторович"/>
    <x v="11"/>
    <d v="2026-06-23T00:00:00"/>
    <n v="46614"/>
    <x v="5"/>
  </r>
  <r>
    <s v="Яковлев Артем Игоревич"/>
    <x v="112"/>
    <d v="2026-06-23T00:00:00"/>
    <n v="48646"/>
    <x v="5"/>
  </r>
  <r>
    <s v="Яковлев Артем Игоревич"/>
    <x v="160"/>
    <d v="2026-06-23T00:00:00"/>
    <n v="29897"/>
    <x v="5"/>
  </r>
  <r>
    <s v="Яковлев Артем Игоревич"/>
    <x v="34"/>
    <d v="2026-06-23T00:00:00"/>
    <n v="38836"/>
    <x v="5"/>
  </r>
  <r>
    <s v="Яковлев Артем Игоревич"/>
    <x v="1"/>
    <d v="2026-06-23T00:00:00"/>
    <n v="34689"/>
    <x v="5"/>
  </r>
  <r>
    <s v="Козлов Алексей Михайлович"/>
    <x v="17"/>
    <d v="2026-06-24T00:00:00"/>
    <n v="25191"/>
    <x v="5"/>
  </r>
  <r>
    <s v="Кузнецов Максим Алексеевич"/>
    <x v="18"/>
    <d v="2026-06-24T00:00:00"/>
    <n v="14759"/>
    <x v="5"/>
  </r>
  <r>
    <s v="Новикова Ольга Викторовна"/>
    <x v="108"/>
    <d v="2026-06-24T00:00:00"/>
    <n v="11450"/>
    <x v="5"/>
  </r>
  <r>
    <s v="Павлова Татьяна Сергеевна"/>
    <x v="199"/>
    <d v="2026-06-24T00:00:00"/>
    <n v="12520"/>
    <x v="5"/>
  </r>
  <r>
    <s v="Семенова Ирина Валерьевна"/>
    <x v="74"/>
    <d v="2026-06-24T00:00:00"/>
    <n v="18958"/>
    <x v="5"/>
  </r>
  <r>
    <s v="Семенова Ирина Валерьевна"/>
    <x v="29"/>
    <d v="2026-06-24T00:00:00"/>
    <n v="16715"/>
    <x v="5"/>
  </r>
  <r>
    <s v="Ткаченко Андрей Олегович"/>
    <x v="149"/>
    <d v="2026-06-24T00:00:00"/>
    <n v="21696"/>
    <x v="5"/>
  </r>
  <r>
    <s v="Фролов Сергей Викторович"/>
    <x v="6"/>
    <d v="2026-06-24T00:00:00"/>
    <n v="34339"/>
    <x v="5"/>
  </r>
  <r>
    <s v="Фролов Сергей Викторович"/>
    <x v="125"/>
    <d v="2026-06-24T00:00:00"/>
    <n v="42935"/>
    <x v="5"/>
  </r>
  <r>
    <s v="Фролов Сергей Викторович"/>
    <x v="104"/>
    <d v="2026-06-24T00:00:00"/>
    <n v="37320"/>
    <x v="5"/>
  </r>
  <r>
    <s v="Яковлев Артем Игоревич"/>
    <x v="77"/>
    <d v="2026-06-24T00:00:00"/>
    <n v="38501"/>
    <x v="5"/>
  </r>
  <r>
    <s v="Яковлев Артем Игоревич"/>
    <x v="33"/>
    <d v="2026-06-24T00:00:00"/>
    <n v="48867"/>
    <x v="5"/>
  </r>
  <r>
    <s v="Яковлев Артем Игоревич"/>
    <x v="59"/>
    <d v="2026-06-24T00:00:00"/>
    <n v="43921"/>
    <x v="5"/>
  </r>
  <r>
    <s v="Павлова Татьяна Сергеевна"/>
    <x v="181"/>
    <d v="2026-06-25T00:00:00"/>
    <n v="11596"/>
    <x v="5"/>
  </r>
  <r>
    <s v="Фролов Сергей Викторович"/>
    <x v="236"/>
    <d v="2026-06-25T00:00:00"/>
    <n v="41350"/>
    <x v="5"/>
  </r>
  <r>
    <s v="Фролов Сергей Викторович"/>
    <x v="32"/>
    <d v="2026-06-25T00:00:00"/>
    <n v="29367"/>
    <x v="5"/>
  </r>
  <r>
    <s v="Яковлев Артем Игоревич"/>
    <x v="12"/>
    <d v="2026-06-25T00:00:00"/>
    <n v="52413"/>
    <x v="5"/>
  </r>
  <r>
    <s v="Яковлев Артем Игоревич"/>
    <x v="57"/>
    <d v="2026-06-25T00:00:00"/>
    <n v="45140"/>
    <x v="5"/>
  </r>
  <r>
    <s v="Яковлев Артем Игоревич"/>
    <x v="24"/>
    <d v="2026-06-25T00:00:00"/>
    <n v="33622"/>
    <x v="5"/>
  </r>
  <r>
    <s v="Яковлев Артем Игоревич"/>
    <x v="33"/>
    <d v="2026-06-25T00:00:00"/>
    <n v="37336"/>
    <x v="5"/>
  </r>
  <r>
    <s v="Яковлев Артем Игоревич"/>
    <x v="68"/>
    <d v="2026-06-25T00:00:00"/>
    <n v="27090"/>
    <x v="5"/>
  </r>
  <r>
    <s v="Яковлев Артем Игоревич"/>
    <x v="50"/>
    <d v="2026-06-25T00:00:00"/>
    <n v="39986"/>
    <x v="5"/>
  </r>
  <r>
    <s v="Козлов Алексей Михайлович"/>
    <x v="97"/>
    <d v="2026-06-26T00:00:00"/>
    <n v="15088"/>
    <x v="5"/>
  </r>
  <r>
    <s v="Козлов Алексей Михайлович"/>
    <x v="98"/>
    <d v="2026-06-26T00:00:00"/>
    <n v="12671"/>
    <x v="5"/>
  </r>
  <r>
    <s v="Лебедев Николай Олегович"/>
    <x v="193"/>
    <d v="2026-06-26T00:00:00"/>
    <n v="16888"/>
    <x v="5"/>
  </r>
  <r>
    <s v="Морозова Елена Андреевна"/>
    <x v="44"/>
    <d v="2026-06-26T00:00:00"/>
    <n v="14498"/>
    <x v="5"/>
  </r>
  <r>
    <s v="Соколова Мария Ильинична"/>
    <x v="109"/>
    <d v="2026-06-26T00:00:00"/>
    <n v="5200"/>
    <x v="5"/>
  </r>
  <r>
    <s v="Ткаченко Андрей Олегович"/>
    <x v="195"/>
    <d v="2026-06-26T00:00:00"/>
    <n v="10276"/>
    <x v="5"/>
  </r>
  <r>
    <s v="Ткаченко Андрей Олегович"/>
    <x v="166"/>
    <d v="2026-06-26T00:00:00"/>
    <n v="15898"/>
    <x v="5"/>
  </r>
  <r>
    <s v="Фролов Сергей Викторович"/>
    <x v="104"/>
    <d v="2026-06-26T00:00:00"/>
    <n v="37939"/>
    <x v="5"/>
  </r>
  <r>
    <s v="Яковлев Артем Игоревич"/>
    <x v="190"/>
    <d v="2026-06-26T00:00:00"/>
    <n v="26197"/>
    <x v="5"/>
  </r>
  <r>
    <s v="Яковлев Артем Игоревич"/>
    <x v="24"/>
    <d v="2026-06-26T00:00:00"/>
    <n v="43981"/>
    <x v="5"/>
  </r>
  <r>
    <s v="Яковлев Артем Игоревич"/>
    <x v="160"/>
    <d v="2026-06-26T00:00:00"/>
    <n v="30200"/>
    <x v="5"/>
  </r>
  <r>
    <s v="Кузнецов Максим Алексеевич"/>
    <x v="82"/>
    <d v="2026-06-27T00:00:00"/>
    <n v="13044"/>
    <x v="5"/>
  </r>
  <r>
    <s v="Кузнецов Максим Алексеевич"/>
    <x v="99"/>
    <d v="2026-06-27T00:00:00"/>
    <n v="27805"/>
    <x v="5"/>
  </r>
  <r>
    <s v="Орлов Павел Денисович"/>
    <x v="163"/>
    <d v="2026-06-27T00:00:00"/>
    <n v="17243"/>
    <x v="5"/>
  </r>
  <r>
    <s v="Семенова Ирина Валерьевна"/>
    <x v="212"/>
    <d v="2026-06-27T00:00:00"/>
    <n v="34507"/>
    <x v="5"/>
  </r>
  <r>
    <s v="Семенова Ирина Валерьевна"/>
    <x v="167"/>
    <d v="2026-06-27T00:00:00"/>
    <n v="14423"/>
    <x v="5"/>
  </r>
  <r>
    <s v="Смирнов Евгений Андреевич"/>
    <x v="183"/>
    <d v="2026-06-27T00:00:00"/>
    <n v="11530"/>
    <x v="5"/>
  </r>
  <r>
    <s v="Соколова Мария Ильинична"/>
    <x v="62"/>
    <d v="2026-06-27T00:00:00"/>
    <n v="11180"/>
    <x v="5"/>
  </r>
  <r>
    <s v="Ткаченко Андрей Олегович"/>
    <x v="141"/>
    <d v="2026-06-27T00:00:00"/>
    <n v="23649"/>
    <x v="5"/>
  </r>
  <r>
    <s v="Федорова Ксения Максимовна"/>
    <x v="21"/>
    <d v="2026-06-27T00:00:00"/>
    <n v="13060"/>
    <x v="5"/>
  </r>
  <r>
    <s v="Фролов Сергей Викторович"/>
    <x v="170"/>
    <d v="2026-06-27T00:00:00"/>
    <n v="43563"/>
    <x v="5"/>
  </r>
  <r>
    <s v="Фролов Сергей Викторович"/>
    <x v="229"/>
    <d v="2026-06-27T00:00:00"/>
    <n v="46118"/>
    <x v="5"/>
  </r>
  <r>
    <s v="Фролов Сергей Викторович"/>
    <x v="32"/>
    <d v="2026-06-27T00:00:00"/>
    <n v="31194"/>
    <x v="5"/>
  </r>
  <r>
    <s v="Фролов Сергей Викторович"/>
    <x v="222"/>
    <d v="2026-06-27T00:00:00"/>
    <n v="41318"/>
    <x v="5"/>
  </r>
  <r>
    <s v="Яковлев Артем Игоревич"/>
    <x v="50"/>
    <d v="2026-06-27T00:00:00"/>
    <n v="44173"/>
    <x v="5"/>
  </r>
  <r>
    <s v="Иванова Анна Сергеевна"/>
    <x v="127"/>
    <d v="2026-06-28T00:00:00"/>
    <n v="28599"/>
    <x v="5"/>
  </r>
  <r>
    <s v="Иванова Анна Сергеевна"/>
    <x v="68"/>
    <d v="2026-06-28T00:00:00"/>
    <n v="34159"/>
    <x v="5"/>
  </r>
  <r>
    <s v="Кузнецов Максим Алексеевич"/>
    <x v="164"/>
    <d v="2026-06-28T00:00:00"/>
    <n v="22015"/>
    <x v="5"/>
  </r>
  <r>
    <s v="Соколова Мария Ильинична"/>
    <x v="54"/>
    <d v="2026-06-28T00:00:00"/>
    <n v="11033"/>
    <x v="5"/>
  </r>
  <r>
    <s v="Яковлев Артем Игоревич"/>
    <x v="48"/>
    <d v="2026-06-28T00:00:00"/>
    <n v="34914"/>
    <x v="5"/>
  </r>
  <r>
    <s v="Яковлев Артем Игоревич"/>
    <x v="113"/>
    <d v="2026-06-28T00:00:00"/>
    <n v="32533"/>
    <x v="5"/>
  </r>
  <r>
    <s v="Яковлев Артем Игоревич"/>
    <x v="128"/>
    <d v="2026-06-28T00:00:00"/>
    <n v="45957"/>
    <x v="5"/>
  </r>
  <r>
    <s v="Яковлев Артем Игоревич"/>
    <x v="129"/>
    <d v="2026-06-28T00:00:00"/>
    <n v="39282"/>
    <x v="5"/>
  </r>
  <r>
    <s v="Яковлев Артем Игоревич"/>
    <x v="78"/>
    <d v="2026-06-28T00:00:00"/>
    <n v="39092"/>
    <x v="5"/>
  </r>
  <r>
    <s v="Яковлев Артем Игоревич"/>
    <x v="25"/>
    <d v="2026-06-28T00:00:00"/>
    <n v="44412"/>
    <x v="5"/>
  </r>
  <r>
    <s v="Яковлев Артем Игоревич"/>
    <x v="152"/>
    <d v="2026-06-28T00:00:00"/>
    <n v="36567"/>
    <x v="5"/>
  </r>
  <r>
    <s v="Иванова Анна Сергеевна"/>
    <x v="178"/>
    <d v="2026-06-29T00:00:00"/>
    <n v="6540"/>
    <x v="5"/>
  </r>
  <r>
    <s v="Иванова Анна Сергеевна"/>
    <x v="126"/>
    <d v="2026-06-29T00:00:00"/>
    <n v="30472"/>
    <x v="5"/>
  </r>
  <r>
    <s v="Морозова Елена Андреевна"/>
    <x v="83"/>
    <d v="2026-06-29T00:00:00"/>
    <n v="13176"/>
    <x v="5"/>
  </r>
  <r>
    <s v="Морозова Елена Андреевна"/>
    <x v="233"/>
    <d v="2026-06-29T00:00:00"/>
    <n v="13125"/>
    <x v="5"/>
  </r>
  <r>
    <s v="Орлов Павел Денисович"/>
    <x v="196"/>
    <d v="2026-06-29T00:00:00"/>
    <n v="9601"/>
    <x v="5"/>
  </r>
  <r>
    <s v="Орлов Павел Денисович"/>
    <x v="220"/>
    <d v="2026-06-29T00:00:00"/>
    <n v="15648"/>
    <x v="5"/>
  </r>
  <r>
    <s v="Смирнов Евгений Андреевич"/>
    <x v="221"/>
    <d v="2026-06-29T00:00:00"/>
    <n v="5200"/>
    <x v="5"/>
  </r>
  <r>
    <s v="Соколова Мария Ильинична"/>
    <x v="101"/>
    <d v="2026-06-29T00:00:00"/>
    <n v="11873"/>
    <x v="5"/>
  </r>
  <r>
    <s v="Яковлев Артем Игоревич"/>
    <x v="58"/>
    <d v="2026-06-29T00:00:00"/>
    <n v="32125"/>
    <x v="5"/>
  </r>
  <r>
    <s v="Яковлев Артем Игоревич"/>
    <x v="161"/>
    <d v="2026-06-29T00:00:00"/>
    <n v="43037"/>
    <x v="5"/>
  </r>
  <r>
    <s v="Волков Дмитрий Романович"/>
    <x v="114"/>
    <d v="2026-06-30T00:00:00"/>
    <n v="12046"/>
    <x v="5"/>
  </r>
  <r>
    <s v="Новикова Ольга Викторовна"/>
    <x v="84"/>
    <d v="2026-06-30T00:00:00"/>
    <n v="15701"/>
    <x v="5"/>
  </r>
  <r>
    <s v="Соколова Мария Ильинична"/>
    <x v="176"/>
    <d v="2026-06-30T00:00:00"/>
    <n v="6043"/>
    <x v="5"/>
  </r>
  <r>
    <s v="Фролов Сергей Викторович"/>
    <x v="123"/>
    <d v="2026-06-30T00:00:00"/>
    <n v="36667"/>
    <x v="5"/>
  </r>
  <r>
    <s v="Фролов Сергей Викторович"/>
    <x v="38"/>
    <d v="2026-06-30T00:00:00"/>
    <n v="40917"/>
    <x v="5"/>
  </r>
  <r>
    <s v="Фролов Сергей Викторович"/>
    <x v="22"/>
    <d v="2026-06-30T00:00:00"/>
    <n v="25280"/>
    <x v="5"/>
  </r>
  <r>
    <s v="Фролов Сергей Викторович"/>
    <x v="76"/>
    <d v="2026-06-30T00:00:00"/>
    <n v="46569"/>
    <x v="5"/>
  </r>
  <r>
    <s v="Фролов Сергей Викторович"/>
    <x v="81"/>
    <d v="2026-06-30T00:00:00"/>
    <n v="49156"/>
    <x v="5"/>
  </r>
  <r>
    <s v="Яковлев Артем Игоревич"/>
    <x v="134"/>
    <d v="2026-06-30T00:00:00"/>
    <n v="41622"/>
    <x v="5"/>
  </r>
  <r>
    <s v="Яковлев Артем Игоревич"/>
    <x v="56"/>
    <d v="2026-06-30T00:00:00"/>
    <n v="25553"/>
    <x v="5"/>
  </r>
  <r>
    <s v="Яковлев Артем Игоревич"/>
    <x v="40"/>
    <d v="2026-06-30T00:00:00"/>
    <n v="27976"/>
    <x v="5"/>
  </r>
  <r>
    <s v="Волков Дмитрий Романович"/>
    <x v="94"/>
    <d v="2026-07-01T00:00:00"/>
    <n v="12695"/>
    <x v="6"/>
  </r>
  <r>
    <s v="Иванова Анна Сергеевна"/>
    <x v="95"/>
    <d v="2026-07-01T00:00:00"/>
    <n v="36199"/>
    <x v="6"/>
  </r>
  <r>
    <s v="Новикова Ольга Викторовна"/>
    <x v="62"/>
    <d v="2026-07-01T00:00:00"/>
    <n v="11978"/>
    <x v="6"/>
  </r>
  <r>
    <s v="Орлов Павел Денисович"/>
    <x v="85"/>
    <d v="2026-07-01T00:00:00"/>
    <n v="14558"/>
    <x v="6"/>
  </r>
  <r>
    <s v="Ткаченко Андрей Олегович"/>
    <x v="106"/>
    <d v="2026-07-01T00:00:00"/>
    <n v="29219"/>
    <x v="6"/>
  </r>
  <r>
    <s v="Яковлев Артем Игоревич"/>
    <x v="128"/>
    <d v="2026-07-01T00:00:00"/>
    <n v="31109"/>
    <x v="6"/>
  </r>
  <r>
    <s v="Яковлев Артем Игоревич"/>
    <x v="203"/>
    <d v="2026-07-01T00:00:00"/>
    <n v="36205"/>
    <x v="6"/>
  </r>
  <r>
    <s v="Яковлев Артем Игоревич"/>
    <x v="59"/>
    <d v="2026-07-01T00:00:00"/>
    <n v="41810"/>
    <x v="6"/>
  </r>
  <r>
    <s v="Яковлев Артем Игоревич"/>
    <x v="230"/>
    <d v="2026-07-01T00:00:00"/>
    <n v="47941"/>
    <x v="6"/>
  </r>
  <r>
    <s v="Яковлев Артем Игоревич"/>
    <x v="230"/>
    <d v="2026-07-01T00:00:00"/>
    <n v="43675"/>
    <x v="6"/>
  </r>
  <r>
    <s v="Яковлев Артем Игоревич"/>
    <x v="41"/>
    <d v="2026-07-01T00:00:00"/>
    <n v="41070"/>
    <x v="6"/>
  </r>
  <r>
    <s v="Иванова Анна Сергеевна"/>
    <x v="169"/>
    <d v="2026-07-02T00:00:00"/>
    <n v="17810"/>
    <x v="6"/>
  </r>
  <r>
    <s v="Кузнецов Максим Алексеевич"/>
    <x v="231"/>
    <d v="2026-07-02T00:00:00"/>
    <n v="10126"/>
    <x v="6"/>
  </r>
  <r>
    <s v="Попов Кирилл Денисович"/>
    <x v="217"/>
    <d v="2026-07-02T00:00:00"/>
    <n v="11808"/>
    <x v="6"/>
  </r>
  <r>
    <s v="Соколова Мария Ильинична"/>
    <x v="109"/>
    <d v="2026-07-02T00:00:00"/>
    <n v="22056"/>
    <x v="6"/>
  </r>
  <r>
    <s v="Фролов Сергей Викторович"/>
    <x v="32"/>
    <d v="2026-07-02T00:00:00"/>
    <n v="34634"/>
    <x v="6"/>
  </r>
  <r>
    <s v="Фролов Сергей Викторович"/>
    <x v="93"/>
    <d v="2026-07-02T00:00:00"/>
    <n v="40751"/>
    <x v="6"/>
  </r>
  <r>
    <s v="Фролов Сергей Викторович"/>
    <x v="168"/>
    <d v="2026-07-02T00:00:00"/>
    <n v="23408"/>
    <x v="6"/>
  </r>
  <r>
    <s v="Яковлев Артем Игоревич"/>
    <x v="56"/>
    <d v="2026-07-02T00:00:00"/>
    <n v="29061"/>
    <x v="6"/>
  </r>
  <r>
    <s v="Яковлев Артем Игоревич"/>
    <x v="51"/>
    <d v="2026-07-02T00:00:00"/>
    <n v="53516"/>
    <x v="6"/>
  </r>
  <r>
    <s v="Иванова Анна Сергеевна"/>
    <x v="168"/>
    <d v="2026-07-03T00:00:00"/>
    <n v="28747"/>
    <x v="6"/>
  </r>
  <r>
    <s v="Иванова Анна Сергеевна"/>
    <x v="10"/>
    <d v="2026-07-03T00:00:00"/>
    <n v="30255"/>
    <x v="6"/>
  </r>
  <r>
    <s v="Иванова Анна Сергеевна"/>
    <x v="218"/>
    <d v="2026-07-03T00:00:00"/>
    <n v="28515"/>
    <x v="6"/>
  </r>
  <r>
    <s v="Кузнецов Максим Алексеевич"/>
    <x v="179"/>
    <d v="2026-07-03T00:00:00"/>
    <n v="12720"/>
    <x v="6"/>
  </r>
  <r>
    <s v="Орлов Павел Денисович"/>
    <x v="219"/>
    <d v="2026-07-03T00:00:00"/>
    <n v="15873"/>
    <x v="6"/>
  </r>
  <r>
    <s v="Павлова Татьяна Сергеевна"/>
    <x v="235"/>
    <d v="2026-07-03T00:00:00"/>
    <n v="12703"/>
    <x v="6"/>
  </r>
  <r>
    <s v="Фролов Сергей Викторович"/>
    <x v="197"/>
    <d v="2026-07-03T00:00:00"/>
    <n v="31888"/>
    <x v="6"/>
  </r>
  <r>
    <s v="Фролов Сергей Викторович"/>
    <x v="76"/>
    <d v="2026-07-03T00:00:00"/>
    <n v="43220"/>
    <x v="6"/>
  </r>
  <r>
    <s v="Яковлев Артем Игоревич"/>
    <x v="203"/>
    <d v="2026-07-03T00:00:00"/>
    <n v="41487"/>
    <x v="6"/>
  </r>
  <r>
    <s v="Яковлев Артем Игоревич"/>
    <x v="129"/>
    <d v="2026-07-03T00:00:00"/>
    <n v="62349"/>
    <x v="6"/>
  </r>
  <r>
    <s v="Яковлев Артем Игоревич"/>
    <x v="68"/>
    <d v="2026-07-03T00:00:00"/>
    <n v="32325"/>
    <x v="6"/>
  </r>
  <r>
    <s v="Яковлев Артем Игоревич"/>
    <x v="230"/>
    <d v="2026-07-03T00:00:00"/>
    <n v="34964"/>
    <x v="6"/>
  </r>
  <r>
    <s v="Яковлев Артем Игоревич"/>
    <x v="50"/>
    <d v="2026-07-03T00:00:00"/>
    <n v="38545"/>
    <x v="6"/>
  </r>
  <r>
    <s v="Иванова Анна Сергеевна"/>
    <x v="60"/>
    <d v="2026-07-04T00:00:00"/>
    <n v="30536"/>
    <x v="6"/>
  </r>
  <r>
    <s v="Козлов Алексей Михайлович"/>
    <x v="8"/>
    <d v="2026-07-04T00:00:00"/>
    <n v="9170"/>
    <x v="6"/>
  </r>
  <r>
    <s v="Кузнецов Максим Алексеевич"/>
    <x v="132"/>
    <d v="2026-07-04T00:00:00"/>
    <n v="13560"/>
    <x v="6"/>
  </r>
  <r>
    <s v="Кузнецов Максим Алексеевич"/>
    <x v="164"/>
    <d v="2026-07-04T00:00:00"/>
    <n v="29149"/>
    <x v="6"/>
  </r>
  <r>
    <s v="Лебедев Николай Олегович"/>
    <x v="120"/>
    <d v="2026-07-04T00:00:00"/>
    <n v="23010"/>
    <x v="6"/>
  </r>
  <r>
    <s v="Лебедев Николай Олегович"/>
    <x v="193"/>
    <d v="2026-07-04T00:00:00"/>
    <n v="5200"/>
    <x v="6"/>
  </r>
  <r>
    <s v="Орлов Павел Денисович"/>
    <x v="210"/>
    <d v="2026-07-04T00:00:00"/>
    <n v="5200"/>
    <x v="6"/>
  </r>
  <r>
    <s v="Ткаченко Андрей Олегович"/>
    <x v="149"/>
    <d v="2026-07-04T00:00:00"/>
    <n v="22298"/>
    <x v="6"/>
  </r>
  <r>
    <s v="Фролов Сергей Викторович"/>
    <x v="53"/>
    <d v="2026-07-04T00:00:00"/>
    <n v="52328"/>
    <x v="6"/>
  </r>
  <r>
    <s v="Фролов Сергей Викторович"/>
    <x v="133"/>
    <d v="2026-07-04T00:00:00"/>
    <n v="43796"/>
    <x v="6"/>
  </r>
  <r>
    <s v="Яковлев Артем Игоревич"/>
    <x v="33"/>
    <d v="2026-07-04T00:00:00"/>
    <n v="38516"/>
    <x v="6"/>
  </r>
  <r>
    <s v="Яковлев Артем Игоревич"/>
    <x v="13"/>
    <d v="2026-07-04T00:00:00"/>
    <n v="36825"/>
    <x v="6"/>
  </r>
  <r>
    <s v="Яковлев Артем Игоревич"/>
    <x v="14"/>
    <d v="2026-07-04T00:00:00"/>
    <n v="41656"/>
    <x v="6"/>
  </r>
  <r>
    <s v="Яковлев Артем Игоревич"/>
    <x v="105"/>
    <d v="2026-07-04T00:00:00"/>
    <n v="53509"/>
    <x v="6"/>
  </r>
  <r>
    <s v="Яковлев Артем Игоревич"/>
    <x v="59"/>
    <d v="2026-07-04T00:00:00"/>
    <n v="46313"/>
    <x v="6"/>
  </r>
  <r>
    <s v="Яковлев Артем Игоревич"/>
    <x v="135"/>
    <d v="2026-07-04T00:00:00"/>
    <n v="39075"/>
    <x v="6"/>
  </r>
  <r>
    <s v="Иванова Анна Сергеевна"/>
    <x v="222"/>
    <d v="2026-07-05T00:00:00"/>
    <n v="40624"/>
    <x v="6"/>
  </r>
  <r>
    <s v="Орлов Павел Денисович"/>
    <x v="19"/>
    <d v="2026-07-05T00:00:00"/>
    <n v="13769"/>
    <x v="6"/>
  </r>
  <r>
    <s v="Семенова Ирина Валерьевна"/>
    <x v="64"/>
    <d v="2026-07-05T00:00:00"/>
    <n v="15566"/>
    <x v="6"/>
  </r>
  <r>
    <s v="Ткаченко Андрей Олегович"/>
    <x v="116"/>
    <d v="2026-07-05T00:00:00"/>
    <n v="19174"/>
    <x v="6"/>
  </r>
  <r>
    <s v="Ткаченко Андрей Олегович"/>
    <x v="31"/>
    <d v="2026-07-05T00:00:00"/>
    <n v="13475"/>
    <x v="6"/>
  </r>
  <r>
    <s v="Федорова Ксения Максимовна"/>
    <x v="21"/>
    <d v="2026-07-05T00:00:00"/>
    <n v="15424"/>
    <x v="6"/>
  </r>
  <r>
    <s v="Фролов Сергей Викторович"/>
    <x v="32"/>
    <d v="2026-07-05T00:00:00"/>
    <n v="26042"/>
    <x v="6"/>
  </r>
  <r>
    <s v="Яковлев Артем Игоревич"/>
    <x v="33"/>
    <d v="2026-07-05T00:00:00"/>
    <n v="46578"/>
    <x v="6"/>
  </r>
  <r>
    <s v="Яковлев Артем Игоревич"/>
    <x v="42"/>
    <d v="2026-07-05T00:00:00"/>
    <n v="26425"/>
    <x v="6"/>
  </r>
  <r>
    <s v="Яковлев Артем Игоревич"/>
    <x v="34"/>
    <d v="2026-07-05T00:00:00"/>
    <n v="45006"/>
    <x v="6"/>
  </r>
  <r>
    <s v="Яковлев Артем Игоревич"/>
    <x v="51"/>
    <d v="2026-07-05T00:00:00"/>
    <n v="61687"/>
    <x v="6"/>
  </r>
  <r>
    <s v="Волков Дмитрий Романович"/>
    <x v="130"/>
    <d v="2026-07-06T00:00:00"/>
    <n v="5200"/>
    <x v="6"/>
  </r>
  <r>
    <s v="Иванова Анна Сергеевна"/>
    <x v="127"/>
    <d v="2026-07-06T00:00:00"/>
    <n v="28958"/>
    <x v="6"/>
  </r>
  <r>
    <s v="Иванова Анна Сергеевна"/>
    <x v="131"/>
    <d v="2026-07-06T00:00:00"/>
    <n v="24076"/>
    <x v="6"/>
  </r>
  <r>
    <s v="Семенова Ирина Валерьевна"/>
    <x v="201"/>
    <d v="2026-07-06T00:00:00"/>
    <n v="18128"/>
    <x v="6"/>
  </r>
  <r>
    <s v="Семенова Ирина Валерьевна"/>
    <x v="75"/>
    <d v="2026-07-06T00:00:00"/>
    <n v="18278"/>
    <x v="6"/>
  </r>
  <r>
    <s v="Ткаченко Андрей Олегович"/>
    <x v="227"/>
    <d v="2026-07-06T00:00:00"/>
    <n v="23153"/>
    <x v="6"/>
  </r>
  <r>
    <s v="Ткаченко Андрей Олегович"/>
    <x v="148"/>
    <d v="2026-07-06T00:00:00"/>
    <n v="19035"/>
    <x v="6"/>
  </r>
  <r>
    <s v="Фролов Сергей Викторович"/>
    <x v="151"/>
    <d v="2026-07-06T00:00:00"/>
    <n v="28597"/>
    <x v="6"/>
  </r>
  <r>
    <s v="Яковлев Артем Игоревич"/>
    <x v="56"/>
    <d v="2026-07-06T00:00:00"/>
    <n v="36010"/>
    <x v="6"/>
  </r>
  <r>
    <s v="Яковлев Артем Игоревич"/>
    <x v="57"/>
    <d v="2026-07-06T00:00:00"/>
    <n v="29498"/>
    <x v="6"/>
  </r>
  <r>
    <s v="Яковлев Артем Игоревич"/>
    <x v="203"/>
    <d v="2026-07-06T00:00:00"/>
    <n v="46238"/>
    <x v="6"/>
  </r>
  <r>
    <s v="Яковлев Артем Игоревич"/>
    <x v="59"/>
    <d v="2026-07-06T00:00:00"/>
    <n v="50308"/>
    <x v="6"/>
  </r>
  <r>
    <s v="Яковлев Артем Игоревич"/>
    <x v="68"/>
    <d v="2026-07-06T00:00:00"/>
    <n v="35371"/>
    <x v="6"/>
  </r>
  <r>
    <s v="Яковлев Артем Игоревич"/>
    <x v="78"/>
    <d v="2026-07-06T00:00:00"/>
    <n v="37136"/>
    <x v="6"/>
  </r>
  <r>
    <s v="Яковлев Артем Игоревич"/>
    <x v="25"/>
    <d v="2026-07-06T00:00:00"/>
    <n v="43438"/>
    <x v="6"/>
  </r>
  <r>
    <s v="Яковлев Артем Игоревич"/>
    <x v="135"/>
    <d v="2026-07-06T00:00:00"/>
    <n v="31229"/>
    <x v="6"/>
  </r>
  <r>
    <s v="Иванова Анна Сергеевна"/>
    <x v="16"/>
    <d v="2026-07-07T00:00:00"/>
    <n v="26866"/>
    <x v="6"/>
  </r>
  <r>
    <s v="Орлов Павел Денисович"/>
    <x v="92"/>
    <d v="2026-07-07T00:00:00"/>
    <n v="14802"/>
    <x v="6"/>
  </r>
  <r>
    <s v="Семенова Ирина Валерьевна"/>
    <x v="215"/>
    <d v="2026-07-07T00:00:00"/>
    <n v="11507"/>
    <x v="6"/>
  </r>
  <r>
    <s v="Соколова Мария Ильинична"/>
    <x v="176"/>
    <d v="2026-07-07T00:00:00"/>
    <n v="7671"/>
    <x v="6"/>
  </r>
  <r>
    <s v="Фролов Сергей Викторович"/>
    <x v="88"/>
    <d v="2026-07-07T00:00:00"/>
    <n v="27465"/>
    <x v="6"/>
  </r>
  <r>
    <s v="Яковлев Артем Игоревич"/>
    <x v="77"/>
    <d v="2026-07-07T00:00:00"/>
    <n v="41572"/>
    <x v="6"/>
  </r>
  <r>
    <s v="Яковлев Артем Игоревич"/>
    <x v="77"/>
    <d v="2026-07-07T00:00:00"/>
    <n v="49522"/>
    <x v="6"/>
  </r>
  <r>
    <s v="Яковлев Артем Игоревич"/>
    <x v="39"/>
    <d v="2026-07-07T00:00:00"/>
    <n v="46068"/>
    <x v="6"/>
  </r>
  <r>
    <s v="Кузнецов Максим Алексеевич"/>
    <x v="72"/>
    <d v="2026-07-08T00:00:00"/>
    <n v="25159"/>
    <x v="6"/>
  </r>
  <r>
    <s v="Новикова Ольга Викторовна"/>
    <x v="3"/>
    <d v="2026-07-08T00:00:00"/>
    <n v="11538"/>
    <x v="6"/>
  </r>
  <r>
    <s v="Семенова Ирина Валерьевна"/>
    <x v="29"/>
    <d v="2026-07-08T00:00:00"/>
    <n v="16703"/>
    <x v="6"/>
  </r>
  <r>
    <s v="Смирнов Евгений Андреевич"/>
    <x v="200"/>
    <d v="2026-07-08T00:00:00"/>
    <n v="10768"/>
    <x v="6"/>
  </r>
  <r>
    <s v="Ткаченко Андрей Олегович"/>
    <x v="5"/>
    <d v="2026-07-08T00:00:00"/>
    <n v="29974"/>
    <x v="6"/>
  </r>
  <r>
    <s v="Ткаченко Андрей Олегович"/>
    <x v="206"/>
    <d v="2026-07-08T00:00:00"/>
    <n v="33652"/>
    <x v="6"/>
  </r>
  <r>
    <s v="Фролов Сергей Викторович"/>
    <x v="186"/>
    <d v="2026-07-08T00:00:00"/>
    <n v="33950"/>
    <x v="6"/>
  </r>
  <r>
    <s v="Яковлев Артем Игоревич"/>
    <x v="33"/>
    <d v="2026-07-08T00:00:00"/>
    <n v="44244"/>
    <x v="6"/>
  </r>
  <r>
    <s v="Яковлев Артем Игоревич"/>
    <x v="50"/>
    <d v="2026-07-08T00:00:00"/>
    <n v="35290"/>
    <x v="6"/>
  </r>
  <r>
    <s v="Яковлев Артем Игоревич"/>
    <x v="152"/>
    <d v="2026-07-08T00:00:00"/>
    <n v="35796"/>
    <x v="6"/>
  </r>
  <r>
    <s v="Иванова Анна Сергеевна"/>
    <x v="136"/>
    <d v="2026-07-09T00:00:00"/>
    <n v="29533"/>
    <x v="6"/>
  </r>
  <r>
    <s v="Козлов Алексей Михайлович"/>
    <x v="146"/>
    <d v="2026-07-09T00:00:00"/>
    <n v="6532"/>
    <x v="6"/>
  </r>
  <r>
    <s v="Семенова Ирина Валерьевна"/>
    <x v="212"/>
    <d v="2026-07-09T00:00:00"/>
    <n v="33587"/>
    <x v="6"/>
  </r>
  <r>
    <s v="Соколова Мария Ильинична"/>
    <x v="138"/>
    <d v="2026-07-09T00:00:00"/>
    <n v="12702"/>
    <x v="6"/>
  </r>
  <r>
    <s v="Соколова Мария Ильинична"/>
    <x v="101"/>
    <d v="2026-07-09T00:00:00"/>
    <n v="12324"/>
    <x v="6"/>
  </r>
  <r>
    <s v="Соколова Мария Ильинична"/>
    <x v="54"/>
    <d v="2026-07-09T00:00:00"/>
    <n v="10763"/>
    <x v="6"/>
  </r>
  <r>
    <s v="Ткаченко Андрей Олегович"/>
    <x v="194"/>
    <d v="2026-07-09T00:00:00"/>
    <n v="14029"/>
    <x v="6"/>
  </r>
  <r>
    <s v="Фролов Сергей Викторович"/>
    <x v="88"/>
    <d v="2026-07-09T00:00:00"/>
    <n v="28371"/>
    <x v="6"/>
  </r>
  <r>
    <s v="Фролов Сергей Викторович"/>
    <x v="77"/>
    <d v="2026-07-09T00:00:00"/>
    <n v="34021"/>
    <x v="6"/>
  </r>
  <r>
    <s v="Фролов Сергей Викторович"/>
    <x v="197"/>
    <d v="2026-07-09T00:00:00"/>
    <n v="27312"/>
    <x v="6"/>
  </r>
  <r>
    <s v="Яковлев Артем Игоревич"/>
    <x v="134"/>
    <d v="2026-07-09T00:00:00"/>
    <n v="23827"/>
    <x v="6"/>
  </r>
  <r>
    <s v="Яковлев Артем Игоревич"/>
    <x v="56"/>
    <d v="2026-07-09T00:00:00"/>
    <n v="26614"/>
    <x v="6"/>
  </r>
  <r>
    <s v="Яковлев Артем Игоревич"/>
    <x v="128"/>
    <d v="2026-07-09T00:00:00"/>
    <n v="42333"/>
    <x v="6"/>
  </r>
  <r>
    <s v="Яковлев Артем Игоревич"/>
    <x v="12"/>
    <d v="2026-07-09T00:00:00"/>
    <n v="61390"/>
    <x v="6"/>
  </r>
  <r>
    <s v="Михайлова Алина Романовна"/>
    <x v="180"/>
    <d v="2026-07-10T00:00:00"/>
    <n v="11472"/>
    <x v="6"/>
  </r>
  <r>
    <s v="Семенова Ирина Валерьевна"/>
    <x v="178"/>
    <d v="2026-07-10T00:00:00"/>
    <n v="14710"/>
    <x v="6"/>
  </r>
  <r>
    <s v="Фролов Сергей Викторович"/>
    <x v="89"/>
    <d v="2026-07-10T00:00:00"/>
    <n v="26118"/>
    <x v="6"/>
  </r>
  <r>
    <s v="Фролов Сергей Викторович"/>
    <x v="23"/>
    <d v="2026-07-10T00:00:00"/>
    <n v="36639"/>
    <x v="6"/>
  </r>
  <r>
    <s v="Яковлев Артем Игоревич"/>
    <x v="48"/>
    <d v="2026-07-10T00:00:00"/>
    <n v="43163"/>
    <x v="6"/>
  </r>
  <r>
    <s v="Яковлев Артем Игоревич"/>
    <x v="128"/>
    <d v="2026-07-10T00:00:00"/>
    <n v="48325"/>
    <x v="6"/>
  </r>
  <r>
    <s v="Яковлев Артем Игоревич"/>
    <x v="38"/>
    <d v="2026-07-10T00:00:00"/>
    <n v="50289"/>
    <x v="6"/>
  </r>
  <r>
    <s v="Яковлев Артем Игоревич"/>
    <x v="129"/>
    <d v="2026-07-10T00:00:00"/>
    <n v="44481"/>
    <x v="6"/>
  </r>
  <r>
    <s v="Яковлев Артем Игоревич"/>
    <x v="90"/>
    <d v="2026-07-10T00:00:00"/>
    <n v="40435"/>
    <x v="6"/>
  </r>
  <r>
    <s v="Яковлев Артем Игоревич"/>
    <x v="105"/>
    <d v="2026-07-10T00:00:00"/>
    <n v="39830"/>
    <x v="6"/>
  </r>
  <r>
    <s v="Иванова Анна Сергеевна"/>
    <x v="14"/>
    <d v="2026-07-11T00:00:00"/>
    <n v="39781"/>
    <x v="6"/>
  </r>
  <r>
    <s v="Орлов Павел Денисович"/>
    <x v="4"/>
    <d v="2026-07-11T00:00:00"/>
    <n v="14019"/>
    <x v="6"/>
  </r>
  <r>
    <s v="Семенова Ирина Валерьевна"/>
    <x v="155"/>
    <d v="2026-07-11T00:00:00"/>
    <n v="29784"/>
    <x v="6"/>
  </r>
  <r>
    <s v="Семенова Ирина Валерьевна"/>
    <x v="182"/>
    <d v="2026-07-11T00:00:00"/>
    <n v="14937"/>
    <x v="6"/>
  </r>
  <r>
    <s v="Ткаченко Андрей Олегович"/>
    <x v="156"/>
    <d v="2026-07-11T00:00:00"/>
    <n v="16765"/>
    <x v="6"/>
  </r>
  <r>
    <s v="Фролов Сергей Викторович"/>
    <x v="125"/>
    <d v="2026-07-11T00:00:00"/>
    <n v="43071"/>
    <x v="6"/>
  </r>
  <r>
    <s v="Яковлев Артем Игоревич"/>
    <x v="118"/>
    <d v="2026-07-11T00:00:00"/>
    <n v="35983"/>
    <x v="6"/>
  </r>
  <r>
    <s v="Васильева Дарья Павловна"/>
    <x v="35"/>
    <d v="2026-07-12T00:00:00"/>
    <n v="5200"/>
    <x v="6"/>
  </r>
  <r>
    <s v="Козлов Алексей Михайлович"/>
    <x v="98"/>
    <d v="2026-07-12T00:00:00"/>
    <n v="12140"/>
    <x v="6"/>
  </r>
  <r>
    <s v="Морозова Елена Андреевна"/>
    <x v="153"/>
    <d v="2026-07-12T00:00:00"/>
    <n v="11077"/>
    <x v="6"/>
  </r>
  <r>
    <s v="Орлов Павел Денисович"/>
    <x v="175"/>
    <d v="2026-07-12T00:00:00"/>
    <n v="5200"/>
    <x v="6"/>
  </r>
  <r>
    <s v="Ткаченко Андрей Олегович"/>
    <x v="87"/>
    <d v="2026-07-12T00:00:00"/>
    <n v="20746"/>
    <x v="6"/>
  </r>
  <r>
    <s v="Ткаченко Андрей Олегович"/>
    <x v="121"/>
    <d v="2026-07-12T00:00:00"/>
    <n v="25788"/>
    <x v="6"/>
  </r>
  <r>
    <s v="Ткаченко Андрей Олегович"/>
    <x v="189"/>
    <d v="2026-07-12T00:00:00"/>
    <n v="21760"/>
    <x v="6"/>
  </r>
  <r>
    <s v="Яковлев Артем Игоревич"/>
    <x v="190"/>
    <d v="2026-07-12T00:00:00"/>
    <n v="35391"/>
    <x v="6"/>
  </r>
  <r>
    <s v="Яковлев Артем Игоревич"/>
    <x v="39"/>
    <d v="2026-07-12T00:00:00"/>
    <n v="32186"/>
    <x v="6"/>
  </r>
  <r>
    <s v="Яковлев Артем Игоревич"/>
    <x v="51"/>
    <d v="2026-07-12T00:00:00"/>
    <n v="43750"/>
    <x v="6"/>
  </r>
  <r>
    <s v="Васильева Дарья Павловна"/>
    <x v="224"/>
    <d v="2026-07-13T00:00:00"/>
    <n v="19649"/>
    <x v="6"/>
  </r>
  <r>
    <s v="Волков Дмитрий Романович"/>
    <x v="143"/>
    <d v="2026-07-13T00:00:00"/>
    <n v="14797"/>
    <x v="6"/>
  </r>
  <r>
    <s v="Иванова Анна Сергеевна"/>
    <x v="122"/>
    <d v="2026-07-13T00:00:00"/>
    <n v="45425"/>
    <x v="6"/>
  </r>
  <r>
    <s v="Иванова Анна Сергеевна"/>
    <x v="185"/>
    <d v="2026-07-13T00:00:00"/>
    <n v="22848"/>
    <x v="6"/>
  </r>
  <r>
    <s v="Кузнецов Максим Алексеевич"/>
    <x v="27"/>
    <d v="2026-07-13T00:00:00"/>
    <n v="14643"/>
    <x v="6"/>
  </r>
  <r>
    <s v="Морозова Елена Андреевна"/>
    <x v="209"/>
    <d v="2026-07-13T00:00:00"/>
    <n v="21847"/>
    <x v="6"/>
  </r>
  <r>
    <s v="Семенова Ирина Валерьевна"/>
    <x v="45"/>
    <d v="2026-07-13T00:00:00"/>
    <n v="16415"/>
    <x v="6"/>
  </r>
  <r>
    <s v="Ткаченко Андрей Олегович"/>
    <x v="30"/>
    <d v="2026-07-13T00:00:00"/>
    <n v="25804"/>
    <x v="6"/>
  </r>
  <r>
    <s v="Фролов Сергей Викторович"/>
    <x v="202"/>
    <d v="2026-07-13T00:00:00"/>
    <n v="42862"/>
    <x v="6"/>
  </r>
  <r>
    <s v="Фролов Сергей Викторович"/>
    <x v="55"/>
    <d v="2026-07-13T00:00:00"/>
    <n v="22240"/>
    <x v="6"/>
  </r>
  <r>
    <s v="Фролов Сергей Викторович"/>
    <x v="89"/>
    <d v="2026-07-13T00:00:00"/>
    <n v="27681"/>
    <x v="6"/>
  </r>
  <r>
    <s v="Яковлев Артем Игоревич"/>
    <x v="77"/>
    <d v="2026-07-13T00:00:00"/>
    <n v="50438"/>
    <x v="6"/>
  </r>
  <r>
    <s v="Яковлев Артем Игоревич"/>
    <x v="34"/>
    <d v="2026-07-13T00:00:00"/>
    <n v="30162"/>
    <x v="6"/>
  </r>
  <r>
    <s v="Яковлев Артем Игоревич"/>
    <x v="230"/>
    <d v="2026-07-13T00:00:00"/>
    <n v="49278"/>
    <x v="6"/>
  </r>
  <r>
    <s v="Васильева Дарья Павловна"/>
    <x v="28"/>
    <d v="2026-07-14T00:00:00"/>
    <n v="15636"/>
    <x v="6"/>
  </r>
  <r>
    <s v="Иванова Анна Сергеевна"/>
    <x v="191"/>
    <d v="2026-07-14T00:00:00"/>
    <n v="26621"/>
    <x v="6"/>
  </r>
  <r>
    <s v="Иванова Анна Сергеевна"/>
    <x v="185"/>
    <d v="2026-07-14T00:00:00"/>
    <n v="26213"/>
    <x v="6"/>
  </r>
  <r>
    <s v="Морозова Елена Андреевна"/>
    <x v="233"/>
    <d v="2026-07-14T00:00:00"/>
    <n v="14220"/>
    <x v="6"/>
  </r>
  <r>
    <s v="Семенова Ирина Валерьевна"/>
    <x v="226"/>
    <d v="2026-07-14T00:00:00"/>
    <n v="15186"/>
    <x v="6"/>
  </r>
  <r>
    <s v="Фролов Сергей Викторович"/>
    <x v="236"/>
    <d v="2026-07-14T00:00:00"/>
    <n v="26179"/>
    <x v="6"/>
  </r>
  <r>
    <s v="Фролов Сергей Викторович"/>
    <x v="23"/>
    <d v="2026-07-14T00:00:00"/>
    <n v="39150"/>
    <x v="6"/>
  </r>
  <r>
    <s v="Яковлев Артем Игоревич"/>
    <x v="203"/>
    <d v="2026-07-14T00:00:00"/>
    <n v="41672"/>
    <x v="6"/>
  </r>
  <r>
    <s v="Яковлев Артем Игоревич"/>
    <x v="24"/>
    <d v="2026-07-14T00:00:00"/>
    <n v="46386"/>
    <x v="6"/>
  </r>
  <r>
    <s v="Яковлев Артем Игоревич"/>
    <x v="14"/>
    <d v="2026-07-14T00:00:00"/>
    <n v="33932"/>
    <x v="6"/>
  </r>
  <r>
    <s v="Яковлев Артем Игоревич"/>
    <x v="50"/>
    <d v="2026-07-14T00:00:00"/>
    <n v="28862"/>
    <x v="6"/>
  </r>
  <r>
    <s v="Волков Дмитрий Романович"/>
    <x v="205"/>
    <d v="2026-07-15T00:00:00"/>
    <n v="22400"/>
    <x v="6"/>
  </r>
  <r>
    <s v="Иванова Анна Сергеевна"/>
    <x v="137"/>
    <d v="2026-07-15T00:00:00"/>
    <n v="23126"/>
    <x v="6"/>
  </r>
  <r>
    <s v="Козлов Алексей Михайлович"/>
    <x v="17"/>
    <d v="2026-07-15T00:00:00"/>
    <n v="5200"/>
    <x v="6"/>
  </r>
  <r>
    <s v="Лебедев Николай Олегович"/>
    <x v="207"/>
    <d v="2026-07-15T00:00:00"/>
    <n v="5200"/>
    <x v="6"/>
  </r>
  <r>
    <s v="Орлов Павел Денисович"/>
    <x v="211"/>
    <d v="2026-07-15T00:00:00"/>
    <n v="16305"/>
    <x v="6"/>
  </r>
  <r>
    <s v="Семенова Ирина Валерьевна"/>
    <x v="74"/>
    <d v="2026-07-15T00:00:00"/>
    <n v="19282"/>
    <x v="6"/>
  </r>
  <r>
    <s v="Фролов Сергей Викторович"/>
    <x v="103"/>
    <d v="2026-07-15T00:00:00"/>
    <n v="28827"/>
    <x v="6"/>
  </r>
  <r>
    <s v="Фролов Сергей Викторович"/>
    <x v="10"/>
    <d v="2026-07-15T00:00:00"/>
    <n v="27469"/>
    <x v="6"/>
  </r>
  <r>
    <s v="Яковлев Артем Игоревич"/>
    <x v="112"/>
    <d v="2026-07-15T00:00:00"/>
    <n v="42723"/>
    <x v="6"/>
  </r>
  <r>
    <s v="Волков Дмитрий Романович"/>
    <x v="69"/>
    <d v="2026-07-16T00:00:00"/>
    <n v="12257"/>
    <x v="6"/>
  </r>
  <r>
    <s v="Иванова Анна Сергеевна"/>
    <x v="91"/>
    <d v="2026-07-16T00:00:00"/>
    <n v="22996"/>
    <x v="6"/>
  </r>
  <r>
    <s v="Кузнецов Максим Алексеевич"/>
    <x v="147"/>
    <d v="2026-07-16T00:00:00"/>
    <n v="12380"/>
    <x v="6"/>
  </r>
  <r>
    <s v="Орлов Павел Денисович"/>
    <x v="163"/>
    <d v="2026-07-16T00:00:00"/>
    <n v="18713"/>
    <x v="6"/>
  </r>
  <r>
    <s v="Семенова Ирина Валерьевна"/>
    <x v="166"/>
    <d v="2026-07-16T00:00:00"/>
    <n v="16135"/>
    <x v="6"/>
  </r>
  <r>
    <s v="Соколова Мария Ильинична"/>
    <x v="46"/>
    <d v="2026-07-16T00:00:00"/>
    <n v="12425"/>
    <x v="6"/>
  </r>
  <r>
    <s v="Фролов Сергей Викторович"/>
    <x v="67"/>
    <d v="2026-07-16T00:00:00"/>
    <n v="43073"/>
    <x v="6"/>
  </r>
  <r>
    <s v="Яковлев Артем Игоревич"/>
    <x v="190"/>
    <d v="2026-07-16T00:00:00"/>
    <n v="34120"/>
    <x v="6"/>
  </r>
  <r>
    <s v="Яковлев Артем Игоревич"/>
    <x v="57"/>
    <d v="2026-07-16T00:00:00"/>
    <n v="32958"/>
    <x v="6"/>
  </r>
  <r>
    <s v="Яковлев Артем Игоревич"/>
    <x v="39"/>
    <d v="2026-07-16T00:00:00"/>
    <n v="52721"/>
    <x v="6"/>
  </r>
  <r>
    <s v="Яковлев Артем Игоревич"/>
    <x v="159"/>
    <d v="2026-07-16T00:00:00"/>
    <n v="32348"/>
    <x v="6"/>
  </r>
  <r>
    <s v="Яковлев Артем Игоревич"/>
    <x v="105"/>
    <d v="2026-07-16T00:00:00"/>
    <n v="57191"/>
    <x v="6"/>
  </r>
  <r>
    <s v="Яковлев Артем Игоревич"/>
    <x v="1"/>
    <d v="2026-07-16T00:00:00"/>
    <n v="23707"/>
    <x v="6"/>
  </r>
  <r>
    <s v="Кузнецов Максим Алексеевич"/>
    <x v="99"/>
    <d v="2026-07-17T00:00:00"/>
    <n v="5200"/>
    <x v="6"/>
  </r>
  <r>
    <s v="Попов Кирилл Денисович"/>
    <x v="115"/>
    <d v="2026-07-17T00:00:00"/>
    <n v="10501"/>
    <x v="6"/>
  </r>
  <r>
    <s v="Семенова Ирина Валерьевна"/>
    <x v="139"/>
    <d v="2026-07-17T00:00:00"/>
    <n v="17314"/>
    <x v="6"/>
  </r>
  <r>
    <s v="Яковлев Артем Игоревич"/>
    <x v="48"/>
    <d v="2026-07-17T00:00:00"/>
    <n v="33009"/>
    <x v="6"/>
  </r>
  <r>
    <s v="Яковлев Артем Игоревич"/>
    <x v="90"/>
    <d v="2026-07-17T00:00:00"/>
    <n v="53827"/>
    <x v="6"/>
  </r>
  <r>
    <s v="Яковлев Артем Игоревич"/>
    <x v="160"/>
    <d v="2026-07-17T00:00:00"/>
    <n v="24802"/>
    <x v="6"/>
  </r>
  <r>
    <s v="Яковлев Артем Игоревич"/>
    <x v="41"/>
    <d v="2026-07-17T00:00:00"/>
    <n v="45677"/>
    <x v="6"/>
  </r>
  <r>
    <s v="Иванова Анна Сергеевна"/>
    <x v="15"/>
    <d v="2026-07-18T00:00:00"/>
    <n v="5799"/>
    <x v="6"/>
  </r>
  <r>
    <s v="Новикова Ольга Викторовна"/>
    <x v="84"/>
    <d v="2026-07-18T00:00:00"/>
    <n v="11902"/>
    <x v="6"/>
  </r>
  <r>
    <s v="Фролов Сергей Викторович"/>
    <x v="170"/>
    <d v="2026-07-18T00:00:00"/>
    <n v="49453"/>
    <x v="6"/>
  </r>
  <r>
    <s v="Фролов Сергей Викторович"/>
    <x v="34"/>
    <d v="2026-07-18T00:00:00"/>
    <n v="44981"/>
    <x v="6"/>
  </r>
  <r>
    <s v="Яковлев Артем Игоревич"/>
    <x v="118"/>
    <d v="2026-07-18T00:00:00"/>
    <n v="43535"/>
    <x v="6"/>
  </r>
  <r>
    <s v="Кузнецов Максим Алексеевич"/>
    <x v="43"/>
    <d v="2026-07-19T00:00:00"/>
    <n v="11182"/>
    <x v="6"/>
  </r>
  <r>
    <s v="Морозова Елена Андреевна"/>
    <x v="208"/>
    <d v="2026-07-19T00:00:00"/>
    <n v="13015"/>
    <x v="6"/>
  </r>
  <r>
    <s v="Орлов Павел Денисович"/>
    <x v="234"/>
    <d v="2026-07-19T00:00:00"/>
    <n v="23637"/>
    <x v="6"/>
  </r>
  <r>
    <s v="Ткаченко Андрей Олегович"/>
    <x v="141"/>
    <d v="2026-07-19T00:00:00"/>
    <n v="22818"/>
    <x v="6"/>
  </r>
  <r>
    <s v="Фролов Сергей Викторович"/>
    <x v="81"/>
    <d v="2026-07-19T00:00:00"/>
    <n v="46663"/>
    <x v="6"/>
  </r>
  <r>
    <s v="Фролов Сергей Викторович"/>
    <x v="104"/>
    <d v="2026-07-19T00:00:00"/>
    <n v="41925"/>
    <x v="6"/>
  </r>
  <r>
    <s v="Яковлев Артем Игоревич"/>
    <x v="48"/>
    <d v="2026-07-19T00:00:00"/>
    <n v="45909"/>
    <x v="6"/>
  </r>
  <r>
    <s v="Яковлев Артем Игоревич"/>
    <x v="38"/>
    <d v="2026-07-19T00:00:00"/>
    <n v="45883"/>
    <x v="6"/>
  </r>
  <r>
    <s v="Яковлев Артем Игоревич"/>
    <x v="25"/>
    <d v="2026-07-19T00:00:00"/>
    <n v="49516"/>
    <x v="6"/>
  </r>
  <r>
    <s v="Иванова Анна Сергеевна"/>
    <x v="80"/>
    <d v="2026-07-20T00:00:00"/>
    <n v="17768"/>
    <x v="6"/>
  </r>
  <r>
    <s v="Ткаченко Андрей Олегович"/>
    <x v="5"/>
    <d v="2026-07-20T00:00:00"/>
    <n v="23048"/>
    <x v="6"/>
  </r>
  <r>
    <s v="Фролов Сергей Викторович"/>
    <x v="186"/>
    <d v="2026-07-20T00:00:00"/>
    <n v="36423"/>
    <x v="6"/>
  </r>
  <r>
    <s v="Яковлев Артем Игоревич"/>
    <x v="151"/>
    <d v="2026-07-20T00:00:00"/>
    <n v="31273"/>
    <x v="6"/>
  </r>
  <r>
    <s v="Яковлев Артем Игоревич"/>
    <x v="13"/>
    <d v="2026-07-20T00:00:00"/>
    <n v="38702"/>
    <x v="6"/>
  </r>
  <r>
    <s v="Яковлев Артем Игоревич"/>
    <x v="14"/>
    <d v="2026-07-20T00:00:00"/>
    <n v="42526"/>
    <x v="6"/>
  </r>
  <r>
    <s v="Яковлев Артем Игоревич"/>
    <x v="40"/>
    <d v="2026-07-20T00:00:00"/>
    <n v="41066"/>
    <x v="6"/>
  </r>
  <r>
    <s v="Яковлев Артем Игоревич"/>
    <x v="40"/>
    <d v="2026-07-20T00:00:00"/>
    <n v="38364"/>
    <x v="6"/>
  </r>
  <r>
    <s v="Яковлев Артем Игоревич"/>
    <x v="58"/>
    <d v="2026-07-20T00:00:00"/>
    <n v="35513"/>
    <x v="6"/>
  </r>
  <r>
    <s v="Яковлев Артем Игоревич"/>
    <x v="78"/>
    <d v="2026-07-20T00:00:00"/>
    <n v="31617"/>
    <x v="6"/>
  </r>
  <r>
    <s v="Волков Дмитрий Романович"/>
    <x v="79"/>
    <d v="2026-07-21T00:00:00"/>
    <n v="13706"/>
    <x v="6"/>
  </r>
  <r>
    <s v="Волков Дмитрий Романович"/>
    <x v="119"/>
    <d v="2026-07-21T00:00:00"/>
    <n v="22978"/>
    <x v="6"/>
  </r>
  <r>
    <s v="Иванова Анна Сергеевна"/>
    <x v="26"/>
    <d v="2026-07-21T00:00:00"/>
    <n v="40430"/>
    <x v="6"/>
  </r>
  <r>
    <s v="Морозова Елена Андреевна"/>
    <x v="187"/>
    <d v="2026-07-21T00:00:00"/>
    <n v="10245"/>
    <x v="6"/>
  </r>
  <r>
    <s v="Ткаченко Андрей Олегович"/>
    <x v="195"/>
    <d v="2026-07-21T00:00:00"/>
    <n v="17880"/>
    <x v="6"/>
  </r>
  <r>
    <s v="Яковлев Артем Игоревич"/>
    <x v="105"/>
    <d v="2026-07-21T00:00:00"/>
    <n v="50102"/>
    <x v="6"/>
  </r>
  <r>
    <s v="Яковлев Артем Игоревич"/>
    <x v="42"/>
    <d v="2026-07-21T00:00:00"/>
    <n v="38403"/>
    <x v="6"/>
  </r>
  <r>
    <s v="Иванова Анна Сергеевна"/>
    <x v="71"/>
    <d v="2026-07-22T00:00:00"/>
    <n v="24688"/>
    <x v="6"/>
  </r>
  <r>
    <s v="Иванова Анна Сергеевна"/>
    <x v="7"/>
    <d v="2026-07-22T00:00:00"/>
    <n v="29403"/>
    <x v="6"/>
  </r>
  <r>
    <s v="Морозова Елена Андреевна"/>
    <x v="83"/>
    <d v="2026-07-22T00:00:00"/>
    <n v="13503"/>
    <x v="6"/>
  </r>
  <r>
    <s v="Морозова Елена Андреевна"/>
    <x v="44"/>
    <d v="2026-07-22T00:00:00"/>
    <n v="18372"/>
    <x v="6"/>
  </r>
  <r>
    <s v="Морозова Елена Андреевна"/>
    <x v="36"/>
    <d v="2026-07-22T00:00:00"/>
    <n v="5200"/>
    <x v="6"/>
  </r>
  <r>
    <s v="Новикова Ольга Викторовна"/>
    <x v="108"/>
    <d v="2026-07-22T00:00:00"/>
    <n v="11482"/>
    <x v="6"/>
  </r>
  <r>
    <s v="Новикова Ольга Викторовна"/>
    <x v="174"/>
    <d v="2026-07-22T00:00:00"/>
    <n v="12553"/>
    <x v="6"/>
  </r>
  <r>
    <s v="Соколова Мария Ильинична"/>
    <x v="157"/>
    <d v="2026-07-22T00:00:00"/>
    <n v="11643"/>
    <x v="6"/>
  </r>
  <r>
    <s v="Ткаченко Андрей Олегович"/>
    <x v="47"/>
    <d v="2026-07-22T00:00:00"/>
    <n v="19508"/>
    <x v="6"/>
  </r>
  <r>
    <s v="Фролов Сергей Викторович"/>
    <x v="236"/>
    <d v="2026-07-22T00:00:00"/>
    <n v="33558"/>
    <x v="6"/>
  </r>
  <r>
    <s v="Фролов Сергей Викторович"/>
    <x v="88"/>
    <d v="2026-07-22T00:00:00"/>
    <n v="31063"/>
    <x v="6"/>
  </r>
  <r>
    <s v="Фролов Сергей Викторович"/>
    <x v="22"/>
    <d v="2026-07-22T00:00:00"/>
    <n v="27499"/>
    <x v="6"/>
  </r>
  <r>
    <s v="Фролов Сергей Викторович"/>
    <x v="228"/>
    <d v="2026-07-22T00:00:00"/>
    <n v="19928"/>
    <x v="6"/>
  </r>
  <r>
    <s v="Яковлев Артем Игоревич"/>
    <x v="112"/>
    <d v="2026-07-22T00:00:00"/>
    <n v="35377"/>
    <x v="6"/>
  </r>
  <r>
    <s v="Яковлев Артем Игоревич"/>
    <x v="158"/>
    <d v="2026-07-22T00:00:00"/>
    <n v="37533"/>
    <x v="6"/>
  </r>
  <r>
    <s v="Яковлев Артем Игоревич"/>
    <x v="57"/>
    <d v="2026-07-22T00:00:00"/>
    <n v="46081"/>
    <x v="6"/>
  </r>
  <r>
    <s v="Яковлев Артем Игоревич"/>
    <x v="105"/>
    <d v="2026-07-22T00:00:00"/>
    <n v="49191"/>
    <x v="6"/>
  </r>
  <r>
    <s v="Яковлев Артем Игоревич"/>
    <x v="223"/>
    <d v="2026-07-22T00:00:00"/>
    <n v="41618"/>
    <x v="6"/>
  </r>
  <r>
    <s v="Иванова Анна Сергеевна"/>
    <x v="0"/>
    <d v="2026-07-23T00:00:00"/>
    <n v="9851"/>
    <x v="6"/>
  </r>
  <r>
    <s v="Иванова Анна Сергеевна"/>
    <x v="70"/>
    <d v="2026-07-23T00:00:00"/>
    <n v="28829"/>
    <x v="6"/>
  </r>
  <r>
    <s v="Иванова Анна Сергеевна"/>
    <x v="111"/>
    <d v="2026-07-23T00:00:00"/>
    <n v="40531"/>
    <x v="6"/>
  </r>
  <r>
    <s v="Кузнецов Максим Алексеевич"/>
    <x v="82"/>
    <d v="2026-07-23T00:00:00"/>
    <n v="12567"/>
    <x v="6"/>
  </r>
  <r>
    <s v="Кузнецов Максим Алексеевич"/>
    <x v="114"/>
    <d v="2026-07-23T00:00:00"/>
    <n v="12617"/>
    <x v="6"/>
  </r>
  <r>
    <s v="Орлов Павел Денисович"/>
    <x v="220"/>
    <d v="2026-07-23T00:00:00"/>
    <n v="15708"/>
    <x v="6"/>
  </r>
  <r>
    <s v="Фролов Сергей Викторович"/>
    <x v="171"/>
    <d v="2026-07-23T00:00:00"/>
    <n v="36235"/>
    <x v="6"/>
  </r>
  <r>
    <s v="Яковлев Артем Игоревич"/>
    <x v="12"/>
    <d v="2026-07-23T00:00:00"/>
    <n v="39374"/>
    <x v="6"/>
  </r>
  <r>
    <s v="Яковлев Артем Игоревич"/>
    <x v="14"/>
    <d v="2026-07-23T00:00:00"/>
    <n v="35417"/>
    <x v="6"/>
  </r>
  <r>
    <s v="Яковлев Артем Игоревич"/>
    <x v="14"/>
    <d v="2026-07-23T00:00:00"/>
    <n v="33578"/>
    <x v="6"/>
  </r>
  <r>
    <s v="Яковлев Артем Игоревич"/>
    <x v="230"/>
    <d v="2026-07-23T00:00:00"/>
    <n v="46619"/>
    <x v="6"/>
  </r>
  <r>
    <s v="Иванова Анна Сергеевна"/>
    <x v="145"/>
    <d v="2026-07-24T00:00:00"/>
    <n v="29287"/>
    <x v="6"/>
  </r>
  <r>
    <s v="Иванова Анна Сергеевна"/>
    <x v="142"/>
    <d v="2026-07-24T00:00:00"/>
    <n v="49089"/>
    <x v="6"/>
  </r>
  <r>
    <s v="Лебедев Николай Олегович"/>
    <x v="232"/>
    <d v="2026-07-24T00:00:00"/>
    <n v="8850"/>
    <x v="6"/>
  </r>
  <r>
    <s v="Морозова Елена Андреевна"/>
    <x v="165"/>
    <d v="2026-07-24T00:00:00"/>
    <n v="11776"/>
    <x v="6"/>
  </r>
  <r>
    <s v="Семенова Ирина Валерьевна"/>
    <x v="86"/>
    <d v="2026-07-24T00:00:00"/>
    <n v="18563"/>
    <x v="6"/>
  </r>
  <r>
    <s v="Ткаченко Андрей Олегович"/>
    <x v="184"/>
    <d v="2026-07-24T00:00:00"/>
    <n v="24691"/>
    <x v="6"/>
  </r>
  <r>
    <s v="Ткаченко Андрей Олегович"/>
    <x v="140"/>
    <d v="2026-07-24T00:00:00"/>
    <n v="20615"/>
    <x v="6"/>
  </r>
  <r>
    <s v="Фролов Сергей Викторович"/>
    <x v="37"/>
    <d v="2026-07-24T00:00:00"/>
    <n v="33399"/>
    <x v="6"/>
  </r>
  <r>
    <s v="Фролов Сергей Викторович"/>
    <x v="216"/>
    <d v="2026-07-24T00:00:00"/>
    <n v="35399"/>
    <x v="6"/>
  </r>
  <r>
    <s v="Фролов Сергей Викторович"/>
    <x v="11"/>
    <d v="2026-07-24T00:00:00"/>
    <n v="49763"/>
    <x v="6"/>
  </r>
  <r>
    <s v="Яковлев Артем Игоревич"/>
    <x v="12"/>
    <d v="2026-07-24T00:00:00"/>
    <n v="43220"/>
    <x v="6"/>
  </r>
  <r>
    <s v="Яковлев Артем Игоревич"/>
    <x v="58"/>
    <d v="2026-07-24T00:00:00"/>
    <n v="35647"/>
    <x v="6"/>
  </r>
  <r>
    <s v="Яковлев Артем Игоревич"/>
    <x v="204"/>
    <d v="2026-07-24T00:00:00"/>
    <n v="41527"/>
    <x v="6"/>
  </r>
  <r>
    <s v="Орлов Павел Денисович"/>
    <x v="73"/>
    <d v="2026-07-25T00:00:00"/>
    <n v="12823"/>
    <x v="6"/>
  </r>
  <r>
    <s v="Фролов Сергей Викторович"/>
    <x v="110"/>
    <d v="2026-07-25T00:00:00"/>
    <n v="38704"/>
    <x v="6"/>
  </r>
  <r>
    <s v="Фролов Сергей Викторович"/>
    <x v="117"/>
    <d v="2026-07-25T00:00:00"/>
    <n v="41260"/>
    <x v="6"/>
  </r>
  <r>
    <s v="Фролов Сергей Викторович"/>
    <x v="81"/>
    <d v="2026-07-25T00:00:00"/>
    <n v="46330"/>
    <x v="6"/>
  </r>
  <r>
    <s v="Яковлев Артем Игоревич"/>
    <x v="171"/>
    <d v="2026-07-25T00:00:00"/>
    <n v="38886"/>
    <x v="6"/>
  </r>
  <r>
    <s v="Васильева Дарья Павловна"/>
    <x v="221"/>
    <d v="2026-07-26T00:00:00"/>
    <n v="20111"/>
    <x v="6"/>
  </r>
  <r>
    <s v="Волков Дмитрий Романович"/>
    <x v="162"/>
    <d v="2026-07-26T00:00:00"/>
    <n v="13328"/>
    <x v="6"/>
  </r>
  <r>
    <s v="Егоров Илья Александрович"/>
    <x v="52"/>
    <d v="2026-07-26T00:00:00"/>
    <n v="11920"/>
    <x v="6"/>
  </r>
  <r>
    <s v="Иванова Анна Сергеевна"/>
    <x v="172"/>
    <d v="2026-07-26T00:00:00"/>
    <n v="33205"/>
    <x v="6"/>
  </r>
  <r>
    <s v="Иванова Анна Сергеевна"/>
    <x v="96"/>
    <d v="2026-07-26T00:00:00"/>
    <n v="24484"/>
    <x v="6"/>
  </r>
  <r>
    <s v="Козлов Алексей Михайлович"/>
    <x v="97"/>
    <d v="2026-07-26T00:00:00"/>
    <n v="9201"/>
    <x v="6"/>
  </r>
  <r>
    <s v="Морозова Елена Андреевна"/>
    <x v="63"/>
    <d v="2026-07-26T00:00:00"/>
    <n v="8524"/>
    <x v="6"/>
  </r>
  <r>
    <s v="Павлова Татьяна Сергеевна"/>
    <x v="181"/>
    <d v="2026-07-26T00:00:00"/>
    <n v="12242"/>
    <x v="6"/>
  </r>
  <r>
    <s v="Ткаченко Андрей Олегович"/>
    <x v="102"/>
    <d v="2026-07-26T00:00:00"/>
    <n v="28706"/>
    <x v="6"/>
  </r>
  <r>
    <s v="Яковлев Артем Игоревич"/>
    <x v="77"/>
    <d v="2026-07-26T00:00:00"/>
    <n v="36496"/>
    <x v="6"/>
  </r>
  <r>
    <s v="Яковлев Артем Игоревич"/>
    <x v="68"/>
    <d v="2026-07-26T00:00:00"/>
    <n v="29380"/>
    <x v="6"/>
  </r>
  <r>
    <s v="Морозова Елена Андреевна"/>
    <x v="18"/>
    <d v="2026-07-27T00:00:00"/>
    <n v="16576"/>
    <x v="6"/>
  </r>
  <r>
    <s v="Орлов Павел Денисович"/>
    <x v="196"/>
    <d v="2026-07-27T00:00:00"/>
    <n v="6034"/>
    <x v="6"/>
  </r>
  <r>
    <s v="Семенова Ирина Валерьевна"/>
    <x v="20"/>
    <d v="2026-07-27T00:00:00"/>
    <n v="31725"/>
    <x v="6"/>
  </r>
  <r>
    <s v="Семенова Ирина Валерьевна"/>
    <x v="213"/>
    <d v="2026-07-27T00:00:00"/>
    <n v="16985"/>
    <x v="6"/>
  </r>
  <r>
    <s v="Ткаченко Андрей Олегович"/>
    <x v="66"/>
    <d v="2026-07-27T00:00:00"/>
    <n v="11160"/>
    <x v="6"/>
  </r>
  <r>
    <s v="Фролов Сергей Викторович"/>
    <x v="124"/>
    <d v="2026-07-27T00:00:00"/>
    <n v="37324"/>
    <x v="6"/>
  </r>
  <r>
    <s v="Фролов Сергей Викторович"/>
    <x v="23"/>
    <d v="2026-07-27T00:00:00"/>
    <n v="32854"/>
    <x v="6"/>
  </r>
  <r>
    <s v="Яковлев Артем Игоревич"/>
    <x v="38"/>
    <d v="2026-07-27T00:00:00"/>
    <n v="45977"/>
    <x v="6"/>
  </r>
  <r>
    <s v="Яковлев Артем Игоревич"/>
    <x v="223"/>
    <d v="2026-07-27T00:00:00"/>
    <n v="40025"/>
    <x v="6"/>
  </r>
  <r>
    <s v="Волков Дмитрий Романович"/>
    <x v="107"/>
    <d v="2026-07-28T00:00:00"/>
    <n v="15560"/>
    <x v="6"/>
  </r>
  <r>
    <s v="Кузнецов Максим Алексеевич"/>
    <x v="198"/>
    <d v="2026-07-28T00:00:00"/>
    <n v="14769"/>
    <x v="6"/>
  </r>
  <r>
    <s v="Новикова Ольга Викторовна"/>
    <x v="100"/>
    <d v="2026-07-28T00:00:00"/>
    <n v="11873"/>
    <x v="6"/>
  </r>
  <r>
    <s v="Новикова Ольга Викторовна"/>
    <x v="154"/>
    <d v="2026-07-28T00:00:00"/>
    <n v="10303"/>
    <x v="6"/>
  </r>
  <r>
    <s v="Семенова Ирина Валерьевна"/>
    <x v="167"/>
    <d v="2026-07-28T00:00:00"/>
    <n v="16076"/>
    <x v="6"/>
  </r>
  <r>
    <s v="Соколова Мария Ильинична"/>
    <x v="65"/>
    <d v="2026-07-28T00:00:00"/>
    <n v="8752"/>
    <x v="6"/>
  </r>
  <r>
    <s v="Фролов Сергей Викторович"/>
    <x v="197"/>
    <d v="2026-07-28T00:00:00"/>
    <n v="32651"/>
    <x v="6"/>
  </r>
  <r>
    <s v="Фролов Сергей Викторович"/>
    <x v="37"/>
    <d v="2026-07-28T00:00:00"/>
    <n v="29247"/>
    <x v="6"/>
  </r>
  <r>
    <s v="Яковлев Артем Игоревич"/>
    <x v="67"/>
    <d v="2026-07-28T00:00:00"/>
    <n v="33627"/>
    <x v="6"/>
  </r>
  <r>
    <s v="Яковлев Артем Игоревич"/>
    <x v="105"/>
    <d v="2026-07-28T00:00:00"/>
    <n v="41495"/>
    <x v="6"/>
  </r>
  <r>
    <s v="Яковлев Артем Игоревич"/>
    <x v="204"/>
    <d v="2026-07-28T00:00:00"/>
    <n v="53352"/>
    <x v="6"/>
  </r>
  <r>
    <s v="Яковлев Артем Игоревич"/>
    <x v="161"/>
    <d v="2026-07-28T00:00:00"/>
    <n v="20236"/>
    <x v="6"/>
  </r>
  <r>
    <s v="Яковлев Артем Игоревич"/>
    <x v="152"/>
    <d v="2026-07-28T00:00:00"/>
    <n v="54112"/>
    <x v="6"/>
  </r>
  <r>
    <s v="Иванова Анна Сергеевна"/>
    <x v="144"/>
    <d v="2026-07-29T00:00:00"/>
    <n v="27234"/>
    <x v="6"/>
  </r>
  <r>
    <s v="Иванова Анна Сергеевна"/>
    <x v="192"/>
    <d v="2026-07-29T00:00:00"/>
    <n v="23288"/>
    <x v="6"/>
  </r>
  <r>
    <s v="Иванова Анна Сергеевна"/>
    <x v="173"/>
    <d v="2026-07-29T00:00:00"/>
    <n v="23063"/>
    <x v="6"/>
  </r>
  <r>
    <s v="Кузнецов Максим Алексеевич"/>
    <x v="61"/>
    <d v="2026-07-29T00:00:00"/>
    <n v="11290"/>
    <x v="6"/>
  </r>
  <r>
    <s v="Орлов Павел Денисович"/>
    <x v="188"/>
    <d v="2026-07-29T00:00:00"/>
    <n v="24914"/>
    <x v="6"/>
  </r>
  <r>
    <s v="Павлова Татьяна Сергеевна"/>
    <x v="199"/>
    <d v="2026-07-29T00:00:00"/>
    <n v="12027"/>
    <x v="6"/>
  </r>
  <r>
    <s v="Фролов Сергей Викторович"/>
    <x v="229"/>
    <d v="2026-07-29T00:00:00"/>
    <n v="56459"/>
    <x v="6"/>
  </r>
  <r>
    <s v="Яковлев Артем Игоревич"/>
    <x v="113"/>
    <d v="2026-07-29T00:00:00"/>
    <n v="29411"/>
    <x v="6"/>
  </r>
  <r>
    <s v="Яковлев Артем Игоревич"/>
    <x v="158"/>
    <d v="2026-07-29T00:00:00"/>
    <n v="48501"/>
    <x v="6"/>
  </r>
  <r>
    <s v="Яковлев Артем Игоревич"/>
    <x v="105"/>
    <d v="2026-07-29T00:00:00"/>
    <n v="43576"/>
    <x v="6"/>
  </r>
  <r>
    <s v="Яковлев Артем Игоревич"/>
    <x v="34"/>
    <d v="2026-07-29T00:00:00"/>
    <n v="37957"/>
    <x v="6"/>
  </r>
  <r>
    <s v="Яковлев Артем Игоревич"/>
    <x v="135"/>
    <d v="2026-07-29T00:00:00"/>
    <n v="35145"/>
    <x v="6"/>
  </r>
  <r>
    <s v="Лебедев Николай Олегович"/>
    <x v="2"/>
    <d v="2026-07-30T00:00:00"/>
    <n v="9808"/>
    <x v="6"/>
  </r>
  <r>
    <s v="Ткаченко Андрей Олегович"/>
    <x v="9"/>
    <d v="2026-07-30T00:00:00"/>
    <n v="5200"/>
    <x v="6"/>
  </r>
  <r>
    <s v="Ткаченко Андрей Олегович"/>
    <x v="177"/>
    <d v="2026-07-30T00:00:00"/>
    <n v="21171"/>
    <x v="6"/>
  </r>
  <r>
    <s v="Фролов Сергей Викторович"/>
    <x v="123"/>
    <d v="2026-07-30T00:00:00"/>
    <n v="25861"/>
    <x v="6"/>
  </r>
  <r>
    <s v="Яковлев Артем Игоревич"/>
    <x v="113"/>
    <d v="2026-07-30T00:00:00"/>
    <n v="31746"/>
    <x v="6"/>
  </r>
  <r>
    <s v="Яковлев Артем Игоревич"/>
    <x v="159"/>
    <d v="2026-07-30T00:00:00"/>
    <n v="40069"/>
    <x v="6"/>
  </r>
  <r>
    <s v="Яковлев Артем Игоревич"/>
    <x v="34"/>
    <d v="2026-07-30T00:00:00"/>
    <n v="46970"/>
    <x v="6"/>
  </r>
  <r>
    <s v="Яковлев Артем Игоревич"/>
    <x v="50"/>
    <d v="2026-07-30T00:00:00"/>
    <n v="42871"/>
    <x v="6"/>
  </r>
  <r>
    <s v="Иванова Анна Сергеевна"/>
    <x v="136"/>
    <d v="2026-07-31T00:00:00"/>
    <n v="27927"/>
    <x v="6"/>
  </r>
  <r>
    <s v="Иванова Анна Сергеевна"/>
    <x v="126"/>
    <d v="2026-07-31T00:00:00"/>
    <n v="29975"/>
    <x v="6"/>
  </r>
  <r>
    <s v="Кузнецов Максим Алексеевич"/>
    <x v="225"/>
    <d v="2026-07-31T00:00:00"/>
    <n v="13840"/>
    <x v="6"/>
  </r>
  <r>
    <s v="Семенова Ирина Валерьевна"/>
    <x v="214"/>
    <d v="2026-07-31T00:00:00"/>
    <n v="15744"/>
    <x v="6"/>
  </r>
  <r>
    <s v="Смирнов Евгений Андреевич"/>
    <x v="183"/>
    <d v="2026-07-31T00:00:00"/>
    <n v="13546"/>
    <x v="6"/>
  </r>
  <r>
    <s v="Ткаченко Андрей Олегович"/>
    <x v="150"/>
    <d v="2026-07-31T00:00:00"/>
    <n v="21828"/>
    <x v="6"/>
  </r>
  <r>
    <s v="Фролов Сергей Викторович"/>
    <x v="6"/>
    <d v="2026-07-31T00:00:00"/>
    <n v="41513"/>
    <x v="6"/>
  </r>
  <r>
    <s v="Яковлев Артем Игоревич"/>
    <x v="67"/>
    <d v="2026-07-31T00:00:00"/>
    <n v="42527"/>
    <x v="6"/>
  </r>
  <r>
    <s v="Яковлев Артем Игоревич"/>
    <x v="49"/>
    <d v="2026-07-31T00:00:00"/>
    <n v="56632"/>
    <x v="6"/>
  </r>
  <r>
    <s v="Яковлев Артем Игоревич"/>
    <x v="152"/>
    <d v="2026-07-31T00:00:00"/>
    <n v="36415"/>
    <x v="6"/>
  </r>
  <r>
    <s v="Иванова Анна Сергеевна"/>
    <x v="111"/>
    <d v="2026-08-01T00:00:00"/>
    <n v="36466"/>
    <x v="7"/>
  </r>
  <r>
    <s v="Иванова Анна Сергеевна"/>
    <x v="185"/>
    <d v="2026-08-01T00:00:00"/>
    <n v="40442"/>
    <x v="7"/>
  </r>
  <r>
    <s v="Кузнецов Максим Алексеевич"/>
    <x v="27"/>
    <d v="2026-08-01T00:00:00"/>
    <n v="14397"/>
    <x v="7"/>
  </r>
  <r>
    <s v="Смирнов Евгений Андреевич"/>
    <x v="183"/>
    <d v="2026-08-01T00:00:00"/>
    <n v="8133"/>
    <x v="7"/>
  </r>
  <r>
    <s v="Соколова Мария Ильинична"/>
    <x v="109"/>
    <d v="2026-08-01T00:00:00"/>
    <n v="19216"/>
    <x v="7"/>
  </r>
  <r>
    <s v="Фролов Сергей Викторович"/>
    <x v="55"/>
    <d v="2026-08-01T00:00:00"/>
    <n v="31793"/>
    <x v="7"/>
  </r>
  <r>
    <s v="Фролов Сергей Викторович"/>
    <x v="93"/>
    <d v="2026-08-01T00:00:00"/>
    <n v="52909"/>
    <x v="7"/>
  </r>
  <r>
    <s v="Фролов Сергей Викторович"/>
    <x v="168"/>
    <d v="2026-08-01T00:00:00"/>
    <n v="33935"/>
    <x v="7"/>
  </r>
  <r>
    <s v="Фролов Сергей Викторович"/>
    <x v="169"/>
    <d v="2026-08-01T00:00:00"/>
    <n v="34054"/>
    <x v="7"/>
  </r>
  <r>
    <s v="Яковлев Артем Игоревич"/>
    <x v="49"/>
    <d v="2026-08-01T00:00:00"/>
    <n v="39435"/>
    <x v="7"/>
  </r>
  <r>
    <s v="Яковлев Артем Игоревич"/>
    <x v="34"/>
    <d v="2026-08-01T00:00:00"/>
    <n v="38637"/>
    <x v="7"/>
  </r>
  <r>
    <s v="Яковлев Артем Игоревич"/>
    <x v="51"/>
    <d v="2026-08-01T00:00:00"/>
    <n v="49551"/>
    <x v="7"/>
  </r>
  <r>
    <s v="Яковлев Артем Игоревич"/>
    <x v="41"/>
    <d v="2026-08-01T00:00:00"/>
    <n v="46948"/>
    <x v="7"/>
  </r>
  <r>
    <s v="Лебедев Николай Олегович"/>
    <x v="120"/>
    <d v="2026-08-02T00:00:00"/>
    <n v="8207"/>
    <x v="7"/>
  </r>
  <r>
    <s v="Орлов Павел Денисович"/>
    <x v="92"/>
    <d v="2026-08-02T00:00:00"/>
    <n v="15762"/>
    <x v="7"/>
  </r>
  <r>
    <s v="Ткаченко Андрей Олегович"/>
    <x v="228"/>
    <d v="2026-08-02T00:00:00"/>
    <n v="20524"/>
    <x v="7"/>
  </r>
  <r>
    <s v="Фролов Сергей Викторович"/>
    <x v="186"/>
    <d v="2026-08-02T00:00:00"/>
    <n v="30860"/>
    <x v="7"/>
  </r>
  <r>
    <s v="Фролов Сергей Викторович"/>
    <x v="123"/>
    <d v="2026-08-02T00:00:00"/>
    <n v="28328"/>
    <x v="7"/>
  </r>
  <r>
    <s v="Фролов Сергей Викторович"/>
    <x v="6"/>
    <d v="2026-08-02T00:00:00"/>
    <n v="37013"/>
    <x v="7"/>
  </r>
  <r>
    <s v="Яковлев Артем Игоревич"/>
    <x v="204"/>
    <d v="2026-08-02T00:00:00"/>
    <n v="48052"/>
    <x v="7"/>
  </r>
  <r>
    <s v="Яковлев Артем Игоревич"/>
    <x v="34"/>
    <d v="2026-08-02T00:00:00"/>
    <n v="39179"/>
    <x v="7"/>
  </r>
  <r>
    <s v="Яковлев Артем Игоревич"/>
    <x v="34"/>
    <d v="2026-08-02T00:00:00"/>
    <n v="40169"/>
    <x v="7"/>
  </r>
  <r>
    <s v="Яковлев Артем Игоревич"/>
    <x v="34"/>
    <d v="2026-08-02T00:00:00"/>
    <n v="42795"/>
    <x v="7"/>
  </r>
  <r>
    <s v="Яковлев Артем Игоревич"/>
    <x v="68"/>
    <d v="2026-08-02T00:00:00"/>
    <n v="35078"/>
    <x v="7"/>
  </r>
  <r>
    <s v="Яковлев Артем Игоревич"/>
    <x v="1"/>
    <d v="2026-08-02T00:00:00"/>
    <n v="47556"/>
    <x v="7"/>
  </r>
  <r>
    <s v="Иванова Анна Сергеевна"/>
    <x v="60"/>
    <d v="2026-08-03T00:00:00"/>
    <n v="29325"/>
    <x v="7"/>
  </r>
  <r>
    <s v="Ткаченко Андрей Олегович"/>
    <x v="195"/>
    <d v="2026-08-03T00:00:00"/>
    <n v="26418"/>
    <x v="7"/>
  </r>
  <r>
    <s v="Ткаченко Андрей Олегович"/>
    <x v="116"/>
    <d v="2026-08-03T00:00:00"/>
    <n v="18814"/>
    <x v="7"/>
  </r>
  <r>
    <s v="Ткаченко Андрей Олегович"/>
    <x v="47"/>
    <d v="2026-08-03T00:00:00"/>
    <n v="19067"/>
    <x v="7"/>
  </r>
  <r>
    <s v="Фролов Сергей Викторович"/>
    <x v="26"/>
    <d v="2026-08-03T00:00:00"/>
    <n v="22613"/>
    <x v="7"/>
  </r>
  <r>
    <s v="Яковлев Артем Игоревич"/>
    <x v="67"/>
    <d v="2026-08-03T00:00:00"/>
    <n v="49496"/>
    <x v="7"/>
  </r>
  <r>
    <s v="Яковлев Артем Игоревич"/>
    <x v="160"/>
    <d v="2026-08-03T00:00:00"/>
    <n v="45711"/>
    <x v="7"/>
  </r>
  <r>
    <s v="Яковлев Артем Игоревич"/>
    <x v="41"/>
    <d v="2026-08-03T00:00:00"/>
    <n v="33174"/>
    <x v="7"/>
  </r>
  <r>
    <s v="Иванова Анна Сергеевна"/>
    <x v="192"/>
    <d v="2026-08-04T00:00:00"/>
    <n v="19346"/>
    <x v="7"/>
  </r>
  <r>
    <s v="Иванова Анна Сергеевна"/>
    <x v="173"/>
    <d v="2026-08-04T00:00:00"/>
    <n v="33098"/>
    <x v="7"/>
  </r>
  <r>
    <s v="Кузнецов Максим Алексеевич"/>
    <x v="132"/>
    <d v="2026-08-04T00:00:00"/>
    <n v="13233"/>
    <x v="7"/>
  </r>
  <r>
    <s v="Соколова Мария Ильинична"/>
    <x v="157"/>
    <d v="2026-08-04T00:00:00"/>
    <n v="9998"/>
    <x v="7"/>
  </r>
  <r>
    <s v="Ткаченко Андрей Олегович"/>
    <x v="149"/>
    <d v="2026-08-04T00:00:00"/>
    <n v="22106"/>
    <x v="7"/>
  </r>
  <r>
    <s v="Фролов Сергей Викторович"/>
    <x v="32"/>
    <d v="2026-08-04T00:00:00"/>
    <n v="25873"/>
    <x v="7"/>
  </r>
  <r>
    <s v="Фролов Сергей Викторович"/>
    <x v="197"/>
    <d v="2026-08-04T00:00:00"/>
    <n v="27734"/>
    <x v="7"/>
  </r>
  <r>
    <s v="Яковлев Артем Игоревич"/>
    <x v="25"/>
    <d v="2026-08-04T00:00:00"/>
    <n v="47068"/>
    <x v="7"/>
  </r>
  <r>
    <s v="Иванова Анна Сергеевна"/>
    <x v="48"/>
    <d v="2026-08-05T00:00:00"/>
    <n v="31840"/>
    <x v="7"/>
  </r>
  <r>
    <s v="Кузнецов Максим Алексеевич"/>
    <x v="147"/>
    <d v="2026-08-05T00:00:00"/>
    <n v="16183"/>
    <x v="7"/>
  </r>
  <r>
    <s v="Морозова Елена Андреевна"/>
    <x v="208"/>
    <d v="2026-08-05T00:00:00"/>
    <n v="12890"/>
    <x v="7"/>
  </r>
  <r>
    <s v="Семенова Ирина Валерьевна"/>
    <x v="86"/>
    <d v="2026-08-05T00:00:00"/>
    <n v="18689"/>
    <x v="7"/>
  </r>
  <r>
    <s v="Федорова Ксения Максимовна"/>
    <x v="21"/>
    <d v="2026-08-05T00:00:00"/>
    <n v="12973"/>
    <x v="7"/>
  </r>
  <r>
    <s v="Яковлев Артем Игоревич"/>
    <x v="12"/>
    <d v="2026-08-05T00:00:00"/>
    <n v="32604"/>
    <x v="7"/>
  </r>
  <r>
    <s v="Яковлев Артем Игоревич"/>
    <x v="39"/>
    <d v="2026-08-05T00:00:00"/>
    <n v="47628"/>
    <x v="7"/>
  </r>
  <r>
    <s v="Морозова Елена Андреевна"/>
    <x v="211"/>
    <d v="2026-08-06T00:00:00"/>
    <n v="17055"/>
    <x v="7"/>
  </r>
  <r>
    <s v="Соколова Мария Ильинична"/>
    <x v="54"/>
    <d v="2026-08-06T00:00:00"/>
    <n v="11010"/>
    <x v="7"/>
  </r>
  <r>
    <s v="Ткаченко Андрей Олегович"/>
    <x v="148"/>
    <d v="2026-08-06T00:00:00"/>
    <n v="19007"/>
    <x v="7"/>
  </r>
  <r>
    <s v="Ткаченко Андрей Олегович"/>
    <x v="163"/>
    <d v="2026-08-06T00:00:00"/>
    <n v="18656"/>
    <x v="7"/>
  </r>
  <r>
    <s v="Фролов Сергей Викторович"/>
    <x v="22"/>
    <d v="2026-08-06T00:00:00"/>
    <n v="9179"/>
    <x v="7"/>
  </r>
  <r>
    <s v="Яковлев Артем Игоревич"/>
    <x v="118"/>
    <d v="2026-08-06T00:00:00"/>
    <n v="28337"/>
    <x v="7"/>
  </r>
  <r>
    <s v="Волков Дмитрий Романович"/>
    <x v="94"/>
    <d v="2026-08-07T00:00:00"/>
    <n v="12318"/>
    <x v="7"/>
  </r>
  <r>
    <s v="Егоров Илья Александрович"/>
    <x v="52"/>
    <d v="2026-08-07T00:00:00"/>
    <n v="12155"/>
    <x v="7"/>
  </r>
  <r>
    <s v="Морозова Елена Андреевна"/>
    <x v="209"/>
    <d v="2026-08-07T00:00:00"/>
    <n v="7645"/>
    <x v="7"/>
  </r>
  <r>
    <s v="Фролов Сергей Викторович"/>
    <x v="133"/>
    <d v="2026-08-07T00:00:00"/>
    <n v="41883"/>
    <x v="7"/>
  </r>
  <r>
    <s v="Фролов Сергей Викторович"/>
    <x v="89"/>
    <d v="2026-08-07T00:00:00"/>
    <n v="26961"/>
    <x v="7"/>
  </r>
  <r>
    <s v="Фролов Сергей Викторович"/>
    <x v="169"/>
    <d v="2026-08-07T00:00:00"/>
    <n v="36718"/>
    <x v="7"/>
  </r>
  <r>
    <s v="Яковлев Артем Игоревич"/>
    <x v="33"/>
    <d v="2026-08-07T00:00:00"/>
    <n v="40936"/>
    <x v="7"/>
  </r>
  <r>
    <s v="Яковлев Артем Игоревич"/>
    <x v="67"/>
    <d v="2026-08-07T00:00:00"/>
    <n v="32781"/>
    <x v="7"/>
  </r>
  <r>
    <s v="Яковлев Артем Игоревич"/>
    <x v="129"/>
    <d v="2026-08-07T00:00:00"/>
    <n v="55527"/>
    <x v="7"/>
  </r>
  <r>
    <s v="Яковлев Артем Игоревич"/>
    <x v="14"/>
    <d v="2026-08-07T00:00:00"/>
    <n v="54297"/>
    <x v="7"/>
  </r>
  <r>
    <s v="Яковлев Артем Игоревич"/>
    <x v="49"/>
    <d v="2026-08-07T00:00:00"/>
    <n v="46818"/>
    <x v="7"/>
  </r>
  <r>
    <s v="Яковлев Артем Игоревич"/>
    <x v="50"/>
    <d v="2026-08-07T00:00:00"/>
    <n v="33695"/>
    <x v="7"/>
  </r>
  <r>
    <s v="Яковлев Артем Игоревич"/>
    <x v="78"/>
    <d v="2026-08-07T00:00:00"/>
    <n v="24766"/>
    <x v="7"/>
  </r>
  <r>
    <s v="Яковлев Артем Игоревич"/>
    <x v="135"/>
    <d v="2026-08-07T00:00:00"/>
    <n v="38224"/>
    <x v="7"/>
  </r>
  <r>
    <s v="Волков Дмитрий Романович"/>
    <x v="205"/>
    <d v="2026-08-08T00:00:00"/>
    <n v="5200"/>
    <x v="7"/>
  </r>
  <r>
    <s v="Иванова Анна Сергеевна"/>
    <x v="7"/>
    <d v="2026-08-08T00:00:00"/>
    <n v="29283"/>
    <x v="7"/>
  </r>
  <r>
    <s v="Иванова Анна Сергеевна"/>
    <x v="26"/>
    <d v="2026-08-08T00:00:00"/>
    <n v="23661"/>
    <x v="7"/>
  </r>
  <r>
    <s v="Иванова Анна Сергеевна"/>
    <x v="6"/>
    <d v="2026-08-08T00:00:00"/>
    <n v="35124"/>
    <x v="7"/>
  </r>
  <r>
    <s v="Кузнецов Максим Алексеевич"/>
    <x v="99"/>
    <d v="2026-08-08T00:00:00"/>
    <n v="21884"/>
    <x v="7"/>
  </r>
  <r>
    <s v="Орлов Павел Денисович"/>
    <x v="4"/>
    <d v="2026-08-08T00:00:00"/>
    <n v="13621"/>
    <x v="7"/>
  </r>
  <r>
    <s v="Соколова Мария Ильинична"/>
    <x v="138"/>
    <d v="2026-08-08T00:00:00"/>
    <n v="12949"/>
    <x v="7"/>
  </r>
  <r>
    <s v="Ткаченко Андрей Олегович"/>
    <x v="140"/>
    <d v="2026-08-08T00:00:00"/>
    <n v="18197"/>
    <x v="7"/>
  </r>
  <r>
    <s v="Фролов Сергей Викторович"/>
    <x v="88"/>
    <d v="2026-08-08T00:00:00"/>
    <n v="42822"/>
    <x v="7"/>
  </r>
  <r>
    <s v="Иванова Анна Сергеевна"/>
    <x v="15"/>
    <d v="2026-08-09T00:00:00"/>
    <n v="26400"/>
    <x v="7"/>
  </r>
  <r>
    <s v="Козлов Алексей Михайлович"/>
    <x v="98"/>
    <d v="2026-08-09T00:00:00"/>
    <n v="12806"/>
    <x v="7"/>
  </r>
  <r>
    <s v="Лебедев Николай Олегович"/>
    <x v="193"/>
    <d v="2026-08-09T00:00:00"/>
    <n v="5200"/>
    <x v="7"/>
  </r>
  <r>
    <s v="Орлов Павел Денисович"/>
    <x v="175"/>
    <d v="2026-08-09T00:00:00"/>
    <n v="8147"/>
    <x v="7"/>
  </r>
  <r>
    <s v="Павлова Татьяна Сергеевна"/>
    <x v="199"/>
    <d v="2026-08-09T00:00:00"/>
    <n v="12268"/>
    <x v="7"/>
  </r>
  <r>
    <s v="Семенова Ирина Валерьевна"/>
    <x v="213"/>
    <d v="2026-08-09T00:00:00"/>
    <n v="17188"/>
    <x v="7"/>
  </r>
  <r>
    <s v="Яковлев Артем Игоревич"/>
    <x v="12"/>
    <d v="2026-08-09T00:00:00"/>
    <n v="37051"/>
    <x v="7"/>
  </r>
  <r>
    <s v="Яковлев Артем Игоревич"/>
    <x v="24"/>
    <d v="2026-08-09T00:00:00"/>
    <n v="37580"/>
    <x v="7"/>
  </r>
  <r>
    <s v="Яковлев Артем Игоревич"/>
    <x v="14"/>
    <d v="2026-08-09T00:00:00"/>
    <n v="36250"/>
    <x v="7"/>
  </r>
  <r>
    <s v="Яковлев Артем Игоревич"/>
    <x v="34"/>
    <d v="2026-08-09T00:00:00"/>
    <n v="38493"/>
    <x v="7"/>
  </r>
  <r>
    <s v="Иванова Анна Сергеевна"/>
    <x v="106"/>
    <d v="2026-08-10T00:00:00"/>
    <n v="28043"/>
    <x v="7"/>
  </r>
  <r>
    <s v="Иванова Анна Сергеевна"/>
    <x v="91"/>
    <d v="2026-08-10T00:00:00"/>
    <n v="22833"/>
    <x v="7"/>
  </r>
  <r>
    <s v="Иванова Анна Сергеевна"/>
    <x v="96"/>
    <d v="2026-08-10T00:00:00"/>
    <n v="21854"/>
    <x v="7"/>
  </r>
  <r>
    <s v="Лебедев Николай Олегович"/>
    <x v="2"/>
    <d v="2026-08-10T00:00:00"/>
    <n v="12446"/>
    <x v="7"/>
  </r>
  <r>
    <s v="Морозова Елена Андреевна"/>
    <x v="63"/>
    <d v="2026-08-10T00:00:00"/>
    <n v="21589"/>
    <x v="7"/>
  </r>
  <r>
    <s v="Морозова Елена Андреевна"/>
    <x v="44"/>
    <d v="2026-08-10T00:00:00"/>
    <n v="11714"/>
    <x v="7"/>
  </r>
  <r>
    <s v="Орлов Павел Денисович"/>
    <x v="188"/>
    <d v="2026-08-10T00:00:00"/>
    <n v="5200"/>
    <x v="7"/>
  </r>
  <r>
    <s v="Попов Кирилл Денисович"/>
    <x v="217"/>
    <d v="2026-08-10T00:00:00"/>
    <n v="11738"/>
    <x v="7"/>
  </r>
  <r>
    <s v="Соколова Мария Ильинична"/>
    <x v="176"/>
    <d v="2026-08-10T00:00:00"/>
    <n v="7196"/>
    <x v="7"/>
  </r>
  <r>
    <s v="Ткаченко Андрей Олегович"/>
    <x v="103"/>
    <d v="2026-08-10T00:00:00"/>
    <n v="35805"/>
    <x v="7"/>
  </r>
  <r>
    <s v="Ткаченко Андрей Олегович"/>
    <x v="30"/>
    <d v="2026-08-10T00:00:00"/>
    <n v="22467"/>
    <x v="7"/>
  </r>
  <r>
    <s v="Фролов Сергей Викторович"/>
    <x v="11"/>
    <d v="2026-08-10T00:00:00"/>
    <n v="46776"/>
    <x v="7"/>
  </r>
  <r>
    <s v="Яковлев Артем Игоревич"/>
    <x v="77"/>
    <d v="2026-08-10T00:00:00"/>
    <n v="41358"/>
    <x v="7"/>
  </r>
  <r>
    <s v="Яковлев Артем Игоревич"/>
    <x v="39"/>
    <d v="2026-08-10T00:00:00"/>
    <n v="38719"/>
    <x v="7"/>
  </r>
  <r>
    <s v="Яковлев Артем Игоревич"/>
    <x v="67"/>
    <d v="2026-08-10T00:00:00"/>
    <n v="34532"/>
    <x v="7"/>
  </r>
  <r>
    <s v="Волков Дмитрий Романович"/>
    <x v="65"/>
    <d v="2026-08-11T00:00:00"/>
    <n v="10903"/>
    <x v="7"/>
  </r>
  <r>
    <s v="Иванова Анна Сергеевна"/>
    <x v="77"/>
    <d v="2026-08-11T00:00:00"/>
    <n v="45533"/>
    <x v="7"/>
  </r>
  <r>
    <s v="Лебедев Николай Олегович"/>
    <x v="62"/>
    <d v="2026-08-11T00:00:00"/>
    <n v="11312"/>
    <x v="7"/>
  </r>
  <r>
    <s v="Лебедев Николай Олегович"/>
    <x v="207"/>
    <d v="2026-08-11T00:00:00"/>
    <n v="9648"/>
    <x v="7"/>
  </r>
  <r>
    <s v="Морозова Елена Андреевна"/>
    <x v="165"/>
    <d v="2026-08-11T00:00:00"/>
    <n v="12502"/>
    <x v="7"/>
  </r>
  <r>
    <s v="Морозова Елена Андреевна"/>
    <x v="187"/>
    <d v="2026-08-11T00:00:00"/>
    <n v="12012"/>
    <x v="7"/>
  </r>
  <r>
    <s v="Семенова Ирина Валерьевна"/>
    <x v="182"/>
    <d v="2026-08-11T00:00:00"/>
    <n v="13422"/>
    <x v="7"/>
  </r>
  <r>
    <s v="Ткаченко Андрей Олегович"/>
    <x v="66"/>
    <d v="2026-08-11T00:00:00"/>
    <n v="5200"/>
    <x v="7"/>
  </r>
  <r>
    <s v="Фролов Сергей Викторович"/>
    <x v="48"/>
    <d v="2026-08-11T00:00:00"/>
    <n v="43700"/>
    <x v="7"/>
  </r>
  <r>
    <s v="Фролов Сергей Викторович"/>
    <x v="55"/>
    <d v="2026-08-11T00:00:00"/>
    <n v="36853"/>
    <x v="7"/>
  </r>
  <r>
    <s v="Фролов Сергей Викторович"/>
    <x v="117"/>
    <d v="2026-08-11T00:00:00"/>
    <n v="40252"/>
    <x v="7"/>
  </r>
  <r>
    <s v="Фролов Сергей Викторович"/>
    <x v="104"/>
    <d v="2026-08-11T00:00:00"/>
    <n v="45582"/>
    <x v="7"/>
  </r>
  <r>
    <s v="Яковлев Артем Игоревич"/>
    <x v="48"/>
    <d v="2026-08-11T00:00:00"/>
    <n v="29261"/>
    <x v="7"/>
  </r>
  <r>
    <s v="Яковлев Артем Игоревич"/>
    <x v="13"/>
    <d v="2026-08-11T00:00:00"/>
    <n v="37511"/>
    <x v="7"/>
  </r>
  <r>
    <s v="Яковлев Артем Игоревич"/>
    <x v="129"/>
    <d v="2026-08-11T00:00:00"/>
    <n v="54668"/>
    <x v="7"/>
  </r>
  <r>
    <s v="Волков Дмитрий Романович"/>
    <x v="130"/>
    <d v="2026-08-12T00:00:00"/>
    <n v="5200"/>
    <x v="7"/>
  </r>
  <r>
    <s v="Волков Дмитрий Романович"/>
    <x v="162"/>
    <d v="2026-08-12T00:00:00"/>
    <n v="12723"/>
    <x v="7"/>
  </r>
  <r>
    <s v="Волков Дмитрий Романович"/>
    <x v="119"/>
    <d v="2026-08-12T00:00:00"/>
    <n v="5200"/>
    <x v="7"/>
  </r>
  <r>
    <s v="Иванова Анна Сергеевна"/>
    <x v="127"/>
    <d v="2026-08-12T00:00:00"/>
    <n v="29083"/>
    <x v="7"/>
  </r>
  <r>
    <s v="Иванова Анна Сергеевна"/>
    <x v="80"/>
    <d v="2026-08-12T00:00:00"/>
    <n v="10059"/>
    <x v="7"/>
  </r>
  <r>
    <s v="Иванова Анна Сергеевна"/>
    <x v="0"/>
    <d v="2026-08-12T00:00:00"/>
    <n v="26466"/>
    <x v="7"/>
  </r>
  <r>
    <s v="Иванова Анна Сергеевна"/>
    <x v="172"/>
    <d v="2026-08-12T00:00:00"/>
    <n v="35164"/>
    <x v="7"/>
  </r>
  <r>
    <s v="Иванова Анна Сергеевна"/>
    <x v="137"/>
    <d v="2026-08-12T00:00:00"/>
    <n v="24374"/>
    <x v="7"/>
  </r>
  <r>
    <s v="Кузнецов Максим Алексеевич"/>
    <x v="61"/>
    <d v="2026-08-12T00:00:00"/>
    <n v="14643"/>
    <x v="7"/>
  </r>
  <r>
    <s v="Кузнецов Максим Алексеевич"/>
    <x v="219"/>
    <d v="2026-08-12T00:00:00"/>
    <n v="15715"/>
    <x v="7"/>
  </r>
  <r>
    <s v="Кузнецов Максим Алексеевич"/>
    <x v="82"/>
    <d v="2026-08-12T00:00:00"/>
    <n v="12793"/>
    <x v="7"/>
  </r>
  <r>
    <s v="Орлов Павел Денисович"/>
    <x v="198"/>
    <d v="2026-08-12T00:00:00"/>
    <n v="15335"/>
    <x v="7"/>
  </r>
  <r>
    <s v="Попов Кирилл Денисович"/>
    <x v="115"/>
    <d v="2026-08-12T00:00:00"/>
    <n v="11198"/>
    <x v="7"/>
  </r>
  <r>
    <s v="Семенова Ирина Валерьевна"/>
    <x v="215"/>
    <d v="2026-08-12T00:00:00"/>
    <n v="14000"/>
    <x v="7"/>
  </r>
  <r>
    <s v="Фролов Сергей Викторович"/>
    <x v="229"/>
    <d v="2026-08-12T00:00:00"/>
    <n v="28336"/>
    <x v="7"/>
  </r>
  <r>
    <s v="Фролов Сергей Викторович"/>
    <x v="122"/>
    <d v="2026-08-12T00:00:00"/>
    <n v="35399"/>
    <x v="7"/>
  </r>
  <r>
    <s v="Фролов Сергей Викторович"/>
    <x v="169"/>
    <d v="2026-08-12T00:00:00"/>
    <n v="48530"/>
    <x v="7"/>
  </r>
  <r>
    <s v="Яковлев Артем Игоревич"/>
    <x v="134"/>
    <d v="2026-08-12T00:00:00"/>
    <n v="24164"/>
    <x v="7"/>
  </r>
  <r>
    <s v="Яковлев Артем Игоревич"/>
    <x v="39"/>
    <d v="2026-08-12T00:00:00"/>
    <n v="39580"/>
    <x v="7"/>
  </r>
  <r>
    <s v="Яковлев Артем Игоревич"/>
    <x v="49"/>
    <d v="2026-08-12T00:00:00"/>
    <n v="55753"/>
    <x v="7"/>
  </r>
  <r>
    <s v="Яковлев Артем Игоревич"/>
    <x v="49"/>
    <d v="2026-08-12T00:00:00"/>
    <n v="38845"/>
    <x v="7"/>
  </r>
  <r>
    <s v="Яковлев Артем Игоревич"/>
    <x v="78"/>
    <d v="2026-08-12T00:00:00"/>
    <n v="29578"/>
    <x v="7"/>
  </r>
  <r>
    <s v="Яковлев Артем Игоревич"/>
    <x v="135"/>
    <d v="2026-08-12T00:00:00"/>
    <n v="40230"/>
    <x v="7"/>
  </r>
  <r>
    <s v="Иванова Анна Сергеевна"/>
    <x v="126"/>
    <d v="2026-08-13T00:00:00"/>
    <n v="30862"/>
    <x v="7"/>
  </r>
  <r>
    <s v="Козлов Алексей Михайлович"/>
    <x v="8"/>
    <d v="2026-08-13T00:00:00"/>
    <n v="23365"/>
    <x v="7"/>
  </r>
  <r>
    <s v="Орлов Павел Денисович"/>
    <x v="85"/>
    <d v="2026-08-13T00:00:00"/>
    <n v="15196"/>
    <x v="7"/>
  </r>
  <r>
    <s v="Павлова Татьяна Сергеевна"/>
    <x v="28"/>
    <d v="2026-08-13T00:00:00"/>
    <n v="10226"/>
    <x v="7"/>
  </r>
  <r>
    <s v="Ткаченко Андрей Олегович"/>
    <x v="218"/>
    <d v="2026-08-13T00:00:00"/>
    <n v="21050"/>
    <x v="7"/>
  </r>
  <r>
    <s v="Фролов Сергей Викторович"/>
    <x v="151"/>
    <d v="2026-08-13T00:00:00"/>
    <n v="30638"/>
    <x v="7"/>
  </r>
  <r>
    <s v="Яковлев Артем Игоревич"/>
    <x v="56"/>
    <d v="2026-08-13T00:00:00"/>
    <n v="32709"/>
    <x v="7"/>
  </r>
  <r>
    <s v="Яковлев Артем Игоревич"/>
    <x v="49"/>
    <d v="2026-08-13T00:00:00"/>
    <n v="41251"/>
    <x v="7"/>
  </r>
  <r>
    <s v="Яковлев Артем Игоревич"/>
    <x v="25"/>
    <d v="2026-08-13T00:00:00"/>
    <n v="45034"/>
    <x v="7"/>
  </r>
  <r>
    <s v="Яковлев Артем Игоревич"/>
    <x v="41"/>
    <d v="2026-08-13T00:00:00"/>
    <n v="49846"/>
    <x v="7"/>
  </r>
  <r>
    <s v="Волков Дмитрий Романович"/>
    <x v="69"/>
    <d v="2026-08-14T00:00:00"/>
    <n v="10986"/>
    <x v="7"/>
  </r>
  <r>
    <s v="Новикова Ольга Викторовна"/>
    <x v="154"/>
    <d v="2026-08-14T00:00:00"/>
    <n v="9953"/>
    <x v="7"/>
  </r>
  <r>
    <s v="Смирнов Евгений Андреевич"/>
    <x v="200"/>
    <d v="2026-08-14T00:00:00"/>
    <n v="15487"/>
    <x v="7"/>
  </r>
  <r>
    <s v="Фролов Сергей Викторович"/>
    <x v="125"/>
    <d v="2026-08-14T00:00:00"/>
    <n v="40895"/>
    <x v="7"/>
  </r>
  <r>
    <s v="Яковлев Артем Игоревич"/>
    <x v="128"/>
    <d v="2026-08-14T00:00:00"/>
    <n v="40911"/>
    <x v="7"/>
  </r>
  <r>
    <s v="Яковлев Артем Игоревич"/>
    <x v="57"/>
    <d v="2026-08-14T00:00:00"/>
    <n v="29330"/>
    <x v="7"/>
  </r>
  <r>
    <s v="Яковлев Артем Игоревич"/>
    <x v="24"/>
    <d v="2026-08-14T00:00:00"/>
    <n v="42912"/>
    <x v="7"/>
  </r>
  <r>
    <s v="Яковлев Артем Игоревич"/>
    <x v="159"/>
    <d v="2026-08-14T00:00:00"/>
    <n v="38808"/>
    <x v="7"/>
  </r>
  <r>
    <s v="Яковлев Артем Игоревич"/>
    <x v="42"/>
    <d v="2026-08-14T00:00:00"/>
    <n v="34652"/>
    <x v="7"/>
  </r>
  <r>
    <s v="Яковлев Артем Игоревич"/>
    <x v="161"/>
    <d v="2026-08-14T00:00:00"/>
    <n v="25065"/>
    <x v="7"/>
  </r>
  <r>
    <s v="Волков Дмитрий Романович"/>
    <x v="79"/>
    <d v="2026-08-15T00:00:00"/>
    <n v="13276"/>
    <x v="7"/>
  </r>
  <r>
    <s v="Иванова Анна Сергеевна"/>
    <x v="95"/>
    <d v="2026-08-15T00:00:00"/>
    <n v="37546"/>
    <x v="7"/>
  </r>
  <r>
    <s v="Иванова Анна Сергеевна"/>
    <x v="33"/>
    <d v="2026-08-15T00:00:00"/>
    <n v="50142"/>
    <x v="7"/>
  </r>
  <r>
    <s v="Морозова Елена Андреевна"/>
    <x v="153"/>
    <d v="2026-08-15T00:00:00"/>
    <n v="11562"/>
    <x v="7"/>
  </r>
  <r>
    <s v="Семенова Ирина Валерьевна"/>
    <x v="144"/>
    <d v="2026-08-15T00:00:00"/>
    <n v="26045"/>
    <x v="7"/>
  </r>
  <r>
    <s v="Ткаченко Андрей Олегович"/>
    <x v="102"/>
    <d v="2026-08-15T00:00:00"/>
    <n v="28266"/>
    <x v="7"/>
  </r>
  <r>
    <s v="Ткаченко Андрей Олегович"/>
    <x v="141"/>
    <d v="2026-08-15T00:00:00"/>
    <n v="22622"/>
    <x v="7"/>
  </r>
  <r>
    <s v="Ткаченко Андрей Олегович"/>
    <x v="189"/>
    <d v="2026-08-15T00:00:00"/>
    <n v="20337"/>
    <x v="7"/>
  </r>
  <r>
    <s v="Фролов Сергей Викторович"/>
    <x v="124"/>
    <d v="2026-08-15T00:00:00"/>
    <n v="48874"/>
    <x v="7"/>
  </r>
  <r>
    <s v="Фролов Сергей Викторович"/>
    <x v="10"/>
    <d v="2026-08-15T00:00:00"/>
    <n v="32408"/>
    <x v="7"/>
  </r>
  <r>
    <s v="Яковлев Артем Игоревич"/>
    <x v="58"/>
    <d v="2026-08-15T00:00:00"/>
    <n v="35922"/>
    <x v="7"/>
  </r>
  <r>
    <s v="Волков Дмитрий Романович"/>
    <x v="143"/>
    <d v="2026-08-16T00:00:00"/>
    <n v="15137"/>
    <x v="7"/>
  </r>
  <r>
    <s v="Кузнецов Максим Алексеевич"/>
    <x v="225"/>
    <d v="2026-08-16T00:00:00"/>
    <n v="12843"/>
    <x v="7"/>
  </r>
  <r>
    <s v="Морозова Елена Андреевна"/>
    <x v="36"/>
    <d v="2026-08-16T00:00:00"/>
    <n v="10815"/>
    <x v="7"/>
  </r>
  <r>
    <s v="Новикова Ольга Викторовна"/>
    <x v="3"/>
    <d v="2026-08-16T00:00:00"/>
    <n v="11936"/>
    <x v="7"/>
  </r>
  <r>
    <s v="Семенова Ирина Валерьевна"/>
    <x v="214"/>
    <d v="2026-08-16T00:00:00"/>
    <n v="16715"/>
    <x v="7"/>
  </r>
  <r>
    <s v="Ткаченко Андрей Олегович"/>
    <x v="184"/>
    <d v="2026-08-16T00:00:00"/>
    <n v="20425"/>
    <x v="7"/>
  </r>
  <r>
    <s v="Яковлев Артем Игоревич"/>
    <x v="59"/>
    <d v="2026-08-16T00:00:00"/>
    <n v="43760"/>
    <x v="7"/>
  </r>
  <r>
    <s v="Иванова Анна Сергеевна"/>
    <x v="178"/>
    <d v="2026-08-17T00:00:00"/>
    <n v="5200"/>
    <x v="7"/>
  </r>
  <r>
    <s v="Лебедев Николай Олегович"/>
    <x v="232"/>
    <d v="2026-08-17T00:00:00"/>
    <n v="9411"/>
    <x v="7"/>
  </r>
  <r>
    <s v="Морозова Елена Андреевна"/>
    <x v="233"/>
    <d v="2026-08-17T00:00:00"/>
    <n v="14206"/>
    <x v="7"/>
  </r>
  <r>
    <s v="Новикова Ольга Викторовна"/>
    <x v="108"/>
    <d v="2026-08-17T00:00:00"/>
    <n v="11545"/>
    <x v="7"/>
  </r>
  <r>
    <s v="Павлова Татьяна Сергеевна"/>
    <x v="181"/>
    <d v="2026-08-17T00:00:00"/>
    <n v="11654"/>
    <x v="7"/>
  </r>
  <r>
    <s v="Смирнов Евгений Андреевич"/>
    <x v="221"/>
    <d v="2026-08-17T00:00:00"/>
    <n v="6181"/>
    <x v="7"/>
  </r>
  <r>
    <s v="Фролов Сергей Викторович"/>
    <x v="37"/>
    <d v="2026-08-17T00:00:00"/>
    <n v="35379"/>
    <x v="7"/>
  </r>
  <r>
    <s v="Яковлев Артем Игоревич"/>
    <x v="190"/>
    <d v="2026-08-17T00:00:00"/>
    <n v="36176"/>
    <x v="7"/>
  </r>
  <r>
    <s v="Яковлев Артем Игоревич"/>
    <x v="40"/>
    <d v="2026-08-17T00:00:00"/>
    <n v="29667"/>
    <x v="7"/>
  </r>
  <r>
    <s v="Кузнецов Максим Алексеевич"/>
    <x v="179"/>
    <d v="2026-08-18T00:00:00"/>
    <n v="12816"/>
    <x v="7"/>
  </r>
  <r>
    <s v="Михайлова Алина Романовна"/>
    <x v="180"/>
    <d v="2026-08-18T00:00:00"/>
    <n v="11291"/>
    <x v="7"/>
  </r>
  <r>
    <s v="Морозова Елена Андреевна"/>
    <x v="83"/>
    <d v="2026-08-18T00:00:00"/>
    <n v="12728"/>
    <x v="7"/>
  </r>
  <r>
    <s v="Ткаченко Андрей Олегович"/>
    <x v="201"/>
    <d v="2026-08-18T00:00:00"/>
    <n v="21762"/>
    <x v="7"/>
  </r>
  <r>
    <s v="Фролов Сергей Викторович"/>
    <x v="151"/>
    <d v="2026-08-18T00:00:00"/>
    <n v="29192"/>
    <x v="7"/>
  </r>
  <r>
    <s v="Фролов Сергей Викторович"/>
    <x v="32"/>
    <d v="2026-08-18T00:00:00"/>
    <n v="32700"/>
    <x v="7"/>
  </r>
  <r>
    <s v="Фролов Сергей Викторович"/>
    <x v="216"/>
    <d v="2026-08-18T00:00:00"/>
    <n v="33547"/>
    <x v="7"/>
  </r>
  <r>
    <s v="Яковлев Артем Игоревич"/>
    <x v="77"/>
    <d v="2026-08-18T00:00:00"/>
    <n v="42612"/>
    <x v="7"/>
  </r>
  <r>
    <s v="Яковлев Артем Игоревич"/>
    <x v="38"/>
    <d v="2026-08-18T00:00:00"/>
    <n v="49969"/>
    <x v="7"/>
  </r>
  <r>
    <s v="Яковлев Артем Игоревич"/>
    <x v="223"/>
    <d v="2026-08-18T00:00:00"/>
    <n v="32375"/>
    <x v="7"/>
  </r>
  <r>
    <s v="Яковлев Артем Игоревич"/>
    <x v="152"/>
    <d v="2026-08-18T00:00:00"/>
    <n v="42680"/>
    <x v="7"/>
  </r>
  <r>
    <s v="Яковлев Артем Игоревич"/>
    <x v="152"/>
    <d v="2026-08-18T00:00:00"/>
    <n v="35752"/>
    <x v="7"/>
  </r>
  <r>
    <s v="Козлов Алексей Михайлович"/>
    <x v="97"/>
    <d v="2026-08-19T00:00:00"/>
    <n v="11510"/>
    <x v="7"/>
  </r>
  <r>
    <s v="Новикова Ольга Викторовна"/>
    <x v="84"/>
    <d v="2026-08-19T00:00:00"/>
    <n v="13919"/>
    <x v="7"/>
  </r>
  <r>
    <s v="Орлов Павел Денисович"/>
    <x v="226"/>
    <d v="2026-08-19T00:00:00"/>
    <n v="16135"/>
    <x v="7"/>
  </r>
  <r>
    <s v="Орлов Павел Денисович"/>
    <x v="234"/>
    <d v="2026-08-19T00:00:00"/>
    <n v="12460"/>
    <x v="7"/>
  </r>
  <r>
    <s v="Семенова Ирина Валерьевна"/>
    <x v="29"/>
    <d v="2026-08-19T00:00:00"/>
    <n v="17820"/>
    <x v="7"/>
  </r>
  <r>
    <s v="Яковлев Артем Игоревич"/>
    <x v="113"/>
    <d v="2026-08-19T00:00:00"/>
    <n v="38521"/>
    <x v="7"/>
  </r>
  <r>
    <s v="Яковлев Артем Игоревич"/>
    <x v="38"/>
    <d v="2026-08-19T00:00:00"/>
    <n v="46321"/>
    <x v="7"/>
  </r>
  <r>
    <s v="Яковлев Артем Игоревич"/>
    <x v="68"/>
    <d v="2026-08-19T00:00:00"/>
    <n v="29663"/>
    <x v="7"/>
  </r>
  <r>
    <s v="Орлов Павел Денисович"/>
    <x v="73"/>
    <d v="2026-08-20T00:00:00"/>
    <n v="18761"/>
    <x v="7"/>
  </r>
  <r>
    <s v="Орлов Павел Денисович"/>
    <x v="220"/>
    <d v="2026-08-20T00:00:00"/>
    <n v="15096"/>
    <x v="7"/>
  </r>
  <r>
    <s v="Павлова Татьяна Сергеевна"/>
    <x v="235"/>
    <d v="2026-08-20T00:00:00"/>
    <n v="13142"/>
    <x v="7"/>
  </r>
  <r>
    <s v="Семенова Ирина Валерьевна"/>
    <x v="45"/>
    <d v="2026-08-20T00:00:00"/>
    <n v="14245"/>
    <x v="7"/>
  </r>
  <r>
    <s v="Ткаченко Андрей Олегович"/>
    <x v="87"/>
    <d v="2026-08-20T00:00:00"/>
    <n v="8990"/>
    <x v="7"/>
  </r>
  <r>
    <s v="Ткаченко Андрей Олегович"/>
    <x v="5"/>
    <d v="2026-08-20T00:00:00"/>
    <n v="45130"/>
    <x v="7"/>
  </r>
  <r>
    <s v="Фролов Сергей Викторович"/>
    <x v="222"/>
    <d v="2026-08-20T00:00:00"/>
    <n v="39941"/>
    <x v="7"/>
  </r>
  <r>
    <s v="Яковлев Артем Игоревич"/>
    <x v="203"/>
    <d v="2026-08-20T00:00:00"/>
    <n v="50495"/>
    <x v="7"/>
  </r>
  <r>
    <s v="Яковлев Артем Игоревич"/>
    <x v="24"/>
    <d v="2026-08-20T00:00:00"/>
    <n v="39293"/>
    <x v="7"/>
  </r>
  <r>
    <s v="Яковлев Артем Игоревич"/>
    <x v="13"/>
    <d v="2026-08-20T00:00:00"/>
    <n v="34978"/>
    <x v="7"/>
  </r>
  <r>
    <s v="Яковлев Артем Игоревич"/>
    <x v="105"/>
    <d v="2026-08-20T00:00:00"/>
    <n v="45493"/>
    <x v="7"/>
  </r>
  <r>
    <s v="Яковлев Артем Игоревич"/>
    <x v="118"/>
    <d v="2026-08-20T00:00:00"/>
    <n v="30749"/>
    <x v="7"/>
  </r>
  <r>
    <s v="Яковлев Артем Игоревич"/>
    <x v="50"/>
    <d v="2026-08-20T00:00:00"/>
    <n v="40315"/>
    <x v="7"/>
  </r>
  <r>
    <s v="Яковлев Артем Игоревич"/>
    <x v="51"/>
    <d v="2026-08-20T00:00:00"/>
    <n v="53801"/>
    <x v="7"/>
  </r>
  <r>
    <s v="Семенова Ирина Валерьевна"/>
    <x v="75"/>
    <d v="2026-08-21T00:00:00"/>
    <n v="18215"/>
    <x v="7"/>
  </r>
  <r>
    <s v="Фролов Сергей Викторович"/>
    <x v="236"/>
    <d v="2026-08-21T00:00:00"/>
    <n v="39221"/>
    <x v="7"/>
  </r>
  <r>
    <s v="Фролов Сергей Викторович"/>
    <x v="110"/>
    <d v="2026-08-21T00:00:00"/>
    <n v="43776"/>
    <x v="7"/>
  </r>
  <r>
    <s v="Фролов Сергей Викторович"/>
    <x v="10"/>
    <d v="2026-08-21T00:00:00"/>
    <n v="22311"/>
    <x v="7"/>
  </r>
  <r>
    <s v="Яковлев Артем Игоревич"/>
    <x v="12"/>
    <d v="2026-08-21T00:00:00"/>
    <n v="40339"/>
    <x v="7"/>
  </r>
  <r>
    <s v="Яковлев Артем Игоревич"/>
    <x v="158"/>
    <d v="2026-08-21T00:00:00"/>
    <n v="44391"/>
    <x v="7"/>
  </r>
  <r>
    <s v="Яковлев Артем Игоревич"/>
    <x v="57"/>
    <d v="2026-08-21T00:00:00"/>
    <n v="36955"/>
    <x v="7"/>
  </r>
  <r>
    <s v="Яковлев Артем Игоревич"/>
    <x v="33"/>
    <d v="2026-08-21T00:00:00"/>
    <n v="35036"/>
    <x v="7"/>
  </r>
  <r>
    <s v="Яковлев Артем Игоревич"/>
    <x v="118"/>
    <d v="2026-08-21T00:00:00"/>
    <n v="34107"/>
    <x v="7"/>
  </r>
  <r>
    <s v="Яковлев Артем Игоревич"/>
    <x v="152"/>
    <d v="2026-08-21T00:00:00"/>
    <n v="45616"/>
    <x v="7"/>
  </r>
  <r>
    <s v="Иванова Анна Сергеевна"/>
    <x v="206"/>
    <d v="2026-08-22T00:00:00"/>
    <n v="28631"/>
    <x v="7"/>
  </r>
  <r>
    <s v="Новикова Ольга Викторовна"/>
    <x v="174"/>
    <d v="2026-08-22T00:00:00"/>
    <n v="12669"/>
    <x v="7"/>
  </r>
  <r>
    <s v="Фролов Сергей Викторович"/>
    <x v="53"/>
    <d v="2026-08-22T00:00:00"/>
    <n v="51986"/>
    <x v="7"/>
  </r>
  <r>
    <s v="Фролов Сергей Викторович"/>
    <x v="186"/>
    <d v="2026-08-22T00:00:00"/>
    <n v="40861"/>
    <x v="7"/>
  </r>
  <r>
    <s v="Фролов Сергей Викторович"/>
    <x v="202"/>
    <d v="2026-08-22T00:00:00"/>
    <n v="45849"/>
    <x v="7"/>
  </r>
  <r>
    <s v="Яковлев Артем Игоревич"/>
    <x v="134"/>
    <d v="2026-08-22T00:00:00"/>
    <n v="31718"/>
    <x v="7"/>
  </r>
  <r>
    <s v="Яковлев Артем Игоревич"/>
    <x v="38"/>
    <d v="2026-08-22T00:00:00"/>
    <n v="46733"/>
    <x v="7"/>
  </r>
  <r>
    <s v="Яковлев Артем Игоревич"/>
    <x v="40"/>
    <d v="2026-08-22T00:00:00"/>
    <n v="33989"/>
    <x v="7"/>
  </r>
  <r>
    <s v="Яковлев Артем Игоревич"/>
    <x v="1"/>
    <d v="2026-08-22T00:00:00"/>
    <n v="36465"/>
    <x v="7"/>
  </r>
  <r>
    <s v="Иванова Анна Сергеевна"/>
    <x v="191"/>
    <d v="2026-08-23T00:00:00"/>
    <n v="21034"/>
    <x v="7"/>
  </r>
  <r>
    <s v="Иванова Анна Сергеевна"/>
    <x v="42"/>
    <d v="2026-08-23T00:00:00"/>
    <n v="32063"/>
    <x v="7"/>
  </r>
  <r>
    <s v="Семенова Ирина Валерьевна"/>
    <x v="64"/>
    <d v="2026-08-23T00:00:00"/>
    <n v="16529"/>
    <x v="7"/>
  </r>
  <r>
    <s v="Семенова Ирина Валерьевна"/>
    <x v="74"/>
    <d v="2026-08-23T00:00:00"/>
    <n v="18276"/>
    <x v="7"/>
  </r>
  <r>
    <s v="Семенова Ирина Валерьевна"/>
    <x v="156"/>
    <d v="2026-08-23T00:00:00"/>
    <n v="12109"/>
    <x v="7"/>
  </r>
  <r>
    <s v="Фролов Сергей Викторович"/>
    <x v="88"/>
    <d v="2026-08-23T00:00:00"/>
    <n v="41681"/>
    <x v="7"/>
  </r>
  <r>
    <s v="Фролов Сергей Викторович"/>
    <x v="170"/>
    <d v="2026-08-23T00:00:00"/>
    <n v="24952"/>
    <x v="7"/>
  </r>
  <r>
    <s v="Яковлев Артем Игоревич"/>
    <x v="223"/>
    <d v="2026-08-23T00:00:00"/>
    <n v="34952"/>
    <x v="7"/>
  </r>
  <r>
    <s v="Яковлев Артем Игоревич"/>
    <x v="230"/>
    <d v="2026-08-23T00:00:00"/>
    <n v="43456"/>
    <x v="7"/>
  </r>
  <r>
    <s v="Козлов Алексей Михайлович"/>
    <x v="17"/>
    <d v="2026-08-24T00:00:00"/>
    <n v="5200"/>
    <x v="7"/>
  </r>
  <r>
    <s v="Яковлев Артем Игоревич"/>
    <x v="112"/>
    <d v="2026-08-24T00:00:00"/>
    <n v="45812"/>
    <x v="7"/>
  </r>
  <r>
    <s v="Яковлев Артем Игоревич"/>
    <x v="56"/>
    <d v="2026-08-24T00:00:00"/>
    <n v="29969"/>
    <x v="7"/>
  </r>
  <r>
    <s v="Яковлев Артем Игоревич"/>
    <x v="113"/>
    <d v="2026-08-24T00:00:00"/>
    <n v="24528"/>
    <x v="7"/>
  </r>
  <r>
    <s v="Яковлев Артем Игоревич"/>
    <x v="204"/>
    <d v="2026-08-24T00:00:00"/>
    <n v="41145"/>
    <x v="7"/>
  </r>
  <r>
    <s v="Яковлев Артем Игоревич"/>
    <x v="230"/>
    <d v="2026-08-24T00:00:00"/>
    <n v="40674"/>
    <x v="7"/>
  </r>
  <r>
    <s v="Васильева Дарья Павловна"/>
    <x v="35"/>
    <d v="2026-08-25T00:00:00"/>
    <n v="22577"/>
    <x v="7"/>
  </r>
  <r>
    <s v="Иванова Анна Сергеевна"/>
    <x v="203"/>
    <d v="2026-08-25T00:00:00"/>
    <n v="50528"/>
    <x v="7"/>
  </r>
  <r>
    <s v="Иванова Анна Сергеевна"/>
    <x v="71"/>
    <d v="2026-08-25T00:00:00"/>
    <n v="36095"/>
    <x v="7"/>
  </r>
  <r>
    <s v="Орлов Павел Денисович"/>
    <x v="155"/>
    <d v="2026-08-25T00:00:00"/>
    <n v="33951"/>
    <x v="7"/>
  </r>
  <r>
    <s v="Семенова Ирина Валерьевна"/>
    <x v="212"/>
    <d v="2026-08-25T00:00:00"/>
    <n v="24075"/>
    <x v="7"/>
  </r>
  <r>
    <s v="Ткаченко Андрей Олегович"/>
    <x v="195"/>
    <d v="2026-08-25T00:00:00"/>
    <n v="17336"/>
    <x v="7"/>
  </r>
  <r>
    <s v="Фролов Сергей Викторович"/>
    <x v="37"/>
    <d v="2026-08-25T00:00:00"/>
    <n v="24695"/>
    <x v="7"/>
  </r>
  <r>
    <s v="Яковлев Артем Игоревич"/>
    <x v="90"/>
    <d v="2026-08-25T00:00:00"/>
    <n v="47980"/>
    <x v="7"/>
  </r>
  <r>
    <s v="Яковлев Артем Игоревич"/>
    <x v="58"/>
    <d v="2026-08-25T00:00:00"/>
    <n v="32704"/>
    <x v="7"/>
  </r>
  <r>
    <s v="Васильева Дарья Павловна"/>
    <x v="224"/>
    <d v="2026-08-26T00:00:00"/>
    <n v="5200"/>
    <x v="7"/>
  </r>
  <r>
    <s v="Волков Дмитрий Романович"/>
    <x v="114"/>
    <d v="2026-08-26T00:00:00"/>
    <n v="12533"/>
    <x v="7"/>
  </r>
  <r>
    <s v="Иванова Анна Сергеевна"/>
    <x v="145"/>
    <d v="2026-08-26T00:00:00"/>
    <n v="28687"/>
    <x v="7"/>
  </r>
  <r>
    <s v="Лебедев Николай Олегович"/>
    <x v="107"/>
    <d v="2026-08-26T00:00:00"/>
    <n v="9272"/>
    <x v="7"/>
  </r>
  <r>
    <s v="Соколова Мария Ильинична"/>
    <x v="101"/>
    <d v="2026-08-26T00:00:00"/>
    <n v="15963"/>
    <x v="7"/>
  </r>
  <r>
    <s v="Ткаченко Андрей Олегович"/>
    <x v="227"/>
    <d v="2026-08-26T00:00:00"/>
    <n v="23012"/>
    <x v="7"/>
  </r>
  <r>
    <s v="Ткаченко Андрей Олегович"/>
    <x v="121"/>
    <d v="2026-08-26T00:00:00"/>
    <n v="27559"/>
    <x v="7"/>
  </r>
  <r>
    <s v="Фролов Сергей Викторович"/>
    <x v="76"/>
    <d v="2026-08-26T00:00:00"/>
    <n v="45720"/>
    <x v="7"/>
  </r>
  <r>
    <s v="Яковлев Артем Игоревич"/>
    <x v="77"/>
    <d v="2026-08-26T00:00:00"/>
    <n v="39875"/>
    <x v="7"/>
  </r>
  <r>
    <s v="Яковлев Артем Игоревич"/>
    <x v="77"/>
    <d v="2026-08-26T00:00:00"/>
    <n v="49212"/>
    <x v="7"/>
  </r>
  <r>
    <s v="Яковлев Артем Игоревич"/>
    <x v="57"/>
    <d v="2026-08-26T00:00:00"/>
    <n v="40420"/>
    <x v="7"/>
  </r>
  <r>
    <s v="Яковлев Артем Игоревич"/>
    <x v="90"/>
    <d v="2026-08-26T00:00:00"/>
    <n v="53609"/>
    <x v="7"/>
  </r>
  <r>
    <s v="Иванова Анна Сергеевна"/>
    <x v="0"/>
    <d v="2026-08-27T00:00:00"/>
    <n v="23939"/>
    <x v="7"/>
  </r>
  <r>
    <s v="Иванова Анна Сергеевна"/>
    <x v="131"/>
    <d v="2026-08-27T00:00:00"/>
    <n v="36839"/>
    <x v="7"/>
  </r>
  <r>
    <s v="Иванова Анна Сергеевна"/>
    <x v="136"/>
    <d v="2026-08-27T00:00:00"/>
    <n v="22868"/>
    <x v="7"/>
  </r>
  <r>
    <s v="Иванова Анна Сергеевна"/>
    <x v="173"/>
    <d v="2026-08-27T00:00:00"/>
    <n v="21846"/>
    <x v="7"/>
  </r>
  <r>
    <s v="Кузнецов Максим Алексеевич"/>
    <x v="72"/>
    <d v="2026-08-27T00:00:00"/>
    <n v="5200"/>
    <x v="7"/>
  </r>
  <r>
    <s v="Семенова Ирина Валерьевна"/>
    <x v="20"/>
    <d v="2026-08-27T00:00:00"/>
    <n v="14878"/>
    <x v="7"/>
  </r>
  <r>
    <s v="Семенова Ирина Валерьевна"/>
    <x v="139"/>
    <d v="2026-08-27T00:00:00"/>
    <n v="18659"/>
    <x v="7"/>
  </r>
  <r>
    <s v="Семенова Ирина Валерьевна"/>
    <x v="166"/>
    <d v="2026-08-27T00:00:00"/>
    <n v="21635"/>
    <x v="7"/>
  </r>
  <r>
    <s v="Соколова Мария Ильинична"/>
    <x v="46"/>
    <d v="2026-08-27T00:00:00"/>
    <n v="12468"/>
    <x v="7"/>
  </r>
  <r>
    <s v="Ткаченко Андрей Олегович"/>
    <x v="23"/>
    <d v="2026-08-27T00:00:00"/>
    <n v="29524"/>
    <x v="7"/>
  </r>
  <r>
    <s v="Яковлев Артем Игоревич"/>
    <x v="12"/>
    <d v="2026-08-27T00:00:00"/>
    <n v="37506"/>
    <x v="7"/>
  </r>
  <r>
    <s v="Яковлев Артем Игоревич"/>
    <x v="158"/>
    <d v="2026-08-27T00:00:00"/>
    <n v="40018"/>
    <x v="7"/>
  </r>
  <r>
    <s v="Яковлев Артем Игоревич"/>
    <x v="59"/>
    <d v="2026-08-27T00:00:00"/>
    <n v="49330"/>
    <x v="7"/>
  </r>
  <r>
    <s v="Яковлев Артем Игоревич"/>
    <x v="118"/>
    <d v="2026-08-27T00:00:00"/>
    <n v="41557"/>
    <x v="7"/>
  </r>
  <r>
    <s v="Яковлев Артем Игоревич"/>
    <x v="50"/>
    <d v="2026-08-27T00:00:00"/>
    <n v="36444"/>
    <x v="7"/>
  </r>
  <r>
    <s v="Яковлев Артем Игоревич"/>
    <x v="1"/>
    <d v="2026-08-27T00:00:00"/>
    <n v="41253"/>
    <x v="7"/>
  </r>
  <r>
    <s v="Иванова Анна Сергеевна"/>
    <x v="59"/>
    <d v="2026-08-28T00:00:00"/>
    <n v="44385"/>
    <x v="7"/>
  </r>
  <r>
    <s v="Кузнецов Максим Алексеевич"/>
    <x v="231"/>
    <d v="2026-08-28T00:00:00"/>
    <n v="15211"/>
    <x v="7"/>
  </r>
  <r>
    <s v="Кузнецов Максим Алексеевич"/>
    <x v="43"/>
    <d v="2026-08-28T00:00:00"/>
    <n v="13081"/>
    <x v="7"/>
  </r>
  <r>
    <s v="Орлов Павел Денисович"/>
    <x v="19"/>
    <d v="2026-08-28T00:00:00"/>
    <n v="21437"/>
    <x v="7"/>
  </r>
  <r>
    <s v="Орлов Павел Денисович"/>
    <x v="210"/>
    <d v="2026-08-28T00:00:00"/>
    <n v="5652"/>
    <x v="7"/>
  </r>
  <r>
    <s v="Орлов Павел Денисович"/>
    <x v="196"/>
    <d v="2026-08-28T00:00:00"/>
    <n v="8213"/>
    <x v="7"/>
  </r>
  <r>
    <s v="Семенова Ирина Валерьевна"/>
    <x v="167"/>
    <d v="2026-08-28T00:00:00"/>
    <n v="17386"/>
    <x v="7"/>
  </r>
  <r>
    <s v="Ткаченко Андрей Олегович"/>
    <x v="9"/>
    <d v="2026-08-28T00:00:00"/>
    <n v="12275"/>
    <x v="7"/>
  </r>
  <r>
    <s v="Ткаченко Андрей Олегович"/>
    <x v="31"/>
    <d v="2026-08-28T00:00:00"/>
    <n v="14744"/>
    <x v="7"/>
  </r>
  <r>
    <s v="Ткаченко Андрей Олегович"/>
    <x v="150"/>
    <d v="2026-08-28T00:00:00"/>
    <n v="22060"/>
    <x v="7"/>
  </r>
  <r>
    <s v="Фролов Сергей Викторович"/>
    <x v="112"/>
    <d v="2026-08-28T00:00:00"/>
    <n v="34437"/>
    <x v="7"/>
  </r>
  <r>
    <s v="Фролов Сергей Викторович"/>
    <x v="142"/>
    <d v="2026-08-28T00:00:00"/>
    <n v="24705"/>
    <x v="7"/>
  </r>
  <r>
    <s v="Яковлев Артем Игоревич"/>
    <x v="159"/>
    <d v="2026-08-28T00:00:00"/>
    <n v="31927"/>
    <x v="7"/>
  </r>
  <r>
    <s v="Яковлев Артем Игоревич"/>
    <x v="14"/>
    <d v="2026-08-28T00:00:00"/>
    <n v="37965"/>
    <x v="7"/>
  </r>
  <r>
    <s v="Иванова Анна Сергеевна"/>
    <x v="70"/>
    <d v="2026-08-29T00:00:00"/>
    <n v="28123"/>
    <x v="7"/>
  </r>
  <r>
    <s v="Иванова Анна Сергеевна"/>
    <x v="16"/>
    <d v="2026-08-29T00:00:00"/>
    <n v="19855"/>
    <x v="7"/>
  </r>
  <r>
    <s v="Козлов Алексей Михайлович"/>
    <x v="146"/>
    <d v="2026-08-29T00:00:00"/>
    <n v="20736"/>
    <x v="7"/>
  </r>
  <r>
    <s v="Яковлев Артем Игоревич"/>
    <x v="171"/>
    <d v="2026-08-29T00:00:00"/>
    <n v="40615"/>
    <x v="7"/>
  </r>
  <r>
    <s v="Яковлев Артем Игоревич"/>
    <x v="68"/>
    <d v="2026-08-29T00:00:00"/>
    <n v="39038"/>
    <x v="7"/>
  </r>
  <r>
    <s v="Фролов Сергей Викторович"/>
    <x v="103"/>
    <d v="2026-08-30T00:00:00"/>
    <n v="29488"/>
    <x v="7"/>
  </r>
  <r>
    <s v="Фролов Сергей Викторович"/>
    <x v="142"/>
    <d v="2026-08-30T00:00:00"/>
    <n v="25826"/>
    <x v="7"/>
  </r>
  <r>
    <s v="Яковлев Артем Игоревич"/>
    <x v="190"/>
    <d v="2026-08-30T00:00:00"/>
    <n v="40710"/>
    <x v="7"/>
  </r>
  <r>
    <s v="Яковлев Артем Игоревич"/>
    <x v="40"/>
    <d v="2026-08-30T00:00:00"/>
    <n v="33413"/>
    <x v="7"/>
  </r>
  <r>
    <s v="Яковлев Артем Игоревич"/>
    <x v="34"/>
    <d v="2026-08-30T00:00:00"/>
    <n v="48093"/>
    <x v="7"/>
  </r>
  <r>
    <s v="Яковлев Артем Игоревич"/>
    <x v="51"/>
    <d v="2026-08-30T00:00:00"/>
    <n v="49588"/>
    <x v="7"/>
  </r>
  <r>
    <s v="Яковлев Артем Игоревич"/>
    <x v="41"/>
    <d v="2026-08-30T00:00:00"/>
    <n v="50170"/>
    <x v="7"/>
  </r>
  <r>
    <s v="Кузнецов Максим Алексеевич"/>
    <x v="164"/>
    <d v="2026-08-31T00:00:00"/>
    <n v="6245"/>
    <x v="7"/>
  </r>
  <r>
    <s v="Морозова Елена Андреевна"/>
    <x v="18"/>
    <d v="2026-08-31T00:00:00"/>
    <n v="13920"/>
    <x v="7"/>
  </r>
  <r>
    <s v="Новикова Ольга Викторовна"/>
    <x v="100"/>
    <d v="2026-08-31T00:00:00"/>
    <n v="11595"/>
    <x v="7"/>
  </r>
  <r>
    <s v="Ткаченко Андрей Олегович"/>
    <x v="194"/>
    <d v="2026-08-31T00:00:00"/>
    <n v="7468"/>
    <x v="7"/>
  </r>
  <r>
    <s v="Ткаченко Андрей Олегович"/>
    <x v="177"/>
    <d v="2026-08-31T00:00:00"/>
    <n v="21044"/>
    <x v="7"/>
  </r>
  <r>
    <s v="Фролов Сергей Викторович"/>
    <x v="229"/>
    <d v="2026-08-31T00:00:00"/>
    <n v="32421"/>
    <x v="7"/>
  </r>
  <r>
    <s v="Фролов Сергей Викторович"/>
    <x v="89"/>
    <d v="2026-08-31T00:00:00"/>
    <n v="29160"/>
    <x v="7"/>
  </r>
  <r>
    <s v="Фролов Сергей Викторович"/>
    <x v="81"/>
    <d v="2026-08-31T00:00:00"/>
    <n v="9372"/>
    <x v="7"/>
  </r>
  <r>
    <s v="Яковлев Артем Игоревич"/>
    <x v="48"/>
    <d v="2026-08-31T00:00:00"/>
    <n v="32140"/>
    <x v="7"/>
  </r>
  <r>
    <s v="Яковлев Артем Игоревич"/>
    <x v="171"/>
    <d v="2026-08-31T00:00:00"/>
    <n v="33862"/>
    <x v="7"/>
  </r>
  <r>
    <s v="Яковлев Артем Игоревич"/>
    <x v="39"/>
    <d v="2026-08-31T00:00:00"/>
    <n v="41450"/>
    <x v="7"/>
  </r>
  <r>
    <s v="Яковлев Артем Игоревич"/>
    <x v="223"/>
    <d v="2026-08-31T00:00:00"/>
    <n v="47676"/>
    <x v="7"/>
  </r>
  <r>
    <s v="Яковлев Артем Игоревич"/>
    <x v="50"/>
    <d v="2026-08-31T00:00:00"/>
    <n v="40853"/>
    <x v="7"/>
  </r>
  <r>
    <s v="Яковлев Артем Игоревич"/>
    <x v="78"/>
    <d v="2026-08-31T00:00:00"/>
    <n v="4097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87C96-7F7C-42F2-B477-076FAD5629D7}" name="Сводная таблица1" cacheId="15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>
  <location ref="A1:C21" firstHeaderRow="0" firstDataRow="1" firstDataCol="1"/>
  <pivotFields count="6">
    <pivotField axis="axisRow" showAll="0" sortType="descending">
      <items count="21">
        <item x="13"/>
        <item x="16"/>
        <item x="15"/>
        <item x="0"/>
        <item x="5"/>
        <item x="11"/>
        <item x="1"/>
        <item x="18"/>
        <item x="8"/>
        <item x="2"/>
        <item x="3"/>
        <item x="12"/>
        <item x="17"/>
        <item x="9"/>
        <item x="19"/>
        <item x="14"/>
        <item x="4"/>
        <item x="10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238">
        <item x="61"/>
        <item x="28"/>
        <item x="227"/>
        <item x="20"/>
        <item x="4"/>
        <item x="200"/>
        <item x="184"/>
        <item x="102"/>
        <item x="3"/>
        <item x="236"/>
        <item x="112"/>
        <item x="130"/>
        <item x="15"/>
        <item x="88"/>
        <item x="53"/>
        <item x="48"/>
        <item x="212"/>
        <item x="134"/>
        <item x="19"/>
        <item x="178"/>
        <item x="213"/>
        <item x="148"/>
        <item x="56"/>
        <item x="170"/>
        <item x="110"/>
        <item x="225"/>
        <item x="79"/>
        <item x="190"/>
        <item x="221"/>
        <item x="151"/>
        <item x="139"/>
        <item x="181"/>
        <item x="195"/>
        <item x="127"/>
        <item x="77"/>
        <item x="180"/>
        <item x="113"/>
        <item x="94"/>
        <item x="83"/>
        <item x="9"/>
        <item x="171"/>
        <item x="128"/>
        <item x="12"/>
        <item x="194"/>
        <item x="186"/>
        <item x="235"/>
        <item x="229"/>
        <item x="80"/>
        <item x="233"/>
        <item x="32"/>
        <item x="72"/>
        <item x="231"/>
        <item x="69"/>
        <item x="149"/>
        <item x="97"/>
        <item x="162"/>
        <item x="95"/>
        <item x="0"/>
        <item x="155"/>
        <item x="122"/>
        <item x="158"/>
        <item x="123"/>
        <item x="138"/>
        <item x="57"/>
        <item x="222"/>
        <item x="203"/>
        <item x="70"/>
        <item x="132"/>
        <item x="143"/>
        <item x="38"/>
        <item x="39"/>
        <item x="64"/>
        <item x="131"/>
        <item x="24"/>
        <item x="183"/>
        <item x="18"/>
        <item x="65"/>
        <item x="22"/>
        <item x="87"/>
        <item x="191"/>
        <item x="86"/>
        <item x="208"/>
        <item x="33"/>
        <item x="140"/>
        <item x="144"/>
        <item x="172"/>
        <item x="100"/>
        <item x="17"/>
        <item x="67"/>
        <item x="60"/>
        <item x="197"/>
        <item x="13"/>
        <item x="159"/>
        <item x="165"/>
        <item x="205"/>
        <item x="74"/>
        <item x="129"/>
        <item x="14"/>
        <item x="136"/>
        <item x="5"/>
        <item x="226"/>
        <item x="202"/>
        <item x="55"/>
        <item x="40"/>
        <item x="219"/>
        <item x="214"/>
        <item x="90"/>
        <item x="133"/>
        <item x="115"/>
        <item x="157"/>
        <item x="58"/>
        <item x="107"/>
        <item x="105"/>
        <item x="52"/>
        <item x="192"/>
        <item x="126"/>
        <item x="84"/>
        <item x="42"/>
        <item x="109"/>
        <item x="210"/>
        <item x="204"/>
        <item x="117"/>
        <item x="93"/>
        <item x="168"/>
        <item x="163"/>
        <item x="224"/>
        <item x="66"/>
        <item x="71"/>
        <item x="106"/>
        <item x="116"/>
        <item x="176"/>
        <item x="179"/>
        <item x="59"/>
        <item x="35"/>
        <item x="232"/>
        <item x="108"/>
        <item x="160"/>
        <item x="29"/>
        <item x="111"/>
        <item x="7"/>
        <item x="2"/>
        <item x="37"/>
        <item x="145"/>
        <item x="185"/>
        <item x="73"/>
        <item x="228"/>
        <item x="82"/>
        <item x="89"/>
        <item x="177"/>
        <item x="141"/>
        <item x="49"/>
        <item x="211"/>
        <item x="76"/>
        <item x="62"/>
        <item x="201"/>
        <item x="34"/>
        <item x="45"/>
        <item x="223"/>
        <item x="63"/>
        <item x="103"/>
        <item x="91"/>
        <item x="175"/>
        <item x="30"/>
        <item x="101"/>
        <item x="169"/>
        <item x="98"/>
        <item x="44"/>
        <item x="119"/>
        <item x="36"/>
        <item x="147"/>
        <item x="120"/>
        <item x="182"/>
        <item x="164"/>
        <item x="68"/>
        <item x="198"/>
        <item x="137"/>
        <item x="216"/>
        <item x="142"/>
        <item x="21"/>
        <item x="166"/>
        <item x="96"/>
        <item x="81"/>
        <item x="118"/>
        <item x="187"/>
        <item x="26"/>
        <item x="31"/>
        <item x="124"/>
        <item x="161"/>
        <item x="217"/>
        <item x="209"/>
        <item x="156"/>
        <item x="188"/>
        <item x="167"/>
        <item x="230"/>
        <item x="85"/>
        <item x="50"/>
        <item x="196"/>
        <item x="23"/>
        <item x="114"/>
        <item x="10"/>
        <item x="153"/>
        <item x="6"/>
        <item x="78"/>
        <item x="121"/>
        <item x="51"/>
        <item x="46"/>
        <item x="54"/>
        <item x="1"/>
        <item x="234"/>
        <item x="125"/>
        <item x="99"/>
        <item x="11"/>
        <item x="207"/>
        <item x="199"/>
        <item x="92"/>
        <item x="189"/>
        <item x="146"/>
        <item x="27"/>
        <item x="8"/>
        <item x="47"/>
        <item x="174"/>
        <item x="218"/>
        <item x="43"/>
        <item x="215"/>
        <item x="75"/>
        <item x="25"/>
        <item x="154"/>
        <item x="104"/>
        <item x="16"/>
        <item x="135"/>
        <item x="206"/>
        <item x="150"/>
        <item x="152"/>
        <item x="41"/>
        <item x="173"/>
        <item x="220"/>
        <item x="193"/>
        <item t="default"/>
      </items>
    </pivotField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 v="12"/>
    </i>
    <i>
      <x/>
    </i>
    <i>
      <x v="2"/>
    </i>
    <i>
      <x v="7"/>
    </i>
    <i>
      <x v="17"/>
    </i>
  </rowItems>
  <colFields count="1">
    <field x="-2"/>
  </colFields>
  <colItems count="2">
    <i>
      <x/>
    </i>
    <i i="1">
      <x v="1"/>
    </i>
  </colItems>
  <dataFields count="2">
    <dataField name="Количество по полю ФИО клиента" fld="1" subtotal="count" baseField="0" baseItem="0"/>
    <dataField name="Количество по полю ФИО клиента2" fld="1" subtotal="count" baseField="0" baseItem="19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B5771-25BB-4AE9-ADE0-D7FEEEFCF9CA}" name="Сводная таблица3" cacheId="13" applyNumberFormats="0" applyBorderFormats="0" applyFontFormats="0" applyPatternFormats="0" applyAlignmentFormats="0" applyWidthHeightFormats="1" dataCaption="Значения" updatedVersion="8" minRefreshableVersion="3" rowGrandTotals="0" itemPrintTitles="1" createdVersion="8" indent="0" outline="1" outlineData="1" multipleFieldFilters="0">
  <location ref="H1:Z240" firstHeaderRow="1" firstDataRow="3" firstDataCol="1"/>
  <pivotFields count="5">
    <pivotField showAll="0"/>
    <pivotField axis="axisRow" showAll="0" sortType="descending">
      <items count="238">
        <item x="61"/>
        <item x="28"/>
        <item x="227"/>
        <item x="20"/>
        <item x="4"/>
        <item x="200"/>
        <item x="184"/>
        <item x="102"/>
        <item x="3"/>
        <item x="236"/>
        <item x="112"/>
        <item x="130"/>
        <item x="15"/>
        <item x="88"/>
        <item x="53"/>
        <item x="48"/>
        <item x="212"/>
        <item x="134"/>
        <item x="19"/>
        <item x="178"/>
        <item x="213"/>
        <item x="148"/>
        <item x="56"/>
        <item x="170"/>
        <item x="110"/>
        <item x="225"/>
        <item x="79"/>
        <item x="190"/>
        <item x="221"/>
        <item x="151"/>
        <item x="139"/>
        <item x="181"/>
        <item x="195"/>
        <item x="127"/>
        <item x="77"/>
        <item x="180"/>
        <item x="113"/>
        <item x="94"/>
        <item x="83"/>
        <item x="9"/>
        <item x="171"/>
        <item x="128"/>
        <item x="12"/>
        <item x="194"/>
        <item x="186"/>
        <item x="235"/>
        <item x="229"/>
        <item x="80"/>
        <item x="233"/>
        <item x="32"/>
        <item x="72"/>
        <item x="231"/>
        <item x="69"/>
        <item x="149"/>
        <item x="97"/>
        <item x="162"/>
        <item x="95"/>
        <item x="0"/>
        <item x="155"/>
        <item x="122"/>
        <item x="158"/>
        <item x="123"/>
        <item x="138"/>
        <item x="57"/>
        <item x="222"/>
        <item x="203"/>
        <item x="70"/>
        <item x="132"/>
        <item x="143"/>
        <item x="38"/>
        <item x="39"/>
        <item x="64"/>
        <item x="131"/>
        <item x="24"/>
        <item x="183"/>
        <item x="18"/>
        <item x="65"/>
        <item x="22"/>
        <item x="87"/>
        <item x="191"/>
        <item x="86"/>
        <item x="208"/>
        <item x="33"/>
        <item x="140"/>
        <item x="144"/>
        <item x="172"/>
        <item x="100"/>
        <item x="17"/>
        <item x="67"/>
        <item x="60"/>
        <item x="197"/>
        <item x="13"/>
        <item x="159"/>
        <item x="165"/>
        <item x="205"/>
        <item x="74"/>
        <item x="129"/>
        <item x="14"/>
        <item x="136"/>
        <item x="5"/>
        <item x="226"/>
        <item x="202"/>
        <item x="55"/>
        <item x="40"/>
        <item x="219"/>
        <item x="214"/>
        <item x="90"/>
        <item x="133"/>
        <item x="115"/>
        <item x="157"/>
        <item x="58"/>
        <item x="107"/>
        <item x="105"/>
        <item x="52"/>
        <item x="192"/>
        <item x="126"/>
        <item x="84"/>
        <item x="42"/>
        <item x="109"/>
        <item x="210"/>
        <item x="204"/>
        <item x="117"/>
        <item x="93"/>
        <item x="168"/>
        <item x="163"/>
        <item x="224"/>
        <item x="66"/>
        <item x="71"/>
        <item x="106"/>
        <item x="116"/>
        <item x="176"/>
        <item x="179"/>
        <item x="59"/>
        <item x="35"/>
        <item x="232"/>
        <item x="108"/>
        <item x="160"/>
        <item x="29"/>
        <item x="111"/>
        <item x="7"/>
        <item x="2"/>
        <item x="37"/>
        <item x="145"/>
        <item x="185"/>
        <item x="73"/>
        <item x="228"/>
        <item x="82"/>
        <item x="89"/>
        <item x="177"/>
        <item x="141"/>
        <item x="49"/>
        <item x="211"/>
        <item x="76"/>
        <item x="62"/>
        <item x="201"/>
        <item x="34"/>
        <item x="45"/>
        <item x="223"/>
        <item x="63"/>
        <item x="103"/>
        <item x="91"/>
        <item x="175"/>
        <item x="30"/>
        <item x="101"/>
        <item x="169"/>
        <item x="98"/>
        <item x="44"/>
        <item x="119"/>
        <item x="36"/>
        <item x="147"/>
        <item x="120"/>
        <item x="182"/>
        <item x="164"/>
        <item x="68"/>
        <item x="198"/>
        <item x="137"/>
        <item x="216"/>
        <item x="142"/>
        <item x="21"/>
        <item x="166"/>
        <item x="96"/>
        <item x="81"/>
        <item x="118"/>
        <item x="187"/>
        <item x="26"/>
        <item x="31"/>
        <item x="124"/>
        <item x="161"/>
        <item x="217"/>
        <item x="209"/>
        <item x="156"/>
        <item x="188"/>
        <item x="167"/>
        <item x="230"/>
        <item x="85"/>
        <item x="50"/>
        <item x="196"/>
        <item x="23"/>
        <item x="114"/>
        <item x="10"/>
        <item x="153"/>
        <item x="6"/>
        <item x="78"/>
        <item x="121"/>
        <item x="51"/>
        <item x="46"/>
        <item x="54"/>
        <item x="1"/>
        <item x="234"/>
        <item x="125"/>
        <item x="99"/>
        <item x="11"/>
        <item x="207"/>
        <item x="199"/>
        <item x="92"/>
        <item x="189"/>
        <item x="146"/>
        <item x="27"/>
        <item x="8"/>
        <item x="47"/>
        <item x="174"/>
        <item x="218"/>
        <item x="43"/>
        <item x="215"/>
        <item x="75"/>
        <item x="25"/>
        <item x="154"/>
        <item x="104"/>
        <item x="16"/>
        <item x="135"/>
        <item x="206"/>
        <item x="150"/>
        <item x="152"/>
        <item x="41"/>
        <item x="173"/>
        <item x="220"/>
        <item x="1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3"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237">
    <i>
      <x v="97"/>
    </i>
    <i>
      <x v="112"/>
    </i>
    <i>
      <x v="195"/>
    </i>
    <i>
      <x v="34"/>
    </i>
    <i>
      <x v="204"/>
    </i>
    <i>
      <x v="73"/>
    </i>
    <i>
      <x v="155"/>
    </i>
    <i>
      <x v="65"/>
    </i>
    <i>
      <x v="42"/>
    </i>
    <i>
      <x v="69"/>
    </i>
    <i>
      <x v="132"/>
    </i>
    <i>
      <x v="193"/>
    </i>
    <i>
      <x v="70"/>
    </i>
    <i>
      <x v="150"/>
    </i>
    <i>
      <x v="82"/>
    </i>
    <i>
      <x v="232"/>
    </i>
    <i>
      <x v="88"/>
    </i>
    <i>
      <x v="15"/>
    </i>
    <i>
      <x v="182"/>
    </i>
    <i>
      <x v="96"/>
    </i>
    <i>
      <x v="63"/>
    </i>
    <i>
      <x v="233"/>
    </i>
    <i>
      <x v="157"/>
    </i>
    <i>
      <x v="173"/>
    </i>
    <i>
      <x v="106"/>
    </i>
    <i>
      <x v="225"/>
    </i>
    <i>
      <x v="103"/>
    </i>
    <i>
      <x v="120"/>
    </i>
    <i>
      <x v="229"/>
    </i>
    <i>
      <x v="27"/>
    </i>
    <i>
      <x v="60"/>
    </i>
    <i>
      <x v="10"/>
    </i>
    <i>
      <x v="202"/>
    </i>
    <i>
      <x v="207"/>
    </i>
    <i>
      <x v="22"/>
    </i>
    <i>
      <x v="40"/>
    </i>
    <i>
      <x v="41"/>
    </i>
    <i>
      <x v="44"/>
    </i>
    <i>
      <x v="92"/>
    </i>
    <i>
      <x v="110"/>
    </i>
    <i>
      <x v="46"/>
    </i>
    <i>
      <x v="91"/>
    </i>
    <i>
      <x v="136"/>
    </i>
    <i>
      <x v="187"/>
    </i>
    <i>
      <x v="164"/>
    </i>
    <i>
      <x v="117"/>
    </i>
    <i>
      <x v="36"/>
    </i>
    <i>
      <x v="29"/>
    </i>
    <i>
      <x v="141"/>
    </i>
    <i>
      <x v="49"/>
    </i>
    <i>
      <x v="199"/>
    </i>
    <i>
      <x v="227"/>
    </i>
    <i>
      <x v="147"/>
    </i>
    <i>
      <x v="181"/>
    </i>
    <i>
      <x v="77"/>
    </i>
    <i>
      <x v="122"/>
    </i>
    <i>
      <x v="9"/>
    </i>
    <i>
      <x v="177"/>
    </i>
    <i>
      <x v="17"/>
    </i>
    <i>
      <x v="13"/>
    </i>
    <i>
      <x v="186"/>
    </i>
    <i>
      <x v="211"/>
    </i>
    <i>
      <x v="14"/>
    </i>
    <i>
      <x v="23"/>
    </i>
    <i>
      <x v="123"/>
    </i>
    <i>
      <x v="201"/>
    </i>
    <i>
      <x v="197"/>
    </i>
    <i>
      <x v="152"/>
    </i>
    <i>
      <x v="90"/>
    </i>
    <i>
      <x v="107"/>
    </i>
    <i>
      <x v="101"/>
    </i>
    <i>
      <x v="209"/>
    </i>
    <i>
      <x v="121"/>
    </i>
    <i>
      <x v="159"/>
    </i>
    <i>
      <x v="64"/>
    </i>
    <i>
      <x v="59"/>
    </i>
    <i>
      <x v="234"/>
    </i>
    <i>
      <x v="102"/>
    </i>
    <i>
      <x v="56"/>
    </i>
    <i>
      <x v="176"/>
    </i>
    <i>
      <x v="85"/>
    </i>
    <i>
      <x v="138"/>
    </i>
    <i>
      <x v="98"/>
    </i>
    <i>
      <x v="61"/>
    </i>
    <i>
      <x v="57"/>
    </i>
    <i>
      <x v="24"/>
    </i>
    <i>
      <x v="115"/>
    </i>
    <i>
      <x v="127"/>
    </i>
    <i>
      <x v="89"/>
    </i>
    <i>
      <x v="139"/>
    </i>
    <i>
      <x v="99"/>
    </i>
    <i>
      <x v="143"/>
    </i>
    <i>
      <x v="142"/>
    </i>
    <i>
      <x v="230"/>
    </i>
    <i>
      <x v="128"/>
    </i>
    <i>
      <x v="33"/>
    </i>
    <i>
      <x v="66"/>
    </i>
    <i>
      <x v="221"/>
    </i>
    <i>
      <x v="72"/>
    </i>
    <i>
      <x v="184"/>
    </i>
    <i>
      <x v="84"/>
    </i>
    <i>
      <x v="16"/>
    </i>
    <i>
      <x v="228"/>
    </i>
    <i>
      <x v="43"/>
    </i>
    <i>
      <x v="180"/>
    </i>
    <i>
      <x v="203"/>
    </i>
    <i>
      <x v="175"/>
    </i>
    <i>
      <x v="149"/>
    </i>
    <i>
      <x v="162"/>
    </i>
    <i>
      <x v="156"/>
    </i>
    <i>
      <x v="79"/>
    </i>
    <i>
      <x v="160"/>
    </i>
    <i>
      <x v="2"/>
    </i>
    <i>
      <x v="78"/>
    </i>
    <i>
      <x v="219"/>
    </i>
    <i>
      <x v="53"/>
    </i>
    <i>
      <x v="6"/>
    </i>
    <i>
      <x v="185"/>
    </i>
    <i>
      <x v="231"/>
    </i>
    <i>
      <x v="3"/>
    </i>
    <i>
      <x v="114"/>
    </i>
    <i>
      <x v="148"/>
    </i>
    <i>
      <x v="215"/>
    </i>
    <i>
      <x v="154"/>
    </i>
    <i>
      <x v="12"/>
    </i>
    <i>
      <x v="145"/>
    </i>
    <i>
      <x v="83"/>
    </i>
    <i>
      <x v="32"/>
    </i>
    <i>
      <x v="95"/>
    </i>
    <i>
      <x v="21"/>
    </i>
    <i>
      <x v="7"/>
    </i>
    <i>
      <x v="129"/>
    </i>
    <i>
      <x v="30"/>
    </i>
    <i>
      <x v="179"/>
    </i>
    <i>
      <x v="80"/>
    </i>
    <i>
      <x v="87"/>
    </i>
    <i>
      <x v="124"/>
    </i>
    <i>
      <x v="224"/>
    </i>
    <i>
      <x v="58"/>
    </i>
    <i>
      <x v="171"/>
    </i>
    <i>
      <x v="20"/>
    </i>
    <i>
      <x v="137"/>
    </i>
    <i>
      <x v="170"/>
    </i>
    <i>
      <x v="216"/>
    </i>
    <i>
      <x v="210"/>
    </i>
    <i>
      <x v="190"/>
    </i>
    <i>
      <x v="71"/>
    </i>
    <i>
      <x v="39"/>
    </i>
    <i>
      <x v="151"/>
    </i>
    <i>
      <x v="47"/>
    </i>
    <i>
      <x v="18"/>
    </i>
    <i>
      <x v="105"/>
    </i>
    <i>
      <x v="144"/>
    </i>
    <i>
      <x v="100"/>
    </i>
    <i>
      <x v="192"/>
    </i>
    <i>
      <x v="104"/>
    </i>
    <i>
      <x v="214"/>
    </i>
    <i>
      <x v="169"/>
    </i>
    <i>
      <x v="235"/>
    </i>
    <i>
      <x v="174"/>
    </i>
    <i>
      <x v="172"/>
    </i>
    <i>
      <x v="194"/>
    </i>
    <i>
      <x v="217"/>
    </i>
    <i>
      <x v="19"/>
    </i>
    <i>
      <x v="223"/>
    </i>
    <i>
      <x v="50"/>
    </i>
    <i>
      <x v="11"/>
    </i>
    <i>
      <x v="208"/>
    </i>
    <i>
      <x v="4"/>
    </i>
    <i>
      <x v="166"/>
    </i>
    <i>
      <x v="236"/>
    </i>
    <i>
      <x v="68"/>
    </i>
    <i>
      <x v="48"/>
    </i>
    <i>
      <x v="26"/>
    </i>
    <i>
      <x/>
    </i>
    <i>
      <x v="163"/>
    </i>
    <i>
      <x v="54"/>
    </i>
    <i>
      <x v="133"/>
    </i>
    <i>
      <x v="25"/>
    </i>
    <i>
      <x v="116"/>
    </i>
    <i>
      <x v="222"/>
    </i>
    <i>
      <x v="81"/>
    </i>
    <i>
      <x v="200"/>
    </i>
    <i>
      <x v="67"/>
    </i>
    <i>
      <x v="38"/>
    </i>
    <i>
      <x v="191"/>
    </i>
    <i>
      <x v="45"/>
    </i>
    <i>
      <x v="178"/>
    </i>
    <i>
      <x v="55"/>
    </i>
    <i>
      <x v="189"/>
    </i>
    <i>
      <x v="131"/>
    </i>
    <i>
      <x v="75"/>
    </i>
    <i>
      <x v="146"/>
    </i>
    <i>
      <x v="51"/>
    </i>
    <i>
      <x v="111"/>
    </i>
    <i>
      <x v="37"/>
    </i>
    <i>
      <x v="220"/>
    </i>
    <i>
      <x v="212"/>
    </i>
    <i>
      <x v="62"/>
    </i>
    <i>
      <x v="205"/>
    </i>
    <i>
      <x v="165"/>
    </i>
    <i>
      <x v="198"/>
    </i>
    <i>
      <x v="213"/>
    </i>
    <i>
      <x v="5"/>
    </i>
    <i>
      <x v="109"/>
    </i>
    <i>
      <x v="93"/>
    </i>
    <i>
      <x v="161"/>
    </i>
    <i>
      <x v="168"/>
    </i>
    <i>
      <x v="226"/>
    </i>
    <i>
      <x v="113"/>
    </i>
    <i>
      <x v="8"/>
    </i>
    <i>
      <x v="31"/>
    </i>
    <i>
      <x v="1"/>
    </i>
    <i>
      <x v="52"/>
    </i>
    <i>
      <x v="153"/>
    </i>
    <i>
      <x v="188"/>
    </i>
    <i>
      <x v="135"/>
    </i>
    <i>
      <x v="167"/>
    </i>
    <i>
      <x v="126"/>
    </i>
    <i>
      <x v="86"/>
    </i>
    <i>
      <x v="140"/>
    </i>
    <i>
      <x v="218"/>
    </i>
    <i>
      <x v="158"/>
    </i>
    <i>
      <x v="94"/>
    </i>
    <i>
      <x v="35"/>
    </i>
    <i>
      <x v="206"/>
    </i>
    <i>
      <x v="108"/>
    </i>
    <i>
      <x v="125"/>
    </i>
    <i>
      <x v="130"/>
    </i>
    <i>
      <x v="183"/>
    </i>
    <i>
      <x v="134"/>
    </i>
    <i>
      <x v="74"/>
    </i>
    <i>
      <x v="196"/>
    </i>
    <i>
      <x v="119"/>
    </i>
    <i>
      <x v="76"/>
    </i>
    <i>
      <x v="118"/>
    </i>
    <i>
      <x v="28"/>
    </i>
  </rowItems>
  <colFields count="2">
    <field x="4"/>
    <field x="-2"/>
  </colFields>
  <colItems count="1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 t="grand">
      <x/>
    </i>
    <i t="grand" i="1">
      <x/>
    </i>
  </colItems>
  <dataFields count="2">
    <dataField name="Сумма по полю Сумма сделки" fld="3" baseField="0" baseItem="0"/>
    <dataField name="Сумма по полю Сумма сделки2" fld="3" baseField="1" baseItem="15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CCA12-3D28-41AA-8B85-FC91E7120792}" name="Сводная таблица4" cacheId="1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1:Q240" firstHeaderRow="1" firstDataRow="2" firstDataCol="1"/>
  <pivotFields count="6">
    <pivotField showAll="0"/>
    <pivotField axis="axisRow" showAll="0" sortType="descending">
      <items count="238">
        <item x="61"/>
        <item x="28"/>
        <item x="227"/>
        <item x="20"/>
        <item x="4"/>
        <item x="200"/>
        <item x="184"/>
        <item x="102"/>
        <item x="3"/>
        <item x="236"/>
        <item x="112"/>
        <item x="130"/>
        <item x="15"/>
        <item x="88"/>
        <item x="53"/>
        <item x="48"/>
        <item x="212"/>
        <item x="134"/>
        <item x="19"/>
        <item x="178"/>
        <item x="213"/>
        <item x="148"/>
        <item x="56"/>
        <item x="170"/>
        <item x="110"/>
        <item x="225"/>
        <item x="79"/>
        <item x="190"/>
        <item x="221"/>
        <item x="151"/>
        <item x="139"/>
        <item x="181"/>
        <item x="195"/>
        <item x="127"/>
        <item x="77"/>
        <item x="180"/>
        <item x="113"/>
        <item x="94"/>
        <item x="83"/>
        <item x="9"/>
        <item x="171"/>
        <item x="128"/>
        <item x="12"/>
        <item x="194"/>
        <item x="186"/>
        <item x="235"/>
        <item x="229"/>
        <item x="80"/>
        <item x="233"/>
        <item x="32"/>
        <item x="72"/>
        <item x="231"/>
        <item x="69"/>
        <item x="149"/>
        <item x="97"/>
        <item x="162"/>
        <item x="95"/>
        <item x="0"/>
        <item x="155"/>
        <item x="122"/>
        <item x="158"/>
        <item x="123"/>
        <item x="138"/>
        <item x="57"/>
        <item x="222"/>
        <item x="203"/>
        <item x="70"/>
        <item x="132"/>
        <item x="143"/>
        <item x="38"/>
        <item x="39"/>
        <item x="64"/>
        <item x="131"/>
        <item x="24"/>
        <item x="183"/>
        <item x="18"/>
        <item x="65"/>
        <item x="22"/>
        <item x="87"/>
        <item x="191"/>
        <item x="86"/>
        <item x="208"/>
        <item x="33"/>
        <item x="140"/>
        <item x="144"/>
        <item x="172"/>
        <item x="100"/>
        <item x="17"/>
        <item x="67"/>
        <item x="60"/>
        <item x="197"/>
        <item x="13"/>
        <item x="159"/>
        <item x="165"/>
        <item x="205"/>
        <item x="74"/>
        <item x="129"/>
        <item x="14"/>
        <item x="136"/>
        <item x="5"/>
        <item x="226"/>
        <item x="202"/>
        <item x="55"/>
        <item x="40"/>
        <item x="219"/>
        <item x="214"/>
        <item x="90"/>
        <item x="133"/>
        <item x="115"/>
        <item x="157"/>
        <item x="58"/>
        <item x="107"/>
        <item x="105"/>
        <item x="52"/>
        <item x="192"/>
        <item x="126"/>
        <item x="84"/>
        <item x="42"/>
        <item x="109"/>
        <item x="210"/>
        <item x="204"/>
        <item x="117"/>
        <item x="93"/>
        <item x="168"/>
        <item x="163"/>
        <item x="224"/>
        <item x="66"/>
        <item x="71"/>
        <item x="106"/>
        <item x="116"/>
        <item x="176"/>
        <item x="179"/>
        <item x="59"/>
        <item x="35"/>
        <item x="232"/>
        <item x="108"/>
        <item x="160"/>
        <item x="29"/>
        <item x="111"/>
        <item x="7"/>
        <item x="2"/>
        <item x="37"/>
        <item x="145"/>
        <item x="185"/>
        <item x="73"/>
        <item x="228"/>
        <item x="82"/>
        <item x="89"/>
        <item x="177"/>
        <item x="141"/>
        <item x="49"/>
        <item x="211"/>
        <item x="76"/>
        <item x="62"/>
        <item x="201"/>
        <item x="34"/>
        <item x="45"/>
        <item x="223"/>
        <item x="63"/>
        <item x="103"/>
        <item x="91"/>
        <item x="175"/>
        <item x="30"/>
        <item x="101"/>
        <item x="169"/>
        <item x="98"/>
        <item x="44"/>
        <item x="119"/>
        <item x="36"/>
        <item x="147"/>
        <item x="120"/>
        <item x="182"/>
        <item x="164"/>
        <item x="68"/>
        <item x="198"/>
        <item x="137"/>
        <item x="216"/>
        <item x="142"/>
        <item x="21"/>
        <item x="166"/>
        <item x="96"/>
        <item x="81"/>
        <item x="118"/>
        <item x="187"/>
        <item x="26"/>
        <item x="31"/>
        <item x="124"/>
        <item x="161"/>
        <item x="217"/>
        <item x="209"/>
        <item x="156"/>
        <item x="188"/>
        <item x="167"/>
        <item x="230"/>
        <item x="85"/>
        <item x="50"/>
        <item x="196"/>
        <item x="23"/>
        <item x="114"/>
        <item x="10"/>
        <item x="153"/>
        <item x="6"/>
        <item x="78"/>
        <item x="121"/>
        <item x="51"/>
        <item x="46"/>
        <item x="54"/>
        <item x="1"/>
        <item x="234"/>
        <item x="125"/>
        <item x="99"/>
        <item x="11"/>
        <item x="207"/>
        <item x="199"/>
        <item x="92"/>
        <item x="189"/>
        <item x="146"/>
        <item x="27"/>
        <item x="8"/>
        <item x="47"/>
        <item x="174"/>
        <item x="218"/>
        <item x="43"/>
        <item x="215"/>
        <item x="75"/>
        <item x="25"/>
        <item x="154"/>
        <item x="104"/>
        <item x="16"/>
        <item x="135"/>
        <item x="206"/>
        <item x="150"/>
        <item x="152"/>
        <item x="41"/>
        <item x="173"/>
        <item x="220"/>
        <item x="1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8">
    <i>
      <x v="97"/>
    </i>
    <i>
      <x v="112"/>
    </i>
    <i>
      <x v="195"/>
    </i>
    <i>
      <x v="34"/>
    </i>
    <i>
      <x v="204"/>
    </i>
    <i>
      <x v="73"/>
    </i>
    <i>
      <x v="155"/>
    </i>
    <i>
      <x v="65"/>
    </i>
    <i>
      <x v="42"/>
    </i>
    <i>
      <x v="69"/>
    </i>
    <i>
      <x v="132"/>
    </i>
    <i>
      <x v="193"/>
    </i>
    <i>
      <x v="70"/>
    </i>
    <i>
      <x v="150"/>
    </i>
    <i>
      <x v="82"/>
    </i>
    <i>
      <x v="232"/>
    </i>
    <i>
      <x v="88"/>
    </i>
    <i>
      <x v="15"/>
    </i>
    <i>
      <x v="182"/>
    </i>
    <i>
      <x v="96"/>
    </i>
    <i>
      <x v="63"/>
    </i>
    <i>
      <x v="233"/>
    </i>
    <i>
      <x v="157"/>
    </i>
    <i>
      <x v="173"/>
    </i>
    <i>
      <x v="106"/>
    </i>
    <i>
      <x v="225"/>
    </i>
    <i>
      <x v="103"/>
    </i>
    <i>
      <x v="120"/>
    </i>
    <i>
      <x v="229"/>
    </i>
    <i>
      <x v="27"/>
    </i>
    <i>
      <x v="60"/>
    </i>
    <i>
      <x v="10"/>
    </i>
    <i>
      <x v="202"/>
    </i>
    <i>
      <x v="207"/>
    </i>
    <i>
      <x v="22"/>
    </i>
    <i>
      <x v="40"/>
    </i>
    <i>
      <x v="41"/>
    </i>
    <i>
      <x v="44"/>
    </i>
    <i>
      <x v="92"/>
    </i>
    <i>
      <x v="110"/>
    </i>
    <i>
      <x v="46"/>
    </i>
    <i>
      <x v="91"/>
    </i>
    <i>
      <x v="136"/>
    </i>
    <i>
      <x v="187"/>
    </i>
    <i>
      <x v="164"/>
    </i>
    <i>
      <x v="117"/>
    </i>
    <i>
      <x v="36"/>
    </i>
    <i>
      <x v="29"/>
    </i>
    <i>
      <x v="141"/>
    </i>
    <i>
      <x v="49"/>
    </i>
    <i>
      <x v="199"/>
    </i>
    <i>
      <x v="227"/>
    </i>
    <i>
      <x v="147"/>
    </i>
    <i>
      <x v="181"/>
    </i>
    <i>
      <x v="77"/>
    </i>
    <i>
      <x v="122"/>
    </i>
    <i>
      <x v="9"/>
    </i>
    <i>
      <x v="177"/>
    </i>
    <i>
      <x v="17"/>
    </i>
    <i>
      <x v="13"/>
    </i>
    <i>
      <x v="186"/>
    </i>
    <i>
      <x v="211"/>
    </i>
    <i>
      <x v="14"/>
    </i>
    <i>
      <x v="23"/>
    </i>
    <i>
      <x v="123"/>
    </i>
    <i>
      <x v="201"/>
    </i>
    <i>
      <x v="197"/>
    </i>
    <i>
      <x v="152"/>
    </i>
    <i>
      <x v="90"/>
    </i>
    <i>
      <x v="107"/>
    </i>
    <i>
      <x v="101"/>
    </i>
    <i>
      <x v="209"/>
    </i>
    <i>
      <x v="121"/>
    </i>
    <i>
      <x v="159"/>
    </i>
    <i>
      <x v="64"/>
    </i>
    <i>
      <x v="59"/>
    </i>
    <i>
      <x v="234"/>
    </i>
    <i>
      <x v="102"/>
    </i>
    <i>
      <x v="56"/>
    </i>
    <i>
      <x v="176"/>
    </i>
    <i>
      <x v="85"/>
    </i>
    <i>
      <x v="138"/>
    </i>
    <i>
      <x v="98"/>
    </i>
    <i>
      <x v="61"/>
    </i>
    <i>
      <x v="57"/>
    </i>
    <i>
      <x v="24"/>
    </i>
    <i>
      <x v="115"/>
    </i>
    <i>
      <x v="127"/>
    </i>
    <i>
      <x v="89"/>
    </i>
    <i>
      <x v="139"/>
    </i>
    <i>
      <x v="99"/>
    </i>
    <i>
      <x v="143"/>
    </i>
    <i>
      <x v="142"/>
    </i>
    <i>
      <x v="230"/>
    </i>
    <i>
      <x v="128"/>
    </i>
    <i>
      <x v="33"/>
    </i>
    <i>
      <x v="66"/>
    </i>
    <i>
      <x v="221"/>
    </i>
    <i>
      <x v="72"/>
    </i>
    <i>
      <x v="184"/>
    </i>
    <i>
      <x v="84"/>
    </i>
    <i>
      <x v="16"/>
    </i>
    <i>
      <x v="228"/>
    </i>
    <i>
      <x v="43"/>
    </i>
    <i>
      <x v="180"/>
    </i>
    <i>
      <x v="203"/>
    </i>
    <i>
      <x v="175"/>
    </i>
    <i>
      <x v="149"/>
    </i>
    <i>
      <x v="162"/>
    </i>
    <i>
      <x v="156"/>
    </i>
    <i>
      <x v="79"/>
    </i>
    <i>
      <x v="160"/>
    </i>
    <i>
      <x v="2"/>
    </i>
    <i>
      <x v="78"/>
    </i>
    <i>
      <x v="219"/>
    </i>
    <i>
      <x v="53"/>
    </i>
    <i>
      <x v="6"/>
    </i>
    <i>
      <x v="185"/>
    </i>
    <i>
      <x v="231"/>
    </i>
    <i>
      <x v="3"/>
    </i>
    <i>
      <x v="114"/>
    </i>
    <i>
      <x v="148"/>
    </i>
    <i>
      <x v="215"/>
    </i>
    <i>
      <x v="154"/>
    </i>
    <i>
      <x v="12"/>
    </i>
    <i>
      <x v="145"/>
    </i>
    <i>
      <x v="83"/>
    </i>
    <i>
      <x v="32"/>
    </i>
    <i>
      <x v="95"/>
    </i>
    <i>
      <x v="21"/>
    </i>
    <i>
      <x v="7"/>
    </i>
    <i>
      <x v="129"/>
    </i>
    <i>
      <x v="30"/>
    </i>
    <i>
      <x v="179"/>
    </i>
    <i>
      <x v="80"/>
    </i>
    <i>
      <x v="87"/>
    </i>
    <i>
      <x v="124"/>
    </i>
    <i>
      <x v="224"/>
    </i>
    <i>
      <x v="58"/>
    </i>
    <i>
      <x v="171"/>
    </i>
    <i>
      <x v="20"/>
    </i>
    <i>
      <x v="137"/>
    </i>
    <i>
      <x v="170"/>
    </i>
    <i>
      <x v="216"/>
    </i>
    <i>
      <x v="210"/>
    </i>
    <i>
      <x v="190"/>
    </i>
    <i>
      <x v="71"/>
    </i>
    <i>
      <x v="39"/>
    </i>
    <i>
      <x v="151"/>
    </i>
    <i>
      <x v="47"/>
    </i>
    <i>
      <x v="18"/>
    </i>
    <i>
      <x v="105"/>
    </i>
    <i>
      <x v="144"/>
    </i>
    <i>
      <x v="100"/>
    </i>
    <i>
      <x v="192"/>
    </i>
    <i>
      <x v="104"/>
    </i>
    <i>
      <x v="214"/>
    </i>
    <i>
      <x v="169"/>
    </i>
    <i>
      <x v="235"/>
    </i>
    <i>
      <x v="174"/>
    </i>
    <i>
      <x v="172"/>
    </i>
    <i>
      <x v="194"/>
    </i>
    <i>
      <x v="217"/>
    </i>
    <i>
      <x v="19"/>
    </i>
    <i>
      <x v="223"/>
    </i>
    <i>
      <x v="50"/>
    </i>
    <i>
      <x v="11"/>
    </i>
    <i>
      <x v="208"/>
    </i>
    <i>
      <x v="4"/>
    </i>
    <i>
      <x v="166"/>
    </i>
    <i>
      <x v="236"/>
    </i>
    <i>
      <x v="68"/>
    </i>
    <i>
      <x v="48"/>
    </i>
    <i>
      <x v="26"/>
    </i>
    <i>
      <x/>
    </i>
    <i>
      <x v="163"/>
    </i>
    <i>
      <x v="54"/>
    </i>
    <i>
      <x v="133"/>
    </i>
    <i>
      <x v="25"/>
    </i>
    <i>
      <x v="116"/>
    </i>
    <i>
      <x v="222"/>
    </i>
    <i>
      <x v="81"/>
    </i>
    <i>
      <x v="200"/>
    </i>
    <i>
      <x v="67"/>
    </i>
    <i>
      <x v="38"/>
    </i>
    <i>
      <x v="191"/>
    </i>
    <i>
      <x v="45"/>
    </i>
    <i>
      <x v="178"/>
    </i>
    <i>
      <x v="55"/>
    </i>
    <i>
      <x v="189"/>
    </i>
    <i>
      <x v="131"/>
    </i>
    <i>
      <x v="75"/>
    </i>
    <i>
      <x v="146"/>
    </i>
    <i>
      <x v="51"/>
    </i>
    <i>
      <x v="111"/>
    </i>
    <i>
      <x v="37"/>
    </i>
    <i>
      <x v="220"/>
    </i>
    <i>
      <x v="212"/>
    </i>
    <i>
      <x v="62"/>
    </i>
    <i>
      <x v="205"/>
    </i>
    <i>
      <x v="165"/>
    </i>
    <i>
      <x v="198"/>
    </i>
    <i>
      <x v="213"/>
    </i>
    <i>
      <x v="5"/>
    </i>
    <i>
      <x v="109"/>
    </i>
    <i>
      <x v="93"/>
    </i>
    <i>
      <x v="161"/>
    </i>
    <i>
      <x v="168"/>
    </i>
    <i>
      <x v="226"/>
    </i>
    <i>
      <x v="113"/>
    </i>
    <i>
      <x v="8"/>
    </i>
    <i>
      <x v="31"/>
    </i>
    <i>
      <x v="1"/>
    </i>
    <i>
      <x v="52"/>
    </i>
    <i>
      <x v="153"/>
    </i>
    <i>
      <x v="188"/>
    </i>
    <i>
      <x v="135"/>
    </i>
    <i>
      <x v="167"/>
    </i>
    <i>
      <x v="126"/>
    </i>
    <i>
      <x v="86"/>
    </i>
    <i>
      <x v="140"/>
    </i>
    <i>
      <x v="218"/>
    </i>
    <i>
      <x v="158"/>
    </i>
    <i>
      <x v="94"/>
    </i>
    <i>
      <x v="35"/>
    </i>
    <i>
      <x v="206"/>
    </i>
    <i>
      <x v="108"/>
    </i>
    <i>
      <x v="125"/>
    </i>
    <i>
      <x v="130"/>
    </i>
    <i>
      <x v="183"/>
    </i>
    <i>
      <x v="134"/>
    </i>
    <i>
      <x v="74"/>
    </i>
    <i>
      <x v="196"/>
    </i>
    <i>
      <x v="119"/>
    </i>
    <i>
      <x v="76"/>
    </i>
    <i>
      <x v="118"/>
    </i>
    <i>
      <x v="28"/>
    </i>
    <i t="grand">
      <x/>
    </i>
  </rowItems>
  <colFields count="1">
    <field x="5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умма по полю Сумма сделки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8"/>
  <sheetViews>
    <sheetView workbookViewId="0">
      <selection activeCell="B2555" sqref="B2555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1"/>
    </row>
    <row r="2" spans="1:5">
      <c r="A2" t="s">
        <v>4</v>
      </c>
      <c r="B2" t="s">
        <v>60</v>
      </c>
      <c r="C2" s="8">
        <v>46023</v>
      </c>
      <c r="D2" s="9">
        <v>23669</v>
      </c>
    </row>
    <row r="3" spans="1:5">
      <c r="A3" t="s">
        <v>4</v>
      </c>
      <c r="B3" t="s">
        <v>61</v>
      </c>
      <c r="C3" s="8">
        <v>46023</v>
      </c>
      <c r="D3" s="9">
        <v>31702</v>
      </c>
    </row>
    <row r="4" spans="1:5">
      <c r="A4" t="s">
        <v>28</v>
      </c>
      <c r="B4" t="s">
        <v>62</v>
      </c>
      <c r="C4" s="8">
        <v>46023</v>
      </c>
      <c r="D4" s="9">
        <v>11340</v>
      </c>
    </row>
    <row r="5" spans="1:5">
      <c r="A5" t="s">
        <v>30</v>
      </c>
      <c r="B5" t="s">
        <v>63</v>
      </c>
      <c r="C5" s="8">
        <v>46023</v>
      </c>
      <c r="D5" s="9">
        <v>11664</v>
      </c>
    </row>
    <row r="6" spans="1:5">
      <c r="A6" t="s">
        <v>8</v>
      </c>
      <c r="B6" t="s">
        <v>64</v>
      </c>
      <c r="C6" s="8">
        <v>46023</v>
      </c>
      <c r="D6" s="9">
        <v>14687</v>
      </c>
    </row>
    <row r="7" spans="1:5">
      <c r="A7" t="s">
        <v>7</v>
      </c>
      <c r="B7" t="s">
        <v>65</v>
      </c>
      <c r="C7" s="8">
        <v>46023</v>
      </c>
      <c r="D7" s="9">
        <v>39150</v>
      </c>
    </row>
    <row r="8" spans="1:5">
      <c r="A8" t="s">
        <v>7</v>
      </c>
      <c r="B8" t="s">
        <v>66</v>
      </c>
      <c r="C8" s="8">
        <v>46023</v>
      </c>
      <c r="D8" s="9">
        <v>9609</v>
      </c>
    </row>
    <row r="9" spans="1:5">
      <c r="A9" t="s">
        <v>4</v>
      </c>
      <c r="B9" t="s">
        <v>67</v>
      </c>
      <c r="C9" s="8">
        <v>46024</v>
      </c>
      <c r="D9" s="9">
        <v>29653</v>
      </c>
    </row>
    <row r="10" spans="1:5">
      <c r="A10" t="s">
        <v>31</v>
      </c>
      <c r="B10" t="s">
        <v>68</v>
      </c>
      <c r="C10" s="8">
        <v>46024</v>
      </c>
      <c r="D10" s="9">
        <v>8474</v>
      </c>
    </row>
    <row r="11" spans="1:5">
      <c r="A11" t="s">
        <v>7</v>
      </c>
      <c r="B11" t="s">
        <v>69</v>
      </c>
      <c r="C11" s="8">
        <v>46024</v>
      </c>
      <c r="D11" s="9">
        <v>38539</v>
      </c>
    </row>
    <row r="12" spans="1:5">
      <c r="A12" t="s">
        <v>9</v>
      </c>
      <c r="B12" t="s">
        <v>70</v>
      </c>
      <c r="C12" s="8">
        <v>46024</v>
      </c>
      <c r="D12" s="9">
        <v>30855</v>
      </c>
    </row>
    <row r="13" spans="1:5">
      <c r="A13" t="s">
        <v>9</v>
      </c>
      <c r="B13" t="s">
        <v>71</v>
      </c>
      <c r="C13" s="8">
        <v>46024</v>
      </c>
      <c r="D13" s="9">
        <v>47320</v>
      </c>
    </row>
    <row r="14" spans="1:5">
      <c r="A14" t="s">
        <v>5</v>
      </c>
      <c r="B14" t="s">
        <v>72</v>
      </c>
      <c r="C14" s="8">
        <v>46024</v>
      </c>
      <c r="D14" s="9">
        <v>53081</v>
      </c>
    </row>
    <row r="15" spans="1:5">
      <c r="A15" t="s">
        <v>5</v>
      </c>
      <c r="B15" t="s">
        <v>73</v>
      </c>
      <c r="C15" s="8">
        <v>46024</v>
      </c>
      <c r="D15" s="9">
        <v>48838</v>
      </c>
    </row>
    <row r="16" spans="1:5">
      <c r="A16" t="s">
        <v>5</v>
      </c>
      <c r="B16" t="s">
        <v>74</v>
      </c>
      <c r="C16" s="8">
        <v>46024</v>
      </c>
      <c r="D16" s="9">
        <v>49009</v>
      </c>
    </row>
    <row r="17" spans="1:4">
      <c r="A17" t="s">
        <v>5</v>
      </c>
      <c r="B17" t="s">
        <v>61</v>
      </c>
      <c r="C17" s="8">
        <v>46024</v>
      </c>
      <c r="D17" s="9">
        <v>40203</v>
      </c>
    </row>
    <row r="18" spans="1:4">
      <c r="A18" t="s">
        <v>4</v>
      </c>
      <c r="B18" t="s">
        <v>75</v>
      </c>
      <c r="C18" s="8">
        <v>46025</v>
      </c>
      <c r="D18" s="9">
        <v>7030</v>
      </c>
    </row>
    <row r="19" spans="1:4">
      <c r="A19" t="s">
        <v>4</v>
      </c>
      <c r="B19" t="s">
        <v>76</v>
      </c>
      <c r="C19" s="8">
        <v>46025</v>
      </c>
      <c r="D19" s="9">
        <v>22347</v>
      </c>
    </row>
    <row r="20" spans="1:4">
      <c r="A20" t="s">
        <v>31</v>
      </c>
      <c r="B20" t="s">
        <v>77</v>
      </c>
      <c r="C20" s="8">
        <v>46025</v>
      </c>
      <c r="D20" s="9">
        <v>26765</v>
      </c>
    </row>
    <row r="21" spans="1:4">
      <c r="A21" t="s">
        <v>26</v>
      </c>
      <c r="B21" t="s">
        <v>78</v>
      </c>
      <c r="C21" s="8">
        <v>46025</v>
      </c>
      <c r="D21" s="9">
        <v>9697</v>
      </c>
    </row>
    <row r="22" spans="1:4">
      <c r="A22" t="s">
        <v>8</v>
      </c>
      <c r="B22" t="s">
        <v>79</v>
      </c>
      <c r="C22" s="8">
        <v>46025</v>
      </c>
      <c r="D22" s="9">
        <v>19022</v>
      </c>
    </row>
    <row r="23" spans="1:4">
      <c r="A23" t="s">
        <v>6</v>
      </c>
      <c r="B23" t="s">
        <v>80</v>
      </c>
      <c r="C23" s="8">
        <v>46025</v>
      </c>
      <c r="D23" s="9">
        <v>27885</v>
      </c>
    </row>
    <row r="24" spans="1:4">
      <c r="A24" t="s">
        <v>37</v>
      </c>
      <c r="B24" t="s">
        <v>81</v>
      </c>
      <c r="C24" s="8">
        <v>46025</v>
      </c>
      <c r="D24" s="9">
        <v>14801</v>
      </c>
    </row>
    <row r="25" spans="1:4">
      <c r="A25" t="s">
        <v>9</v>
      </c>
      <c r="B25" t="s">
        <v>82</v>
      </c>
      <c r="C25" s="8">
        <v>46025</v>
      </c>
      <c r="D25" s="9">
        <v>38182</v>
      </c>
    </row>
    <row r="26" spans="1:4">
      <c r="A26" t="s">
        <v>9</v>
      </c>
      <c r="B26" t="s">
        <v>83</v>
      </c>
      <c r="C26" s="8">
        <v>46025</v>
      </c>
      <c r="D26" s="9">
        <v>33655</v>
      </c>
    </row>
    <row r="27" spans="1:4">
      <c r="A27" t="s">
        <v>5</v>
      </c>
      <c r="B27" t="s">
        <v>84</v>
      </c>
      <c r="C27" s="8">
        <v>46025</v>
      </c>
      <c r="D27" s="9">
        <v>47115</v>
      </c>
    </row>
    <row r="28" spans="1:4">
      <c r="A28" t="s">
        <v>5</v>
      </c>
      <c r="B28" t="s">
        <v>58</v>
      </c>
      <c r="C28" s="8">
        <v>46025</v>
      </c>
      <c r="D28" s="9">
        <v>48000</v>
      </c>
    </row>
    <row r="29" spans="1:4">
      <c r="A29" t="s">
        <v>4</v>
      </c>
      <c r="B29" t="s">
        <v>85</v>
      </c>
      <c r="C29" s="8">
        <v>46026</v>
      </c>
      <c r="D29" s="9">
        <v>7009</v>
      </c>
    </row>
    <row r="30" spans="1:4">
      <c r="A30" t="s">
        <v>25</v>
      </c>
      <c r="B30" t="s">
        <v>86</v>
      </c>
      <c r="C30" s="8">
        <v>46026</v>
      </c>
      <c r="D30" s="9">
        <v>14238</v>
      </c>
    </row>
    <row r="31" spans="1:4">
      <c r="A31" t="s">
        <v>32</v>
      </c>
      <c r="B31" t="s">
        <v>87</v>
      </c>
      <c r="C31" s="8">
        <v>46026</v>
      </c>
      <c r="D31" s="9">
        <v>11165</v>
      </c>
    </row>
    <row r="32" spans="1:4">
      <c r="A32" t="s">
        <v>6</v>
      </c>
      <c r="B32" t="s">
        <v>88</v>
      </c>
      <c r="C32" s="8">
        <v>46026</v>
      </c>
      <c r="D32" s="9">
        <v>17035</v>
      </c>
    </row>
    <row r="33" spans="1:4">
      <c r="A33" t="s">
        <v>7</v>
      </c>
      <c r="B33" t="s">
        <v>89</v>
      </c>
      <c r="C33" s="8">
        <v>46026</v>
      </c>
      <c r="D33" s="9">
        <v>19433</v>
      </c>
    </row>
    <row r="34" spans="1:4">
      <c r="A34" t="s">
        <v>7</v>
      </c>
      <c r="B34" t="s">
        <v>90</v>
      </c>
      <c r="C34" s="8">
        <v>46026</v>
      </c>
      <c r="D34" s="9">
        <v>7267</v>
      </c>
    </row>
    <row r="35" spans="1:4">
      <c r="A35" t="s">
        <v>9</v>
      </c>
      <c r="B35" t="s">
        <v>91</v>
      </c>
      <c r="C35" s="8">
        <v>46026</v>
      </c>
      <c r="D35" s="9">
        <v>32204</v>
      </c>
    </row>
    <row r="36" spans="1:4">
      <c r="A36" t="s">
        <v>5</v>
      </c>
      <c r="B36" t="s">
        <v>92</v>
      </c>
      <c r="C36" s="8">
        <v>46026</v>
      </c>
      <c r="D36" s="9">
        <v>34177</v>
      </c>
    </row>
    <row r="37" spans="1:4">
      <c r="A37" t="s">
        <v>5</v>
      </c>
      <c r="B37" t="s">
        <v>93</v>
      </c>
      <c r="C37" s="8">
        <v>46026</v>
      </c>
      <c r="D37" s="9">
        <v>48645</v>
      </c>
    </row>
    <row r="38" spans="1:4">
      <c r="A38" t="s">
        <v>35</v>
      </c>
      <c r="B38" t="s">
        <v>94</v>
      </c>
      <c r="C38" s="8">
        <v>46027</v>
      </c>
      <c r="D38" s="9">
        <v>8917</v>
      </c>
    </row>
    <row r="39" spans="1:4">
      <c r="A39" t="s">
        <v>26</v>
      </c>
      <c r="B39" t="s">
        <v>95</v>
      </c>
      <c r="C39" s="8">
        <v>46027</v>
      </c>
      <c r="D39" s="9">
        <v>19694</v>
      </c>
    </row>
    <row r="40" spans="1:4">
      <c r="A40" t="s">
        <v>9</v>
      </c>
      <c r="B40" t="s">
        <v>96</v>
      </c>
      <c r="C40" s="8">
        <v>46027</v>
      </c>
      <c r="D40" s="9">
        <v>28094</v>
      </c>
    </row>
    <row r="41" spans="1:4">
      <c r="A41" t="s">
        <v>5</v>
      </c>
      <c r="B41" t="s">
        <v>97</v>
      </c>
      <c r="C41" s="8">
        <v>46027</v>
      </c>
      <c r="D41" s="9">
        <v>55787</v>
      </c>
    </row>
    <row r="42" spans="1:4">
      <c r="A42" t="s">
        <v>5</v>
      </c>
      <c r="B42" t="s">
        <v>98</v>
      </c>
      <c r="C42" s="8">
        <v>46027</v>
      </c>
      <c r="D42" s="9">
        <v>28935</v>
      </c>
    </row>
    <row r="43" spans="1:4">
      <c r="A43" t="s">
        <v>5</v>
      </c>
      <c r="B43" t="s">
        <v>74</v>
      </c>
      <c r="C43" s="8">
        <v>46027</v>
      </c>
      <c r="D43" s="9">
        <v>34285</v>
      </c>
    </row>
    <row r="44" spans="1:4">
      <c r="A44" t="s">
        <v>5</v>
      </c>
      <c r="B44" t="s">
        <v>99</v>
      </c>
      <c r="C44" s="8">
        <v>46027</v>
      </c>
      <c r="D44" s="9">
        <v>27476</v>
      </c>
    </row>
    <row r="45" spans="1:4">
      <c r="A45" t="s">
        <v>5</v>
      </c>
      <c r="B45" t="s">
        <v>100</v>
      </c>
      <c r="C45" s="8">
        <v>46027</v>
      </c>
      <c r="D45" s="9">
        <v>20629</v>
      </c>
    </row>
    <row r="46" spans="1:4">
      <c r="A46" t="s">
        <v>4</v>
      </c>
      <c r="B46" t="s">
        <v>101</v>
      </c>
      <c r="C46" s="8">
        <v>46028</v>
      </c>
      <c r="D46" s="9">
        <v>31439</v>
      </c>
    </row>
    <row r="47" spans="1:4">
      <c r="A47" t="s">
        <v>25</v>
      </c>
      <c r="B47" t="s">
        <v>55</v>
      </c>
      <c r="C47" s="8">
        <v>46028</v>
      </c>
      <c r="D47" s="9">
        <v>17182</v>
      </c>
    </row>
    <row r="48" spans="1:4">
      <c r="A48" t="s">
        <v>26</v>
      </c>
      <c r="B48" t="s">
        <v>102</v>
      </c>
      <c r="C48" s="8">
        <v>46028</v>
      </c>
      <c r="D48" s="9">
        <v>15522</v>
      </c>
    </row>
    <row r="49" spans="1:4">
      <c r="A49" t="s">
        <v>6</v>
      </c>
      <c r="B49" t="s">
        <v>103</v>
      </c>
      <c r="C49" s="8">
        <v>46028</v>
      </c>
      <c r="D49" s="9">
        <v>26791</v>
      </c>
    </row>
    <row r="50" spans="1:4">
      <c r="A50" t="s">
        <v>29</v>
      </c>
      <c r="B50" t="s">
        <v>104</v>
      </c>
      <c r="C50" s="8">
        <v>46028</v>
      </c>
      <c r="D50" s="9">
        <v>12631</v>
      </c>
    </row>
    <row r="51" spans="1:4">
      <c r="A51" t="s">
        <v>7</v>
      </c>
      <c r="B51" t="s">
        <v>105</v>
      </c>
      <c r="C51" s="8">
        <v>46028</v>
      </c>
      <c r="D51" s="9">
        <v>26113</v>
      </c>
    </row>
    <row r="52" spans="1:4">
      <c r="A52" t="s">
        <v>5</v>
      </c>
      <c r="B52" t="s">
        <v>106</v>
      </c>
      <c r="C52" s="8">
        <v>46028</v>
      </c>
      <c r="D52" s="9">
        <v>31463</v>
      </c>
    </row>
    <row r="53" spans="1:4">
      <c r="A53" t="s">
        <v>5</v>
      </c>
      <c r="B53" t="s">
        <v>92</v>
      </c>
      <c r="C53" s="8">
        <v>46028</v>
      </c>
      <c r="D53" s="9">
        <v>40304</v>
      </c>
    </row>
    <row r="54" spans="1:4">
      <c r="A54" t="s">
        <v>5</v>
      </c>
      <c r="B54" t="s">
        <v>107</v>
      </c>
      <c r="C54" s="8">
        <v>46028</v>
      </c>
      <c r="D54" s="9">
        <v>58773</v>
      </c>
    </row>
    <row r="55" spans="1:4">
      <c r="A55" t="s">
        <v>5</v>
      </c>
      <c r="B55" t="s">
        <v>93</v>
      </c>
      <c r="C55" s="8">
        <v>46028</v>
      </c>
      <c r="D55" s="9">
        <v>39904</v>
      </c>
    </row>
    <row r="56" spans="1:4">
      <c r="A56" t="s">
        <v>5</v>
      </c>
      <c r="B56" t="s">
        <v>108</v>
      </c>
      <c r="C56" s="8">
        <v>46028</v>
      </c>
      <c r="D56" s="9">
        <v>32515</v>
      </c>
    </row>
    <row r="57" spans="1:4">
      <c r="A57" t="s">
        <v>5</v>
      </c>
      <c r="B57" t="s">
        <v>109</v>
      </c>
      <c r="C57" s="8">
        <v>46028</v>
      </c>
      <c r="D57" s="9">
        <v>57276</v>
      </c>
    </row>
    <row r="58" spans="1:4">
      <c r="A58" t="s">
        <v>38</v>
      </c>
      <c r="B58" t="s">
        <v>110</v>
      </c>
      <c r="C58" s="8">
        <v>46029</v>
      </c>
      <c r="D58" s="9">
        <v>12199</v>
      </c>
    </row>
    <row r="59" spans="1:4">
      <c r="A59" t="s">
        <v>4</v>
      </c>
      <c r="B59" t="s">
        <v>111</v>
      </c>
      <c r="C59" s="8">
        <v>46029</v>
      </c>
      <c r="D59" s="9">
        <v>51900</v>
      </c>
    </row>
    <row r="60" spans="1:4">
      <c r="A60" t="s">
        <v>29</v>
      </c>
      <c r="B60" t="s">
        <v>112</v>
      </c>
      <c r="C60" s="8">
        <v>46029</v>
      </c>
      <c r="D60" s="9">
        <v>11328</v>
      </c>
    </row>
    <row r="61" spans="1:4">
      <c r="A61" t="s">
        <v>9</v>
      </c>
      <c r="B61" t="s">
        <v>113</v>
      </c>
      <c r="C61" s="8">
        <v>46029</v>
      </c>
      <c r="D61" s="9">
        <v>21359</v>
      </c>
    </row>
    <row r="62" spans="1:4">
      <c r="A62" t="s">
        <v>5</v>
      </c>
      <c r="B62" t="s">
        <v>114</v>
      </c>
      <c r="C62" s="8">
        <v>46029</v>
      </c>
      <c r="D62" s="9">
        <v>28208</v>
      </c>
    </row>
    <row r="63" spans="1:4">
      <c r="A63" t="s">
        <v>5</v>
      </c>
      <c r="B63" t="s">
        <v>53</v>
      </c>
      <c r="C63" s="8">
        <v>46029</v>
      </c>
      <c r="D63" s="9">
        <v>48671</v>
      </c>
    </row>
    <row r="64" spans="1:4">
      <c r="A64" t="s">
        <v>5</v>
      </c>
      <c r="B64" t="s">
        <v>97</v>
      </c>
      <c r="C64" s="8">
        <v>46029</v>
      </c>
      <c r="D64" s="9">
        <v>44820</v>
      </c>
    </row>
    <row r="65" spans="1:4">
      <c r="A65" t="s">
        <v>5</v>
      </c>
      <c r="B65" t="s">
        <v>115</v>
      </c>
      <c r="C65" s="8">
        <v>46029</v>
      </c>
      <c r="D65" s="9">
        <v>27095</v>
      </c>
    </row>
    <row r="66" spans="1:4">
      <c r="A66" t="s">
        <v>5</v>
      </c>
      <c r="B66" t="s">
        <v>54</v>
      </c>
      <c r="C66" s="8">
        <v>46029</v>
      </c>
      <c r="D66" s="9">
        <v>39491</v>
      </c>
    </row>
    <row r="67" spans="1:4">
      <c r="A67" t="s">
        <v>5</v>
      </c>
      <c r="B67" t="s">
        <v>109</v>
      </c>
      <c r="C67" s="8">
        <v>46029</v>
      </c>
      <c r="D67" s="9">
        <v>44782</v>
      </c>
    </row>
    <row r="68" spans="1:4">
      <c r="A68" t="s">
        <v>4</v>
      </c>
      <c r="B68" t="s">
        <v>116</v>
      </c>
      <c r="C68" s="8">
        <v>46030</v>
      </c>
      <c r="D68" s="9">
        <v>29767</v>
      </c>
    </row>
    <row r="69" spans="1:4">
      <c r="A69" t="s">
        <v>25</v>
      </c>
      <c r="B69" t="s">
        <v>117</v>
      </c>
      <c r="C69" s="8">
        <v>46030</v>
      </c>
      <c r="D69" s="9">
        <v>13737</v>
      </c>
    </row>
    <row r="70" spans="1:4">
      <c r="A70" t="s">
        <v>28</v>
      </c>
      <c r="B70" t="s">
        <v>118</v>
      </c>
      <c r="C70" s="8">
        <v>46030</v>
      </c>
      <c r="D70" s="9">
        <v>11899</v>
      </c>
    </row>
    <row r="71" spans="1:4">
      <c r="A71" t="s">
        <v>26</v>
      </c>
      <c r="B71" t="s">
        <v>119</v>
      </c>
      <c r="C71" s="8">
        <v>46030</v>
      </c>
      <c r="D71" s="9">
        <v>5200</v>
      </c>
    </row>
    <row r="72" spans="1:4">
      <c r="A72" t="s">
        <v>6</v>
      </c>
      <c r="B72" t="s">
        <v>120</v>
      </c>
      <c r="C72" s="8">
        <v>46030</v>
      </c>
      <c r="D72" s="9">
        <v>16659</v>
      </c>
    </row>
    <row r="73" spans="1:4">
      <c r="A73" t="s">
        <v>29</v>
      </c>
      <c r="B73" t="s">
        <v>121</v>
      </c>
      <c r="C73" s="8">
        <v>46030</v>
      </c>
      <c r="D73" s="9">
        <v>5200</v>
      </c>
    </row>
    <row r="74" spans="1:4">
      <c r="A74" t="s">
        <v>7</v>
      </c>
      <c r="B74" t="s">
        <v>122</v>
      </c>
      <c r="C74" s="8">
        <v>46030</v>
      </c>
      <c r="D74" s="9">
        <v>6843</v>
      </c>
    </row>
    <row r="75" spans="1:4">
      <c r="A75" t="s">
        <v>5</v>
      </c>
      <c r="B75" t="s">
        <v>123</v>
      </c>
      <c r="C75" s="8">
        <v>46030</v>
      </c>
      <c r="D75" s="9">
        <v>48670</v>
      </c>
    </row>
    <row r="76" spans="1:4">
      <c r="A76" t="s">
        <v>5</v>
      </c>
      <c r="B76" t="s">
        <v>124</v>
      </c>
      <c r="C76" s="8">
        <v>46030</v>
      </c>
      <c r="D76" s="9">
        <v>37671</v>
      </c>
    </row>
    <row r="77" spans="1:4">
      <c r="A77" t="s">
        <v>27</v>
      </c>
      <c r="B77" t="s">
        <v>125</v>
      </c>
      <c r="C77" s="8">
        <v>46031</v>
      </c>
      <c r="D77" s="9">
        <v>10652</v>
      </c>
    </row>
    <row r="78" spans="1:4">
      <c r="A78" t="s">
        <v>4</v>
      </c>
      <c r="B78" t="s">
        <v>126</v>
      </c>
      <c r="C78" s="8">
        <v>46031</v>
      </c>
      <c r="D78" s="9">
        <v>27572</v>
      </c>
    </row>
    <row r="79" spans="1:4">
      <c r="A79" t="s">
        <v>4</v>
      </c>
      <c r="B79" t="s">
        <v>127</v>
      </c>
      <c r="C79" s="8">
        <v>46031</v>
      </c>
      <c r="D79" s="9">
        <v>23255</v>
      </c>
    </row>
    <row r="80" spans="1:4">
      <c r="A80" t="s">
        <v>25</v>
      </c>
      <c r="B80" t="s">
        <v>128</v>
      </c>
      <c r="C80" s="8">
        <v>46031</v>
      </c>
      <c r="D80" s="9">
        <v>5200</v>
      </c>
    </row>
    <row r="81" spans="1:4">
      <c r="A81" t="s">
        <v>8</v>
      </c>
      <c r="B81" t="s">
        <v>129</v>
      </c>
      <c r="C81" s="8">
        <v>46031</v>
      </c>
      <c r="D81" s="9">
        <v>11993</v>
      </c>
    </row>
    <row r="82" spans="1:4">
      <c r="A82" t="s">
        <v>6</v>
      </c>
      <c r="B82" t="s">
        <v>130</v>
      </c>
      <c r="C82" s="8">
        <v>46031</v>
      </c>
      <c r="D82" s="9">
        <v>18320</v>
      </c>
    </row>
    <row r="83" spans="1:4">
      <c r="A83" t="s">
        <v>6</v>
      </c>
      <c r="B83" t="s">
        <v>131</v>
      </c>
      <c r="C83" s="8">
        <v>46031</v>
      </c>
      <c r="D83" s="9">
        <v>17727</v>
      </c>
    </row>
    <row r="84" spans="1:4">
      <c r="A84" t="s">
        <v>9</v>
      </c>
      <c r="B84" t="s">
        <v>132</v>
      </c>
      <c r="C84" s="8">
        <v>46031</v>
      </c>
      <c r="D84" s="9">
        <v>46384</v>
      </c>
    </row>
    <row r="85" spans="1:4">
      <c r="A85" t="s">
        <v>5</v>
      </c>
      <c r="B85" t="s">
        <v>133</v>
      </c>
      <c r="C85" s="8">
        <v>46031</v>
      </c>
      <c r="D85" s="9">
        <v>35355</v>
      </c>
    </row>
    <row r="86" spans="1:4">
      <c r="A86" t="s">
        <v>5</v>
      </c>
      <c r="B86" t="s">
        <v>134</v>
      </c>
      <c r="C86" s="8">
        <v>46031</v>
      </c>
      <c r="D86" s="9">
        <v>37524</v>
      </c>
    </row>
    <row r="87" spans="1:4">
      <c r="A87" t="s">
        <v>27</v>
      </c>
      <c r="B87" t="s">
        <v>135</v>
      </c>
      <c r="C87" s="8">
        <v>46032</v>
      </c>
      <c r="D87" s="9">
        <v>13700</v>
      </c>
    </row>
    <row r="88" spans="1:4">
      <c r="A88" t="s">
        <v>4</v>
      </c>
      <c r="B88" t="s">
        <v>136</v>
      </c>
      <c r="C88" s="8">
        <v>46032</v>
      </c>
      <c r="D88" s="9">
        <v>6117</v>
      </c>
    </row>
    <row r="89" spans="1:4">
      <c r="A89" t="s">
        <v>4</v>
      </c>
      <c r="B89" t="s">
        <v>137</v>
      </c>
      <c r="C89" s="8">
        <v>46032</v>
      </c>
      <c r="D89" s="9">
        <v>44034</v>
      </c>
    </row>
    <row r="90" spans="1:4">
      <c r="A90" t="s">
        <v>25</v>
      </c>
      <c r="B90" t="s">
        <v>59</v>
      </c>
      <c r="C90" s="8">
        <v>46032</v>
      </c>
      <c r="D90" s="9">
        <v>12745</v>
      </c>
    </row>
    <row r="91" spans="1:4">
      <c r="A91" t="s">
        <v>26</v>
      </c>
      <c r="B91" t="s">
        <v>138</v>
      </c>
      <c r="C91" s="8">
        <v>46032</v>
      </c>
      <c r="D91" s="9">
        <v>13392</v>
      </c>
    </row>
    <row r="92" spans="1:4">
      <c r="A92" t="s">
        <v>30</v>
      </c>
      <c r="B92" t="s">
        <v>139</v>
      </c>
      <c r="C92" s="8">
        <v>46032</v>
      </c>
      <c r="D92" s="9">
        <v>10633</v>
      </c>
    </row>
    <row r="93" spans="1:4">
      <c r="A93" t="s">
        <v>8</v>
      </c>
      <c r="B93" t="s">
        <v>140</v>
      </c>
      <c r="C93" s="8">
        <v>46032</v>
      </c>
      <c r="D93" s="9">
        <v>14195</v>
      </c>
    </row>
    <row r="94" spans="1:4">
      <c r="A94" t="s">
        <v>6</v>
      </c>
      <c r="B94" t="s">
        <v>141</v>
      </c>
      <c r="C94" s="8">
        <v>46032</v>
      </c>
      <c r="D94" s="9">
        <v>17202</v>
      </c>
    </row>
    <row r="95" spans="1:4">
      <c r="A95" t="s">
        <v>7</v>
      </c>
      <c r="B95" t="s">
        <v>142</v>
      </c>
      <c r="C95" s="8">
        <v>46032</v>
      </c>
      <c r="D95" s="9">
        <v>16289</v>
      </c>
    </row>
    <row r="96" spans="1:4">
      <c r="A96" t="s">
        <v>9</v>
      </c>
      <c r="B96" t="s">
        <v>143</v>
      </c>
      <c r="C96" s="8">
        <v>46032</v>
      </c>
      <c r="D96" s="9">
        <v>35669</v>
      </c>
    </row>
    <row r="97" spans="1:4">
      <c r="A97" t="s">
        <v>9</v>
      </c>
      <c r="B97" t="s">
        <v>144</v>
      </c>
      <c r="C97" s="8">
        <v>46032</v>
      </c>
      <c r="D97" s="9">
        <v>22592</v>
      </c>
    </row>
    <row r="98" spans="1:4">
      <c r="A98" t="s">
        <v>5</v>
      </c>
      <c r="B98" t="s">
        <v>123</v>
      </c>
      <c r="C98" s="8">
        <v>46032</v>
      </c>
      <c r="D98" s="9">
        <v>30810</v>
      </c>
    </row>
    <row r="99" spans="1:4">
      <c r="A99" t="s">
        <v>5</v>
      </c>
      <c r="B99" t="s">
        <v>145</v>
      </c>
      <c r="C99" s="8">
        <v>46032</v>
      </c>
      <c r="D99" s="9">
        <v>55158</v>
      </c>
    </row>
    <row r="100" spans="1:4">
      <c r="A100" t="s">
        <v>5</v>
      </c>
      <c r="B100" t="s">
        <v>101</v>
      </c>
      <c r="C100" s="8">
        <v>46032</v>
      </c>
      <c r="D100" s="9">
        <v>29935</v>
      </c>
    </row>
    <row r="101" spans="1:4">
      <c r="A101" t="s">
        <v>5</v>
      </c>
      <c r="B101" t="s">
        <v>93</v>
      </c>
      <c r="C101" s="8">
        <v>46032</v>
      </c>
      <c r="D101" s="9">
        <v>48213</v>
      </c>
    </row>
    <row r="102" spans="1:4">
      <c r="A102" t="s">
        <v>4</v>
      </c>
      <c r="B102" t="s">
        <v>146</v>
      </c>
      <c r="C102" s="8">
        <v>46033</v>
      </c>
      <c r="D102" s="9">
        <v>23190</v>
      </c>
    </row>
    <row r="103" spans="1:4">
      <c r="A103" t="s">
        <v>8</v>
      </c>
      <c r="B103" t="s">
        <v>147</v>
      </c>
      <c r="C103" s="8">
        <v>46033</v>
      </c>
      <c r="D103" s="9">
        <v>15736</v>
      </c>
    </row>
    <row r="104" spans="1:4">
      <c r="A104" t="s">
        <v>9</v>
      </c>
      <c r="B104" t="s">
        <v>148</v>
      </c>
      <c r="C104" s="8">
        <v>46033</v>
      </c>
      <c r="D104" s="9">
        <v>45620</v>
      </c>
    </row>
    <row r="105" spans="1:4">
      <c r="A105" t="s">
        <v>5</v>
      </c>
      <c r="B105" t="s">
        <v>106</v>
      </c>
      <c r="C105" s="8">
        <v>46033</v>
      </c>
      <c r="D105" s="9">
        <v>39256</v>
      </c>
    </row>
    <row r="106" spans="1:4">
      <c r="A106" t="s">
        <v>5</v>
      </c>
      <c r="B106" t="s">
        <v>93</v>
      </c>
      <c r="C106" s="8">
        <v>46033</v>
      </c>
      <c r="D106" s="9">
        <v>42770</v>
      </c>
    </row>
    <row r="107" spans="1:4">
      <c r="A107" t="s">
        <v>27</v>
      </c>
      <c r="B107" t="s">
        <v>149</v>
      </c>
      <c r="C107" s="8">
        <v>46034</v>
      </c>
      <c r="D107" s="9">
        <v>12316</v>
      </c>
    </row>
    <row r="108" spans="1:4">
      <c r="A108" t="s">
        <v>4</v>
      </c>
      <c r="B108" t="s">
        <v>150</v>
      </c>
      <c r="C108" s="8">
        <v>46034</v>
      </c>
      <c r="D108" s="9">
        <v>36121</v>
      </c>
    </row>
    <row r="109" spans="1:4">
      <c r="A109" t="s">
        <v>4</v>
      </c>
      <c r="B109" t="s">
        <v>151</v>
      </c>
      <c r="C109" s="8">
        <v>46034</v>
      </c>
      <c r="D109" s="9">
        <v>22573</v>
      </c>
    </row>
    <row r="110" spans="1:4">
      <c r="A110" t="s">
        <v>31</v>
      </c>
      <c r="B110" t="s">
        <v>152</v>
      </c>
      <c r="C110" s="8">
        <v>46034</v>
      </c>
      <c r="D110" s="9">
        <v>13424</v>
      </c>
    </row>
    <row r="111" spans="1:4">
      <c r="A111" t="s">
        <v>31</v>
      </c>
      <c r="B111" t="s">
        <v>48</v>
      </c>
      <c r="C111" s="8">
        <v>46034</v>
      </c>
      <c r="D111" s="9">
        <v>11887</v>
      </c>
    </row>
    <row r="112" spans="1:4">
      <c r="A112" t="s">
        <v>25</v>
      </c>
      <c r="B112" t="s">
        <v>153</v>
      </c>
      <c r="C112" s="8">
        <v>46034</v>
      </c>
      <c r="D112" s="9">
        <v>30073</v>
      </c>
    </row>
    <row r="113" spans="1:4">
      <c r="A113" t="s">
        <v>29</v>
      </c>
      <c r="B113" t="s">
        <v>154</v>
      </c>
      <c r="C113" s="8">
        <v>46034</v>
      </c>
      <c r="D113" s="9">
        <v>10903</v>
      </c>
    </row>
    <row r="114" spans="1:4">
      <c r="A114" t="s">
        <v>29</v>
      </c>
      <c r="B114" t="s">
        <v>155</v>
      </c>
      <c r="C114" s="8">
        <v>46034</v>
      </c>
      <c r="D114" s="9">
        <v>11842</v>
      </c>
    </row>
    <row r="115" spans="1:4">
      <c r="A115" t="s">
        <v>7</v>
      </c>
      <c r="B115" t="s">
        <v>156</v>
      </c>
      <c r="C115" s="8">
        <v>46034</v>
      </c>
      <c r="D115" s="9">
        <v>5222</v>
      </c>
    </row>
    <row r="116" spans="1:4">
      <c r="A116" t="s">
        <v>9</v>
      </c>
      <c r="B116" t="s">
        <v>82</v>
      </c>
      <c r="C116" s="8">
        <v>46034</v>
      </c>
      <c r="D116" s="9">
        <v>37694</v>
      </c>
    </row>
    <row r="117" spans="1:4">
      <c r="A117" t="s">
        <v>9</v>
      </c>
      <c r="B117" t="s">
        <v>157</v>
      </c>
      <c r="C117" s="8">
        <v>46034</v>
      </c>
      <c r="D117" s="9">
        <v>37745</v>
      </c>
    </row>
    <row r="118" spans="1:4">
      <c r="A118" t="s">
        <v>9</v>
      </c>
      <c r="B118" t="s">
        <v>157</v>
      </c>
      <c r="C118" s="8">
        <v>46034</v>
      </c>
      <c r="D118" s="9">
        <v>39005</v>
      </c>
    </row>
    <row r="119" spans="1:4">
      <c r="A119" t="s">
        <v>9</v>
      </c>
      <c r="B119" t="s">
        <v>158</v>
      </c>
      <c r="C119" s="8">
        <v>46034</v>
      </c>
      <c r="D119" s="9">
        <v>30799</v>
      </c>
    </row>
    <row r="120" spans="1:4">
      <c r="A120" t="s">
        <v>9</v>
      </c>
      <c r="B120" t="s">
        <v>158</v>
      </c>
      <c r="C120" s="8">
        <v>46034</v>
      </c>
      <c r="D120" s="9">
        <v>34201</v>
      </c>
    </row>
    <row r="121" spans="1:4">
      <c r="A121" t="s">
        <v>5</v>
      </c>
      <c r="B121" t="s">
        <v>97</v>
      </c>
      <c r="C121" s="8">
        <v>46034</v>
      </c>
      <c r="D121" s="9">
        <v>44491</v>
      </c>
    </row>
    <row r="122" spans="1:4">
      <c r="A122" t="s">
        <v>5</v>
      </c>
      <c r="B122" t="s">
        <v>159</v>
      </c>
      <c r="C122" s="8">
        <v>46034</v>
      </c>
      <c r="D122" s="9">
        <v>47254</v>
      </c>
    </row>
    <row r="123" spans="1:4">
      <c r="A123" t="s">
        <v>4</v>
      </c>
      <c r="B123" t="s">
        <v>160</v>
      </c>
      <c r="C123" s="8">
        <v>46035</v>
      </c>
      <c r="D123" s="9">
        <v>28178</v>
      </c>
    </row>
    <row r="124" spans="1:4">
      <c r="A124" t="s">
        <v>28</v>
      </c>
      <c r="B124" t="s">
        <v>161</v>
      </c>
      <c r="C124" s="8">
        <v>46035</v>
      </c>
      <c r="D124" s="9">
        <v>10607</v>
      </c>
    </row>
    <row r="125" spans="1:4">
      <c r="A125" t="s">
        <v>30</v>
      </c>
      <c r="B125" t="s">
        <v>162</v>
      </c>
      <c r="C125" s="8">
        <v>46035</v>
      </c>
      <c r="D125" s="9">
        <v>11234</v>
      </c>
    </row>
    <row r="126" spans="1:4">
      <c r="A126" t="s">
        <v>29</v>
      </c>
      <c r="B126" t="s">
        <v>163</v>
      </c>
      <c r="C126" s="8">
        <v>46035</v>
      </c>
      <c r="D126" s="9">
        <v>5200</v>
      </c>
    </row>
    <row r="127" spans="1:4">
      <c r="A127" t="s">
        <v>9</v>
      </c>
      <c r="B127" t="s">
        <v>164</v>
      </c>
      <c r="C127" s="8">
        <v>46035</v>
      </c>
      <c r="D127" s="9">
        <v>29501</v>
      </c>
    </row>
    <row r="128" spans="1:4">
      <c r="A128" t="s">
        <v>9</v>
      </c>
      <c r="B128" t="s">
        <v>165</v>
      </c>
      <c r="C128" s="8">
        <v>46035</v>
      </c>
      <c r="D128" s="9">
        <v>38303</v>
      </c>
    </row>
    <row r="129" spans="1:4">
      <c r="A129" t="s">
        <v>5</v>
      </c>
      <c r="B129" t="s">
        <v>166</v>
      </c>
      <c r="C129" s="8">
        <v>46035</v>
      </c>
      <c r="D129" s="9">
        <v>45941</v>
      </c>
    </row>
    <row r="130" spans="1:4">
      <c r="A130" t="s">
        <v>5</v>
      </c>
      <c r="B130" t="s">
        <v>114</v>
      </c>
      <c r="C130" s="8">
        <v>46035</v>
      </c>
      <c r="D130" s="9">
        <v>33727</v>
      </c>
    </row>
    <row r="131" spans="1:4">
      <c r="A131" t="s">
        <v>5</v>
      </c>
      <c r="B131" t="s">
        <v>133</v>
      </c>
      <c r="C131" s="8">
        <v>46035</v>
      </c>
      <c r="D131" s="9">
        <v>35115</v>
      </c>
    </row>
    <row r="132" spans="1:4">
      <c r="A132" t="s">
        <v>5</v>
      </c>
      <c r="B132" t="s">
        <v>167</v>
      </c>
      <c r="C132" s="8">
        <v>46035</v>
      </c>
      <c r="D132" s="9">
        <v>27078</v>
      </c>
    </row>
    <row r="133" spans="1:4">
      <c r="A133" t="s">
        <v>5</v>
      </c>
      <c r="B133" t="s">
        <v>98</v>
      </c>
      <c r="C133" s="8">
        <v>46035</v>
      </c>
      <c r="D133" s="9">
        <v>45470</v>
      </c>
    </row>
    <row r="134" spans="1:4">
      <c r="A134" t="s">
        <v>27</v>
      </c>
      <c r="B134" t="s">
        <v>168</v>
      </c>
      <c r="C134" s="8">
        <v>46036</v>
      </c>
      <c r="D134" s="9">
        <v>12119</v>
      </c>
    </row>
    <row r="135" spans="1:4">
      <c r="A135" t="s">
        <v>34</v>
      </c>
      <c r="B135" t="s">
        <v>169</v>
      </c>
      <c r="C135" s="8">
        <v>46036</v>
      </c>
      <c r="D135" s="9">
        <v>11063</v>
      </c>
    </row>
    <row r="136" spans="1:4">
      <c r="A136" t="s">
        <v>7</v>
      </c>
      <c r="B136" t="s">
        <v>170</v>
      </c>
      <c r="C136" s="8">
        <v>46036</v>
      </c>
      <c r="D136" s="9">
        <v>18334</v>
      </c>
    </row>
    <row r="137" spans="1:4">
      <c r="A137" t="s">
        <v>9</v>
      </c>
      <c r="B137" t="s">
        <v>171</v>
      </c>
      <c r="C137" s="8">
        <v>46036</v>
      </c>
      <c r="D137" s="9">
        <v>41353</v>
      </c>
    </row>
    <row r="138" spans="1:4">
      <c r="A138" t="s">
        <v>5</v>
      </c>
      <c r="B138" t="s">
        <v>172</v>
      </c>
      <c r="C138" s="8">
        <v>46036</v>
      </c>
      <c r="D138" s="9">
        <v>38004</v>
      </c>
    </row>
    <row r="139" spans="1:4">
      <c r="A139" t="s">
        <v>27</v>
      </c>
      <c r="B139" t="s">
        <v>173</v>
      </c>
      <c r="C139" s="8">
        <v>46037</v>
      </c>
      <c r="D139" s="9">
        <v>5200</v>
      </c>
    </row>
    <row r="140" spans="1:4">
      <c r="A140" t="s">
        <v>28</v>
      </c>
      <c r="B140" t="s">
        <v>174</v>
      </c>
      <c r="C140" s="8">
        <v>46037</v>
      </c>
      <c r="D140" s="9">
        <v>22502</v>
      </c>
    </row>
    <row r="141" spans="1:4">
      <c r="A141" t="s">
        <v>7</v>
      </c>
      <c r="B141" t="s">
        <v>175</v>
      </c>
      <c r="C141" s="8">
        <v>46037</v>
      </c>
      <c r="D141" s="9">
        <v>20928</v>
      </c>
    </row>
    <row r="142" spans="1:4">
      <c r="A142" t="s">
        <v>9</v>
      </c>
      <c r="B142" t="s">
        <v>176</v>
      </c>
      <c r="C142" s="8">
        <v>46037</v>
      </c>
      <c r="D142" s="9">
        <v>41622</v>
      </c>
    </row>
    <row r="143" spans="1:4">
      <c r="A143" t="s">
        <v>9</v>
      </c>
      <c r="B143" t="s">
        <v>177</v>
      </c>
      <c r="C143" s="8">
        <v>46037</v>
      </c>
      <c r="D143" s="9">
        <v>31846</v>
      </c>
    </row>
    <row r="144" spans="1:4">
      <c r="A144" t="s">
        <v>9</v>
      </c>
      <c r="B144" t="s">
        <v>172</v>
      </c>
      <c r="C144" s="8">
        <v>46037</v>
      </c>
      <c r="D144" s="9">
        <v>41007</v>
      </c>
    </row>
    <row r="145" spans="1:4">
      <c r="A145" t="s">
        <v>9</v>
      </c>
      <c r="B145" t="s">
        <v>178</v>
      </c>
      <c r="C145" s="8">
        <v>46037</v>
      </c>
      <c r="D145" s="9">
        <v>48337</v>
      </c>
    </row>
    <row r="146" spans="1:4">
      <c r="A146" t="s">
        <v>9</v>
      </c>
      <c r="B146" t="s">
        <v>109</v>
      </c>
      <c r="C146" s="8">
        <v>46037</v>
      </c>
      <c r="D146" s="9">
        <v>55392</v>
      </c>
    </row>
    <row r="147" spans="1:4">
      <c r="A147" t="s">
        <v>9</v>
      </c>
      <c r="B147" t="s">
        <v>179</v>
      </c>
      <c r="C147" s="8">
        <v>46037</v>
      </c>
      <c r="D147" s="9">
        <v>40569</v>
      </c>
    </row>
    <row r="148" spans="1:4">
      <c r="A148" t="s">
        <v>5</v>
      </c>
      <c r="B148" t="s">
        <v>133</v>
      </c>
      <c r="C148" s="8">
        <v>46037</v>
      </c>
      <c r="D148" s="9">
        <v>44660</v>
      </c>
    </row>
    <row r="149" spans="1:4">
      <c r="A149" t="s">
        <v>5</v>
      </c>
      <c r="B149" t="s">
        <v>107</v>
      </c>
      <c r="C149" s="8">
        <v>46037</v>
      </c>
      <c r="D149" s="9">
        <v>48392</v>
      </c>
    </row>
    <row r="150" spans="1:4">
      <c r="A150" t="s">
        <v>4</v>
      </c>
      <c r="B150" t="s">
        <v>180</v>
      </c>
      <c r="C150" s="8">
        <v>46038</v>
      </c>
      <c r="D150" s="9">
        <v>32072</v>
      </c>
    </row>
    <row r="151" spans="1:4">
      <c r="A151" t="s">
        <v>5</v>
      </c>
      <c r="B151" t="s">
        <v>181</v>
      </c>
      <c r="C151" s="8">
        <v>46038</v>
      </c>
      <c r="D151" s="9">
        <v>28364</v>
      </c>
    </row>
    <row r="152" spans="1:4">
      <c r="A152" t="s">
        <v>5</v>
      </c>
      <c r="B152" t="s">
        <v>133</v>
      </c>
      <c r="C152" s="8">
        <v>46038</v>
      </c>
      <c r="D152" s="9">
        <v>46156</v>
      </c>
    </row>
    <row r="153" spans="1:4">
      <c r="A153" t="s">
        <v>5</v>
      </c>
      <c r="B153" t="s">
        <v>182</v>
      </c>
      <c r="C153" s="8">
        <v>46038</v>
      </c>
      <c r="D153" s="9">
        <v>26723</v>
      </c>
    </row>
    <row r="154" spans="1:4">
      <c r="A154" t="s">
        <v>5</v>
      </c>
      <c r="B154" t="s">
        <v>183</v>
      </c>
      <c r="C154" s="8">
        <v>46038</v>
      </c>
      <c r="D154" s="9">
        <v>56083</v>
      </c>
    </row>
    <row r="155" spans="1:4">
      <c r="A155" t="s">
        <v>5</v>
      </c>
      <c r="B155" t="s">
        <v>107</v>
      </c>
      <c r="C155" s="8">
        <v>46038</v>
      </c>
      <c r="D155" s="9">
        <v>50730</v>
      </c>
    </row>
    <row r="156" spans="1:4">
      <c r="A156" t="s">
        <v>27</v>
      </c>
      <c r="B156" t="s">
        <v>184</v>
      </c>
      <c r="C156" s="8">
        <v>46039</v>
      </c>
      <c r="D156" s="9">
        <v>7140</v>
      </c>
    </row>
    <row r="157" spans="1:4">
      <c r="A157" t="s">
        <v>4</v>
      </c>
      <c r="B157" t="s">
        <v>185</v>
      </c>
      <c r="C157" s="8">
        <v>46039</v>
      </c>
      <c r="D157" s="9">
        <v>26852</v>
      </c>
    </row>
    <row r="158" spans="1:4">
      <c r="A158" t="s">
        <v>25</v>
      </c>
      <c r="B158" t="s">
        <v>186</v>
      </c>
      <c r="C158" s="8">
        <v>46039</v>
      </c>
      <c r="D158" s="9">
        <v>13261</v>
      </c>
    </row>
    <row r="159" spans="1:4">
      <c r="A159" t="s">
        <v>9</v>
      </c>
      <c r="B159" t="s">
        <v>187</v>
      </c>
      <c r="C159" s="8">
        <v>46039</v>
      </c>
      <c r="D159" s="9">
        <v>45230</v>
      </c>
    </row>
    <row r="160" spans="1:4">
      <c r="A160" t="s">
        <v>5</v>
      </c>
      <c r="B160" t="s">
        <v>188</v>
      </c>
      <c r="C160" s="8">
        <v>46039</v>
      </c>
      <c r="D160" s="9">
        <v>47151</v>
      </c>
    </row>
    <row r="161" spans="1:4">
      <c r="A161" t="s">
        <v>5</v>
      </c>
      <c r="B161" t="s">
        <v>72</v>
      </c>
      <c r="C161" s="8">
        <v>46039</v>
      </c>
      <c r="D161" s="9">
        <v>51958</v>
      </c>
    </row>
    <row r="162" spans="1:4">
      <c r="A162" t="s">
        <v>5</v>
      </c>
      <c r="B162" t="s">
        <v>92</v>
      </c>
      <c r="C162" s="8">
        <v>46039</v>
      </c>
      <c r="D162" s="9">
        <v>52124</v>
      </c>
    </row>
    <row r="163" spans="1:4">
      <c r="A163" t="s">
        <v>5</v>
      </c>
      <c r="B163" t="s">
        <v>189</v>
      </c>
      <c r="C163" s="8">
        <v>46039</v>
      </c>
      <c r="D163" s="9">
        <v>45844</v>
      </c>
    </row>
    <row r="164" spans="1:4">
      <c r="A164" t="s">
        <v>4</v>
      </c>
      <c r="B164" t="s">
        <v>190</v>
      </c>
      <c r="C164" s="8">
        <v>46040</v>
      </c>
      <c r="D164" s="9">
        <v>21609</v>
      </c>
    </row>
    <row r="165" spans="1:4">
      <c r="A165" t="s">
        <v>4</v>
      </c>
      <c r="B165" t="s">
        <v>50</v>
      </c>
      <c r="C165" s="8">
        <v>46040</v>
      </c>
      <c r="D165" s="9">
        <v>24544</v>
      </c>
    </row>
    <row r="166" spans="1:4">
      <c r="A166" t="s">
        <v>28</v>
      </c>
      <c r="B166" t="s">
        <v>191</v>
      </c>
      <c r="C166" s="8">
        <v>46040</v>
      </c>
      <c r="D166" s="9">
        <v>11913</v>
      </c>
    </row>
    <row r="167" spans="1:4">
      <c r="A167" t="s">
        <v>6</v>
      </c>
      <c r="B167" t="s">
        <v>192</v>
      </c>
      <c r="C167" s="8">
        <v>46040</v>
      </c>
      <c r="D167" s="9">
        <v>18609</v>
      </c>
    </row>
    <row r="168" spans="1:4">
      <c r="A168" t="s">
        <v>7</v>
      </c>
      <c r="B168" t="s">
        <v>193</v>
      </c>
      <c r="C168" s="8">
        <v>46040</v>
      </c>
      <c r="D168" s="9">
        <v>18274</v>
      </c>
    </row>
    <row r="169" spans="1:4">
      <c r="A169" t="s">
        <v>7</v>
      </c>
      <c r="B169" t="s">
        <v>194</v>
      </c>
      <c r="C169" s="8">
        <v>46040</v>
      </c>
      <c r="D169" s="9">
        <v>23641</v>
      </c>
    </row>
    <row r="170" spans="1:4">
      <c r="A170" t="s">
        <v>9</v>
      </c>
      <c r="B170" t="s">
        <v>195</v>
      </c>
      <c r="C170" s="8">
        <v>46040</v>
      </c>
      <c r="D170" s="9">
        <v>29919</v>
      </c>
    </row>
    <row r="171" spans="1:4">
      <c r="A171" t="s">
        <v>5</v>
      </c>
      <c r="B171" t="s">
        <v>99</v>
      </c>
      <c r="C171" s="8">
        <v>46040</v>
      </c>
      <c r="D171" s="9">
        <v>34005</v>
      </c>
    </row>
    <row r="172" spans="1:4">
      <c r="A172" t="s">
        <v>5</v>
      </c>
      <c r="B172" t="s">
        <v>134</v>
      </c>
      <c r="C172" s="8">
        <v>46040</v>
      </c>
      <c r="D172" s="9">
        <v>40078</v>
      </c>
    </row>
    <row r="173" spans="1:4">
      <c r="A173" t="s">
        <v>27</v>
      </c>
      <c r="B173" t="s">
        <v>196</v>
      </c>
      <c r="C173" s="8">
        <v>46041</v>
      </c>
      <c r="D173" s="9">
        <v>10184</v>
      </c>
    </row>
    <row r="174" spans="1:4">
      <c r="A174" t="s">
        <v>4</v>
      </c>
      <c r="B174" t="s">
        <v>197</v>
      </c>
      <c r="C174" s="8">
        <v>46041</v>
      </c>
      <c r="D174" s="9">
        <v>26597</v>
      </c>
    </row>
    <row r="175" spans="1:4">
      <c r="A175" t="s">
        <v>4</v>
      </c>
      <c r="B175" t="s">
        <v>190</v>
      </c>
      <c r="C175" s="8">
        <v>46041</v>
      </c>
      <c r="D175" s="9">
        <v>21531</v>
      </c>
    </row>
    <row r="176" spans="1:4">
      <c r="A176" t="s">
        <v>4</v>
      </c>
      <c r="B176" t="s">
        <v>198</v>
      </c>
      <c r="C176" s="8">
        <v>46041</v>
      </c>
      <c r="D176" s="9">
        <v>28977</v>
      </c>
    </row>
    <row r="177" spans="1:4">
      <c r="A177" t="s">
        <v>31</v>
      </c>
      <c r="B177" t="s">
        <v>199</v>
      </c>
      <c r="C177" s="8">
        <v>46041</v>
      </c>
      <c r="D177" s="9">
        <v>18739</v>
      </c>
    </row>
    <row r="178" spans="1:4">
      <c r="A178" t="s">
        <v>25</v>
      </c>
      <c r="B178" t="s">
        <v>200</v>
      </c>
      <c r="C178" s="8">
        <v>46041</v>
      </c>
      <c r="D178" s="9">
        <v>17497</v>
      </c>
    </row>
    <row r="179" spans="1:4">
      <c r="A179" t="s">
        <v>7</v>
      </c>
      <c r="B179" t="s">
        <v>201</v>
      </c>
      <c r="C179" s="8">
        <v>46041</v>
      </c>
      <c r="D179" s="9">
        <v>18278</v>
      </c>
    </row>
    <row r="180" spans="1:4">
      <c r="A180" t="s">
        <v>7</v>
      </c>
      <c r="B180" t="s">
        <v>202</v>
      </c>
      <c r="C180" s="8">
        <v>46041</v>
      </c>
      <c r="D180" s="9">
        <v>22658</v>
      </c>
    </row>
    <row r="181" spans="1:4">
      <c r="A181" t="s">
        <v>7</v>
      </c>
      <c r="B181" t="s">
        <v>137</v>
      </c>
      <c r="C181" s="8">
        <v>46041</v>
      </c>
      <c r="D181" s="9">
        <v>45135</v>
      </c>
    </row>
    <row r="182" spans="1:4">
      <c r="A182" t="s">
        <v>7</v>
      </c>
      <c r="B182" t="s">
        <v>47</v>
      </c>
      <c r="C182" s="8">
        <v>46041</v>
      </c>
      <c r="D182" s="9">
        <v>22141</v>
      </c>
    </row>
    <row r="183" spans="1:4">
      <c r="A183" t="s">
        <v>9</v>
      </c>
      <c r="B183" t="s">
        <v>203</v>
      </c>
      <c r="C183" s="8">
        <v>46041</v>
      </c>
      <c r="D183" s="9">
        <v>27527</v>
      </c>
    </row>
    <row r="184" spans="1:4">
      <c r="A184" t="s">
        <v>9</v>
      </c>
      <c r="B184" t="s">
        <v>84</v>
      </c>
      <c r="C184" s="8">
        <v>46041</v>
      </c>
      <c r="D184" s="9">
        <v>48009</v>
      </c>
    </row>
    <row r="185" spans="1:4">
      <c r="A185" t="s">
        <v>9</v>
      </c>
      <c r="B185" t="s">
        <v>82</v>
      </c>
      <c r="C185" s="8">
        <v>46041</v>
      </c>
      <c r="D185" s="9">
        <v>27978</v>
      </c>
    </row>
    <row r="186" spans="1:4">
      <c r="A186" t="s">
        <v>5</v>
      </c>
      <c r="B186" t="s">
        <v>84</v>
      </c>
      <c r="C186" s="8">
        <v>46041</v>
      </c>
      <c r="D186" s="9">
        <v>43764</v>
      </c>
    </row>
    <row r="187" spans="1:4">
      <c r="A187" t="s">
        <v>5</v>
      </c>
      <c r="B187" t="s">
        <v>204</v>
      </c>
      <c r="C187" s="8">
        <v>46041</v>
      </c>
      <c r="D187" s="9">
        <v>46918</v>
      </c>
    </row>
    <row r="188" spans="1:4">
      <c r="A188" t="s">
        <v>26</v>
      </c>
      <c r="B188" t="s">
        <v>205</v>
      </c>
      <c r="C188" s="8">
        <v>46042</v>
      </c>
      <c r="D188" s="9">
        <v>15435</v>
      </c>
    </row>
    <row r="189" spans="1:4">
      <c r="A189" t="s">
        <v>30</v>
      </c>
      <c r="B189" t="s">
        <v>206</v>
      </c>
      <c r="C189" s="8">
        <v>46042</v>
      </c>
      <c r="D189" s="9">
        <v>11591</v>
      </c>
    </row>
    <row r="190" spans="1:4">
      <c r="A190" t="s">
        <v>8</v>
      </c>
      <c r="B190" t="s">
        <v>207</v>
      </c>
      <c r="C190" s="8">
        <v>46042</v>
      </c>
      <c r="D190" s="9">
        <v>9389</v>
      </c>
    </row>
    <row r="191" spans="1:4">
      <c r="A191" t="s">
        <v>6</v>
      </c>
      <c r="B191" t="s">
        <v>208</v>
      </c>
      <c r="C191" s="8">
        <v>46042</v>
      </c>
      <c r="D191" s="9">
        <v>19004</v>
      </c>
    </row>
    <row r="192" spans="1:4">
      <c r="A192" t="s">
        <v>29</v>
      </c>
      <c r="B192" t="s">
        <v>57</v>
      </c>
      <c r="C192" s="8">
        <v>46042</v>
      </c>
      <c r="D192" s="9">
        <v>11857</v>
      </c>
    </row>
    <row r="193" spans="1:4">
      <c r="A193" t="s">
        <v>9</v>
      </c>
      <c r="B193" t="s">
        <v>96</v>
      </c>
      <c r="C193" s="8">
        <v>46042</v>
      </c>
      <c r="D193" s="9">
        <v>32415</v>
      </c>
    </row>
    <row r="194" spans="1:4">
      <c r="A194" t="s">
        <v>5</v>
      </c>
      <c r="B194" t="s">
        <v>133</v>
      </c>
      <c r="C194" s="8">
        <v>46042</v>
      </c>
      <c r="D194" s="9">
        <v>50350</v>
      </c>
    </row>
    <row r="195" spans="1:4">
      <c r="A195" t="s">
        <v>5</v>
      </c>
      <c r="B195" t="s">
        <v>209</v>
      </c>
      <c r="C195" s="8">
        <v>46042</v>
      </c>
      <c r="D195" s="9">
        <v>46255</v>
      </c>
    </row>
    <row r="196" spans="1:4">
      <c r="A196" t="s">
        <v>5</v>
      </c>
      <c r="B196" t="s">
        <v>210</v>
      </c>
      <c r="C196" s="8">
        <v>46042</v>
      </c>
      <c r="D196" s="9">
        <v>36569</v>
      </c>
    </row>
    <row r="197" spans="1:4">
      <c r="A197" t="s">
        <v>5</v>
      </c>
      <c r="B197" t="s">
        <v>211</v>
      </c>
      <c r="C197" s="8">
        <v>46042</v>
      </c>
      <c r="D197" s="9">
        <v>23196</v>
      </c>
    </row>
    <row r="198" spans="1:4">
      <c r="A198" t="s">
        <v>5</v>
      </c>
      <c r="B198" t="s">
        <v>212</v>
      </c>
      <c r="C198" s="8">
        <v>46042</v>
      </c>
      <c r="D198" s="9">
        <v>32525</v>
      </c>
    </row>
    <row r="199" spans="1:4">
      <c r="A199" t="s">
        <v>5</v>
      </c>
      <c r="B199" t="s">
        <v>204</v>
      </c>
      <c r="C199" s="8">
        <v>46042</v>
      </c>
      <c r="D199" s="9">
        <v>36055</v>
      </c>
    </row>
    <row r="200" spans="1:4">
      <c r="A200" t="s">
        <v>27</v>
      </c>
      <c r="B200" t="s">
        <v>213</v>
      </c>
      <c r="C200" s="8">
        <v>46043</v>
      </c>
      <c r="D200" s="9">
        <v>12229</v>
      </c>
    </row>
    <row r="201" spans="1:4">
      <c r="A201" t="s">
        <v>25</v>
      </c>
      <c r="B201" t="s">
        <v>214</v>
      </c>
      <c r="C201" s="8">
        <v>46043</v>
      </c>
      <c r="D201" s="9">
        <v>14539</v>
      </c>
    </row>
    <row r="202" spans="1:4">
      <c r="A202" t="s">
        <v>25</v>
      </c>
      <c r="B202" t="s">
        <v>215</v>
      </c>
      <c r="C202" s="8">
        <v>46043</v>
      </c>
      <c r="D202" s="9">
        <v>12898</v>
      </c>
    </row>
    <row r="203" spans="1:4">
      <c r="A203" t="s">
        <v>26</v>
      </c>
      <c r="B203" t="s">
        <v>216</v>
      </c>
      <c r="C203" s="8">
        <v>46043</v>
      </c>
      <c r="D203" s="9">
        <v>12199</v>
      </c>
    </row>
    <row r="204" spans="1:4">
      <c r="A204" t="s">
        <v>6</v>
      </c>
      <c r="B204" t="s">
        <v>217</v>
      </c>
      <c r="C204" s="8">
        <v>46043</v>
      </c>
      <c r="D204" s="9">
        <v>21865</v>
      </c>
    </row>
    <row r="205" spans="1:4">
      <c r="A205" t="s">
        <v>6</v>
      </c>
      <c r="B205" t="s">
        <v>218</v>
      </c>
      <c r="C205" s="8">
        <v>46043</v>
      </c>
      <c r="D205" s="9">
        <v>13217</v>
      </c>
    </row>
    <row r="206" spans="1:4">
      <c r="A206" t="s">
        <v>9</v>
      </c>
      <c r="B206" t="s">
        <v>219</v>
      </c>
      <c r="C206" s="8">
        <v>46043</v>
      </c>
      <c r="D206" s="9">
        <v>43488</v>
      </c>
    </row>
    <row r="207" spans="1:4">
      <c r="A207" t="s">
        <v>9</v>
      </c>
      <c r="B207" t="s">
        <v>220</v>
      </c>
      <c r="C207" s="8">
        <v>46043</v>
      </c>
      <c r="D207" s="9">
        <v>35008</v>
      </c>
    </row>
    <row r="208" spans="1:4">
      <c r="A208" t="s">
        <v>5</v>
      </c>
      <c r="B208" t="s">
        <v>221</v>
      </c>
      <c r="C208" s="8">
        <v>46043</v>
      </c>
      <c r="D208" s="9">
        <v>49366</v>
      </c>
    </row>
    <row r="209" spans="1:4">
      <c r="A209" t="s">
        <v>5</v>
      </c>
      <c r="B209" t="s">
        <v>49</v>
      </c>
      <c r="C209" s="8">
        <v>46043</v>
      </c>
      <c r="D209" s="9">
        <v>41238</v>
      </c>
    </row>
    <row r="210" spans="1:4">
      <c r="A210" t="s">
        <v>5</v>
      </c>
      <c r="B210" t="s">
        <v>84</v>
      </c>
      <c r="C210" s="8">
        <v>46043</v>
      </c>
      <c r="D210" s="9">
        <v>41259</v>
      </c>
    </row>
    <row r="211" spans="1:4">
      <c r="A211" t="s">
        <v>5</v>
      </c>
      <c r="B211" t="s">
        <v>124</v>
      </c>
      <c r="C211" s="8">
        <v>46043</v>
      </c>
      <c r="D211" s="9">
        <v>27927</v>
      </c>
    </row>
    <row r="212" spans="1:4">
      <c r="A212" t="s">
        <v>4</v>
      </c>
      <c r="B212" t="s">
        <v>222</v>
      </c>
      <c r="C212" s="8">
        <v>46044</v>
      </c>
      <c r="D212" s="9">
        <v>34493</v>
      </c>
    </row>
    <row r="213" spans="1:4">
      <c r="A213" t="s">
        <v>4</v>
      </c>
      <c r="B213" t="s">
        <v>223</v>
      </c>
      <c r="C213" s="8">
        <v>46044</v>
      </c>
      <c r="D213" s="9">
        <v>53529</v>
      </c>
    </row>
    <row r="214" spans="1:4">
      <c r="A214" t="s">
        <v>30</v>
      </c>
      <c r="B214" t="s">
        <v>224</v>
      </c>
      <c r="C214" s="8">
        <v>46044</v>
      </c>
      <c r="D214" s="9">
        <v>12139</v>
      </c>
    </row>
    <row r="215" spans="1:4">
      <c r="A215" t="s">
        <v>8</v>
      </c>
      <c r="B215" t="s">
        <v>225</v>
      </c>
      <c r="C215" s="8">
        <v>46044</v>
      </c>
      <c r="D215" s="9">
        <v>23917</v>
      </c>
    </row>
    <row r="216" spans="1:4">
      <c r="A216" t="s">
        <v>29</v>
      </c>
      <c r="B216" t="s">
        <v>51</v>
      </c>
      <c r="C216" s="8">
        <v>46044</v>
      </c>
      <c r="D216" s="9">
        <v>5200</v>
      </c>
    </row>
    <row r="217" spans="1:4">
      <c r="A217" t="s">
        <v>7</v>
      </c>
      <c r="B217" t="s">
        <v>226</v>
      </c>
      <c r="C217" s="8">
        <v>46044</v>
      </c>
      <c r="D217" s="9">
        <v>21523</v>
      </c>
    </row>
    <row r="218" spans="1:4">
      <c r="A218" t="s">
        <v>5</v>
      </c>
      <c r="B218" t="s">
        <v>159</v>
      </c>
      <c r="C218" s="8">
        <v>46044</v>
      </c>
      <c r="D218" s="9">
        <v>58623</v>
      </c>
    </row>
    <row r="219" spans="1:4">
      <c r="A219" t="s">
        <v>5</v>
      </c>
      <c r="B219" t="s">
        <v>54</v>
      </c>
      <c r="C219" s="8">
        <v>46044</v>
      </c>
      <c r="D219" s="9">
        <v>53424</v>
      </c>
    </row>
    <row r="220" spans="1:4">
      <c r="A220" t="s">
        <v>5</v>
      </c>
      <c r="B220" t="s">
        <v>189</v>
      </c>
      <c r="C220" s="8">
        <v>46044</v>
      </c>
      <c r="D220" s="9">
        <v>39216</v>
      </c>
    </row>
    <row r="221" spans="1:4">
      <c r="A221" t="s">
        <v>4</v>
      </c>
      <c r="B221" t="s">
        <v>227</v>
      </c>
      <c r="C221" s="8">
        <v>46045</v>
      </c>
      <c r="D221" s="9">
        <v>13407</v>
      </c>
    </row>
    <row r="222" spans="1:4">
      <c r="A222" t="s">
        <v>25</v>
      </c>
      <c r="B222" t="s">
        <v>228</v>
      </c>
      <c r="C222" s="8">
        <v>46045</v>
      </c>
      <c r="D222" s="9">
        <v>13370</v>
      </c>
    </row>
    <row r="223" spans="1:4">
      <c r="A223" t="s">
        <v>36</v>
      </c>
      <c r="B223" t="s">
        <v>229</v>
      </c>
      <c r="C223" s="8">
        <v>46045</v>
      </c>
      <c r="D223" s="9">
        <v>10783</v>
      </c>
    </row>
    <row r="224" spans="1:4">
      <c r="A224" t="s">
        <v>32</v>
      </c>
      <c r="B224" t="s">
        <v>230</v>
      </c>
      <c r="C224" s="8">
        <v>46045</v>
      </c>
      <c r="D224" s="9">
        <v>11883</v>
      </c>
    </row>
    <row r="225" spans="1:4">
      <c r="A225" t="s">
        <v>6</v>
      </c>
      <c r="B225" t="s">
        <v>231</v>
      </c>
      <c r="C225" s="8">
        <v>46045</v>
      </c>
      <c r="D225" s="9">
        <v>20762</v>
      </c>
    </row>
    <row r="226" spans="1:4">
      <c r="A226" t="s">
        <v>33</v>
      </c>
      <c r="B226" t="s">
        <v>232</v>
      </c>
      <c r="C226" s="8">
        <v>46045</v>
      </c>
      <c r="D226" s="9">
        <v>10033</v>
      </c>
    </row>
    <row r="227" spans="1:4">
      <c r="A227" t="s">
        <v>7</v>
      </c>
      <c r="B227" t="s">
        <v>233</v>
      </c>
      <c r="C227" s="8">
        <v>46045</v>
      </c>
      <c r="D227" s="9">
        <v>24947</v>
      </c>
    </row>
    <row r="228" spans="1:4">
      <c r="A228" t="s">
        <v>7</v>
      </c>
      <c r="B228" t="s">
        <v>234</v>
      </c>
      <c r="C228" s="8">
        <v>46045</v>
      </c>
      <c r="D228" s="9">
        <v>10025</v>
      </c>
    </row>
    <row r="229" spans="1:4">
      <c r="A229" t="s">
        <v>9</v>
      </c>
      <c r="B229" t="s">
        <v>235</v>
      </c>
      <c r="C229" s="8">
        <v>46045</v>
      </c>
      <c r="D229" s="9">
        <v>45757</v>
      </c>
    </row>
    <row r="230" spans="1:4">
      <c r="A230" t="s">
        <v>5</v>
      </c>
      <c r="B230" t="s">
        <v>183</v>
      </c>
      <c r="C230" s="8">
        <v>46045</v>
      </c>
      <c r="D230" s="9">
        <v>51374</v>
      </c>
    </row>
    <row r="231" spans="1:4">
      <c r="A231" t="s">
        <v>26</v>
      </c>
      <c r="B231" t="s">
        <v>236</v>
      </c>
      <c r="C231" s="8">
        <v>46046</v>
      </c>
      <c r="D231" s="9">
        <v>8679</v>
      </c>
    </row>
    <row r="232" spans="1:4">
      <c r="A232" t="s">
        <v>8</v>
      </c>
      <c r="B232" t="s">
        <v>237</v>
      </c>
      <c r="C232" s="8">
        <v>46046</v>
      </c>
      <c r="D232" s="9">
        <v>5200</v>
      </c>
    </row>
    <row r="233" spans="1:4">
      <c r="A233" t="s">
        <v>7</v>
      </c>
      <c r="B233" t="s">
        <v>238</v>
      </c>
      <c r="C233" s="8">
        <v>46046</v>
      </c>
      <c r="D233" s="9">
        <v>22811</v>
      </c>
    </row>
    <row r="234" spans="1:4">
      <c r="A234" t="s">
        <v>9</v>
      </c>
      <c r="B234" t="s">
        <v>220</v>
      </c>
      <c r="C234" s="8">
        <v>46046</v>
      </c>
      <c r="D234" s="9">
        <v>40094</v>
      </c>
    </row>
    <row r="235" spans="1:4">
      <c r="A235" t="s">
        <v>5</v>
      </c>
      <c r="B235" t="s">
        <v>239</v>
      </c>
      <c r="C235" s="8">
        <v>46046</v>
      </c>
      <c r="D235" s="9">
        <v>31960</v>
      </c>
    </row>
    <row r="236" spans="1:4">
      <c r="A236" t="s">
        <v>5</v>
      </c>
      <c r="B236" t="s">
        <v>239</v>
      </c>
      <c r="C236" s="8">
        <v>46046</v>
      </c>
      <c r="D236" s="9">
        <v>37179</v>
      </c>
    </row>
    <row r="237" spans="1:4">
      <c r="A237" t="s">
        <v>5</v>
      </c>
      <c r="B237" t="s">
        <v>72</v>
      </c>
      <c r="C237" s="8">
        <v>46046</v>
      </c>
      <c r="D237" s="9">
        <v>41291</v>
      </c>
    </row>
    <row r="238" spans="1:4">
      <c r="A238" t="s">
        <v>5</v>
      </c>
      <c r="B238" t="s">
        <v>84</v>
      </c>
      <c r="C238" s="8">
        <v>46046</v>
      </c>
      <c r="D238" s="9">
        <v>34923</v>
      </c>
    </row>
    <row r="239" spans="1:4">
      <c r="A239" t="s">
        <v>5</v>
      </c>
      <c r="B239" t="s">
        <v>108</v>
      </c>
      <c r="C239" s="8">
        <v>46046</v>
      </c>
      <c r="D239" s="9">
        <v>47945</v>
      </c>
    </row>
    <row r="240" spans="1:4">
      <c r="A240" t="s">
        <v>4</v>
      </c>
      <c r="B240" t="s">
        <v>240</v>
      </c>
      <c r="C240" s="8">
        <v>46047</v>
      </c>
      <c r="D240" s="9">
        <v>27143</v>
      </c>
    </row>
    <row r="241" spans="1:4">
      <c r="A241" t="s">
        <v>4</v>
      </c>
      <c r="B241" t="s">
        <v>241</v>
      </c>
      <c r="C241" s="8">
        <v>46047</v>
      </c>
      <c r="D241" s="9">
        <v>20438</v>
      </c>
    </row>
    <row r="242" spans="1:4">
      <c r="A242" t="s">
        <v>4</v>
      </c>
      <c r="B242" t="s">
        <v>70</v>
      </c>
      <c r="C242" s="8">
        <v>46047</v>
      </c>
      <c r="D242" s="9">
        <v>24266</v>
      </c>
    </row>
    <row r="243" spans="1:4">
      <c r="A243" t="s">
        <v>28</v>
      </c>
      <c r="B243" t="s">
        <v>242</v>
      </c>
      <c r="C243" s="8">
        <v>46047</v>
      </c>
      <c r="D243" s="9">
        <v>22620</v>
      </c>
    </row>
    <row r="244" spans="1:4">
      <c r="A244" t="s">
        <v>7</v>
      </c>
      <c r="B244" t="s">
        <v>243</v>
      </c>
      <c r="C244" s="8">
        <v>46047</v>
      </c>
      <c r="D244" s="9">
        <v>35201</v>
      </c>
    </row>
    <row r="245" spans="1:4">
      <c r="A245" t="s">
        <v>9</v>
      </c>
      <c r="B245" t="s">
        <v>143</v>
      </c>
      <c r="C245" s="8">
        <v>46047</v>
      </c>
      <c r="D245" s="9">
        <v>31971</v>
      </c>
    </row>
    <row r="246" spans="1:4">
      <c r="A246" t="s">
        <v>5</v>
      </c>
      <c r="B246" t="s">
        <v>209</v>
      </c>
      <c r="C246" s="8">
        <v>46047</v>
      </c>
      <c r="D246" s="9">
        <v>35615</v>
      </c>
    </row>
    <row r="247" spans="1:4">
      <c r="A247" t="s">
        <v>5</v>
      </c>
      <c r="B247" t="s">
        <v>204</v>
      </c>
      <c r="C247" s="8">
        <v>46047</v>
      </c>
      <c r="D247" s="9">
        <v>44021</v>
      </c>
    </row>
    <row r="248" spans="1:4">
      <c r="A248" t="s">
        <v>4</v>
      </c>
      <c r="B248" t="s">
        <v>244</v>
      </c>
      <c r="C248" s="8">
        <v>46048</v>
      </c>
      <c r="D248" s="9">
        <v>13846</v>
      </c>
    </row>
    <row r="249" spans="1:4">
      <c r="A249" t="s">
        <v>8</v>
      </c>
      <c r="B249" t="s">
        <v>56</v>
      </c>
      <c r="C249" s="8">
        <v>46048</v>
      </c>
      <c r="D249" s="9">
        <v>6349</v>
      </c>
    </row>
    <row r="250" spans="1:4">
      <c r="A250" t="s">
        <v>9</v>
      </c>
      <c r="B250" t="s">
        <v>245</v>
      </c>
      <c r="C250" s="8">
        <v>46048</v>
      </c>
      <c r="D250" s="9">
        <v>13010</v>
      </c>
    </row>
    <row r="251" spans="1:4">
      <c r="A251" t="s">
        <v>9</v>
      </c>
      <c r="B251" t="s">
        <v>220</v>
      </c>
      <c r="C251" s="8">
        <v>46048</v>
      </c>
      <c r="D251" s="9">
        <v>34110</v>
      </c>
    </row>
    <row r="252" spans="1:4">
      <c r="A252" t="s">
        <v>5</v>
      </c>
      <c r="B252" t="s">
        <v>114</v>
      </c>
      <c r="C252" s="8">
        <v>46048</v>
      </c>
      <c r="D252" s="9">
        <v>34185</v>
      </c>
    </row>
    <row r="253" spans="1:4">
      <c r="A253" t="s">
        <v>5</v>
      </c>
      <c r="B253" t="s">
        <v>84</v>
      </c>
      <c r="C253" s="8">
        <v>46048</v>
      </c>
      <c r="D253" s="9">
        <v>45517</v>
      </c>
    </row>
    <row r="254" spans="1:4">
      <c r="A254" t="s">
        <v>5</v>
      </c>
      <c r="B254" t="s">
        <v>210</v>
      </c>
      <c r="C254" s="8">
        <v>46048</v>
      </c>
      <c r="D254" s="9">
        <v>37059</v>
      </c>
    </row>
    <row r="255" spans="1:4">
      <c r="A255" t="s">
        <v>5</v>
      </c>
      <c r="B255" t="s">
        <v>74</v>
      </c>
      <c r="C255" s="8">
        <v>46048</v>
      </c>
      <c r="D255" s="9">
        <v>47434</v>
      </c>
    </row>
    <row r="256" spans="1:4">
      <c r="A256" t="s">
        <v>5</v>
      </c>
      <c r="B256" t="s">
        <v>99</v>
      </c>
      <c r="C256" s="8">
        <v>46048</v>
      </c>
      <c r="D256" s="9">
        <v>27486</v>
      </c>
    </row>
    <row r="257" spans="1:4">
      <c r="A257" t="s">
        <v>5</v>
      </c>
      <c r="B257" t="s">
        <v>172</v>
      </c>
      <c r="C257" s="8">
        <v>46048</v>
      </c>
      <c r="D257" s="9">
        <v>38926</v>
      </c>
    </row>
    <row r="258" spans="1:4">
      <c r="A258" t="s">
        <v>8</v>
      </c>
      <c r="B258" t="s">
        <v>246</v>
      </c>
      <c r="C258" s="8">
        <v>46049</v>
      </c>
      <c r="D258" s="9">
        <v>14912</v>
      </c>
    </row>
    <row r="259" spans="1:4">
      <c r="A259" t="s">
        <v>32</v>
      </c>
      <c r="B259" t="s">
        <v>247</v>
      </c>
      <c r="C259" s="8">
        <v>46049</v>
      </c>
      <c r="D259" s="9">
        <v>11930</v>
      </c>
    </row>
    <row r="260" spans="1:4">
      <c r="A260" t="s">
        <v>33</v>
      </c>
      <c r="B260" t="s">
        <v>248</v>
      </c>
      <c r="C260" s="8">
        <v>46049</v>
      </c>
      <c r="D260" s="9">
        <v>9766</v>
      </c>
    </row>
    <row r="261" spans="1:4">
      <c r="A261" t="s">
        <v>7</v>
      </c>
      <c r="B261" t="s">
        <v>249</v>
      </c>
      <c r="C261" s="8">
        <v>46049</v>
      </c>
      <c r="D261" s="9">
        <v>23230</v>
      </c>
    </row>
    <row r="262" spans="1:4">
      <c r="A262" t="s">
        <v>9</v>
      </c>
      <c r="B262" t="s">
        <v>250</v>
      </c>
      <c r="C262" s="8">
        <v>46049</v>
      </c>
      <c r="D262" s="9">
        <v>44255</v>
      </c>
    </row>
    <row r="263" spans="1:4">
      <c r="A263" t="s">
        <v>5</v>
      </c>
      <c r="B263" t="s">
        <v>166</v>
      </c>
      <c r="C263" s="8">
        <v>46049</v>
      </c>
      <c r="D263" s="9">
        <v>32972</v>
      </c>
    </row>
    <row r="264" spans="1:4">
      <c r="A264" t="s">
        <v>5</v>
      </c>
      <c r="B264" t="s">
        <v>251</v>
      </c>
      <c r="C264" s="8">
        <v>46049</v>
      </c>
      <c r="D264" s="9">
        <v>47216</v>
      </c>
    </row>
    <row r="265" spans="1:4">
      <c r="A265" t="s">
        <v>5</v>
      </c>
      <c r="B265" t="s">
        <v>251</v>
      </c>
      <c r="C265" s="8">
        <v>46049</v>
      </c>
      <c r="D265" s="9">
        <v>39131</v>
      </c>
    </row>
    <row r="266" spans="1:4">
      <c r="A266" t="s">
        <v>5</v>
      </c>
      <c r="B266" t="s">
        <v>252</v>
      </c>
      <c r="C266" s="8">
        <v>46049</v>
      </c>
      <c r="D266" s="9">
        <v>48239</v>
      </c>
    </row>
    <row r="267" spans="1:4">
      <c r="A267" t="s">
        <v>5</v>
      </c>
      <c r="B267" t="s">
        <v>211</v>
      </c>
      <c r="C267" s="8">
        <v>46049</v>
      </c>
      <c r="D267" s="9">
        <v>30969</v>
      </c>
    </row>
    <row r="268" spans="1:4">
      <c r="A268" t="s">
        <v>27</v>
      </c>
      <c r="B268" t="s">
        <v>253</v>
      </c>
      <c r="C268" s="8">
        <v>46050</v>
      </c>
      <c r="D268" s="9">
        <v>5200</v>
      </c>
    </row>
    <row r="269" spans="1:4">
      <c r="A269" t="s">
        <v>4</v>
      </c>
      <c r="B269" t="s">
        <v>254</v>
      </c>
      <c r="C269" s="8">
        <v>46050</v>
      </c>
      <c r="D269" s="9">
        <v>30966</v>
      </c>
    </row>
    <row r="270" spans="1:4">
      <c r="A270" t="s">
        <v>28</v>
      </c>
      <c r="B270" t="s">
        <v>255</v>
      </c>
      <c r="C270" s="8">
        <v>46050</v>
      </c>
      <c r="D270" s="9">
        <v>8621</v>
      </c>
    </row>
    <row r="271" spans="1:4">
      <c r="A271" t="s">
        <v>26</v>
      </c>
      <c r="B271" t="s">
        <v>256</v>
      </c>
      <c r="C271" s="8">
        <v>46050</v>
      </c>
      <c r="D271" s="9">
        <v>14014</v>
      </c>
    </row>
    <row r="272" spans="1:4">
      <c r="A272" t="s">
        <v>26</v>
      </c>
      <c r="B272" t="s">
        <v>257</v>
      </c>
      <c r="C272" s="8">
        <v>46050</v>
      </c>
      <c r="D272" s="9">
        <v>19996</v>
      </c>
    </row>
    <row r="273" spans="1:4">
      <c r="A273" t="s">
        <v>8</v>
      </c>
      <c r="B273" t="s">
        <v>258</v>
      </c>
      <c r="C273" s="8">
        <v>46050</v>
      </c>
      <c r="D273" s="9">
        <v>24397</v>
      </c>
    </row>
    <row r="274" spans="1:4">
      <c r="A274" t="s">
        <v>8</v>
      </c>
      <c r="B274" t="s">
        <v>259</v>
      </c>
      <c r="C274" s="8">
        <v>46050</v>
      </c>
      <c r="D274" s="9">
        <v>15943</v>
      </c>
    </row>
    <row r="275" spans="1:4">
      <c r="A275" t="s">
        <v>6</v>
      </c>
      <c r="B275" t="s">
        <v>260</v>
      </c>
      <c r="C275" s="8">
        <v>46050</v>
      </c>
      <c r="D275" s="9">
        <v>28699</v>
      </c>
    </row>
    <row r="276" spans="1:4">
      <c r="A276" t="s">
        <v>6</v>
      </c>
      <c r="B276" t="s">
        <v>261</v>
      </c>
      <c r="C276" s="8">
        <v>46050</v>
      </c>
      <c r="D276" s="9">
        <v>17970</v>
      </c>
    </row>
    <row r="277" spans="1:4">
      <c r="A277" t="s">
        <v>6</v>
      </c>
      <c r="B277" t="s">
        <v>262</v>
      </c>
      <c r="C277" s="8">
        <v>46050</v>
      </c>
      <c r="D277" s="9">
        <v>16581</v>
      </c>
    </row>
    <row r="278" spans="1:4">
      <c r="A278" t="s">
        <v>6</v>
      </c>
      <c r="B278" t="s">
        <v>263</v>
      </c>
      <c r="C278" s="8">
        <v>46050</v>
      </c>
      <c r="D278" s="9">
        <v>16679</v>
      </c>
    </row>
    <row r="279" spans="1:4">
      <c r="A279" t="s">
        <v>9</v>
      </c>
      <c r="B279" t="s">
        <v>203</v>
      </c>
      <c r="C279" s="8">
        <v>46050</v>
      </c>
      <c r="D279" s="9">
        <v>33940</v>
      </c>
    </row>
    <row r="280" spans="1:4">
      <c r="A280" t="s">
        <v>9</v>
      </c>
      <c r="B280" t="s">
        <v>264</v>
      </c>
      <c r="C280" s="8">
        <v>46050</v>
      </c>
      <c r="D280" s="9">
        <v>29931</v>
      </c>
    </row>
    <row r="281" spans="1:4">
      <c r="A281" t="s">
        <v>5</v>
      </c>
      <c r="B281" t="s">
        <v>49</v>
      </c>
      <c r="C281" s="8">
        <v>46050</v>
      </c>
      <c r="D281" s="9">
        <v>34441</v>
      </c>
    </row>
    <row r="282" spans="1:4">
      <c r="A282" t="s">
        <v>5</v>
      </c>
      <c r="B282" t="s">
        <v>53</v>
      </c>
      <c r="C282" s="8">
        <v>46050</v>
      </c>
      <c r="D282" s="9">
        <v>32147</v>
      </c>
    </row>
    <row r="283" spans="1:4">
      <c r="A283" t="s">
        <v>5</v>
      </c>
      <c r="B283" t="s">
        <v>145</v>
      </c>
      <c r="C283" s="8">
        <v>46050</v>
      </c>
      <c r="D283" s="9">
        <v>41050</v>
      </c>
    </row>
    <row r="284" spans="1:4">
      <c r="A284" t="s">
        <v>5</v>
      </c>
      <c r="B284" t="s">
        <v>144</v>
      </c>
      <c r="C284" s="8">
        <v>46050</v>
      </c>
      <c r="D284" s="9">
        <v>33183</v>
      </c>
    </row>
    <row r="285" spans="1:4">
      <c r="A285" t="s">
        <v>5</v>
      </c>
      <c r="B285" t="s">
        <v>93</v>
      </c>
      <c r="C285" s="8">
        <v>46050</v>
      </c>
      <c r="D285" s="9">
        <v>38048</v>
      </c>
    </row>
    <row r="286" spans="1:4">
      <c r="A286" t="s">
        <v>5</v>
      </c>
      <c r="B286" t="s">
        <v>124</v>
      </c>
      <c r="C286" s="8">
        <v>46050</v>
      </c>
      <c r="D286" s="9">
        <v>30958</v>
      </c>
    </row>
    <row r="287" spans="1:4">
      <c r="A287" t="s">
        <v>5</v>
      </c>
      <c r="B287" t="s">
        <v>108</v>
      </c>
      <c r="C287" s="8">
        <v>46050</v>
      </c>
      <c r="D287" s="9">
        <v>47985</v>
      </c>
    </row>
    <row r="288" spans="1:4">
      <c r="A288" t="s">
        <v>38</v>
      </c>
      <c r="B288" t="s">
        <v>265</v>
      </c>
      <c r="C288" s="8">
        <v>46051</v>
      </c>
      <c r="D288" s="9">
        <v>11760</v>
      </c>
    </row>
    <row r="289" spans="1:4">
      <c r="A289" t="s">
        <v>4</v>
      </c>
      <c r="B289" t="s">
        <v>266</v>
      </c>
      <c r="C289" s="8">
        <v>46051</v>
      </c>
      <c r="D289" s="9">
        <v>51010</v>
      </c>
    </row>
    <row r="290" spans="1:4">
      <c r="A290" t="s">
        <v>25</v>
      </c>
      <c r="B290" t="s">
        <v>267</v>
      </c>
      <c r="C290" s="8">
        <v>46051</v>
      </c>
      <c r="D290" s="9">
        <v>15868</v>
      </c>
    </row>
    <row r="291" spans="1:4">
      <c r="A291" t="s">
        <v>8</v>
      </c>
      <c r="B291" t="s">
        <v>52</v>
      </c>
      <c r="C291" s="8">
        <v>46051</v>
      </c>
      <c r="D291" s="9">
        <v>15664</v>
      </c>
    </row>
    <row r="292" spans="1:4">
      <c r="A292" t="s">
        <v>33</v>
      </c>
      <c r="B292" t="s">
        <v>268</v>
      </c>
      <c r="C292" s="8">
        <v>46051</v>
      </c>
      <c r="D292" s="9">
        <v>5200</v>
      </c>
    </row>
    <row r="293" spans="1:4">
      <c r="A293" t="s">
        <v>9</v>
      </c>
      <c r="B293" t="s">
        <v>235</v>
      </c>
      <c r="C293" s="8">
        <v>46051</v>
      </c>
      <c r="D293" s="9">
        <v>33321</v>
      </c>
    </row>
    <row r="294" spans="1:4">
      <c r="A294" t="s">
        <v>9</v>
      </c>
      <c r="B294" t="s">
        <v>91</v>
      </c>
      <c r="C294" s="8">
        <v>46051</v>
      </c>
      <c r="D294" s="9">
        <v>26585</v>
      </c>
    </row>
    <row r="295" spans="1:4">
      <c r="A295" t="s">
        <v>9</v>
      </c>
      <c r="B295" t="s">
        <v>269</v>
      </c>
      <c r="C295" s="8">
        <v>46051</v>
      </c>
      <c r="D295" s="9">
        <v>40035</v>
      </c>
    </row>
    <row r="296" spans="1:4">
      <c r="A296" t="s">
        <v>5</v>
      </c>
      <c r="B296" t="s">
        <v>98</v>
      </c>
      <c r="C296" s="8">
        <v>46051</v>
      </c>
      <c r="D296" s="9">
        <v>38177</v>
      </c>
    </row>
    <row r="297" spans="1:4">
      <c r="A297" t="s">
        <v>5</v>
      </c>
      <c r="B297" t="s">
        <v>270</v>
      </c>
      <c r="C297" s="8">
        <v>46051</v>
      </c>
      <c r="D297" s="9">
        <v>52984</v>
      </c>
    </row>
    <row r="298" spans="1:4">
      <c r="A298" t="s">
        <v>5</v>
      </c>
      <c r="B298" t="s">
        <v>195</v>
      </c>
      <c r="C298" s="8">
        <v>46051</v>
      </c>
      <c r="D298" s="9">
        <v>21569</v>
      </c>
    </row>
    <row r="299" spans="1:4">
      <c r="A299" t="s">
        <v>5</v>
      </c>
      <c r="B299" t="s">
        <v>108</v>
      </c>
      <c r="C299" s="8">
        <v>46051</v>
      </c>
      <c r="D299" s="9">
        <v>40657</v>
      </c>
    </row>
    <row r="300" spans="1:4">
      <c r="A300" t="s">
        <v>5</v>
      </c>
      <c r="B300" t="s">
        <v>58</v>
      </c>
      <c r="C300" s="8">
        <v>46051</v>
      </c>
      <c r="D300" s="9">
        <v>44739</v>
      </c>
    </row>
    <row r="301" spans="1:4">
      <c r="A301" t="s">
        <v>35</v>
      </c>
      <c r="B301" t="s">
        <v>271</v>
      </c>
      <c r="C301" s="8">
        <v>46052</v>
      </c>
      <c r="D301" s="9">
        <v>5200</v>
      </c>
    </row>
    <row r="302" spans="1:4">
      <c r="A302" t="s">
        <v>25</v>
      </c>
      <c r="B302" t="s">
        <v>272</v>
      </c>
      <c r="C302" s="8">
        <v>46052</v>
      </c>
      <c r="D302" s="9">
        <v>13234</v>
      </c>
    </row>
    <row r="303" spans="1:4">
      <c r="A303" t="s">
        <v>8</v>
      </c>
      <c r="B303" t="s">
        <v>273</v>
      </c>
      <c r="C303" s="8">
        <v>46052</v>
      </c>
      <c r="D303" s="9">
        <v>15580</v>
      </c>
    </row>
    <row r="304" spans="1:4">
      <c r="A304" t="s">
        <v>7</v>
      </c>
      <c r="B304" t="s">
        <v>274</v>
      </c>
      <c r="C304" s="8">
        <v>46052</v>
      </c>
      <c r="D304" s="9">
        <v>23141</v>
      </c>
    </row>
    <row r="305" spans="1:4">
      <c r="A305" t="s">
        <v>7</v>
      </c>
      <c r="B305" t="s">
        <v>275</v>
      </c>
      <c r="C305" s="8">
        <v>46052</v>
      </c>
      <c r="D305" s="9">
        <v>20168</v>
      </c>
    </row>
    <row r="306" spans="1:4">
      <c r="A306" t="s">
        <v>9</v>
      </c>
      <c r="B306" t="s">
        <v>276</v>
      </c>
      <c r="C306" s="8">
        <v>46052</v>
      </c>
      <c r="D306" s="9">
        <v>56331</v>
      </c>
    </row>
    <row r="307" spans="1:4">
      <c r="A307" t="s">
        <v>5</v>
      </c>
      <c r="B307" t="s">
        <v>53</v>
      </c>
      <c r="C307" s="8">
        <v>46052</v>
      </c>
      <c r="D307" s="9">
        <v>39231</v>
      </c>
    </row>
    <row r="308" spans="1:4">
      <c r="A308" t="s">
        <v>5</v>
      </c>
      <c r="B308" t="s">
        <v>251</v>
      </c>
      <c r="C308" s="8">
        <v>46052</v>
      </c>
      <c r="D308" s="9">
        <v>48028</v>
      </c>
    </row>
    <row r="309" spans="1:4">
      <c r="A309" t="s">
        <v>5</v>
      </c>
      <c r="B309" t="s">
        <v>84</v>
      </c>
      <c r="C309" s="8">
        <v>46052</v>
      </c>
      <c r="D309" s="9">
        <v>40464</v>
      </c>
    </row>
    <row r="310" spans="1:4">
      <c r="A310" t="s">
        <v>5</v>
      </c>
      <c r="B310" t="s">
        <v>252</v>
      </c>
      <c r="C310" s="8">
        <v>46052</v>
      </c>
      <c r="D310" s="9">
        <v>40426</v>
      </c>
    </row>
    <row r="311" spans="1:4">
      <c r="A311" t="s">
        <v>5</v>
      </c>
      <c r="B311" t="s">
        <v>277</v>
      </c>
      <c r="C311" s="8">
        <v>46052</v>
      </c>
      <c r="D311" s="9">
        <v>23888</v>
      </c>
    </row>
    <row r="312" spans="1:4">
      <c r="A312" t="s">
        <v>25</v>
      </c>
      <c r="B312" t="s">
        <v>278</v>
      </c>
      <c r="C312" s="8">
        <v>46053</v>
      </c>
      <c r="D312" s="9">
        <v>14357</v>
      </c>
    </row>
    <row r="313" spans="1:4">
      <c r="A313" t="s">
        <v>28</v>
      </c>
      <c r="B313" t="s">
        <v>279</v>
      </c>
      <c r="C313" s="8">
        <v>46053</v>
      </c>
      <c r="D313" s="9">
        <v>8376</v>
      </c>
    </row>
    <row r="314" spans="1:4">
      <c r="A314" t="s">
        <v>26</v>
      </c>
      <c r="B314" t="s">
        <v>280</v>
      </c>
      <c r="C314" s="8">
        <v>46053</v>
      </c>
      <c r="D314" s="9">
        <v>13158</v>
      </c>
    </row>
    <row r="315" spans="1:4">
      <c r="A315" t="s">
        <v>8</v>
      </c>
      <c r="B315" t="s">
        <v>281</v>
      </c>
      <c r="C315" s="8">
        <v>46053</v>
      </c>
      <c r="D315" s="9">
        <v>20238</v>
      </c>
    </row>
    <row r="316" spans="1:4">
      <c r="A316" t="s">
        <v>32</v>
      </c>
      <c r="B316" t="s">
        <v>282</v>
      </c>
      <c r="C316" s="8">
        <v>46053</v>
      </c>
      <c r="D316" s="9">
        <v>12784</v>
      </c>
    </row>
    <row r="317" spans="1:4">
      <c r="A317" t="s">
        <v>9</v>
      </c>
      <c r="B317" t="s">
        <v>283</v>
      </c>
      <c r="C317" s="8">
        <v>46053</v>
      </c>
      <c r="D317" s="9">
        <v>46506</v>
      </c>
    </row>
    <row r="318" spans="1:4">
      <c r="A318" t="s">
        <v>9</v>
      </c>
      <c r="B318" t="s">
        <v>270</v>
      </c>
      <c r="C318" s="8">
        <v>46053</v>
      </c>
      <c r="D318" s="9">
        <v>52413</v>
      </c>
    </row>
    <row r="319" spans="1:4">
      <c r="A319" t="s">
        <v>5</v>
      </c>
      <c r="B319" t="s">
        <v>167</v>
      </c>
      <c r="C319" s="8">
        <v>46053</v>
      </c>
      <c r="D319" s="9">
        <v>36890</v>
      </c>
    </row>
    <row r="320" spans="1:4">
      <c r="A320" t="s">
        <v>5</v>
      </c>
      <c r="B320" t="s">
        <v>123</v>
      </c>
      <c r="C320" s="8">
        <v>46053</v>
      </c>
      <c r="D320" s="9">
        <v>35835</v>
      </c>
    </row>
    <row r="321" spans="1:4">
      <c r="A321" t="s">
        <v>5</v>
      </c>
      <c r="B321" t="s">
        <v>115</v>
      </c>
      <c r="C321" s="8">
        <v>46053</v>
      </c>
      <c r="D321" s="9">
        <v>39932</v>
      </c>
    </row>
    <row r="322" spans="1:4">
      <c r="A322" t="s">
        <v>5</v>
      </c>
      <c r="B322" t="s">
        <v>54</v>
      </c>
      <c r="C322" s="8">
        <v>46053</v>
      </c>
      <c r="D322" s="9">
        <v>41675</v>
      </c>
    </row>
    <row r="323" spans="1:4">
      <c r="A323" t="s">
        <v>27</v>
      </c>
      <c r="B323" t="s">
        <v>149</v>
      </c>
      <c r="C323" s="8">
        <v>46054</v>
      </c>
      <c r="D323" s="9">
        <v>12072</v>
      </c>
    </row>
    <row r="324" spans="1:4">
      <c r="A324" t="s">
        <v>4</v>
      </c>
      <c r="B324" t="s">
        <v>126</v>
      </c>
      <c r="C324" s="8">
        <v>46054</v>
      </c>
      <c r="D324" s="9">
        <v>28021</v>
      </c>
    </row>
    <row r="325" spans="1:4">
      <c r="A325" t="s">
        <v>31</v>
      </c>
      <c r="B325" t="s">
        <v>68</v>
      </c>
      <c r="C325" s="8">
        <v>46054</v>
      </c>
      <c r="D325" s="9">
        <v>9880</v>
      </c>
    </row>
    <row r="326" spans="1:4">
      <c r="A326" t="s">
        <v>25</v>
      </c>
      <c r="B326" t="s">
        <v>153</v>
      </c>
      <c r="C326" s="8">
        <v>46054</v>
      </c>
      <c r="D326" s="9">
        <v>11603</v>
      </c>
    </row>
    <row r="327" spans="1:4">
      <c r="A327" t="s">
        <v>32</v>
      </c>
      <c r="B327" t="s">
        <v>247</v>
      </c>
      <c r="C327" s="8">
        <v>46054</v>
      </c>
      <c r="D327" s="9">
        <v>12897</v>
      </c>
    </row>
    <row r="328" spans="1:4">
      <c r="A328" t="s">
        <v>7</v>
      </c>
      <c r="B328" t="s">
        <v>69</v>
      </c>
      <c r="C328" s="8">
        <v>46054</v>
      </c>
      <c r="D328" s="9">
        <v>6273</v>
      </c>
    </row>
    <row r="329" spans="1:4">
      <c r="A329" t="s">
        <v>9</v>
      </c>
      <c r="B329" t="s">
        <v>157</v>
      </c>
      <c r="C329" s="8">
        <v>46054</v>
      </c>
      <c r="D329" s="9">
        <v>37772</v>
      </c>
    </row>
    <row r="330" spans="1:4">
      <c r="A330" t="s">
        <v>9</v>
      </c>
      <c r="B330" t="s">
        <v>158</v>
      </c>
      <c r="C330" s="8">
        <v>46054</v>
      </c>
      <c r="D330" s="9">
        <v>23615</v>
      </c>
    </row>
    <row r="331" spans="1:4">
      <c r="A331" t="s">
        <v>5</v>
      </c>
      <c r="B331" t="s">
        <v>251</v>
      </c>
      <c r="C331" s="8">
        <v>46054</v>
      </c>
      <c r="D331" s="9">
        <v>55914</v>
      </c>
    </row>
    <row r="332" spans="1:4">
      <c r="A332" t="s">
        <v>5</v>
      </c>
      <c r="B332" t="s">
        <v>107</v>
      </c>
      <c r="C332" s="8">
        <v>46054</v>
      </c>
      <c r="D332" s="9">
        <v>46246</v>
      </c>
    </row>
    <row r="333" spans="1:4">
      <c r="A333" t="s">
        <v>5</v>
      </c>
      <c r="B333" t="s">
        <v>172</v>
      </c>
      <c r="C333" s="8">
        <v>46054</v>
      </c>
      <c r="D333" s="9">
        <v>42069</v>
      </c>
    </row>
    <row r="334" spans="1:4">
      <c r="A334" t="s">
        <v>5</v>
      </c>
      <c r="B334" t="s">
        <v>58</v>
      </c>
      <c r="C334" s="8">
        <v>46054</v>
      </c>
      <c r="D334" s="9">
        <v>51919</v>
      </c>
    </row>
    <row r="335" spans="1:4">
      <c r="A335" t="s">
        <v>4</v>
      </c>
      <c r="B335" t="s">
        <v>190</v>
      </c>
      <c r="C335" s="8">
        <v>46055</v>
      </c>
      <c r="D335" s="9">
        <v>29272</v>
      </c>
    </row>
    <row r="336" spans="1:4">
      <c r="A336" t="s">
        <v>4</v>
      </c>
      <c r="B336" t="s">
        <v>266</v>
      </c>
      <c r="C336" s="8">
        <v>46055</v>
      </c>
      <c r="D336" s="9">
        <v>20853</v>
      </c>
    </row>
    <row r="337" spans="1:4">
      <c r="A337" t="s">
        <v>4</v>
      </c>
      <c r="B337" t="s">
        <v>76</v>
      </c>
      <c r="C337" s="8">
        <v>46055</v>
      </c>
      <c r="D337" s="9">
        <v>30055</v>
      </c>
    </row>
    <row r="338" spans="1:4">
      <c r="A338" t="s">
        <v>30</v>
      </c>
      <c r="B338" t="s">
        <v>224</v>
      </c>
      <c r="C338" s="8">
        <v>46055</v>
      </c>
      <c r="D338" s="9">
        <v>12253</v>
      </c>
    </row>
    <row r="339" spans="1:4">
      <c r="A339" t="s">
        <v>29</v>
      </c>
      <c r="B339" t="s">
        <v>51</v>
      </c>
      <c r="C339" s="8">
        <v>46055</v>
      </c>
      <c r="D339" s="9">
        <v>20654</v>
      </c>
    </row>
    <row r="340" spans="1:4">
      <c r="A340" t="s">
        <v>9</v>
      </c>
      <c r="B340" t="s">
        <v>235</v>
      </c>
      <c r="C340" s="8">
        <v>46055</v>
      </c>
      <c r="D340" s="9">
        <v>27065</v>
      </c>
    </row>
    <row r="341" spans="1:4">
      <c r="A341" t="s">
        <v>9</v>
      </c>
      <c r="B341" t="s">
        <v>252</v>
      </c>
      <c r="C341" s="8">
        <v>46055</v>
      </c>
      <c r="D341" s="9">
        <v>40559</v>
      </c>
    </row>
    <row r="342" spans="1:4">
      <c r="A342" t="s">
        <v>5</v>
      </c>
      <c r="B342" t="s">
        <v>239</v>
      </c>
      <c r="C342" s="8">
        <v>46055</v>
      </c>
      <c r="D342" s="9">
        <v>37171</v>
      </c>
    </row>
    <row r="343" spans="1:4">
      <c r="A343" t="s">
        <v>5</v>
      </c>
      <c r="B343" t="s">
        <v>98</v>
      </c>
      <c r="C343" s="8">
        <v>46055</v>
      </c>
      <c r="D343" s="9">
        <v>53387</v>
      </c>
    </row>
    <row r="344" spans="1:4">
      <c r="A344" t="s">
        <v>5</v>
      </c>
      <c r="B344" t="s">
        <v>73</v>
      </c>
      <c r="C344" s="8">
        <v>46055</v>
      </c>
      <c r="D344" s="9">
        <v>31077</v>
      </c>
    </row>
    <row r="345" spans="1:4">
      <c r="A345" t="s">
        <v>5</v>
      </c>
      <c r="B345" t="s">
        <v>73</v>
      </c>
      <c r="C345" s="8">
        <v>46055</v>
      </c>
      <c r="D345" s="9">
        <v>39303</v>
      </c>
    </row>
    <row r="346" spans="1:4">
      <c r="A346" t="s">
        <v>5</v>
      </c>
      <c r="B346" t="s">
        <v>183</v>
      </c>
      <c r="C346" s="8">
        <v>46055</v>
      </c>
      <c r="D346" s="9">
        <v>44684</v>
      </c>
    </row>
    <row r="347" spans="1:4">
      <c r="A347" t="s">
        <v>5</v>
      </c>
      <c r="B347" t="s">
        <v>107</v>
      </c>
      <c r="C347" s="8">
        <v>46055</v>
      </c>
      <c r="D347" s="9">
        <v>50355</v>
      </c>
    </row>
    <row r="348" spans="1:4">
      <c r="A348" t="s">
        <v>5</v>
      </c>
      <c r="B348" t="s">
        <v>108</v>
      </c>
      <c r="C348" s="8">
        <v>46055</v>
      </c>
      <c r="D348" s="9">
        <v>39642</v>
      </c>
    </row>
    <row r="349" spans="1:4">
      <c r="A349" t="s">
        <v>5</v>
      </c>
      <c r="B349" t="s">
        <v>204</v>
      </c>
      <c r="C349" s="8">
        <v>46055</v>
      </c>
      <c r="D349" s="9">
        <v>44751</v>
      </c>
    </row>
    <row r="350" spans="1:4">
      <c r="A350" t="s">
        <v>4</v>
      </c>
      <c r="B350" t="s">
        <v>84</v>
      </c>
      <c r="C350" s="8">
        <v>46056</v>
      </c>
      <c r="D350" s="9">
        <v>43950</v>
      </c>
    </row>
    <row r="351" spans="1:4">
      <c r="A351" t="s">
        <v>28</v>
      </c>
      <c r="B351" t="s">
        <v>161</v>
      </c>
      <c r="C351" s="8">
        <v>46056</v>
      </c>
      <c r="D351" s="9">
        <v>10986</v>
      </c>
    </row>
    <row r="352" spans="1:4">
      <c r="A352" t="s">
        <v>30</v>
      </c>
      <c r="B352" t="s">
        <v>162</v>
      </c>
      <c r="C352" s="8">
        <v>46056</v>
      </c>
      <c r="D352" s="9">
        <v>12075</v>
      </c>
    </row>
    <row r="353" spans="1:4">
      <c r="A353" t="s">
        <v>7</v>
      </c>
      <c r="B353" t="s">
        <v>249</v>
      </c>
      <c r="C353" s="8">
        <v>46056</v>
      </c>
      <c r="D353" s="9">
        <v>24027</v>
      </c>
    </row>
    <row r="354" spans="1:4">
      <c r="A354" t="s">
        <v>9</v>
      </c>
      <c r="B354" t="s">
        <v>269</v>
      </c>
      <c r="C354" s="8">
        <v>46056</v>
      </c>
      <c r="D354" s="9">
        <v>39468</v>
      </c>
    </row>
    <row r="355" spans="1:4">
      <c r="A355" t="s">
        <v>9</v>
      </c>
      <c r="B355" t="s">
        <v>211</v>
      </c>
      <c r="C355" s="8">
        <v>46056</v>
      </c>
      <c r="D355" s="9">
        <v>33276</v>
      </c>
    </row>
    <row r="356" spans="1:4">
      <c r="A356" t="s">
        <v>9</v>
      </c>
      <c r="B356" t="s">
        <v>132</v>
      </c>
      <c r="C356" s="8">
        <v>46056</v>
      </c>
      <c r="D356" s="9">
        <v>43125</v>
      </c>
    </row>
    <row r="357" spans="1:4">
      <c r="A357" t="s">
        <v>5</v>
      </c>
      <c r="B357" t="s">
        <v>72</v>
      </c>
      <c r="C357" s="8">
        <v>46056</v>
      </c>
      <c r="D357" s="9">
        <v>39542</v>
      </c>
    </row>
    <row r="358" spans="1:4">
      <c r="A358" t="s">
        <v>5</v>
      </c>
      <c r="B358" t="s">
        <v>123</v>
      </c>
      <c r="C358" s="8">
        <v>46056</v>
      </c>
      <c r="D358" s="9">
        <v>34889</v>
      </c>
    </row>
    <row r="359" spans="1:4">
      <c r="A359" t="s">
        <v>5</v>
      </c>
      <c r="B359" t="s">
        <v>74</v>
      </c>
      <c r="C359" s="8">
        <v>46056</v>
      </c>
      <c r="D359" s="9">
        <v>43057</v>
      </c>
    </row>
    <row r="360" spans="1:4">
      <c r="A360" t="s">
        <v>31</v>
      </c>
      <c r="B360" t="s">
        <v>152</v>
      </c>
      <c r="C360" s="8">
        <v>46057</v>
      </c>
      <c r="D360" s="9">
        <v>15742</v>
      </c>
    </row>
    <row r="361" spans="1:4">
      <c r="A361" t="s">
        <v>26</v>
      </c>
      <c r="B361" t="s">
        <v>216</v>
      </c>
      <c r="C361" s="8">
        <v>46057</v>
      </c>
      <c r="D361" s="9">
        <v>12282</v>
      </c>
    </row>
    <row r="362" spans="1:4">
      <c r="A362" t="s">
        <v>6</v>
      </c>
      <c r="B362" t="s">
        <v>208</v>
      </c>
      <c r="C362" s="8">
        <v>46057</v>
      </c>
      <c r="D362" s="9">
        <v>17346</v>
      </c>
    </row>
    <row r="363" spans="1:4">
      <c r="A363" t="s">
        <v>29</v>
      </c>
      <c r="B363" t="s">
        <v>163</v>
      </c>
      <c r="C363" s="8">
        <v>46057</v>
      </c>
      <c r="D363" s="9">
        <v>5200</v>
      </c>
    </row>
    <row r="364" spans="1:4">
      <c r="A364" t="s">
        <v>9</v>
      </c>
      <c r="B364" t="s">
        <v>176</v>
      </c>
      <c r="C364" s="8">
        <v>46057</v>
      </c>
      <c r="D364" s="9">
        <v>29519</v>
      </c>
    </row>
    <row r="365" spans="1:4">
      <c r="A365" t="s">
        <v>9</v>
      </c>
      <c r="B365" t="s">
        <v>92</v>
      </c>
      <c r="C365" s="8">
        <v>46057</v>
      </c>
      <c r="D365" s="9">
        <v>48358</v>
      </c>
    </row>
    <row r="366" spans="1:4">
      <c r="A366" t="s">
        <v>9</v>
      </c>
      <c r="B366" t="s">
        <v>210</v>
      </c>
      <c r="C366" s="8">
        <v>46057</v>
      </c>
      <c r="D366" s="9">
        <v>37502</v>
      </c>
    </row>
    <row r="367" spans="1:4">
      <c r="A367" t="s">
        <v>5</v>
      </c>
      <c r="B367" t="s">
        <v>183</v>
      </c>
      <c r="C367" s="8">
        <v>46057</v>
      </c>
      <c r="D367" s="9">
        <v>33031</v>
      </c>
    </row>
    <row r="368" spans="1:4">
      <c r="A368" t="s">
        <v>5</v>
      </c>
      <c r="B368" t="s">
        <v>74</v>
      </c>
      <c r="C368" s="8">
        <v>46057</v>
      </c>
      <c r="D368" s="9">
        <v>48084</v>
      </c>
    </row>
    <row r="369" spans="1:4">
      <c r="A369" t="s">
        <v>5</v>
      </c>
      <c r="B369" t="s">
        <v>74</v>
      </c>
      <c r="C369" s="8">
        <v>46057</v>
      </c>
      <c r="D369" s="9">
        <v>35911</v>
      </c>
    </row>
    <row r="370" spans="1:4">
      <c r="A370" t="s">
        <v>5</v>
      </c>
      <c r="B370" t="s">
        <v>115</v>
      </c>
      <c r="C370" s="8">
        <v>46057</v>
      </c>
      <c r="D370" s="9">
        <v>35499</v>
      </c>
    </row>
    <row r="371" spans="1:4">
      <c r="A371" t="s">
        <v>5</v>
      </c>
      <c r="B371" t="s">
        <v>93</v>
      </c>
      <c r="C371" s="8">
        <v>46057</v>
      </c>
      <c r="D371" s="9">
        <v>55279</v>
      </c>
    </row>
    <row r="372" spans="1:4">
      <c r="A372" t="s">
        <v>5</v>
      </c>
      <c r="B372" t="s">
        <v>108</v>
      </c>
      <c r="C372" s="8">
        <v>46057</v>
      </c>
      <c r="D372" s="9">
        <v>42868</v>
      </c>
    </row>
    <row r="373" spans="1:4">
      <c r="A373" t="s">
        <v>35</v>
      </c>
      <c r="B373" t="s">
        <v>271</v>
      </c>
      <c r="C373" s="8">
        <v>46058</v>
      </c>
      <c r="D373" s="9">
        <v>23790</v>
      </c>
    </row>
    <row r="374" spans="1:4">
      <c r="A374" t="s">
        <v>31</v>
      </c>
      <c r="B374" t="s">
        <v>48</v>
      </c>
      <c r="C374" s="8">
        <v>46058</v>
      </c>
      <c r="D374" s="9">
        <v>12867</v>
      </c>
    </row>
    <row r="375" spans="1:4">
      <c r="A375" t="s">
        <v>28</v>
      </c>
      <c r="B375" t="s">
        <v>118</v>
      </c>
      <c r="C375" s="8">
        <v>46058</v>
      </c>
      <c r="D375" s="9">
        <v>11858</v>
      </c>
    </row>
    <row r="376" spans="1:4">
      <c r="A376" t="s">
        <v>26</v>
      </c>
      <c r="B376" t="s">
        <v>236</v>
      </c>
      <c r="C376" s="8">
        <v>46058</v>
      </c>
      <c r="D376" s="9">
        <v>9286</v>
      </c>
    </row>
    <row r="377" spans="1:4">
      <c r="A377" t="s">
        <v>8</v>
      </c>
      <c r="B377" t="s">
        <v>140</v>
      </c>
      <c r="C377" s="8">
        <v>46058</v>
      </c>
      <c r="D377" s="9">
        <v>15460</v>
      </c>
    </row>
    <row r="378" spans="1:4">
      <c r="A378" t="s">
        <v>8</v>
      </c>
      <c r="B378" t="s">
        <v>147</v>
      </c>
      <c r="C378" s="8">
        <v>46058</v>
      </c>
      <c r="D378" s="9">
        <v>16035</v>
      </c>
    </row>
    <row r="379" spans="1:4">
      <c r="A379" t="s">
        <v>9</v>
      </c>
      <c r="B379" t="s">
        <v>283</v>
      </c>
      <c r="C379" s="8">
        <v>46058</v>
      </c>
      <c r="D379" s="9">
        <v>25450</v>
      </c>
    </row>
    <row r="380" spans="1:4">
      <c r="A380" t="s">
        <v>9</v>
      </c>
      <c r="B380" t="s">
        <v>111</v>
      </c>
      <c r="C380" s="8">
        <v>46058</v>
      </c>
      <c r="D380" s="9">
        <v>47917</v>
      </c>
    </row>
    <row r="381" spans="1:4">
      <c r="A381" t="s">
        <v>5</v>
      </c>
      <c r="B381" t="s">
        <v>182</v>
      </c>
      <c r="C381" s="8">
        <v>46058</v>
      </c>
      <c r="D381" s="9">
        <v>41581</v>
      </c>
    </row>
    <row r="382" spans="1:4">
      <c r="A382" t="s">
        <v>5</v>
      </c>
      <c r="B382" t="s">
        <v>183</v>
      </c>
      <c r="C382" s="8">
        <v>46058</v>
      </c>
      <c r="D382" s="9">
        <v>37425</v>
      </c>
    </row>
    <row r="383" spans="1:4">
      <c r="A383" t="s">
        <v>5</v>
      </c>
      <c r="B383" t="s">
        <v>160</v>
      </c>
      <c r="C383" s="8">
        <v>46058</v>
      </c>
      <c r="D383" s="9">
        <v>30131</v>
      </c>
    </row>
    <row r="384" spans="1:4">
      <c r="A384" t="s">
        <v>5</v>
      </c>
      <c r="B384" t="s">
        <v>134</v>
      </c>
      <c r="C384" s="8">
        <v>46058</v>
      </c>
      <c r="D384" s="9">
        <v>33375</v>
      </c>
    </row>
    <row r="385" spans="1:4">
      <c r="A385" t="s">
        <v>35</v>
      </c>
      <c r="B385" t="s">
        <v>94</v>
      </c>
      <c r="C385" s="8">
        <v>46059</v>
      </c>
      <c r="D385" s="9">
        <v>5239</v>
      </c>
    </row>
    <row r="386" spans="1:4">
      <c r="A386" t="s">
        <v>4</v>
      </c>
      <c r="B386" t="s">
        <v>85</v>
      </c>
      <c r="C386" s="8">
        <v>46059</v>
      </c>
      <c r="D386" s="9">
        <v>27783</v>
      </c>
    </row>
    <row r="387" spans="1:4">
      <c r="A387" t="s">
        <v>6</v>
      </c>
      <c r="B387" t="s">
        <v>218</v>
      </c>
      <c r="C387" s="8">
        <v>46059</v>
      </c>
      <c r="D387" s="9">
        <v>11859</v>
      </c>
    </row>
    <row r="388" spans="1:4">
      <c r="A388" t="s">
        <v>9</v>
      </c>
      <c r="B388" t="s">
        <v>159</v>
      </c>
      <c r="C388" s="8">
        <v>46059</v>
      </c>
      <c r="D388" s="9">
        <v>46522</v>
      </c>
    </row>
    <row r="389" spans="1:4">
      <c r="A389" t="s">
        <v>9</v>
      </c>
      <c r="B389" t="s">
        <v>264</v>
      </c>
      <c r="C389" s="8">
        <v>46059</v>
      </c>
      <c r="D389" s="9">
        <v>34706</v>
      </c>
    </row>
    <row r="390" spans="1:4">
      <c r="A390" t="s">
        <v>5</v>
      </c>
      <c r="B390" t="s">
        <v>100</v>
      </c>
      <c r="C390" s="8">
        <v>46059</v>
      </c>
      <c r="D390" s="9">
        <v>62167</v>
      </c>
    </row>
    <row r="391" spans="1:4">
      <c r="A391" t="s">
        <v>4</v>
      </c>
      <c r="B391" t="s">
        <v>146</v>
      </c>
      <c r="C391" s="8">
        <v>46060</v>
      </c>
      <c r="D391" s="9">
        <v>23629</v>
      </c>
    </row>
    <row r="392" spans="1:4">
      <c r="A392" t="s">
        <v>25</v>
      </c>
      <c r="B392" t="s">
        <v>272</v>
      </c>
      <c r="C392" s="8">
        <v>46060</v>
      </c>
      <c r="D392" s="9">
        <v>13924</v>
      </c>
    </row>
    <row r="393" spans="1:4">
      <c r="A393" t="s">
        <v>28</v>
      </c>
      <c r="B393" t="s">
        <v>62</v>
      </c>
      <c r="C393" s="8">
        <v>46060</v>
      </c>
      <c r="D393" s="9">
        <v>9281</v>
      </c>
    </row>
    <row r="394" spans="1:4">
      <c r="A394" t="s">
        <v>8</v>
      </c>
      <c r="B394" t="s">
        <v>79</v>
      </c>
      <c r="C394" s="8">
        <v>46060</v>
      </c>
      <c r="D394" s="9">
        <v>12386</v>
      </c>
    </row>
    <row r="395" spans="1:4">
      <c r="A395" t="s">
        <v>32</v>
      </c>
      <c r="B395" t="s">
        <v>230</v>
      </c>
      <c r="C395" s="8">
        <v>46060</v>
      </c>
      <c r="D395" s="9">
        <v>12097</v>
      </c>
    </row>
    <row r="396" spans="1:4">
      <c r="A396" t="s">
        <v>6</v>
      </c>
      <c r="B396" t="s">
        <v>260</v>
      </c>
      <c r="C396" s="8">
        <v>46060</v>
      </c>
      <c r="D396" s="9">
        <v>5676</v>
      </c>
    </row>
    <row r="397" spans="1:4">
      <c r="A397" t="s">
        <v>6</v>
      </c>
      <c r="B397" t="s">
        <v>103</v>
      </c>
      <c r="C397" s="8">
        <v>46060</v>
      </c>
      <c r="D397" s="9">
        <v>29969</v>
      </c>
    </row>
    <row r="398" spans="1:4">
      <c r="A398" t="s">
        <v>7</v>
      </c>
      <c r="B398" t="s">
        <v>142</v>
      </c>
      <c r="C398" s="8">
        <v>46060</v>
      </c>
      <c r="D398" s="9">
        <v>35641</v>
      </c>
    </row>
    <row r="399" spans="1:4">
      <c r="A399" t="s">
        <v>7</v>
      </c>
      <c r="B399" t="s">
        <v>105</v>
      </c>
      <c r="C399" s="8">
        <v>46060</v>
      </c>
      <c r="D399" s="9">
        <v>20683</v>
      </c>
    </row>
    <row r="400" spans="1:4">
      <c r="A400" t="s">
        <v>9</v>
      </c>
      <c r="B400" t="s">
        <v>148</v>
      </c>
      <c r="C400" s="8">
        <v>46060</v>
      </c>
      <c r="D400" s="9">
        <v>29857</v>
      </c>
    </row>
    <row r="401" spans="1:4">
      <c r="A401" t="s">
        <v>9</v>
      </c>
      <c r="B401" t="s">
        <v>93</v>
      </c>
      <c r="C401" s="8">
        <v>46060</v>
      </c>
      <c r="D401" s="9">
        <v>53267</v>
      </c>
    </row>
    <row r="402" spans="1:4">
      <c r="A402" t="s">
        <v>9</v>
      </c>
      <c r="B402" t="s">
        <v>137</v>
      </c>
      <c r="C402" s="8">
        <v>46060</v>
      </c>
      <c r="D402" s="9">
        <v>12378</v>
      </c>
    </row>
    <row r="403" spans="1:4">
      <c r="A403" t="s">
        <v>5</v>
      </c>
      <c r="B403" t="s">
        <v>74</v>
      </c>
      <c r="C403" s="8">
        <v>46060</v>
      </c>
      <c r="D403" s="9">
        <v>34604</v>
      </c>
    </row>
    <row r="404" spans="1:4">
      <c r="A404" t="s">
        <v>5</v>
      </c>
      <c r="B404" t="s">
        <v>252</v>
      </c>
      <c r="C404" s="8">
        <v>46060</v>
      </c>
      <c r="D404" s="9">
        <v>53740</v>
      </c>
    </row>
    <row r="405" spans="1:4">
      <c r="A405" t="s">
        <v>5</v>
      </c>
      <c r="B405" t="s">
        <v>124</v>
      </c>
      <c r="C405" s="8">
        <v>46060</v>
      </c>
      <c r="D405" s="9">
        <v>33065</v>
      </c>
    </row>
    <row r="406" spans="1:4">
      <c r="A406" t="s">
        <v>5</v>
      </c>
      <c r="B406" t="s">
        <v>109</v>
      </c>
      <c r="C406" s="8">
        <v>46060</v>
      </c>
      <c r="D406" s="9">
        <v>60289</v>
      </c>
    </row>
    <row r="407" spans="1:4">
      <c r="A407" t="s">
        <v>5</v>
      </c>
      <c r="B407" t="s">
        <v>58</v>
      </c>
      <c r="C407" s="8">
        <v>46060</v>
      </c>
      <c r="D407" s="9">
        <v>43293</v>
      </c>
    </row>
    <row r="408" spans="1:4">
      <c r="A408" t="s">
        <v>27</v>
      </c>
      <c r="B408" t="s">
        <v>213</v>
      </c>
      <c r="C408" s="8">
        <v>46061</v>
      </c>
      <c r="D408" s="9">
        <v>13282</v>
      </c>
    </row>
    <row r="409" spans="1:4">
      <c r="A409" t="s">
        <v>4</v>
      </c>
      <c r="B409" t="s">
        <v>240</v>
      </c>
      <c r="C409" s="8">
        <v>46061</v>
      </c>
      <c r="D409" s="9">
        <v>19102</v>
      </c>
    </row>
    <row r="410" spans="1:4">
      <c r="A410" t="s">
        <v>36</v>
      </c>
      <c r="B410" t="s">
        <v>229</v>
      </c>
      <c r="C410" s="8">
        <v>46061</v>
      </c>
      <c r="D410" s="9">
        <v>11194</v>
      </c>
    </row>
    <row r="411" spans="1:4">
      <c r="A411" t="s">
        <v>9</v>
      </c>
      <c r="B411" t="s">
        <v>82</v>
      </c>
      <c r="C411" s="8">
        <v>46061</v>
      </c>
      <c r="D411" s="9">
        <v>39570</v>
      </c>
    </row>
    <row r="412" spans="1:4">
      <c r="A412" t="s">
        <v>9</v>
      </c>
      <c r="B412" t="s">
        <v>220</v>
      </c>
      <c r="C412" s="8">
        <v>46061</v>
      </c>
      <c r="D412" s="9">
        <v>29607</v>
      </c>
    </row>
    <row r="413" spans="1:4">
      <c r="A413" t="s">
        <v>5</v>
      </c>
      <c r="B413" t="s">
        <v>251</v>
      </c>
      <c r="C413" s="8">
        <v>46061</v>
      </c>
      <c r="D413" s="9">
        <v>48202</v>
      </c>
    </row>
    <row r="414" spans="1:4">
      <c r="A414" t="s">
        <v>5</v>
      </c>
      <c r="B414" t="s">
        <v>92</v>
      </c>
      <c r="C414" s="8">
        <v>46061</v>
      </c>
      <c r="D414" s="9">
        <v>40170</v>
      </c>
    </row>
    <row r="415" spans="1:4">
      <c r="A415" t="s">
        <v>5</v>
      </c>
      <c r="B415" t="s">
        <v>74</v>
      </c>
      <c r="C415" s="8">
        <v>46061</v>
      </c>
      <c r="D415" s="9">
        <v>39947</v>
      </c>
    </row>
    <row r="416" spans="1:4">
      <c r="A416" t="s">
        <v>5</v>
      </c>
      <c r="B416" t="s">
        <v>108</v>
      </c>
      <c r="C416" s="8">
        <v>46061</v>
      </c>
      <c r="D416" s="9">
        <v>42641</v>
      </c>
    </row>
    <row r="417" spans="1:4">
      <c r="A417" t="s">
        <v>25</v>
      </c>
      <c r="B417" t="s">
        <v>128</v>
      </c>
      <c r="C417" s="8">
        <v>46062</v>
      </c>
      <c r="D417" s="9">
        <v>20726</v>
      </c>
    </row>
    <row r="418" spans="1:4">
      <c r="A418" t="s">
        <v>25</v>
      </c>
      <c r="B418" t="s">
        <v>278</v>
      </c>
      <c r="C418" s="8">
        <v>46062</v>
      </c>
      <c r="D418" s="9">
        <v>12075</v>
      </c>
    </row>
    <row r="419" spans="1:4">
      <c r="A419" t="s">
        <v>6</v>
      </c>
      <c r="B419" t="s">
        <v>261</v>
      </c>
      <c r="C419" s="8">
        <v>46062</v>
      </c>
      <c r="D419" s="9">
        <v>16684</v>
      </c>
    </row>
    <row r="420" spans="1:4">
      <c r="A420" t="s">
        <v>33</v>
      </c>
      <c r="B420" t="s">
        <v>268</v>
      </c>
      <c r="C420" s="8">
        <v>46062</v>
      </c>
      <c r="D420" s="9">
        <v>5200</v>
      </c>
    </row>
    <row r="421" spans="1:4">
      <c r="A421" t="s">
        <v>7</v>
      </c>
      <c r="B421" t="s">
        <v>244</v>
      </c>
      <c r="C421" s="8">
        <v>46062</v>
      </c>
      <c r="D421" s="9">
        <v>19012</v>
      </c>
    </row>
    <row r="422" spans="1:4">
      <c r="A422" t="s">
        <v>7</v>
      </c>
      <c r="B422" t="s">
        <v>193</v>
      </c>
      <c r="C422" s="8">
        <v>46062</v>
      </c>
      <c r="D422" s="9">
        <v>15538</v>
      </c>
    </row>
    <row r="423" spans="1:4">
      <c r="A423" t="s">
        <v>9</v>
      </c>
      <c r="B423" t="s">
        <v>177</v>
      </c>
      <c r="C423" s="8">
        <v>46062</v>
      </c>
      <c r="D423" s="9">
        <v>38550</v>
      </c>
    </row>
    <row r="424" spans="1:4">
      <c r="A424" t="s">
        <v>9</v>
      </c>
      <c r="B424" t="s">
        <v>145</v>
      </c>
      <c r="C424" s="8">
        <v>46062</v>
      </c>
      <c r="D424" s="9">
        <v>51561</v>
      </c>
    </row>
    <row r="425" spans="1:4">
      <c r="A425" t="s">
        <v>9</v>
      </c>
      <c r="B425" t="s">
        <v>157</v>
      </c>
      <c r="C425" s="8">
        <v>46062</v>
      </c>
      <c r="D425" s="9">
        <v>42462</v>
      </c>
    </row>
    <row r="426" spans="1:4">
      <c r="A426" t="s">
        <v>5</v>
      </c>
      <c r="B426" t="s">
        <v>72</v>
      </c>
      <c r="C426" s="8">
        <v>46062</v>
      </c>
      <c r="D426" s="9">
        <v>43207</v>
      </c>
    </row>
    <row r="427" spans="1:4">
      <c r="A427" t="s">
        <v>5</v>
      </c>
      <c r="B427" t="s">
        <v>101</v>
      </c>
      <c r="C427" s="8">
        <v>46062</v>
      </c>
      <c r="D427" s="9">
        <v>34349</v>
      </c>
    </row>
    <row r="428" spans="1:4">
      <c r="A428" t="s">
        <v>27</v>
      </c>
      <c r="B428" t="s">
        <v>168</v>
      </c>
      <c r="C428" s="8">
        <v>46063</v>
      </c>
      <c r="D428" s="9">
        <v>12045</v>
      </c>
    </row>
    <row r="429" spans="1:4">
      <c r="A429" t="s">
        <v>4</v>
      </c>
      <c r="B429" t="s">
        <v>227</v>
      </c>
      <c r="C429" s="8">
        <v>46063</v>
      </c>
      <c r="D429" s="9">
        <v>24765</v>
      </c>
    </row>
    <row r="430" spans="1:4">
      <c r="A430" t="s">
        <v>4</v>
      </c>
      <c r="B430" t="s">
        <v>114</v>
      </c>
      <c r="C430" s="8">
        <v>46063</v>
      </c>
      <c r="D430" s="9">
        <v>29125</v>
      </c>
    </row>
    <row r="431" spans="1:4">
      <c r="A431" t="s">
        <v>26</v>
      </c>
      <c r="B431" t="s">
        <v>78</v>
      </c>
      <c r="C431" s="8">
        <v>46063</v>
      </c>
      <c r="D431" s="9">
        <v>13382</v>
      </c>
    </row>
    <row r="432" spans="1:4">
      <c r="A432" t="s">
        <v>8</v>
      </c>
      <c r="B432" t="s">
        <v>237</v>
      </c>
      <c r="C432" s="8">
        <v>46063</v>
      </c>
      <c r="D432" s="9">
        <v>5200</v>
      </c>
    </row>
    <row r="433" spans="1:4">
      <c r="A433" t="s">
        <v>6</v>
      </c>
      <c r="B433" t="s">
        <v>217</v>
      </c>
      <c r="C433" s="8">
        <v>46063</v>
      </c>
      <c r="D433" s="9">
        <v>17117</v>
      </c>
    </row>
    <row r="434" spans="1:4">
      <c r="A434" t="s">
        <v>7</v>
      </c>
      <c r="B434" t="s">
        <v>238</v>
      </c>
      <c r="C434" s="8">
        <v>46063</v>
      </c>
      <c r="D434" s="9">
        <v>15605</v>
      </c>
    </row>
    <row r="435" spans="1:4">
      <c r="A435" t="s">
        <v>9</v>
      </c>
      <c r="B435" t="s">
        <v>113</v>
      </c>
      <c r="C435" s="8">
        <v>46063</v>
      </c>
      <c r="D435" s="9">
        <v>25065</v>
      </c>
    </row>
    <row r="436" spans="1:4">
      <c r="A436" t="s">
        <v>5</v>
      </c>
      <c r="B436" t="s">
        <v>53</v>
      </c>
      <c r="C436" s="8">
        <v>46063</v>
      </c>
      <c r="D436" s="9">
        <v>46272</v>
      </c>
    </row>
    <row r="437" spans="1:4">
      <c r="A437" t="s">
        <v>5</v>
      </c>
      <c r="B437" t="s">
        <v>97</v>
      </c>
      <c r="C437" s="8">
        <v>46063</v>
      </c>
      <c r="D437" s="9">
        <v>53443</v>
      </c>
    </row>
    <row r="438" spans="1:4">
      <c r="A438" t="s">
        <v>5</v>
      </c>
      <c r="B438" t="s">
        <v>99</v>
      </c>
      <c r="C438" s="8">
        <v>46063</v>
      </c>
      <c r="D438" s="9">
        <v>35576</v>
      </c>
    </row>
    <row r="439" spans="1:4">
      <c r="A439" t="s">
        <v>5</v>
      </c>
      <c r="B439" t="s">
        <v>124</v>
      </c>
      <c r="C439" s="8">
        <v>46063</v>
      </c>
      <c r="D439" s="9">
        <v>33710</v>
      </c>
    </row>
    <row r="440" spans="1:4">
      <c r="A440" t="s">
        <v>5</v>
      </c>
      <c r="B440" t="s">
        <v>212</v>
      </c>
      <c r="C440" s="8">
        <v>46063</v>
      </c>
      <c r="D440" s="9">
        <v>37928</v>
      </c>
    </row>
    <row r="441" spans="1:4">
      <c r="A441" t="s">
        <v>27</v>
      </c>
      <c r="B441" t="s">
        <v>135</v>
      </c>
      <c r="C441" s="8">
        <v>46064</v>
      </c>
      <c r="D441" s="9">
        <v>13569</v>
      </c>
    </row>
    <row r="442" spans="1:4">
      <c r="A442" t="s">
        <v>8</v>
      </c>
      <c r="B442" t="s">
        <v>246</v>
      </c>
      <c r="C442" s="8">
        <v>46064</v>
      </c>
      <c r="D442" s="9">
        <v>15947</v>
      </c>
    </row>
    <row r="443" spans="1:4">
      <c r="A443" t="s">
        <v>29</v>
      </c>
      <c r="B443" t="s">
        <v>57</v>
      </c>
      <c r="C443" s="8">
        <v>46064</v>
      </c>
      <c r="D443" s="9">
        <v>14624</v>
      </c>
    </row>
    <row r="444" spans="1:4">
      <c r="A444" t="s">
        <v>7</v>
      </c>
      <c r="B444" t="s">
        <v>243</v>
      </c>
      <c r="C444" s="8">
        <v>46064</v>
      </c>
      <c r="D444" s="9">
        <v>11403</v>
      </c>
    </row>
    <row r="445" spans="1:4">
      <c r="A445" t="s">
        <v>9</v>
      </c>
      <c r="B445" t="s">
        <v>148</v>
      </c>
      <c r="C445" s="8">
        <v>46064</v>
      </c>
      <c r="D445" s="9">
        <v>28210</v>
      </c>
    </row>
    <row r="446" spans="1:4">
      <c r="A446" t="s">
        <v>9</v>
      </c>
      <c r="B446" t="s">
        <v>122</v>
      </c>
      <c r="C446" s="8">
        <v>46064</v>
      </c>
      <c r="D446" s="9">
        <v>11759</v>
      </c>
    </row>
    <row r="447" spans="1:4">
      <c r="A447" t="s">
        <v>5</v>
      </c>
      <c r="B447" t="s">
        <v>98</v>
      </c>
      <c r="C447" s="8">
        <v>46064</v>
      </c>
      <c r="D447" s="9">
        <v>48777</v>
      </c>
    </row>
    <row r="448" spans="1:4">
      <c r="A448" t="s">
        <v>5</v>
      </c>
      <c r="B448" t="s">
        <v>92</v>
      </c>
      <c r="C448" s="8">
        <v>46064</v>
      </c>
      <c r="D448" s="9">
        <v>36724</v>
      </c>
    </row>
    <row r="449" spans="1:4">
      <c r="A449" t="s">
        <v>4</v>
      </c>
      <c r="B449" t="s">
        <v>75</v>
      </c>
      <c r="C449" s="8">
        <v>46065</v>
      </c>
      <c r="D449" s="9">
        <v>27410</v>
      </c>
    </row>
    <row r="450" spans="1:4">
      <c r="A450" t="s">
        <v>25</v>
      </c>
      <c r="B450" t="s">
        <v>86</v>
      </c>
      <c r="C450" s="8">
        <v>46065</v>
      </c>
      <c r="D450" s="9">
        <v>14908</v>
      </c>
    </row>
    <row r="451" spans="1:4">
      <c r="A451" t="s">
        <v>28</v>
      </c>
      <c r="B451" t="s">
        <v>279</v>
      </c>
      <c r="C451" s="8">
        <v>46065</v>
      </c>
      <c r="D451" s="9">
        <v>10108</v>
      </c>
    </row>
    <row r="452" spans="1:4">
      <c r="A452" t="s">
        <v>26</v>
      </c>
      <c r="B452" t="s">
        <v>257</v>
      </c>
      <c r="C452" s="8">
        <v>46065</v>
      </c>
      <c r="D452" s="9">
        <v>5200</v>
      </c>
    </row>
    <row r="453" spans="1:4">
      <c r="A453" t="s">
        <v>32</v>
      </c>
      <c r="B453" t="s">
        <v>282</v>
      </c>
      <c r="C453" s="8">
        <v>46065</v>
      </c>
      <c r="D453" s="9">
        <v>13341</v>
      </c>
    </row>
    <row r="454" spans="1:4">
      <c r="A454" t="s">
        <v>34</v>
      </c>
      <c r="B454" t="s">
        <v>169</v>
      </c>
      <c r="C454" s="8">
        <v>46065</v>
      </c>
      <c r="D454" s="9">
        <v>10479</v>
      </c>
    </row>
    <row r="455" spans="1:4">
      <c r="A455" t="s">
        <v>7</v>
      </c>
      <c r="B455" t="s">
        <v>156</v>
      </c>
      <c r="C455" s="8">
        <v>46065</v>
      </c>
      <c r="D455" s="9">
        <v>15568</v>
      </c>
    </row>
    <row r="456" spans="1:4">
      <c r="A456" t="s">
        <v>9</v>
      </c>
      <c r="B456" t="s">
        <v>97</v>
      </c>
      <c r="C456" s="8">
        <v>46065</v>
      </c>
      <c r="D456" s="9">
        <v>51506</v>
      </c>
    </row>
    <row r="457" spans="1:4">
      <c r="A457" t="s">
        <v>9</v>
      </c>
      <c r="B457" t="s">
        <v>83</v>
      </c>
      <c r="C457" s="8">
        <v>46065</v>
      </c>
      <c r="D457" s="9">
        <v>9947</v>
      </c>
    </row>
    <row r="458" spans="1:4">
      <c r="A458" t="s">
        <v>5</v>
      </c>
      <c r="B458" t="s">
        <v>210</v>
      </c>
      <c r="C458" s="8">
        <v>46065</v>
      </c>
      <c r="D458" s="9">
        <v>35268</v>
      </c>
    </row>
    <row r="459" spans="1:4">
      <c r="A459" t="s">
        <v>5</v>
      </c>
      <c r="B459" t="s">
        <v>159</v>
      </c>
      <c r="C459" s="8">
        <v>46065</v>
      </c>
      <c r="D459" s="9">
        <v>51674</v>
      </c>
    </row>
    <row r="460" spans="1:4">
      <c r="A460" t="s">
        <v>5</v>
      </c>
      <c r="B460" t="s">
        <v>277</v>
      </c>
      <c r="C460" s="8">
        <v>46065</v>
      </c>
      <c r="D460" s="9">
        <v>41947</v>
      </c>
    </row>
    <row r="461" spans="1:4">
      <c r="A461" t="s">
        <v>4</v>
      </c>
      <c r="B461" t="s">
        <v>116</v>
      </c>
      <c r="C461" s="8">
        <v>46066</v>
      </c>
      <c r="D461" s="9">
        <v>28681</v>
      </c>
    </row>
    <row r="462" spans="1:4">
      <c r="A462" t="s">
        <v>26</v>
      </c>
      <c r="B462" t="s">
        <v>280</v>
      </c>
      <c r="C462" s="8">
        <v>46066</v>
      </c>
      <c r="D462" s="9">
        <v>14258</v>
      </c>
    </row>
    <row r="463" spans="1:4">
      <c r="A463" t="s">
        <v>9</v>
      </c>
      <c r="B463" t="s">
        <v>143</v>
      </c>
      <c r="C463" s="8">
        <v>46066</v>
      </c>
      <c r="D463" s="9">
        <v>33667</v>
      </c>
    </row>
    <row r="464" spans="1:4">
      <c r="A464" t="s">
        <v>9</v>
      </c>
      <c r="B464" t="s">
        <v>82</v>
      </c>
      <c r="C464" s="8">
        <v>46066</v>
      </c>
      <c r="D464" s="9">
        <v>29422</v>
      </c>
    </row>
    <row r="465" spans="1:4">
      <c r="A465" t="s">
        <v>9</v>
      </c>
      <c r="B465" t="s">
        <v>195</v>
      </c>
      <c r="C465" s="8">
        <v>46066</v>
      </c>
      <c r="D465" s="9">
        <v>49734</v>
      </c>
    </row>
    <row r="466" spans="1:4">
      <c r="A466" t="s">
        <v>9</v>
      </c>
      <c r="B466" t="s">
        <v>70</v>
      </c>
      <c r="C466" s="8">
        <v>46066</v>
      </c>
      <c r="D466" s="9">
        <v>30891</v>
      </c>
    </row>
    <row r="467" spans="1:4">
      <c r="A467" t="s">
        <v>5</v>
      </c>
      <c r="B467" t="s">
        <v>101</v>
      </c>
      <c r="C467" s="8">
        <v>46066</v>
      </c>
      <c r="D467" s="9">
        <v>27994</v>
      </c>
    </row>
    <row r="468" spans="1:4">
      <c r="A468" t="s">
        <v>5</v>
      </c>
      <c r="B468" t="s">
        <v>211</v>
      </c>
      <c r="C468" s="8">
        <v>46066</v>
      </c>
      <c r="D468" s="9">
        <v>31934</v>
      </c>
    </row>
    <row r="469" spans="1:4">
      <c r="A469" t="s">
        <v>5</v>
      </c>
      <c r="B469" t="s">
        <v>277</v>
      </c>
      <c r="C469" s="8">
        <v>46066</v>
      </c>
      <c r="D469" s="9">
        <v>47067</v>
      </c>
    </row>
    <row r="470" spans="1:4">
      <c r="A470" t="s">
        <v>5</v>
      </c>
      <c r="B470" t="s">
        <v>204</v>
      </c>
      <c r="C470" s="8">
        <v>46066</v>
      </c>
      <c r="D470" s="9">
        <v>48673</v>
      </c>
    </row>
    <row r="471" spans="1:4">
      <c r="A471" t="s">
        <v>27</v>
      </c>
      <c r="B471" t="s">
        <v>196</v>
      </c>
      <c r="C471" s="8">
        <v>46067</v>
      </c>
      <c r="D471" s="9">
        <v>13198</v>
      </c>
    </row>
    <row r="472" spans="1:4">
      <c r="A472" t="s">
        <v>4</v>
      </c>
      <c r="B472" t="s">
        <v>130</v>
      </c>
      <c r="C472" s="8">
        <v>46067</v>
      </c>
      <c r="D472" s="9">
        <v>18924</v>
      </c>
    </row>
    <row r="473" spans="1:4">
      <c r="A473" t="s">
        <v>4</v>
      </c>
      <c r="B473" t="s">
        <v>165</v>
      </c>
      <c r="C473" s="8">
        <v>46067</v>
      </c>
      <c r="D473" s="9">
        <v>41648</v>
      </c>
    </row>
    <row r="474" spans="1:4">
      <c r="A474" t="s">
        <v>25</v>
      </c>
      <c r="B474" t="s">
        <v>59</v>
      </c>
      <c r="C474" s="8">
        <v>46067</v>
      </c>
      <c r="D474" s="9">
        <v>13104</v>
      </c>
    </row>
    <row r="475" spans="1:4">
      <c r="A475" t="s">
        <v>25</v>
      </c>
      <c r="B475" t="s">
        <v>200</v>
      </c>
      <c r="C475" s="8">
        <v>46067</v>
      </c>
      <c r="D475" s="9">
        <v>16643</v>
      </c>
    </row>
    <row r="476" spans="1:4">
      <c r="A476" t="s">
        <v>6</v>
      </c>
      <c r="B476" t="s">
        <v>80</v>
      </c>
      <c r="C476" s="8">
        <v>46067</v>
      </c>
      <c r="D476" s="9">
        <v>6329</v>
      </c>
    </row>
    <row r="477" spans="1:4">
      <c r="A477" t="s">
        <v>7</v>
      </c>
      <c r="B477" t="s">
        <v>170</v>
      </c>
      <c r="C477" s="8">
        <v>46067</v>
      </c>
      <c r="D477" s="9">
        <v>19276</v>
      </c>
    </row>
    <row r="478" spans="1:4">
      <c r="A478" t="s">
        <v>7</v>
      </c>
      <c r="B478" t="s">
        <v>275</v>
      </c>
      <c r="C478" s="8">
        <v>46067</v>
      </c>
      <c r="D478" s="9">
        <v>20881</v>
      </c>
    </row>
    <row r="479" spans="1:4">
      <c r="A479" t="s">
        <v>9</v>
      </c>
      <c r="B479" t="s">
        <v>276</v>
      </c>
      <c r="C479" s="8">
        <v>46067</v>
      </c>
      <c r="D479" s="9">
        <v>34492</v>
      </c>
    </row>
    <row r="480" spans="1:4">
      <c r="A480" t="s">
        <v>9</v>
      </c>
      <c r="B480" t="s">
        <v>187</v>
      </c>
      <c r="C480" s="8">
        <v>46067</v>
      </c>
      <c r="D480" s="9">
        <v>44695</v>
      </c>
    </row>
    <row r="481" spans="1:4">
      <c r="A481" t="s">
        <v>9</v>
      </c>
      <c r="B481" t="s">
        <v>96</v>
      </c>
      <c r="C481" s="8">
        <v>46067</v>
      </c>
      <c r="D481" s="9">
        <v>25043</v>
      </c>
    </row>
    <row r="482" spans="1:4">
      <c r="A482" t="s">
        <v>5</v>
      </c>
      <c r="B482" t="s">
        <v>166</v>
      </c>
      <c r="C482" s="8">
        <v>46067</v>
      </c>
      <c r="D482" s="9">
        <v>34627</v>
      </c>
    </row>
    <row r="483" spans="1:4">
      <c r="A483" t="s">
        <v>5</v>
      </c>
      <c r="B483" t="s">
        <v>239</v>
      </c>
      <c r="C483" s="8">
        <v>46067</v>
      </c>
      <c r="D483" s="9">
        <v>41157</v>
      </c>
    </row>
    <row r="484" spans="1:4">
      <c r="A484" t="s">
        <v>5</v>
      </c>
      <c r="B484" t="s">
        <v>189</v>
      </c>
      <c r="C484" s="8">
        <v>46067</v>
      </c>
      <c r="D484" s="9">
        <v>40626</v>
      </c>
    </row>
    <row r="485" spans="1:4">
      <c r="A485" t="s">
        <v>4</v>
      </c>
      <c r="B485" t="s">
        <v>88</v>
      </c>
      <c r="C485" s="8">
        <v>46068</v>
      </c>
      <c r="D485" s="9">
        <v>17865</v>
      </c>
    </row>
    <row r="486" spans="1:4">
      <c r="A486" t="s">
        <v>4</v>
      </c>
      <c r="B486" t="s">
        <v>151</v>
      </c>
      <c r="C486" s="8">
        <v>46068</v>
      </c>
      <c r="D486" s="9">
        <v>16491</v>
      </c>
    </row>
    <row r="487" spans="1:4">
      <c r="A487" t="s">
        <v>25</v>
      </c>
      <c r="B487" t="s">
        <v>267</v>
      </c>
      <c r="C487" s="8">
        <v>46068</v>
      </c>
      <c r="D487" s="9">
        <v>14844</v>
      </c>
    </row>
    <row r="488" spans="1:4">
      <c r="A488" t="s">
        <v>30</v>
      </c>
      <c r="B488" t="s">
        <v>154</v>
      </c>
      <c r="C488" s="8">
        <v>46068</v>
      </c>
      <c r="D488" s="9">
        <v>11226</v>
      </c>
    </row>
    <row r="489" spans="1:4">
      <c r="A489" t="s">
        <v>8</v>
      </c>
      <c r="B489" t="s">
        <v>64</v>
      </c>
      <c r="C489" s="8">
        <v>46068</v>
      </c>
      <c r="D489" s="9">
        <v>13627</v>
      </c>
    </row>
    <row r="490" spans="1:4">
      <c r="A490" t="s">
        <v>6</v>
      </c>
      <c r="B490" t="s">
        <v>141</v>
      </c>
      <c r="C490" s="8">
        <v>46068</v>
      </c>
      <c r="D490" s="9">
        <v>17951</v>
      </c>
    </row>
    <row r="491" spans="1:4">
      <c r="A491" t="s">
        <v>6</v>
      </c>
      <c r="B491" t="s">
        <v>131</v>
      </c>
      <c r="C491" s="8">
        <v>46068</v>
      </c>
      <c r="D491" s="9">
        <v>17280</v>
      </c>
    </row>
    <row r="492" spans="1:4">
      <c r="A492" t="s">
        <v>7</v>
      </c>
      <c r="B492" t="s">
        <v>201</v>
      </c>
      <c r="C492" s="8">
        <v>46068</v>
      </c>
      <c r="D492" s="9">
        <v>19227</v>
      </c>
    </row>
    <row r="493" spans="1:4">
      <c r="A493" t="s">
        <v>7</v>
      </c>
      <c r="B493" t="s">
        <v>90</v>
      </c>
      <c r="C493" s="8">
        <v>46068</v>
      </c>
      <c r="D493" s="9">
        <v>35400</v>
      </c>
    </row>
    <row r="494" spans="1:4">
      <c r="A494" t="s">
        <v>9</v>
      </c>
      <c r="B494" t="s">
        <v>179</v>
      </c>
      <c r="C494" s="8">
        <v>46068</v>
      </c>
      <c r="D494" s="9">
        <v>41105</v>
      </c>
    </row>
    <row r="495" spans="1:4">
      <c r="A495" t="s">
        <v>5</v>
      </c>
      <c r="B495" t="s">
        <v>188</v>
      </c>
      <c r="C495" s="8">
        <v>46068</v>
      </c>
      <c r="D495" s="9">
        <v>20114</v>
      </c>
    </row>
    <row r="496" spans="1:4">
      <c r="A496" t="s">
        <v>5</v>
      </c>
      <c r="B496" t="s">
        <v>167</v>
      </c>
      <c r="C496" s="8">
        <v>46068</v>
      </c>
      <c r="D496" s="9">
        <v>26628</v>
      </c>
    </row>
    <row r="497" spans="1:4">
      <c r="A497" t="s">
        <v>5</v>
      </c>
      <c r="B497" t="s">
        <v>159</v>
      </c>
      <c r="C497" s="8">
        <v>46068</v>
      </c>
      <c r="D497" s="9">
        <v>58785</v>
      </c>
    </row>
    <row r="498" spans="1:4">
      <c r="A498" t="s">
        <v>5</v>
      </c>
      <c r="B498" t="s">
        <v>108</v>
      </c>
      <c r="C498" s="8">
        <v>46068</v>
      </c>
      <c r="D498" s="9">
        <v>35936</v>
      </c>
    </row>
    <row r="499" spans="1:4">
      <c r="A499" t="s">
        <v>5</v>
      </c>
      <c r="B499" t="s">
        <v>108</v>
      </c>
      <c r="C499" s="8">
        <v>46068</v>
      </c>
      <c r="D499" s="9">
        <v>35879</v>
      </c>
    </row>
    <row r="500" spans="1:4">
      <c r="A500" t="s">
        <v>6</v>
      </c>
      <c r="B500" t="s">
        <v>273</v>
      </c>
      <c r="C500" s="8">
        <v>46069</v>
      </c>
      <c r="D500" s="9">
        <v>15373</v>
      </c>
    </row>
    <row r="501" spans="1:4">
      <c r="A501" t="s">
        <v>6</v>
      </c>
      <c r="B501" t="s">
        <v>231</v>
      </c>
      <c r="C501" s="8">
        <v>46069</v>
      </c>
      <c r="D501" s="9">
        <v>14776</v>
      </c>
    </row>
    <row r="502" spans="1:4">
      <c r="A502" t="s">
        <v>7</v>
      </c>
      <c r="B502" t="s">
        <v>226</v>
      </c>
      <c r="C502" s="8">
        <v>46069</v>
      </c>
      <c r="D502" s="9">
        <v>22166</v>
      </c>
    </row>
    <row r="503" spans="1:4">
      <c r="A503" t="s">
        <v>9</v>
      </c>
      <c r="B503" t="s">
        <v>221</v>
      </c>
      <c r="C503" s="8">
        <v>46069</v>
      </c>
      <c r="D503" s="9">
        <v>45316</v>
      </c>
    </row>
    <row r="504" spans="1:4">
      <c r="A504" t="s">
        <v>9</v>
      </c>
      <c r="B504" t="s">
        <v>144</v>
      </c>
      <c r="C504" s="8">
        <v>46069</v>
      </c>
      <c r="D504" s="9">
        <v>26781</v>
      </c>
    </row>
    <row r="505" spans="1:4">
      <c r="A505" t="s">
        <v>9</v>
      </c>
      <c r="B505" t="s">
        <v>172</v>
      </c>
      <c r="C505" s="8">
        <v>46069</v>
      </c>
      <c r="D505" s="9">
        <v>41089</v>
      </c>
    </row>
    <row r="506" spans="1:4">
      <c r="A506" t="s">
        <v>9</v>
      </c>
      <c r="B506" t="s">
        <v>61</v>
      </c>
      <c r="C506" s="8">
        <v>46069</v>
      </c>
      <c r="D506" s="9">
        <v>24092</v>
      </c>
    </row>
    <row r="507" spans="1:4">
      <c r="A507" t="s">
        <v>5</v>
      </c>
      <c r="B507" t="s">
        <v>134</v>
      </c>
      <c r="C507" s="8">
        <v>46069</v>
      </c>
      <c r="D507" s="9">
        <v>37477</v>
      </c>
    </row>
    <row r="508" spans="1:4">
      <c r="A508" t="s">
        <v>5</v>
      </c>
      <c r="B508" t="s">
        <v>204</v>
      </c>
      <c r="C508" s="8">
        <v>46069</v>
      </c>
      <c r="D508" s="9">
        <v>33845</v>
      </c>
    </row>
    <row r="509" spans="1:4">
      <c r="A509" t="s">
        <v>27</v>
      </c>
      <c r="B509" t="s">
        <v>125</v>
      </c>
      <c r="C509" s="8">
        <v>46070</v>
      </c>
      <c r="D509" s="9">
        <v>14732</v>
      </c>
    </row>
    <row r="510" spans="1:4">
      <c r="A510" t="s">
        <v>4</v>
      </c>
      <c r="B510" t="s">
        <v>241</v>
      </c>
      <c r="C510" s="8">
        <v>46070</v>
      </c>
      <c r="D510" s="9">
        <v>19118</v>
      </c>
    </row>
    <row r="511" spans="1:4">
      <c r="A511" t="s">
        <v>25</v>
      </c>
      <c r="B511" t="s">
        <v>215</v>
      </c>
      <c r="C511" s="8">
        <v>46070</v>
      </c>
      <c r="D511" s="9">
        <v>9759</v>
      </c>
    </row>
    <row r="512" spans="1:4">
      <c r="A512" t="s">
        <v>26</v>
      </c>
      <c r="B512" t="s">
        <v>256</v>
      </c>
      <c r="C512" s="8">
        <v>46070</v>
      </c>
      <c r="D512" s="9">
        <v>13324</v>
      </c>
    </row>
    <row r="513" spans="1:4">
      <c r="A513" t="s">
        <v>30</v>
      </c>
      <c r="B513" t="s">
        <v>139</v>
      </c>
      <c r="C513" s="8">
        <v>46070</v>
      </c>
      <c r="D513" s="9">
        <v>10779</v>
      </c>
    </row>
    <row r="514" spans="1:4">
      <c r="A514" t="s">
        <v>30</v>
      </c>
      <c r="B514" t="s">
        <v>206</v>
      </c>
      <c r="C514" s="8">
        <v>46070</v>
      </c>
      <c r="D514" s="9">
        <v>8603</v>
      </c>
    </row>
    <row r="515" spans="1:4">
      <c r="A515" t="s">
        <v>6</v>
      </c>
      <c r="B515" t="s">
        <v>263</v>
      </c>
      <c r="C515" s="8">
        <v>46070</v>
      </c>
      <c r="D515" s="9">
        <v>15619</v>
      </c>
    </row>
    <row r="516" spans="1:4">
      <c r="A516" t="s">
        <v>33</v>
      </c>
      <c r="B516" t="s">
        <v>248</v>
      </c>
      <c r="C516" s="8">
        <v>46070</v>
      </c>
      <c r="D516" s="9">
        <v>14815</v>
      </c>
    </row>
    <row r="517" spans="1:4">
      <c r="A517" t="s">
        <v>29</v>
      </c>
      <c r="B517" t="s">
        <v>155</v>
      </c>
      <c r="C517" s="8">
        <v>46070</v>
      </c>
      <c r="D517" s="9">
        <v>15788</v>
      </c>
    </row>
    <row r="518" spans="1:4">
      <c r="A518" t="s">
        <v>7</v>
      </c>
      <c r="B518" t="s">
        <v>65</v>
      </c>
      <c r="C518" s="8">
        <v>46070</v>
      </c>
      <c r="D518" s="9">
        <v>35955</v>
      </c>
    </row>
    <row r="519" spans="1:4">
      <c r="A519" t="s">
        <v>7</v>
      </c>
      <c r="B519" t="s">
        <v>194</v>
      </c>
      <c r="C519" s="8">
        <v>46070</v>
      </c>
      <c r="D519" s="9">
        <v>24364</v>
      </c>
    </row>
    <row r="520" spans="1:4">
      <c r="A520" t="s">
        <v>9</v>
      </c>
      <c r="B520" t="s">
        <v>245</v>
      </c>
      <c r="C520" s="8">
        <v>46070</v>
      </c>
      <c r="D520" s="9">
        <v>33493</v>
      </c>
    </row>
    <row r="521" spans="1:4">
      <c r="A521" t="s">
        <v>9</v>
      </c>
      <c r="B521" t="s">
        <v>70</v>
      </c>
      <c r="C521" s="8">
        <v>46070</v>
      </c>
      <c r="D521" s="9">
        <v>27139</v>
      </c>
    </row>
    <row r="522" spans="1:4">
      <c r="A522" t="s">
        <v>5</v>
      </c>
      <c r="B522" t="s">
        <v>209</v>
      </c>
      <c r="C522" s="8">
        <v>46070</v>
      </c>
      <c r="D522" s="9">
        <v>48753</v>
      </c>
    </row>
    <row r="523" spans="1:4">
      <c r="A523" t="s">
        <v>5</v>
      </c>
      <c r="B523" t="s">
        <v>53</v>
      </c>
      <c r="C523" s="8">
        <v>46070</v>
      </c>
      <c r="D523" s="9">
        <v>41215</v>
      </c>
    </row>
    <row r="524" spans="1:4">
      <c r="A524" t="s">
        <v>27</v>
      </c>
      <c r="B524" t="s">
        <v>173</v>
      </c>
      <c r="C524" s="8">
        <v>46071</v>
      </c>
      <c r="D524" s="9">
        <v>5200</v>
      </c>
    </row>
    <row r="525" spans="1:4">
      <c r="A525" t="s">
        <v>27</v>
      </c>
      <c r="B525" t="s">
        <v>104</v>
      </c>
      <c r="C525" s="8">
        <v>46071</v>
      </c>
      <c r="D525" s="9">
        <v>12838</v>
      </c>
    </row>
    <row r="526" spans="1:4">
      <c r="A526" t="s">
        <v>4</v>
      </c>
      <c r="B526" t="s">
        <v>127</v>
      </c>
      <c r="C526" s="8">
        <v>46071</v>
      </c>
      <c r="D526" s="9">
        <v>26163</v>
      </c>
    </row>
    <row r="527" spans="1:4">
      <c r="A527" t="s">
        <v>25</v>
      </c>
      <c r="B527" t="s">
        <v>55</v>
      </c>
      <c r="C527" s="8">
        <v>46071</v>
      </c>
      <c r="D527" s="9">
        <v>12909</v>
      </c>
    </row>
    <row r="528" spans="1:4">
      <c r="A528" t="s">
        <v>28</v>
      </c>
      <c r="B528" t="s">
        <v>174</v>
      </c>
      <c r="C528" s="8">
        <v>46071</v>
      </c>
      <c r="D528" s="9">
        <v>24732</v>
      </c>
    </row>
    <row r="529" spans="1:4">
      <c r="A529" t="s">
        <v>8</v>
      </c>
      <c r="B529" t="s">
        <v>56</v>
      </c>
      <c r="C529" s="8">
        <v>46071</v>
      </c>
      <c r="D529" s="9">
        <v>28114</v>
      </c>
    </row>
    <row r="530" spans="1:4">
      <c r="A530" t="s">
        <v>32</v>
      </c>
      <c r="B530" t="s">
        <v>87</v>
      </c>
      <c r="C530" s="8">
        <v>46071</v>
      </c>
      <c r="D530" s="9">
        <v>11322</v>
      </c>
    </row>
    <row r="531" spans="1:4">
      <c r="A531" t="s">
        <v>6</v>
      </c>
      <c r="B531" t="s">
        <v>262</v>
      </c>
      <c r="C531" s="8">
        <v>46071</v>
      </c>
      <c r="D531" s="9">
        <v>16778</v>
      </c>
    </row>
    <row r="532" spans="1:4">
      <c r="A532" t="s">
        <v>5</v>
      </c>
      <c r="B532" t="s">
        <v>145</v>
      </c>
      <c r="C532" s="8">
        <v>46071</v>
      </c>
      <c r="D532" s="9">
        <v>47158</v>
      </c>
    </row>
    <row r="533" spans="1:4">
      <c r="A533" t="s">
        <v>5</v>
      </c>
      <c r="B533" t="s">
        <v>159</v>
      </c>
      <c r="C533" s="8">
        <v>46071</v>
      </c>
      <c r="D533" s="9">
        <v>47700</v>
      </c>
    </row>
    <row r="534" spans="1:4">
      <c r="A534" t="s">
        <v>5</v>
      </c>
      <c r="B534" t="s">
        <v>159</v>
      </c>
      <c r="C534" s="8">
        <v>46071</v>
      </c>
      <c r="D534" s="9">
        <v>59172</v>
      </c>
    </row>
    <row r="535" spans="1:4">
      <c r="A535" t="s">
        <v>5</v>
      </c>
      <c r="B535" t="s">
        <v>159</v>
      </c>
      <c r="C535" s="8">
        <v>46071</v>
      </c>
      <c r="D535" s="9">
        <v>38227</v>
      </c>
    </row>
    <row r="536" spans="1:4">
      <c r="A536" t="s">
        <v>31</v>
      </c>
      <c r="B536" t="s">
        <v>199</v>
      </c>
      <c r="C536" s="8">
        <v>46072</v>
      </c>
      <c r="D536" s="9">
        <v>19654</v>
      </c>
    </row>
    <row r="537" spans="1:4">
      <c r="A537" t="s">
        <v>28</v>
      </c>
      <c r="B537" t="s">
        <v>242</v>
      </c>
      <c r="C537" s="8">
        <v>46072</v>
      </c>
      <c r="D537" s="9">
        <v>6191</v>
      </c>
    </row>
    <row r="538" spans="1:4">
      <c r="A538" t="s">
        <v>8</v>
      </c>
      <c r="B538" t="s">
        <v>52</v>
      </c>
      <c r="C538" s="8">
        <v>46072</v>
      </c>
      <c r="D538" s="9">
        <v>15441</v>
      </c>
    </row>
    <row r="539" spans="1:4">
      <c r="A539" t="s">
        <v>7</v>
      </c>
      <c r="B539" t="s">
        <v>47</v>
      </c>
      <c r="C539" s="8">
        <v>46072</v>
      </c>
      <c r="D539" s="9">
        <v>20664</v>
      </c>
    </row>
    <row r="540" spans="1:4">
      <c r="A540" t="s">
        <v>9</v>
      </c>
      <c r="B540" t="s">
        <v>158</v>
      </c>
      <c r="C540" s="8">
        <v>46072</v>
      </c>
      <c r="D540" s="9">
        <v>32578</v>
      </c>
    </row>
    <row r="541" spans="1:4">
      <c r="A541" t="s">
        <v>5</v>
      </c>
      <c r="B541" t="s">
        <v>74</v>
      </c>
      <c r="C541" s="8">
        <v>46072</v>
      </c>
      <c r="D541" s="9">
        <v>34860</v>
      </c>
    </row>
    <row r="542" spans="1:4">
      <c r="A542" t="s">
        <v>5</v>
      </c>
      <c r="B542" t="s">
        <v>54</v>
      </c>
      <c r="C542" s="8">
        <v>46072</v>
      </c>
      <c r="D542" s="9">
        <v>47634</v>
      </c>
    </row>
    <row r="543" spans="1:4">
      <c r="A543" t="s">
        <v>5</v>
      </c>
      <c r="B543" t="s">
        <v>211</v>
      </c>
      <c r="C543" s="8">
        <v>46072</v>
      </c>
      <c r="D543" s="9">
        <v>35594</v>
      </c>
    </row>
    <row r="544" spans="1:4">
      <c r="A544" t="s">
        <v>5</v>
      </c>
      <c r="B544" t="s">
        <v>109</v>
      </c>
      <c r="C544" s="8">
        <v>46072</v>
      </c>
      <c r="D544" s="9">
        <v>43002</v>
      </c>
    </row>
    <row r="545" spans="1:4">
      <c r="A545" t="s">
        <v>4</v>
      </c>
      <c r="B545" t="s">
        <v>181</v>
      </c>
      <c r="C545" s="8">
        <v>46073</v>
      </c>
      <c r="D545" s="9">
        <v>27330</v>
      </c>
    </row>
    <row r="546" spans="1:4">
      <c r="A546" t="s">
        <v>4</v>
      </c>
      <c r="B546" t="s">
        <v>150</v>
      </c>
      <c r="C546" s="8">
        <v>46073</v>
      </c>
      <c r="D546" s="9">
        <v>37378</v>
      </c>
    </row>
    <row r="547" spans="1:4">
      <c r="A547" t="s">
        <v>4</v>
      </c>
      <c r="B547" t="s">
        <v>222</v>
      </c>
      <c r="C547" s="8">
        <v>46073</v>
      </c>
      <c r="D547" s="9">
        <v>35320</v>
      </c>
    </row>
    <row r="548" spans="1:4">
      <c r="A548" t="s">
        <v>4</v>
      </c>
      <c r="B548" t="s">
        <v>85</v>
      </c>
      <c r="C548" s="8">
        <v>46073</v>
      </c>
      <c r="D548" s="9">
        <v>19501</v>
      </c>
    </row>
    <row r="549" spans="1:4">
      <c r="A549" t="s">
        <v>26</v>
      </c>
      <c r="B549" t="s">
        <v>95</v>
      </c>
      <c r="C549" s="8">
        <v>46073</v>
      </c>
      <c r="D549" s="9">
        <v>5200</v>
      </c>
    </row>
    <row r="550" spans="1:4">
      <c r="A550" t="s">
        <v>8</v>
      </c>
      <c r="B550" t="s">
        <v>259</v>
      </c>
      <c r="C550" s="8">
        <v>46073</v>
      </c>
      <c r="D550" s="9">
        <v>16002</v>
      </c>
    </row>
    <row r="551" spans="1:4">
      <c r="A551" t="s">
        <v>9</v>
      </c>
      <c r="B551" t="s">
        <v>144</v>
      </c>
      <c r="C551" s="8">
        <v>46073</v>
      </c>
      <c r="D551" s="9">
        <v>25517</v>
      </c>
    </row>
    <row r="552" spans="1:4">
      <c r="A552" t="s">
        <v>5</v>
      </c>
      <c r="B552" t="s">
        <v>251</v>
      </c>
      <c r="C552" s="8">
        <v>46073</v>
      </c>
      <c r="D552" s="9">
        <v>37547</v>
      </c>
    </row>
    <row r="553" spans="1:4">
      <c r="A553" t="s">
        <v>5</v>
      </c>
      <c r="B553" t="s">
        <v>211</v>
      </c>
      <c r="C553" s="8">
        <v>46073</v>
      </c>
      <c r="D553" s="9">
        <v>35804</v>
      </c>
    </row>
    <row r="554" spans="1:4">
      <c r="A554" t="s">
        <v>5</v>
      </c>
      <c r="B554" t="s">
        <v>172</v>
      </c>
      <c r="C554" s="8">
        <v>46073</v>
      </c>
      <c r="D554" s="9">
        <v>41721</v>
      </c>
    </row>
    <row r="555" spans="1:4">
      <c r="A555" t="s">
        <v>35</v>
      </c>
      <c r="B555" t="s">
        <v>232</v>
      </c>
      <c r="C555" s="8">
        <v>46074</v>
      </c>
      <c r="D555" s="9">
        <v>13345</v>
      </c>
    </row>
    <row r="556" spans="1:4">
      <c r="A556" t="s">
        <v>4</v>
      </c>
      <c r="B556" t="s">
        <v>136</v>
      </c>
      <c r="C556" s="8">
        <v>46074</v>
      </c>
      <c r="D556" s="9">
        <v>6600</v>
      </c>
    </row>
    <row r="557" spans="1:4">
      <c r="A557" t="s">
        <v>25</v>
      </c>
      <c r="B557" t="s">
        <v>228</v>
      </c>
      <c r="C557" s="8">
        <v>46074</v>
      </c>
      <c r="D557" s="9">
        <v>12716</v>
      </c>
    </row>
    <row r="558" spans="1:4">
      <c r="A558" t="s">
        <v>8</v>
      </c>
      <c r="B558" t="s">
        <v>258</v>
      </c>
      <c r="C558" s="8">
        <v>46074</v>
      </c>
      <c r="D558" s="9">
        <v>7726</v>
      </c>
    </row>
    <row r="559" spans="1:4">
      <c r="A559" t="s">
        <v>7</v>
      </c>
      <c r="B559" t="s">
        <v>175</v>
      </c>
      <c r="C559" s="8">
        <v>46074</v>
      </c>
      <c r="D559" s="9">
        <v>17822</v>
      </c>
    </row>
    <row r="560" spans="1:4">
      <c r="A560" t="s">
        <v>9</v>
      </c>
      <c r="B560" t="s">
        <v>91</v>
      </c>
      <c r="C560" s="8">
        <v>46074</v>
      </c>
      <c r="D560" s="9">
        <v>30861</v>
      </c>
    </row>
    <row r="561" spans="1:4">
      <c r="A561" t="s">
        <v>5</v>
      </c>
      <c r="B561" t="s">
        <v>133</v>
      </c>
      <c r="C561" s="8">
        <v>46074</v>
      </c>
      <c r="D561" s="9">
        <v>30490</v>
      </c>
    </row>
    <row r="562" spans="1:4">
      <c r="A562" t="s">
        <v>5</v>
      </c>
      <c r="B562" t="s">
        <v>49</v>
      </c>
      <c r="C562" s="8">
        <v>46074</v>
      </c>
      <c r="D562" s="9">
        <v>42923</v>
      </c>
    </row>
    <row r="563" spans="1:4">
      <c r="A563" t="s">
        <v>5</v>
      </c>
      <c r="B563" t="s">
        <v>251</v>
      </c>
      <c r="C563" s="8">
        <v>46074</v>
      </c>
      <c r="D563" s="9">
        <v>41814</v>
      </c>
    </row>
    <row r="564" spans="1:4">
      <c r="A564" t="s">
        <v>31</v>
      </c>
      <c r="B564" t="s">
        <v>77</v>
      </c>
      <c r="C564" s="8">
        <v>46075</v>
      </c>
      <c r="D564" s="9">
        <v>7928</v>
      </c>
    </row>
    <row r="565" spans="1:4">
      <c r="A565" t="s">
        <v>26</v>
      </c>
      <c r="B565" t="s">
        <v>138</v>
      </c>
      <c r="C565" s="8">
        <v>46075</v>
      </c>
      <c r="D565" s="9">
        <v>13671</v>
      </c>
    </row>
    <row r="566" spans="1:4">
      <c r="A566" t="s">
        <v>26</v>
      </c>
      <c r="B566" t="s">
        <v>205</v>
      </c>
      <c r="C566" s="8">
        <v>46075</v>
      </c>
      <c r="D566" s="9">
        <v>13953</v>
      </c>
    </row>
    <row r="567" spans="1:4">
      <c r="A567" t="s">
        <v>34</v>
      </c>
      <c r="B567" t="s">
        <v>265</v>
      </c>
      <c r="C567" s="8">
        <v>46075</v>
      </c>
      <c r="D567" s="9">
        <v>11188</v>
      </c>
    </row>
    <row r="568" spans="1:4">
      <c r="A568" t="s">
        <v>6</v>
      </c>
      <c r="B568" t="s">
        <v>192</v>
      </c>
      <c r="C568" s="8">
        <v>46075</v>
      </c>
      <c r="D568" s="9">
        <v>18752</v>
      </c>
    </row>
    <row r="569" spans="1:4">
      <c r="A569" t="s">
        <v>7</v>
      </c>
      <c r="B569" t="s">
        <v>233</v>
      </c>
      <c r="C569" s="8">
        <v>46075</v>
      </c>
      <c r="D569" s="9">
        <v>18158</v>
      </c>
    </row>
    <row r="570" spans="1:4">
      <c r="A570" t="s">
        <v>7</v>
      </c>
      <c r="B570" t="s">
        <v>190</v>
      </c>
      <c r="C570" s="8">
        <v>46075</v>
      </c>
      <c r="D570" s="9">
        <v>26787</v>
      </c>
    </row>
    <row r="571" spans="1:4">
      <c r="A571" t="s">
        <v>9</v>
      </c>
      <c r="B571" t="s">
        <v>164</v>
      </c>
      <c r="C571" s="8">
        <v>46075</v>
      </c>
      <c r="D571" s="9">
        <v>28833</v>
      </c>
    </row>
    <row r="572" spans="1:4">
      <c r="A572" t="s">
        <v>9</v>
      </c>
      <c r="B572" t="s">
        <v>97</v>
      </c>
      <c r="C572" s="8">
        <v>46075</v>
      </c>
      <c r="D572" s="9">
        <v>34576</v>
      </c>
    </row>
    <row r="573" spans="1:4">
      <c r="A573" t="s">
        <v>9</v>
      </c>
      <c r="B573" t="s">
        <v>250</v>
      </c>
      <c r="C573" s="8">
        <v>46075</v>
      </c>
      <c r="D573" s="9">
        <v>42649</v>
      </c>
    </row>
    <row r="574" spans="1:4">
      <c r="A574" t="s">
        <v>9</v>
      </c>
      <c r="B574" t="s">
        <v>219</v>
      </c>
      <c r="C574" s="8">
        <v>46075</v>
      </c>
      <c r="D574" s="9">
        <v>43113</v>
      </c>
    </row>
    <row r="575" spans="1:4">
      <c r="A575" t="s">
        <v>9</v>
      </c>
      <c r="B575" t="s">
        <v>178</v>
      </c>
      <c r="C575" s="8">
        <v>46075</v>
      </c>
      <c r="D575" s="9">
        <v>57844</v>
      </c>
    </row>
    <row r="576" spans="1:4">
      <c r="A576" t="s">
        <v>9</v>
      </c>
      <c r="B576" t="s">
        <v>189</v>
      </c>
      <c r="C576" s="8">
        <v>46075</v>
      </c>
      <c r="D576" s="9">
        <v>42759</v>
      </c>
    </row>
    <row r="577" spans="1:4">
      <c r="A577" t="s">
        <v>5</v>
      </c>
      <c r="B577" t="s">
        <v>203</v>
      </c>
      <c r="C577" s="8">
        <v>46075</v>
      </c>
      <c r="D577" s="9">
        <v>34228</v>
      </c>
    </row>
    <row r="578" spans="1:4">
      <c r="A578" t="s">
        <v>5</v>
      </c>
      <c r="B578" t="s">
        <v>72</v>
      </c>
      <c r="C578" s="8">
        <v>46075</v>
      </c>
      <c r="D578" s="9">
        <v>64339</v>
      </c>
    </row>
    <row r="579" spans="1:4">
      <c r="A579" t="s">
        <v>5</v>
      </c>
      <c r="B579" t="s">
        <v>134</v>
      </c>
      <c r="C579" s="8">
        <v>46075</v>
      </c>
      <c r="D579" s="9">
        <v>28083</v>
      </c>
    </row>
    <row r="580" spans="1:4">
      <c r="A580" t="s">
        <v>27</v>
      </c>
      <c r="B580" t="s">
        <v>253</v>
      </c>
      <c r="C580" s="8">
        <v>46076</v>
      </c>
      <c r="D580" s="9">
        <v>21602</v>
      </c>
    </row>
    <row r="581" spans="1:4">
      <c r="A581" t="s">
        <v>27</v>
      </c>
      <c r="B581" t="s">
        <v>102</v>
      </c>
      <c r="C581" s="8">
        <v>46076</v>
      </c>
      <c r="D581" s="9">
        <v>14877</v>
      </c>
    </row>
    <row r="582" spans="1:4">
      <c r="A582" t="s">
        <v>26</v>
      </c>
      <c r="B582" t="s">
        <v>119</v>
      </c>
      <c r="C582" s="8">
        <v>46076</v>
      </c>
      <c r="D582" s="9">
        <v>9339</v>
      </c>
    </row>
    <row r="583" spans="1:4">
      <c r="A583" t="s">
        <v>8</v>
      </c>
      <c r="B583" t="s">
        <v>214</v>
      </c>
      <c r="C583" s="8">
        <v>46076</v>
      </c>
      <c r="D583" s="9">
        <v>17598</v>
      </c>
    </row>
    <row r="584" spans="1:4">
      <c r="A584" t="s">
        <v>9</v>
      </c>
      <c r="B584" t="s">
        <v>220</v>
      </c>
      <c r="C584" s="8">
        <v>46076</v>
      </c>
      <c r="D584" s="9">
        <v>36979</v>
      </c>
    </row>
    <row r="585" spans="1:4">
      <c r="A585" t="s">
        <v>9</v>
      </c>
      <c r="B585" t="s">
        <v>66</v>
      </c>
      <c r="C585" s="8">
        <v>46076</v>
      </c>
      <c r="D585" s="9">
        <v>20194</v>
      </c>
    </row>
    <row r="586" spans="1:4">
      <c r="A586" t="s">
        <v>5</v>
      </c>
      <c r="B586" t="s">
        <v>167</v>
      </c>
      <c r="C586" s="8">
        <v>46076</v>
      </c>
      <c r="D586" s="9">
        <v>35703</v>
      </c>
    </row>
    <row r="587" spans="1:4">
      <c r="A587" t="s">
        <v>5</v>
      </c>
      <c r="B587" t="s">
        <v>123</v>
      </c>
      <c r="C587" s="8">
        <v>46076</v>
      </c>
      <c r="D587" s="9">
        <v>43828</v>
      </c>
    </row>
    <row r="588" spans="1:4">
      <c r="A588" t="s">
        <v>5</v>
      </c>
      <c r="B588" t="s">
        <v>159</v>
      </c>
      <c r="C588" s="8">
        <v>46076</v>
      </c>
      <c r="D588" s="9">
        <v>53645</v>
      </c>
    </row>
    <row r="589" spans="1:4">
      <c r="A589" t="s">
        <v>5</v>
      </c>
      <c r="B589" t="s">
        <v>54</v>
      </c>
      <c r="C589" s="8">
        <v>46076</v>
      </c>
      <c r="D589" s="9">
        <v>51944</v>
      </c>
    </row>
    <row r="590" spans="1:4">
      <c r="A590" t="s">
        <v>5</v>
      </c>
      <c r="B590" t="s">
        <v>109</v>
      </c>
      <c r="C590" s="8">
        <v>46076</v>
      </c>
      <c r="D590" s="9">
        <v>52278</v>
      </c>
    </row>
    <row r="591" spans="1:4">
      <c r="A591" t="s">
        <v>4</v>
      </c>
      <c r="B591" t="s">
        <v>106</v>
      </c>
      <c r="C591" s="8">
        <v>46077</v>
      </c>
      <c r="D591" s="9">
        <v>48284</v>
      </c>
    </row>
    <row r="592" spans="1:4">
      <c r="A592" t="s">
        <v>4</v>
      </c>
      <c r="B592" t="s">
        <v>180</v>
      </c>
      <c r="C592" s="8">
        <v>46077</v>
      </c>
      <c r="D592" s="9">
        <v>30676</v>
      </c>
    </row>
    <row r="593" spans="1:4">
      <c r="A593" t="s">
        <v>4</v>
      </c>
      <c r="B593" t="s">
        <v>223</v>
      </c>
      <c r="C593" s="8">
        <v>46077</v>
      </c>
      <c r="D593" s="9">
        <v>13498</v>
      </c>
    </row>
    <row r="594" spans="1:4">
      <c r="A594" t="s">
        <v>30</v>
      </c>
      <c r="B594" t="s">
        <v>63</v>
      </c>
      <c r="C594" s="8">
        <v>46077</v>
      </c>
      <c r="D594" s="9">
        <v>12235</v>
      </c>
    </row>
    <row r="595" spans="1:4">
      <c r="A595" t="s">
        <v>8</v>
      </c>
      <c r="B595" t="s">
        <v>129</v>
      </c>
      <c r="C595" s="8">
        <v>46077</v>
      </c>
      <c r="D595" s="9">
        <v>16416</v>
      </c>
    </row>
    <row r="596" spans="1:4">
      <c r="A596" t="s">
        <v>29</v>
      </c>
      <c r="B596" t="s">
        <v>121</v>
      </c>
      <c r="C596" s="8">
        <v>46077</v>
      </c>
      <c r="D596" s="9">
        <v>5200</v>
      </c>
    </row>
    <row r="597" spans="1:4">
      <c r="A597" t="s">
        <v>29</v>
      </c>
      <c r="B597" t="s">
        <v>112</v>
      </c>
      <c r="C597" s="8">
        <v>46077</v>
      </c>
      <c r="D597" s="9">
        <v>10983</v>
      </c>
    </row>
    <row r="598" spans="1:4">
      <c r="A598" t="s">
        <v>37</v>
      </c>
      <c r="B598" t="s">
        <v>81</v>
      </c>
      <c r="C598" s="8">
        <v>46077</v>
      </c>
      <c r="D598" s="9">
        <v>10441</v>
      </c>
    </row>
    <row r="599" spans="1:4">
      <c r="A599" t="s">
        <v>9</v>
      </c>
      <c r="B599" t="s">
        <v>235</v>
      </c>
      <c r="C599" s="8">
        <v>46077</v>
      </c>
      <c r="D599" s="9">
        <v>30461</v>
      </c>
    </row>
    <row r="600" spans="1:4">
      <c r="A600" t="s">
        <v>9</v>
      </c>
      <c r="B600" t="s">
        <v>71</v>
      </c>
      <c r="C600" s="8">
        <v>46077</v>
      </c>
      <c r="D600" s="9">
        <v>49256</v>
      </c>
    </row>
    <row r="601" spans="1:4">
      <c r="A601" t="s">
        <v>5</v>
      </c>
      <c r="B601" t="s">
        <v>54</v>
      </c>
      <c r="C601" s="8">
        <v>46077</v>
      </c>
      <c r="D601" s="9">
        <v>39395</v>
      </c>
    </row>
    <row r="602" spans="1:4">
      <c r="A602" t="s">
        <v>27</v>
      </c>
      <c r="B602" t="s">
        <v>184</v>
      </c>
      <c r="C602" s="8">
        <v>46078</v>
      </c>
      <c r="D602" s="9">
        <v>21598</v>
      </c>
    </row>
    <row r="603" spans="1:4">
      <c r="A603" t="s">
        <v>4</v>
      </c>
      <c r="B603" t="s">
        <v>75</v>
      </c>
      <c r="C603" s="8">
        <v>46078</v>
      </c>
      <c r="D603" s="9">
        <v>31232</v>
      </c>
    </row>
    <row r="604" spans="1:4">
      <c r="A604" t="s">
        <v>4</v>
      </c>
      <c r="B604" t="s">
        <v>50</v>
      </c>
      <c r="C604" s="8">
        <v>46078</v>
      </c>
      <c r="D604" s="9">
        <v>24336</v>
      </c>
    </row>
    <row r="605" spans="1:4">
      <c r="A605" t="s">
        <v>25</v>
      </c>
      <c r="B605" t="s">
        <v>117</v>
      </c>
      <c r="C605" s="8">
        <v>46078</v>
      </c>
      <c r="D605" s="9">
        <v>10434</v>
      </c>
    </row>
    <row r="606" spans="1:4">
      <c r="A606" t="s">
        <v>25</v>
      </c>
      <c r="B606" t="s">
        <v>186</v>
      </c>
      <c r="C606" s="8">
        <v>46078</v>
      </c>
      <c r="D606" s="9">
        <v>13573</v>
      </c>
    </row>
    <row r="607" spans="1:4">
      <c r="A607" t="s">
        <v>9</v>
      </c>
      <c r="B607" t="s">
        <v>276</v>
      </c>
      <c r="C607" s="8">
        <v>46078</v>
      </c>
      <c r="D607" s="9">
        <v>42961</v>
      </c>
    </row>
    <row r="608" spans="1:4">
      <c r="A608" t="s">
        <v>9</v>
      </c>
      <c r="B608" t="s">
        <v>245</v>
      </c>
      <c r="C608" s="8">
        <v>46078</v>
      </c>
      <c r="D608" s="9">
        <v>37085</v>
      </c>
    </row>
    <row r="609" spans="1:4">
      <c r="A609" t="s">
        <v>5</v>
      </c>
      <c r="B609" t="s">
        <v>209</v>
      </c>
      <c r="C609" s="8">
        <v>46078</v>
      </c>
      <c r="D609" s="9">
        <v>33980</v>
      </c>
    </row>
    <row r="610" spans="1:4">
      <c r="A610" t="s">
        <v>5</v>
      </c>
      <c r="B610" t="s">
        <v>107</v>
      </c>
      <c r="C610" s="8">
        <v>46078</v>
      </c>
      <c r="D610" s="9">
        <v>38354</v>
      </c>
    </row>
    <row r="611" spans="1:4">
      <c r="A611" t="s">
        <v>5</v>
      </c>
      <c r="B611" t="s">
        <v>270</v>
      </c>
      <c r="C611" s="8">
        <v>46078</v>
      </c>
      <c r="D611" s="9">
        <v>54191</v>
      </c>
    </row>
    <row r="612" spans="1:4">
      <c r="A612" t="s">
        <v>4</v>
      </c>
      <c r="B612" t="s">
        <v>60</v>
      </c>
      <c r="C612" s="8">
        <v>46079</v>
      </c>
      <c r="D612" s="9">
        <v>27169</v>
      </c>
    </row>
    <row r="613" spans="1:4">
      <c r="A613" t="s">
        <v>4</v>
      </c>
      <c r="B613" t="s">
        <v>67</v>
      </c>
      <c r="C613" s="8">
        <v>46079</v>
      </c>
      <c r="D613" s="9">
        <v>30502</v>
      </c>
    </row>
    <row r="614" spans="1:4">
      <c r="A614" t="s">
        <v>4</v>
      </c>
      <c r="B614" t="s">
        <v>220</v>
      </c>
      <c r="C614" s="8">
        <v>46079</v>
      </c>
      <c r="D614" s="9">
        <v>29229</v>
      </c>
    </row>
    <row r="615" spans="1:4">
      <c r="A615" t="s">
        <v>8</v>
      </c>
      <c r="B615" t="s">
        <v>207</v>
      </c>
      <c r="C615" s="8">
        <v>46079</v>
      </c>
      <c r="D615" s="9">
        <v>33492</v>
      </c>
    </row>
    <row r="616" spans="1:4">
      <c r="A616" t="s">
        <v>8</v>
      </c>
      <c r="B616" t="s">
        <v>225</v>
      </c>
      <c r="C616" s="8">
        <v>46079</v>
      </c>
      <c r="D616" s="9">
        <v>5200</v>
      </c>
    </row>
    <row r="617" spans="1:4">
      <c r="A617" t="s">
        <v>29</v>
      </c>
      <c r="B617" t="s">
        <v>191</v>
      </c>
      <c r="C617" s="8">
        <v>46079</v>
      </c>
      <c r="D617" s="9">
        <v>12823</v>
      </c>
    </row>
    <row r="618" spans="1:4">
      <c r="A618" t="s">
        <v>7</v>
      </c>
      <c r="B618" t="s">
        <v>274</v>
      </c>
      <c r="C618" s="8">
        <v>46079</v>
      </c>
      <c r="D618" s="9">
        <v>22804</v>
      </c>
    </row>
    <row r="619" spans="1:4">
      <c r="A619" t="s">
        <v>9</v>
      </c>
      <c r="B619" t="s">
        <v>203</v>
      </c>
      <c r="C619" s="8">
        <v>46079</v>
      </c>
      <c r="D619" s="9">
        <v>27217</v>
      </c>
    </row>
    <row r="620" spans="1:4">
      <c r="A620" t="s">
        <v>5</v>
      </c>
      <c r="B620" t="s">
        <v>114</v>
      </c>
      <c r="C620" s="8">
        <v>46079</v>
      </c>
      <c r="D620" s="9">
        <v>40363</v>
      </c>
    </row>
    <row r="621" spans="1:4">
      <c r="A621" t="s">
        <v>5</v>
      </c>
      <c r="B621" t="s">
        <v>123</v>
      </c>
      <c r="C621" s="8">
        <v>46079</v>
      </c>
      <c r="D621" s="9">
        <v>33480</v>
      </c>
    </row>
    <row r="622" spans="1:4">
      <c r="A622" t="s">
        <v>5</v>
      </c>
      <c r="B622" t="s">
        <v>99</v>
      </c>
      <c r="C622" s="8">
        <v>46079</v>
      </c>
      <c r="D622" s="9">
        <v>34972</v>
      </c>
    </row>
    <row r="623" spans="1:4">
      <c r="A623" t="s">
        <v>5</v>
      </c>
      <c r="B623" t="s">
        <v>115</v>
      </c>
      <c r="C623" s="8">
        <v>46079</v>
      </c>
      <c r="D623" s="9">
        <v>32906</v>
      </c>
    </row>
    <row r="624" spans="1:4">
      <c r="A624" t="s">
        <v>5</v>
      </c>
      <c r="B624" t="s">
        <v>107</v>
      </c>
      <c r="C624" s="8">
        <v>46079</v>
      </c>
      <c r="D624" s="9">
        <v>39873</v>
      </c>
    </row>
    <row r="625" spans="1:4">
      <c r="A625" t="s">
        <v>5</v>
      </c>
      <c r="B625" t="s">
        <v>270</v>
      </c>
      <c r="C625" s="8">
        <v>46079</v>
      </c>
      <c r="D625" s="9">
        <v>43369</v>
      </c>
    </row>
    <row r="626" spans="1:4">
      <c r="A626" t="s">
        <v>5</v>
      </c>
      <c r="B626" t="s">
        <v>212</v>
      </c>
      <c r="C626" s="8">
        <v>46079</v>
      </c>
      <c r="D626" s="9">
        <v>27569</v>
      </c>
    </row>
    <row r="627" spans="1:4">
      <c r="A627" t="s">
        <v>4</v>
      </c>
      <c r="B627" t="s">
        <v>60</v>
      </c>
      <c r="C627" s="8">
        <v>46080</v>
      </c>
      <c r="D627" s="9">
        <v>20062</v>
      </c>
    </row>
    <row r="628" spans="1:4">
      <c r="A628" t="s">
        <v>4</v>
      </c>
      <c r="B628" t="s">
        <v>185</v>
      </c>
      <c r="C628" s="8">
        <v>46080</v>
      </c>
      <c r="D628" s="9">
        <v>20580</v>
      </c>
    </row>
    <row r="629" spans="1:4">
      <c r="A629" t="s">
        <v>4</v>
      </c>
      <c r="B629" t="s">
        <v>254</v>
      </c>
      <c r="C629" s="8">
        <v>46080</v>
      </c>
      <c r="D629" s="9">
        <v>29260</v>
      </c>
    </row>
    <row r="630" spans="1:4">
      <c r="A630" t="s">
        <v>28</v>
      </c>
      <c r="B630" t="s">
        <v>255</v>
      </c>
      <c r="C630" s="8">
        <v>46080</v>
      </c>
      <c r="D630" s="9">
        <v>22924</v>
      </c>
    </row>
    <row r="631" spans="1:4">
      <c r="A631" t="s">
        <v>8</v>
      </c>
      <c r="B631" t="s">
        <v>281</v>
      </c>
      <c r="C631" s="8">
        <v>46080</v>
      </c>
      <c r="D631" s="9">
        <v>10095</v>
      </c>
    </row>
    <row r="632" spans="1:4">
      <c r="A632" t="s">
        <v>7</v>
      </c>
      <c r="B632" t="s">
        <v>197</v>
      </c>
      <c r="C632" s="8">
        <v>46080</v>
      </c>
      <c r="D632" s="9">
        <v>25290</v>
      </c>
    </row>
    <row r="633" spans="1:4">
      <c r="A633" t="s">
        <v>7</v>
      </c>
      <c r="B633" t="s">
        <v>89</v>
      </c>
      <c r="C633" s="8">
        <v>46080</v>
      </c>
      <c r="D633" s="9">
        <v>19651</v>
      </c>
    </row>
    <row r="634" spans="1:4">
      <c r="A634" t="s">
        <v>9</v>
      </c>
      <c r="B634" t="s">
        <v>283</v>
      </c>
      <c r="C634" s="8">
        <v>46080</v>
      </c>
      <c r="D634" s="9">
        <v>35825</v>
      </c>
    </row>
    <row r="635" spans="1:4">
      <c r="A635" t="s">
        <v>9</v>
      </c>
      <c r="B635" t="s">
        <v>91</v>
      </c>
      <c r="C635" s="8">
        <v>46080</v>
      </c>
      <c r="D635" s="9">
        <v>28612</v>
      </c>
    </row>
    <row r="636" spans="1:4">
      <c r="A636" t="s">
        <v>9</v>
      </c>
      <c r="B636" t="s">
        <v>96</v>
      </c>
      <c r="C636" s="8">
        <v>46080</v>
      </c>
      <c r="D636" s="9">
        <v>34279</v>
      </c>
    </row>
    <row r="637" spans="1:4">
      <c r="A637" t="s">
        <v>9</v>
      </c>
      <c r="B637" t="s">
        <v>234</v>
      </c>
      <c r="C637" s="8">
        <v>46080</v>
      </c>
      <c r="D637" s="9">
        <v>8097</v>
      </c>
    </row>
    <row r="638" spans="1:4">
      <c r="A638" t="s">
        <v>5</v>
      </c>
      <c r="B638" t="s">
        <v>166</v>
      </c>
      <c r="C638" s="8">
        <v>46080</v>
      </c>
      <c r="D638" s="9">
        <v>43903</v>
      </c>
    </row>
    <row r="639" spans="1:4">
      <c r="A639" t="s">
        <v>5</v>
      </c>
      <c r="B639" t="s">
        <v>277</v>
      </c>
      <c r="C639" s="8">
        <v>46080</v>
      </c>
      <c r="D639" s="9">
        <v>37242</v>
      </c>
    </row>
    <row r="640" spans="1:4">
      <c r="A640" t="s">
        <v>5</v>
      </c>
      <c r="B640" t="s">
        <v>277</v>
      </c>
      <c r="C640" s="8">
        <v>46080</v>
      </c>
      <c r="D640" s="9">
        <v>38780</v>
      </c>
    </row>
    <row r="641" spans="1:4">
      <c r="A641" t="s">
        <v>38</v>
      </c>
      <c r="B641" t="s">
        <v>110</v>
      </c>
      <c r="C641" s="8">
        <v>46081</v>
      </c>
      <c r="D641" s="9">
        <v>11841</v>
      </c>
    </row>
    <row r="642" spans="1:4">
      <c r="A642" t="s">
        <v>4</v>
      </c>
      <c r="B642" t="s">
        <v>198</v>
      </c>
      <c r="C642" s="8">
        <v>46081</v>
      </c>
      <c r="D642" s="9">
        <v>28677</v>
      </c>
    </row>
    <row r="643" spans="1:4">
      <c r="A643" t="s">
        <v>6</v>
      </c>
      <c r="B643" t="s">
        <v>120</v>
      </c>
      <c r="C643" s="8">
        <v>46081</v>
      </c>
      <c r="D643" s="9">
        <v>18140</v>
      </c>
    </row>
    <row r="644" spans="1:4">
      <c r="A644" t="s">
        <v>7</v>
      </c>
      <c r="B644" t="s">
        <v>202</v>
      </c>
      <c r="C644" s="8">
        <v>46081</v>
      </c>
      <c r="D644" s="9">
        <v>21715</v>
      </c>
    </row>
    <row r="645" spans="1:4">
      <c r="A645" t="s">
        <v>9</v>
      </c>
      <c r="B645" t="s">
        <v>171</v>
      </c>
      <c r="C645" s="8">
        <v>46081</v>
      </c>
      <c r="D645" s="9">
        <v>42191</v>
      </c>
    </row>
    <row r="646" spans="1:4">
      <c r="A646" t="s">
        <v>5</v>
      </c>
      <c r="B646" t="s">
        <v>49</v>
      </c>
      <c r="C646" s="8">
        <v>46081</v>
      </c>
      <c r="D646" s="9">
        <v>31268</v>
      </c>
    </row>
    <row r="647" spans="1:4">
      <c r="A647" t="s">
        <v>5</v>
      </c>
      <c r="B647" t="s">
        <v>124</v>
      </c>
      <c r="C647" s="8">
        <v>46081</v>
      </c>
      <c r="D647" s="9">
        <v>32673</v>
      </c>
    </row>
    <row r="648" spans="1:4">
      <c r="A648" t="s">
        <v>25</v>
      </c>
      <c r="B648" t="s">
        <v>59</v>
      </c>
      <c r="C648" s="8">
        <v>46082</v>
      </c>
      <c r="D648" s="9">
        <v>12450</v>
      </c>
    </row>
    <row r="649" spans="1:4">
      <c r="A649" t="s">
        <v>30</v>
      </c>
      <c r="B649" t="s">
        <v>154</v>
      </c>
      <c r="C649" s="8">
        <v>46082</v>
      </c>
      <c r="D649" s="9">
        <v>11092</v>
      </c>
    </row>
    <row r="650" spans="1:4">
      <c r="A650" t="s">
        <v>30</v>
      </c>
      <c r="B650" t="s">
        <v>162</v>
      </c>
      <c r="C650" s="8">
        <v>46082</v>
      </c>
      <c r="D650" s="9">
        <v>11703</v>
      </c>
    </row>
    <row r="651" spans="1:4">
      <c r="A651" t="s">
        <v>6</v>
      </c>
      <c r="B651" t="s">
        <v>208</v>
      </c>
      <c r="C651" s="8">
        <v>46082</v>
      </c>
      <c r="D651" s="9">
        <v>17504</v>
      </c>
    </row>
    <row r="652" spans="1:4">
      <c r="A652" t="s">
        <v>9</v>
      </c>
      <c r="B652" t="s">
        <v>221</v>
      </c>
      <c r="C652" s="8">
        <v>46082</v>
      </c>
      <c r="D652" s="9">
        <v>48873</v>
      </c>
    </row>
    <row r="653" spans="1:4">
      <c r="A653" t="s">
        <v>9</v>
      </c>
      <c r="B653" t="s">
        <v>148</v>
      </c>
      <c r="C653" s="8">
        <v>46082</v>
      </c>
      <c r="D653" s="9">
        <v>30971</v>
      </c>
    </row>
    <row r="654" spans="1:4">
      <c r="A654" t="s">
        <v>9</v>
      </c>
      <c r="B654" t="s">
        <v>144</v>
      </c>
      <c r="C654" s="8">
        <v>46082</v>
      </c>
      <c r="D654" s="9">
        <v>28929</v>
      </c>
    </row>
    <row r="655" spans="1:4">
      <c r="A655" t="s">
        <v>5</v>
      </c>
      <c r="B655" t="s">
        <v>252</v>
      </c>
      <c r="C655" s="8">
        <v>46082</v>
      </c>
      <c r="D655" s="9">
        <v>43008</v>
      </c>
    </row>
    <row r="656" spans="1:4">
      <c r="A656" t="s">
        <v>5</v>
      </c>
      <c r="B656" t="s">
        <v>211</v>
      </c>
      <c r="C656" s="8">
        <v>46082</v>
      </c>
      <c r="D656" s="9">
        <v>28158</v>
      </c>
    </row>
    <row r="657" spans="1:4">
      <c r="A657" t="s">
        <v>5</v>
      </c>
      <c r="B657" t="s">
        <v>96</v>
      </c>
      <c r="C657" s="8">
        <v>46082</v>
      </c>
      <c r="D657" s="9">
        <v>32989</v>
      </c>
    </row>
    <row r="658" spans="1:4">
      <c r="A658" t="s">
        <v>5</v>
      </c>
      <c r="B658" t="s">
        <v>204</v>
      </c>
      <c r="C658" s="8">
        <v>46082</v>
      </c>
      <c r="D658" s="9">
        <v>53703</v>
      </c>
    </row>
    <row r="659" spans="1:4">
      <c r="A659" t="s">
        <v>4</v>
      </c>
      <c r="B659" t="s">
        <v>67</v>
      </c>
      <c r="C659" s="8">
        <v>46083</v>
      </c>
      <c r="D659" s="9">
        <v>29110</v>
      </c>
    </row>
    <row r="660" spans="1:4">
      <c r="A660" t="s">
        <v>29</v>
      </c>
      <c r="B660" t="s">
        <v>163</v>
      </c>
      <c r="C660" s="8">
        <v>46083</v>
      </c>
      <c r="D660" s="9">
        <v>5200</v>
      </c>
    </row>
    <row r="661" spans="1:4">
      <c r="A661" t="s">
        <v>7</v>
      </c>
      <c r="B661" t="s">
        <v>65</v>
      </c>
      <c r="C661" s="8">
        <v>46083</v>
      </c>
      <c r="D661" s="9">
        <v>40142</v>
      </c>
    </row>
    <row r="662" spans="1:4">
      <c r="A662" t="s">
        <v>5</v>
      </c>
      <c r="B662" t="s">
        <v>114</v>
      </c>
      <c r="C662" s="8">
        <v>46083</v>
      </c>
      <c r="D662" s="9">
        <v>41540</v>
      </c>
    </row>
    <row r="663" spans="1:4">
      <c r="A663" t="s">
        <v>5</v>
      </c>
      <c r="B663" t="s">
        <v>53</v>
      </c>
      <c r="C663" s="8">
        <v>46083</v>
      </c>
      <c r="D663" s="9">
        <v>38014</v>
      </c>
    </row>
    <row r="664" spans="1:4">
      <c r="A664" t="s">
        <v>5</v>
      </c>
      <c r="B664" t="s">
        <v>212</v>
      </c>
      <c r="C664" s="8">
        <v>46083</v>
      </c>
      <c r="D664" s="9">
        <v>36305</v>
      </c>
    </row>
    <row r="665" spans="1:4">
      <c r="A665" t="s">
        <v>29</v>
      </c>
      <c r="B665" t="s">
        <v>51</v>
      </c>
      <c r="C665" s="8">
        <v>46084</v>
      </c>
      <c r="D665" s="9">
        <v>8019</v>
      </c>
    </row>
    <row r="666" spans="1:4">
      <c r="A666" t="s">
        <v>29</v>
      </c>
      <c r="B666" t="s">
        <v>104</v>
      </c>
      <c r="C666" s="8">
        <v>46084</v>
      </c>
      <c r="D666" s="9">
        <v>12136</v>
      </c>
    </row>
    <row r="667" spans="1:4">
      <c r="A667" t="s">
        <v>9</v>
      </c>
      <c r="B667" t="s">
        <v>203</v>
      </c>
      <c r="C667" s="8">
        <v>46084</v>
      </c>
      <c r="D667" s="9">
        <v>33791</v>
      </c>
    </row>
    <row r="668" spans="1:4">
      <c r="A668" t="s">
        <v>5</v>
      </c>
      <c r="B668" t="s">
        <v>251</v>
      </c>
      <c r="C668" s="8">
        <v>46084</v>
      </c>
      <c r="D668" s="9">
        <v>38396</v>
      </c>
    </row>
    <row r="669" spans="1:4">
      <c r="A669" t="s">
        <v>5</v>
      </c>
      <c r="B669" t="s">
        <v>74</v>
      </c>
      <c r="C669" s="8">
        <v>46084</v>
      </c>
      <c r="D669" s="9">
        <v>34890</v>
      </c>
    </row>
    <row r="670" spans="1:4">
      <c r="A670" t="s">
        <v>5</v>
      </c>
      <c r="B670" t="s">
        <v>270</v>
      </c>
      <c r="C670" s="8">
        <v>46084</v>
      </c>
      <c r="D670" s="9">
        <v>50885</v>
      </c>
    </row>
    <row r="671" spans="1:4">
      <c r="A671" t="s">
        <v>5</v>
      </c>
      <c r="B671" t="s">
        <v>172</v>
      </c>
      <c r="C671" s="8">
        <v>46084</v>
      </c>
      <c r="D671" s="9">
        <v>30855</v>
      </c>
    </row>
    <row r="672" spans="1:4">
      <c r="A672" t="s">
        <v>27</v>
      </c>
      <c r="B672" t="s">
        <v>253</v>
      </c>
      <c r="C672" s="8">
        <v>46085</v>
      </c>
      <c r="D672" s="9">
        <v>7664</v>
      </c>
    </row>
    <row r="673" spans="1:4">
      <c r="A673" t="s">
        <v>4</v>
      </c>
      <c r="B673" t="s">
        <v>223</v>
      </c>
      <c r="C673" s="8">
        <v>46085</v>
      </c>
      <c r="D673" s="9">
        <v>35072</v>
      </c>
    </row>
    <row r="674" spans="1:4">
      <c r="A674" t="s">
        <v>26</v>
      </c>
      <c r="B674" t="s">
        <v>102</v>
      </c>
      <c r="C674" s="8">
        <v>46085</v>
      </c>
      <c r="D674" s="9">
        <v>14726</v>
      </c>
    </row>
    <row r="675" spans="1:4">
      <c r="A675" t="s">
        <v>30</v>
      </c>
      <c r="B675" t="s">
        <v>139</v>
      </c>
      <c r="C675" s="8">
        <v>46085</v>
      </c>
      <c r="D675" s="9">
        <v>15556</v>
      </c>
    </row>
    <row r="676" spans="1:4">
      <c r="A676" t="s">
        <v>32</v>
      </c>
      <c r="B676" t="s">
        <v>230</v>
      </c>
      <c r="C676" s="8">
        <v>46085</v>
      </c>
      <c r="D676" s="9">
        <v>11284</v>
      </c>
    </row>
    <row r="677" spans="1:4">
      <c r="A677" t="s">
        <v>6</v>
      </c>
      <c r="B677" t="s">
        <v>88</v>
      </c>
      <c r="C677" s="8">
        <v>46085</v>
      </c>
      <c r="D677" s="9">
        <v>17024</v>
      </c>
    </row>
    <row r="678" spans="1:4">
      <c r="A678" t="s">
        <v>7</v>
      </c>
      <c r="B678" t="s">
        <v>243</v>
      </c>
      <c r="C678" s="8">
        <v>46085</v>
      </c>
      <c r="D678" s="9">
        <v>42285</v>
      </c>
    </row>
    <row r="679" spans="1:4">
      <c r="A679" t="s">
        <v>7</v>
      </c>
      <c r="B679" t="s">
        <v>202</v>
      </c>
      <c r="C679" s="8">
        <v>46085</v>
      </c>
      <c r="D679" s="9">
        <v>22110</v>
      </c>
    </row>
    <row r="680" spans="1:4">
      <c r="A680" t="s">
        <v>7</v>
      </c>
      <c r="B680" t="s">
        <v>238</v>
      </c>
      <c r="C680" s="8">
        <v>46085</v>
      </c>
      <c r="D680" s="9">
        <v>19038</v>
      </c>
    </row>
    <row r="681" spans="1:4">
      <c r="A681" t="s">
        <v>9</v>
      </c>
      <c r="B681" t="s">
        <v>176</v>
      </c>
      <c r="C681" s="8">
        <v>46085</v>
      </c>
      <c r="D681" s="9">
        <v>24144</v>
      </c>
    </row>
    <row r="682" spans="1:4">
      <c r="A682" t="s">
        <v>9</v>
      </c>
      <c r="B682" t="s">
        <v>70</v>
      </c>
      <c r="C682" s="8">
        <v>46085</v>
      </c>
      <c r="D682" s="9">
        <v>28625</v>
      </c>
    </row>
    <row r="683" spans="1:4">
      <c r="A683" t="s">
        <v>5</v>
      </c>
      <c r="B683" t="s">
        <v>133</v>
      </c>
      <c r="C683" s="8">
        <v>46085</v>
      </c>
      <c r="D683" s="9">
        <v>30867</v>
      </c>
    </row>
    <row r="684" spans="1:4">
      <c r="A684" t="s">
        <v>5</v>
      </c>
      <c r="B684" t="s">
        <v>92</v>
      </c>
      <c r="C684" s="8">
        <v>46085</v>
      </c>
      <c r="D684" s="9">
        <v>50221</v>
      </c>
    </row>
    <row r="685" spans="1:4">
      <c r="A685" t="s">
        <v>5</v>
      </c>
      <c r="B685" t="s">
        <v>145</v>
      </c>
      <c r="C685" s="8">
        <v>46085</v>
      </c>
      <c r="D685" s="9">
        <v>50913</v>
      </c>
    </row>
    <row r="686" spans="1:4">
      <c r="A686" t="s">
        <v>5</v>
      </c>
      <c r="B686" t="s">
        <v>54</v>
      </c>
      <c r="C686" s="8">
        <v>46085</v>
      </c>
      <c r="D686" s="9">
        <v>49174</v>
      </c>
    </row>
    <row r="687" spans="1:4">
      <c r="A687" t="s">
        <v>5</v>
      </c>
      <c r="B687" t="s">
        <v>212</v>
      </c>
      <c r="C687" s="8">
        <v>46085</v>
      </c>
      <c r="D687" s="9">
        <v>36582</v>
      </c>
    </row>
    <row r="688" spans="1:4">
      <c r="A688" t="s">
        <v>25</v>
      </c>
      <c r="B688" t="s">
        <v>272</v>
      </c>
      <c r="C688" s="8">
        <v>46086</v>
      </c>
      <c r="D688" s="9">
        <v>13313</v>
      </c>
    </row>
    <row r="689" spans="1:4">
      <c r="A689" t="s">
        <v>25</v>
      </c>
      <c r="B689" t="s">
        <v>200</v>
      </c>
      <c r="C689" s="8">
        <v>46086</v>
      </c>
      <c r="D689" s="9">
        <v>14375</v>
      </c>
    </row>
    <row r="690" spans="1:4">
      <c r="A690" t="s">
        <v>8</v>
      </c>
      <c r="B690" t="s">
        <v>225</v>
      </c>
      <c r="C690" s="8">
        <v>46086</v>
      </c>
      <c r="D690" s="9">
        <v>9385</v>
      </c>
    </row>
    <row r="691" spans="1:4">
      <c r="A691" t="s">
        <v>8</v>
      </c>
      <c r="B691" t="s">
        <v>237</v>
      </c>
      <c r="C691" s="8">
        <v>46086</v>
      </c>
      <c r="D691" s="9">
        <v>23429</v>
      </c>
    </row>
    <row r="692" spans="1:4">
      <c r="A692" t="s">
        <v>6</v>
      </c>
      <c r="B692" t="s">
        <v>80</v>
      </c>
      <c r="C692" s="8">
        <v>46086</v>
      </c>
      <c r="D692" s="9">
        <v>14342</v>
      </c>
    </row>
    <row r="693" spans="1:4">
      <c r="A693" t="s">
        <v>29</v>
      </c>
      <c r="B693" t="s">
        <v>121</v>
      </c>
      <c r="C693" s="8">
        <v>46086</v>
      </c>
      <c r="D693" s="9">
        <v>25506</v>
      </c>
    </row>
    <row r="694" spans="1:4">
      <c r="A694" t="s">
        <v>5</v>
      </c>
      <c r="B694" t="s">
        <v>239</v>
      </c>
      <c r="C694" s="8">
        <v>46086</v>
      </c>
      <c r="D694" s="9">
        <v>25573</v>
      </c>
    </row>
    <row r="695" spans="1:4">
      <c r="A695" t="s">
        <v>5</v>
      </c>
      <c r="B695" t="s">
        <v>97</v>
      </c>
      <c r="C695" s="8">
        <v>46086</v>
      </c>
      <c r="D695" s="9">
        <v>46634</v>
      </c>
    </row>
    <row r="696" spans="1:4">
      <c r="A696" t="s">
        <v>25</v>
      </c>
      <c r="B696" t="s">
        <v>228</v>
      </c>
      <c r="C696" s="8">
        <v>46087</v>
      </c>
      <c r="D696" s="9">
        <v>12950</v>
      </c>
    </row>
    <row r="697" spans="1:4">
      <c r="A697" t="s">
        <v>34</v>
      </c>
      <c r="B697" t="s">
        <v>265</v>
      </c>
      <c r="C697" s="8">
        <v>46087</v>
      </c>
      <c r="D697" s="9">
        <v>11796</v>
      </c>
    </row>
    <row r="698" spans="1:4">
      <c r="A698" t="s">
        <v>6</v>
      </c>
      <c r="B698" t="s">
        <v>227</v>
      </c>
      <c r="C698" s="8">
        <v>46087</v>
      </c>
      <c r="D698" s="9">
        <v>14559</v>
      </c>
    </row>
    <row r="699" spans="1:4">
      <c r="A699" t="s">
        <v>6</v>
      </c>
      <c r="B699" t="s">
        <v>120</v>
      </c>
      <c r="C699" s="8">
        <v>46087</v>
      </c>
      <c r="D699" s="9">
        <v>18671</v>
      </c>
    </row>
    <row r="700" spans="1:4">
      <c r="A700" t="s">
        <v>6</v>
      </c>
      <c r="B700" t="s">
        <v>103</v>
      </c>
      <c r="C700" s="8">
        <v>46087</v>
      </c>
      <c r="D700" s="9">
        <v>29297</v>
      </c>
    </row>
    <row r="701" spans="1:4">
      <c r="A701" t="s">
        <v>6</v>
      </c>
      <c r="B701" t="s">
        <v>263</v>
      </c>
      <c r="C701" s="8">
        <v>46087</v>
      </c>
      <c r="D701" s="9">
        <v>16718</v>
      </c>
    </row>
    <row r="702" spans="1:4">
      <c r="A702" t="s">
        <v>7</v>
      </c>
      <c r="B702" t="s">
        <v>156</v>
      </c>
      <c r="C702" s="8">
        <v>46087</v>
      </c>
      <c r="D702" s="9">
        <v>14086</v>
      </c>
    </row>
    <row r="703" spans="1:4">
      <c r="A703" t="s">
        <v>7</v>
      </c>
      <c r="B703" t="s">
        <v>226</v>
      </c>
      <c r="C703" s="8">
        <v>46087</v>
      </c>
      <c r="D703" s="9">
        <v>20510</v>
      </c>
    </row>
    <row r="704" spans="1:4">
      <c r="A704" t="s">
        <v>37</v>
      </c>
      <c r="B704" t="s">
        <v>81</v>
      </c>
      <c r="C704" s="8">
        <v>46087</v>
      </c>
      <c r="D704" s="9">
        <v>16001</v>
      </c>
    </row>
    <row r="705" spans="1:4">
      <c r="A705" t="s">
        <v>9</v>
      </c>
      <c r="B705" t="s">
        <v>178</v>
      </c>
      <c r="C705" s="8">
        <v>46087</v>
      </c>
      <c r="D705" s="9">
        <v>56994</v>
      </c>
    </row>
    <row r="706" spans="1:4">
      <c r="A706" t="s">
        <v>9</v>
      </c>
      <c r="B706" t="s">
        <v>158</v>
      </c>
      <c r="C706" s="8">
        <v>46087</v>
      </c>
      <c r="D706" s="9">
        <v>48933</v>
      </c>
    </row>
    <row r="707" spans="1:4">
      <c r="A707" t="s">
        <v>5</v>
      </c>
      <c r="B707" t="s">
        <v>188</v>
      </c>
      <c r="C707" s="8">
        <v>46087</v>
      </c>
      <c r="D707" s="9">
        <v>35822</v>
      </c>
    </row>
    <row r="708" spans="1:4">
      <c r="A708" t="s">
        <v>5</v>
      </c>
      <c r="B708" t="s">
        <v>98</v>
      </c>
      <c r="C708" s="8">
        <v>46087</v>
      </c>
      <c r="D708" s="9">
        <v>42456</v>
      </c>
    </row>
    <row r="709" spans="1:4">
      <c r="A709" t="s">
        <v>5</v>
      </c>
      <c r="B709" t="s">
        <v>183</v>
      </c>
      <c r="C709" s="8">
        <v>46087</v>
      </c>
      <c r="D709" s="9">
        <v>40410</v>
      </c>
    </row>
    <row r="710" spans="1:4">
      <c r="A710" t="s">
        <v>27</v>
      </c>
      <c r="B710" t="s">
        <v>213</v>
      </c>
      <c r="C710" s="8">
        <v>46088</v>
      </c>
      <c r="D710" s="9">
        <v>13160</v>
      </c>
    </row>
    <row r="711" spans="1:4">
      <c r="A711" t="s">
        <v>31</v>
      </c>
      <c r="B711" t="s">
        <v>77</v>
      </c>
      <c r="C711" s="8">
        <v>46088</v>
      </c>
      <c r="D711" s="9">
        <v>26683</v>
      </c>
    </row>
    <row r="712" spans="1:4">
      <c r="A712" t="s">
        <v>8</v>
      </c>
      <c r="B712" t="s">
        <v>129</v>
      </c>
      <c r="C712" s="8">
        <v>46088</v>
      </c>
      <c r="D712" s="9">
        <v>18321</v>
      </c>
    </row>
    <row r="713" spans="1:4">
      <c r="A713" t="s">
        <v>7</v>
      </c>
      <c r="B713" t="s">
        <v>90</v>
      </c>
      <c r="C713" s="8">
        <v>46088</v>
      </c>
      <c r="D713" s="9">
        <v>28867</v>
      </c>
    </row>
    <row r="714" spans="1:4">
      <c r="A714" t="s">
        <v>5</v>
      </c>
      <c r="B714" t="s">
        <v>49</v>
      </c>
      <c r="C714" s="8">
        <v>46088</v>
      </c>
      <c r="D714" s="9">
        <v>42166</v>
      </c>
    </row>
    <row r="715" spans="1:4">
      <c r="A715" t="s">
        <v>4</v>
      </c>
      <c r="B715" t="s">
        <v>180</v>
      </c>
      <c r="C715" s="8">
        <v>46089</v>
      </c>
      <c r="D715" s="9">
        <v>31793</v>
      </c>
    </row>
    <row r="716" spans="1:4">
      <c r="A716" t="s">
        <v>25</v>
      </c>
      <c r="B716" t="s">
        <v>128</v>
      </c>
      <c r="C716" s="8">
        <v>46089</v>
      </c>
      <c r="D716" s="9">
        <v>11582</v>
      </c>
    </row>
    <row r="717" spans="1:4">
      <c r="A717" t="s">
        <v>34</v>
      </c>
      <c r="B717" t="s">
        <v>169</v>
      </c>
      <c r="C717" s="8">
        <v>46089</v>
      </c>
      <c r="D717" s="9">
        <v>10519</v>
      </c>
    </row>
    <row r="718" spans="1:4">
      <c r="A718" t="s">
        <v>7</v>
      </c>
      <c r="B718" t="s">
        <v>132</v>
      </c>
      <c r="C718" s="8">
        <v>46089</v>
      </c>
      <c r="D718" s="9">
        <v>45077</v>
      </c>
    </row>
    <row r="719" spans="1:4">
      <c r="A719" t="s">
        <v>5</v>
      </c>
      <c r="B719" t="s">
        <v>97</v>
      </c>
      <c r="C719" s="8">
        <v>46089</v>
      </c>
      <c r="D719" s="9">
        <v>57210</v>
      </c>
    </row>
    <row r="720" spans="1:4">
      <c r="A720" t="s">
        <v>5</v>
      </c>
      <c r="B720" t="s">
        <v>123</v>
      </c>
      <c r="C720" s="8">
        <v>46089</v>
      </c>
      <c r="D720" s="9">
        <v>44936</v>
      </c>
    </row>
    <row r="721" spans="1:4">
      <c r="A721" t="s">
        <v>5</v>
      </c>
      <c r="B721" t="s">
        <v>99</v>
      </c>
      <c r="C721" s="8">
        <v>46089</v>
      </c>
      <c r="D721" s="9">
        <v>29031</v>
      </c>
    </row>
    <row r="722" spans="1:4">
      <c r="A722" t="s">
        <v>5</v>
      </c>
      <c r="B722" t="s">
        <v>54</v>
      </c>
      <c r="C722" s="8">
        <v>46089</v>
      </c>
      <c r="D722" s="9">
        <v>51678</v>
      </c>
    </row>
    <row r="723" spans="1:4">
      <c r="A723" t="s">
        <v>5</v>
      </c>
      <c r="B723" t="s">
        <v>134</v>
      </c>
      <c r="C723" s="8">
        <v>46089</v>
      </c>
      <c r="D723" s="9">
        <v>27357</v>
      </c>
    </row>
    <row r="724" spans="1:4">
      <c r="A724" t="s">
        <v>4</v>
      </c>
      <c r="B724" t="s">
        <v>76</v>
      </c>
      <c r="C724" s="8">
        <v>46090</v>
      </c>
      <c r="D724" s="9">
        <v>21814</v>
      </c>
    </row>
    <row r="725" spans="1:4">
      <c r="A725" t="s">
        <v>28</v>
      </c>
      <c r="B725" t="s">
        <v>242</v>
      </c>
      <c r="C725" s="8">
        <v>46090</v>
      </c>
      <c r="D725" s="9">
        <v>15729</v>
      </c>
    </row>
    <row r="726" spans="1:4">
      <c r="A726" t="s">
        <v>36</v>
      </c>
      <c r="B726" t="s">
        <v>229</v>
      </c>
      <c r="C726" s="8">
        <v>46090</v>
      </c>
      <c r="D726" s="9">
        <v>11414</v>
      </c>
    </row>
    <row r="727" spans="1:4">
      <c r="A727" t="s">
        <v>8</v>
      </c>
      <c r="B727" t="s">
        <v>246</v>
      </c>
      <c r="C727" s="8">
        <v>46090</v>
      </c>
      <c r="D727" s="9">
        <v>15926</v>
      </c>
    </row>
    <row r="728" spans="1:4">
      <c r="A728" t="s">
        <v>8</v>
      </c>
      <c r="B728" t="s">
        <v>56</v>
      </c>
      <c r="C728" s="8">
        <v>46090</v>
      </c>
      <c r="D728" s="9">
        <v>13193</v>
      </c>
    </row>
    <row r="729" spans="1:4">
      <c r="A729" t="s">
        <v>32</v>
      </c>
      <c r="B729" t="s">
        <v>282</v>
      </c>
      <c r="C729" s="8">
        <v>46090</v>
      </c>
      <c r="D729" s="9">
        <v>12808</v>
      </c>
    </row>
    <row r="730" spans="1:4">
      <c r="A730" t="s">
        <v>29</v>
      </c>
      <c r="B730" t="s">
        <v>155</v>
      </c>
      <c r="C730" s="8">
        <v>46090</v>
      </c>
      <c r="D730" s="9">
        <v>13220</v>
      </c>
    </row>
    <row r="731" spans="1:4">
      <c r="A731" t="s">
        <v>7</v>
      </c>
      <c r="B731" t="s">
        <v>201</v>
      </c>
      <c r="C731" s="8">
        <v>46090</v>
      </c>
      <c r="D731" s="9">
        <v>19244</v>
      </c>
    </row>
    <row r="732" spans="1:4">
      <c r="A732" t="s">
        <v>9</v>
      </c>
      <c r="B732" t="s">
        <v>183</v>
      </c>
      <c r="C732" s="8">
        <v>46090</v>
      </c>
      <c r="D732" s="9">
        <v>33604</v>
      </c>
    </row>
    <row r="733" spans="1:4">
      <c r="A733" t="s">
        <v>5</v>
      </c>
      <c r="B733" t="s">
        <v>182</v>
      </c>
      <c r="C733" s="8">
        <v>46090</v>
      </c>
      <c r="D733" s="9">
        <v>47084</v>
      </c>
    </row>
    <row r="734" spans="1:4">
      <c r="A734" t="s">
        <v>5</v>
      </c>
      <c r="B734" t="s">
        <v>235</v>
      </c>
      <c r="C734" s="8">
        <v>46090</v>
      </c>
      <c r="D734" s="9">
        <v>28436</v>
      </c>
    </row>
    <row r="735" spans="1:4">
      <c r="A735" t="s">
        <v>5</v>
      </c>
      <c r="B735" t="s">
        <v>145</v>
      </c>
      <c r="C735" s="8">
        <v>46090</v>
      </c>
      <c r="D735" s="9">
        <v>51322</v>
      </c>
    </row>
    <row r="736" spans="1:4">
      <c r="A736" t="s">
        <v>27</v>
      </c>
      <c r="B736" t="s">
        <v>149</v>
      </c>
      <c r="C736" s="8">
        <v>46091</v>
      </c>
      <c r="D736" s="9">
        <v>13197</v>
      </c>
    </row>
    <row r="737" spans="1:4">
      <c r="A737" t="s">
        <v>4</v>
      </c>
      <c r="B737" t="s">
        <v>185</v>
      </c>
      <c r="C737" s="8">
        <v>46091</v>
      </c>
      <c r="D737" s="9">
        <v>31402</v>
      </c>
    </row>
    <row r="738" spans="1:4">
      <c r="A738" t="s">
        <v>4</v>
      </c>
      <c r="B738" t="s">
        <v>223</v>
      </c>
      <c r="C738" s="8">
        <v>46091</v>
      </c>
      <c r="D738" s="9">
        <v>22767</v>
      </c>
    </row>
    <row r="739" spans="1:4">
      <c r="A739" t="s">
        <v>28</v>
      </c>
      <c r="B739" t="s">
        <v>255</v>
      </c>
      <c r="C739" s="8">
        <v>46091</v>
      </c>
      <c r="D739" s="9">
        <v>17639</v>
      </c>
    </row>
    <row r="740" spans="1:4">
      <c r="A740" t="s">
        <v>30</v>
      </c>
      <c r="B740" t="s">
        <v>206</v>
      </c>
      <c r="C740" s="8">
        <v>46091</v>
      </c>
      <c r="D740" s="9">
        <v>13333</v>
      </c>
    </row>
    <row r="741" spans="1:4">
      <c r="A741" t="s">
        <v>8</v>
      </c>
      <c r="B741" t="s">
        <v>258</v>
      </c>
      <c r="C741" s="8">
        <v>46091</v>
      </c>
      <c r="D741" s="9">
        <v>5200</v>
      </c>
    </row>
    <row r="742" spans="1:4">
      <c r="A742" t="s">
        <v>32</v>
      </c>
      <c r="B742" t="s">
        <v>87</v>
      </c>
      <c r="C742" s="8">
        <v>46091</v>
      </c>
      <c r="D742" s="9">
        <v>10163</v>
      </c>
    </row>
    <row r="743" spans="1:4">
      <c r="A743" t="s">
        <v>32</v>
      </c>
      <c r="B743" t="s">
        <v>247</v>
      </c>
      <c r="C743" s="8">
        <v>46091</v>
      </c>
      <c r="D743" s="9">
        <v>11858</v>
      </c>
    </row>
    <row r="744" spans="1:4">
      <c r="A744" t="s">
        <v>5</v>
      </c>
      <c r="B744" t="s">
        <v>239</v>
      </c>
      <c r="C744" s="8">
        <v>46091</v>
      </c>
      <c r="D744" s="9">
        <v>29092</v>
      </c>
    </row>
    <row r="745" spans="1:4">
      <c r="A745" t="s">
        <v>5</v>
      </c>
      <c r="B745" t="s">
        <v>159</v>
      </c>
      <c r="C745" s="8">
        <v>46091</v>
      </c>
      <c r="D745" s="9">
        <v>50942</v>
      </c>
    </row>
    <row r="746" spans="1:4">
      <c r="A746" t="s">
        <v>5</v>
      </c>
      <c r="B746" t="s">
        <v>172</v>
      </c>
      <c r="C746" s="8">
        <v>46091</v>
      </c>
      <c r="D746" s="9">
        <v>38157</v>
      </c>
    </row>
    <row r="747" spans="1:4">
      <c r="A747" t="s">
        <v>5</v>
      </c>
      <c r="B747" t="s">
        <v>100</v>
      </c>
      <c r="C747" s="8">
        <v>46091</v>
      </c>
      <c r="D747" s="9">
        <v>42675</v>
      </c>
    </row>
    <row r="748" spans="1:4">
      <c r="A748" t="s">
        <v>4</v>
      </c>
      <c r="B748" t="s">
        <v>197</v>
      </c>
      <c r="C748" s="8">
        <v>46092</v>
      </c>
      <c r="D748" s="9">
        <v>26575</v>
      </c>
    </row>
    <row r="749" spans="1:4">
      <c r="A749" t="s">
        <v>4</v>
      </c>
      <c r="B749" t="s">
        <v>241</v>
      </c>
      <c r="C749" s="8">
        <v>46092</v>
      </c>
      <c r="D749" s="9">
        <v>17476</v>
      </c>
    </row>
    <row r="750" spans="1:4">
      <c r="A750" t="s">
        <v>28</v>
      </c>
      <c r="B750" t="s">
        <v>118</v>
      </c>
      <c r="C750" s="8">
        <v>46092</v>
      </c>
      <c r="D750" s="9">
        <v>12194</v>
      </c>
    </row>
    <row r="751" spans="1:4">
      <c r="A751" t="s">
        <v>9</v>
      </c>
      <c r="B751" t="s">
        <v>245</v>
      </c>
      <c r="C751" s="8">
        <v>46092</v>
      </c>
      <c r="D751" s="9">
        <v>34251</v>
      </c>
    </row>
    <row r="752" spans="1:4">
      <c r="A752" t="s">
        <v>5</v>
      </c>
      <c r="B752" t="s">
        <v>106</v>
      </c>
      <c r="C752" s="8">
        <v>46092</v>
      </c>
      <c r="D752" s="9">
        <v>49683</v>
      </c>
    </row>
    <row r="753" spans="1:4">
      <c r="A753" t="s">
        <v>5</v>
      </c>
      <c r="B753" t="s">
        <v>251</v>
      </c>
      <c r="C753" s="8">
        <v>46092</v>
      </c>
      <c r="D753" s="9">
        <v>51969</v>
      </c>
    </row>
    <row r="754" spans="1:4">
      <c r="A754" t="s">
        <v>4</v>
      </c>
      <c r="B754" t="s">
        <v>240</v>
      </c>
      <c r="C754" s="8">
        <v>46093</v>
      </c>
      <c r="D754" s="9">
        <v>27320</v>
      </c>
    </row>
    <row r="755" spans="1:4">
      <c r="A755" t="s">
        <v>4</v>
      </c>
      <c r="B755" t="s">
        <v>190</v>
      </c>
      <c r="C755" s="8">
        <v>46093</v>
      </c>
      <c r="D755" s="9">
        <v>27508</v>
      </c>
    </row>
    <row r="756" spans="1:4">
      <c r="A756" t="s">
        <v>4</v>
      </c>
      <c r="B756" t="s">
        <v>254</v>
      </c>
      <c r="C756" s="8">
        <v>46093</v>
      </c>
      <c r="D756" s="9">
        <v>28964</v>
      </c>
    </row>
    <row r="757" spans="1:4">
      <c r="A757" t="s">
        <v>28</v>
      </c>
      <c r="B757" t="s">
        <v>279</v>
      </c>
      <c r="C757" s="8">
        <v>46093</v>
      </c>
      <c r="D757" s="9">
        <v>13835</v>
      </c>
    </row>
    <row r="758" spans="1:4">
      <c r="A758" t="s">
        <v>5</v>
      </c>
      <c r="B758" t="s">
        <v>74</v>
      </c>
      <c r="C758" s="8">
        <v>46093</v>
      </c>
      <c r="D758" s="9">
        <v>39440</v>
      </c>
    </row>
    <row r="759" spans="1:4">
      <c r="A759" t="s">
        <v>5</v>
      </c>
      <c r="B759" t="s">
        <v>270</v>
      </c>
      <c r="C759" s="8">
        <v>46093</v>
      </c>
      <c r="D759" s="9">
        <v>46145</v>
      </c>
    </row>
    <row r="760" spans="1:4">
      <c r="A760" t="s">
        <v>5</v>
      </c>
      <c r="B760" t="s">
        <v>124</v>
      </c>
      <c r="C760" s="8">
        <v>46093</v>
      </c>
      <c r="D760" s="9">
        <v>37562</v>
      </c>
    </row>
    <row r="761" spans="1:4">
      <c r="A761" t="s">
        <v>5</v>
      </c>
      <c r="B761" t="s">
        <v>108</v>
      </c>
      <c r="C761" s="8">
        <v>46093</v>
      </c>
      <c r="D761" s="9">
        <v>39492</v>
      </c>
    </row>
    <row r="762" spans="1:4">
      <c r="A762" t="s">
        <v>5</v>
      </c>
      <c r="B762" t="s">
        <v>109</v>
      </c>
      <c r="C762" s="8">
        <v>46093</v>
      </c>
      <c r="D762" s="9">
        <v>43382</v>
      </c>
    </row>
    <row r="763" spans="1:4">
      <c r="A763" t="s">
        <v>25</v>
      </c>
      <c r="B763" t="s">
        <v>86</v>
      </c>
      <c r="C763" s="8">
        <v>46094</v>
      </c>
      <c r="D763" s="9">
        <v>15287</v>
      </c>
    </row>
    <row r="764" spans="1:4">
      <c r="A764" t="s">
        <v>9</v>
      </c>
      <c r="B764" t="s">
        <v>164</v>
      </c>
      <c r="C764" s="8">
        <v>46094</v>
      </c>
      <c r="D764" s="9">
        <v>29182</v>
      </c>
    </row>
    <row r="765" spans="1:4">
      <c r="A765" t="s">
        <v>5</v>
      </c>
      <c r="B765" t="s">
        <v>49</v>
      </c>
      <c r="C765" s="8">
        <v>46094</v>
      </c>
      <c r="D765" s="9">
        <v>31268</v>
      </c>
    </row>
    <row r="766" spans="1:4">
      <c r="A766" t="s">
        <v>5</v>
      </c>
      <c r="B766" t="s">
        <v>182</v>
      </c>
      <c r="C766" s="8">
        <v>46094</v>
      </c>
      <c r="D766" s="9">
        <v>35369</v>
      </c>
    </row>
    <row r="767" spans="1:4">
      <c r="A767" t="s">
        <v>5</v>
      </c>
      <c r="B767" t="s">
        <v>209</v>
      </c>
      <c r="C767" s="8">
        <v>46094</v>
      </c>
      <c r="D767" s="9">
        <v>44247</v>
      </c>
    </row>
    <row r="768" spans="1:4">
      <c r="A768" t="s">
        <v>5</v>
      </c>
      <c r="B768" t="s">
        <v>74</v>
      </c>
      <c r="C768" s="8">
        <v>46094</v>
      </c>
      <c r="D768" s="9">
        <v>49716</v>
      </c>
    </row>
    <row r="769" spans="1:4">
      <c r="A769" t="s">
        <v>5</v>
      </c>
      <c r="B769" t="s">
        <v>159</v>
      </c>
      <c r="C769" s="8">
        <v>46094</v>
      </c>
      <c r="D769" s="9">
        <v>59639</v>
      </c>
    </row>
    <row r="770" spans="1:4">
      <c r="A770" t="s">
        <v>5</v>
      </c>
      <c r="B770" t="s">
        <v>252</v>
      </c>
      <c r="C770" s="8">
        <v>46094</v>
      </c>
      <c r="D770" s="9">
        <v>46539</v>
      </c>
    </row>
    <row r="771" spans="1:4">
      <c r="A771" t="s">
        <v>5</v>
      </c>
      <c r="B771" t="s">
        <v>107</v>
      </c>
      <c r="C771" s="8">
        <v>46094</v>
      </c>
      <c r="D771" s="9">
        <v>25666</v>
      </c>
    </row>
    <row r="772" spans="1:4">
      <c r="A772" t="s">
        <v>5</v>
      </c>
      <c r="B772" t="s">
        <v>270</v>
      </c>
      <c r="C772" s="8">
        <v>46094</v>
      </c>
      <c r="D772" s="9">
        <v>38085</v>
      </c>
    </row>
    <row r="773" spans="1:4">
      <c r="A773" t="s">
        <v>5</v>
      </c>
      <c r="B773" t="s">
        <v>172</v>
      </c>
      <c r="C773" s="8">
        <v>46094</v>
      </c>
      <c r="D773" s="9">
        <v>35693</v>
      </c>
    </row>
    <row r="774" spans="1:4">
      <c r="A774" t="s">
        <v>5</v>
      </c>
      <c r="B774" t="s">
        <v>100</v>
      </c>
      <c r="C774" s="8">
        <v>46094</v>
      </c>
      <c r="D774" s="9">
        <v>43517</v>
      </c>
    </row>
    <row r="775" spans="1:4">
      <c r="A775" t="s">
        <v>27</v>
      </c>
      <c r="B775" t="s">
        <v>168</v>
      </c>
      <c r="C775" s="8">
        <v>46095</v>
      </c>
      <c r="D775" s="9">
        <v>12006</v>
      </c>
    </row>
    <row r="776" spans="1:4">
      <c r="A776" t="s">
        <v>8</v>
      </c>
      <c r="B776" t="s">
        <v>147</v>
      </c>
      <c r="C776" s="8">
        <v>46095</v>
      </c>
      <c r="D776" s="9">
        <v>15252</v>
      </c>
    </row>
    <row r="777" spans="1:4">
      <c r="A777" t="s">
        <v>6</v>
      </c>
      <c r="B777" t="s">
        <v>130</v>
      </c>
      <c r="C777" s="8">
        <v>46095</v>
      </c>
      <c r="D777" s="9">
        <v>19618</v>
      </c>
    </row>
    <row r="778" spans="1:4">
      <c r="A778" t="s">
        <v>6</v>
      </c>
      <c r="B778" t="s">
        <v>262</v>
      </c>
      <c r="C778" s="8">
        <v>46095</v>
      </c>
      <c r="D778" s="9">
        <v>16635</v>
      </c>
    </row>
    <row r="779" spans="1:4">
      <c r="A779" t="s">
        <v>7</v>
      </c>
      <c r="B779" t="s">
        <v>157</v>
      </c>
      <c r="C779" s="8">
        <v>46095</v>
      </c>
      <c r="D779" s="9">
        <v>12547</v>
      </c>
    </row>
    <row r="780" spans="1:4">
      <c r="A780" t="s">
        <v>9</v>
      </c>
      <c r="B780" t="s">
        <v>283</v>
      </c>
      <c r="C780" s="8">
        <v>46095</v>
      </c>
      <c r="D780" s="9">
        <v>51139</v>
      </c>
    </row>
    <row r="781" spans="1:4">
      <c r="A781" t="s">
        <v>9</v>
      </c>
      <c r="B781" t="s">
        <v>179</v>
      </c>
      <c r="C781" s="8">
        <v>46095</v>
      </c>
      <c r="D781" s="9">
        <v>43258</v>
      </c>
    </row>
    <row r="782" spans="1:4">
      <c r="A782" t="s">
        <v>5</v>
      </c>
      <c r="B782" t="s">
        <v>74</v>
      </c>
      <c r="C782" s="8">
        <v>46095</v>
      </c>
      <c r="D782" s="9">
        <v>44585</v>
      </c>
    </row>
    <row r="783" spans="1:4">
      <c r="A783" t="s">
        <v>5</v>
      </c>
      <c r="B783" t="s">
        <v>93</v>
      </c>
      <c r="C783" s="8">
        <v>46095</v>
      </c>
      <c r="D783" s="9">
        <v>40254</v>
      </c>
    </row>
    <row r="784" spans="1:4">
      <c r="A784" t="s">
        <v>5</v>
      </c>
      <c r="B784" t="s">
        <v>108</v>
      </c>
      <c r="C784" s="8">
        <v>46095</v>
      </c>
      <c r="D784" s="9">
        <v>29179</v>
      </c>
    </row>
    <row r="785" spans="1:4">
      <c r="A785" t="s">
        <v>5</v>
      </c>
      <c r="B785" t="s">
        <v>108</v>
      </c>
      <c r="C785" s="8">
        <v>46095</v>
      </c>
      <c r="D785" s="9">
        <v>38552</v>
      </c>
    </row>
    <row r="786" spans="1:4">
      <c r="A786" t="s">
        <v>4</v>
      </c>
      <c r="B786" t="s">
        <v>165</v>
      </c>
      <c r="C786" s="8">
        <v>46096</v>
      </c>
      <c r="D786" s="9">
        <v>37715</v>
      </c>
    </row>
    <row r="787" spans="1:4">
      <c r="A787" t="s">
        <v>28</v>
      </c>
      <c r="B787" t="s">
        <v>161</v>
      </c>
      <c r="C787" s="8">
        <v>46096</v>
      </c>
      <c r="D787" s="9">
        <v>15912</v>
      </c>
    </row>
    <row r="788" spans="1:4">
      <c r="A788" t="s">
        <v>8</v>
      </c>
      <c r="B788" t="s">
        <v>207</v>
      </c>
      <c r="C788" s="8">
        <v>46096</v>
      </c>
      <c r="D788" s="9">
        <v>13124</v>
      </c>
    </row>
    <row r="789" spans="1:4">
      <c r="A789" t="s">
        <v>5</v>
      </c>
      <c r="B789" t="s">
        <v>188</v>
      </c>
      <c r="C789" s="8">
        <v>46096</v>
      </c>
      <c r="D789" s="9">
        <v>38137</v>
      </c>
    </row>
    <row r="790" spans="1:4">
      <c r="A790" t="s">
        <v>5</v>
      </c>
      <c r="B790" t="s">
        <v>114</v>
      </c>
      <c r="C790" s="8">
        <v>46096</v>
      </c>
      <c r="D790" s="9">
        <v>28271</v>
      </c>
    </row>
    <row r="791" spans="1:4">
      <c r="A791" t="s">
        <v>5</v>
      </c>
      <c r="B791" t="s">
        <v>74</v>
      </c>
      <c r="C791" s="8">
        <v>46096</v>
      </c>
      <c r="D791" s="9">
        <v>35441</v>
      </c>
    </row>
    <row r="792" spans="1:4">
      <c r="A792" t="s">
        <v>5</v>
      </c>
      <c r="B792" t="s">
        <v>109</v>
      </c>
      <c r="C792" s="8">
        <v>46096</v>
      </c>
      <c r="D792" s="9">
        <v>52739</v>
      </c>
    </row>
    <row r="793" spans="1:4">
      <c r="A793" t="s">
        <v>27</v>
      </c>
      <c r="B793" t="s">
        <v>184</v>
      </c>
      <c r="C793" s="8">
        <v>46097</v>
      </c>
      <c r="D793" s="9">
        <v>25132</v>
      </c>
    </row>
    <row r="794" spans="1:4">
      <c r="A794" t="s">
        <v>4</v>
      </c>
      <c r="B794" t="s">
        <v>126</v>
      </c>
      <c r="C794" s="8">
        <v>46097</v>
      </c>
      <c r="D794" s="9">
        <v>27217</v>
      </c>
    </row>
    <row r="795" spans="1:4">
      <c r="A795" t="s">
        <v>4</v>
      </c>
      <c r="B795" t="s">
        <v>159</v>
      </c>
      <c r="C795" s="8">
        <v>46097</v>
      </c>
      <c r="D795" s="9">
        <v>47898</v>
      </c>
    </row>
    <row r="796" spans="1:4">
      <c r="A796" t="s">
        <v>4</v>
      </c>
      <c r="B796" t="s">
        <v>198</v>
      </c>
      <c r="C796" s="8">
        <v>46097</v>
      </c>
      <c r="D796" s="9">
        <v>29855</v>
      </c>
    </row>
    <row r="797" spans="1:4">
      <c r="A797" t="s">
        <v>4</v>
      </c>
      <c r="B797" t="s">
        <v>234</v>
      </c>
      <c r="C797" s="8">
        <v>46097</v>
      </c>
      <c r="D797" s="9">
        <v>20081</v>
      </c>
    </row>
    <row r="798" spans="1:4">
      <c r="A798" t="s">
        <v>6</v>
      </c>
      <c r="B798" t="s">
        <v>231</v>
      </c>
      <c r="C798" s="8">
        <v>46097</v>
      </c>
      <c r="D798" s="9">
        <v>12501</v>
      </c>
    </row>
    <row r="799" spans="1:4">
      <c r="A799" t="s">
        <v>33</v>
      </c>
      <c r="B799" t="s">
        <v>232</v>
      </c>
      <c r="C799" s="8">
        <v>46097</v>
      </c>
      <c r="D799" s="9">
        <v>7858</v>
      </c>
    </row>
    <row r="800" spans="1:4">
      <c r="A800" t="s">
        <v>7</v>
      </c>
      <c r="B800" t="s">
        <v>244</v>
      </c>
      <c r="C800" s="8">
        <v>46097</v>
      </c>
      <c r="D800" s="9">
        <v>16975</v>
      </c>
    </row>
    <row r="801" spans="1:4">
      <c r="A801" t="s">
        <v>9</v>
      </c>
      <c r="B801" t="s">
        <v>203</v>
      </c>
      <c r="C801" s="8">
        <v>46097</v>
      </c>
      <c r="D801" s="9">
        <v>29209</v>
      </c>
    </row>
    <row r="802" spans="1:4">
      <c r="A802" t="s">
        <v>9</v>
      </c>
      <c r="B802" t="s">
        <v>195</v>
      </c>
      <c r="C802" s="8">
        <v>46097</v>
      </c>
      <c r="D802" s="9">
        <v>49021</v>
      </c>
    </row>
    <row r="803" spans="1:4">
      <c r="A803" t="s">
        <v>5</v>
      </c>
      <c r="B803" t="s">
        <v>166</v>
      </c>
      <c r="C803" s="8">
        <v>46097</v>
      </c>
      <c r="D803" s="9">
        <v>41721</v>
      </c>
    </row>
    <row r="804" spans="1:4">
      <c r="A804" t="s">
        <v>5</v>
      </c>
      <c r="B804" t="s">
        <v>251</v>
      </c>
      <c r="C804" s="8">
        <v>46097</v>
      </c>
      <c r="D804" s="9">
        <v>38905</v>
      </c>
    </row>
    <row r="805" spans="1:4">
      <c r="A805" t="s">
        <v>5</v>
      </c>
      <c r="B805" t="s">
        <v>210</v>
      </c>
      <c r="C805" s="8">
        <v>46097</v>
      </c>
      <c r="D805" s="9">
        <v>37242</v>
      </c>
    </row>
    <row r="806" spans="1:4">
      <c r="A806" t="s">
        <v>5</v>
      </c>
      <c r="B806" t="s">
        <v>99</v>
      </c>
      <c r="C806" s="8">
        <v>46097</v>
      </c>
      <c r="D806" s="9">
        <v>34593</v>
      </c>
    </row>
    <row r="807" spans="1:4">
      <c r="A807" t="s">
        <v>5</v>
      </c>
      <c r="B807" t="s">
        <v>99</v>
      </c>
      <c r="C807" s="8">
        <v>46097</v>
      </c>
      <c r="D807" s="9">
        <v>32489</v>
      </c>
    </row>
    <row r="808" spans="1:4">
      <c r="A808" t="s">
        <v>27</v>
      </c>
      <c r="B808" t="s">
        <v>196</v>
      </c>
      <c r="C808" s="8">
        <v>46098</v>
      </c>
      <c r="D808" s="9">
        <v>14332</v>
      </c>
    </row>
    <row r="809" spans="1:4">
      <c r="A809" t="s">
        <v>38</v>
      </c>
      <c r="B809" t="s">
        <v>110</v>
      </c>
      <c r="C809" s="8">
        <v>46098</v>
      </c>
      <c r="D809" s="9">
        <v>11661</v>
      </c>
    </row>
    <row r="810" spans="1:4">
      <c r="A810" t="s">
        <v>4</v>
      </c>
      <c r="B810" t="s">
        <v>60</v>
      </c>
      <c r="C810" s="8">
        <v>46098</v>
      </c>
      <c r="D810" s="9">
        <v>20674</v>
      </c>
    </row>
    <row r="811" spans="1:4">
      <c r="A811" t="s">
        <v>25</v>
      </c>
      <c r="B811" t="s">
        <v>117</v>
      </c>
      <c r="C811" s="8">
        <v>46098</v>
      </c>
      <c r="D811" s="9">
        <v>12135</v>
      </c>
    </row>
    <row r="812" spans="1:4">
      <c r="A812" t="s">
        <v>25</v>
      </c>
      <c r="B812" t="s">
        <v>55</v>
      </c>
      <c r="C812" s="8">
        <v>46098</v>
      </c>
      <c r="D812" s="9">
        <v>10467</v>
      </c>
    </row>
    <row r="813" spans="1:4">
      <c r="A813" t="s">
        <v>26</v>
      </c>
      <c r="B813" t="s">
        <v>153</v>
      </c>
      <c r="C813" s="8">
        <v>46098</v>
      </c>
      <c r="D813" s="9">
        <v>23001</v>
      </c>
    </row>
    <row r="814" spans="1:4">
      <c r="A814" t="s">
        <v>30</v>
      </c>
      <c r="B814" t="s">
        <v>63</v>
      </c>
      <c r="C814" s="8">
        <v>46098</v>
      </c>
      <c r="D814" s="9">
        <v>11787</v>
      </c>
    </row>
    <row r="815" spans="1:4">
      <c r="A815" t="s">
        <v>8</v>
      </c>
      <c r="B815" t="s">
        <v>281</v>
      </c>
      <c r="C815" s="8">
        <v>46098</v>
      </c>
      <c r="D815" s="9">
        <v>5911</v>
      </c>
    </row>
    <row r="816" spans="1:4">
      <c r="A816" t="s">
        <v>7</v>
      </c>
      <c r="B816" t="s">
        <v>274</v>
      </c>
      <c r="C816" s="8">
        <v>46098</v>
      </c>
      <c r="D816" s="9">
        <v>22240</v>
      </c>
    </row>
    <row r="817" spans="1:4">
      <c r="A817" t="s">
        <v>7</v>
      </c>
      <c r="B817" t="s">
        <v>105</v>
      </c>
      <c r="C817" s="8">
        <v>46098</v>
      </c>
      <c r="D817" s="9">
        <v>18749</v>
      </c>
    </row>
    <row r="818" spans="1:4">
      <c r="A818" t="s">
        <v>9</v>
      </c>
      <c r="B818" t="s">
        <v>111</v>
      </c>
      <c r="C818" s="8">
        <v>46098</v>
      </c>
      <c r="D818" s="9">
        <v>36259</v>
      </c>
    </row>
    <row r="819" spans="1:4">
      <c r="A819" t="s">
        <v>9</v>
      </c>
      <c r="B819" t="s">
        <v>235</v>
      </c>
      <c r="C819" s="8">
        <v>46098</v>
      </c>
      <c r="D819" s="9">
        <v>27113</v>
      </c>
    </row>
    <row r="820" spans="1:4">
      <c r="A820" t="s">
        <v>9</v>
      </c>
      <c r="B820" t="s">
        <v>177</v>
      </c>
      <c r="C820" s="8">
        <v>46098</v>
      </c>
      <c r="D820" s="9">
        <v>32691</v>
      </c>
    </row>
    <row r="821" spans="1:4">
      <c r="A821" t="s">
        <v>9</v>
      </c>
      <c r="B821" t="s">
        <v>71</v>
      </c>
      <c r="C821" s="8">
        <v>46098</v>
      </c>
      <c r="D821" s="9">
        <v>45913</v>
      </c>
    </row>
    <row r="822" spans="1:4">
      <c r="A822" t="s">
        <v>5</v>
      </c>
      <c r="B822" t="s">
        <v>188</v>
      </c>
      <c r="C822" s="8">
        <v>46098</v>
      </c>
      <c r="D822" s="9">
        <v>30759</v>
      </c>
    </row>
    <row r="823" spans="1:4">
      <c r="A823" t="s">
        <v>5</v>
      </c>
      <c r="B823" t="s">
        <v>239</v>
      </c>
      <c r="C823" s="8">
        <v>46098</v>
      </c>
      <c r="D823" s="9">
        <v>36888</v>
      </c>
    </row>
    <row r="824" spans="1:4">
      <c r="A824" t="s">
        <v>5</v>
      </c>
      <c r="B824" t="s">
        <v>74</v>
      </c>
      <c r="C824" s="8">
        <v>46098</v>
      </c>
      <c r="D824" s="9">
        <v>33175</v>
      </c>
    </row>
    <row r="825" spans="1:4">
      <c r="A825" t="s">
        <v>5</v>
      </c>
      <c r="B825" t="s">
        <v>211</v>
      </c>
      <c r="C825" s="8">
        <v>46098</v>
      </c>
      <c r="D825" s="9">
        <v>35215</v>
      </c>
    </row>
    <row r="826" spans="1:4">
      <c r="A826" t="s">
        <v>35</v>
      </c>
      <c r="B826" t="s">
        <v>94</v>
      </c>
      <c r="C826" s="8">
        <v>46099</v>
      </c>
      <c r="D826" s="9">
        <v>5200</v>
      </c>
    </row>
    <row r="827" spans="1:4">
      <c r="A827" t="s">
        <v>27</v>
      </c>
      <c r="B827" t="s">
        <v>135</v>
      </c>
      <c r="C827" s="8">
        <v>46099</v>
      </c>
      <c r="D827" s="9">
        <v>13942</v>
      </c>
    </row>
    <row r="828" spans="1:4">
      <c r="A828" t="s">
        <v>4</v>
      </c>
      <c r="B828" t="s">
        <v>150</v>
      </c>
      <c r="C828" s="8">
        <v>46099</v>
      </c>
      <c r="D828" s="9">
        <v>38450</v>
      </c>
    </row>
    <row r="829" spans="1:4">
      <c r="A829" t="s">
        <v>26</v>
      </c>
      <c r="B829" t="s">
        <v>138</v>
      </c>
      <c r="C829" s="8">
        <v>46099</v>
      </c>
      <c r="D829" s="9">
        <v>12976</v>
      </c>
    </row>
    <row r="830" spans="1:4">
      <c r="A830" t="s">
        <v>30</v>
      </c>
      <c r="B830" t="s">
        <v>68</v>
      </c>
      <c r="C830" s="8">
        <v>46099</v>
      </c>
      <c r="D830" s="9">
        <v>5200</v>
      </c>
    </row>
    <row r="831" spans="1:4">
      <c r="A831" t="s">
        <v>8</v>
      </c>
      <c r="B831" t="s">
        <v>140</v>
      </c>
      <c r="C831" s="8">
        <v>46099</v>
      </c>
      <c r="D831" s="9">
        <v>14826</v>
      </c>
    </row>
    <row r="832" spans="1:4">
      <c r="A832" t="s">
        <v>33</v>
      </c>
      <c r="B832" t="s">
        <v>268</v>
      </c>
      <c r="C832" s="8">
        <v>46099</v>
      </c>
      <c r="D832" s="9">
        <v>5200</v>
      </c>
    </row>
    <row r="833" spans="1:4">
      <c r="A833" t="s">
        <v>29</v>
      </c>
      <c r="B833" t="s">
        <v>57</v>
      </c>
      <c r="C833" s="8">
        <v>46099</v>
      </c>
      <c r="D833" s="9">
        <v>11379</v>
      </c>
    </row>
    <row r="834" spans="1:4">
      <c r="A834" t="s">
        <v>7</v>
      </c>
      <c r="B834" t="s">
        <v>142</v>
      </c>
      <c r="C834" s="8">
        <v>46099</v>
      </c>
      <c r="D834" s="9">
        <v>39134</v>
      </c>
    </row>
    <row r="835" spans="1:4">
      <c r="A835" t="s">
        <v>9</v>
      </c>
      <c r="B835" t="s">
        <v>82</v>
      </c>
      <c r="C835" s="8">
        <v>46099</v>
      </c>
      <c r="D835" s="9">
        <v>19728</v>
      </c>
    </row>
    <row r="836" spans="1:4">
      <c r="A836" t="s">
        <v>5</v>
      </c>
      <c r="B836" t="s">
        <v>133</v>
      </c>
      <c r="C836" s="8">
        <v>46099</v>
      </c>
      <c r="D836" s="9">
        <v>46831</v>
      </c>
    </row>
    <row r="837" spans="1:4">
      <c r="A837" t="s">
        <v>5</v>
      </c>
      <c r="B837" t="s">
        <v>209</v>
      </c>
      <c r="C837" s="8">
        <v>46099</v>
      </c>
      <c r="D837" s="9">
        <v>39089</v>
      </c>
    </row>
    <row r="838" spans="1:4">
      <c r="A838" t="s">
        <v>5</v>
      </c>
      <c r="B838" t="s">
        <v>98</v>
      </c>
      <c r="C838" s="8">
        <v>46099</v>
      </c>
      <c r="D838" s="9">
        <v>47860</v>
      </c>
    </row>
    <row r="839" spans="1:4">
      <c r="A839" t="s">
        <v>4</v>
      </c>
      <c r="B839" t="s">
        <v>160</v>
      </c>
      <c r="C839" s="8">
        <v>46100</v>
      </c>
      <c r="D839" s="9">
        <v>29783</v>
      </c>
    </row>
    <row r="840" spans="1:4">
      <c r="A840" t="s">
        <v>26</v>
      </c>
      <c r="B840" t="s">
        <v>78</v>
      </c>
      <c r="C840" s="8">
        <v>46100</v>
      </c>
      <c r="D840" s="9">
        <v>12999</v>
      </c>
    </row>
    <row r="841" spans="1:4">
      <c r="A841" t="s">
        <v>8</v>
      </c>
      <c r="B841" t="s">
        <v>52</v>
      </c>
      <c r="C841" s="8">
        <v>46100</v>
      </c>
      <c r="D841" s="9">
        <v>14982</v>
      </c>
    </row>
    <row r="842" spans="1:4">
      <c r="A842" t="s">
        <v>6</v>
      </c>
      <c r="B842" t="s">
        <v>217</v>
      </c>
      <c r="C842" s="8">
        <v>46100</v>
      </c>
      <c r="D842" s="9">
        <v>17662</v>
      </c>
    </row>
    <row r="843" spans="1:4">
      <c r="A843" t="s">
        <v>7</v>
      </c>
      <c r="B843" t="s">
        <v>193</v>
      </c>
      <c r="C843" s="8">
        <v>46100</v>
      </c>
      <c r="D843" s="9">
        <v>17812</v>
      </c>
    </row>
    <row r="844" spans="1:4">
      <c r="A844" t="s">
        <v>9</v>
      </c>
      <c r="B844" t="s">
        <v>143</v>
      </c>
      <c r="C844" s="8">
        <v>46100</v>
      </c>
      <c r="D844" s="9">
        <v>14718</v>
      </c>
    </row>
    <row r="845" spans="1:4">
      <c r="A845" t="s">
        <v>9</v>
      </c>
      <c r="B845" t="s">
        <v>269</v>
      </c>
      <c r="C845" s="8">
        <v>46100</v>
      </c>
      <c r="D845" s="9">
        <v>41101</v>
      </c>
    </row>
    <row r="846" spans="1:4">
      <c r="A846" t="s">
        <v>9</v>
      </c>
      <c r="B846" t="s">
        <v>187</v>
      </c>
      <c r="C846" s="8">
        <v>46100</v>
      </c>
      <c r="D846" s="9">
        <v>44115</v>
      </c>
    </row>
    <row r="847" spans="1:4">
      <c r="A847" t="s">
        <v>9</v>
      </c>
      <c r="B847" t="s">
        <v>66</v>
      </c>
      <c r="C847" s="8">
        <v>46100</v>
      </c>
      <c r="D847" s="9">
        <v>35315</v>
      </c>
    </row>
    <row r="848" spans="1:4">
      <c r="A848" t="s">
        <v>5</v>
      </c>
      <c r="B848" t="s">
        <v>182</v>
      </c>
      <c r="C848" s="8">
        <v>46100</v>
      </c>
      <c r="D848" s="9">
        <v>49070</v>
      </c>
    </row>
    <row r="849" spans="1:4">
      <c r="A849" t="s">
        <v>5</v>
      </c>
      <c r="B849" t="s">
        <v>101</v>
      </c>
      <c r="C849" s="8">
        <v>46100</v>
      </c>
      <c r="D849" s="9">
        <v>30230</v>
      </c>
    </row>
    <row r="850" spans="1:4">
      <c r="A850" t="s">
        <v>5</v>
      </c>
      <c r="B850" t="s">
        <v>212</v>
      </c>
      <c r="C850" s="8">
        <v>46100</v>
      </c>
      <c r="D850" s="9">
        <v>30845</v>
      </c>
    </row>
    <row r="851" spans="1:4">
      <c r="A851" t="s">
        <v>5</v>
      </c>
      <c r="B851" t="s">
        <v>134</v>
      </c>
      <c r="C851" s="8">
        <v>46100</v>
      </c>
      <c r="D851" s="9">
        <v>32350</v>
      </c>
    </row>
    <row r="852" spans="1:4">
      <c r="A852" t="s">
        <v>27</v>
      </c>
      <c r="B852" t="s">
        <v>125</v>
      </c>
      <c r="C852" s="8">
        <v>46101</v>
      </c>
      <c r="D852" s="9">
        <v>13131</v>
      </c>
    </row>
    <row r="853" spans="1:4">
      <c r="A853" t="s">
        <v>4</v>
      </c>
      <c r="B853" t="s">
        <v>222</v>
      </c>
      <c r="C853" s="8">
        <v>46101</v>
      </c>
      <c r="D853" s="9">
        <v>35880</v>
      </c>
    </row>
    <row r="854" spans="1:4">
      <c r="A854" t="s">
        <v>26</v>
      </c>
      <c r="B854" t="s">
        <v>119</v>
      </c>
      <c r="C854" s="8">
        <v>46101</v>
      </c>
      <c r="D854" s="9">
        <v>5200</v>
      </c>
    </row>
    <row r="855" spans="1:4">
      <c r="A855" t="s">
        <v>26</v>
      </c>
      <c r="B855" t="s">
        <v>205</v>
      </c>
      <c r="C855" s="8">
        <v>46101</v>
      </c>
      <c r="D855" s="9">
        <v>15068</v>
      </c>
    </row>
    <row r="856" spans="1:4">
      <c r="A856" t="s">
        <v>8</v>
      </c>
      <c r="B856" t="s">
        <v>79</v>
      </c>
      <c r="C856" s="8">
        <v>46101</v>
      </c>
      <c r="D856" s="9">
        <v>13871</v>
      </c>
    </row>
    <row r="857" spans="1:4">
      <c r="A857" t="s">
        <v>6</v>
      </c>
      <c r="B857" t="s">
        <v>273</v>
      </c>
      <c r="C857" s="8">
        <v>46101</v>
      </c>
      <c r="D857" s="9">
        <v>15883</v>
      </c>
    </row>
    <row r="858" spans="1:4">
      <c r="A858" t="s">
        <v>9</v>
      </c>
      <c r="B858" t="s">
        <v>220</v>
      </c>
      <c r="C858" s="8">
        <v>46101</v>
      </c>
      <c r="D858" s="9">
        <v>11766</v>
      </c>
    </row>
    <row r="859" spans="1:4">
      <c r="A859" t="s">
        <v>9</v>
      </c>
      <c r="B859" t="s">
        <v>264</v>
      </c>
      <c r="C859" s="8">
        <v>46101</v>
      </c>
      <c r="D859" s="9">
        <v>40542</v>
      </c>
    </row>
    <row r="860" spans="1:4">
      <c r="A860" t="s">
        <v>9</v>
      </c>
      <c r="B860" t="s">
        <v>83</v>
      </c>
      <c r="C860" s="8">
        <v>46101</v>
      </c>
      <c r="D860" s="9">
        <v>30469</v>
      </c>
    </row>
    <row r="861" spans="1:4">
      <c r="A861" t="s">
        <v>5</v>
      </c>
      <c r="B861" t="s">
        <v>97</v>
      </c>
      <c r="C861" s="8">
        <v>46101</v>
      </c>
      <c r="D861" s="9">
        <v>41317</v>
      </c>
    </row>
    <row r="862" spans="1:4">
      <c r="A862" t="s">
        <v>5</v>
      </c>
      <c r="B862" t="s">
        <v>210</v>
      </c>
      <c r="C862" s="8">
        <v>46101</v>
      </c>
      <c r="D862" s="9">
        <v>32861</v>
      </c>
    </row>
    <row r="863" spans="1:4">
      <c r="A863" t="s">
        <v>4</v>
      </c>
      <c r="B863" t="s">
        <v>116</v>
      </c>
      <c r="C863" s="8">
        <v>46102</v>
      </c>
      <c r="D863" s="9">
        <v>29069</v>
      </c>
    </row>
    <row r="864" spans="1:4">
      <c r="A864" t="s">
        <v>4</v>
      </c>
      <c r="B864" t="s">
        <v>127</v>
      </c>
      <c r="C864" s="8">
        <v>46102</v>
      </c>
      <c r="D864" s="9">
        <v>33186</v>
      </c>
    </row>
    <row r="865" spans="1:4">
      <c r="A865" t="s">
        <v>4</v>
      </c>
      <c r="B865" t="s">
        <v>85</v>
      </c>
      <c r="C865" s="8">
        <v>46102</v>
      </c>
      <c r="D865" s="9">
        <v>13989</v>
      </c>
    </row>
    <row r="866" spans="1:4">
      <c r="A866" t="s">
        <v>4</v>
      </c>
      <c r="B866" t="s">
        <v>100</v>
      </c>
      <c r="C866" s="8">
        <v>46102</v>
      </c>
      <c r="D866" s="9">
        <v>47321</v>
      </c>
    </row>
    <row r="867" spans="1:4">
      <c r="A867" t="s">
        <v>25</v>
      </c>
      <c r="B867" t="s">
        <v>278</v>
      </c>
      <c r="C867" s="8">
        <v>46102</v>
      </c>
      <c r="D867" s="9">
        <v>15426</v>
      </c>
    </row>
    <row r="868" spans="1:4">
      <c r="A868" t="s">
        <v>6</v>
      </c>
      <c r="B868" t="s">
        <v>260</v>
      </c>
      <c r="C868" s="8">
        <v>46102</v>
      </c>
      <c r="D868" s="9">
        <v>31283</v>
      </c>
    </row>
    <row r="869" spans="1:4">
      <c r="A869" t="s">
        <v>7</v>
      </c>
      <c r="B869" t="s">
        <v>266</v>
      </c>
      <c r="C869" s="8">
        <v>46102</v>
      </c>
      <c r="D869" s="9">
        <v>24351</v>
      </c>
    </row>
    <row r="870" spans="1:4">
      <c r="A870" t="s">
        <v>9</v>
      </c>
      <c r="B870" t="s">
        <v>276</v>
      </c>
      <c r="C870" s="8">
        <v>46102</v>
      </c>
      <c r="D870" s="9">
        <v>49464</v>
      </c>
    </row>
    <row r="871" spans="1:4">
      <c r="A871" t="s">
        <v>9</v>
      </c>
      <c r="B871" t="s">
        <v>91</v>
      </c>
      <c r="C871" s="8">
        <v>46102</v>
      </c>
      <c r="D871" s="9">
        <v>31813</v>
      </c>
    </row>
    <row r="872" spans="1:4">
      <c r="A872" t="s">
        <v>9</v>
      </c>
      <c r="B872" t="s">
        <v>159</v>
      </c>
      <c r="C872" s="8">
        <v>46102</v>
      </c>
      <c r="D872" s="9">
        <v>43123</v>
      </c>
    </row>
    <row r="873" spans="1:4">
      <c r="A873" t="s">
        <v>9</v>
      </c>
      <c r="B873" t="s">
        <v>148</v>
      </c>
      <c r="C873" s="8">
        <v>46102</v>
      </c>
      <c r="D873" s="9">
        <v>27205</v>
      </c>
    </row>
    <row r="874" spans="1:4">
      <c r="A874" t="s">
        <v>5</v>
      </c>
      <c r="B874" t="s">
        <v>251</v>
      </c>
      <c r="C874" s="8">
        <v>46102</v>
      </c>
      <c r="D874" s="9">
        <v>48647</v>
      </c>
    </row>
    <row r="875" spans="1:4">
      <c r="A875" t="s">
        <v>5</v>
      </c>
      <c r="B875" t="s">
        <v>84</v>
      </c>
      <c r="C875" s="8">
        <v>46102</v>
      </c>
      <c r="D875" s="9">
        <v>36063</v>
      </c>
    </row>
    <row r="876" spans="1:4">
      <c r="A876" t="s">
        <v>5</v>
      </c>
      <c r="B876" t="s">
        <v>99</v>
      </c>
      <c r="C876" s="8">
        <v>46102</v>
      </c>
      <c r="D876" s="9">
        <v>33621</v>
      </c>
    </row>
    <row r="877" spans="1:4">
      <c r="A877" t="s">
        <v>8</v>
      </c>
      <c r="B877" t="s">
        <v>259</v>
      </c>
      <c r="C877" s="8">
        <v>46103</v>
      </c>
      <c r="D877" s="9">
        <v>16288</v>
      </c>
    </row>
    <row r="878" spans="1:4">
      <c r="A878" t="s">
        <v>29</v>
      </c>
      <c r="B878" t="s">
        <v>95</v>
      </c>
      <c r="C878" s="8">
        <v>46103</v>
      </c>
      <c r="D878" s="9">
        <v>5200</v>
      </c>
    </row>
    <row r="879" spans="1:4">
      <c r="A879" t="s">
        <v>7</v>
      </c>
      <c r="B879" t="s">
        <v>249</v>
      </c>
      <c r="C879" s="8">
        <v>46103</v>
      </c>
      <c r="D879" s="9">
        <v>16065</v>
      </c>
    </row>
    <row r="880" spans="1:4">
      <c r="A880" t="s">
        <v>9</v>
      </c>
      <c r="B880" t="s">
        <v>175</v>
      </c>
      <c r="C880" s="8">
        <v>46103</v>
      </c>
      <c r="D880" s="9">
        <v>29109</v>
      </c>
    </row>
    <row r="881" spans="1:4">
      <c r="A881" t="s">
        <v>5</v>
      </c>
      <c r="B881" t="s">
        <v>166</v>
      </c>
      <c r="C881" s="8">
        <v>46103</v>
      </c>
      <c r="D881" s="9">
        <v>42305</v>
      </c>
    </row>
    <row r="882" spans="1:4">
      <c r="A882" t="s">
        <v>5</v>
      </c>
      <c r="B882" t="s">
        <v>133</v>
      </c>
      <c r="C882" s="8">
        <v>46103</v>
      </c>
      <c r="D882" s="9">
        <v>48274</v>
      </c>
    </row>
    <row r="883" spans="1:4">
      <c r="A883" t="s">
        <v>5</v>
      </c>
      <c r="B883" t="s">
        <v>167</v>
      </c>
      <c r="C883" s="8">
        <v>46103</v>
      </c>
      <c r="D883" s="9">
        <v>30976</v>
      </c>
    </row>
    <row r="884" spans="1:4">
      <c r="A884" t="s">
        <v>5</v>
      </c>
      <c r="B884" t="s">
        <v>101</v>
      </c>
      <c r="C884" s="8">
        <v>46103</v>
      </c>
      <c r="D884" s="9">
        <v>32230</v>
      </c>
    </row>
    <row r="885" spans="1:4">
      <c r="A885" t="s">
        <v>5</v>
      </c>
      <c r="B885" t="s">
        <v>219</v>
      </c>
      <c r="C885" s="8">
        <v>46103</v>
      </c>
      <c r="D885" s="9">
        <v>48418</v>
      </c>
    </row>
    <row r="886" spans="1:4">
      <c r="A886" t="s">
        <v>5</v>
      </c>
      <c r="B886" t="s">
        <v>61</v>
      </c>
      <c r="C886" s="8">
        <v>46103</v>
      </c>
      <c r="D886" s="9">
        <v>32444</v>
      </c>
    </row>
    <row r="887" spans="1:4">
      <c r="A887" t="s">
        <v>5</v>
      </c>
      <c r="B887" t="s">
        <v>100</v>
      </c>
      <c r="C887" s="8">
        <v>46103</v>
      </c>
      <c r="D887" s="9">
        <v>41649</v>
      </c>
    </row>
    <row r="888" spans="1:4">
      <c r="A888" t="s">
        <v>31</v>
      </c>
      <c r="B888" t="s">
        <v>152</v>
      </c>
      <c r="C888" s="8">
        <v>46104</v>
      </c>
      <c r="D888" s="9">
        <v>15435</v>
      </c>
    </row>
    <row r="889" spans="1:4">
      <c r="A889" t="s">
        <v>26</v>
      </c>
      <c r="B889" t="s">
        <v>216</v>
      </c>
      <c r="C889" s="8">
        <v>46104</v>
      </c>
      <c r="D889" s="9">
        <v>12237</v>
      </c>
    </row>
    <row r="890" spans="1:4">
      <c r="A890" t="s">
        <v>26</v>
      </c>
      <c r="B890" t="s">
        <v>236</v>
      </c>
      <c r="C890" s="8">
        <v>46104</v>
      </c>
      <c r="D890" s="9">
        <v>10662</v>
      </c>
    </row>
    <row r="891" spans="1:4">
      <c r="A891" t="s">
        <v>6</v>
      </c>
      <c r="B891" t="s">
        <v>261</v>
      </c>
      <c r="C891" s="8">
        <v>46104</v>
      </c>
      <c r="D891" s="9">
        <v>17372</v>
      </c>
    </row>
    <row r="892" spans="1:4">
      <c r="A892" t="s">
        <v>33</v>
      </c>
      <c r="B892" t="s">
        <v>248</v>
      </c>
      <c r="C892" s="8">
        <v>46104</v>
      </c>
      <c r="D892" s="9">
        <v>12972</v>
      </c>
    </row>
    <row r="893" spans="1:4">
      <c r="A893" t="s">
        <v>7</v>
      </c>
      <c r="B893" t="s">
        <v>89</v>
      </c>
      <c r="C893" s="8">
        <v>46104</v>
      </c>
      <c r="D893" s="9">
        <v>28199</v>
      </c>
    </row>
    <row r="894" spans="1:4">
      <c r="A894" t="s">
        <v>9</v>
      </c>
      <c r="B894" t="s">
        <v>235</v>
      </c>
      <c r="C894" s="8">
        <v>46104</v>
      </c>
      <c r="D894" s="9">
        <v>34339</v>
      </c>
    </row>
    <row r="895" spans="1:4">
      <c r="A895" t="s">
        <v>9</v>
      </c>
      <c r="B895" t="s">
        <v>171</v>
      </c>
      <c r="C895" s="8">
        <v>46104</v>
      </c>
      <c r="D895" s="9">
        <v>42202</v>
      </c>
    </row>
    <row r="896" spans="1:4">
      <c r="A896" t="s">
        <v>9</v>
      </c>
      <c r="B896" t="s">
        <v>96</v>
      </c>
      <c r="C896" s="8">
        <v>46104</v>
      </c>
      <c r="D896" s="9">
        <v>27396</v>
      </c>
    </row>
    <row r="897" spans="1:4">
      <c r="A897" t="s">
        <v>9</v>
      </c>
      <c r="B897" t="s">
        <v>146</v>
      </c>
      <c r="C897" s="8">
        <v>46104</v>
      </c>
      <c r="D897" s="9">
        <v>22459</v>
      </c>
    </row>
    <row r="898" spans="1:4">
      <c r="A898" t="s">
        <v>5</v>
      </c>
      <c r="B898" t="s">
        <v>72</v>
      </c>
      <c r="C898" s="8">
        <v>46104</v>
      </c>
      <c r="D898" s="9">
        <v>36338</v>
      </c>
    </row>
    <row r="899" spans="1:4">
      <c r="A899" t="s">
        <v>5</v>
      </c>
      <c r="B899" t="s">
        <v>183</v>
      </c>
      <c r="C899" s="8">
        <v>46104</v>
      </c>
      <c r="D899" s="9">
        <v>40056</v>
      </c>
    </row>
    <row r="900" spans="1:4">
      <c r="A900" t="s">
        <v>5</v>
      </c>
      <c r="B900" t="s">
        <v>159</v>
      </c>
      <c r="C900" s="8">
        <v>46104</v>
      </c>
      <c r="D900" s="9">
        <v>46272</v>
      </c>
    </row>
    <row r="901" spans="1:4">
      <c r="A901" t="s">
        <v>5</v>
      </c>
      <c r="B901" t="s">
        <v>124</v>
      </c>
      <c r="C901" s="8">
        <v>46104</v>
      </c>
      <c r="D901" s="9">
        <v>31394</v>
      </c>
    </row>
    <row r="902" spans="1:4">
      <c r="A902" t="s">
        <v>5</v>
      </c>
      <c r="B902" t="s">
        <v>58</v>
      </c>
      <c r="C902" s="8">
        <v>46104</v>
      </c>
      <c r="D902" s="9">
        <v>48222</v>
      </c>
    </row>
    <row r="903" spans="1:4">
      <c r="A903" t="s">
        <v>31</v>
      </c>
      <c r="B903" t="s">
        <v>199</v>
      </c>
      <c r="C903" s="8">
        <v>46105</v>
      </c>
      <c r="D903" s="9">
        <v>20306</v>
      </c>
    </row>
    <row r="904" spans="1:4">
      <c r="A904" t="s">
        <v>25</v>
      </c>
      <c r="B904" t="s">
        <v>215</v>
      </c>
      <c r="C904" s="8">
        <v>46105</v>
      </c>
      <c r="D904" s="9">
        <v>6233</v>
      </c>
    </row>
    <row r="905" spans="1:4">
      <c r="A905" t="s">
        <v>28</v>
      </c>
      <c r="B905" t="s">
        <v>62</v>
      </c>
      <c r="C905" s="8">
        <v>46105</v>
      </c>
      <c r="D905" s="9">
        <v>8734</v>
      </c>
    </row>
    <row r="906" spans="1:4">
      <c r="A906" t="s">
        <v>30</v>
      </c>
      <c r="B906" t="s">
        <v>224</v>
      </c>
      <c r="C906" s="8">
        <v>46105</v>
      </c>
      <c r="D906" s="9">
        <v>12414</v>
      </c>
    </row>
    <row r="907" spans="1:4">
      <c r="A907" t="s">
        <v>7</v>
      </c>
      <c r="B907" t="s">
        <v>122</v>
      </c>
      <c r="C907" s="8">
        <v>46105</v>
      </c>
      <c r="D907" s="9">
        <v>36169</v>
      </c>
    </row>
    <row r="908" spans="1:4">
      <c r="A908" t="s">
        <v>7</v>
      </c>
      <c r="B908" t="s">
        <v>170</v>
      </c>
      <c r="C908" s="8">
        <v>46105</v>
      </c>
      <c r="D908" s="9">
        <v>19420</v>
      </c>
    </row>
    <row r="909" spans="1:4">
      <c r="A909" t="s">
        <v>7</v>
      </c>
      <c r="B909" t="s">
        <v>275</v>
      </c>
      <c r="C909" s="8">
        <v>46105</v>
      </c>
      <c r="D909" s="9">
        <v>20801</v>
      </c>
    </row>
    <row r="910" spans="1:4">
      <c r="A910" t="s">
        <v>9</v>
      </c>
      <c r="B910" t="s">
        <v>113</v>
      </c>
      <c r="C910" s="8">
        <v>46105</v>
      </c>
      <c r="D910" s="9">
        <v>30798</v>
      </c>
    </row>
    <row r="911" spans="1:4">
      <c r="A911" t="s">
        <v>5</v>
      </c>
      <c r="B911" t="s">
        <v>92</v>
      </c>
      <c r="C911" s="8">
        <v>46105</v>
      </c>
      <c r="D911" s="9">
        <v>44536</v>
      </c>
    </row>
    <row r="912" spans="1:4">
      <c r="A912" t="s">
        <v>5</v>
      </c>
      <c r="B912" t="s">
        <v>54</v>
      </c>
      <c r="C912" s="8">
        <v>46105</v>
      </c>
      <c r="D912" s="9">
        <v>39141</v>
      </c>
    </row>
    <row r="913" spans="1:4">
      <c r="A913" t="s">
        <v>5</v>
      </c>
      <c r="B913" t="s">
        <v>93</v>
      </c>
      <c r="C913" s="8">
        <v>46105</v>
      </c>
      <c r="D913" s="9">
        <v>36240</v>
      </c>
    </row>
    <row r="914" spans="1:4">
      <c r="A914" t="s">
        <v>5</v>
      </c>
      <c r="B914" t="s">
        <v>277</v>
      </c>
      <c r="C914" s="8">
        <v>46105</v>
      </c>
      <c r="D914" s="9">
        <v>32906</v>
      </c>
    </row>
    <row r="915" spans="1:4">
      <c r="A915" t="s">
        <v>4</v>
      </c>
      <c r="B915" t="s">
        <v>151</v>
      </c>
      <c r="C915" s="8">
        <v>46106</v>
      </c>
      <c r="D915" s="9">
        <v>28947</v>
      </c>
    </row>
    <row r="916" spans="1:4">
      <c r="A916" t="s">
        <v>8</v>
      </c>
      <c r="B916" t="s">
        <v>64</v>
      </c>
      <c r="C916" s="8">
        <v>46106</v>
      </c>
      <c r="D916" s="9">
        <v>14426</v>
      </c>
    </row>
    <row r="917" spans="1:4">
      <c r="A917" t="s">
        <v>29</v>
      </c>
      <c r="B917" t="s">
        <v>191</v>
      </c>
      <c r="C917" s="8">
        <v>46106</v>
      </c>
      <c r="D917" s="9">
        <v>12046</v>
      </c>
    </row>
    <row r="918" spans="1:4">
      <c r="A918" t="s">
        <v>7</v>
      </c>
      <c r="B918" t="s">
        <v>47</v>
      </c>
      <c r="C918" s="8">
        <v>46106</v>
      </c>
      <c r="D918" s="9">
        <v>21213</v>
      </c>
    </row>
    <row r="919" spans="1:4">
      <c r="A919" t="s">
        <v>5</v>
      </c>
      <c r="B919" t="s">
        <v>74</v>
      </c>
      <c r="C919" s="8">
        <v>46106</v>
      </c>
      <c r="D919" s="9">
        <v>48856</v>
      </c>
    </row>
    <row r="920" spans="1:4">
      <c r="A920" t="s">
        <v>5</v>
      </c>
      <c r="B920" t="s">
        <v>124</v>
      </c>
      <c r="C920" s="8">
        <v>46106</v>
      </c>
      <c r="D920" s="9">
        <v>28228</v>
      </c>
    </row>
    <row r="921" spans="1:4">
      <c r="A921" t="s">
        <v>26</v>
      </c>
      <c r="B921" t="s">
        <v>257</v>
      </c>
      <c r="C921" s="8">
        <v>46107</v>
      </c>
      <c r="D921" s="9">
        <v>5200</v>
      </c>
    </row>
    <row r="922" spans="1:4">
      <c r="A922" t="s">
        <v>7</v>
      </c>
      <c r="B922" t="s">
        <v>233</v>
      </c>
      <c r="C922" s="8">
        <v>46107</v>
      </c>
      <c r="D922" s="9">
        <v>23681</v>
      </c>
    </row>
    <row r="923" spans="1:4">
      <c r="A923" t="s">
        <v>7</v>
      </c>
      <c r="B923" t="s">
        <v>69</v>
      </c>
      <c r="C923" s="8">
        <v>46107</v>
      </c>
      <c r="D923" s="9">
        <v>37823</v>
      </c>
    </row>
    <row r="924" spans="1:4">
      <c r="A924" t="s">
        <v>9</v>
      </c>
      <c r="B924" t="s">
        <v>83</v>
      </c>
      <c r="C924" s="8">
        <v>46107</v>
      </c>
      <c r="D924" s="9">
        <v>38911</v>
      </c>
    </row>
    <row r="925" spans="1:4">
      <c r="A925" t="s">
        <v>9</v>
      </c>
      <c r="B925" t="s">
        <v>70</v>
      </c>
      <c r="C925" s="8">
        <v>46107</v>
      </c>
      <c r="D925" s="9">
        <v>28519</v>
      </c>
    </row>
    <row r="926" spans="1:4">
      <c r="A926" t="s">
        <v>5</v>
      </c>
      <c r="B926" t="s">
        <v>167</v>
      </c>
      <c r="C926" s="8">
        <v>46107</v>
      </c>
      <c r="D926" s="9">
        <v>31797</v>
      </c>
    </row>
    <row r="927" spans="1:4">
      <c r="A927" t="s">
        <v>5</v>
      </c>
      <c r="B927" t="s">
        <v>211</v>
      </c>
      <c r="C927" s="8">
        <v>46107</v>
      </c>
      <c r="D927" s="9">
        <v>39366</v>
      </c>
    </row>
    <row r="928" spans="1:4">
      <c r="A928" t="s">
        <v>5</v>
      </c>
      <c r="B928" t="s">
        <v>204</v>
      </c>
      <c r="C928" s="8">
        <v>46107</v>
      </c>
      <c r="D928" s="9">
        <v>64289</v>
      </c>
    </row>
    <row r="929" spans="1:4">
      <c r="A929" t="s">
        <v>4</v>
      </c>
      <c r="B929" t="s">
        <v>190</v>
      </c>
      <c r="C929" s="8">
        <v>46108</v>
      </c>
      <c r="D929" s="9">
        <v>24467</v>
      </c>
    </row>
    <row r="930" spans="1:4">
      <c r="A930" t="s">
        <v>4</v>
      </c>
      <c r="B930" t="s">
        <v>115</v>
      </c>
      <c r="C930" s="8">
        <v>46108</v>
      </c>
      <c r="D930" s="9">
        <v>31790</v>
      </c>
    </row>
    <row r="931" spans="1:4">
      <c r="A931" t="s">
        <v>4</v>
      </c>
      <c r="B931" t="s">
        <v>50</v>
      </c>
      <c r="C931" s="8">
        <v>46108</v>
      </c>
      <c r="D931" s="9">
        <v>24068</v>
      </c>
    </row>
    <row r="932" spans="1:4">
      <c r="A932" t="s">
        <v>5</v>
      </c>
      <c r="B932" t="s">
        <v>53</v>
      </c>
      <c r="C932" s="8">
        <v>46108</v>
      </c>
      <c r="D932" s="9">
        <v>53577</v>
      </c>
    </row>
    <row r="933" spans="1:4">
      <c r="A933" t="s">
        <v>5</v>
      </c>
      <c r="B933" t="s">
        <v>98</v>
      </c>
      <c r="C933" s="8">
        <v>46108</v>
      </c>
      <c r="D933" s="9">
        <v>65651</v>
      </c>
    </row>
    <row r="934" spans="1:4">
      <c r="A934" t="s">
        <v>5</v>
      </c>
      <c r="B934" t="s">
        <v>108</v>
      </c>
      <c r="C934" s="8">
        <v>46108</v>
      </c>
      <c r="D934" s="9">
        <v>32236</v>
      </c>
    </row>
    <row r="935" spans="1:4">
      <c r="A935" t="s">
        <v>25</v>
      </c>
      <c r="B935" t="s">
        <v>186</v>
      </c>
      <c r="C935" s="8">
        <v>46109</v>
      </c>
      <c r="D935" s="9">
        <v>12761</v>
      </c>
    </row>
    <row r="936" spans="1:4">
      <c r="A936" t="s">
        <v>28</v>
      </c>
      <c r="B936" t="s">
        <v>174</v>
      </c>
      <c r="C936" s="8">
        <v>46109</v>
      </c>
      <c r="D936" s="9">
        <v>16582</v>
      </c>
    </row>
    <row r="937" spans="1:4">
      <c r="A937" t="s">
        <v>6</v>
      </c>
      <c r="B937" t="s">
        <v>131</v>
      </c>
      <c r="C937" s="8">
        <v>46109</v>
      </c>
      <c r="D937" s="9">
        <v>16794</v>
      </c>
    </row>
    <row r="938" spans="1:4">
      <c r="A938" t="s">
        <v>29</v>
      </c>
      <c r="B938" t="s">
        <v>112</v>
      </c>
      <c r="C938" s="8">
        <v>46109</v>
      </c>
      <c r="D938" s="9">
        <v>11113</v>
      </c>
    </row>
    <row r="939" spans="1:4">
      <c r="A939" t="s">
        <v>7</v>
      </c>
      <c r="B939" t="s">
        <v>194</v>
      </c>
      <c r="C939" s="8">
        <v>46109</v>
      </c>
      <c r="D939" s="9">
        <v>24658</v>
      </c>
    </row>
    <row r="940" spans="1:4">
      <c r="A940" t="s">
        <v>9</v>
      </c>
      <c r="B940" t="s">
        <v>250</v>
      </c>
      <c r="C940" s="8">
        <v>46109</v>
      </c>
      <c r="D940" s="9">
        <v>44932</v>
      </c>
    </row>
    <row r="941" spans="1:4">
      <c r="A941" t="s">
        <v>9</v>
      </c>
      <c r="B941" t="s">
        <v>144</v>
      </c>
      <c r="C941" s="8">
        <v>46109</v>
      </c>
      <c r="D941" s="9">
        <v>27454</v>
      </c>
    </row>
    <row r="942" spans="1:4">
      <c r="A942" t="s">
        <v>9</v>
      </c>
      <c r="B942" t="s">
        <v>83</v>
      </c>
      <c r="C942" s="8">
        <v>46109</v>
      </c>
      <c r="D942" s="9">
        <v>35143</v>
      </c>
    </row>
    <row r="943" spans="1:4">
      <c r="A943" t="s">
        <v>5</v>
      </c>
      <c r="B943" t="s">
        <v>188</v>
      </c>
      <c r="C943" s="8">
        <v>46109</v>
      </c>
      <c r="D943" s="9">
        <v>37407</v>
      </c>
    </row>
    <row r="944" spans="1:4">
      <c r="A944" t="s">
        <v>5</v>
      </c>
      <c r="B944" t="s">
        <v>72</v>
      </c>
      <c r="C944" s="8">
        <v>46109</v>
      </c>
      <c r="D944" s="9">
        <v>54184</v>
      </c>
    </row>
    <row r="945" spans="1:4">
      <c r="A945" t="s">
        <v>5</v>
      </c>
      <c r="B945" t="s">
        <v>212</v>
      </c>
      <c r="C945" s="8">
        <v>46109</v>
      </c>
      <c r="D945" s="9">
        <v>30162</v>
      </c>
    </row>
    <row r="946" spans="1:4">
      <c r="A946" t="s">
        <v>25</v>
      </c>
      <c r="B946" t="s">
        <v>173</v>
      </c>
      <c r="C946" s="8">
        <v>46110</v>
      </c>
      <c r="D946" s="9">
        <v>6582</v>
      </c>
    </row>
    <row r="947" spans="1:4">
      <c r="A947" t="s">
        <v>6</v>
      </c>
      <c r="B947" t="s">
        <v>192</v>
      </c>
      <c r="C947" s="8">
        <v>46110</v>
      </c>
      <c r="D947" s="9">
        <v>17879</v>
      </c>
    </row>
    <row r="948" spans="1:4">
      <c r="A948" t="s">
        <v>9</v>
      </c>
      <c r="B948" t="s">
        <v>176</v>
      </c>
      <c r="C948" s="8">
        <v>46110</v>
      </c>
      <c r="D948" s="9">
        <v>24807</v>
      </c>
    </row>
    <row r="949" spans="1:4">
      <c r="A949" t="s">
        <v>5</v>
      </c>
      <c r="B949" t="s">
        <v>72</v>
      </c>
      <c r="C949" s="8">
        <v>46110</v>
      </c>
      <c r="D949" s="9">
        <v>54147</v>
      </c>
    </row>
    <row r="950" spans="1:4">
      <c r="A950" t="s">
        <v>4</v>
      </c>
      <c r="B950" t="s">
        <v>75</v>
      </c>
      <c r="C950" s="8">
        <v>46111</v>
      </c>
      <c r="D950" s="9">
        <v>18565</v>
      </c>
    </row>
    <row r="951" spans="1:4">
      <c r="A951" t="s">
        <v>4</v>
      </c>
      <c r="B951" t="s">
        <v>73</v>
      </c>
      <c r="C951" s="8">
        <v>46111</v>
      </c>
      <c r="D951" s="9">
        <v>35521</v>
      </c>
    </row>
    <row r="952" spans="1:4">
      <c r="A952" t="s">
        <v>31</v>
      </c>
      <c r="B952" t="s">
        <v>48</v>
      </c>
      <c r="C952" s="8">
        <v>46111</v>
      </c>
      <c r="D952" s="9">
        <v>12889</v>
      </c>
    </row>
    <row r="953" spans="1:4">
      <c r="A953" t="s">
        <v>26</v>
      </c>
      <c r="B953" t="s">
        <v>280</v>
      </c>
      <c r="C953" s="8">
        <v>46111</v>
      </c>
      <c r="D953" s="9">
        <v>13699</v>
      </c>
    </row>
    <row r="954" spans="1:4">
      <c r="A954" t="s">
        <v>26</v>
      </c>
      <c r="B954" t="s">
        <v>256</v>
      </c>
      <c r="C954" s="8">
        <v>46111</v>
      </c>
      <c r="D954" s="9">
        <v>12879</v>
      </c>
    </row>
    <row r="955" spans="1:4">
      <c r="A955" t="s">
        <v>6</v>
      </c>
      <c r="B955" t="s">
        <v>141</v>
      </c>
      <c r="C955" s="8">
        <v>46111</v>
      </c>
      <c r="D955" s="9">
        <v>17268</v>
      </c>
    </row>
    <row r="956" spans="1:4">
      <c r="A956" t="s">
        <v>6</v>
      </c>
      <c r="B956" t="s">
        <v>218</v>
      </c>
      <c r="C956" s="8">
        <v>46111</v>
      </c>
      <c r="D956" s="9">
        <v>14223</v>
      </c>
    </row>
    <row r="957" spans="1:4">
      <c r="A957" t="s">
        <v>9</v>
      </c>
      <c r="B957" t="s">
        <v>137</v>
      </c>
      <c r="C957" s="8">
        <v>46111</v>
      </c>
      <c r="D957" s="9">
        <v>18578</v>
      </c>
    </row>
    <row r="958" spans="1:4">
      <c r="A958" t="s">
        <v>5</v>
      </c>
      <c r="B958" t="s">
        <v>133</v>
      </c>
      <c r="C958" s="8">
        <v>46111</v>
      </c>
      <c r="D958" s="9">
        <v>39425</v>
      </c>
    </row>
    <row r="959" spans="1:4">
      <c r="A959" t="s">
        <v>5</v>
      </c>
      <c r="B959" t="s">
        <v>92</v>
      </c>
      <c r="C959" s="8">
        <v>46111</v>
      </c>
      <c r="D959" s="9">
        <v>37086</v>
      </c>
    </row>
    <row r="960" spans="1:4">
      <c r="A960" t="s">
        <v>5</v>
      </c>
      <c r="B960" t="s">
        <v>123</v>
      </c>
      <c r="C960" s="8">
        <v>46111</v>
      </c>
      <c r="D960" s="9">
        <v>41742</v>
      </c>
    </row>
    <row r="961" spans="1:4">
      <c r="A961" t="s">
        <v>5</v>
      </c>
      <c r="B961" t="s">
        <v>189</v>
      </c>
      <c r="C961" s="8">
        <v>46111</v>
      </c>
      <c r="D961" s="9">
        <v>30420</v>
      </c>
    </row>
    <row r="962" spans="1:4">
      <c r="A962" t="s">
        <v>35</v>
      </c>
      <c r="B962" t="s">
        <v>271</v>
      </c>
      <c r="C962" s="8">
        <v>46112</v>
      </c>
      <c r="D962" s="9">
        <v>10955</v>
      </c>
    </row>
    <row r="963" spans="1:4">
      <c r="A963" t="s">
        <v>4</v>
      </c>
      <c r="B963" t="s">
        <v>181</v>
      </c>
      <c r="C963" s="8">
        <v>46112</v>
      </c>
      <c r="D963" s="9">
        <v>28572</v>
      </c>
    </row>
    <row r="964" spans="1:4">
      <c r="A964" t="s">
        <v>4</v>
      </c>
      <c r="B964" t="s">
        <v>136</v>
      </c>
      <c r="C964" s="8">
        <v>46112</v>
      </c>
      <c r="D964" s="9">
        <v>21713</v>
      </c>
    </row>
    <row r="965" spans="1:4">
      <c r="A965" t="s">
        <v>4</v>
      </c>
      <c r="B965" t="s">
        <v>53</v>
      </c>
      <c r="C965" s="8">
        <v>46112</v>
      </c>
      <c r="D965" s="9">
        <v>41763</v>
      </c>
    </row>
    <row r="966" spans="1:4">
      <c r="A966" t="s">
        <v>25</v>
      </c>
      <c r="B966" t="s">
        <v>267</v>
      </c>
      <c r="C966" s="8">
        <v>46112</v>
      </c>
      <c r="D966" s="9">
        <v>15959</v>
      </c>
    </row>
    <row r="967" spans="1:4">
      <c r="A967" t="s">
        <v>8</v>
      </c>
      <c r="B967" t="s">
        <v>214</v>
      </c>
      <c r="C967" s="8">
        <v>46112</v>
      </c>
      <c r="D967" s="9">
        <v>18210</v>
      </c>
    </row>
    <row r="968" spans="1:4">
      <c r="A968" t="s">
        <v>9</v>
      </c>
      <c r="B968" t="s">
        <v>91</v>
      </c>
      <c r="C968" s="8">
        <v>46112</v>
      </c>
      <c r="D968" s="9">
        <v>28075</v>
      </c>
    </row>
    <row r="969" spans="1:4">
      <c r="A969" t="s">
        <v>9</v>
      </c>
      <c r="B969" t="s">
        <v>113</v>
      </c>
      <c r="C969" s="8">
        <v>46112</v>
      </c>
      <c r="D969" s="9">
        <v>38744</v>
      </c>
    </row>
    <row r="970" spans="1:4">
      <c r="A970" t="s">
        <v>9</v>
      </c>
      <c r="B970" t="s">
        <v>58</v>
      </c>
      <c r="C970" s="8">
        <v>46112</v>
      </c>
      <c r="D970" s="9">
        <v>42950</v>
      </c>
    </row>
    <row r="971" spans="1:4">
      <c r="A971" t="s">
        <v>5</v>
      </c>
      <c r="B971" t="s">
        <v>133</v>
      </c>
      <c r="C971" s="8">
        <v>46112</v>
      </c>
      <c r="D971" s="9">
        <v>32079</v>
      </c>
    </row>
    <row r="972" spans="1:4">
      <c r="A972" t="s">
        <v>5</v>
      </c>
      <c r="B972" t="s">
        <v>123</v>
      </c>
      <c r="C972" s="8">
        <v>46112</v>
      </c>
      <c r="D972" s="9">
        <v>32918</v>
      </c>
    </row>
    <row r="973" spans="1:4">
      <c r="A973" t="s">
        <v>5</v>
      </c>
      <c r="B973" t="s">
        <v>73</v>
      </c>
      <c r="C973" s="8">
        <v>46112</v>
      </c>
      <c r="D973" s="9">
        <v>36405</v>
      </c>
    </row>
    <row r="974" spans="1:4">
      <c r="A974" t="s">
        <v>5</v>
      </c>
      <c r="B974" t="s">
        <v>115</v>
      </c>
      <c r="C974" s="8">
        <v>46112</v>
      </c>
      <c r="D974" s="9">
        <v>38418</v>
      </c>
    </row>
    <row r="975" spans="1:4">
      <c r="A975" t="s">
        <v>5</v>
      </c>
      <c r="B975" t="s">
        <v>159</v>
      </c>
      <c r="C975" s="8">
        <v>46112</v>
      </c>
      <c r="D975" s="9">
        <v>47529</v>
      </c>
    </row>
    <row r="976" spans="1:4">
      <c r="A976" t="s">
        <v>5</v>
      </c>
      <c r="B976" t="s">
        <v>109</v>
      </c>
      <c r="C976" s="8">
        <v>46112</v>
      </c>
      <c r="D976" s="9">
        <v>56195</v>
      </c>
    </row>
    <row r="977" spans="1:4">
      <c r="A977" t="s">
        <v>5</v>
      </c>
      <c r="B977" t="s">
        <v>189</v>
      </c>
      <c r="C977" s="8">
        <v>46112</v>
      </c>
      <c r="D977" s="9">
        <v>42276</v>
      </c>
    </row>
    <row r="978" spans="1:4">
      <c r="A978" t="s">
        <v>5</v>
      </c>
      <c r="B978" t="s">
        <v>100</v>
      </c>
      <c r="C978" s="8">
        <v>46112</v>
      </c>
      <c r="D978" s="9">
        <v>46042</v>
      </c>
    </row>
    <row r="979" spans="1:4">
      <c r="A979" t="s">
        <v>31</v>
      </c>
      <c r="B979" t="s">
        <v>68</v>
      </c>
      <c r="C979" s="8">
        <v>46113</v>
      </c>
      <c r="D979" s="9">
        <v>5200</v>
      </c>
    </row>
    <row r="980" spans="1:4">
      <c r="A980" t="s">
        <v>7</v>
      </c>
      <c r="B980" t="s">
        <v>90</v>
      </c>
      <c r="C980" s="8">
        <v>46113</v>
      </c>
      <c r="D980" s="9">
        <v>10045</v>
      </c>
    </row>
    <row r="981" spans="1:4">
      <c r="A981" t="s">
        <v>9</v>
      </c>
      <c r="B981" t="s">
        <v>203</v>
      </c>
      <c r="C981" s="8">
        <v>46113</v>
      </c>
      <c r="D981" s="9">
        <v>29836</v>
      </c>
    </row>
    <row r="982" spans="1:4">
      <c r="A982" t="s">
        <v>9</v>
      </c>
      <c r="B982" t="s">
        <v>250</v>
      </c>
      <c r="C982" s="8">
        <v>46113</v>
      </c>
      <c r="D982" s="9">
        <v>44423</v>
      </c>
    </row>
    <row r="983" spans="1:4">
      <c r="A983" t="s">
        <v>9</v>
      </c>
      <c r="B983" t="s">
        <v>132</v>
      </c>
      <c r="C983" s="8">
        <v>46113</v>
      </c>
      <c r="D983" s="9">
        <v>43826</v>
      </c>
    </row>
    <row r="984" spans="1:4">
      <c r="A984" t="s">
        <v>9</v>
      </c>
      <c r="B984" t="s">
        <v>66</v>
      </c>
      <c r="C984" s="8">
        <v>46113</v>
      </c>
      <c r="D984" s="9">
        <v>34273</v>
      </c>
    </row>
    <row r="985" spans="1:4">
      <c r="A985" t="s">
        <v>9</v>
      </c>
      <c r="B985" t="s">
        <v>223</v>
      </c>
      <c r="C985" s="8">
        <v>46113</v>
      </c>
      <c r="D985" s="9">
        <v>8592</v>
      </c>
    </row>
    <row r="986" spans="1:4">
      <c r="A986" t="s">
        <v>5</v>
      </c>
      <c r="B986" t="s">
        <v>172</v>
      </c>
      <c r="C986" s="8">
        <v>46113</v>
      </c>
      <c r="D986" s="9">
        <v>32009</v>
      </c>
    </row>
    <row r="987" spans="1:4">
      <c r="A987" t="s">
        <v>4</v>
      </c>
      <c r="B987" t="s">
        <v>75</v>
      </c>
      <c r="C987" s="8">
        <v>46114</v>
      </c>
      <c r="D987" s="9">
        <v>9987</v>
      </c>
    </row>
    <row r="988" spans="1:4">
      <c r="A988" t="s">
        <v>30</v>
      </c>
      <c r="B988" t="s">
        <v>224</v>
      </c>
      <c r="C988" s="8">
        <v>46114</v>
      </c>
      <c r="D988" s="9">
        <v>12205</v>
      </c>
    </row>
    <row r="989" spans="1:4">
      <c r="A989" t="s">
        <v>6</v>
      </c>
      <c r="B989" t="s">
        <v>120</v>
      </c>
      <c r="C989" s="8">
        <v>46114</v>
      </c>
      <c r="D989" s="9">
        <v>15226</v>
      </c>
    </row>
    <row r="990" spans="1:4">
      <c r="A990" t="s">
        <v>6</v>
      </c>
      <c r="B990" t="s">
        <v>262</v>
      </c>
      <c r="C990" s="8">
        <v>46114</v>
      </c>
      <c r="D990" s="9">
        <v>16117</v>
      </c>
    </row>
    <row r="991" spans="1:4">
      <c r="A991" t="s">
        <v>29</v>
      </c>
      <c r="B991" t="s">
        <v>51</v>
      </c>
      <c r="C991" s="8">
        <v>46114</v>
      </c>
      <c r="D991" s="9">
        <v>20525</v>
      </c>
    </row>
    <row r="992" spans="1:4">
      <c r="A992" t="s">
        <v>9</v>
      </c>
      <c r="B992" t="s">
        <v>177</v>
      </c>
      <c r="C992" s="8">
        <v>46114</v>
      </c>
      <c r="D992" s="9">
        <v>28136</v>
      </c>
    </row>
    <row r="993" spans="1:4">
      <c r="A993" t="s">
        <v>9</v>
      </c>
      <c r="B993" t="s">
        <v>70</v>
      </c>
      <c r="C993" s="8">
        <v>46114</v>
      </c>
      <c r="D993" s="9">
        <v>25014</v>
      </c>
    </row>
    <row r="994" spans="1:4">
      <c r="A994" t="s">
        <v>5</v>
      </c>
      <c r="B994" t="s">
        <v>188</v>
      </c>
      <c r="C994" s="8">
        <v>46114</v>
      </c>
      <c r="D994" s="9">
        <v>26323</v>
      </c>
    </row>
    <row r="995" spans="1:4">
      <c r="A995" t="s">
        <v>5</v>
      </c>
      <c r="B995" t="s">
        <v>72</v>
      </c>
      <c r="C995" s="8">
        <v>46114</v>
      </c>
      <c r="D995" s="9">
        <v>45914</v>
      </c>
    </row>
    <row r="996" spans="1:4">
      <c r="A996" t="s">
        <v>5</v>
      </c>
      <c r="B996" t="s">
        <v>209</v>
      </c>
      <c r="C996" s="8">
        <v>46114</v>
      </c>
      <c r="D996" s="9">
        <v>38895</v>
      </c>
    </row>
    <row r="997" spans="1:4">
      <c r="A997" t="s">
        <v>5</v>
      </c>
      <c r="B997" t="s">
        <v>74</v>
      </c>
      <c r="C997" s="8">
        <v>46114</v>
      </c>
      <c r="D997" s="9">
        <v>46547</v>
      </c>
    </row>
    <row r="998" spans="1:4">
      <c r="A998" t="s">
        <v>27</v>
      </c>
      <c r="B998" t="s">
        <v>168</v>
      </c>
      <c r="C998" s="8">
        <v>46115</v>
      </c>
      <c r="D998" s="9">
        <v>12195</v>
      </c>
    </row>
    <row r="999" spans="1:4">
      <c r="A999" t="s">
        <v>4</v>
      </c>
      <c r="B999" t="s">
        <v>240</v>
      </c>
      <c r="C999" s="8">
        <v>46115</v>
      </c>
      <c r="D999" s="9">
        <v>18959</v>
      </c>
    </row>
    <row r="1000" spans="1:4">
      <c r="A1000" t="s">
        <v>28</v>
      </c>
      <c r="B1000" t="s">
        <v>174</v>
      </c>
      <c r="C1000" s="8">
        <v>46115</v>
      </c>
      <c r="D1000" s="9">
        <v>5200</v>
      </c>
    </row>
    <row r="1001" spans="1:4">
      <c r="A1001" t="s">
        <v>26</v>
      </c>
      <c r="B1001" t="s">
        <v>138</v>
      </c>
      <c r="C1001" s="8">
        <v>46115</v>
      </c>
      <c r="D1001" s="9">
        <v>12645</v>
      </c>
    </row>
    <row r="1002" spans="1:4">
      <c r="A1002" t="s">
        <v>26</v>
      </c>
      <c r="B1002" t="s">
        <v>102</v>
      </c>
      <c r="C1002" s="8">
        <v>46115</v>
      </c>
      <c r="D1002" s="9">
        <v>12696</v>
      </c>
    </row>
    <row r="1003" spans="1:4">
      <c r="A1003" t="s">
        <v>7</v>
      </c>
      <c r="B1003" t="s">
        <v>275</v>
      </c>
      <c r="C1003" s="8">
        <v>46115</v>
      </c>
      <c r="D1003" s="9">
        <v>21382</v>
      </c>
    </row>
    <row r="1004" spans="1:4">
      <c r="A1004" t="s">
        <v>5</v>
      </c>
      <c r="B1004" t="s">
        <v>134</v>
      </c>
      <c r="C1004" s="8">
        <v>46115</v>
      </c>
      <c r="D1004" s="9">
        <v>25573</v>
      </c>
    </row>
    <row r="1005" spans="1:4">
      <c r="A1005" t="s">
        <v>27</v>
      </c>
      <c r="B1005" t="s">
        <v>135</v>
      </c>
      <c r="C1005" s="8">
        <v>46116</v>
      </c>
      <c r="D1005" s="9">
        <v>13238</v>
      </c>
    </row>
    <row r="1006" spans="1:4">
      <c r="A1006" t="s">
        <v>4</v>
      </c>
      <c r="B1006" t="s">
        <v>235</v>
      </c>
      <c r="C1006" s="8">
        <v>46116</v>
      </c>
      <c r="D1006" s="9">
        <v>38933</v>
      </c>
    </row>
    <row r="1007" spans="1:4">
      <c r="A1007" t="s">
        <v>4</v>
      </c>
      <c r="B1007" t="s">
        <v>190</v>
      </c>
      <c r="C1007" s="8">
        <v>46116</v>
      </c>
      <c r="D1007" s="9">
        <v>14061</v>
      </c>
    </row>
    <row r="1008" spans="1:4">
      <c r="A1008" t="s">
        <v>4</v>
      </c>
      <c r="B1008" t="s">
        <v>146</v>
      </c>
      <c r="C1008" s="8">
        <v>46116</v>
      </c>
      <c r="D1008" s="9">
        <v>22927</v>
      </c>
    </row>
    <row r="1009" spans="1:4">
      <c r="A1009" t="s">
        <v>4</v>
      </c>
      <c r="B1009" t="s">
        <v>50</v>
      </c>
      <c r="C1009" s="8">
        <v>46116</v>
      </c>
      <c r="D1009" s="9">
        <v>24363</v>
      </c>
    </row>
    <row r="1010" spans="1:4">
      <c r="A1010" t="s">
        <v>26</v>
      </c>
      <c r="B1010" t="s">
        <v>280</v>
      </c>
      <c r="C1010" s="8">
        <v>46116</v>
      </c>
      <c r="D1010" s="9">
        <v>13142</v>
      </c>
    </row>
    <row r="1011" spans="1:4">
      <c r="A1011" t="s">
        <v>30</v>
      </c>
      <c r="B1011" t="s">
        <v>206</v>
      </c>
      <c r="C1011" s="8">
        <v>46116</v>
      </c>
      <c r="D1011" s="9">
        <v>13971</v>
      </c>
    </row>
    <row r="1012" spans="1:4">
      <c r="A1012" t="s">
        <v>8</v>
      </c>
      <c r="B1012" t="s">
        <v>281</v>
      </c>
      <c r="C1012" s="8">
        <v>46116</v>
      </c>
      <c r="D1012" s="9">
        <v>5200</v>
      </c>
    </row>
    <row r="1013" spans="1:4">
      <c r="A1013" t="s">
        <v>6</v>
      </c>
      <c r="B1013" t="s">
        <v>263</v>
      </c>
      <c r="C1013" s="8">
        <v>46116</v>
      </c>
      <c r="D1013" s="9">
        <v>12244</v>
      </c>
    </row>
    <row r="1014" spans="1:4">
      <c r="A1014" t="s">
        <v>9</v>
      </c>
      <c r="B1014" t="s">
        <v>283</v>
      </c>
      <c r="C1014" s="8">
        <v>46116</v>
      </c>
      <c r="D1014" s="9">
        <v>49120</v>
      </c>
    </row>
    <row r="1015" spans="1:4">
      <c r="A1015" t="s">
        <v>5</v>
      </c>
      <c r="B1015" t="s">
        <v>72</v>
      </c>
      <c r="C1015" s="8">
        <v>46116</v>
      </c>
      <c r="D1015" s="9">
        <v>46639</v>
      </c>
    </row>
    <row r="1016" spans="1:4">
      <c r="A1016" t="s">
        <v>5</v>
      </c>
      <c r="B1016" t="s">
        <v>84</v>
      </c>
      <c r="C1016" s="8">
        <v>46116</v>
      </c>
      <c r="D1016" s="9">
        <v>42541</v>
      </c>
    </row>
    <row r="1017" spans="1:4">
      <c r="A1017" t="s">
        <v>5</v>
      </c>
      <c r="B1017" t="s">
        <v>115</v>
      </c>
      <c r="C1017" s="8">
        <v>46116</v>
      </c>
      <c r="D1017" s="9">
        <v>33638</v>
      </c>
    </row>
    <row r="1018" spans="1:4">
      <c r="A1018" t="s">
        <v>5</v>
      </c>
      <c r="B1018" t="s">
        <v>54</v>
      </c>
      <c r="C1018" s="8">
        <v>46116</v>
      </c>
      <c r="D1018" s="9">
        <v>42976</v>
      </c>
    </row>
    <row r="1019" spans="1:4">
      <c r="A1019" t="s">
        <v>5</v>
      </c>
      <c r="B1019" t="s">
        <v>124</v>
      </c>
      <c r="C1019" s="8">
        <v>46116</v>
      </c>
      <c r="D1019" s="9">
        <v>35233</v>
      </c>
    </row>
    <row r="1020" spans="1:4">
      <c r="A1020" t="s">
        <v>5</v>
      </c>
      <c r="B1020" t="s">
        <v>277</v>
      </c>
      <c r="C1020" s="8">
        <v>46116</v>
      </c>
      <c r="D1020" s="9">
        <v>49735</v>
      </c>
    </row>
    <row r="1021" spans="1:4">
      <c r="A1021" t="s">
        <v>31</v>
      </c>
      <c r="B1021" t="s">
        <v>77</v>
      </c>
      <c r="C1021" s="8">
        <v>46117</v>
      </c>
      <c r="D1021" s="9">
        <v>21491</v>
      </c>
    </row>
    <row r="1022" spans="1:4">
      <c r="A1022" t="s">
        <v>8</v>
      </c>
      <c r="B1022" t="s">
        <v>258</v>
      </c>
      <c r="C1022" s="8">
        <v>46117</v>
      </c>
      <c r="D1022" s="9">
        <v>5200</v>
      </c>
    </row>
    <row r="1023" spans="1:4">
      <c r="A1023" t="s">
        <v>33</v>
      </c>
      <c r="B1023" t="s">
        <v>248</v>
      </c>
      <c r="C1023" s="8">
        <v>46117</v>
      </c>
      <c r="D1023" s="9">
        <v>12894</v>
      </c>
    </row>
    <row r="1024" spans="1:4">
      <c r="A1024" t="s">
        <v>9</v>
      </c>
      <c r="B1024" t="s">
        <v>221</v>
      </c>
      <c r="C1024" s="8">
        <v>46117</v>
      </c>
      <c r="D1024" s="9">
        <v>25209</v>
      </c>
    </row>
    <row r="1025" spans="1:4">
      <c r="A1025" t="s">
        <v>9</v>
      </c>
      <c r="B1025" t="s">
        <v>71</v>
      </c>
      <c r="C1025" s="8">
        <v>46117</v>
      </c>
      <c r="D1025" s="9">
        <v>47903</v>
      </c>
    </row>
    <row r="1026" spans="1:4">
      <c r="A1026" t="s">
        <v>5</v>
      </c>
      <c r="B1026" t="s">
        <v>72</v>
      </c>
      <c r="C1026" s="8">
        <v>46117</v>
      </c>
      <c r="D1026" s="9">
        <v>46331</v>
      </c>
    </row>
    <row r="1027" spans="1:4">
      <c r="A1027" t="s">
        <v>5</v>
      </c>
      <c r="B1027" t="s">
        <v>91</v>
      </c>
      <c r="C1027" s="8">
        <v>46117</v>
      </c>
      <c r="D1027" s="9">
        <v>36824</v>
      </c>
    </row>
    <row r="1028" spans="1:4">
      <c r="A1028" t="s">
        <v>5</v>
      </c>
      <c r="B1028" t="s">
        <v>270</v>
      </c>
      <c r="C1028" s="8">
        <v>46117</v>
      </c>
      <c r="D1028" s="9">
        <v>50823</v>
      </c>
    </row>
    <row r="1029" spans="1:4">
      <c r="A1029" t="s">
        <v>5</v>
      </c>
      <c r="B1029" t="s">
        <v>204</v>
      </c>
      <c r="C1029" s="8">
        <v>46117</v>
      </c>
      <c r="D1029" s="9">
        <v>60027</v>
      </c>
    </row>
    <row r="1030" spans="1:4">
      <c r="A1030" t="s">
        <v>27</v>
      </c>
      <c r="B1030" t="s">
        <v>125</v>
      </c>
      <c r="C1030" s="8">
        <v>46118</v>
      </c>
      <c r="D1030" s="9">
        <v>11091</v>
      </c>
    </row>
    <row r="1031" spans="1:4">
      <c r="A1031" t="s">
        <v>26</v>
      </c>
      <c r="B1031" t="s">
        <v>59</v>
      </c>
      <c r="C1031" s="8">
        <v>46118</v>
      </c>
      <c r="D1031" s="9">
        <v>13130</v>
      </c>
    </row>
    <row r="1032" spans="1:4">
      <c r="A1032" t="s">
        <v>26</v>
      </c>
      <c r="B1032" t="s">
        <v>119</v>
      </c>
      <c r="C1032" s="8">
        <v>46118</v>
      </c>
      <c r="D1032" s="9">
        <v>5200</v>
      </c>
    </row>
    <row r="1033" spans="1:4">
      <c r="A1033" t="s">
        <v>8</v>
      </c>
      <c r="B1033" t="s">
        <v>147</v>
      </c>
      <c r="C1033" s="8">
        <v>46118</v>
      </c>
      <c r="D1033" s="9">
        <v>15267</v>
      </c>
    </row>
    <row r="1034" spans="1:4">
      <c r="A1034" t="s">
        <v>7</v>
      </c>
      <c r="B1034" t="s">
        <v>142</v>
      </c>
      <c r="C1034" s="8">
        <v>46118</v>
      </c>
      <c r="D1034" s="9">
        <v>6568</v>
      </c>
    </row>
    <row r="1035" spans="1:4">
      <c r="A1035" t="s">
        <v>7</v>
      </c>
      <c r="B1035" t="s">
        <v>175</v>
      </c>
      <c r="C1035" s="8">
        <v>46118</v>
      </c>
      <c r="D1035" s="9">
        <v>28398</v>
      </c>
    </row>
    <row r="1036" spans="1:4">
      <c r="A1036" t="s">
        <v>9</v>
      </c>
      <c r="B1036" t="s">
        <v>113</v>
      </c>
      <c r="C1036" s="8">
        <v>46118</v>
      </c>
      <c r="D1036" s="9">
        <v>23946</v>
      </c>
    </row>
    <row r="1037" spans="1:4">
      <c r="A1037" t="s">
        <v>5</v>
      </c>
      <c r="B1037" t="s">
        <v>101</v>
      </c>
      <c r="C1037" s="8">
        <v>46118</v>
      </c>
      <c r="D1037" s="9">
        <v>39036</v>
      </c>
    </row>
    <row r="1038" spans="1:4">
      <c r="A1038" t="s">
        <v>5</v>
      </c>
      <c r="B1038" t="s">
        <v>270</v>
      </c>
      <c r="C1038" s="8">
        <v>46118</v>
      </c>
      <c r="D1038" s="9">
        <v>43262</v>
      </c>
    </row>
    <row r="1039" spans="1:4">
      <c r="A1039" t="s">
        <v>5</v>
      </c>
      <c r="B1039" t="s">
        <v>100</v>
      </c>
      <c r="C1039" s="8">
        <v>46118</v>
      </c>
      <c r="D1039" s="9">
        <v>41138</v>
      </c>
    </row>
    <row r="1040" spans="1:4">
      <c r="A1040" t="s">
        <v>4</v>
      </c>
      <c r="B1040" t="s">
        <v>106</v>
      </c>
      <c r="C1040" s="8">
        <v>46119</v>
      </c>
      <c r="D1040" s="9">
        <v>35190</v>
      </c>
    </row>
    <row r="1041" spans="1:4">
      <c r="A1041" t="s">
        <v>4</v>
      </c>
      <c r="B1041" t="s">
        <v>136</v>
      </c>
      <c r="C1041" s="8">
        <v>46119</v>
      </c>
      <c r="D1041" s="9">
        <v>19286</v>
      </c>
    </row>
    <row r="1042" spans="1:4">
      <c r="A1042" t="s">
        <v>4</v>
      </c>
      <c r="B1042" t="s">
        <v>165</v>
      </c>
      <c r="C1042" s="8">
        <v>46119</v>
      </c>
      <c r="D1042" s="9">
        <v>24105</v>
      </c>
    </row>
    <row r="1043" spans="1:4">
      <c r="A1043" t="s">
        <v>25</v>
      </c>
      <c r="B1043" t="s">
        <v>278</v>
      </c>
      <c r="C1043" s="8">
        <v>46119</v>
      </c>
      <c r="D1043" s="9">
        <v>13275</v>
      </c>
    </row>
    <row r="1044" spans="1:4">
      <c r="A1044" t="s">
        <v>6</v>
      </c>
      <c r="B1044" t="s">
        <v>130</v>
      </c>
      <c r="C1044" s="8">
        <v>46119</v>
      </c>
      <c r="D1044" s="9">
        <v>19425</v>
      </c>
    </row>
    <row r="1045" spans="1:4">
      <c r="A1045" t="s">
        <v>7</v>
      </c>
      <c r="B1045" t="s">
        <v>201</v>
      </c>
      <c r="C1045" s="8">
        <v>46119</v>
      </c>
      <c r="D1045" s="9">
        <v>18102</v>
      </c>
    </row>
    <row r="1046" spans="1:4">
      <c r="A1046" t="s">
        <v>9</v>
      </c>
      <c r="B1046" t="s">
        <v>269</v>
      </c>
      <c r="C1046" s="8">
        <v>46119</v>
      </c>
      <c r="D1046" s="9">
        <v>41783</v>
      </c>
    </row>
    <row r="1047" spans="1:4">
      <c r="A1047" t="s">
        <v>9</v>
      </c>
      <c r="B1047" t="s">
        <v>73</v>
      </c>
      <c r="C1047" s="8">
        <v>46119</v>
      </c>
      <c r="D1047" s="9">
        <v>35808</v>
      </c>
    </row>
    <row r="1048" spans="1:4">
      <c r="A1048" t="s">
        <v>9</v>
      </c>
      <c r="B1048" t="s">
        <v>157</v>
      </c>
      <c r="C1048" s="8">
        <v>46119</v>
      </c>
      <c r="D1048" s="9">
        <v>27129</v>
      </c>
    </row>
    <row r="1049" spans="1:4">
      <c r="A1049" t="s">
        <v>4</v>
      </c>
      <c r="B1049" t="s">
        <v>60</v>
      </c>
      <c r="C1049" s="8">
        <v>46120</v>
      </c>
      <c r="D1049" s="9">
        <v>26491</v>
      </c>
    </row>
    <row r="1050" spans="1:4">
      <c r="A1050" t="s">
        <v>4</v>
      </c>
      <c r="B1050" t="s">
        <v>195</v>
      </c>
      <c r="C1050" s="8">
        <v>46120</v>
      </c>
      <c r="D1050" s="9">
        <v>49561</v>
      </c>
    </row>
    <row r="1051" spans="1:4">
      <c r="A1051" t="s">
        <v>36</v>
      </c>
      <c r="B1051" t="s">
        <v>229</v>
      </c>
      <c r="C1051" s="8">
        <v>46120</v>
      </c>
      <c r="D1051" s="9">
        <v>11597</v>
      </c>
    </row>
    <row r="1052" spans="1:4">
      <c r="A1052" t="s">
        <v>26</v>
      </c>
      <c r="B1052" t="s">
        <v>205</v>
      </c>
      <c r="C1052" s="8">
        <v>46120</v>
      </c>
      <c r="D1052" s="9">
        <v>14865</v>
      </c>
    </row>
    <row r="1053" spans="1:4">
      <c r="A1053" t="s">
        <v>8</v>
      </c>
      <c r="B1053" t="s">
        <v>225</v>
      </c>
      <c r="C1053" s="8">
        <v>46120</v>
      </c>
      <c r="D1053" s="9">
        <v>28304</v>
      </c>
    </row>
    <row r="1054" spans="1:4">
      <c r="A1054" t="s">
        <v>7</v>
      </c>
      <c r="B1054" t="s">
        <v>193</v>
      </c>
      <c r="C1054" s="8">
        <v>46120</v>
      </c>
      <c r="D1054" s="9">
        <v>21297</v>
      </c>
    </row>
    <row r="1055" spans="1:4">
      <c r="A1055" t="s">
        <v>9</v>
      </c>
      <c r="B1055" t="s">
        <v>233</v>
      </c>
      <c r="C1055" s="8">
        <v>46120</v>
      </c>
      <c r="D1055" s="9">
        <v>16970</v>
      </c>
    </row>
    <row r="1056" spans="1:4">
      <c r="A1056" t="s">
        <v>9</v>
      </c>
      <c r="B1056" t="s">
        <v>164</v>
      </c>
      <c r="C1056" s="8">
        <v>46120</v>
      </c>
      <c r="D1056" s="9">
        <v>27855</v>
      </c>
    </row>
    <row r="1057" spans="1:4">
      <c r="A1057" t="s">
        <v>9</v>
      </c>
      <c r="B1057" t="s">
        <v>91</v>
      </c>
      <c r="C1057" s="8">
        <v>46120</v>
      </c>
      <c r="D1057" s="9">
        <v>23161</v>
      </c>
    </row>
    <row r="1058" spans="1:4">
      <c r="A1058" t="s">
        <v>9</v>
      </c>
      <c r="B1058" t="s">
        <v>82</v>
      </c>
      <c r="C1058" s="8">
        <v>46120</v>
      </c>
      <c r="D1058" s="9">
        <v>32582</v>
      </c>
    </row>
    <row r="1059" spans="1:4">
      <c r="A1059" t="s">
        <v>9</v>
      </c>
      <c r="B1059" t="s">
        <v>220</v>
      </c>
      <c r="C1059" s="8">
        <v>46120</v>
      </c>
      <c r="D1059" s="9">
        <v>32302</v>
      </c>
    </row>
    <row r="1060" spans="1:4">
      <c r="A1060" t="s">
        <v>5</v>
      </c>
      <c r="B1060" t="s">
        <v>49</v>
      </c>
      <c r="C1060" s="8">
        <v>46120</v>
      </c>
      <c r="D1060" s="9">
        <v>30657</v>
      </c>
    </row>
    <row r="1061" spans="1:4">
      <c r="A1061" t="s">
        <v>5</v>
      </c>
      <c r="B1061" t="s">
        <v>97</v>
      </c>
      <c r="C1061" s="8">
        <v>46120</v>
      </c>
      <c r="D1061" s="9">
        <v>53699</v>
      </c>
    </row>
    <row r="1062" spans="1:4">
      <c r="A1062" t="s">
        <v>5</v>
      </c>
      <c r="B1062" t="s">
        <v>101</v>
      </c>
      <c r="C1062" s="8">
        <v>46120</v>
      </c>
      <c r="D1062" s="9">
        <v>25660</v>
      </c>
    </row>
    <row r="1063" spans="1:4">
      <c r="A1063" t="s">
        <v>5</v>
      </c>
      <c r="B1063" t="s">
        <v>252</v>
      </c>
      <c r="C1063" s="8">
        <v>46120</v>
      </c>
      <c r="D1063" s="9">
        <v>36975</v>
      </c>
    </row>
    <row r="1064" spans="1:4">
      <c r="A1064" t="s">
        <v>27</v>
      </c>
      <c r="B1064" t="s">
        <v>149</v>
      </c>
      <c r="C1064" s="8">
        <v>46121</v>
      </c>
      <c r="D1064" s="9">
        <v>12365</v>
      </c>
    </row>
    <row r="1065" spans="1:4">
      <c r="A1065" t="s">
        <v>27</v>
      </c>
      <c r="B1065" t="s">
        <v>253</v>
      </c>
      <c r="C1065" s="8">
        <v>46121</v>
      </c>
      <c r="D1065" s="9">
        <v>5200</v>
      </c>
    </row>
    <row r="1066" spans="1:4">
      <c r="A1066" t="s">
        <v>4</v>
      </c>
      <c r="B1066" t="s">
        <v>84</v>
      </c>
      <c r="C1066" s="8">
        <v>46121</v>
      </c>
      <c r="D1066" s="9">
        <v>41562</v>
      </c>
    </row>
    <row r="1067" spans="1:4">
      <c r="A1067" t="s">
        <v>25</v>
      </c>
      <c r="B1067" t="s">
        <v>153</v>
      </c>
      <c r="C1067" s="8">
        <v>46121</v>
      </c>
      <c r="D1067" s="9">
        <v>9281</v>
      </c>
    </row>
    <row r="1068" spans="1:4">
      <c r="A1068" t="s">
        <v>26</v>
      </c>
      <c r="B1068" t="s">
        <v>78</v>
      </c>
      <c r="C1068" s="8">
        <v>46121</v>
      </c>
      <c r="D1068" s="9">
        <v>9698</v>
      </c>
    </row>
    <row r="1069" spans="1:4">
      <c r="A1069" t="s">
        <v>26</v>
      </c>
      <c r="B1069" t="s">
        <v>95</v>
      </c>
      <c r="C1069" s="8">
        <v>46121</v>
      </c>
      <c r="D1069" s="9">
        <v>5200</v>
      </c>
    </row>
    <row r="1070" spans="1:4">
      <c r="A1070" t="s">
        <v>26</v>
      </c>
      <c r="B1070" t="s">
        <v>257</v>
      </c>
      <c r="C1070" s="8">
        <v>46121</v>
      </c>
      <c r="D1070" s="9">
        <v>11238</v>
      </c>
    </row>
    <row r="1071" spans="1:4">
      <c r="A1071" t="s">
        <v>6</v>
      </c>
      <c r="B1071" t="s">
        <v>80</v>
      </c>
      <c r="C1071" s="8">
        <v>46121</v>
      </c>
      <c r="D1071" s="9">
        <v>36441</v>
      </c>
    </row>
    <row r="1072" spans="1:4">
      <c r="A1072" t="s">
        <v>7</v>
      </c>
      <c r="B1072" t="s">
        <v>226</v>
      </c>
      <c r="C1072" s="8">
        <v>46121</v>
      </c>
      <c r="D1072" s="9">
        <v>20651</v>
      </c>
    </row>
    <row r="1073" spans="1:4">
      <c r="A1073" t="s">
        <v>9</v>
      </c>
      <c r="B1073" t="s">
        <v>92</v>
      </c>
      <c r="C1073" s="8">
        <v>46121</v>
      </c>
      <c r="D1073" s="9">
        <v>38470</v>
      </c>
    </row>
    <row r="1074" spans="1:4">
      <c r="A1074" t="s">
        <v>9</v>
      </c>
      <c r="B1074" t="s">
        <v>219</v>
      </c>
      <c r="C1074" s="8">
        <v>46121</v>
      </c>
      <c r="D1074" s="9">
        <v>25734</v>
      </c>
    </row>
    <row r="1075" spans="1:4">
      <c r="A1075" t="s">
        <v>9</v>
      </c>
      <c r="B1075" t="s">
        <v>107</v>
      </c>
      <c r="C1075" s="8">
        <v>46121</v>
      </c>
      <c r="D1075" s="9">
        <v>38260</v>
      </c>
    </row>
    <row r="1076" spans="1:4">
      <c r="A1076" t="s">
        <v>9</v>
      </c>
      <c r="B1076" t="s">
        <v>264</v>
      </c>
      <c r="C1076" s="8">
        <v>46121</v>
      </c>
      <c r="D1076" s="9">
        <v>43369</v>
      </c>
    </row>
    <row r="1077" spans="1:4">
      <c r="A1077" t="s">
        <v>9</v>
      </c>
      <c r="B1077" t="s">
        <v>179</v>
      </c>
      <c r="C1077" s="8">
        <v>46121</v>
      </c>
      <c r="D1077" s="9">
        <v>43067</v>
      </c>
    </row>
    <row r="1078" spans="1:4">
      <c r="A1078" t="s">
        <v>5</v>
      </c>
      <c r="B1078" t="s">
        <v>133</v>
      </c>
      <c r="C1078" s="8">
        <v>46121</v>
      </c>
      <c r="D1078" s="9">
        <v>40061</v>
      </c>
    </row>
    <row r="1079" spans="1:4">
      <c r="A1079" t="s">
        <v>5</v>
      </c>
      <c r="B1079" t="s">
        <v>167</v>
      </c>
      <c r="C1079" s="8">
        <v>46121</v>
      </c>
      <c r="D1079" s="9">
        <v>28208</v>
      </c>
    </row>
    <row r="1080" spans="1:4">
      <c r="A1080" t="s">
        <v>5</v>
      </c>
      <c r="B1080" t="s">
        <v>98</v>
      </c>
      <c r="C1080" s="8">
        <v>46121</v>
      </c>
      <c r="D1080" s="9">
        <v>42578</v>
      </c>
    </row>
    <row r="1081" spans="1:4">
      <c r="A1081" t="s">
        <v>5</v>
      </c>
      <c r="B1081" t="s">
        <v>277</v>
      </c>
      <c r="C1081" s="8">
        <v>46121</v>
      </c>
      <c r="D1081" s="9">
        <v>46404</v>
      </c>
    </row>
    <row r="1082" spans="1:4">
      <c r="A1082" t="s">
        <v>5</v>
      </c>
      <c r="B1082" t="s">
        <v>61</v>
      </c>
      <c r="C1082" s="8">
        <v>46121</v>
      </c>
      <c r="D1082" s="9">
        <v>39740</v>
      </c>
    </row>
    <row r="1083" spans="1:4">
      <c r="A1083" t="s">
        <v>5</v>
      </c>
      <c r="B1083" t="s">
        <v>58</v>
      </c>
      <c r="C1083" s="8">
        <v>46121</v>
      </c>
      <c r="D1083" s="9">
        <v>53697</v>
      </c>
    </row>
    <row r="1084" spans="1:4">
      <c r="A1084" t="s">
        <v>9</v>
      </c>
      <c r="B1084" t="s">
        <v>109</v>
      </c>
      <c r="C1084" s="8">
        <v>46122</v>
      </c>
      <c r="D1084" s="9">
        <v>50362</v>
      </c>
    </row>
    <row r="1085" spans="1:4">
      <c r="A1085" t="s">
        <v>5</v>
      </c>
      <c r="B1085" t="s">
        <v>159</v>
      </c>
      <c r="C1085" s="8">
        <v>46122</v>
      </c>
      <c r="D1085" s="9">
        <v>39970</v>
      </c>
    </row>
    <row r="1086" spans="1:4">
      <c r="A1086" t="s">
        <v>5</v>
      </c>
      <c r="B1086" t="s">
        <v>252</v>
      </c>
      <c r="C1086" s="8">
        <v>46122</v>
      </c>
      <c r="D1086" s="9">
        <v>52150</v>
      </c>
    </row>
    <row r="1087" spans="1:4">
      <c r="A1087" t="s">
        <v>5</v>
      </c>
      <c r="B1087" t="s">
        <v>277</v>
      </c>
      <c r="C1087" s="8">
        <v>46122</v>
      </c>
      <c r="D1087" s="9">
        <v>46795</v>
      </c>
    </row>
    <row r="1088" spans="1:4">
      <c r="A1088" t="s">
        <v>26</v>
      </c>
      <c r="B1088" t="s">
        <v>216</v>
      </c>
      <c r="C1088" s="8">
        <v>46123</v>
      </c>
      <c r="D1088" s="9">
        <v>12139</v>
      </c>
    </row>
    <row r="1089" spans="1:4">
      <c r="A1089" t="s">
        <v>8</v>
      </c>
      <c r="B1089" t="s">
        <v>246</v>
      </c>
      <c r="C1089" s="8">
        <v>46123</v>
      </c>
      <c r="D1089" s="9">
        <v>15440</v>
      </c>
    </row>
    <row r="1090" spans="1:4">
      <c r="A1090" t="s">
        <v>6</v>
      </c>
      <c r="B1090" t="s">
        <v>237</v>
      </c>
      <c r="C1090" s="8">
        <v>46123</v>
      </c>
      <c r="D1090" s="9">
        <v>8094</v>
      </c>
    </row>
    <row r="1091" spans="1:4">
      <c r="A1091" t="s">
        <v>6</v>
      </c>
      <c r="B1091" t="s">
        <v>131</v>
      </c>
      <c r="C1091" s="8">
        <v>46123</v>
      </c>
      <c r="D1091" s="9">
        <v>17049</v>
      </c>
    </row>
    <row r="1092" spans="1:4">
      <c r="A1092" t="s">
        <v>7</v>
      </c>
      <c r="B1092" t="s">
        <v>65</v>
      </c>
      <c r="C1092" s="8">
        <v>46123</v>
      </c>
      <c r="D1092" s="9">
        <v>5200</v>
      </c>
    </row>
    <row r="1093" spans="1:4">
      <c r="A1093" t="s">
        <v>7</v>
      </c>
      <c r="B1093" t="s">
        <v>148</v>
      </c>
      <c r="C1093" s="8">
        <v>46123</v>
      </c>
      <c r="D1093" s="9">
        <v>43216</v>
      </c>
    </row>
    <row r="1094" spans="1:4">
      <c r="A1094" t="s">
        <v>9</v>
      </c>
      <c r="B1094" t="s">
        <v>111</v>
      </c>
      <c r="C1094" s="8">
        <v>46123</v>
      </c>
      <c r="D1094" s="9">
        <v>31414</v>
      </c>
    </row>
    <row r="1095" spans="1:4">
      <c r="A1095" t="s">
        <v>5</v>
      </c>
      <c r="B1095" t="s">
        <v>99</v>
      </c>
      <c r="C1095" s="8">
        <v>46123</v>
      </c>
      <c r="D1095" s="9">
        <v>33612</v>
      </c>
    </row>
    <row r="1096" spans="1:4">
      <c r="A1096" t="s">
        <v>4</v>
      </c>
      <c r="B1096" t="s">
        <v>116</v>
      </c>
      <c r="C1096" s="8">
        <v>46124</v>
      </c>
      <c r="D1096" s="9">
        <v>29243</v>
      </c>
    </row>
    <row r="1097" spans="1:4">
      <c r="A1097" t="s">
        <v>30</v>
      </c>
      <c r="B1097" t="s">
        <v>63</v>
      </c>
      <c r="C1097" s="8">
        <v>46124</v>
      </c>
      <c r="D1097" s="9">
        <v>11309</v>
      </c>
    </row>
    <row r="1098" spans="1:4">
      <c r="A1098" t="s">
        <v>6</v>
      </c>
      <c r="B1098" t="s">
        <v>231</v>
      </c>
      <c r="C1098" s="8">
        <v>46124</v>
      </c>
      <c r="D1098" s="9">
        <v>21434</v>
      </c>
    </row>
    <row r="1099" spans="1:4">
      <c r="A1099" t="s">
        <v>29</v>
      </c>
      <c r="B1099" t="s">
        <v>163</v>
      </c>
      <c r="C1099" s="8">
        <v>46124</v>
      </c>
      <c r="D1099" s="9">
        <v>5200</v>
      </c>
    </row>
    <row r="1100" spans="1:4">
      <c r="A1100" t="s">
        <v>9</v>
      </c>
      <c r="B1100" t="s">
        <v>97</v>
      </c>
      <c r="C1100" s="8">
        <v>46124</v>
      </c>
      <c r="D1100" s="9">
        <v>52130</v>
      </c>
    </row>
    <row r="1101" spans="1:4">
      <c r="A1101" t="s">
        <v>9</v>
      </c>
      <c r="B1101" t="s">
        <v>220</v>
      </c>
      <c r="C1101" s="8">
        <v>46124</v>
      </c>
      <c r="D1101" s="9">
        <v>29881</v>
      </c>
    </row>
    <row r="1102" spans="1:4">
      <c r="A1102" t="s">
        <v>9</v>
      </c>
      <c r="B1102" t="s">
        <v>66</v>
      </c>
      <c r="C1102" s="8">
        <v>46124</v>
      </c>
      <c r="D1102" s="9">
        <v>39667</v>
      </c>
    </row>
    <row r="1103" spans="1:4">
      <c r="A1103" t="s">
        <v>5</v>
      </c>
      <c r="B1103" t="s">
        <v>239</v>
      </c>
      <c r="C1103" s="8">
        <v>46124</v>
      </c>
      <c r="D1103" s="9">
        <v>45811</v>
      </c>
    </row>
    <row r="1104" spans="1:4">
      <c r="A1104" t="s">
        <v>5</v>
      </c>
      <c r="B1104" t="s">
        <v>84</v>
      </c>
      <c r="C1104" s="8">
        <v>46124</v>
      </c>
      <c r="D1104" s="9">
        <v>38055</v>
      </c>
    </row>
    <row r="1105" spans="1:4">
      <c r="A1105" t="s">
        <v>5</v>
      </c>
      <c r="B1105" t="s">
        <v>241</v>
      </c>
      <c r="C1105" s="8">
        <v>46124</v>
      </c>
      <c r="D1105" s="9">
        <v>22066</v>
      </c>
    </row>
    <row r="1106" spans="1:4">
      <c r="A1106" t="s">
        <v>5</v>
      </c>
      <c r="B1106" t="s">
        <v>54</v>
      </c>
      <c r="C1106" s="8">
        <v>46124</v>
      </c>
      <c r="D1106" s="9">
        <v>44398</v>
      </c>
    </row>
    <row r="1107" spans="1:4">
      <c r="A1107" t="s">
        <v>5</v>
      </c>
      <c r="B1107" t="s">
        <v>134</v>
      </c>
      <c r="C1107" s="8">
        <v>46124</v>
      </c>
      <c r="D1107" s="9">
        <v>31843</v>
      </c>
    </row>
    <row r="1108" spans="1:4">
      <c r="A1108" t="s">
        <v>5</v>
      </c>
      <c r="B1108" t="s">
        <v>189</v>
      </c>
      <c r="C1108" s="8">
        <v>46124</v>
      </c>
      <c r="D1108" s="9">
        <v>36593</v>
      </c>
    </row>
    <row r="1109" spans="1:4">
      <c r="A1109" t="s">
        <v>38</v>
      </c>
      <c r="B1109" t="s">
        <v>81</v>
      </c>
      <c r="C1109" s="8">
        <v>46125</v>
      </c>
      <c r="D1109" s="9">
        <v>9682</v>
      </c>
    </row>
    <row r="1110" spans="1:4">
      <c r="A1110" t="s">
        <v>4</v>
      </c>
      <c r="B1110" t="s">
        <v>185</v>
      </c>
      <c r="C1110" s="8">
        <v>46125</v>
      </c>
      <c r="D1110" s="9">
        <v>24970</v>
      </c>
    </row>
    <row r="1111" spans="1:4">
      <c r="A1111" t="s">
        <v>4</v>
      </c>
      <c r="B1111" t="s">
        <v>189</v>
      </c>
      <c r="C1111" s="8">
        <v>46125</v>
      </c>
      <c r="D1111" s="9">
        <v>42094</v>
      </c>
    </row>
    <row r="1112" spans="1:4">
      <c r="A1112" t="s">
        <v>25</v>
      </c>
      <c r="B1112" t="s">
        <v>200</v>
      </c>
      <c r="C1112" s="8">
        <v>46125</v>
      </c>
      <c r="D1112" s="9">
        <v>16236</v>
      </c>
    </row>
    <row r="1113" spans="1:4">
      <c r="A1113" t="s">
        <v>28</v>
      </c>
      <c r="B1113" t="s">
        <v>161</v>
      </c>
      <c r="C1113" s="8">
        <v>46125</v>
      </c>
      <c r="D1113" s="9">
        <v>14482</v>
      </c>
    </row>
    <row r="1114" spans="1:4">
      <c r="A1114" t="s">
        <v>29</v>
      </c>
      <c r="B1114" t="s">
        <v>57</v>
      </c>
      <c r="C1114" s="8">
        <v>46125</v>
      </c>
      <c r="D1114" s="9">
        <v>9486</v>
      </c>
    </row>
    <row r="1115" spans="1:4">
      <c r="A1115" t="s">
        <v>29</v>
      </c>
      <c r="B1115" t="s">
        <v>155</v>
      </c>
      <c r="C1115" s="8">
        <v>46125</v>
      </c>
      <c r="D1115" s="9">
        <v>16717</v>
      </c>
    </row>
    <row r="1116" spans="1:4">
      <c r="A1116" t="s">
        <v>7</v>
      </c>
      <c r="B1116" t="s">
        <v>274</v>
      </c>
      <c r="C1116" s="8">
        <v>46125</v>
      </c>
      <c r="D1116" s="9">
        <v>23285</v>
      </c>
    </row>
    <row r="1117" spans="1:4">
      <c r="A1117" t="s">
        <v>7</v>
      </c>
      <c r="B1117" t="s">
        <v>208</v>
      </c>
      <c r="C1117" s="8">
        <v>46125</v>
      </c>
      <c r="D1117" s="9">
        <v>14275</v>
      </c>
    </row>
    <row r="1118" spans="1:4">
      <c r="A1118" t="s">
        <v>9</v>
      </c>
      <c r="B1118" t="s">
        <v>176</v>
      </c>
      <c r="C1118" s="8">
        <v>46125</v>
      </c>
      <c r="D1118" s="9">
        <v>33257</v>
      </c>
    </row>
    <row r="1119" spans="1:4">
      <c r="A1119" t="s">
        <v>9</v>
      </c>
      <c r="B1119" t="s">
        <v>245</v>
      </c>
      <c r="C1119" s="8">
        <v>46125</v>
      </c>
      <c r="D1119" s="9">
        <v>22727</v>
      </c>
    </row>
    <row r="1120" spans="1:4">
      <c r="A1120" t="s">
        <v>5</v>
      </c>
      <c r="B1120" t="s">
        <v>167</v>
      </c>
      <c r="C1120" s="8">
        <v>46125</v>
      </c>
      <c r="D1120" s="9">
        <v>32282</v>
      </c>
    </row>
    <row r="1121" spans="1:4">
      <c r="A1121" t="s">
        <v>5</v>
      </c>
      <c r="B1121" t="s">
        <v>159</v>
      </c>
      <c r="C1121" s="8">
        <v>46125</v>
      </c>
      <c r="D1121" s="9">
        <v>49269</v>
      </c>
    </row>
    <row r="1122" spans="1:4">
      <c r="A1122" t="s">
        <v>5</v>
      </c>
      <c r="B1122" t="s">
        <v>61</v>
      </c>
      <c r="C1122" s="8">
        <v>46125</v>
      </c>
      <c r="D1122" s="9">
        <v>41405</v>
      </c>
    </row>
    <row r="1123" spans="1:4">
      <c r="A1123" t="s">
        <v>4</v>
      </c>
      <c r="B1123" t="s">
        <v>222</v>
      </c>
      <c r="C1123" s="8">
        <v>46126</v>
      </c>
      <c r="D1123" s="9">
        <v>36188</v>
      </c>
    </row>
    <row r="1124" spans="1:4">
      <c r="A1124" t="s">
        <v>31</v>
      </c>
      <c r="B1124" t="s">
        <v>152</v>
      </c>
      <c r="C1124" s="8">
        <v>46126</v>
      </c>
      <c r="D1124" s="9">
        <v>14255</v>
      </c>
    </row>
    <row r="1125" spans="1:4">
      <c r="A1125" t="s">
        <v>25</v>
      </c>
      <c r="B1125" t="s">
        <v>184</v>
      </c>
      <c r="C1125" s="8">
        <v>46126</v>
      </c>
      <c r="D1125" s="9">
        <v>19948</v>
      </c>
    </row>
    <row r="1126" spans="1:4">
      <c r="A1126" t="s">
        <v>28</v>
      </c>
      <c r="B1126" t="s">
        <v>242</v>
      </c>
      <c r="C1126" s="8">
        <v>46126</v>
      </c>
      <c r="D1126" s="9">
        <v>17610</v>
      </c>
    </row>
    <row r="1127" spans="1:4">
      <c r="A1127" t="s">
        <v>32</v>
      </c>
      <c r="B1127" t="s">
        <v>230</v>
      </c>
      <c r="C1127" s="8">
        <v>46126</v>
      </c>
      <c r="D1127" s="9">
        <v>11451</v>
      </c>
    </row>
    <row r="1128" spans="1:4">
      <c r="A1128" t="s">
        <v>6</v>
      </c>
      <c r="B1128" t="s">
        <v>273</v>
      </c>
      <c r="C1128" s="8">
        <v>46126</v>
      </c>
      <c r="D1128" s="9">
        <v>15766</v>
      </c>
    </row>
    <row r="1129" spans="1:4">
      <c r="A1129" t="s">
        <v>9</v>
      </c>
      <c r="B1129" t="s">
        <v>203</v>
      </c>
      <c r="C1129" s="8">
        <v>46126</v>
      </c>
      <c r="D1129" s="9">
        <v>34370</v>
      </c>
    </row>
    <row r="1130" spans="1:4">
      <c r="A1130" t="s">
        <v>9</v>
      </c>
      <c r="B1130" t="s">
        <v>276</v>
      </c>
      <c r="C1130" s="8">
        <v>46126</v>
      </c>
      <c r="D1130" s="9">
        <v>47693</v>
      </c>
    </row>
    <row r="1131" spans="1:4">
      <c r="A1131" t="s">
        <v>9</v>
      </c>
      <c r="B1131" t="s">
        <v>158</v>
      </c>
      <c r="C1131" s="8">
        <v>46126</v>
      </c>
      <c r="D1131" s="9">
        <v>33453</v>
      </c>
    </row>
    <row r="1132" spans="1:4">
      <c r="A1132" t="s">
        <v>5</v>
      </c>
      <c r="B1132" t="s">
        <v>107</v>
      </c>
      <c r="C1132" s="8">
        <v>46126</v>
      </c>
      <c r="D1132" s="9">
        <v>44116</v>
      </c>
    </row>
    <row r="1133" spans="1:4">
      <c r="A1133" t="s">
        <v>5</v>
      </c>
      <c r="B1133" t="s">
        <v>109</v>
      </c>
      <c r="C1133" s="8">
        <v>46126</v>
      </c>
      <c r="D1133" s="9">
        <v>44906</v>
      </c>
    </row>
    <row r="1134" spans="1:4">
      <c r="A1134" t="s">
        <v>5</v>
      </c>
      <c r="B1134" t="s">
        <v>204</v>
      </c>
      <c r="C1134" s="8">
        <v>46126</v>
      </c>
      <c r="D1134" s="9">
        <v>59276</v>
      </c>
    </row>
    <row r="1135" spans="1:4">
      <c r="A1135" t="s">
        <v>35</v>
      </c>
      <c r="B1135" t="s">
        <v>94</v>
      </c>
      <c r="C1135" s="8">
        <v>46127</v>
      </c>
      <c r="D1135" s="9">
        <v>23785</v>
      </c>
    </row>
    <row r="1136" spans="1:4">
      <c r="A1136" t="s">
        <v>25</v>
      </c>
      <c r="B1136" t="s">
        <v>55</v>
      </c>
      <c r="C1136" s="8">
        <v>46127</v>
      </c>
      <c r="D1136" s="9">
        <v>15295</v>
      </c>
    </row>
    <row r="1137" spans="1:4">
      <c r="A1137" t="s">
        <v>30</v>
      </c>
      <c r="B1137" t="s">
        <v>154</v>
      </c>
      <c r="C1137" s="8">
        <v>46127</v>
      </c>
      <c r="D1137" s="9">
        <v>10932</v>
      </c>
    </row>
    <row r="1138" spans="1:4">
      <c r="A1138" t="s">
        <v>8</v>
      </c>
      <c r="B1138" t="s">
        <v>207</v>
      </c>
      <c r="C1138" s="8">
        <v>46127</v>
      </c>
      <c r="D1138" s="9">
        <v>5200</v>
      </c>
    </row>
    <row r="1139" spans="1:4">
      <c r="A1139" t="s">
        <v>6</v>
      </c>
      <c r="B1139" t="s">
        <v>217</v>
      </c>
      <c r="C1139" s="8">
        <v>46127</v>
      </c>
      <c r="D1139" s="9">
        <v>17742</v>
      </c>
    </row>
    <row r="1140" spans="1:4">
      <c r="A1140" t="s">
        <v>29</v>
      </c>
      <c r="B1140" t="s">
        <v>104</v>
      </c>
      <c r="C1140" s="8">
        <v>46127</v>
      </c>
      <c r="D1140" s="9">
        <v>12453</v>
      </c>
    </row>
    <row r="1141" spans="1:4">
      <c r="A1141" t="s">
        <v>9</v>
      </c>
      <c r="B1141" t="s">
        <v>82</v>
      </c>
      <c r="C1141" s="8">
        <v>46127</v>
      </c>
      <c r="D1141" s="9">
        <v>24224</v>
      </c>
    </row>
    <row r="1142" spans="1:4">
      <c r="A1142" t="s">
        <v>9</v>
      </c>
      <c r="B1142" t="s">
        <v>96</v>
      </c>
      <c r="C1142" s="8">
        <v>46127</v>
      </c>
      <c r="D1142" s="9">
        <v>33967</v>
      </c>
    </row>
    <row r="1143" spans="1:4">
      <c r="A1143" t="s">
        <v>9</v>
      </c>
      <c r="B1143" t="s">
        <v>137</v>
      </c>
      <c r="C1143" s="8">
        <v>46127</v>
      </c>
      <c r="D1143" s="9">
        <v>27500</v>
      </c>
    </row>
    <row r="1144" spans="1:4">
      <c r="A1144" t="s">
        <v>5</v>
      </c>
      <c r="B1144" t="s">
        <v>106</v>
      </c>
      <c r="C1144" s="8">
        <v>46127</v>
      </c>
      <c r="D1144" s="9">
        <v>37873</v>
      </c>
    </row>
    <row r="1145" spans="1:4">
      <c r="A1145" t="s">
        <v>5</v>
      </c>
      <c r="B1145" t="s">
        <v>182</v>
      </c>
      <c r="C1145" s="8">
        <v>46127</v>
      </c>
      <c r="D1145" s="9">
        <v>42565</v>
      </c>
    </row>
    <row r="1146" spans="1:4">
      <c r="A1146" t="s">
        <v>5</v>
      </c>
      <c r="B1146" t="s">
        <v>251</v>
      </c>
      <c r="C1146" s="8">
        <v>46127</v>
      </c>
      <c r="D1146" s="9">
        <v>42161</v>
      </c>
    </row>
    <row r="1147" spans="1:4">
      <c r="A1147" t="s">
        <v>5</v>
      </c>
      <c r="B1147" t="s">
        <v>159</v>
      </c>
      <c r="C1147" s="8">
        <v>46127</v>
      </c>
      <c r="D1147" s="9">
        <v>47247</v>
      </c>
    </row>
    <row r="1148" spans="1:4">
      <c r="A1148" t="s">
        <v>5</v>
      </c>
      <c r="B1148" t="s">
        <v>108</v>
      </c>
      <c r="C1148" s="8">
        <v>46127</v>
      </c>
      <c r="D1148" s="9">
        <v>43860</v>
      </c>
    </row>
    <row r="1149" spans="1:4">
      <c r="A1149" t="s">
        <v>5</v>
      </c>
      <c r="B1149" t="s">
        <v>108</v>
      </c>
      <c r="C1149" s="8">
        <v>46127</v>
      </c>
      <c r="D1149" s="9">
        <v>46878</v>
      </c>
    </row>
    <row r="1150" spans="1:4">
      <c r="A1150" t="s">
        <v>5</v>
      </c>
      <c r="B1150" t="s">
        <v>109</v>
      </c>
      <c r="C1150" s="8">
        <v>46127</v>
      </c>
      <c r="D1150" s="9">
        <v>57838</v>
      </c>
    </row>
    <row r="1151" spans="1:4">
      <c r="A1151" t="s">
        <v>5</v>
      </c>
      <c r="B1151" t="s">
        <v>61</v>
      </c>
      <c r="C1151" s="8">
        <v>46127</v>
      </c>
      <c r="D1151" s="9">
        <v>29765</v>
      </c>
    </row>
    <row r="1152" spans="1:4">
      <c r="A1152" t="s">
        <v>5</v>
      </c>
      <c r="B1152" t="s">
        <v>189</v>
      </c>
      <c r="C1152" s="8">
        <v>46127</v>
      </c>
      <c r="D1152" s="9">
        <v>35640</v>
      </c>
    </row>
    <row r="1153" spans="1:4">
      <c r="A1153" t="s">
        <v>27</v>
      </c>
      <c r="B1153" t="s">
        <v>196</v>
      </c>
      <c r="C1153" s="8">
        <v>46128</v>
      </c>
      <c r="D1153" s="9">
        <v>15077</v>
      </c>
    </row>
    <row r="1154" spans="1:4">
      <c r="A1154" t="s">
        <v>4</v>
      </c>
      <c r="B1154" t="s">
        <v>254</v>
      </c>
      <c r="C1154" s="8">
        <v>46128</v>
      </c>
      <c r="D1154" s="9">
        <v>27338</v>
      </c>
    </row>
    <row r="1155" spans="1:4">
      <c r="A1155" t="s">
        <v>25</v>
      </c>
      <c r="B1155" t="s">
        <v>215</v>
      </c>
      <c r="C1155" s="8">
        <v>46128</v>
      </c>
      <c r="D1155" s="9">
        <v>8157</v>
      </c>
    </row>
    <row r="1156" spans="1:4">
      <c r="A1156" t="s">
        <v>32</v>
      </c>
      <c r="B1156" t="s">
        <v>282</v>
      </c>
      <c r="C1156" s="8">
        <v>46128</v>
      </c>
      <c r="D1156" s="9">
        <v>12640</v>
      </c>
    </row>
    <row r="1157" spans="1:4">
      <c r="A1157" t="s">
        <v>32</v>
      </c>
      <c r="B1157" t="s">
        <v>247</v>
      </c>
      <c r="C1157" s="8">
        <v>46128</v>
      </c>
      <c r="D1157" s="9">
        <v>12154</v>
      </c>
    </row>
    <row r="1158" spans="1:4">
      <c r="A1158" t="s">
        <v>6</v>
      </c>
      <c r="B1158" t="s">
        <v>192</v>
      </c>
      <c r="C1158" s="8">
        <v>46128</v>
      </c>
      <c r="D1158" s="9">
        <v>18354</v>
      </c>
    </row>
    <row r="1159" spans="1:4">
      <c r="A1159" t="s">
        <v>6</v>
      </c>
      <c r="B1159" t="s">
        <v>103</v>
      </c>
      <c r="C1159" s="8">
        <v>46128</v>
      </c>
      <c r="D1159" s="9">
        <v>30819</v>
      </c>
    </row>
    <row r="1160" spans="1:4">
      <c r="A1160" t="s">
        <v>9</v>
      </c>
      <c r="B1160" t="s">
        <v>96</v>
      </c>
      <c r="C1160" s="8">
        <v>46128</v>
      </c>
      <c r="D1160" s="9">
        <v>27076</v>
      </c>
    </row>
    <row r="1161" spans="1:4">
      <c r="A1161" t="s">
        <v>5</v>
      </c>
      <c r="B1161" t="s">
        <v>145</v>
      </c>
      <c r="C1161" s="8">
        <v>46128</v>
      </c>
      <c r="D1161" s="9">
        <v>49163</v>
      </c>
    </row>
    <row r="1162" spans="1:4">
      <c r="A1162" t="s">
        <v>5</v>
      </c>
      <c r="B1162" t="s">
        <v>124</v>
      </c>
      <c r="C1162" s="8">
        <v>46128</v>
      </c>
      <c r="D1162" s="9">
        <v>33395</v>
      </c>
    </row>
    <row r="1163" spans="1:4">
      <c r="A1163" t="s">
        <v>5</v>
      </c>
      <c r="B1163" t="s">
        <v>212</v>
      </c>
      <c r="C1163" s="8">
        <v>46128</v>
      </c>
      <c r="D1163" s="9">
        <v>26936</v>
      </c>
    </row>
    <row r="1164" spans="1:4">
      <c r="A1164" t="s">
        <v>31</v>
      </c>
      <c r="B1164" t="s">
        <v>199</v>
      </c>
      <c r="C1164" s="8">
        <v>46129</v>
      </c>
      <c r="D1164" s="9">
        <v>22426</v>
      </c>
    </row>
    <row r="1165" spans="1:4">
      <c r="A1165" t="s">
        <v>25</v>
      </c>
      <c r="B1165" t="s">
        <v>128</v>
      </c>
      <c r="C1165" s="8">
        <v>46129</v>
      </c>
      <c r="D1165" s="9">
        <v>9371</v>
      </c>
    </row>
    <row r="1166" spans="1:4">
      <c r="A1166" t="s">
        <v>28</v>
      </c>
      <c r="B1166" t="s">
        <v>118</v>
      </c>
      <c r="C1166" s="8">
        <v>46129</v>
      </c>
      <c r="D1166" s="9">
        <v>11698</v>
      </c>
    </row>
    <row r="1167" spans="1:4">
      <c r="A1167" t="s">
        <v>7</v>
      </c>
      <c r="B1167" t="s">
        <v>243</v>
      </c>
      <c r="C1167" s="8">
        <v>46129</v>
      </c>
      <c r="D1167" s="9">
        <v>41842</v>
      </c>
    </row>
    <row r="1168" spans="1:4">
      <c r="A1168" t="s">
        <v>7</v>
      </c>
      <c r="B1168" t="s">
        <v>238</v>
      </c>
      <c r="C1168" s="8">
        <v>46129</v>
      </c>
      <c r="D1168" s="9">
        <v>26044</v>
      </c>
    </row>
    <row r="1169" spans="1:4">
      <c r="A1169" t="s">
        <v>7</v>
      </c>
      <c r="B1169" t="s">
        <v>47</v>
      </c>
      <c r="C1169" s="8">
        <v>46129</v>
      </c>
      <c r="D1169" s="9">
        <v>20992</v>
      </c>
    </row>
    <row r="1170" spans="1:4">
      <c r="A1170" t="s">
        <v>9</v>
      </c>
      <c r="B1170" t="s">
        <v>92</v>
      </c>
      <c r="C1170" s="8">
        <v>46129</v>
      </c>
      <c r="D1170" s="9">
        <v>37303</v>
      </c>
    </row>
    <row r="1171" spans="1:4">
      <c r="A1171" t="s">
        <v>9</v>
      </c>
      <c r="B1171" t="s">
        <v>144</v>
      </c>
      <c r="C1171" s="8">
        <v>46129</v>
      </c>
      <c r="D1171" s="9">
        <v>27448</v>
      </c>
    </row>
    <row r="1172" spans="1:4">
      <c r="A1172" t="s">
        <v>5</v>
      </c>
      <c r="B1172" t="s">
        <v>106</v>
      </c>
      <c r="C1172" s="8">
        <v>46129</v>
      </c>
      <c r="D1172" s="9">
        <v>33827</v>
      </c>
    </row>
    <row r="1173" spans="1:4">
      <c r="A1173" t="s">
        <v>5</v>
      </c>
      <c r="B1173" t="s">
        <v>183</v>
      </c>
      <c r="C1173" s="8">
        <v>46129</v>
      </c>
      <c r="D1173" s="9">
        <v>55775</v>
      </c>
    </row>
    <row r="1174" spans="1:4">
      <c r="A1174" t="s">
        <v>5</v>
      </c>
      <c r="B1174" t="s">
        <v>211</v>
      </c>
      <c r="C1174" s="8">
        <v>46129</v>
      </c>
      <c r="D1174" s="9">
        <v>17201</v>
      </c>
    </row>
    <row r="1175" spans="1:4">
      <c r="A1175" t="s">
        <v>5</v>
      </c>
      <c r="B1175" t="s">
        <v>107</v>
      </c>
      <c r="C1175" s="8">
        <v>46129</v>
      </c>
      <c r="D1175" s="9">
        <v>50527</v>
      </c>
    </row>
    <row r="1176" spans="1:4">
      <c r="A1176" t="s">
        <v>5</v>
      </c>
      <c r="B1176" t="s">
        <v>76</v>
      </c>
      <c r="C1176" s="8">
        <v>46129</v>
      </c>
      <c r="D1176" s="9">
        <v>20468</v>
      </c>
    </row>
    <row r="1177" spans="1:4">
      <c r="A1177" t="s">
        <v>4</v>
      </c>
      <c r="B1177" t="s">
        <v>127</v>
      </c>
      <c r="C1177" s="8">
        <v>46130</v>
      </c>
      <c r="D1177" s="9">
        <v>28178</v>
      </c>
    </row>
    <row r="1178" spans="1:4">
      <c r="A1178" t="s">
        <v>29</v>
      </c>
      <c r="B1178" t="s">
        <v>112</v>
      </c>
      <c r="C1178" s="8">
        <v>46130</v>
      </c>
      <c r="D1178" s="9">
        <v>11371</v>
      </c>
    </row>
    <row r="1179" spans="1:4">
      <c r="A1179" t="s">
        <v>7</v>
      </c>
      <c r="B1179" t="s">
        <v>52</v>
      </c>
      <c r="C1179" s="8">
        <v>46130</v>
      </c>
      <c r="D1179" s="9">
        <v>14822</v>
      </c>
    </row>
    <row r="1180" spans="1:4">
      <c r="A1180" t="s">
        <v>9</v>
      </c>
      <c r="B1180" t="s">
        <v>172</v>
      </c>
      <c r="C1180" s="8">
        <v>46130</v>
      </c>
      <c r="D1180" s="9">
        <v>45409</v>
      </c>
    </row>
    <row r="1181" spans="1:4">
      <c r="A1181" t="s">
        <v>5</v>
      </c>
      <c r="B1181" t="s">
        <v>53</v>
      </c>
      <c r="C1181" s="8">
        <v>46130</v>
      </c>
      <c r="D1181" s="9">
        <v>43448</v>
      </c>
    </row>
    <row r="1182" spans="1:4">
      <c r="A1182" t="s">
        <v>5</v>
      </c>
      <c r="B1182" t="s">
        <v>123</v>
      </c>
      <c r="C1182" s="8">
        <v>46130</v>
      </c>
      <c r="D1182" s="9">
        <v>44780</v>
      </c>
    </row>
    <row r="1183" spans="1:4">
      <c r="A1183" t="s">
        <v>5</v>
      </c>
      <c r="B1183" t="s">
        <v>172</v>
      </c>
      <c r="C1183" s="8">
        <v>46130</v>
      </c>
      <c r="D1183" s="9">
        <v>46107</v>
      </c>
    </row>
    <row r="1184" spans="1:4">
      <c r="A1184" t="s">
        <v>4</v>
      </c>
      <c r="B1184" t="s">
        <v>151</v>
      </c>
      <c r="C1184" s="8">
        <v>46131</v>
      </c>
      <c r="D1184" s="9">
        <v>28098</v>
      </c>
    </row>
    <row r="1185" spans="1:4">
      <c r="A1185" t="s">
        <v>4</v>
      </c>
      <c r="B1185" t="s">
        <v>266</v>
      </c>
      <c r="C1185" s="8">
        <v>46131</v>
      </c>
      <c r="D1185" s="9">
        <v>14050</v>
      </c>
    </row>
    <row r="1186" spans="1:4">
      <c r="A1186" t="s">
        <v>30</v>
      </c>
      <c r="B1186" t="s">
        <v>162</v>
      </c>
      <c r="C1186" s="8">
        <v>46131</v>
      </c>
      <c r="D1186" s="9">
        <v>11846</v>
      </c>
    </row>
    <row r="1187" spans="1:4">
      <c r="A1187" t="s">
        <v>8</v>
      </c>
      <c r="B1187" t="s">
        <v>214</v>
      </c>
      <c r="C1187" s="8">
        <v>46131</v>
      </c>
      <c r="D1187" s="9">
        <v>19637</v>
      </c>
    </row>
    <row r="1188" spans="1:4">
      <c r="A1188" t="s">
        <v>34</v>
      </c>
      <c r="B1188" t="s">
        <v>169</v>
      </c>
      <c r="C1188" s="8">
        <v>46131</v>
      </c>
      <c r="D1188" s="9">
        <v>10560</v>
      </c>
    </row>
    <row r="1189" spans="1:4">
      <c r="A1189" t="s">
        <v>34</v>
      </c>
      <c r="B1189" t="s">
        <v>271</v>
      </c>
      <c r="C1189" s="8">
        <v>46131</v>
      </c>
      <c r="D1189" s="9">
        <v>5200</v>
      </c>
    </row>
    <row r="1190" spans="1:4">
      <c r="A1190" t="s">
        <v>6</v>
      </c>
      <c r="B1190" t="s">
        <v>261</v>
      </c>
      <c r="C1190" s="8">
        <v>46131</v>
      </c>
      <c r="D1190" s="9">
        <v>17566</v>
      </c>
    </row>
    <row r="1191" spans="1:4">
      <c r="A1191" t="s">
        <v>9</v>
      </c>
      <c r="B1191" t="s">
        <v>70</v>
      </c>
      <c r="C1191" s="8">
        <v>46131</v>
      </c>
      <c r="D1191" s="9">
        <v>31544</v>
      </c>
    </row>
    <row r="1192" spans="1:4">
      <c r="A1192" t="s">
        <v>5</v>
      </c>
      <c r="B1192" t="s">
        <v>114</v>
      </c>
      <c r="C1192" s="8">
        <v>46131</v>
      </c>
      <c r="D1192" s="9">
        <v>35347</v>
      </c>
    </row>
    <row r="1193" spans="1:4">
      <c r="A1193" t="s">
        <v>5</v>
      </c>
      <c r="B1193" t="s">
        <v>98</v>
      </c>
      <c r="C1193" s="8">
        <v>46131</v>
      </c>
      <c r="D1193" s="9">
        <v>35046</v>
      </c>
    </row>
    <row r="1194" spans="1:4">
      <c r="A1194" t="s">
        <v>5</v>
      </c>
      <c r="B1194" t="s">
        <v>123</v>
      </c>
      <c r="C1194" s="8">
        <v>46131</v>
      </c>
      <c r="D1194" s="9">
        <v>34524</v>
      </c>
    </row>
    <row r="1195" spans="1:4">
      <c r="A1195" t="s">
        <v>5</v>
      </c>
      <c r="B1195" t="s">
        <v>210</v>
      </c>
      <c r="C1195" s="8">
        <v>46131</v>
      </c>
      <c r="D1195" s="9">
        <v>41588</v>
      </c>
    </row>
    <row r="1196" spans="1:4">
      <c r="A1196" t="s">
        <v>5</v>
      </c>
      <c r="B1196" t="s">
        <v>54</v>
      </c>
      <c r="C1196" s="8">
        <v>46131</v>
      </c>
      <c r="D1196" s="9">
        <v>47686</v>
      </c>
    </row>
    <row r="1197" spans="1:4">
      <c r="A1197" t="s">
        <v>5</v>
      </c>
      <c r="B1197" t="s">
        <v>93</v>
      </c>
      <c r="C1197" s="8">
        <v>46131</v>
      </c>
      <c r="D1197" s="9">
        <v>34902</v>
      </c>
    </row>
    <row r="1198" spans="1:4">
      <c r="A1198" t="s">
        <v>4</v>
      </c>
      <c r="B1198" t="s">
        <v>85</v>
      </c>
      <c r="C1198" s="8">
        <v>46132</v>
      </c>
      <c r="D1198" s="9">
        <v>16052</v>
      </c>
    </row>
    <row r="1199" spans="1:4">
      <c r="A1199" t="s">
        <v>28</v>
      </c>
      <c r="B1199" t="s">
        <v>255</v>
      </c>
      <c r="C1199" s="8">
        <v>46132</v>
      </c>
      <c r="D1199" s="9">
        <v>5200</v>
      </c>
    </row>
    <row r="1200" spans="1:4">
      <c r="A1200" t="s">
        <v>30</v>
      </c>
      <c r="B1200" t="s">
        <v>139</v>
      </c>
      <c r="C1200" s="8">
        <v>46132</v>
      </c>
      <c r="D1200" s="9">
        <v>14837</v>
      </c>
    </row>
    <row r="1201" spans="1:4">
      <c r="A1201" t="s">
        <v>8</v>
      </c>
      <c r="B1201" t="s">
        <v>259</v>
      </c>
      <c r="C1201" s="8">
        <v>46132</v>
      </c>
      <c r="D1201" s="9">
        <v>17019</v>
      </c>
    </row>
    <row r="1202" spans="1:4">
      <c r="A1202" t="s">
        <v>8</v>
      </c>
      <c r="B1202" t="s">
        <v>140</v>
      </c>
      <c r="C1202" s="8">
        <v>46132</v>
      </c>
      <c r="D1202" s="9">
        <v>14327</v>
      </c>
    </row>
    <row r="1203" spans="1:4">
      <c r="A1203" t="s">
        <v>6</v>
      </c>
      <c r="B1203" t="s">
        <v>64</v>
      </c>
      <c r="C1203" s="8">
        <v>46132</v>
      </c>
      <c r="D1203" s="9">
        <v>14042</v>
      </c>
    </row>
    <row r="1204" spans="1:4">
      <c r="A1204" t="s">
        <v>33</v>
      </c>
      <c r="B1204" t="s">
        <v>268</v>
      </c>
      <c r="C1204" s="8">
        <v>46132</v>
      </c>
      <c r="D1204" s="9">
        <v>9780</v>
      </c>
    </row>
    <row r="1205" spans="1:4">
      <c r="A1205" t="s">
        <v>29</v>
      </c>
      <c r="B1205" t="s">
        <v>191</v>
      </c>
      <c r="C1205" s="8">
        <v>46132</v>
      </c>
      <c r="D1205" s="9">
        <v>12438</v>
      </c>
    </row>
    <row r="1206" spans="1:4">
      <c r="A1206" t="s">
        <v>29</v>
      </c>
      <c r="B1206" t="s">
        <v>279</v>
      </c>
      <c r="C1206" s="8">
        <v>46132</v>
      </c>
      <c r="D1206" s="9">
        <v>11691</v>
      </c>
    </row>
    <row r="1207" spans="1:4">
      <c r="A1207" t="s">
        <v>7</v>
      </c>
      <c r="B1207" t="s">
        <v>67</v>
      </c>
      <c r="C1207" s="8">
        <v>46132</v>
      </c>
      <c r="D1207" s="9">
        <v>29250</v>
      </c>
    </row>
    <row r="1208" spans="1:4">
      <c r="A1208" t="s">
        <v>9</v>
      </c>
      <c r="B1208" t="s">
        <v>276</v>
      </c>
      <c r="C1208" s="8">
        <v>46132</v>
      </c>
      <c r="D1208" s="9">
        <v>32114</v>
      </c>
    </row>
    <row r="1209" spans="1:4">
      <c r="A1209" t="s">
        <v>5</v>
      </c>
      <c r="B1209" t="s">
        <v>53</v>
      </c>
      <c r="C1209" s="8">
        <v>46132</v>
      </c>
      <c r="D1209" s="9">
        <v>53807</v>
      </c>
    </row>
    <row r="1210" spans="1:4">
      <c r="A1210" t="s">
        <v>5</v>
      </c>
      <c r="B1210" t="s">
        <v>58</v>
      </c>
      <c r="C1210" s="8">
        <v>46132</v>
      </c>
      <c r="D1210" s="9">
        <v>42690</v>
      </c>
    </row>
    <row r="1211" spans="1:4">
      <c r="A1211" t="s">
        <v>27</v>
      </c>
      <c r="B1211" t="s">
        <v>213</v>
      </c>
      <c r="C1211" s="8">
        <v>46133</v>
      </c>
      <c r="D1211" s="9">
        <v>13078</v>
      </c>
    </row>
    <row r="1212" spans="1:4">
      <c r="A1212" t="s">
        <v>4</v>
      </c>
      <c r="B1212" t="s">
        <v>194</v>
      </c>
      <c r="C1212" s="8">
        <v>46133</v>
      </c>
      <c r="D1212" s="9">
        <v>23459</v>
      </c>
    </row>
    <row r="1213" spans="1:4">
      <c r="A1213" t="s">
        <v>25</v>
      </c>
      <c r="B1213" t="s">
        <v>186</v>
      </c>
      <c r="C1213" s="8">
        <v>46133</v>
      </c>
      <c r="D1213" s="9">
        <v>12819</v>
      </c>
    </row>
    <row r="1214" spans="1:4">
      <c r="A1214" t="s">
        <v>26</v>
      </c>
      <c r="B1214" t="s">
        <v>236</v>
      </c>
      <c r="C1214" s="8">
        <v>46133</v>
      </c>
      <c r="D1214" s="9">
        <v>10815</v>
      </c>
    </row>
    <row r="1215" spans="1:4">
      <c r="A1215" t="s">
        <v>6</v>
      </c>
      <c r="B1215" t="s">
        <v>260</v>
      </c>
      <c r="C1215" s="8">
        <v>46133</v>
      </c>
      <c r="D1215" s="9">
        <v>29406</v>
      </c>
    </row>
    <row r="1216" spans="1:4">
      <c r="A1216" t="s">
        <v>33</v>
      </c>
      <c r="B1216" t="s">
        <v>232</v>
      </c>
      <c r="C1216" s="8">
        <v>46133</v>
      </c>
      <c r="D1216" s="9">
        <v>11221</v>
      </c>
    </row>
    <row r="1217" spans="1:4">
      <c r="A1217" t="s">
        <v>9</v>
      </c>
      <c r="B1217" t="s">
        <v>158</v>
      </c>
      <c r="C1217" s="8">
        <v>46133</v>
      </c>
      <c r="D1217" s="9">
        <v>28114</v>
      </c>
    </row>
    <row r="1218" spans="1:4">
      <c r="A1218" t="s">
        <v>5</v>
      </c>
      <c r="B1218" t="s">
        <v>251</v>
      </c>
      <c r="C1218" s="8">
        <v>46133</v>
      </c>
      <c r="D1218" s="9">
        <v>36244</v>
      </c>
    </row>
    <row r="1219" spans="1:4">
      <c r="A1219" t="s">
        <v>5</v>
      </c>
      <c r="B1219" t="s">
        <v>84</v>
      </c>
      <c r="C1219" s="8">
        <v>46133</v>
      </c>
      <c r="D1219" s="9">
        <v>58522</v>
      </c>
    </row>
    <row r="1220" spans="1:4">
      <c r="A1220" t="s">
        <v>5</v>
      </c>
      <c r="B1220" t="s">
        <v>93</v>
      </c>
      <c r="C1220" s="8">
        <v>46133</v>
      </c>
      <c r="D1220" s="9">
        <v>39857</v>
      </c>
    </row>
    <row r="1221" spans="1:4">
      <c r="A1221" t="s">
        <v>4</v>
      </c>
      <c r="B1221" t="s">
        <v>181</v>
      </c>
      <c r="C1221" s="8">
        <v>46134</v>
      </c>
      <c r="D1221" s="9">
        <v>27462</v>
      </c>
    </row>
    <row r="1222" spans="1:4">
      <c r="A1222" t="s">
        <v>4</v>
      </c>
      <c r="B1222" t="s">
        <v>180</v>
      </c>
      <c r="C1222" s="8">
        <v>46134</v>
      </c>
      <c r="D1222" s="9">
        <v>30810</v>
      </c>
    </row>
    <row r="1223" spans="1:4">
      <c r="A1223" t="s">
        <v>9</v>
      </c>
      <c r="B1223" t="s">
        <v>83</v>
      </c>
      <c r="C1223" s="8">
        <v>46134</v>
      </c>
      <c r="D1223" s="9">
        <v>41111</v>
      </c>
    </row>
    <row r="1224" spans="1:4">
      <c r="A1224" t="s">
        <v>5</v>
      </c>
      <c r="B1224" t="s">
        <v>239</v>
      </c>
      <c r="C1224" s="8">
        <v>46134</v>
      </c>
      <c r="D1224" s="9">
        <v>43335</v>
      </c>
    </row>
    <row r="1225" spans="1:4">
      <c r="A1225" t="s">
        <v>5</v>
      </c>
      <c r="B1225" t="s">
        <v>251</v>
      </c>
      <c r="C1225" s="8">
        <v>46134</v>
      </c>
      <c r="D1225" s="9">
        <v>43023</v>
      </c>
    </row>
    <row r="1226" spans="1:4">
      <c r="A1226" t="s">
        <v>5</v>
      </c>
      <c r="B1226" t="s">
        <v>97</v>
      </c>
      <c r="C1226" s="8">
        <v>46134</v>
      </c>
      <c r="D1226" s="9">
        <v>39338</v>
      </c>
    </row>
    <row r="1227" spans="1:4">
      <c r="A1227" t="s">
        <v>5</v>
      </c>
      <c r="B1227" t="s">
        <v>98</v>
      </c>
      <c r="C1227" s="8">
        <v>46134</v>
      </c>
      <c r="D1227" s="9">
        <v>43028</v>
      </c>
    </row>
    <row r="1228" spans="1:4">
      <c r="A1228" t="s">
        <v>5</v>
      </c>
      <c r="B1228" t="s">
        <v>84</v>
      </c>
      <c r="C1228" s="8">
        <v>46134</v>
      </c>
      <c r="D1228" s="9">
        <v>56697</v>
      </c>
    </row>
    <row r="1229" spans="1:4">
      <c r="A1229" t="s">
        <v>5</v>
      </c>
      <c r="B1229" t="s">
        <v>210</v>
      </c>
      <c r="C1229" s="8">
        <v>46134</v>
      </c>
      <c r="D1229" s="9">
        <v>30423</v>
      </c>
    </row>
    <row r="1230" spans="1:4">
      <c r="A1230" t="s">
        <v>38</v>
      </c>
      <c r="B1230" t="s">
        <v>110</v>
      </c>
      <c r="C1230" s="8">
        <v>46135</v>
      </c>
      <c r="D1230" s="9">
        <v>11331</v>
      </c>
    </row>
    <row r="1231" spans="1:4">
      <c r="A1231" t="s">
        <v>31</v>
      </c>
      <c r="B1231" t="s">
        <v>48</v>
      </c>
      <c r="C1231" s="8">
        <v>46135</v>
      </c>
      <c r="D1231" s="9">
        <v>12041</v>
      </c>
    </row>
    <row r="1232" spans="1:4">
      <c r="A1232" t="s">
        <v>25</v>
      </c>
      <c r="B1232" t="s">
        <v>117</v>
      </c>
      <c r="C1232" s="8">
        <v>46135</v>
      </c>
      <c r="D1232" s="9">
        <v>11576</v>
      </c>
    </row>
    <row r="1233" spans="1:4">
      <c r="A1233" t="s">
        <v>26</v>
      </c>
      <c r="B1233" t="s">
        <v>256</v>
      </c>
      <c r="C1233" s="8">
        <v>46135</v>
      </c>
      <c r="D1233" s="9">
        <v>13464</v>
      </c>
    </row>
    <row r="1234" spans="1:4">
      <c r="A1234" t="s">
        <v>6</v>
      </c>
      <c r="B1234" t="s">
        <v>218</v>
      </c>
      <c r="C1234" s="8">
        <v>46135</v>
      </c>
      <c r="D1234" s="9">
        <v>18071</v>
      </c>
    </row>
    <row r="1235" spans="1:4">
      <c r="A1235" t="s">
        <v>7</v>
      </c>
      <c r="B1235" t="s">
        <v>122</v>
      </c>
      <c r="C1235" s="8">
        <v>46135</v>
      </c>
      <c r="D1235" s="9">
        <v>7178</v>
      </c>
    </row>
    <row r="1236" spans="1:4">
      <c r="A1236" t="s">
        <v>9</v>
      </c>
      <c r="B1236" t="s">
        <v>137</v>
      </c>
      <c r="C1236" s="8">
        <v>46135</v>
      </c>
      <c r="D1236" s="9">
        <v>38676</v>
      </c>
    </row>
    <row r="1237" spans="1:4">
      <c r="A1237" t="s">
        <v>5</v>
      </c>
      <c r="B1237" t="s">
        <v>106</v>
      </c>
      <c r="C1237" s="8">
        <v>46135</v>
      </c>
      <c r="D1237" s="9">
        <v>24116</v>
      </c>
    </row>
    <row r="1238" spans="1:4">
      <c r="A1238" t="s">
        <v>5</v>
      </c>
      <c r="B1238" t="s">
        <v>107</v>
      </c>
      <c r="C1238" s="8">
        <v>46135</v>
      </c>
      <c r="D1238" s="9">
        <v>40009</v>
      </c>
    </row>
    <row r="1239" spans="1:4">
      <c r="A1239" t="s">
        <v>5</v>
      </c>
      <c r="B1239" t="s">
        <v>108</v>
      </c>
      <c r="C1239" s="8">
        <v>46135</v>
      </c>
      <c r="D1239" s="9">
        <v>40691</v>
      </c>
    </row>
    <row r="1240" spans="1:4">
      <c r="A1240" t="s">
        <v>5</v>
      </c>
      <c r="B1240" t="s">
        <v>61</v>
      </c>
      <c r="C1240" s="8">
        <v>46135</v>
      </c>
      <c r="D1240" s="9">
        <v>32173</v>
      </c>
    </row>
    <row r="1241" spans="1:4">
      <c r="A1241" t="s">
        <v>4</v>
      </c>
      <c r="B1241" t="s">
        <v>88</v>
      </c>
      <c r="C1241" s="8">
        <v>46136</v>
      </c>
      <c r="D1241" s="9">
        <v>17261</v>
      </c>
    </row>
    <row r="1242" spans="1:4">
      <c r="A1242" t="s">
        <v>28</v>
      </c>
      <c r="B1242" t="s">
        <v>62</v>
      </c>
      <c r="C1242" s="8">
        <v>46136</v>
      </c>
      <c r="D1242" s="9">
        <v>12208</v>
      </c>
    </row>
    <row r="1243" spans="1:4">
      <c r="A1243" t="s">
        <v>8</v>
      </c>
      <c r="B1243" t="s">
        <v>79</v>
      </c>
      <c r="C1243" s="8">
        <v>46136</v>
      </c>
      <c r="D1243" s="9">
        <v>13567</v>
      </c>
    </row>
    <row r="1244" spans="1:4">
      <c r="A1244" t="s">
        <v>8</v>
      </c>
      <c r="B1244" t="s">
        <v>56</v>
      </c>
      <c r="C1244" s="8">
        <v>46136</v>
      </c>
      <c r="D1244" s="9">
        <v>5200</v>
      </c>
    </row>
    <row r="1245" spans="1:4">
      <c r="A1245" t="s">
        <v>9</v>
      </c>
      <c r="B1245" t="s">
        <v>235</v>
      </c>
      <c r="C1245" s="8">
        <v>46136</v>
      </c>
      <c r="D1245" s="9">
        <v>39031</v>
      </c>
    </row>
    <row r="1246" spans="1:4">
      <c r="A1246" t="s">
        <v>9</v>
      </c>
      <c r="B1246" t="s">
        <v>53</v>
      </c>
      <c r="C1246" s="8">
        <v>46136</v>
      </c>
      <c r="D1246" s="9">
        <v>39020</v>
      </c>
    </row>
    <row r="1247" spans="1:4">
      <c r="A1247" t="s">
        <v>9</v>
      </c>
      <c r="B1247" t="s">
        <v>219</v>
      </c>
      <c r="C1247" s="8">
        <v>46136</v>
      </c>
      <c r="D1247" s="9">
        <v>35840</v>
      </c>
    </row>
    <row r="1248" spans="1:4">
      <c r="A1248" t="s">
        <v>5</v>
      </c>
      <c r="B1248" t="s">
        <v>166</v>
      </c>
      <c r="C1248" s="8">
        <v>46136</v>
      </c>
      <c r="D1248" s="9">
        <v>42868</v>
      </c>
    </row>
    <row r="1249" spans="1:4">
      <c r="A1249" t="s">
        <v>5</v>
      </c>
      <c r="B1249" t="s">
        <v>49</v>
      </c>
      <c r="C1249" s="8">
        <v>46136</v>
      </c>
      <c r="D1249" s="9">
        <v>46436</v>
      </c>
    </row>
    <row r="1250" spans="1:4">
      <c r="A1250" t="s">
        <v>5</v>
      </c>
      <c r="B1250" t="s">
        <v>92</v>
      </c>
      <c r="C1250" s="8">
        <v>46136</v>
      </c>
      <c r="D1250" s="9">
        <v>56184</v>
      </c>
    </row>
    <row r="1251" spans="1:4">
      <c r="A1251" t="s">
        <v>5</v>
      </c>
      <c r="B1251" t="s">
        <v>74</v>
      </c>
      <c r="C1251" s="8">
        <v>46136</v>
      </c>
      <c r="D1251" s="9">
        <v>49412</v>
      </c>
    </row>
    <row r="1252" spans="1:4">
      <c r="A1252" t="s">
        <v>5</v>
      </c>
      <c r="B1252" t="s">
        <v>124</v>
      </c>
      <c r="C1252" s="8">
        <v>46136</v>
      </c>
      <c r="D1252" s="9">
        <v>32081</v>
      </c>
    </row>
    <row r="1253" spans="1:4">
      <c r="A1253" t="s">
        <v>4</v>
      </c>
      <c r="B1253" t="s">
        <v>227</v>
      </c>
      <c r="C1253" s="8">
        <v>46137</v>
      </c>
      <c r="D1253" s="9">
        <v>5200</v>
      </c>
    </row>
    <row r="1254" spans="1:4">
      <c r="A1254" t="s">
        <v>4</v>
      </c>
      <c r="B1254" t="s">
        <v>198</v>
      </c>
      <c r="C1254" s="8">
        <v>46137</v>
      </c>
      <c r="D1254" s="9">
        <v>28303</v>
      </c>
    </row>
    <row r="1255" spans="1:4">
      <c r="A1255" t="s">
        <v>25</v>
      </c>
      <c r="B1255" t="s">
        <v>86</v>
      </c>
      <c r="C1255" s="8">
        <v>46137</v>
      </c>
      <c r="D1255" s="9">
        <v>14305</v>
      </c>
    </row>
    <row r="1256" spans="1:4">
      <c r="A1256" t="s">
        <v>9</v>
      </c>
      <c r="B1256" t="s">
        <v>143</v>
      </c>
      <c r="C1256" s="8">
        <v>46137</v>
      </c>
      <c r="D1256" s="9">
        <v>9758</v>
      </c>
    </row>
    <row r="1257" spans="1:4">
      <c r="A1257" t="s">
        <v>9</v>
      </c>
      <c r="B1257" t="s">
        <v>221</v>
      </c>
      <c r="C1257" s="8">
        <v>46137</v>
      </c>
      <c r="D1257" s="9">
        <v>34594</v>
      </c>
    </row>
    <row r="1258" spans="1:4">
      <c r="A1258" t="s">
        <v>5</v>
      </c>
      <c r="B1258" t="s">
        <v>106</v>
      </c>
      <c r="C1258" s="8">
        <v>46137</v>
      </c>
      <c r="D1258" s="9">
        <v>35013</v>
      </c>
    </row>
    <row r="1259" spans="1:4">
      <c r="A1259" t="s">
        <v>5</v>
      </c>
      <c r="B1259" t="s">
        <v>209</v>
      </c>
      <c r="C1259" s="8">
        <v>46137</v>
      </c>
      <c r="D1259" s="9">
        <v>47374</v>
      </c>
    </row>
    <row r="1260" spans="1:4">
      <c r="A1260" t="s">
        <v>5</v>
      </c>
      <c r="B1260" t="s">
        <v>183</v>
      </c>
      <c r="C1260" s="8">
        <v>46137</v>
      </c>
      <c r="D1260" s="9">
        <v>55736</v>
      </c>
    </row>
    <row r="1261" spans="1:4">
      <c r="A1261" t="s">
        <v>5</v>
      </c>
      <c r="B1261" t="s">
        <v>99</v>
      </c>
      <c r="C1261" s="8">
        <v>46137</v>
      </c>
      <c r="D1261" s="9">
        <v>43355</v>
      </c>
    </row>
    <row r="1262" spans="1:4">
      <c r="A1262" t="s">
        <v>5</v>
      </c>
      <c r="B1262" t="s">
        <v>145</v>
      </c>
      <c r="C1262" s="8">
        <v>46137</v>
      </c>
      <c r="D1262" s="9">
        <v>49363</v>
      </c>
    </row>
    <row r="1263" spans="1:4">
      <c r="A1263" t="s">
        <v>27</v>
      </c>
      <c r="B1263" t="s">
        <v>173</v>
      </c>
      <c r="C1263" s="8">
        <v>46138</v>
      </c>
      <c r="D1263" s="9">
        <v>21578</v>
      </c>
    </row>
    <row r="1264" spans="1:4">
      <c r="A1264" t="s">
        <v>6</v>
      </c>
      <c r="B1264" t="s">
        <v>141</v>
      </c>
      <c r="C1264" s="8">
        <v>46138</v>
      </c>
      <c r="D1264" s="9">
        <v>17161</v>
      </c>
    </row>
    <row r="1265" spans="1:4">
      <c r="A1265" t="s">
        <v>7</v>
      </c>
      <c r="B1265" t="s">
        <v>105</v>
      </c>
      <c r="C1265" s="8">
        <v>46138</v>
      </c>
      <c r="D1265" s="9">
        <v>23043</v>
      </c>
    </row>
    <row r="1266" spans="1:4">
      <c r="A1266" t="s">
        <v>9</v>
      </c>
      <c r="B1266" t="s">
        <v>123</v>
      </c>
      <c r="C1266" s="8">
        <v>46138</v>
      </c>
      <c r="D1266" s="9">
        <v>33334</v>
      </c>
    </row>
    <row r="1267" spans="1:4">
      <c r="A1267" t="s">
        <v>9</v>
      </c>
      <c r="B1267" t="s">
        <v>144</v>
      </c>
      <c r="C1267" s="8">
        <v>46138</v>
      </c>
      <c r="D1267" s="9">
        <v>24857</v>
      </c>
    </row>
    <row r="1268" spans="1:4">
      <c r="A1268" t="s">
        <v>9</v>
      </c>
      <c r="B1268" t="s">
        <v>137</v>
      </c>
      <c r="C1268" s="8">
        <v>46138</v>
      </c>
      <c r="D1268" s="9">
        <v>36443</v>
      </c>
    </row>
    <row r="1269" spans="1:4">
      <c r="A1269" t="s">
        <v>5</v>
      </c>
      <c r="B1269" t="s">
        <v>61</v>
      </c>
      <c r="C1269" s="8">
        <v>46138</v>
      </c>
      <c r="D1269" s="9">
        <v>32611</v>
      </c>
    </row>
    <row r="1270" spans="1:4">
      <c r="A1270" t="s">
        <v>4</v>
      </c>
      <c r="B1270" t="s">
        <v>234</v>
      </c>
      <c r="C1270" s="8">
        <v>46139</v>
      </c>
      <c r="D1270" s="9">
        <v>9882</v>
      </c>
    </row>
    <row r="1271" spans="1:4">
      <c r="A1271" t="s">
        <v>29</v>
      </c>
      <c r="B1271" t="s">
        <v>121</v>
      </c>
      <c r="C1271" s="8">
        <v>46139</v>
      </c>
      <c r="D1271" s="9">
        <v>9100</v>
      </c>
    </row>
    <row r="1272" spans="1:4">
      <c r="A1272" t="s">
        <v>7</v>
      </c>
      <c r="B1272" t="s">
        <v>69</v>
      </c>
      <c r="C1272" s="8">
        <v>46139</v>
      </c>
      <c r="D1272" s="9">
        <v>11912</v>
      </c>
    </row>
    <row r="1273" spans="1:4">
      <c r="A1273" t="s">
        <v>7</v>
      </c>
      <c r="B1273" t="s">
        <v>202</v>
      </c>
      <c r="C1273" s="8">
        <v>46139</v>
      </c>
      <c r="D1273" s="9">
        <v>22302</v>
      </c>
    </row>
    <row r="1274" spans="1:4">
      <c r="A1274" t="s">
        <v>7</v>
      </c>
      <c r="B1274" t="s">
        <v>249</v>
      </c>
      <c r="C1274" s="8">
        <v>46139</v>
      </c>
      <c r="D1274" s="9">
        <v>21302</v>
      </c>
    </row>
    <row r="1275" spans="1:4">
      <c r="A1275" t="s">
        <v>7</v>
      </c>
      <c r="B1275" t="s">
        <v>89</v>
      </c>
      <c r="C1275" s="8">
        <v>46139</v>
      </c>
      <c r="D1275" s="9">
        <v>25972</v>
      </c>
    </row>
    <row r="1276" spans="1:4">
      <c r="A1276" t="s">
        <v>9</v>
      </c>
      <c r="B1276" t="s">
        <v>178</v>
      </c>
      <c r="C1276" s="8">
        <v>46139</v>
      </c>
      <c r="D1276" s="9">
        <v>41926</v>
      </c>
    </row>
    <row r="1277" spans="1:4">
      <c r="A1277" t="s">
        <v>4</v>
      </c>
      <c r="B1277" t="s">
        <v>126</v>
      </c>
      <c r="C1277" s="8">
        <v>46140</v>
      </c>
      <c r="D1277" s="9">
        <v>28992</v>
      </c>
    </row>
    <row r="1278" spans="1:4">
      <c r="A1278" t="s">
        <v>25</v>
      </c>
      <c r="B1278" t="s">
        <v>228</v>
      </c>
      <c r="C1278" s="8">
        <v>46140</v>
      </c>
      <c r="D1278" s="9">
        <v>13244</v>
      </c>
    </row>
    <row r="1279" spans="1:4">
      <c r="A1279" t="s">
        <v>8</v>
      </c>
      <c r="B1279" t="s">
        <v>129</v>
      </c>
      <c r="C1279" s="8">
        <v>46140</v>
      </c>
      <c r="D1279" s="9">
        <v>14683</v>
      </c>
    </row>
    <row r="1280" spans="1:4">
      <c r="A1280" t="s">
        <v>34</v>
      </c>
      <c r="B1280" t="s">
        <v>265</v>
      </c>
      <c r="C1280" s="8">
        <v>46140</v>
      </c>
      <c r="D1280" s="9">
        <v>11163</v>
      </c>
    </row>
    <row r="1281" spans="1:4">
      <c r="A1281" t="s">
        <v>7</v>
      </c>
      <c r="B1281" t="s">
        <v>244</v>
      </c>
      <c r="C1281" s="8">
        <v>46140</v>
      </c>
      <c r="D1281" s="9">
        <v>19591</v>
      </c>
    </row>
    <row r="1282" spans="1:4">
      <c r="A1282" t="s">
        <v>9</v>
      </c>
      <c r="B1282" t="s">
        <v>171</v>
      </c>
      <c r="C1282" s="8">
        <v>46140</v>
      </c>
      <c r="D1282" s="9">
        <v>42542</v>
      </c>
    </row>
    <row r="1283" spans="1:4">
      <c r="A1283" t="s">
        <v>5</v>
      </c>
      <c r="B1283" t="s">
        <v>114</v>
      </c>
      <c r="C1283" s="8">
        <v>46140</v>
      </c>
      <c r="D1283" s="9">
        <v>26272</v>
      </c>
    </row>
    <row r="1284" spans="1:4">
      <c r="A1284" t="s">
        <v>4</v>
      </c>
      <c r="B1284" t="s">
        <v>197</v>
      </c>
      <c r="C1284" s="8">
        <v>46141</v>
      </c>
      <c r="D1284" s="9">
        <v>26962</v>
      </c>
    </row>
    <row r="1285" spans="1:4">
      <c r="A1285" t="s">
        <v>4</v>
      </c>
      <c r="B1285" t="s">
        <v>160</v>
      </c>
      <c r="C1285" s="8">
        <v>46141</v>
      </c>
      <c r="D1285" s="9">
        <v>28272</v>
      </c>
    </row>
    <row r="1286" spans="1:4">
      <c r="A1286" t="s">
        <v>25</v>
      </c>
      <c r="B1286" t="s">
        <v>272</v>
      </c>
      <c r="C1286" s="8">
        <v>46141</v>
      </c>
      <c r="D1286" s="9">
        <v>13846</v>
      </c>
    </row>
    <row r="1287" spans="1:4">
      <c r="A1287" t="s">
        <v>25</v>
      </c>
      <c r="B1287" t="s">
        <v>267</v>
      </c>
      <c r="C1287" s="8">
        <v>46141</v>
      </c>
      <c r="D1287" s="9">
        <v>15364</v>
      </c>
    </row>
    <row r="1288" spans="1:4">
      <c r="A1288" t="s">
        <v>7</v>
      </c>
      <c r="B1288" t="s">
        <v>156</v>
      </c>
      <c r="C1288" s="8">
        <v>46141</v>
      </c>
      <c r="D1288" s="9">
        <v>15698</v>
      </c>
    </row>
    <row r="1289" spans="1:4">
      <c r="A1289" t="s">
        <v>7</v>
      </c>
      <c r="B1289" t="s">
        <v>82</v>
      </c>
      <c r="C1289" s="8">
        <v>46141</v>
      </c>
      <c r="D1289" s="9">
        <v>23699</v>
      </c>
    </row>
    <row r="1290" spans="1:4">
      <c r="A1290" t="s">
        <v>9</v>
      </c>
      <c r="B1290" t="s">
        <v>221</v>
      </c>
      <c r="C1290" s="8">
        <v>46141</v>
      </c>
      <c r="D1290" s="9">
        <v>35685</v>
      </c>
    </row>
    <row r="1291" spans="1:4">
      <c r="A1291" t="s">
        <v>9</v>
      </c>
      <c r="B1291" t="s">
        <v>187</v>
      </c>
      <c r="C1291" s="8">
        <v>46141</v>
      </c>
      <c r="D1291" s="9">
        <v>41889</v>
      </c>
    </row>
    <row r="1292" spans="1:4">
      <c r="A1292" t="s">
        <v>5</v>
      </c>
      <c r="B1292" t="s">
        <v>166</v>
      </c>
      <c r="C1292" s="8">
        <v>46141</v>
      </c>
      <c r="D1292" s="9">
        <v>40851</v>
      </c>
    </row>
    <row r="1293" spans="1:4">
      <c r="A1293" t="s">
        <v>5</v>
      </c>
      <c r="B1293" t="s">
        <v>133</v>
      </c>
      <c r="C1293" s="8">
        <v>46141</v>
      </c>
      <c r="D1293" s="9">
        <v>42424</v>
      </c>
    </row>
    <row r="1294" spans="1:4">
      <c r="A1294" t="s">
        <v>5</v>
      </c>
      <c r="B1294" t="s">
        <v>73</v>
      </c>
      <c r="C1294" s="8">
        <v>46141</v>
      </c>
      <c r="D1294" s="9">
        <v>37095</v>
      </c>
    </row>
    <row r="1295" spans="1:4">
      <c r="A1295" t="s">
        <v>5</v>
      </c>
      <c r="B1295" t="s">
        <v>115</v>
      </c>
      <c r="C1295" s="8">
        <v>46141</v>
      </c>
      <c r="D1295" s="9">
        <v>34927</v>
      </c>
    </row>
    <row r="1296" spans="1:4">
      <c r="A1296" t="s">
        <v>5</v>
      </c>
      <c r="B1296" t="s">
        <v>134</v>
      </c>
      <c r="C1296" s="8">
        <v>46141</v>
      </c>
      <c r="D1296" s="9">
        <v>32740</v>
      </c>
    </row>
    <row r="1297" spans="1:4">
      <c r="A1297" t="s">
        <v>4</v>
      </c>
      <c r="B1297" t="s">
        <v>150</v>
      </c>
      <c r="C1297" s="8">
        <v>46142</v>
      </c>
      <c r="D1297" s="9">
        <v>36074</v>
      </c>
    </row>
    <row r="1298" spans="1:4">
      <c r="A1298" t="s">
        <v>32</v>
      </c>
      <c r="B1298" t="s">
        <v>87</v>
      </c>
      <c r="C1298" s="8">
        <v>46142</v>
      </c>
      <c r="D1298" s="9">
        <v>12839</v>
      </c>
    </row>
    <row r="1299" spans="1:4">
      <c r="A1299" t="s">
        <v>7</v>
      </c>
      <c r="B1299" t="s">
        <v>170</v>
      </c>
      <c r="C1299" s="8">
        <v>46142</v>
      </c>
      <c r="D1299" s="9">
        <v>18191</v>
      </c>
    </row>
    <row r="1300" spans="1:4">
      <c r="A1300" t="s">
        <v>5</v>
      </c>
      <c r="B1300" t="s">
        <v>220</v>
      </c>
      <c r="C1300" s="8">
        <v>46142</v>
      </c>
      <c r="D1300" s="9">
        <v>30424</v>
      </c>
    </row>
    <row r="1301" spans="1:4">
      <c r="A1301" t="s">
        <v>5</v>
      </c>
      <c r="B1301" t="s">
        <v>277</v>
      </c>
      <c r="C1301" s="8">
        <v>46142</v>
      </c>
      <c r="D1301" s="9">
        <v>55385</v>
      </c>
    </row>
    <row r="1302" spans="1:4">
      <c r="A1302" t="s">
        <v>5</v>
      </c>
      <c r="B1302" t="s">
        <v>108</v>
      </c>
      <c r="C1302" s="8">
        <v>46142</v>
      </c>
      <c r="D1302" s="9">
        <v>45691</v>
      </c>
    </row>
    <row r="1303" spans="1:4">
      <c r="A1303" t="s">
        <v>7</v>
      </c>
      <c r="B1303" t="s">
        <v>233</v>
      </c>
      <c r="C1303" s="8">
        <v>46143</v>
      </c>
      <c r="D1303" s="9">
        <v>23760</v>
      </c>
    </row>
    <row r="1304" spans="1:4">
      <c r="A1304" t="s">
        <v>9</v>
      </c>
      <c r="B1304" t="s">
        <v>245</v>
      </c>
      <c r="C1304" s="8">
        <v>46143</v>
      </c>
      <c r="D1304" s="9">
        <v>28218</v>
      </c>
    </row>
    <row r="1305" spans="1:4">
      <c r="A1305" t="s">
        <v>9</v>
      </c>
      <c r="B1305" t="s">
        <v>70</v>
      </c>
      <c r="C1305" s="8">
        <v>46143</v>
      </c>
      <c r="D1305" s="9">
        <v>26372</v>
      </c>
    </row>
    <row r="1306" spans="1:4">
      <c r="A1306" t="s">
        <v>9</v>
      </c>
      <c r="B1306" t="s">
        <v>66</v>
      </c>
      <c r="C1306" s="8">
        <v>46143</v>
      </c>
      <c r="D1306" s="9">
        <v>43757</v>
      </c>
    </row>
    <row r="1307" spans="1:4">
      <c r="A1307" t="s">
        <v>5</v>
      </c>
      <c r="B1307" t="s">
        <v>123</v>
      </c>
      <c r="C1307" s="8">
        <v>46143</v>
      </c>
      <c r="D1307" s="9">
        <v>40775</v>
      </c>
    </row>
    <row r="1308" spans="1:4">
      <c r="A1308" t="s">
        <v>5</v>
      </c>
      <c r="B1308" t="s">
        <v>54</v>
      </c>
      <c r="C1308" s="8">
        <v>46143</v>
      </c>
      <c r="D1308" s="9">
        <v>38654</v>
      </c>
    </row>
    <row r="1309" spans="1:4">
      <c r="A1309" t="s">
        <v>5</v>
      </c>
      <c r="B1309" t="s">
        <v>108</v>
      </c>
      <c r="C1309" s="8">
        <v>46143</v>
      </c>
      <c r="D1309" s="9">
        <v>35185</v>
      </c>
    </row>
    <row r="1310" spans="1:4">
      <c r="A1310" t="s">
        <v>4</v>
      </c>
      <c r="B1310" t="s">
        <v>126</v>
      </c>
      <c r="C1310" s="8">
        <v>46144</v>
      </c>
      <c r="D1310" s="9">
        <v>26957</v>
      </c>
    </row>
    <row r="1311" spans="1:4">
      <c r="A1311" t="s">
        <v>4</v>
      </c>
      <c r="B1311" t="s">
        <v>85</v>
      </c>
      <c r="C1311" s="8">
        <v>46144</v>
      </c>
      <c r="D1311" s="9">
        <v>40433</v>
      </c>
    </row>
    <row r="1312" spans="1:4">
      <c r="A1312" t="s">
        <v>4</v>
      </c>
      <c r="B1312" t="s">
        <v>76</v>
      </c>
      <c r="C1312" s="8">
        <v>46144</v>
      </c>
      <c r="D1312" s="9">
        <v>33119</v>
      </c>
    </row>
    <row r="1313" spans="1:4">
      <c r="A1313" t="s">
        <v>6</v>
      </c>
      <c r="B1313" t="s">
        <v>218</v>
      </c>
      <c r="C1313" s="8">
        <v>46144</v>
      </c>
      <c r="D1313" s="9">
        <v>19511</v>
      </c>
    </row>
    <row r="1314" spans="1:4">
      <c r="A1314" t="s">
        <v>9</v>
      </c>
      <c r="B1314" t="s">
        <v>283</v>
      </c>
      <c r="C1314" s="8">
        <v>46144</v>
      </c>
      <c r="D1314" s="9">
        <v>33484</v>
      </c>
    </row>
    <row r="1315" spans="1:4">
      <c r="A1315" t="s">
        <v>9</v>
      </c>
      <c r="B1315" t="s">
        <v>113</v>
      </c>
      <c r="C1315" s="8">
        <v>46144</v>
      </c>
      <c r="D1315" s="9">
        <v>27972</v>
      </c>
    </row>
    <row r="1316" spans="1:4">
      <c r="A1316" t="s">
        <v>5</v>
      </c>
      <c r="B1316" t="s">
        <v>165</v>
      </c>
      <c r="C1316" s="8">
        <v>46144</v>
      </c>
      <c r="D1316" s="9">
        <v>27900</v>
      </c>
    </row>
    <row r="1317" spans="1:4">
      <c r="A1317" t="s">
        <v>5</v>
      </c>
      <c r="B1317" t="s">
        <v>100</v>
      </c>
      <c r="C1317" s="8">
        <v>46144</v>
      </c>
      <c r="D1317" s="9">
        <v>51386</v>
      </c>
    </row>
    <row r="1318" spans="1:4">
      <c r="A1318" t="s">
        <v>27</v>
      </c>
      <c r="B1318" t="s">
        <v>196</v>
      </c>
      <c r="C1318" s="8">
        <v>46145</v>
      </c>
      <c r="D1318" s="9">
        <v>12930</v>
      </c>
    </row>
    <row r="1319" spans="1:4">
      <c r="A1319" t="s">
        <v>4</v>
      </c>
      <c r="B1319" t="s">
        <v>136</v>
      </c>
      <c r="C1319" s="8">
        <v>46145</v>
      </c>
      <c r="D1319" s="9">
        <v>42018</v>
      </c>
    </row>
    <row r="1320" spans="1:4">
      <c r="A1320" t="s">
        <v>4</v>
      </c>
      <c r="B1320" t="s">
        <v>96</v>
      </c>
      <c r="C1320" s="8">
        <v>46145</v>
      </c>
      <c r="D1320" s="9">
        <v>58484</v>
      </c>
    </row>
    <row r="1321" spans="1:4">
      <c r="A1321" t="s">
        <v>25</v>
      </c>
      <c r="B1321" t="s">
        <v>173</v>
      </c>
      <c r="C1321" s="8">
        <v>46145</v>
      </c>
      <c r="D1321" s="9">
        <v>20319</v>
      </c>
    </row>
    <row r="1322" spans="1:4">
      <c r="A1322" t="s">
        <v>26</v>
      </c>
      <c r="B1322" t="s">
        <v>280</v>
      </c>
      <c r="C1322" s="8">
        <v>46145</v>
      </c>
      <c r="D1322" s="9">
        <v>13924</v>
      </c>
    </row>
    <row r="1323" spans="1:4">
      <c r="A1323" t="s">
        <v>8</v>
      </c>
      <c r="B1323" t="s">
        <v>147</v>
      </c>
      <c r="C1323" s="8">
        <v>46145</v>
      </c>
      <c r="D1323" s="9">
        <v>14952</v>
      </c>
    </row>
    <row r="1324" spans="1:4">
      <c r="A1324" t="s">
        <v>5</v>
      </c>
      <c r="B1324" t="s">
        <v>189</v>
      </c>
      <c r="C1324" s="8">
        <v>46145</v>
      </c>
      <c r="D1324" s="9">
        <v>45656</v>
      </c>
    </row>
    <row r="1325" spans="1:4">
      <c r="A1325" t="s">
        <v>4</v>
      </c>
      <c r="B1325" t="s">
        <v>254</v>
      </c>
      <c r="C1325" s="8">
        <v>46146</v>
      </c>
      <c r="D1325" s="9">
        <v>24481</v>
      </c>
    </row>
    <row r="1326" spans="1:4">
      <c r="A1326" t="s">
        <v>8</v>
      </c>
      <c r="B1326" t="s">
        <v>246</v>
      </c>
      <c r="C1326" s="8">
        <v>46146</v>
      </c>
      <c r="D1326" s="9">
        <v>14716</v>
      </c>
    </row>
    <row r="1327" spans="1:4">
      <c r="A1327" t="s">
        <v>29</v>
      </c>
      <c r="B1327" t="s">
        <v>121</v>
      </c>
      <c r="C1327" s="8">
        <v>46146</v>
      </c>
      <c r="D1327" s="9">
        <v>5200</v>
      </c>
    </row>
    <row r="1328" spans="1:4">
      <c r="A1328" t="s">
        <v>9</v>
      </c>
      <c r="B1328" t="s">
        <v>203</v>
      </c>
      <c r="C1328" s="8">
        <v>46146</v>
      </c>
      <c r="D1328" s="9">
        <v>37673</v>
      </c>
    </row>
    <row r="1329" spans="1:4">
      <c r="A1329" t="s">
        <v>9</v>
      </c>
      <c r="B1329" t="s">
        <v>219</v>
      </c>
      <c r="C1329" s="8">
        <v>46146</v>
      </c>
      <c r="D1329" s="9">
        <v>39499</v>
      </c>
    </row>
    <row r="1330" spans="1:4">
      <c r="A1330" t="s">
        <v>9</v>
      </c>
      <c r="B1330" t="s">
        <v>144</v>
      </c>
      <c r="C1330" s="8">
        <v>46146</v>
      </c>
      <c r="D1330" s="9">
        <v>27333</v>
      </c>
    </row>
    <row r="1331" spans="1:4">
      <c r="A1331" t="s">
        <v>5</v>
      </c>
      <c r="B1331" t="s">
        <v>97</v>
      </c>
      <c r="C1331" s="8">
        <v>46146</v>
      </c>
      <c r="D1331" s="9">
        <v>47152</v>
      </c>
    </row>
    <row r="1332" spans="1:4">
      <c r="A1332" t="s">
        <v>5</v>
      </c>
      <c r="B1332" t="s">
        <v>210</v>
      </c>
      <c r="C1332" s="8">
        <v>46146</v>
      </c>
      <c r="D1332" s="9">
        <v>39966</v>
      </c>
    </row>
    <row r="1333" spans="1:4">
      <c r="A1333" t="s">
        <v>5</v>
      </c>
      <c r="B1333" t="s">
        <v>108</v>
      </c>
      <c r="C1333" s="8">
        <v>46146</v>
      </c>
      <c r="D1333" s="9">
        <v>32015</v>
      </c>
    </row>
    <row r="1334" spans="1:4">
      <c r="A1334" t="s">
        <v>5</v>
      </c>
      <c r="B1334" t="s">
        <v>204</v>
      </c>
      <c r="C1334" s="8">
        <v>46146</v>
      </c>
      <c r="D1334" s="9">
        <v>39707</v>
      </c>
    </row>
    <row r="1335" spans="1:4">
      <c r="A1335" t="s">
        <v>4</v>
      </c>
      <c r="B1335" t="s">
        <v>198</v>
      </c>
      <c r="C1335" s="8">
        <v>46147</v>
      </c>
      <c r="D1335" s="9">
        <v>29824</v>
      </c>
    </row>
    <row r="1336" spans="1:4">
      <c r="A1336" t="s">
        <v>8</v>
      </c>
      <c r="B1336" t="s">
        <v>207</v>
      </c>
      <c r="C1336" s="8">
        <v>46147</v>
      </c>
      <c r="D1336" s="9">
        <v>8371</v>
      </c>
    </row>
    <row r="1337" spans="1:4">
      <c r="A1337" t="s">
        <v>8</v>
      </c>
      <c r="B1337" t="s">
        <v>281</v>
      </c>
      <c r="C1337" s="8">
        <v>46147</v>
      </c>
      <c r="D1337" s="9">
        <v>7641</v>
      </c>
    </row>
    <row r="1338" spans="1:4">
      <c r="A1338" t="s">
        <v>7</v>
      </c>
      <c r="B1338" t="s">
        <v>105</v>
      </c>
      <c r="C1338" s="8">
        <v>46147</v>
      </c>
      <c r="D1338" s="9">
        <v>26891</v>
      </c>
    </row>
    <row r="1339" spans="1:4">
      <c r="A1339" t="s">
        <v>9</v>
      </c>
      <c r="B1339" t="s">
        <v>203</v>
      </c>
      <c r="C1339" s="8">
        <v>46147</v>
      </c>
      <c r="D1339" s="9">
        <v>24678</v>
      </c>
    </row>
    <row r="1340" spans="1:4">
      <c r="A1340" t="s">
        <v>9</v>
      </c>
      <c r="B1340" t="s">
        <v>176</v>
      </c>
      <c r="C1340" s="8">
        <v>46147</v>
      </c>
      <c r="D1340" s="9">
        <v>41302</v>
      </c>
    </row>
    <row r="1341" spans="1:4">
      <c r="A1341" t="s">
        <v>9</v>
      </c>
      <c r="B1341" t="s">
        <v>250</v>
      </c>
      <c r="C1341" s="8">
        <v>46147</v>
      </c>
      <c r="D1341" s="9">
        <v>42970</v>
      </c>
    </row>
    <row r="1342" spans="1:4">
      <c r="A1342" t="s">
        <v>9</v>
      </c>
      <c r="B1342" t="s">
        <v>220</v>
      </c>
      <c r="C1342" s="8">
        <v>46147</v>
      </c>
      <c r="D1342" s="9">
        <v>22646</v>
      </c>
    </row>
    <row r="1343" spans="1:4">
      <c r="A1343" t="s">
        <v>5</v>
      </c>
      <c r="B1343" t="s">
        <v>106</v>
      </c>
      <c r="C1343" s="8">
        <v>46147</v>
      </c>
      <c r="D1343" s="9">
        <v>32441</v>
      </c>
    </row>
    <row r="1344" spans="1:4">
      <c r="A1344" t="s">
        <v>5</v>
      </c>
      <c r="B1344" t="s">
        <v>54</v>
      </c>
      <c r="C1344" s="8">
        <v>46147</v>
      </c>
      <c r="D1344" s="9">
        <v>45330</v>
      </c>
    </row>
    <row r="1345" spans="1:4">
      <c r="A1345" t="s">
        <v>5</v>
      </c>
      <c r="B1345" t="s">
        <v>93</v>
      </c>
      <c r="C1345" s="8">
        <v>46147</v>
      </c>
      <c r="D1345" s="9">
        <v>40989</v>
      </c>
    </row>
    <row r="1346" spans="1:4">
      <c r="A1346" t="s">
        <v>25</v>
      </c>
      <c r="B1346" t="s">
        <v>200</v>
      </c>
      <c r="C1346" s="8">
        <v>46148</v>
      </c>
      <c r="D1346" s="9">
        <v>13874</v>
      </c>
    </row>
    <row r="1347" spans="1:4">
      <c r="A1347" t="s">
        <v>8</v>
      </c>
      <c r="B1347" t="s">
        <v>140</v>
      </c>
      <c r="C1347" s="8">
        <v>46148</v>
      </c>
      <c r="D1347" s="9">
        <v>14788</v>
      </c>
    </row>
    <row r="1348" spans="1:4">
      <c r="A1348" t="s">
        <v>34</v>
      </c>
      <c r="B1348" t="s">
        <v>268</v>
      </c>
      <c r="C1348" s="8">
        <v>46148</v>
      </c>
      <c r="D1348" s="9">
        <v>5200</v>
      </c>
    </row>
    <row r="1349" spans="1:4">
      <c r="A1349" t="s">
        <v>6</v>
      </c>
      <c r="B1349" t="s">
        <v>120</v>
      </c>
      <c r="C1349" s="8">
        <v>46148</v>
      </c>
      <c r="D1349" s="9">
        <v>19303</v>
      </c>
    </row>
    <row r="1350" spans="1:4">
      <c r="A1350" t="s">
        <v>7</v>
      </c>
      <c r="B1350" t="s">
        <v>201</v>
      </c>
      <c r="C1350" s="8">
        <v>46148</v>
      </c>
      <c r="D1350" s="9">
        <v>19500</v>
      </c>
    </row>
    <row r="1351" spans="1:4">
      <c r="A1351" t="s">
        <v>9</v>
      </c>
      <c r="B1351" t="s">
        <v>276</v>
      </c>
      <c r="C1351" s="8">
        <v>46148</v>
      </c>
      <c r="D1351" s="9">
        <v>39332</v>
      </c>
    </row>
    <row r="1352" spans="1:4">
      <c r="A1352" t="s">
        <v>5</v>
      </c>
      <c r="B1352" t="s">
        <v>114</v>
      </c>
      <c r="C1352" s="8">
        <v>46148</v>
      </c>
      <c r="D1352" s="9">
        <v>33611</v>
      </c>
    </row>
    <row r="1353" spans="1:4">
      <c r="A1353" t="s">
        <v>5</v>
      </c>
      <c r="B1353" t="s">
        <v>97</v>
      </c>
      <c r="C1353" s="8">
        <v>46148</v>
      </c>
      <c r="D1353" s="9">
        <v>39351</v>
      </c>
    </row>
    <row r="1354" spans="1:4">
      <c r="A1354" t="s">
        <v>5</v>
      </c>
      <c r="B1354" t="s">
        <v>73</v>
      </c>
      <c r="C1354" s="8">
        <v>46148</v>
      </c>
      <c r="D1354" s="9">
        <v>33052</v>
      </c>
    </row>
    <row r="1355" spans="1:4">
      <c r="A1355" t="s">
        <v>5</v>
      </c>
      <c r="B1355" t="s">
        <v>211</v>
      </c>
      <c r="C1355" s="8">
        <v>46148</v>
      </c>
      <c r="D1355" s="9">
        <v>17215</v>
      </c>
    </row>
    <row r="1356" spans="1:4">
      <c r="A1356" t="s">
        <v>5</v>
      </c>
      <c r="B1356" t="s">
        <v>93</v>
      </c>
      <c r="C1356" s="8">
        <v>46148</v>
      </c>
      <c r="D1356" s="9">
        <v>49667</v>
      </c>
    </row>
    <row r="1357" spans="1:4">
      <c r="A1357" t="s">
        <v>27</v>
      </c>
      <c r="B1357" t="s">
        <v>149</v>
      </c>
      <c r="C1357" s="8">
        <v>46149</v>
      </c>
      <c r="D1357" s="9">
        <v>12604</v>
      </c>
    </row>
    <row r="1358" spans="1:4">
      <c r="A1358" t="s">
        <v>7</v>
      </c>
      <c r="B1358" t="s">
        <v>238</v>
      </c>
      <c r="C1358" s="8">
        <v>46149</v>
      </c>
      <c r="D1358" s="9">
        <v>17675</v>
      </c>
    </row>
    <row r="1359" spans="1:4">
      <c r="A1359" t="s">
        <v>9</v>
      </c>
      <c r="B1359" t="s">
        <v>82</v>
      </c>
      <c r="C1359" s="8">
        <v>46149</v>
      </c>
      <c r="D1359" s="9">
        <v>18382</v>
      </c>
    </row>
    <row r="1360" spans="1:4">
      <c r="A1360" t="s">
        <v>9</v>
      </c>
      <c r="B1360" t="s">
        <v>71</v>
      </c>
      <c r="C1360" s="8">
        <v>46149</v>
      </c>
      <c r="D1360" s="9">
        <v>48456</v>
      </c>
    </row>
    <row r="1361" spans="1:4">
      <c r="A1361" t="s">
        <v>5</v>
      </c>
      <c r="B1361" t="s">
        <v>166</v>
      </c>
      <c r="C1361" s="8">
        <v>46149</v>
      </c>
      <c r="D1361" s="9">
        <v>41172</v>
      </c>
    </row>
    <row r="1362" spans="1:4">
      <c r="A1362" t="s">
        <v>5</v>
      </c>
      <c r="B1362" t="s">
        <v>49</v>
      </c>
      <c r="C1362" s="8">
        <v>46149</v>
      </c>
      <c r="D1362" s="9">
        <v>29496</v>
      </c>
    </row>
    <row r="1363" spans="1:4">
      <c r="A1363" t="s">
        <v>5</v>
      </c>
      <c r="B1363" t="s">
        <v>53</v>
      </c>
      <c r="C1363" s="8">
        <v>46149</v>
      </c>
      <c r="D1363" s="9">
        <v>40192</v>
      </c>
    </row>
    <row r="1364" spans="1:4">
      <c r="A1364" t="s">
        <v>5</v>
      </c>
      <c r="B1364" t="s">
        <v>189</v>
      </c>
      <c r="C1364" s="8">
        <v>46149</v>
      </c>
      <c r="D1364" s="9">
        <v>45506</v>
      </c>
    </row>
    <row r="1365" spans="1:4">
      <c r="A1365" t="s">
        <v>4</v>
      </c>
      <c r="B1365" t="s">
        <v>241</v>
      </c>
      <c r="C1365" s="8">
        <v>46150</v>
      </c>
      <c r="D1365" s="9">
        <v>19567</v>
      </c>
    </row>
    <row r="1366" spans="1:4">
      <c r="A1366" t="s">
        <v>8</v>
      </c>
      <c r="B1366" t="s">
        <v>258</v>
      </c>
      <c r="C1366" s="8">
        <v>46150</v>
      </c>
      <c r="D1366" s="9">
        <v>5200</v>
      </c>
    </row>
    <row r="1367" spans="1:4">
      <c r="A1367" t="s">
        <v>33</v>
      </c>
      <c r="B1367" t="s">
        <v>248</v>
      </c>
      <c r="C1367" s="8">
        <v>46150</v>
      </c>
      <c r="D1367" s="9">
        <v>11634</v>
      </c>
    </row>
    <row r="1368" spans="1:4">
      <c r="A1368" t="s">
        <v>7</v>
      </c>
      <c r="B1368" t="s">
        <v>170</v>
      </c>
      <c r="C1368" s="8">
        <v>46150</v>
      </c>
      <c r="D1368" s="9">
        <v>18299</v>
      </c>
    </row>
    <row r="1369" spans="1:4">
      <c r="A1369" t="s">
        <v>9</v>
      </c>
      <c r="B1369" t="s">
        <v>137</v>
      </c>
      <c r="C1369" s="8">
        <v>46150</v>
      </c>
      <c r="D1369" s="9">
        <v>15826</v>
      </c>
    </row>
    <row r="1370" spans="1:4">
      <c r="A1370" t="s">
        <v>9</v>
      </c>
      <c r="B1370" t="s">
        <v>83</v>
      </c>
      <c r="C1370" s="8">
        <v>46150</v>
      </c>
      <c r="D1370" s="9">
        <v>16925</v>
      </c>
    </row>
    <row r="1371" spans="1:4">
      <c r="A1371" t="s">
        <v>5</v>
      </c>
      <c r="B1371" t="s">
        <v>106</v>
      </c>
      <c r="C1371" s="8">
        <v>46150</v>
      </c>
      <c r="D1371" s="9">
        <v>31259</v>
      </c>
    </row>
    <row r="1372" spans="1:4">
      <c r="A1372" t="s">
        <v>5</v>
      </c>
      <c r="B1372" t="s">
        <v>209</v>
      </c>
      <c r="C1372" s="8">
        <v>46150</v>
      </c>
      <c r="D1372" s="9">
        <v>39770</v>
      </c>
    </row>
    <row r="1373" spans="1:4">
      <c r="A1373" t="s">
        <v>5</v>
      </c>
      <c r="B1373" t="s">
        <v>84</v>
      </c>
      <c r="C1373" s="8">
        <v>46150</v>
      </c>
      <c r="D1373" s="9">
        <v>41929</v>
      </c>
    </row>
    <row r="1374" spans="1:4">
      <c r="A1374" t="s">
        <v>5</v>
      </c>
      <c r="B1374" t="s">
        <v>115</v>
      </c>
      <c r="C1374" s="8">
        <v>46150</v>
      </c>
      <c r="D1374" s="9">
        <v>31173</v>
      </c>
    </row>
    <row r="1375" spans="1:4">
      <c r="A1375" t="s">
        <v>5</v>
      </c>
      <c r="B1375" t="s">
        <v>109</v>
      </c>
      <c r="C1375" s="8">
        <v>46150</v>
      </c>
      <c r="D1375" s="9">
        <v>55366</v>
      </c>
    </row>
    <row r="1376" spans="1:4">
      <c r="A1376" t="s">
        <v>4</v>
      </c>
      <c r="B1376" t="s">
        <v>190</v>
      </c>
      <c r="C1376" s="8">
        <v>46151</v>
      </c>
      <c r="D1376" s="9">
        <v>7541</v>
      </c>
    </row>
    <row r="1377" spans="1:4">
      <c r="A1377" t="s">
        <v>4</v>
      </c>
      <c r="B1377" t="s">
        <v>146</v>
      </c>
      <c r="C1377" s="8">
        <v>46151</v>
      </c>
      <c r="D1377" s="9">
        <v>23774</v>
      </c>
    </row>
    <row r="1378" spans="1:4">
      <c r="A1378" t="s">
        <v>28</v>
      </c>
      <c r="B1378" t="s">
        <v>62</v>
      </c>
      <c r="C1378" s="8">
        <v>46151</v>
      </c>
      <c r="D1378" s="9">
        <v>13841</v>
      </c>
    </row>
    <row r="1379" spans="1:4">
      <c r="A1379" t="s">
        <v>26</v>
      </c>
      <c r="B1379" t="s">
        <v>78</v>
      </c>
      <c r="C1379" s="8">
        <v>46151</v>
      </c>
      <c r="D1379" s="9">
        <v>12106</v>
      </c>
    </row>
    <row r="1380" spans="1:4">
      <c r="A1380" t="s">
        <v>26</v>
      </c>
      <c r="B1380" t="s">
        <v>205</v>
      </c>
      <c r="C1380" s="8">
        <v>46151</v>
      </c>
      <c r="D1380" s="9">
        <v>11927</v>
      </c>
    </row>
    <row r="1381" spans="1:4">
      <c r="A1381" t="s">
        <v>6</v>
      </c>
      <c r="B1381" t="s">
        <v>80</v>
      </c>
      <c r="C1381" s="8">
        <v>46151</v>
      </c>
      <c r="D1381" s="9">
        <v>35262</v>
      </c>
    </row>
    <row r="1382" spans="1:4">
      <c r="A1382" t="s">
        <v>29</v>
      </c>
      <c r="B1382" t="s">
        <v>51</v>
      </c>
      <c r="C1382" s="8">
        <v>46151</v>
      </c>
      <c r="D1382" s="9">
        <v>9752</v>
      </c>
    </row>
    <row r="1383" spans="1:4">
      <c r="A1383" t="s">
        <v>7</v>
      </c>
      <c r="B1383" t="s">
        <v>226</v>
      </c>
      <c r="C1383" s="8">
        <v>46151</v>
      </c>
      <c r="D1383" s="9">
        <v>21149</v>
      </c>
    </row>
    <row r="1384" spans="1:4">
      <c r="A1384" t="s">
        <v>9</v>
      </c>
      <c r="B1384" t="s">
        <v>143</v>
      </c>
      <c r="C1384" s="8">
        <v>46151</v>
      </c>
      <c r="D1384" s="9">
        <v>36253</v>
      </c>
    </row>
    <row r="1385" spans="1:4">
      <c r="A1385" t="s">
        <v>9</v>
      </c>
      <c r="B1385" t="s">
        <v>195</v>
      </c>
      <c r="C1385" s="8">
        <v>46151</v>
      </c>
      <c r="D1385" s="9">
        <v>50126</v>
      </c>
    </row>
    <row r="1386" spans="1:4">
      <c r="A1386" t="s">
        <v>5</v>
      </c>
      <c r="B1386" t="s">
        <v>239</v>
      </c>
      <c r="C1386" s="8">
        <v>46151</v>
      </c>
      <c r="D1386" s="9">
        <v>32501</v>
      </c>
    </row>
    <row r="1387" spans="1:4">
      <c r="A1387" t="s">
        <v>5</v>
      </c>
      <c r="B1387" t="s">
        <v>92</v>
      </c>
      <c r="C1387" s="8">
        <v>46151</v>
      </c>
      <c r="D1387" s="9">
        <v>40436</v>
      </c>
    </row>
    <row r="1388" spans="1:4">
      <c r="A1388" t="s">
        <v>5</v>
      </c>
      <c r="B1388" t="s">
        <v>74</v>
      </c>
      <c r="C1388" s="8">
        <v>46151</v>
      </c>
      <c r="D1388" s="9">
        <v>36706</v>
      </c>
    </row>
    <row r="1389" spans="1:4">
      <c r="A1389" t="s">
        <v>5</v>
      </c>
      <c r="B1389" t="s">
        <v>58</v>
      </c>
      <c r="C1389" s="8">
        <v>46151</v>
      </c>
      <c r="D1389" s="9">
        <v>36750</v>
      </c>
    </row>
    <row r="1390" spans="1:4">
      <c r="A1390" t="s">
        <v>27</v>
      </c>
      <c r="B1390" t="s">
        <v>184</v>
      </c>
      <c r="C1390" s="8">
        <v>46152</v>
      </c>
      <c r="D1390" s="9">
        <v>5200</v>
      </c>
    </row>
    <row r="1391" spans="1:4">
      <c r="A1391" t="s">
        <v>27</v>
      </c>
      <c r="B1391" t="s">
        <v>135</v>
      </c>
      <c r="C1391" s="8">
        <v>46152</v>
      </c>
      <c r="D1391" s="9">
        <v>14218</v>
      </c>
    </row>
    <row r="1392" spans="1:4">
      <c r="A1392" t="s">
        <v>4</v>
      </c>
      <c r="B1392" t="s">
        <v>93</v>
      </c>
      <c r="C1392" s="8">
        <v>46152</v>
      </c>
      <c r="D1392" s="9">
        <v>57355</v>
      </c>
    </row>
    <row r="1393" spans="1:4">
      <c r="A1393" t="s">
        <v>28</v>
      </c>
      <c r="B1393" t="s">
        <v>279</v>
      </c>
      <c r="C1393" s="8">
        <v>46152</v>
      </c>
      <c r="D1393" s="9">
        <v>8044</v>
      </c>
    </row>
    <row r="1394" spans="1:4">
      <c r="A1394" t="s">
        <v>8</v>
      </c>
      <c r="B1394" t="s">
        <v>79</v>
      </c>
      <c r="C1394" s="8">
        <v>46152</v>
      </c>
      <c r="D1394" s="9">
        <v>20767</v>
      </c>
    </row>
    <row r="1395" spans="1:4">
      <c r="A1395" t="s">
        <v>8</v>
      </c>
      <c r="B1395" t="s">
        <v>237</v>
      </c>
      <c r="C1395" s="8">
        <v>46152</v>
      </c>
      <c r="D1395" s="9">
        <v>5200</v>
      </c>
    </row>
    <row r="1396" spans="1:4">
      <c r="A1396" t="s">
        <v>6</v>
      </c>
      <c r="B1396" t="s">
        <v>262</v>
      </c>
      <c r="C1396" s="8">
        <v>46152</v>
      </c>
      <c r="D1396" s="9">
        <v>15593</v>
      </c>
    </row>
    <row r="1397" spans="1:4">
      <c r="A1397" t="s">
        <v>5</v>
      </c>
      <c r="B1397" t="s">
        <v>283</v>
      </c>
      <c r="C1397" s="8">
        <v>46152</v>
      </c>
      <c r="D1397" s="9">
        <v>24661</v>
      </c>
    </row>
    <row r="1398" spans="1:4">
      <c r="A1398" t="s">
        <v>5</v>
      </c>
      <c r="B1398" t="s">
        <v>251</v>
      </c>
      <c r="C1398" s="8">
        <v>46152</v>
      </c>
      <c r="D1398" s="9">
        <v>42979</v>
      </c>
    </row>
    <row r="1399" spans="1:4">
      <c r="A1399" t="s">
        <v>5</v>
      </c>
      <c r="B1399" t="s">
        <v>100</v>
      </c>
      <c r="C1399" s="8">
        <v>46152</v>
      </c>
      <c r="D1399" s="9">
        <v>54827</v>
      </c>
    </row>
    <row r="1400" spans="1:4">
      <c r="A1400" t="s">
        <v>4</v>
      </c>
      <c r="B1400" t="s">
        <v>180</v>
      </c>
      <c r="C1400" s="8">
        <v>46153</v>
      </c>
      <c r="D1400" s="9">
        <v>31805</v>
      </c>
    </row>
    <row r="1401" spans="1:4">
      <c r="A1401" t="s">
        <v>4</v>
      </c>
      <c r="B1401" t="s">
        <v>234</v>
      </c>
      <c r="C1401" s="8">
        <v>46153</v>
      </c>
      <c r="D1401" s="9">
        <v>19604</v>
      </c>
    </row>
    <row r="1402" spans="1:4">
      <c r="A1402" t="s">
        <v>4</v>
      </c>
      <c r="B1402" t="s">
        <v>266</v>
      </c>
      <c r="C1402" s="8">
        <v>46153</v>
      </c>
      <c r="D1402" s="9">
        <v>30806</v>
      </c>
    </row>
    <row r="1403" spans="1:4">
      <c r="A1403" t="s">
        <v>4</v>
      </c>
      <c r="B1403" t="s">
        <v>223</v>
      </c>
      <c r="C1403" s="8">
        <v>46153</v>
      </c>
      <c r="D1403" s="9">
        <v>38477</v>
      </c>
    </row>
    <row r="1404" spans="1:4">
      <c r="A1404" t="s">
        <v>25</v>
      </c>
      <c r="B1404" t="s">
        <v>215</v>
      </c>
      <c r="C1404" s="8">
        <v>46153</v>
      </c>
      <c r="D1404" s="9">
        <v>27439</v>
      </c>
    </row>
    <row r="1405" spans="1:4">
      <c r="A1405" t="s">
        <v>30</v>
      </c>
      <c r="B1405" t="s">
        <v>206</v>
      </c>
      <c r="C1405" s="8">
        <v>46153</v>
      </c>
      <c r="D1405" s="9">
        <v>15745</v>
      </c>
    </row>
    <row r="1406" spans="1:4">
      <c r="A1406" t="s">
        <v>8</v>
      </c>
      <c r="B1406" t="s">
        <v>103</v>
      </c>
      <c r="C1406" s="8">
        <v>46153</v>
      </c>
      <c r="D1406" s="9">
        <v>28910</v>
      </c>
    </row>
    <row r="1407" spans="1:4">
      <c r="A1407" t="s">
        <v>7</v>
      </c>
      <c r="B1407" t="s">
        <v>156</v>
      </c>
      <c r="C1407" s="8">
        <v>46153</v>
      </c>
      <c r="D1407" s="9">
        <v>6152</v>
      </c>
    </row>
    <row r="1408" spans="1:4">
      <c r="A1408" t="s">
        <v>9</v>
      </c>
      <c r="B1408" t="s">
        <v>269</v>
      </c>
      <c r="C1408" s="8">
        <v>46153</v>
      </c>
      <c r="D1408" s="9">
        <v>39789</v>
      </c>
    </row>
    <row r="1409" spans="1:4">
      <c r="A1409" t="s">
        <v>28</v>
      </c>
      <c r="B1409" t="s">
        <v>255</v>
      </c>
      <c r="C1409" s="8">
        <v>46154</v>
      </c>
      <c r="D1409" s="9">
        <v>5200</v>
      </c>
    </row>
    <row r="1410" spans="1:4">
      <c r="A1410" t="s">
        <v>6</v>
      </c>
      <c r="B1410" t="s">
        <v>56</v>
      </c>
      <c r="C1410" s="8">
        <v>46154</v>
      </c>
      <c r="D1410" s="9">
        <v>5854</v>
      </c>
    </row>
    <row r="1411" spans="1:4">
      <c r="A1411" t="s">
        <v>29</v>
      </c>
      <c r="B1411" t="s">
        <v>191</v>
      </c>
      <c r="C1411" s="8">
        <v>46154</v>
      </c>
      <c r="D1411" s="9">
        <v>12396</v>
      </c>
    </row>
    <row r="1412" spans="1:4">
      <c r="A1412" t="s">
        <v>7</v>
      </c>
      <c r="B1412" t="s">
        <v>193</v>
      </c>
      <c r="C1412" s="8">
        <v>46154</v>
      </c>
      <c r="D1412" s="9">
        <v>23636</v>
      </c>
    </row>
    <row r="1413" spans="1:4">
      <c r="A1413" t="s">
        <v>37</v>
      </c>
      <c r="B1413" t="s">
        <v>81</v>
      </c>
      <c r="C1413" s="8">
        <v>46154</v>
      </c>
      <c r="D1413" s="9">
        <v>11804</v>
      </c>
    </row>
    <row r="1414" spans="1:4">
      <c r="A1414" t="s">
        <v>5</v>
      </c>
      <c r="B1414" t="s">
        <v>114</v>
      </c>
      <c r="C1414" s="8">
        <v>46154</v>
      </c>
      <c r="D1414" s="9">
        <v>34981</v>
      </c>
    </row>
    <row r="1415" spans="1:4">
      <c r="A1415" t="s">
        <v>5</v>
      </c>
      <c r="B1415" t="s">
        <v>99</v>
      </c>
      <c r="C1415" s="8">
        <v>46154</v>
      </c>
      <c r="D1415" s="9">
        <v>44440</v>
      </c>
    </row>
    <row r="1416" spans="1:4">
      <c r="A1416" t="s">
        <v>5</v>
      </c>
      <c r="B1416" t="s">
        <v>204</v>
      </c>
      <c r="C1416" s="8">
        <v>46154</v>
      </c>
      <c r="D1416" s="9">
        <v>35025</v>
      </c>
    </row>
    <row r="1417" spans="1:4">
      <c r="A1417" t="s">
        <v>35</v>
      </c>
      <c r="B1417" t="s">
        <v>271</v>
      </c>
      <c r="C1417" s="8">
        <v>46155</v>
      </c>
      <c r="D1417" s="9">
        <v>9922</v>
      </c>
    </row>
    <row r="1418" spans="1:4">
      <c r="A1418" t="s">
        <v>4</v>
      </c>
      <c r="B1418" t="s">
        <v>150</v>
      </c>
      <c r="C1418" s="8">
        <v>46155</v>
      </c>
      <c r="D1418" s="9">
        <v>35988</v>
      </c>
    </row>
    <row r="1419" spans="1:4">
      <c r="A1419" t="s">
        <v>7</v>
      </c>
      <c r="B1419" t="s">
        <v>244</v>
      </c>
      <c r="C1419" s="8">
        <v>46155</v>
      </c>
      <c r="D1419" s="9">
        <v>13043</v>
      </c>
    </row>
    <row r="1420" spans="1:4">
      <c r="A1420" t="s">
        <v>7</v>
      </c>
      <c r="B1420" t="s">
        <v>90</v>
      </c>
      <c r="C1420" s="8">
        <v>46155</v>
      </c>
      <c r="D1420" s="9">
        <v>27470</v>
      </c>
    </row>
    <row r="1421" spans="1:4">
      <c r="A1421" t="s">
        <v>9</v>
      </c>
      <c r="B1421" t="s">
        <v>210</v>
      </c>
      <c r="C1421" s="8">
        <v>46155</v>
      </c>
      <c r="D1421" s="9">
        <v>35690</v>
      </c>
    </row>
    <row r="1422" spans="1:4">
      <c r="A1422" t="s">
        <v>5</v>
      </c>
      <c r="B1422" t="s">
        <v>84</v>
      </c>
      <c r="C1422" s="8">
        <v>46155</v>
      </c>
      <c r="D1422" s="9">
        <v>47196</v>
      </c>
    </row>
    <row r="1423" spans="1:4">
      <c r="A1423" t="s">
        <v>5</v>
      </c>
      <c r="B1423" t="s">
        <v>84</v>
      </c>
      <c r="C1423" s="8">
        <v>46155</v>
      </c>
      <c r="D1423" s="9">
        <v>48986</v>
      </c>
    </row>
    <row r="1424" spans="1:4">
      <c r="A1424" t="s">
        <v>5</v>
      </c>
      <c r="B1424" t="s">
        <v>123</v>
      </c>
      <c r="C1424" s="8">
        <v>46155</v>
      </c>
      <c r="D1424" s="9">
        <v>33825</v>
      </c>
    </row>
    <row r="1425" spans="1:4">
      <c r="A1425" t="s">
        <v>5</v>
      </c>
      <c r="B1425" t="s">
        <v>183</v>
      </c>
      <c r="C1425" s="8">
        <v>46155</v>
      </c>
      <c r="D1425" s="9">
        <v>46367</v>
      </c>
    </row>
    <row r="1426" spans="1:4">
      <c r="A1426" t="s">
        <v>5</v>
      </c>
      <c r="B1426" t="s">
        <v>145</v>
      </c>
      <c r="C1426" s="8">
        <v>46155</v>
      </c>
      <c r="D1426" s="9">
        <v>48249</v>
      </c>
    </row>
    <row r="1427" spans="1:4">
      <c r="A1427" t="s">
        <v>5</v>
      </c>
      <c r="B1427" t="s">
        <v>270</v>
      </c>
      <c r="C1427" s="8">
        <v>46155</v>
      </c>
      <c r="D1427" s="9">
        <v>53546</v>
      </c>
    </row>
    <row r="1428" spans="1:4">
      <c r="A1428" t="s">
        <v>5</v>
      </c>
      <c r="B1428" t="s">
        <v>277</v>
      </c>
      <c r="C1428" s="8">
        <v>46155</v>
      </c>
      <c r="D1428" s="9">
        <v>34420</v>
      </c>
    </row>
    <row r="1429" spans="1:4">
      <c r="A1429" t="s">
        <v>5</v>
      </c>
      <c r="B1429" t="s">
        <v>204</v>
      </c>
      <c r="C1429" s="8">
        <v>46155</v>
      </c>
      <c r="D1429" s="9">
        <v>50019</v>
      </c>
    </row>
    <row r="1430" spans="1:4">
      <c r="A1430" t="s">
        <v>8</v>
      </c>
      <c r="B1430" t="s">
        <v>64</v>
      </c>
      <c r="C1430" s="8">
        <v>46156</v>
      </c>
      <c r="D1430" s="9">
        <v>13658</v>
      </c>
    </row>
    <row r="1431" spans="1:4">
      <c r="A1431" t="s">
        <v>6</v>
      </c>
      <c r="B1431" t="s">
        <v>88</v>
      </c>
      <c r="C1431" s="8">
        <v>46156</v>
      </c>
      <c r="D1431" s="9">
        <v>17157</v>
      </c>
    </row>
    <row r="1432" spans="1:4">
      <c r="A1432" t="s">
        <v>6</v>
      </c>
      <c r="B1432" t="s">
        <v>217</v>
      </c>
      <c r="C1432" s="8">
        <v>46156</v>
      </c>
      <c r="D1432" s="9">
        <v>16136</v>
      </c>
    </row>
    <row r="1433" spans="1:4">
      <c r="A1433" t="s">
        <v>6</v>
      </c>
      <c r="B1433" t="s">
        <v>208</v>
      </c>
      <c r="C1433" s="8">
        <v>46156</v>
      </c>
      <c r="D1433" s="9">
        <v>18148</v>
      </c>
    </row>
    <row r="1434" spans="1:4">
      <c r="A1434" t="s">
        <v>5</v>
      </c>
      <c r="B1434" t="s">
        <v>106</v>
      </c>
      <c r="C1434" s="8">
        <v>46156</v>
      </c>
      <c r="D1434" s="9">
        <v>32203</v>
      </c>
    </row>
    <row r="1435" spans="1:4">
      <c r="A1435" t="s">
        <v>5</v>
      </c>
      <c r="B1435" t="s">
        <v>133</v>
      </c>
      <c r="C1435" s="8">
        <v>46156</v>
      </c>
      <c r="D1435" s="9">
        <v>44521</v>
      </c>
    </row>
    <row r="1436" spans="1:4">
      <c r="A1436" t="s">
        <v>5</v>
      </c>
      <c r="B1436" t="s">
        <v>74</v>
      </c>
      <c r="C1436" s="8">
        <v>46156</v>
      </c>
      <c r="D1436" s="9">
        <v>35516</v>
      </c>
    </row>
    <row r="1437" spans="1:4">
      <c r="A1437" t="s">
        <v>27</v>
      </c>
      <c r="B1437" t="s">
        <v>213</v>
      </c>
      <c r="C1437" s="8">
        <v>46157</v>
      </c>
      <c r="D1437" s="9">
        <v>13237</v>
      </c>
    </row>
    <row r="1438" spans="1:4">
      <c r="A1438" t="s">
        <v>4</v>
      </c>
      <c r="B1438" t="s">
        <v>185</v>
      </c>
      <c r="C1438" s="8">
        <v>46157</v>
      </c>
      <c r="D1438" s="9">
        <v>35818</v>
      </c>
    </row>
    <row r="1439" spans="1:4">
      <c r="A1439" t="s">
        <v>26</v>
      </c>
      <c r="B1439" t="s">
        <v>95</v>
      </c>
      <c r="C1439" s="8">
        <v>46157</v>
      </c>
      <c r="D1439" s="9">
        <v>22220</v>
      </c>
    </row>
    <row r="1440" spans="1:4">
      <c r="A1440" t="s">
        <v>9</v>
      </c>
      <c r="B1440" t="s">
        <v>164</v>
      </c>
      <c r="C1440" s="8">
        <v>46157</v>
      </c>
      <c r="D1440" s="9">
        <v>31814</v>
      </c>
    </row>
    <row r="1441" spans="1:4">
      <c r="A1441" t="s">
        <v>5</v>
      </c>
      <c r="B1441" t="s">
        <v>92</v>
      </c>
      <c r="C1441" s="8">
        <v>46157</v>
      </c>
      <c r="D1441" s="9">
        <v>44066</v>
      </c>
    </row>
    <row r="1442" spans="1:4">
      <c r="A1442" t="s">
        <v>5</v>
      </c>
      <c r="B1442" t="s">
        <v>73</v>
      </c>
      <c r="C1442" s="8">
        <v>46157</v>
      </c>
      <c r="D1442" s="9">
        <v>39972</v>
      </c>
    </row>
    <row r="1443" spans="1:4">
      <c r="A1443" t="s">
        <v>5</v>
      </c>
      <c r="B1443" t="s">
        <v>54</v>
      </c>
      <c r="C1443" s="8">
        <v>46157</v>
      </c>
      <c r="D1443" s="9">
        <v>56214</v>
      </c>
    </row>
    <row r="1444" spans="1:4">
      <c r="A1444" t="s">
        <v>5</v>
      </c>
      <c r="B1444" t="s">
        <v>109</v>
      </c>
      <c r="C1444" s="8">
        <v>46157</v>
      </c>
      <c r="D1444" s="9">
        <v>40995</v>
      </c>
    </row>
    <row r="1445" spans="1:4">
      <c r="A1445" t="s">
        <v>25</v>
      </c>
      <c r="B1445" t="s">
        <v>153</v>
      </c>
      <c r="C1445" s="8">
        <v>46158</v>
      </c>
      <c r="D1445" s="9">
        <v>6209</v>
      </c>
    </row>
    <row r="1446" spans="1:4">
      <c r="A1446" t="s">
        <v>26</v>
      </c>
      <c r="B1446" t="s">
        <v>119</v>
      </c>
      <c r="C1446" s="8">
        <v>46158</v>
      </c>
      <c r="D1446" s="9">
        <v>11110</v>
      </c>
    </row>
    <row r="1447" spans="1:4">
      <c r="A1447" t="s">
        <v>32</v>
      </c>
      <c r="B1447" t="s">
        <v>247</v>
      </c>
      <c r="C1447" s="8">
        <v>46158</v>
      </c>
      <c r="D1447" s="9">
        <v>12630</v>
      </c>
    </row>
    <row r="1448" spans="1:4">
      <c r="A1448" t="s">
        <v>34</v>
      </c>
      <c r="B1448" t="s">
        <v>110</v>
      </c>
      <c r="C1448" s="8">
        <v>46158</v>
      </c>
      <c r="D1448" s="9">
        <v>11501</v>
      </c>
    </row>
    <row r="1449" spans="1:4">
      <c r="A1449" t="s">
        <v>7</v>
      </c>
      <c r="B1449" t="s">
        <v>274</v>
      </c>
      <c r="C1449" s="8">
        <v>46158</v>
      </c>
      <c r="D1449" s="9">
        <v>23660</v>
      </c>
    </row>
    <row r="1450" spans="1:4">
      <c r="A1450" t="s">
        <v>5</v>
      </c>
      <c r="B1450" t="s">
        <v>166</v>
      </c>
      <c r="C1450" s="8">
        <v>46158</v>
      </c>
      <c r="D1450" s="9">
        <v>36780</v>
      </c>
    </row>
    <row r="1451" spans="1:4">
      <c r="A1451" t="s">
        <v>5</v>
      </c>
      <c r="B1451" t="s">
        <v>133</v>
      </c>
      <c r="C1451" s="8">
        <v>46158</v>
      </c>
      <c r="D1451" s="9">
        <v>31425</v>
      </c>
    </row>
    <row r="1452" spans="1:4">
      <c r="A1452" t="s">
        <v>5</v>
      </c>
      <c r="B1452" t="s">
        <v>251</v>
      </c>
      <c r="C1452" s="8">
        <v>46158</v>
      </c>
      <c r="D1452" s="9">
        <v>43777</v>
      </c>
    </row>
    <row r="1453" spans="1:4">
      <c r="A1453" t="s">
        <v>5</v>
      </c>
      <c r="B1453" t="s">
        <v>84</v>
      </c>
      <c r="C1453" s="8">
        <v>46158</v>
      </c>
      <c r="D1453" s="9">
        <v>40872</v>
      </c>
    </row>
    <row r="1454" spans="1:4">
      <c r="A1454" t="s">
        <v>32</v>
      </c>
      <c r="B1454" t="s">
        <v>230</v>
      </c>
      <c r="C1454" s="8">
        <v>46159</v>
      </c>
      <c r="D1454" s="9">
        <v>11671</v>
      </c>
    </row>
    <row r="1455" spans="1:4">
      <c r="A1455" t="s">
        <v>34</v>
      </c>
      <c r="B1455" t="s">
        <v>169</v>
      </c>
      <c r="C1455" s="8">
        <v>46159</v>
      </c>
      <c r="D1455" s="9">
        <v>10622</v>
      </c>
    </row>
    <row r="1456" spans="1:4">
      <c r="A1456" t="s">
        <v>9</v>
      </c>
      <c r="B1456" t="s">
        <v>113</v>
      </c>
      <c r="C1456" s="8">
        <v>46159</v>
      </c>
      <c r="D1456" s="9">
        <v>28519</v>
      </c>
    </row>
    <row r="1457" spans="1:4">
      <c r="A1457" t="s">
        <v>9</v>
      </c>
      <c r="B1457" t="s">
        <v>212</v>
      </c>
      <c r="C1457" s="8">
        <v>46159</v>
      </c>
      <c r="D1457" s="9">
        <v>30322</v>
      </c>
    </row>
    <row r="1458" spans="1:4">
      <c r="A1458" t="s">
        <v>5</v>
      </c>
      <c r="B1458" t="s">
        <v>72</v>
      </c>
      <c r="C1458" s="8">
        <v>46159</v>
      </c>
      <c r="D1458" s="9">
        <v>52823</v>
      </c>
    </row>
    <row r="1459" spans="1:4">
      <c r="A1459" t="s">
        <v>5</v>
      </c>
      <c r="B1459" t="s">
        <v>251</v>
      </c>
      <c r="C1459" s="8">
        <v>46159</v>
      </c>
      <c r="D1459" s="9">
        <v>38684</v>
      </c>
    </row>
    <row r="1460" spans="1:4">
      <c r="A1460" t="s">
        <v>5</v>
      </c>
      <c r="B1460" t="s">
        <v>61</v>
      </c>
      <c r="C1460" s="8">
        <v>46159</v>
      </c>
      <c r="D1460" s="9">
        <v>20174</v>
      </c>
    </row>
    <row r="1461" spans="1:4">
      <c r="A1461" t="s">
        <v>5</v>
      </c>
      <c r="B1461" t="s">
        <v>58</v>
      </c>
      <c r="C1461" s="8">
        <v>46159</v>
      </c>
      <c r="D1461" s="9">
        <v>57695</v>
      </c>
    </row>
    <row r="1462" spans="1:4">
      <c r="A1462" t="s">
        <v>27</v>
      </c>
      <c r="B1462" t="s">
        <v>253</v>
      </c>
      <c r="C1462" s="8">
        <v>46160</v>
      </c>
      <c r="D1462" s="9">
        <v>17021</v>
      </c>
    </row>
    <row r="1463" spans="1:4">
      <c r="A1463" t="s">
        <v>4</v>
      </c>
      <c r="B1463" t="s">
        <v>222</v>
      </c>
      <c r="C1463" s="8">
        <v>46160</v>
      </c>
      <c r="D1463" s="9">
        <v>35888</v>
      </c>
    </row>
    <row r="1464" spans="1:4">
      <c r="A1464" t="s">
        <v>25</v>
      </c>
      <c r="B1464" t="s">
        <v>186</v>
      </c>
      <c r="C1464" s="8">
        <v>46160</v>
      </c>
      <c r="D1464" s="9">
        <v>13708</v>
      </c>
    </row>
    <row r="1465" spans="1:4">
      <c r="A1465" t="s">
        <v>25</v>
      </c>
      <c r="B1465" t="s">
        <v>86</v>
      </c>
      <c r="C1465" s="8">
        <v>46160</v>
      </c>
      <c r="D1465" s="9">
        <v>15395</v>
      </c>
    </row>
    <row r="1466" spans="1:4">
      <c r="A1466" t="s">
        <v>28</v>
      </c>
      <c r="B1466" t="s">
        <v>174</v>
      </c>
      <c r="C1466" s="8">
        <v>46160</v>
      </c>
      <c r="D1466" s="9">
        <v>18442</v>
      </c>
    </row>
    <row r="1467" spans="1:4">
      <c r="A1467" t="s">
        <v>28</v>
      </c>
      <c r="B1467" t="s">
        <v>242</v>
      </c>
      <c r="C1467" s="8">
        <v>46160</v>
      </c>
      <c r="D1467" s="9">
        <v>23081</v>
      </c>
    </row>
    <row r="1468" spans="1:4">
      <c r="A1468" t="s">
        <v>8</v>
      </c>
      <c r="B1468" t="s">
        <v>267</v>
      </c>
      <c r="C1468" s="8">
        <v>46160</v>
      </c>
      <c r="D1468" s="9">
        <v>15600</v>
      </c>
    </row>
    <row r="1469" spans="1:4">
      <c r="A1469" t="s">
        <v>32</v>
      </c>
      <c r="B1469" t="s">
        <v>87</v>
      </c>
      <c r="C1469" s="8">
        <v>46160</v>
      </c>
      <c r="D1469" s="9">
        <v>10315</v>
      </c>
    </row>
    <row r="1470" spans="1:4">
      <c r="A1470" t="s">
        <v>6</v>
      </c>
      <c r="B1470" t="s">
        <v>273</v>
      </c>
      <c r="C1470" s="8">
        <v>46160</v>
      </c>
      <c r="D1470" s="9">
        <v>15888</v>
      </c>
    </row>
    <row r="1471" spans="1:4">
      <c r="A1471" t="s">
        <v>6</v>
      </c>
      <c r="B1471" t="s">
        <v>263</v>
      </c>
      <c r="C1471" s="8">
        <v>46160</v>
      </c>
      <c r="D1471" s="9">
        <v>12007</v>
      </c>
    </row>
    <row r="1472" spans="1:4">
      <c r="A1472" t="s">
        <v>9</v>
      </c>
      <c r="B1472" t="s">
        <v>111</v>
      </c>
      <c r="C1472" s="8">
        <v>46160</v>
      </c>
      <c r="D1472" s="9">
        <v>35042</v>
      </c>
    </row>
    <row r="1473" spans="1:4">
      <c r="A1473" t="s">
        <v>9</v>
      </c>
      <c r="B1473" t="s">
        <v>235</v>
      </c>
      <c r="C1473" s="8">
        <v>46160</v>
      </c>
      <c r="D1473" s="9">
        <v>35928</v>
      </c>
    </row>
    <row r="1474" spans="1:4">
      <c r="A1474" t="s">
        <v>9</v>
      </c>
      <c r="B1474" t="s">
        <v>132</v>
      </c>
      <c r="C1474" s="8">
        <v>46160</v>
      </c>
      <c r="D1474" s="9">
        <v>43465</v>
      </c>
    </row>
    <row r="1475" spans="1:4">
      <c r="A1475" t="s">
        <v>9</v>
      </c>
      <c r="B1475" t="s">
        <v>157</v>
      </c>
      <c r="C1475" s="8">
        <v>46160</v>
      </c>
      <c r="D1475" s="9">
        <v>9455</v>
      </c>
    </row>
    <row r="1476" spans="1:4">
      <c r="A1476" t="s">
        <v>9</v>
      </c>
      <c r="B1476" t="s">
        <v>172</v>
      </c>
      <c r="C1476" s="8">
        <v>46160</v>
      </c>
      <c r="D1476" s="9">
        <v>37103</v>
      </c>
    </row>
    <row r="1477" spans="1:4">
      <c r="A1477" t="s">
        <v>5</v>
      </c>
      <c r="B1477" t="s">
        <v>92</v>
      </c>
      <c r="C1477" s="8">
        <v>46160</v>
      </c>
      <c r="D1477" s="9">
        <v>45379</v>
      </c>
    </row>
    <row r="1478" spans="1:4">
      <c r="A1478" t="s">
        <v>5</v>
      </c>
      <c r="B1478" t="s">
        <v>115</v>
      </c>
      <c r="C1478" s="8">
        <v>46160</v>
      </c>
      <c r="D1478" s="9">
        <v>40703</v>
      </c>
    </row>
    <row r="1479" spans="1:4">
      <c r="A1479" t="s">
        <v>5</v>
      </c>
      <c r="B1479" t="s">
        <v>124</v>
      </c>
      <c r="C1479" s="8">
        <v>46160</v>
      </c>
      <c r="D1479" s="9">
        <v>36066</v>
      </c>
    </row>
    <row r="1480" spans="1:4">
      <c r="A1480" t="s">
        <v>5</v>
      </c>
      <c r="B1480" t="s">
        <v>124</v>
      </c>
      <c r="C1480" s="8">
        <v>46160</v>
      </c>
      <c r="D1480" s="9">
        <v>40819</v>
      </c>
    </row>
    <row r="1481" spans="1:4">
      <c r="A1481" t="s">
        <v>5</v>
      </c>
      <c r="B1481" t="s">
        <v>108</v>
      </c>
      <c r="C1481" s="8">
        <v>46160</v>
      </c>
      <c r="D1481" s="9">
        <v>44933</v>
      </c>
    </row>
    <row r="1482" spans="1:4">
      <c r="A1482" t="s">
        <v>30</v>
      </c>
      <c r="B1482" t="s">
        <v>162</v>
      </c>
      <c r="C1482" s="8">
        <v>46161</v>
      </c>
      <c r="D1482" s="9">
        <v>11518</v>
      </c>
    </row>
    <row r="1483" spans="1:4">
      <c r="A1483" t="s">
        <v>8</v>
      </c>
      <c r="B1483" t="s">
        <v>141</v>
      </c>
      <c r="C1483" s="8">
        <v>46161</v>
      </c>
      <c r="D1483" s="9">
        <v>18735</v>
      </c>
    </row>
    <row r="1484" spans="1:4">
      <c r="A1484" t="s">
        <v>8</v>
      </c>
      <c r="B1484" t="s">
        <v>259</v>
      </c>
      <c r="C1484" s="8">
        <v>46161</v>
      </c>
      <c r="D1484" s="9">
        <v>16911</v>
      </c>
    </row>
    <row r="1485" spans="1:4">
      <c r="A1485" t="s">
        <v>7</v>
      </c>
      <c r="B1485" t="s">
        <v>69</v>
      </c>
      <c r="C1485" s="8">
        <v>46161</v>
      </c>
      <c r="D1485" s="9">
        <v>7763</v>
      </c>
    </row>
    <row r="1486" spans="1:4">
      <c r="A1486" t="s">
        <v>9</v>
      </c>
      <c r="B1486" t="s">
        <v>144</v>
      </c>
      <c r="C1486" s="8">
        <v>46161</v>
      </c>
      <c r="D1486" s="9">
        <v>26757</v>
      </c>
    </row>
    <row r="1487" spans="1:4">
      <c r="A1487" t="s">
        <v>5</v>
      </c>
      <c r="B1487" t="s">
        <v>167</v>
      </c>
      <c r="C1487" s="8">
        <v>46161</v>
      </c>
      <c r="D1487" s="9">
        <v>26215</v>
      </c>
    </row>
    <row r="1488" spans="1:4">
      <c r="A1488" t="s">
        <v>5</v>
      </c>
      <c r="B1488" t="s">
        <v>145</v>
      </c>
      <c r="C1488" s="8">
        <v>46161</v>
      </c>
      <c r="D1488" s="9">
        <v>48212</v>
      </c>
    </row>
    <row r="1489" spans="1:4">
      <c r="A1489" t="s">
        <v>5</v>
      </c>
      <c r="B1489" t="s">
        <v>108</v>
      </c>
      <c r="C1489" s="8">
        <v>46161</v>
      </c>
      <c r="D1489" s="9">
        <v>42652</v>
      </c>
    </row>
    <row r="1490" spans="1:4">
      <c r="A1490" t="s">
        <v>5</v>
      </c>
      <c r="B1490" t="s">
        <v>100</v>
      </c>
      <c r="C1490" s="8">
        <v>46161</v>
      </c>
      <c r="D1490" s="9">
        <v>40447</v>
      </c>
    </row>
    <row r="1491" spans="1:4">
      <c r="A1491" t="s">
        <v>4</v>
      </c>
      <c r="B1491" t="s">
        <v>187</v>
      </c>
      <c r="C1491" s="8">
        <v>46162</v>
      </c>
      <c r="D1491" s="9">
        <v>44814</v>
      </c>
    </row>
    <row r="1492" spans="1:4">
      <c r="A1492" t="s">
        <v>28</v>
      </c>
      <c r="B1492" t="s">
        <v>161</v>
      </c>
      <c r="C1492" s="8">
        <v>46162</v>
      </c>
      <c r="D1492" s="9">
        <v>15363</v>
      </c>
    </row>
    <row r="1493" spans="1:4">
      <c r="A1493" t="s">
        <v>28</v>
      </c>
      <c r="B1493" t="s">
        <v>118</v>
      </c>
      <c r="C1493" s="8">
        <v>46162</v>
      </c>
      <c r="D1493" s="9">
        <v>11562</v>
      </c>
    </row>
    <row r="1494" spans="1:4">
      <c r="A1494" t="s">
        <v>33</v>
      </c>
      <c r="B1494" t="s">
        <v>232</v>
      </c>
      <c r="C1494" s="8">
        <v>46162</v>
      </c>
      <c r="D1494" s="9">
        <v>7905</v>
      </c>
    </row>
    <row r="1495" spans="1:4">
      <c r="A1495" t="s">
        <v>7</v>
      </c>
      <c r="B1495" t="s">
        <v>202</v>
      </c>
      <c r="C1495" s="8">
        <v>46162</v>
      </c>
      <c r="D1495" s="9">
        <v>21793</v>
      </c>
    </row>
    <row r="1496" spans="1:4">
      <c r="A1496" t="s">
        <v>9</v>
      </c>
      <c r="B1496" t="s">
        <v>239</v>
      </c>
      <c r="C1496" s="8">
        <v>46162</v>
      </c>
      <c r="D1496" s="9">
        <v>38672</v>
      </c>
    </row>
    <row r="1497" spans="1:4">
      <c r="A1497" t="s">
        <v>5</v>
      </c>
      <c r="B1497" t="s">
        <v>106</v>
      </c>
      <c r="C1497" s="8">
        <v>46162</v>
      </c>
      <c r="D1497" s="9">
        <v>40633</v>
      </c>
    </row>
    <row r="1498" spans="1:4">
      <c r="A1498" t="s">
        <v>5</v>
      </c>
      <c r="B1498" t="s">
        <v>252</v>
      </c>
      <c r="C1498" s="8">
        <v>46162</v>
      </c>
      <c r="D1498" s="9">
        <v>40208</v>
      </c>
    </row>
    <row r="1499" spans="1:4">
      <c r="A1499" t="s">
        <v>27</v>
      </c>
      <c r="B1499" t="s">
        <v>168</v>
      </c>
      <c r="C1499" s="8">
        <v>46163</v>
      </c>
      <c r="D1499" s="9">
        <v>12889</v>
      </c>
    </row>
    <row r="1500" spans="1:4">
      <c r="A1500" t="s">
        <v>4</v>
      </c>
      <c r="B1500" t="s">
        <v>159</v>
      </c>
      <c r="C1500" s="8">
        <v>46163</v>
      </c>
      <c r="D1500" s="9">
        <v>50753</v>
      </c>
    </row>
    <row r="1501" spans="1:4">
      <c r="A1501" t="s">
        <v>4</v>
      </c>
      <c r="B1501" t="s">
        <v>151</v>
      </c>
      <c r="C1501" s="8">
        <v>46163</v>
      </c>
      <c r="D1501" s="9">
        <v>24871</v>
      </c>
    </row>
    <row r="1502" spans="1:4">
      <c r="A1502" t="s">
        <v>25</v>
      </c>
      <c r="B1502" t="s">
        <v>272</v>
      </c>
      <c r="C1502" s="8">
        <v>46163</v>
      </c>
      <c r="D1502" s="9">
        <v>13219</v>
      </c>
    </row>
    <row r="1503" spans="1:4">
      <c r="A1503" t="s">
        <v>36</v>
      </c>
      <c r="B1503" t="s">
        <v>229</v>
      </c>
      <c r="C1503" s="8">
        <v>46163</v>
      </c>
      <c r="D1503" s="9">
        <v>10837</v>
      </c>
    </row>
    <row r="1504" spans="1:4">
      <c r="A1504" t="s">
        <v>6</v>
      </c>
      <c r="B1504" t="s">
        <v>231</v>
      </c>
      <c r="C1504" s="8">
        <v>46163</v>
      </c>
      <c r="D1504" s="9">
        <v>21717</v>
      </c>
    </row>
    <row r="1505" spans="1:4">
      <c r="A1505" t="s">
        <v>29</v>
      </c>
      <c r="B1505" t="s">
        <v>163</v>
      </c>
      <c r="C1505" s="8">
        <v>46163</v>
      </c>
      <c r="D1505" s="9">
        <v>5200</v>
      </c>
    </row>
    <row r="1506" spans="1:4">
      <c r="A1506" t="s">
        <v>7</v>
      </c>
      <c r="B1506" t="s">
        <v>65</v>
      </c>
      <c r="C1506" s="8">
        <v>46163</v>
      </c>
      <c r="D1506" s="9">
        <v>9034</v>
      </c>
    </row>
    <row r="1507" spans="1:4">
      <c r="A1507" t="s">
        <v>7</v>
      </c>
      <c r="B1507" t="s">
        <v>275</v>
      </c>
      <c r="C1507" s="8">
        <v>46163</v>
      </c>
      <c r="D1507" s="9">
        <v>20110</v>
      </c>
    </row>
    <row r="1508" spans="1:4">
      <c r="A1508" t="s">
        <v>7</v>
      </c>
      <c r="B1508" t="s">
        <v>47</v>
      </c>
      <c r="C1508" s="8">
        <v>46163</v>
      </c>
      <c r="D1508" s="9">
        <v>22372</v>
      </c>
    </row>
    <row r="1509" spans="1:4">
      <c r="A1509" t="s">
        <v>9</v>
      </c>
      <c r="B1509" t="s">
        <v>245</v>
      </c>
      <c r="C1509" s="8">
        <v>46163</v>
      </c>
      <c r="D1509" s="9">
        <v>20362</v>
      </c>
    </row>
    <row r="1510" spans="1:4">
      <c r="A1510" t="s">
        <v>5</v>
      </c>
      <c r="B1510" t="s">
        <v>133</v>
      </c>
      <c r="C1510" s="8">
        <v>46163</v>
      </c>
      <c r="D1510" s="9">
        <v>45302</v>
      </c>
    </row>
    <row r="1511" spans="1:4">
      <c r="A1511" t="s">
        <v>5</v>
      </c>
      <c r="B1511" t="s">
        <v>182</v>
      </c>
      <c r="C1511" s="8">
        <v>46163</v>
      </c>
      <c r="D1511" s="9">
        <v>50156</v>
      </c>
    </row>
    <row r="1512" spans="1:4">
      <c r="A1512" t="s">
        <v>5</v>
      </c>
      <c r="B1512" t="s">
        <v>97</v>
      </c>
      <c r="C1512" s="8">
        <v>46163</v>
      </c>
      <c r="D1512" s="9">
        <v>54824</v>
      </c>
    </row>
    <row r="1513" spans="1:4">
      <c r="A1513" t="s">
        <v>5</v>
      </c>
      <c r="B1513" t="s">
        <v>270</v>
      </c>
      <c r="C1513" s="8">
        <v>46163</v>
      </c>
      <c r="D1513" s="9">
        <v>46372</v>
      </c>
    </row>
    <row r="1514" spans="1:4">
      <c r="A1514" t="s">
        <v>5</v>
      </c>
      <c r="B1514" t="s">
        <v>212</v>
      </c>
      <c r="C1514" s="8">
        <v>46163</v>
      </c>
      <c r="D1514" s="9">
        <v>34696</v>
      </c>
    </row>
    <row r="1515" spans="1:4">
      <c r="A1515" t="s">
        <v>4</v>
      </c>
      <c r="B1515" t="s">
        <v>70</v>
      </c>
      <c r="C1515" s="8">
        <v>46164</v>
      </c>
      <c r="D1515" s="9">
        <v>29092</v>
      </c>
    </row>
    <row r="1516" spans="1:4">
      <c r="A1516" t="s">
        <v>4</v>
      </c>
      <c r="B1516" t="s">
        <v>266</v>
      </c>
      <c r="C1516" s="8">
        <v>46164</v>
      </c>
      <c r="D1516" s="9">
        <v>25987</v>
      </c>
    </row>
    <row r="1517" spans="1:4">
      <c r="A1517" t="s">
        <v>31</v>
      </c>
      <c r="B1517" t="s">
        <v>77</v>
      </c>
      <c r="C1517" s="8">
        <v>46164</v>
      </c>
      <c r="D1517" s="9">
        <v>23027</v>
      </c>
    </row>
    <row r="1518" spans="1:4">
      <c r="A1518" t="s">
        <v>25</v>
      </c>
      <c r="B1518" t="s">
        <v>278</v>
      </c>
      <c r="C1518" s="8">
        <v>46164</v>
      </c>
      <c r="D1518" s="9">
        <v>12612</v>
      </c>
    </row>
    <row r="1519" spans="1:4">
      <c r="A1519" t="s">
        <v>6</v>
      </c>
      <c r="B1519" t="s">
        <v>131</v>
      </c>
      <c r="C1519" s="8">
        <v>46164</v>
      </c>
      <c r="D1519" s="9">
        <v>16894</v>
      </c>
    </row>
    <row r="1520" spans="1:4">
      <c r="A1520" t="s">
        <v>7</v>
      </c>
      <c r="B1520" t="s">
        <v>89</v>
      </c>
      <c r="C1520" s="8">
        <v>46164</v>
      </c>
      <c r="D1520" s="9">
        <v>19614</v>
      </c>
    </row>
    <row r="1521" spans="1:4">
      <c r="A1521" t="s">
        <v>9</v>
      </c>
      <c r="B1521" t="s">
        <v>91</v>
      </c>
      <c r="C1521" s="8">
        <v>46164</v>
      </c>
      <c r="D1521" s="9">
        <v>34186</v>
      </c>
    </row>
    <row r="1522" spans="1:4">
      <c r="A1522" t="s">
        <v>9</v>
      </c>
      <c r="B1522" t="s">
        <v>134</v>
      </c>
      <c r="C1522" s="8">
        <v>46164</v>
      </c>
      <c r="D1522" s="9">
        <v>30228</v>
      </c>
    </row>
    <row r="1523" spans="1:4">
      <c r="A1523" t="s">
        <v>5</v>
      </c>
      <c r="B1523" t="s">
        <v>53</v>
      </c>
      <c r="C1523" s="8">
        <v>46164</v>
      </c>
      <c r="D1523" s="9">
        <v>56777</v>
      </c>
    </row>
    <row r="1524" spans="1:4">
      <c r="A1524" t="s">
        <v>5</v>
      </c>
      <c r="B1524" t="s">
        <v>101</v>
      </c>
      <c r="C1524" s="8">
        <v>46164</v>
      </c>
      <c r="D1524" s="9">
        <v>34729</v>
      </c>
    </row>
    <row r="1525" spans="1:4">
      <c r="A1525" t="s">
        <v>5</v>
      </c>
      <c r="B1525" t="s">
        <v>212</v>
      </c>
      <c r="C1525" s="8">
        <v>46164</v>
      </c>
      <c r="D1525" s="9">
        <v>31475</v>
      </c>
    </row>
    <row r="1526" spans="1:4">
      <c r="A1526" t="s">
        <v>31</v>
      </c>
      <c r="B1526" t="s">
        <v>199</v>
      </c>
      <c r="C1526" s="8">
        <v>46165</v>
      </c>
      <c r="D1526" s="9">
        <v>6170</v>
      </c>
    </row>
    <row r="1527" spans="1:4">
      <c r="A1527" t="s">
        <v>31</v>
      </c>
      <c r="B1527" t="s">
        <v>68</v>
      </c>
      <c r="C1527" s="8">
        <v>46165</v>
      </c>
      <c r="D1527" s="9">
        <v>24100</v>
      </c>
    </row>
    <row r="1528" spans="1:4">
      <c r="A1528" t="s">
        <v>30</v>
      </c>
      <c r="B1528" t="s">
        <v>63</v>
      </c>
      <c r="C1528" s="8">
        <v>46165</v>
      </c>
      <c r="D1528" s="9">
        <v>11692</v>
      </c>
    </row>
    <row r="1529" spans="1:4">
      <c r="A1529" t="s">
        <v>32</v>
      </c>
      <c r="B1529" t="s">
        <v>152</v>
      </c>
      <c r="C1529" s="8">
        <v>46165</v>
      </c>
      <c r="D1529" s="9">
        <v>13370</v>
      </c>
    </row>
    <row r="1530" spans="1:4">
      <c r="A1530" t="s">
        <v>34</v>
      </c>
      <c r="B1530" t="s">
        <v>94</v>
      </c>
      <c r="C1530" s="8">
        <v>46165</v>
      </c>
      <c r="D1530" s="9">
        <v>25653</v>
      </c>
    </row>
    <row r="1531" spans="1:4">
      <c r="A1531" t="s">
        <v>29</v>
      </c>
      <c r="B1531" t="s">
        <v>104</v>
      </c>
      <c r="C1531" s="8">
        <v>46165</v>
      </c>
      <c r="D1531" s="9">
        <v>12037</v>
      </c>
    </row>
    <row r="1532" spans="1:4">
      <c r="A1532" t="s">
        <v>5</v>
      </c>
      <c r="B1532" t="s">
        <v>133</v>
      </c>
      <c r="C1532" s="8">
        <v>46165</v>
      </c>
      <c r="D1532" s="9">
        <v>46633</v>
      </c>
    </row>
    <row r="1533" spans="1:4">
      <c r="A1533" t="s">
        <v>5</v>
      </c>
      <c r="B1533" t="s">
        <v>49</v>
      </c>
      <c r="C1533" s="8">
        <v>46165</v>
      </c>
      <c r="D1533" s="9">
        <v>44685</v>
      </c>
    </row>
    <row r="1534" spans="1:4">
      <c r="A1534" t="s">
        <v>5</v>
      </c>
      <c r="B1534" t="s">
        <v>84</v>
      </c>
      <c r="C1534" s="8">
        <v>46165</v>
      </c>
      <c r="D1534" s="9">
        <v>36689</v>
      </c>
    </row>
    <row r="1535" spans="1:4">
      <c r="A1535" t="s">
        <v>5</v>
      </c>
      <c r="B1535" t="s">
        <v>99</v>
      </c>
      <c r="C1535" s="8">
        <v>46165</v>
      </c>
      <c r="D1535" s="9">
        <v>29057</v>
      </c>
    </row>
    <row r="1536" spans="1:4">
      <c r="A1536" t="s">
        <v>5</v>
      </c>
      <c r="B1536" t="s">
        <v>99</v>
      </c>
      <c r="C1536" s="8">
        <v>46165</v>
      </c>
      <c r="D1536" s="9">
        <v>34129</v>
      </c>
    </row>
    <row r="1537" spans="1:4">
      <c r="A1537" t="s">
        <v>26</v>
      </c>
      <c r="B1537" t="s">
        <v>256</v>
      </c>
      <c r="C1537" s="8">
        <v>46166</v>
      </c>
      <c r="D1537" s="9">
        <v>13081</v>
      </c>
    </row>
    <row r="1538" spans="1:4">
      <c r="A1538" t="s">
        <v>8</v>
      </c>
      <c r="B1538" t="s">
        <v>214</v>
      </c>
      <c r="C1538" s="8">
        <v>46166</v>
      </c>
      <c r="D1538" s="9">
        <v>15988</v>
      </c>
    </row>
    <row r="1539" spans="1:4">
      <c r="A1539" t="s">
        <v>8</v>
      </c>
      <c r="B1539" t="s">
        <v>52</v>
      </c>
      <c r="C1539" s="8">
        <v>46166</v>
      </c>
      <c r="D1539" s="9">
        <v>15760</v>
      </c>
    </row>
    <row r="1540" spans="1:4">
      <c r="A1540" t="s">
        <v>32</v>
      </c>
      <c r="B1540" t="s">
        <v>282</v>
      </c>
      <c r="C1540" s="8">
        <v>46166</v>
      </c>
      <c r="D1540" s="9">
        <v>13406</v>
      </c>
    </row>
    <row r="1541" spans="1:4">
      <c r="A1541" t="s">
        <v>34</v>
      </c>
      <c r="B1541" t="s">
        <v>265</v>
      </c>
      <c r="C1541" s="8">
        <v>46166</v>
      </c>
      <c r="D1541" s="9">
        <v>11934</v>
      </c>
    </row>
    <row r="1542" spans="1:4">
      <c r="A1542" t="s">
        <v>6</v>
      </c>
      <c r="B1542" t="s">
        <v>234</v>
      </c>
      <c r="C1542" s="8">
        <v>46166</v>
      </c>
      <c r="D1542" s="9">
        <v>29893</v>
      </c>
    </row>
    <row r="1543" spans="1:4">
      <c r="A1543" t="s">
        <v>7</v>
      </c>
      <c r="B1543" t="s">
        <v>175</v>
      </c>
      <c r="C1543" s="8">
        <v>46166</v>
      </c>
      <c r="D1543" s="9">
        <v>25871</v>
      </c>
    </row>
    <row r="1544" spans="1:4">
      <c r="A1544" t="s">
        <v>9</v>
      </c>
      <c r="B1544" t="s">
        <v>221</v>
      </c>
      <c r="C1544" s="8">
        <v>46166</v>
      </c>
      <c r="D1544" s="9">
        <v>19964</v>
      </c>
    </row>
    <row r="1545" spans="1:4">
      <c r="A1545" t="s">
        <v>5</v>
      </c>
      <c r="B1545" t="s">
        <v>133</v>
      </c>
      <c r="C1545" s="8">
        <v>46166</v>
      </c>
      <c r="D1545" s="9">
        <v>36731</v>
      </c>
    </row>
    <row r="1546" spans="1:4">
      <c r="A1546" t="s">
        <v>5</v>
      </c>
      <c r="B1546" t="s">
        <v>74</v>
      </c>
      <c r="C1546" s="8">
        <v>46166</v>
      </c>
      <c r="D1546" s="9">
        <v>34548</v>
      </c>
    </row>
    <row r="1547" spans="1:4">
      <c r="A1547" t="s">
        <v>5</v>
      </c>
      <c r="B1547" t="s">
        <v>172</v>
      </c>
      <c r="C1547" s="8">
        <v>46166</v>
      </c>
      <c r="D1547" s="9">
        <v>31180</v>
      </c>
    </row>
    <row r="1548" spans="1:4">
      <c r="A1548" t="s">
        <v>4</v>
      </c>
      <c r="B1548" t="s">
        <v>50</v>
      </c>
      <c r="C1548" s="8">
        <v>46167</v>
      </c>
      <c r="D1548" s="9">
        <v>23753</v>
      </c>
    </row>
    <row r="1549" spans="1:4">
      <c r="A1549" t="s">
        <v>31</v>
      </c>
      <c r="B1549" t="s">
        <v>224</v>
      </c>
      <c r="C1549" s="8">
        <v>46167</v>
      </c>
      <c r="D1549" s="9">
        <v>13032</v>
      </c>
    </row>
    <row r="1550" spans="1:4">
      <c r="A1550" t="s">
        <v>30</v>
      </c>
      <c r="B1550" t="s">
        <v>154</v>
      </c>
      <c r="C1550" s="8">
        <v>46167</v>
      </c>
      <c r="D1550" s="9">
        <v>11866</v>
      </c>
    </row>
    <row r="1551" spans="1:4">
      <c r="A1551" t="s">
        <v>7</v>
      </c>
      <c r="B1551" t="s">
        <v>194</v>
      </c>
      <c r="C1551" s="8">
        <v>46167</v>
      </c>
      <c r="D1551" s="9">
        <v>24295</v>
      </c>
    </row>
    <row r="1552" spans="1:4">
      <c r="A1552" t="s">
        <v>9</v>
      </c>
      <c r="B1552" t="s">
        <v>177</v>
      </c>
      <c r="C1552" s="8">
        <v>46167</v>
      </c>
      <c r="D1552" s="9">
        <v>40001</v>
      </c>
    </row>
    <row r="1553" spans="1:4">
      <c r="A1553" t="s">
        <v>9</v>
      </c>
      <c r="B1553" t="s">
        <v>245</v>
      </c>
      <c r="C1553" s="8">
        <v>46167</v>
      </c>
      <c r="D1553" s="9">
        <v>28576</v>
      </c>
    </row>
    <row r="1554" spans="1:4">
      <c r="A1554" t="s">
        <v>5</v>
      </c>
      <c r="B1554" t="s">
        <v>188</v>
      </c>
      <c r="C1554" s="8">
        <v>46167</v>
      </c>
      <c r="D1554" s="9">
        <v>42693</v>
      </c>
    </row>
    <row r="1555" spans="1:4">
      <c r="A1555" t="s">
        <v>5</v>
      </c>
      <c r="B1555" t="s">
        <v>133</v>
      </c>
      <c r="C1555" s="8">
        <v>46167</v>
      </c>
      <c r="D1555" s="9">
        <v>38064</v>
      </c>
    </row>
    <row r="1556" spans="1:4">
      <c r="A1556" t="s">
        <v>5</v>
      </c>
      <c r="B1556" t="s">
        <v>124</v>
      </c>
      <c r="C1556" s="8">
        <v>46167</v>
      </c>
      <c r="D1556" s="9">
        <v>26294</v>
      </c>
    </row>
    <row r="1557" spans="1:4">
      <c r="A1557" t="s">
        <v>5</v>
      </c>
      <c r="B1557" t="s">
        <v>212</v>
      </c>
      <c r="C1557" s="8">
        <v>46167</v>
      </c>
      <c r="D1557" s="9">
        <v>37321</v>
      </c>
    </row>
    <row r="1558" spans="1:4">
      <c r="A1558" t="s">
        <v>5</v>
      </c>
      <c r="B1558" t="s">
        <v>108</v>
      </c>
      <c r="C1558" s="8">
        <v>46167</v>
      </c>
      <c r="D1558" s="9">
        <v>30051</v>
      </c>
    </row>
    <row r="1559" spans="1:4">
      <c r="A1559" t="s">
        <v>5</v>
      </c>
      <c r="B1559" t="s">
        <v>100</v>
      </c>
      <c r="C1559" s="8">
        <v>46167</v>
      </c>
      <c r="D1559" s="9">
        <v>40217</v>
      </c>
    </row>
    <row r="1560" spans="1:4">
      <c r="A1560" t="s">
        <v>4</v>
      </c>
      <c r="B1560" t="s">
        <v>116</v>
      </c>
      <c r="C1560" s="8">
        <v>46168</v>
      </c>
      <c r="D1560" s="9">
        <v>29630</v>
      </c>
    </row>
    <row r="1561" spans="1:4">
      <c r="A1561" t="s">
        <v>25</v>
      </c>
      <c r="B1561" t="s">
        <v>102</v>
      </c>
      <c r="C1561" s="8">
        <v>46168</v>
      </c>
      <c r="D1561" s="9">
        <v>10224</v>
      </c>
    </row>
    <row r="1562" spans="1:4">
      <c r="A1562" t="s">
        <v>6</v>
      </c>
      <c r="B1562" t="s">
        <v>260</v>
      </c>
      <c r="C1562" s="8">
        <v>46168</v>
      </c>
      <c r="D1562" s="9">
        <v>25560</v>
      </c>
    </row>
    <row r="1563" spans="1:4">
      <c r="A1563" t="s">
        <v>6</v>
      </c>
      <c r="B1563" t="s">
        <v>261</v>
      </c>
      <c r="C1563" s="8">
        <v>46168</v>
      </c>
      <c r="D1563" s="9">
        <v>18039</v>
      </c>
    </row>
    <row r="1564" spans="1:4">
      <c r="A1564" t="s">
        <v>9</v>
      </c>
      <c r="B1564" t="s">
        <v>209</v>
      </c>
      <c r="C1564" s="8">
        <v>46168</v>
      </c>
      <c r="D1564" s="9">
        <v>43078</v>
      </c>
    </row>
    <row r="1565" spans="1:4">
      <c r="A1565" t="s">
        <v>9</v>
      </c>
      <c r="B1565" t="s">
        <v>277</v>
      </c>
      <c r="C1565" s="8">
        <v>46168</v>
      </c>
      <c r="D1565" s="9">
        <v>55709</v>
      </c>
    </row>
    <row r="1566" spans="1:4">
      <c r="A1566" t="s">
        <v>5</v>
      </c>
      <c r="B1566" t="s">
        <v>84</v>
      </c>
      <c r="C1566" s="8">
        <v>46168</v>
      </c>
      <c r="D1566" s="9">
        <v>40267</v>
      </c>
    </row>
    <row r="1567" spans="1:4">
      <c r="A1567" t="s">
        <v>5</v>
      </c>
      <c r="B1567" t="s">
        <v>277</v>
      </c>
      <c r="C1567" s="8">
        <v>46168</v>
      </c>
      <c r="D1567" s="9">
        <v>48433</v>
      </c>
    </row>
    <row r="1568" spans="1:4">
      <c r="A1568" t="s">
        <v>5</v>
      </c>
      <c r="B1568" t="s">
        <v>109</v>
      </c>
      <c r="C1568" s="8">
        <v>46168</v>
      </c>
      <c r="D1568" s="9">
        <v>57626</v>
      </c>
    </row>
    <row r="1569" spans="1:4">
      <c r="A1569" t="s">
        <v>4</v>
      </c>
      <c r="B1569" t="s">
        <v>252</v>
      </c>
      <c r="C1569" s="8">
        <v>46169</v>
      </c>
      <c r="D1569" s="9">
        <v>52802</v>
      </c>
    </row>
    <row r="1570" spans="1:4">
      <c r="A1570" t="s">
        <v>4</v>
      </c>
      <c r="B1570" t="s">
        <v>127</v>
      </c>
      <c r="C1570" s="8">
        <v>46169</v>
      </c>
      <c r="D1570" s="9">
        <v>38498</v>
      </c>
    </row>
    <row r="1571" spans="1:4">
      <c r="A1571" t="s">
        <v>4</v>
      </c>
      <c r="B1571" t="s">
        <v>67</v>
      </c>
      <c r="C1571" s="8">
        <v>46169</v>
      </c>
      <c r="D1571" s="9">
        <v>30987</v>
      </c>
    </row>
    <row r="1572" spans="1:4">
      <c r="A1572" t="s">
        <v>25</v>
      </c>
      <c r="B1572" t="s">
        <v>128</v>
      </c>
      <c r="C1572" s="8">
        <v>46169</v>
      </c>
      <c r="D1572" s="9">
        <v>9448</v>
      </c>
    </row>
    <row r="1573" spans="1:4">
      <c r="A1573" t="s">
        <v>6</v>
      </c>
      <c r="B1573" t="s">
        <v>227</v>
      </c>
      <c r="C1573" s="8">
        <v>46169</v>
      </c>
      <c r="D1573" s="9">
        <v>33664</v>
      </c>
    </row>
    <row r="1574" spans="1:4">
      <c r="A1574" t="s">
        <v>6</v>
      </c>
      <c r="B1574" t="s">
        <v>130</v>
      </c>
      <c r="C1574" s="8">
        <v>46169</v>
      </c>
      <c r="D1574" s="9">
        <v>19631</v>
      </c>
    </row>
    <row r="1575" spans="1:4">
      <c r="A1575" t="s">
        <v>29</v>
      </c>
      <c r="B1575" t="s">
        <v>57</v>
      </c>
      <c r="C1575" s="8">
        <v>46169</v>
      </c>
      <c r="D1575" s="9">
        <v>14812</v>
      </c>
    </row>
    <row r="1576" spans="1:4">
      <c r="A1576" t="s">
        <v>9</v>
      </c>
      <c r="B1576" t="s">
        <v>197</v>
      </c>
      <c r="C1576" s="8">
        <v>46169</v>
      </c>
      <c r="D1576" s="9">
        <v>27248</v>
      </c>
    </row>
    <row r="1577" spans="1:4">
      <c r="A1577" t="s">
        <v>9</v>
      </c>
      <c r="B1577" t="s">
        <v>171</v>
      </c>
      <c r="C1577" s="8">
        <v>46169</v>
      </c>
      <c r="D1577" s="9">
        <v>42021</v>
      </c>
    </row>
    <row r="1578" spans="1:4">
      <c r="A1578" t="s">
        <v>9</v>
      </c>
      <c r="B1578" t="s">
        <v>264</v>
      </c>
      <c r="C1578" s="8">
        <v>46169</v>
      </c>
      <c r="D1578" s="9">
        <v>35015</v>
      </c>
    </row>
    <row r="1579" spans="1:4">
      <c r="A1579" t="s">
        <v>9</v>
      </c>
      <c r="B1579" t="s">
        <v>172</v>
      </c>
      <c r="C1579" s="8">
        <v>46169</v>
      </c>
      <c r="D1579" s="9">
        <v>43164</v>
      </c>
    </row>
    <row r="1580" spans="1:4">
      <c r="A1580" t="s">
        <v>9</v>
      </c>
      <c r="B1580" t="s">
        <v>178</v>
      </c>
      <c r="C1580" s="8">
        <v>46169</v>
      </c>
      <c r="D1580" s="9">
        <v>53313</v>
      </c>
    </row>
    <row r="1581" spans="1:4">
      <c r="A1581" t="s">
        <v>9</v>
      </c>
      <c r="B1581" t="s">
        <v>179</v>
      </c>
      <c r="C1581" s="8">
        <v>46169</v>
      </c>
      <c r="D1581" s="9">
        <v>42733</v>
      </c>
    </row>
    <row r="1582" spans="1:4">
      <c r="A1582" t="s">
        <v>5</v>
      </c>
      <c r="B1582" t="s">
        <v>72</v>
      </c>
      <c r="C1582" s="8">
        <v>46169</v>
      </c>
      <c r="D1582" s="9">
        <v>54440</v>
      </c>
    </row>
    <row r="1583" spans="1:4">
      <c r="A1583" t="s">
        <v>5</v>
      </c>
      <c r="B1583" t="s">
        <v>98</v>
      </c>
      <c r="C1583" s="8">
        <v>46169</v>
      </c>
      <c r="D1583" s="9">
        <v>58523</v>
      </c>
    </row>
    <row r="1584" spans="1:4">
      <c r="A1584" t="s">
        <v>5</v>
      </c>
      <c r="B1584" t="s">
        <v>74</v>
      </c>
      <c r="C1584" s="8">
        <v>46169</v>
      </c>
      <c r="D1584" s="9">
        <v>38070</v>
      </c>
    </row>
    <row r="1585" spans="1:4">
      <c r="A1585" t="s">
        <v>27</v>
      </c>
      <c r="B1585" t="s">
        <v>125</v>
      </c>
      <c r="C1585" s="8">
        <v>46170</v>
      </c>
      <c r="D1585" s="9">
        <v>10062</v>
      </c>
    </row>
    <row r="1586" spans="1:4">
      <c r="A1586" t="s">
        <v>4</v>
      </c>
      <c r="B1586" t="s">
        <v>60</v>
      </c>
      <c r="C1586" s="8">
        <v>46170</v>
      </c>
      <c r="D1586" s="9">
        <v>19442</v>
      </c>
    </row>
    <row r="1587" spans="1:4">
      <c r="A1587" t="s">
        <v>4</v>
      </c>
      <c r="B1587" t="s">
        <v>240</v>
      </c>
      <c r="C1587" s="8">
        <v>46170</v>
      </c>
      <c r="D1587" s="9">
        <v>26504</v>
      </c>
    </row>
    <row r="1588" spans="1:4">
      <c r="A1588" t="s">
        <v>4</v>
      </c>
      <c r="B1588" t="s">
        <v>160</v>
      </c>
      <c r="C1588" s="8">
        <v>46170</v>
      </c>
      <c r="D1588" s="9">
        <v>28253</v>
      </c>
    </row>
    <row r="1589" spans="1:4">
      <c r="A1589" t="s">
        <v>31</v>
      </c>
      <c r="B1589" t="s">
        <v>48</v>
      </c>
      <c r="C1589" s="8">
        <v>46170</v>
      </c>
      <c r="D1589" s="9">
        <v>11879</v>
      </c>
    </row>
    <row r="1590" spans="1:4">
      <c r="A1590" t="s">
        <v>25</v>
      </c>
      <c r="B1590" t="s">
        <v>117</v>
      </c>
      <c r="C1590" s="8">
        <v>46170</v>
      </c>
      <c r="D1590" s="9">
        <v>18495</v>
      </c>
    </row>
    <row r="1591" spans="1:4">
      <c r="A1591" t="s">
        <v>25</v>
      </c>
      <c r="B1591" t="s">
        <v>228</v>
      </c>
      <c r="C1591" s="8">
        <v>46170</v>
      </c>
      <c r="D1591" s="9">
        <v>12759</v>
      </c>
    </row>
    <row r="1592" spans="1:4">
      <c r="A1592" t="s">
        <v>8</v>
      </c>
      <c r="B1592" t="s">
        <v>216</v>
      </c>
      <c r="C1592" s="8">
        <v>46170</v>
      </c>
      <c r="D1592" s="9">
        <v>11766</v>
      </c>
    </row>
    <row r="1593" spans="1:4">
      <c r="A1593" t="s">
        <v>8</v>
      </c>
      <c r="B1593" t="s">
        <v>225</v>
      </c>
      <c r="C1593" s="8">
        <v>46170</v>
      </c>
      <c r="D1593" s="9">
        <v>11460</v>
      </c>
    </row>
    <row r="1594" spans="1:4">
      <c r="A1594" t="s">
        <v>6</v>
      </c>
      <c r="B1594" t="s">
        <v>192</v>
      </c>
      <c r="C1594" s="8">
        <v>46170</v>
      </c>
      <c r="D1594" s="9">
        <v>18707</v>
      </c>
    </row>
    <row r="1595" spans="1:4">
      <c r="A1595" t="s">
        <v>29</v>
      </c>
      <c r="B1595" t="s">
        <v>155</v>
      </c>
      <c r="C1595" s="8">
        <v>46170</v>
      </c>
      <c r="D1595" s="9">
        <v>11211</v>
      </c>
    </row>
    <row r="1596" spans="1:4">
      <c r="A1596" t="s">
        <v>7</v>
      </c>
      <c r="B1596" t="s">
        <v>249</v>
      </c>
      <c r="C1596" s="8">
        <v>46170</v>
      </c>
      <c r="D1596" s="9">
        <v>18180</v>
      </c>
    </row>
    <row r="1597" spans="1:4">
      <c r="A1597" t="s">
        <v>5</v>
      </c>
      <c r="B1597" t="s">
        <v>183</v>
      </c>
      <c r="C1597" s="8">
        <v>46170</v>
      </c>
      <c r="D1597" s="9">
        <v>66138</v>
      </c>
    </row>
    <row r="1598" spans="1:4">
      <c r="A1598" t="s">
        <v>4</v>
      </c>
      <c r="B1598" t="s">
        <v>75</v>
      </c>
      <c r="C1598" s="8">
        <v>46171</v>
      </c>
      <c r="D1598" s="9">
        <v>18942</v>
      </c>
    </row>
    <row r="1599" spans="1:4">
      <c r="A1599" t="s">
        <v>4</v>
      </c>
      <c r="B1599" t="s">
        <v>181</v>
      </c>
      <c r="C1599" s="8">
        <v>46171</v>
      </c>
      <c r="D1599" s="9">
        <v>27127</v>
      </c>
    </row>
    <row r="1600" spans="1:4">
      <c r="A1600" t="s">
        <v>4</v>
      </c>
      <c r="B1600" t="s">
        <v>223</v>
      </c>
      <c r="C1600" s="8">
        <v>46171</v>
      </c>
      <c r="D1600" s="9">
        <v>33932</v>
      </c>
    </row>
    <row r="1601" spans="1:4">
      <c r="A1601" t="s">
        <v>25</v>
      </c>
      <c r="B1601" t="s">
        <v>59</v>
      </c>
      <c r="C1601" s="8">
        <v>46171</v>
      </c>
      <c r="D1601" s="9">
        <v>13107</v>
      </c>
    </row>
    <row r="1602" spans="1:4">
      <c r="A1602" t="s">
        <v>7</v>
      </c>
      <c r="B1602" t="s">
        <v>122</v>
      </c>
      <c r="C1602" s="8">
        <v>46171</v>
      </c>
      <c r="D1602" s="9">
        <v>5821</v>
      </c>
    </row>
    <row r="1603" spans="1:4">
      <c r="A1603" t="s">
        <v>9</v>
      </c>
      <c r="B1603" t="s">
        <v>111</v>
      </c>
      <c r="C1603" s="8">
        <v>46171</v>
      </c>
      <c r="D1603" s="9">
        <v>21867</v>
      </c>
    </row>
    <row r="1604" spans="1:4">
      <c r="A1604" t="s">
        <v>9</v>
      </c>
      <c r="B1604" t="s">
        <v>91</v>
      </c>
      <c r="C1604" s="8">
        <v>46171</v>
      </c>
      <c r="D1604" s="9">
        <v>24535</v>
      </c>
    </row>
    <row r="1605" spans="1:4">
      <c r="A1605" t="s">
        <v>9</v>
      </c>
      <c r="B1605" t="s">
        <v>148</v>
      </c>
      <c r="C1605" s="8">
        <v>46171</v>
      </c>
      <c r="D1605" s="9">
        <v>55803</v>
      </c>
    </row>
    <row r="1606" spans="1:4">
      <c r="A1606" t="s">
        <v>9</v>
      </c>
      <c r="B1606" t="s">
        <v>158</v>
      </c>
      <c r="C1606" s="8">
        <v>46171</v>
      </c>
      <c r="D1606" s="9">
        <v>47436</v>
      </c>
    </row>
    <row r="1607" spans="1:4">
      <c r="A1607" t="s">
        <v>5</v>
      </c>
      <c r="B1607" t="s">
        <v>72</v>
      </c>
      <c r="C1607" s="8">
        <v>46171</v>
      </c>
      <c r="D1607" s="9">
        <v>36786</v>
      </c>
    </row>
    <row r="1608" spans="1:4">
      <c r="A1608" t="s">
        <v>5</v>
      </c>
      <c r="B1608" t="s">
        <v>74</v>
      </c>
      <c r="C1608" s="8">
        <v>46171</v>
      </c>
      <c r="D1608" s="9">
        <v>50178</v>
      </c>
    </row>
    <row r="1609" spans="1:4">
      <c r="A1609" t="s">
        <v>5</v>
      </c>
      <c r="B1609" t="s">
        <v>277</v>
      </c>
      <c r="C1609" s="8">
        <v>46171</v>
      </c>
      <c r="D1609" s="9">
        <v>49561</v>
      </c>
    </row>
    <row r="1610" spans="1:4">
      <c r="A1610" t="s">
        <v>30</v>
      </c>
      <c r="B1610" t="s">
        <v>112</v>
      </c>
      <c r="C1610" s="8">
        <v>46172</v>
      </c>
      <c r="D1610" s="9">
        <v>11250</v>
      </c>
    </row>
    <row r="1611" spans="1:4">
      <c r="A1611" t="s">
        <v>8</v>
      </c>
      <c r="B1611" t="s">
        <v>129</v>
      </c>
      <c r="C1611" s="8">
        <v>46172</v>
      </c>
      <c r="D1611" s="9">
        <v>14784</v>
      </c>
    </row>
    <row r="1612" spans="1:4">
      <c r="A1612" t="s">
        <v>7</v>
      </c>
      <c r="B1612" t="s">
        <v>243</v>
      </c>
      <c r="C1612" s="8">
        <v>46172</v>
      </c>
      <c r="D1612" s="9">
        <v>5200</v>
      </c>
    </row>
    <row r="1613" spans="1:4">
      <c r="A1613" t="s">
        <v>7</v>
      </c>
      <c r="B1613" t="s">
        <v>142</v>
      </c>
      <c r="C1613" s="8">
        <v>46172</v>
      </c>
      <c r="D1613" s="9">
        <v>45238</v>
      </c>
    </row>
    <row r="1614" spans="1:4">
      <c r="A1614" t="s">
        <v>9</v>
      </c>
      <c r="B1614" t="s">
        <v>235</v>
      </c>
      <c r="C1614" s="8">
        <v>46172</v>
      </c>
      <c r="D1614" s="9">
        <v>33851</v>
      </c>
    </row>
    <row r="1615" spans="1:4">
      <c r="A1615" t="s">
        <v>9</v>
      </c>
      <c r="B1615" t="s">
        <v>276</v>
      </c>
      <c r="C1615" s="8">
        <v>46172</v>
      </c>
      <c r="D1615" s="9">
        <v>37298</v>
      </c>
    </row>
    <row r="1616" spans="1:4">
      <c r="A1616" t="s">
        <v>5</v>
      </c>
      <c r="B1616" t="s">
        <v>167</v>
      </c>
      <c r="C1616" s="8">
        <v>46172</v>
      </c>
      <c r="D1616" s="9">
        <v>33965</v>
      </c>
    </row>
    <row r="1617" spans="1:4">
      <c r="A1617" t="s">
        <v>5</v>
      </c>
      <c r="B1617" t="s">
        <v>182</v>
      </c>
      <c r="C1617" s="8">
        <v>46172</v>
      </c>
      <c r="D1617" s="9">
        <v>46802</v>
      </c>
    </row>
    <row r="1618" spans="1:4">
      <c r="A1618" t="s">
        <v>5</v>
      </c>
      <c r="B1618" t="s">
        <v>251</v>
      </c>
      <c r="C1618" s="8">
        <v>46172</v>
      </c>
      <c r="D1618" s="9">
        <v>43638</v>
      </c>
    </row>
    <row r="1619" spans="1:4">
      <c r="A1619" t="s">
        <v>5</v>
      </c>
      <c r="B1619" t="s">
        <v>74</v>
      </c>
      <c r="C1619" s="8">
        <v>46172</v>
      </c>
      <c r="D1619" s="9">
        <v>35798</v>
      </c>
    </row>
    <row r="1620" spans="1:4">
      <c r="A1620" t="s">
        <v>5</v>
      </c>
      <c r="B1620" t="s">
        <v>101</v>
      </c>
      <c r="C1620" s="8">
        <v>46172</v>
      </c>
      <c r="D1620" s="9">
        <v>29199</v>
      </c>
    </row>
    <row r="1621" spans="1:4">
      <c r="A1621" t="s">
        <v>5</v>
      </c>
      <c r="B1621" t="s">
        <v>93</v>
      </c>
      <c r="C1621" s="8">
        <v>46172</v>
      </c>
      <c r="D1621" s="9">
        <v>52219</v>
      </c>
    </row>
    <row r="1622" spans="1:4">
      <c r="A1622" t="s">
        <v>5</v>
      </c>
      <c r="B1622" t="s">
        <v>212</v>
      </c>
      <c r="C1622" s="8">
        <v>46172</v>
      </c>
      <c r="D1622" s="9">
        <v>36074</v>
      </c>
    </row>
    <row r="1623" spans="1:4">
      <c r="A1623" t="s">
        <v>27</v>
      </c>
      <c r="B1623" t="s">
        <v>236</v>
      </c>
      <c r="C1623" s="8">
        <v>46173</v>
      </c>
      <c r="D1623" s="9">
        <v>10615</v>
      </c>
    </row>
    <row r="1624" spans="1:4">
      <c r="A1624" t="s">
        <v>4</v>
      </c>
      <c r="B1624" t="s">
        <v>134</v>
      </c>
      <c r="C1624" s="8">
        <v>46173</v>
      </c>
      <c r="D1624" s="9">
        <v>37306</v>
      </c>
    </row>
    <row r="1625" spans="1:4">
      <c r="A1625" t="s">
        <v>25</v>
      </c>
      <c r="B1625" t="s">
        <v>55</v>
      </c>
      <c r="C1625" s="8">
        <v>46173</v>
      </c>
      <c r="D1625" s="9">
        <v>16988</v>
      </c>
    </row>
    <row r="1626" spans="1:4">
      <c r="A1626" t="s">
        <v>26</v>
      </c>
      <c r="B1626" t="s">
        <v>138</v>
      </c>
      <c r="C1626" s="8">
        <v>46173</v>
      </c>
      <c r="D1626" s="9">
        <v>13351</v>
      </c>
    </row>
    <row r="1627" spans="1:4">
      <c r="A1627" t="s">
        <v>26</v>
      </c>
      <c r="B1627" t="s">
        <v>257</v>
      </c>
      <c r="C1627" s="8">
        <v>46173</v>
      </c>
      <c r="D1627" s="9">
        <v>24303</v>
      </c>
    </row>
    <row r="1628" spans="1:4">
      <c r="A1628" t="s">
        <v>30</v>
      </c>
      <c r="B1628" t="s">
        <v>139</v>
      </c>
      <c r="C1628" s="8">
        <v>46173</v>
      </c>
      <c r="D1628" s="9">
        <v>13841</v>
      </c>
    </row>
    <row r="1629" spans="1:4">
      <c r="A1629" t="s">
        <v>5</v>
      </c>
      <c r="B1629" t="s">
        <v>239</v>
      </c>
      <c r="C1629" s="8">
        <v>46173</v>
      </c>
      <c r="D1629" s="9">
        <v>27345</v>
      </c>
    </row>
    <row r="1630" spans="1:4">
      <c r="A1630" t="s">
        <v>5</v>
      </c>
      <c r="B1630" t="s">
        <v>98</v>
      </c>
      <c r="C1630" s="8">
        <v>46173</v>
      </c>
      <c r="D1630" s="9">
        <v>47283</v>
      </c>
    </row>
    <row r="1631" spans="1:4">
      <c r="A1631" t="s">
        <v>5</v>
      </c>
      <c r="B1631" t="s">
        <v>123</v>
      </c>
      <c r="C1631" s="8">
        <v>46173</v>
      </c>
      <c r="D1631" s="9">
        <v>42169</v>
      </c>
    </row>
    <row r="1632" spans="1:4">
      <c r="A1632" t="s">
        <v>5</v>
      </c>
      <c r="B1632" t="s">
        <v>74</v>
      </c>
      <c r="C1632" s="8">
        <v>46173</v>
      </c>
      <c r="D1632" s="9">
        <v>43132</v>
      </c>
    </row>
    <row r="1633" spans="1:4">
      <c r="A1633" t="s">
        <v>5</v>
      </c>
      <c r="B1633" t="s">
        <v>107</v>
      </c>
      <c r="C1633" s="8">
        <v>46173</v>
      </c>
      <c r="D1633" s="9">
        <v>58834</v>
      </c>
    </row>
    <row r="1634" spans="1:4">
      <c r="A1634" t="s">
        <v>4</v>
      </c>
      <c r="B1634" t="s">
        <v>136</v>
      </c>
      <c r="C1634" s="8">
        <v>46174</v>
      </c>
      <c r="D1634" s="9">
        <v>7441</v>
      </c>
    </row>
    <row r="1635" spans="1:4">
      <c r="A1635" t="s">
        <v>4</v>
      </c>
      <c r="B1635" t="s">
        <v>241</v>
      </c>
      <c r="C1635" s="8">
        <v>46174</v>
      </c>
      <c r="D1635" s="9">
        <v>28805</v>
      </c>
    </row>
    <row r="1636" spans="1:4">
      <c r="A1636" t="s">
        <v>4</v>
      </c>
      <c r="B1636" t="s">
        <v>67</v>
      </c>
      <c r="C1636" s="8">
        <v>46174</v>
      </c>
      <c r="D1636" s="9">
        <v>28645</v>
      </c>
    </row>
    <row r="1637" spans="1:4">
      <c r="A1637" t="s">
        <v>4</v>
      </c>
      <c r="B1637" t="s">
        <v>50</v>
      </c>
      <c r="C1637" s="8">
        <v>46174</v>
      </c>
      <c r="D1637" s="9">
        <v>23409</v>
      </c>
    </row>
    <row r="1638" spans="1:4">
      <c r="A1638" t="s">
        <v>26</v>
      </c>
      <c r="B1638" t="s">
        <v>119</v>
      </c>
      <c r="C1638" s="8">
        <v>46174</v>
      </c>
      <c r="D1638" s="9">
        <v>23606</v>
      </c>
    </row>
    <row r="1639" spans="1:4">
      <c r="A1639" t="s">
        <v>26</v>
      </c>
      <c r="B1639" t="s">
        <v>236</v>
      </c>
      <c r="C1639" s="8">
        <v>46174</v>
      </c>
      <c r="D1639" s="9">
        <v>12253</v>
      </c>
    </row>
    <row r="1640" spans="1:4">
      <c r="A1640" t="s">
        <v>8</v>
      </c>
      <c r="B1640" t="s">
        <v>207</v>
      </c>
      <c r="C1640" s="8">
        <v>46174</v>
      </c>
      <c r="D1640" s="9">
        <v>5994</v>
      </c>
    </row>
    <row r="1641" spans="1:4">
      <c r="A1641" t="s">
        <v>7</v>
      </c>
      <c r="B1641" t="s">
        <v>165</v>
      </c>
      <c r="C1641" s="8">
        <v>46174</v>
      </c>
      <c r="D1641" s="9">
        <v>29316</v>
      </c>
    </row>
    <row r="1642" spans="1:4">
      <c r="A1642" t="s">
        <v>9</v>
      </c>
      <c r="B1642" t="s">
        <v>82</v>
      </c>
      <c r="C1642" s="8">
        <v>46174</v>
      </c>
      <c r="D1642" s="9">
        <v>26536</v>
      </c>
    </row>
    <row r="1643" spans="1:4">
      <c r="A1643" t="s">
        <v>5</v>
      </c>
      <c r="B1643" t="s">
        <v>251</v>
      </c>
      <c r="C1643" s="8">
        <v>46174</v>
      </c>
      <c r="D1643" s="9">
        <v>41012</v>
      </c>
    </row>
    <row r="1644" spans="1:4">
      <c r="A1644" t="s">
        <v>5</v>
      </c>
      <c r="B1644" t="s">
        <v>270</v>
      </c>
      <c r="C1644" s="8">
        <v>46174</v>
      </c>
      <c r="D1644" s="9">
        <v>50509</v>
      </c>
    </row>
    <row r="1645" spans="1:4">
      <c r="A1645" t="s">
        <v>5</v>
      </c>
      <c r="B1645" t="s">
        <v>172</v>
      </c>
      <c r="C1645" s="8">
        <v>46174</v>
      </c>
      <c r="D1645" s="9">
        <v>29414</v>
      </c>
    </row>
    <row r="1646" spans="1:4">
      <c r="A1646" t="s">
        <v>5</v>
      </c>
      <c r="B1646" t="s">
        <v>58</v>
      </c>
      <c r="C1646" s="8">
        <v>46174</v>
      </c>
      <c r="D1646" s="9">
        <v>52499</v>
      </c>
    </row>
    <row r="1647" spans="1:4">
      <c r="A1647" t="s">
        <v>5</v>
      </c>
      <c r="B1647" t="s">
        <v>189</v>
      </c>
      <c r="C1647" s="8">
        <v>46174</v>
      </c>
      <c r="D1647" s="9">
        <v>49954</v>
      </c>
    </row>
    <row r="1648" spans="1:4">
      <c r="A1648" t="s">
        <v>4</v>
      </c>
      <c r="B1648" t="s">
        <v>126</v>
      </c>
      <c r="C1648" s="8">
        <v>46175</v>
      </c>
      <c r="D1648" s="9">
        <v>28690</v>
      </c>
    </row>
    <row r="1649" spans="1:4">
      <c r="A1649" t="s">
        <v>25</v>
      </c>
      <c r="B1649" t="s">
        <v>128</v>
      </c>
      <c r="C1649" s="8">
        <v>46175</v>
      </c>
      <c r="D1649" s="9">
        <v>26665</v>
      </c>
    </row>
    <row r="1650" spans="1:4">
      <c r="A1650" t="s">
        <v>30</v>
      </c>
      <c r="B1650" t="s">
        <v>63</v>
      </c>
      <c r="C1650" s="8">
        <v>46175</v>
      </c>
      <c r="D1650" s="9">
        <v>12067</v>
      </c>
    </row>
    <row r="1651" spans="1:4">
      <c r="A1651" t="s">
        <v>5</v>
      </c>
      <c r="B1651" t="s">
        <v>98</v>
      </c>
      <c r="C1651" s="8">
        <v>46175</v>
      </c>
      <c r="D1651" s="9">
        <v>45181</v>
      </c>
    </row>
    <row r="1652" spans="1:4">
      <c r="A1652" t="s">
        <v>5</v>
      </c>
      <c r="B1652" t="s">
        <v>107</v>
      </c>
      <c r="C1652" s="8">
        <v>46175</v>
      </c>
      <c r="D1652" s="9">
        <v>39611</v>
      </c>
    </row>
    <row r="1653" spans="1:4">
      <c r="A1653" t="s">
        <v>5</v>
      </c>
      <c r="B1653" t="s">
        <v>108</v>
      </c>
      <c r="C1653" s="8">
        <v>46175</v>
      </c>
      <c r="D1653" s="9">
        <v>43317</v>
      </c>
    </row>
    <row r="1654" spans="1:4">
      <c r="A1654" t="s">
        <v>27</v>
      </c>
      <c r="B1654" t="s">
        <v>184</v>
      </c>
      <c r="C1654" s="8">
        <v>46176</v>
      </c>
      <c r="D1654" s="9">
        <v>23862</v>
      </c>
    </row>
    <row r="1655" spans="1:4">
      <c r="A1655" t="s">
        <v>8</v>
      </c>
      <c r="B1655" t="s">
        <v>237</v>
      </c>
      <c r="C1655" s="8">
        <v>46176</v>
      </c>
      <c r="D1655" s="9">
        <v>27576</v>
      </c>
    </row>
    <row r="1656" spans="1:4">
      <c r="A1656" t="s">
        <v>8</v>
      </c>
      <c r="B1656" t="s">
        <v>147</v>
      </c>
      <c r="C1656" s="8">
        <v>46176</v>
      </c>
      <c r="D1656" s="9">
        <v>15970</v>
      </c>
    </row>
    <row r="1657" spans="1:4">
      <c r="A1657" t="s">
        <v>6</v>
      </c>
      <c r="B1657" t="s">
        <v>274</v>
      </c>
      <c r="C1657" s="8">
        <v>46176</v>
      </c>
      <c r="D1657" s="9">
        <v>23057</v>
      </c>
    </row>
    <row r="1658" spans="1:4">
      <c r="A1658" t="s">
        <v>6</v>
      </c>
      <c r="B1658" t="s">
        <v>120</v>
      </c>
      <c r="C1658" s="8">
        <v>46176</v>
      </c>
      <c r="D1658" s="9">
        <v>13754</v>
      </c>
    </row>
    <row r="1659" spans="1:4">
      <c r="A1659" t="s">
        <v>7</v>
      </c>
      <c r="B1659" t="s">
        <v>65</v>
      </c>
      <c r="C1659" s="8">
        <v>46176</v>
      </c>
      <c r="D1659" s="9">
        <v>7447</v>
      </c>
    </row>
    <row r="1660" spans="1:4">
      <c r="A1660" t="s">
        <v>9</v>
      </c>
      <c r="B1660" t="s">
        <v>187</v>
      </c>
      <c r="C1660" s="8">
        <v>46176</v>
      </c>
      <c r="D1660" s="9">
        <v>45202</v>
      </c>
    </row>
    <row r="1661" spans="1:4">
      <c r="A1661" t="s">
        <v>5</v>
      </c>
      <c r="B1661" t="s">
        <v>167</v>
      </c>
      <c r="C1661" s="8">
        <v>46176</v>
      </c>
      <c r="D1661" s="9">
        <v>27631</v>
      </c>
    </row>
    <row r="1662" spans="1:4">
      <c r="A1662" t="s">
        <v>5</v>
      </c>
      <c r="B1662" t="s">
        <v>99</v>
      </c>
      <c r="C1662" s="8">
        <v>46176</v>
      </c>
      <c r="D1662" s="9">
        <v>39205</v>
      </c>
    </row>
    <row r="1663" spans="1:4">
      <c r="A1663" t="s">
        <v>5</v>
      </c>
      <c r="B1663" t="s">
        <v>115</v>
      </c>
      <c r="C1663" s="8">
        <v>46176</v>
      </c>
      <c r="D1663" s="9">
        <v>36543</v>
      </c>
    </row>
    <row r="1664" spans="1:4">
      <c r="A1664" t="s">
        <v>38</v>
      </c>
      <c r="B1664" t="s">
        <v>110</v>
      </c>
      <c r="C1664" s="8">
        <v>46177</v>
      </c>
      <c r="D1664" s="9">
        <v>11863</v>
      </c>
    </row>
    <row r="1665" spans="1:4">
      <c r="A1665" t="s">
        <v>4</v>
      </c>
      <c r="B1665" t="s">
        <v>98</v>
      </c>
      <c r="C1665" s="8">
        <v>46177</v>
      </c>
      <c r="D1665" s="9">
        <v>37521</v>
      </c>
    </row>
    <row r="1666" spans="1:4">
      <c r="A1666" t="s">
        <v>28</v>
      </c>
      <c r="B1666" t="s">
        <v>161</v>
      </c>
      <c r="C1666" s="8">
        <v>46177</v>
      </c>
      <c r="D1666" s="9">
        <v>9540</v>
      </c>
    </row>
    <row r="1667" spans="1:4">
      <c r="A1667" t="s">
        <v>28</v>
      </c>
      <c r="B1667" t="s">
        <v>174</v>
      </c>
      <c r="C1667" s="8">
        <v>46177</v>
      </c>
      <c r="D1667" s="9">
        <v>18253</v>
      </c>
    </row>
    <row r="1668" spans="1:4">
      <c r="A1668" t="s">
        <v>6</v>
      </c>
      <c r="B1668" t="s">
        <v>103</v>
      </c>
      <c r="C1668" s="8">
        <v>46177</v>
      </c>
      <c r="D1668" s="9">
        <v>9907</v>
      </c>
    </row>
    <row r="1669" spans="1:4">
      <c r="A1669" t="s">
        <v>29</v>
      </c>
      <c r="B1669" t="s">
        <v>279</v>
      </c>
      <c r="C1669" s="8">
        <v>46177</v>
      </c>
      <c r="D1669" s="9">
        <v>13729</v>
      </c>
    </row>
    <row r="1670" spans="1:4">
      <c r="A1670" t="s">
        <v>7</v>
      </c>
      <c r="B1670" t="s">
        <v>243</v>
      </c>
      <c r="C1670" s="8">
        <v>46177</v>
      </c>
      <c r="D1670" s="9">
        <v>39873</v>
      </c>
    </row>
    <row r="1671" spans="1:4">
      <c r="A1671" t="s">
        <v>7</v>
      </c>
      <c r="B1671" t="s">
        <v>105</v>
      </c>
      <c r="C1671" s="8">
        <v>46177</v>
      </c>
      <c r="D1671" s="9">
        <v>24023</v>
      </c>
    </row>
    <row r="1672" spans="1:4">
      <c r="A1672" t="s">
        <v>7</v>
      </c>
      <c r="B1672" t="s">
        <v>47</v>
      </c>
      <c r="C1672" s="8">
        <v>46177</v>
      </c>
      <c r="D1672" s="9">
        <v>21019</v>
      </c>
    </row>
    <row r="1673" spans="1:4">
      <c r="A1673" t="s">
        <v>5</v>
      </c>
      <c r="B1673" t="s">
        <v>106</v>
      </c>
      <c r="C1673" s="8">
        <v>46177</v>
      </c>
      <c r="D1673" s="9">
        <v>29437</v>
      </c>
    </row>
    <row r="1674" spans="1:4">
      <c r="A1674" t="s">
        <v>5</v>
      </c>
      <c r="B1674" t="s">
        <v>239</v>
      </c>
      <c r="C1674" s="8">
        <v>46177</v>
      </c>
      <c r="D1674" s="9">
        <v>27060</v>
      </c>
    </row>
    <row r="1675" spans="1:4">
      <c r="A1675" t="s">
        <v>5</v>
      </c>
      <c r="B1675" t="s">
        <v>73</v>
      </c>
      <c r="C1675" s="8">
        <v>46177</v>
      </c>
      <c r="D1675" s="9">
        <v>49235</v>
      </c>
    </row>
    <row r="1676" spans="1:4">
      <c r="A1676" t="s">
        <v>5</v>
      </c>
      <c r="B1676" t="s">
        <v>252</v>
      </c>
      <c r="C1676" s="8">
        <v>46177</v>
      </c>
      <c r="D1676" s="9">
        <v>47612</v>
      </c>
    </row>
    <row r="1677" spans="1:4">
      <c r="A1677" t="s">
        <v>5</v>
      </c>
      <c r="B1677" t="s">
        <v>107</v>
      </c>
      <c r="C1677" s="8">
        <v>46177</v>
      </c>
      <c r="D1677" s="9">
        <v>59445</v>
      </c>
    </row>
    <row r="1678" spans="1:4">
      <c r="A1678" t="s">
        <v>25</v>
      </c>
      <c r="B1678" t="s">
        <v>86</v>
      </c>
      <c r="C1678" s="8">
        <v>46178</v>
      </c>
      <c r="D1678" s="9">
        <v>15478</v>
      </c>
    </row>
    <row r="1679" spans="1:4">
      <c r="A1679" t="s">
        <v>26</v>
      </c>
      <c r="B1679" t="s">
        <v>256</v>
      </c>
      <c r="C1679" s="8">
        <v>46178</v>
      </c>
      <c r="D1679" s="9">
        <v>14025</v>
      </c>
    </row>
    <row r="1680" spans="1:4">
      <c r="A1680" t="s">
        <v>26</v>
      </c>
      <c r="B1680" t="s">
        <v>95</v>
      </c>
      <c r="C1680" s="8">
        <v>46178</v>
      </c>
      <c r="D1680" s="9">
        <v>22910</v>
      </c>
    </row>
    <row r="1681" spans="1:4">
      <c r="A1681" t="s">
        <v>8</v>
      </c>
      <c r="B1681" t="s">
        <v>246</v>
      </c>
      <c r="C1681" s="8">
        <v>46178</v>
      </c>
      <c r="D1681" s="9">
        <v>15940</v>
      </c>
    </row>
    <row r="1682" spans="1:4">
      <c r="A1682" t="s">
        <v>32</v>
      </c>
      <c r="B1682" t="s">
        <v>282</v>
      </c>
      <c r="C1682" s="8">
        <v>46178</v>
      </c>
      <c r="D1682" s="9">
        <v>13379</v>
      </c>
    </row>
    <row r="1683" spans="1:4">
      <c r="A1683" t="s">
        <v>9</v>
      </c>
      <c r="B1683" t="s">
        <v>143</v>
      </c>
      <c r="C1683" s="8">
        <v>46178</v>
      </c>
      <c r="D1683" s="9">
        <v>28584</v>
      </c>
    </row>
    <row r="1684" spans="1:4">
      <c r="A1684" t="s">
        <v>5</v>
      </c>
      <c r="B1684" t="s">
        <v>54</v>
      </c>
      <c r="C1684" s="8">
        <v>46178</v>
      </c>
      <c r="D1684" s="9">
        <v>50498</v>
      </c>
    </row>
    <row r="1685" spans="1:4">
      <c r="A1685" t="s">
        <v>5</v>
      </c>
      <c r="B1685" t="s">
        <v>211</v>
      </c>
      <c r="C1685" s="8">
        <v>46178</v>
      </c>
      <c r="D1685" s="9">
        <v>35697</v>
      </c>
    </row>
    <row r="1686" spans="1:4">
      <c r="A1686" t="s">
        <v>27</v>
      </c>
      <c r="B1686" t="s">
        <v>173</v>
      </c>
      <c r="C1686" s="8">
        <v>46179</v>
      </c>
      <c r="D1686" s="9">
        <v>5200</v>
      </c>
    </row>
    <row r="1687" spans="1:4">
      <c r="A1687" t="s">
        <v>4</v>
      </c>
      <c r="B1687" t="s">
        <v>190</v>
      </c>
      <c r="C1687" s="8">
        <v>46179</v>
      </c>
      <c r="D1687" s="9">
        <v>20557</v>
      </c>
    </row>
    <row r="1688" spans="1:4">
      <c r="A1688" t="s">
        <v>4</v>
      </c>
      <c r="B1688" t="s">
        <v>234</v>
      </c>
      <c r="C1688" s="8">
        <v>46179</v>
      </c>
      <c r="D1688" s="9">
        <v>46977</v>
      </c>
    </row>
    <row r="1689" spans="1:4">
      <c r="A1689" t="s">
        <v>25</v>
      </c>
      <c r="B1689" t="s">
        <v>228</v>
      </c>
      <c r="C1689" s="8">
        <v>46179</v>
      </c>
      <c r="D1689" s="9">
        <v>12609</v>
      </c>
    </row>
    <row r="1690" spans="1:4">
      <c r="A1690" t="s">
        <v>30</v>
      </c>
      <c r="B1690" t="s">
        <v>154</v>
      </c>
      <c r="C1690" s="8">
        <v>46179</v>
      </c>
      <c r="D1690" s="9">
        <v>11627</v>
      </c>
    </row>
    <row r="1691" spans="1:4">
      <c r="A1691" t="s">
        <v>8</v>
      </c>
      <c r="B1691" t="s">
        <v>129</v>
      </c>
      <c r="C1691" s="8">
        <v>46179</v>
      </c>
      <c r="D1691" s="9">
        <v>18469</v>
      </c>
    </row>
    <row r="1692" spans="1:4">
      <c r="A1692" t="s">
        <v>7</v>
      </c>
      <c r="B1692" t="s">
        <v>238</v>
      </c>
      <c r="C1692" s="8">
        <v>46179</v>
      </c>
      <c r="D1692" s="9">
        <v>26715</v>
      </c>
    </row>
    <row r="1693" spans="1:4">
      <c r="A1693" t="s">
        <v>9</v>
      </c>
      <c r="B1693" t="s">
        <v>106</v>
      </c>
      <c r="C1693" s="8">
        <v>46179</v>
      </c>
      <c r="D1693" s="9">
        <v>38761</v>
      </c>
    </row>
    <row r="1694" spans="1:4">
      <c r="A1694" t="s">
        <v>5</v>
      </c>
      <c r="B1694" t="s">
        <v>209</v>
      </c>
      <c r="C1694" s="8">
        <v>46179</v>
      </c>
      <c r="D1694" s="9">
        <v>35029</v>
      </c>
    </row>
    <row r="1695" spans="1:4">
      <c r="A1695" t="s">
        <v>5</v>
      </c>
      <c r="B1695" t="s">
        <v>99</v>
      </c>
      <c r="C1695" s="8">
        <v>46179</v>
      </c>
      <c r="D1695" s="9">
        <v>32732</v>
      </c>
    </row>
    <row r="1696" spans="1:4">
      <c r="A1696" t="s">
        <v>5</v>
      </c>
      <c r="B1696" t="s">
        <v>252</v>
      </c>
      <c r="C1696" s="8">
        <v>46179</v>
      </c>
      <c r="D1696" s="9">
        <v>43125</v>
      </c>
    </row>
    <row r="1697" spans="1:4">
      <c r="A1697" t="s">
        <v>5</v>
      </c>
      <c r="B1697" t="s">
        <v>54</v>
      </c>
      <c r="C1697" s="8">
        <v>46179</v>
      </c>
      <c r="D1697" s="9">
        <v>42282</v>
      </c>
    </row>
    <row r="1698" spans="1:4">
      <c r="A1698" t="s">
        <v>5</v>
      </c>
      <c r="B1698" t="s">
        <v>61</v>
      </c>
      <c r="C1698" s="8">
        <v>46179</v>
      </c>
      <c r="D1698" s="9">
        <v>38859</v>
      </c>
    </row>
    <row r="1699" spans="1:4">
      <c r="A1699" t="s">
        <v>4</v>
      </c>
      <c r="B1699" t="s">
        <v>150</v>
      </c>
      <c r="C1699" s="8">
        <v>46180</v>
      </c>
      <c r="D1699" s="9">
        <v>38611</v>
      </c>
    </row>
    <row r="1700" spans="1:4">
      <c r="A1700" t="s">
        <v>4</v>
      </c>
      <c r="B1700" t="s">
        <v>151</v>
      </c>
      <c r="C1700" s="8">
        <v>46180</v>
      </c>
      <c r="D1700" s="9">
        <v>26883</v>
      </c>
    </row>
    <row r="1701" spans="1:4">
      <c r="A1701" t="s">
        <v>26</v>
      </c>
      <c r="B1701" t="s">
        <v>216</v>
      </c>
      <c r="C1701" s="8">
        <v>46180</v>
      </c>
      <c r="D1701" s="9">
        <v>12727</v>
      </c>
    </row>
    <row r="1702" spans="1:4">
      <c r="A1702" t="s">
        <v>7</v>
      </c>
      <c r="B1702" t="s">
        <v>142</v>
      </c>
      <c r="C1702" s="8">
        <v>46180</v>
      </c>
      <c r="D1702" s="9">
        <v>5495</v>
      </c>
    </row>
    <row r="1703" spans="1:4">
      <c r="A1703" t="s">
        <v>9</v>
      </c>
      <c r="B1703" t="s">
        <v>220</v>
      </c>
      <c r="C1703" s="8">
        <v>46180</v>
      </c>
      <c r="D1703" s="9">
        <v>45272</v>
      </c>
    </row>
    <row r="1704" spans="1:4">
      <c r="A1704" t="s">
        <v>5</v>
      </c>
      <c r="B1704" t="s">
        <v>239</v>
      </c>
      <c r="C1704" s="8">
        <v>46180</v>
      </c>
      <c r="D1704" s="9">
        <v>40628</v>
      </c>
    </row>
    <row r="1705" spans="1:4">
      <c r="A1705" t="s">
        <v>5</v>
      </c>
      <c r="B1705" t="s">
        <v>182</v>
      </c>
      <c r="C1705" s="8">
        <v>46180</v>
      </c>
      <c r="D1705" s="9">
        <v>48761</v>
      </c>
    </row>
    <row r="1706" spans="1:4">
      <c r="A1706" t="s">
        <v>5</v>
      </c>
      <c r="B1706" t="s">
        <v>97</v>
      </c>
      <c r="C1706" s="8">
        <v>46180</v>
      </c>
      <c r="D1706" s="9">
        <v>49123</v>
      </c>
    </row>
    <row r="1707" spans="1:4">
      <c r="A1707" t="s">
        <v>5</v>
      </c>
      <c r="B1707" t="s">
        <v>98</v>
      </c>
      <c r="C1707" s="8">
        <v>46180</v>
      </c>
      <c r="D1707" s="9">
        <v>51827</v>
      </c>
    </row>
    <row r="1708" spans="1:4">
      <c r="A1708" t="s">
        <v>5</v>
      </c>
      <c r="B1708" t="s">
        <v>92</v>
      </c>
      <c r="C1708" s="8">
        <v>46180</v>
      </c>
      <c r="D1708" s="9">
        <v>50478</v>
      </c>
    </row>
    <row r="1709" spans="1:4">
      <c r="A1709" t="s">
        <v>5</v>
      </c>
      <c r="B1709" t="s">
        <v>123</v>
      </c>
      <c r="C1709" s="8">
        <v>46180</v>
      </c>
      <c r="D1709" s="9">
        <v>38256</v>
      </c>
    </row>
    <row r="1710" spans="1:4">
      <c r="A1710" t="s">
        <v>5</v>
      </c>
      <c r="B1710" t="s">
        <v>183</v>
      </c>
      <c r="C1710" s="8">
        <v>46180</v>
      </c>
      <c r="D1710" s="9">
        <v>32832</v>
      </c>
    </row>
    <row r="1711" spans="1:4">
      <c r="A1711" t="s">
        <v>35</v>
      </c>
      <c r="B1711" t="s">
        <v>94</v>
      </c>
      <c r="C1711" s="8">
        <v>46181</v>
      </c>
      <c r="D1711" s="9">
        <v>11181</v>
      </c>
    </row>
    <row r="1712" spans="1:4">
      <c r="A1712" t="s">
        <v>27</v>
      </c>
      <c r="B1712" t="s">
        <v>213</v>
      </c>
      <c r="C1712" s="8">
        <v>46181</v>
      </c>
      <c r="D1712" s="9">
        <v>12841</v>
      </c>
    </row>
    <row r="1713" spans="1:4">
      <c r="A1713" t="s">
        <v>4</v>
      </c>
      <c r="B1713" t="s">
        <v>254</v>
      </c>
      <c r="C1713" s="8">
        <v>46181</v>
      </c>
      <c r="D1713" s="9">
        <v>29211</v>
      </c>
    </row>
    <row r="1714" spans="1:4">
      <c r="A1714" t="s">
        <v>25</v>
      </c>
      <c r="B1714" t="s">
        <v>117</v>
      </c>
      <c r="C1714" s="8">
        <v>46181</v>
      </c>
      <c r="D1714" s="9">
        <v>16692</v>
      </c>
    </row>
    <row r="1715" spans="1:4">
      <c r="A1715" t="s">
        <v>8</v>
      </c>
      <c r="B1715" t="s">
        <v>64</v>
      </c>
      <c r="C1715" s="8">
        <v>46181</v>
      </c>
      <c r="D1715" s="9">
        <v>14814</v>
      </c>
    </row>
    <row r="1716" spans="1:4">
      <c r="A1716" t="s">
        <v>8</v>
      </c>
      <c r="B1716" t="s">
        <v>281</v>
      </c>
      <c r="C1716" s="8">
        <v>46181</v>
      </c>
      <c r="D1716" s="9">
        <v>27731</v>
      </c>
    </row>
    <row r="1717" spans="1:4">
      <c r="A1717" t="s">
        <v>6</v>
      </c>
      <c r="B1717" t="s">
        <v>225</v>
      </c>
      <c r="C1717" s="8">
        <v>46181</v>
      </c>
      <c r="D1717" s="9">
        <v>5200</v>
      </c>
    </row>
    <row r="1718" spans="1:4">
      <c r="A1718" t="s">
        <v>6</v>
      </c>
      <c r="B1718" t="s">
        <v>231</v>
      </c>
      <c r="C1718" s="8">
        <v>46181</v>
      </c>
      <c r="D1718" s="9">
        <v>19524</v>
      </c>
    </row>
    <row r="1719" spans="1:4">
      <c r="A1719" t="s">
        <v>7</v>
      </c>
      <c r="B1719" t="s">
        <v>89</v>
      </c>
      <c r="C1719" s="8">
        <v>46181</v>
      </c>
      <c r="D1719" s="9">
        <v>25425</v>
      </c>
    </row>
    <row r="1720" spans="1:4">
      <c r="A1720" t="s">
        <v>9</v>
      </c>
      <c r="B1720" t="s">
        <v>83</v>
      </c>
      <c r="C1720" s="8">
        <v>46181</v>
      </c>
      <c r="D1720" s="9">
        <v>16654</v>
      </c>
    </row>
    <row r="1721" spans="1:4">
      <c r="A1721" t="s">
        <v>9</v>
      </c>
      <c r="B1721" t="s">
        <v>66</v>
      </c>
      <c r="C1721" s="8">
        <v>46181</v>
      </c>
      <c r="D1721" s="9">
        <v>39023</v>
      </c>
    </row>
    <row r="1722" spans="1:4">
      <c r="A1722" t="s">
        <v>5</v>
      </c>
      <c r="B1722" t="s">
        <v>60</v>
      </c>
      <c r="C1722" s="8">
        <v>46181</v>
      </c>
      <c r="D1722" s="9">
        <v>27517</v>
      </c>
    </row>
    <row r="1723" spans="1:4">
      <c r="A1723" t="s">
        <v>5</v>
      </c>
      <c r="B1723" t="s">
        <v>277</v>
      </c>
      <c r="C1723" s="8">
        <v>46181</v>
      </c>
      <c r="D1723" s="9">
        <v>39399</v>
      </c>
    </row>
    <row r="1724" spans="1:4">
      <c r="A1724" t="s">
        <v>4</v>
      </c>
      <c r="B1724" t="s">
        <v>60</v>
      </c>
      <c r="C1724" s="8">
        <v>46182</v>
      </c>
      <c r="D1724" s="9">
        <v>34504</v>
      </c>
    </row>
    <row r="1725" spans="1:4">
      <c r="A1725" t="s">
        <v>4</v>
      </c>
      <c r="B1725" t="s">
        <v>197</v>
      </c>
      <c r="C1725" s="8">
        <v>46182</v>
      </c>
      <c r="D1725" s="9">
        <v>27593</v>
      </c>
    </row>
    <row r="1726" spans="1:4">
      <c r="A1726" t="s">
        <v>4</v>
      </c>
      <c r="B1726" t="s">
        <v>245</v>
      </c>
      <c r="C1726" s="8">
        <v>46182</v>
      </c>
      <c r="D1726" s="9">
        <v>16158</v>
      </c>
    </row>
    <row r="1727" spans="1:4">
      <c r="A1727" t="s">
        <v>7</v>
      </c>
      <c r="B1727" t="s">
        <v>69</v>
      </c>
      <c r="C1727" s="8">
        <v>46182</v>
      </c>
      <c r="D1727" s="9">
        <v>13336</v>
      </c>
    </row>
    <row r="1728" spans="1:4">
      <c r="A1728" t="s">
        <v>7</v>
      </c>
      <c r="B1728" t="s">
        <v>275</v>
      </c>
      <c r="C1728" s="8">
        <v>46182</v>
      </c>
      <c r="D1728" s="9">
        <v>21500</v>
      </c>
    </row>
    <row r="1729" spans="1:4">
      <c r="A1729" t="s">
        <v>9</v>
      </c>
      <c r="B1729" t="s">
        <v>203</v>
      </c>
      <c r="C1729" s="8">
        <v>46182</v>
      </c>
      <c r="D1729" s="9">
        <v>35597</v>
      </c>
    </row>
    <row r="1730" spans="1:4">
      <c r="A1730" t="s">
        <v>5</v>
      </c>
      <c r="B1730" t="s">
        <v>108</v>
      </c>
      <c r="C1730" s="8">
        <v>46182</v>
      </c>
      <c r="D1730" s="9">
        <v>39426</v>
      </c>
    </row>
    <row r="1731" spans="1:4">
      <c r="A1731" t="s">
        <v>5</v>
      </c>
      <c r="B1731" t="s">
        <v>204</v>
      </c>
      <c r="C1731" s="8">
        <v>46182</v>
      </c>
      <c r="D1731" s="9">
        <v>46767</v>
      </c>
    </row>
    <row r="1732" spans="1:4">
      <c r="A1732" t="s">
        <v>27</v>
      </c>
      <c r="B1732" t="s">
        <v>149</v>
      </c>
      <c r="C1732" s="8">
        <v>46183</v>
      </c>
      <c r="D1732" s="9">
        <v>12626</v>
      </c>
    </row>
    <row r="1733" spans="1:4">
      <c r="A1733" t="s">
        <v>8</v>
      </c>
      <c r="B1733" t="s">
        <v>259</v>
      </c>
      <c r="C1733" s="8">
        <v>46183</v>
      </c>
      <c r="D1733" s="9">
        <v>16568</v>
      </c>
    </row>
    <row r="1734" spans="1:4">
      <c r="A1734" t="s">
        <v>7</v>
      </c>
      <c r="B1734" t="s">
        <v>170</v>
      </c>
      <c r="C1734" s="8">
        <v>46183</v>
      </c>
      <c r="D1734" s="9">
        <v>18263</v>
      </c>
    </row>
    <row r="1735" spans="1:4">
      <c r="A1735" t="s">
        <v>7</v>
      </c>
      <c r="B1735" t="s">
        <v>96</v>
      </c>
      <c r="C1735" s="8">
        <v>46183</v>
      </c>
      <c r="D1735" s="9">
        <v>31459</v>
      </c>
    </row>
    <row r="1736" spans="1:4">
      <c r="A1736" t="s">
        <v>9</v>
      </c>
      <c r="B1736" t="s">
        <v>137</v>
      </c>
      <c r="C1736" s="8">
        <v>46183</v>
      </c>
      <c r="D1736" s="9">
        <v>35532</v>
      </c>
    </row>
    <row r="1737" spans="1:4">
      <c r="A1737" t="s">
        <v>5</v>
      </c>
      <c r="B1737" t="s">
        <v>106</v>
      </c>
      <c r="C1737" s="8">
        <v>46183</v>
      </c>
      <c r="D1737" s="9">
        <v>35708</v>
      </c>
    </row>
    <row r="1738" spans="1:4">
      <c r="A1738" t="s">
        <v>5</v>
      </c>
      <c r="B1738" t="s">
        <v>72</v>
      </c>
      <c r="C1738" s="8">
        <v>46183</v>
      </c>
      <c r="D1738" s="9">
        <v>42923</v>
      </c>
    </row>
    <row r="1739" spans="1:4">
      <c r="A1739" t="s">
        <v>5</v>
      </c>
      <c r="B1739" t="s">
        <v>124</v>
      </c>
      <c r="C1739" s="8">
        <v>46183</v>
      </c>
      <c r="D1739" s="9">
        <v>35575</v>
      </c>
    </row>
    <row r="1740" spans="1:4">
      <c r="A1740" t="s">
        <v>5</v>
      </c>
      <c r="B1740" t="s">
        <v>277</v>
      </c>
      <c r="C1740" s="8">
        <v>46183</v>
      </c>
      <c r="D1740" s="9">
        <v>45943</v>
      </c>
    </row>
    <row r="1741" spans="1:4">
      <c r="A1741" t="s">
        <v>5</v>
      </c>
      <c r="B1741" t="s">
        <v>189</v>
      </c>
      <c r="C1741" s="8">
        <v>46183</v>
      </c>
      <c r="D1741" s="9">
        <v>36442</v>
      </c>
    </row>
    <row r="1742" spans="1:4">
      <c r="A1742" t="s">
        <v>4</v>
      </c>
      <c r="B1742" t="s">
        <v>223</v>
      </c>
      <c r="C1742" s="8">
        <v>46184</v>
      </c>
      <c r="D1742" s="9">
        <v>33350</v>
      </c>
    </row>
    <row r="1743" spans="1:4">
      <c r="A1743" t="s">
        <v>6</v>
      </c>
      <c r="B1743" t="s">
        <v>192</v>
      </c>
      <c r="C1743" s="8">
        <v>46184</v>
      </c>
      <c r="D1743" s="9">
        <v>17907</v>
      </c>
    </row>
    <row r="1744" spans="1:4">
      <c r="A1744" t="s">
        <v>7</v>
      </c>
      <c r="B1744" t="s">
        <v>201</v>
      </c>
      <c r="C1744" s="8">
        <v>46184</v>
      </c>
      <c r="D1744" s="9">
        <v>18128</v>
      </c>
    </row>
    <row r="1745" spans="1:4">
      <c r="A1745" t="s">
        <v>5</v>
      </c>
      <c r="B1745" t="s">
        <v>97</v>
      </c>
      <c r="C1745" s="8">
        <v>46184</v>
      </c>
      <c r="D1745" s="9">
        <v>50608</v>
      </c>
    </row>
    <row r="1746" spans="1:4">
      <c r="A1746" t="s">
        <v>5</v>
      </c>
      <c r="B1746" t="s">
        <v>84</v>
      </c>
      <c r="C1746" s="8">
        <v>46184</v>
      </c>
      <c r="D1746" s="9">
        <v>40166</v>
      </c>
    </row>
    <row r="1747" spans="1:4">
      <c r="A1747" t="s">
        <v>5</v>
      </c>
      <c r="B1747" t="s">
        <v>183</v>
      </c>
      <c r="C1747" s="8">
        <v>46184</v>
      </c>
      <c r="D1747" s="9">
        <v>41599</v>
      </c>
    </row>
    <row r="1748" spans="1:4">
      <c r="A1748" t="s">
        <v>5</v>
      </c>
      <c r="B1748" t="s">
        <v>159</v>
      </c>
      <c r="C1748" s="8">
        <v>46184</v>
      </c>
      <c r="D1748" s="9">
        <v>63301</v>
      </c>
    </row>
    <row r="1749" spans="1:4">
      <c r="A1749" t="s">
        <v>5</v>
      </c>
      <c r="B1749" t="s">
        <v>277</v>
      </c>
      <c r="C1749" s="8">
        <v>46184</v>
      </c>
      <c r="D1749" s="9">
        <v>37437</v>
      </c>
    </row>
    <row r="1750" spans="1:4">
      <c r="A1750" t="s">
        <v>27</v>
      </c>
      <c r="B1750" t="s">
        <v>253</v>
      </c>
      <c r="C1750" s="8">
        <v>46185</v>
      </c>
      <c r="D1750" s="9">
        <v>5200</v>
      </c>
    </row>
    <row r="1751" spans="1:4">
      <c r="A1751" t="s">
        <v>4</v>
      </c>
      <c r="B1751" t="s">
        <v>75</v>
      </c>
      <c r="C1751" s="8">
        <v>46185</v>
      </c>
      <c r="D1751" s="9">
        <v>23522</v>
      </c>
    </row>
    <row r="1752" spans="1:4">
      <c r="A1752" t="s">
        <v>4</v>
      </c>
      <c r="B1752" t="s">
        <v>198</v>
      </c>
      <c r="C1752" s="8">
        <v>46185</v>
      </c>
      <c r="D1752" s="9">
        <v>29306</v>
      </c>
    </row>
    <row r="1753" spans="1:4">
      <c r="A1753" t="s">
        <v>4</v>
      </c>
      <c r="B1753" t="s">
        <v>85</v>
      </c>
      <c r="C1753" s="8">
        <v>46185</v>
      </c>
      <c r="D1753" s="9">
        <v>10056</v>
      </c>
    </row>
    <row r="1754" spans="1:4">
      <c r="A1754" t="s">
        <v>4</v>
      </c>
      <c r="B1754" t="s">
        <v>76</v>
      </c>
      <c r="C1754" s="8">
        <v>46185</v>
      </c>
      <c r="D1754" s="9">
        <v>31550</v>
      </c>
    </row>
    <row r="1755" spans="1:4">
      <c r="A1755" t="s">
        <v>25</v>
      </c>
      <c r="B1755" t="s">
        <v>55</v>
      </c>
      <c r="C1755" s="8">
        <v>46185</v>
      </c>
      <c r="D1755" s="9">
        <v>9834</v>
      </c>
    </row>
    <row r="1756" spans="1:4">
      <c r="A1756" t="s">
        <v>36</v>
      </c>
      <c r="B1756" t="s">
        <v>229</v>
      </c>
      <c r="C1756" s="8">
        <v>46185</v>
      </c>
      <c r="D1756" s="9">
        <v>10789</v>
      </c>
    </row>
    <row r="1757" spans="1:4">
      <c r="A1757" t="s">
        <v>9</v>
      </c>
      <c r="B1757" t="s">
        <v>74</v>
      </c>
      <c r="C1757" s="8">
        <v>46185</v>
      </c>
      <c r="D1757" s="9">
        <v>37731</v>
      </c>
    </row>
    <row r="1758" spans="1:4">
      <c r="A1758" t="s">
        <v>9</v>
      </c>
      <c r="B1758" t="s">
        <v>249</v>
      </c>
      <c r="C1758" s="8">
        <v>46185</v>
      </c>
      <c r="D1758" s="9">
        <v>26481</v>
      </c>
    </row>
    <row r="1759" spans="1:4">
      <c r="A1759" t="s">
        <v>5</v>
      </c>
      <c r="B1759" t="s">
        <v>49</v>
      </c>
      <c r="C1759" s="8">
        <v>46185</v>
      </c>
      <c r="D1759" s="9">
        <v>40643</v>
      </c>
    </row>
    <row r="1760" spans="1:4">
      <c r="A1760" t="s">
        <v>5</v>
      </c>
      <c r="B1760" t="s">
        <v>49</v>
      </c>
      <c r="C1760" s="8">
        <v>46185</v>
      </c>
      <c r="D1760" s="9">
        <v>36457</v>
      </c>
    </row>
    <row r="1761" spans="1:4">
      <c r="A1761" t="s">
        <v>5</v>
      </c>
      <c r="B1761" t="s">
        <v>84</v>
      </c>
      <c r="C1761" s="8">
        <v>46185</v>
      </c>
      <c r="D1761" s="9">
        <v>38758</v>
      </c>
    </row>
    <row r="1762" spans="1:4">
      <c r="A1762" t="s">
        <v>5</v>
      </c>
      <c r="B1762" t="s">
        <v>107</v>
      </c>
      <c r="C1762" s="8">
        <v>46185</v>
      </c>
      <c r="D1762" s="9">
        <v>48899</v>
      </c>
    </row>
    <row r="1763" spans="1:4">
      <c r="A1763" t="s">
        <v>4</v>
      </c>
      <c r="B1763" t="s">
        <v>222</v>
      </c>
      <c r="C1763" s="8">
        <v>46186</v>
      </c>
      <c r="D1763" s="9">
        <v>33771</v>
      </c>
    </row>
    <row r="1764" spans="1:4">
      <c r="A1764" t="s">
        <v>31</v>
      </c>
      <c r="B1764" t="s">
        <v>68</v>
      </c>
      <c r="C1764" s="8">
        <v>46186</v>
      </c>
      <c r="D1764" s="9">
        <v>5200</v>
      </c>
    </row>
    <row r="1765" spans="1:4">
      <c r="A1765" t="s">
        <v>7</v>
      </c>
      <c r="B1765" t="s">
        <v>263</v>
      </c>
      <c r="C1765" s="8">
        <v>46186</v>
      </c>
      <c r="D1765" s="9">
        <v>19052</v>
      </c>
    </row>
    <row r="1766" spans="1:4">
      <c r="A1766" t="s">
        <v>9</v>
      </c>
      <c r="B1766" t="s">
        <v>111</v>
      </c>
      <c r="C1766" s="8">
        <v>46186</v>
      </c>
      <c r="D1766" s="9">
        <v>52536</v>
      </c>
    </row>
    <row r="1767" spans="1:4">
      <c r="A1767" t="s">
        <v>9</v>
      </c>
      <c r="B1767" t="s">
        <v>84</v>
      </c>
      <c r="C1767" s="8">
        <v>46186</v>
      </c>
      <c r="D1767" s="9">
        <v>47503</v>
      </c>
    </row>
    <row r="1768" spans="1:4">
      <c r="A1768" t="s">
        <v>9</v>
      </c>
      <c r="B1768" t="s">
        <v>219</v>
      </c>
      <c r="C1768" s="8">
        <v>46186</v>
      </c>
      <c r="D1768" s="9">
        <v>50893</v>
      </c>
    </row>
    <row r="1769" spans="1:4">
      <c r="A1769" t="s">
        <v>9</v>
      </c>
      <c r="B1769" t="s">
        <v>195</v>
      </c>
      <c r="C1769" s="8">
        <v>46186</v>
      </c>
      <c r="D1769" s="9">
        <v>23261</v>
      </c>
    </row>
    <row r="1770" spans="1:4">
      <c r="A1770" t="s">
        <v>5</v>
      </c>
      <c r="B1770" t="s">
        <v>277</v>
      </c>
      <c r="C1770" s="8">
        <v>46186</v>
      </c>
      <c r="D1770" s="9">
        <v>38517</v>
      </c>
    </row>
    <row r="1771" spans="1:4">
      <c r="A1771" t="s">
        <v>31</v>
      </c>
      <c r="B1771" t="s">
        <v>206</v>
      </c>
      <c r="C1771" s="8">
        <v>46187</v>
      </c>
      <c r="D1771" s="9">
        <v>11168</v>
      </c>
    </row>
    <row r="1772" spans="1:4">
      <c r="A1772" t="s">
        <v>25</v>
      </c>
      <c r="B1772" t="s">
        <v>278</v>
      </c>
      <c r="C1772" s="8">
        <v>46187</v>
      </c>
      <c r="D1772" s="9">
        <v>9426</v>
      </c>
    </row>
    <row r="1773" spans="1:4">
      <c r="A1773" t="s">
        <v>25</v>
      </c>
      <c r="B1773" t="s">
        <v>267</v>
      </c>
      <c r="C1773" s="8">
        <v>46187</v>
      </c>
      <c r="D1773" s="9">
        <v>15359</v>
      </c>
    </row>
    <row r="1774" spans="1:4">
      <c r="A1774" t="s">
        <v>26</v>
      </c>
      <c r="B1774" t="s">
        <v>205</v>
      </c>
      <c r="C1774" s="8">
        <v>46187</v>
      </c>
      <c r="D1774" s="9">
        <v>12804</v>
      </c>
    </row>
    <row r="1775" spans="1:4">
      <c r="A1775" t="s">
        <v>30</v>
      </c>
      <c r="B1775" t="s">
        <v>224</v>
      </c>
      <c r="C1775" s="8">
        <v>46187</v>
      </c>
      <c r="D1775" s="9">
        <v>12805</v>
      </c>
    </row>
    <row r="1776" spans="1:4">
      <c r="A1776" t="s">
        <v>34</v>
      </c>
      <c r="B1776" t="s">
        <v>169</v>
      </c>
      <c r="C1776" s="8">
        <v>46187</v>
      </c>
      <c r="D1776" s="9">
        <v>10996</v>
      </c>
    </row>
    <row r="1777" spans="1:4">
      <c r="A1777" t="s">
        <v>6</v>
      </c>
      <c r="B1777" t="s">
        <v>131</v>
      </c>
      <c r="C1777" s="8">
        <v>46187</v>
      </c>
      <c r="D1777" s="9">
        <v>17992</v>
      </c>
    </row>
    <row r="1778" spans="1:4">
      <c r="A1778" t="s">
        <v>5</v>
      </c>
      <c r="B1778" t="s">
        <v>114</v>
      </c>
      <c r="C1778" s="8">
        <v>46187</v>
      </c>
      <c r="D1778" s="9">
        <v>37128</v>
      </c>
    </row>
    <row r="1779" spans="1:4">
      <c r="A1779" t="s">
        <v>5</v>
      </c>
      <c r="B1779" t="s">
        <v>53</v>
      </c>
      <c r="C1779" s="8">
        <v>46187</v>
      </c>
      <c r="D1779" s="9">
        <v>44419</v>
      </c>
    </row>
    <row r="1780" spans="1:4">
      <c r="A1780" t="s">
        <v>5</v>
      </c>
      <c r="B1780" t="s">
        <v>145</v>
      </c>
      <c r="C1780" s="8">
        <v>46187</v>
      </c>
      <c r="D1780" s="9">
        <v>37603</v>
      </c>
    </row>
    <row r="1781" spans="1:4">
      <c r="A1781" t="s">
        <v>5</v>
      </c>
      <c r="B1781" t="s">
        <v>109</v>
      </c>
      <c r="C1781" s="8">
        <v>46187</v>
      </c>
      <c r="D1781" s="9">
        <v>52248</v>
      </c>
    </row>
    <row r="1782" spans="1:4">
      <c r="A1782" t="s">
        <v>5</v>
      </c>
      <c r="B1782" t="s">
        <v>109</v>
      </c>
      <c r="C1782" s="8">
        <v>46187</v>
      </c>
      <c r="D1782" s="9">
        <v>44604</v>
      </c>
    </row>
    <row r="1783" spans="1:4">
      <c r="A1783" t="s">
        <v>27</v>
      </c>
      <c r="B1783" t="s">
        <v>135</v>
      </c>
      <c r="C1783" s="8">
        <v>46188</v>
      </c>
      <c r="D1783" s="9">
        <v>13571</v>
      </c>
    </row>
    <row r="1784" spans="1:4">
      <c r="A1784" t="s">
        <v>25</v>
      </c>
      <c r="B1784" t="s">
        <v>186</v>
      </c>
      <c r="C1784" s="8">
        <v>46188</v>
      </c>
      <c r="D1784" s="9">
        <v>13264</v>
      </c>
    </row>
    <row r="1785" spans="1:4">
      <c r="A1785" t="s">
        <v>26</v>
      </c>
      <c r="B1785" t="s">
        <v>257</v>
      </c>
      <c r="C1785" s="8">
        <v>46188</v>
      </c>
      <c r="D1785" s="9">
        <v>8010</v>
      </c>
    </row>
    <row r="1786" spans="1:4">
      <c r="A1786" t="s">
        <v>7</v>
      </c>
      <c r="B1786" t="s">
        <v>164</v>
      </c>
      <c r="C1786" s="8">
        <v>46188</v>
      </c>
      <c r="D1786" s="9">
        <v>28314</v>
      </c>
    </row>
    <row r="1787" spans="1:4">
      <c r="A1787" t="s">
        <v>9</v>
      </c>
      <c r="B1787" t="s">
        <v>156</v>
      </c>
      <c r="C1787" s="8">
        <v>46188</v>
      </c>
      <c r="D1787" s="9">
        <v>36762</v>
      </c>
    </row>
    <row r="1788" spans="1:4">
      <c r="A1788" t="s">
        <v>5</v>
      </c>
      <c r="B1788" t="s">
        <v>166</v>
      </c>
      <c r="C1788" s="8">
        <v>46188</v>
      </c>
      <c r="D1788" s="9">
        <v>34451</v>
      </c>
    </row>
    <row r="1789" spans="1:4">
      <c r="A1789" t="s">
        <v>5</v>
      </c>
      <c r="B1789" t="s">
        <v>114</v>
      </c>
      <c r="C1789" s="8">
        <v>46188</v>
      </c>
      <c r="D1789" s="9">
        <v>27037</v>
      </c>
    </row>
    <row r="1790" spans="1:4">
      <c r="A1790" t="s">
        <v>5</v>
      </c>
      <c r="B1790" t="s">
        <v>209</v>
      </c>
      <c r="C1790" s="8">
        <v>46188</v>
      </c>
      <c r="D1790" s="9">
        <v>46032</v>
      </c>
    </row>
    <row r="1791" spans="1:4">
      <c r="A1791" t="s">
        <v>5</v>
      </c>
      <c r="B1791" t="s">
        <v>123</v>
      </c>
      <c r="C1791" s="8">
        <v>46188</v>
      </c>
      <c r="D1791" s="9">
        <v>43148</v>
      </c>
    </row>
    <row r="1792" spans="1:4">
      <c r="A1792" t="s">
        <v>5</v>
      </c>
      <c r="B1792" t="s">
        <v>101</v>
      </c>
      <c r="C1792" s="8">
        <v>46188</v>
      </c>
      <c r="D1792" s="9">
        <v>28931</v>
      </c>
    </row>
    <row r="1793" spans="1:4">
      <c r="A1793" t="s">
        <v>5</v>
      </c>
      <c r="B1793" t="s">
        <v>107</v>
      </c>
      <c r="C1793" s="8">
        <v>46188</v>
      </c>
      <c r="D1793" s="9">
        <v>57250</v>
      </c>
    </row>
    <row r="1794" spans="1:4">
      <c r="A1794" t="s">
        <v>5</v>
      </c>
      <c r="B1794" t="s">
        <v>270</v>
      </c>
      <c r="C1794" s="8">
        <v>46188</v>
      </c>
      <c r="D1794" s="9">
        <v>35068</v>
      </c>
    </row>
    <row r="1795" spans="1:4">
      <c r="A1795" t="s">
        <v>5</v>
      </c>
      <c r="B1795" t="s">
        <v>109</v>
      </c>
      <c r="C1795" s="8">
        <v>46188</v>
      </c>
      <c r="D1795" s="9">
        <v>63566</v>
      </c>
    </row>
    <row r="1796" spans="1:4">
      <c r="A1796" t="s">
        <v>5</v>
      </c>
      <c r="B1796" t="s">
        <v>61</v>
      </c>
      <c r="C1796" s="8">
        <v>46188</v>
      </c>
      <c r="D1796" s="9">
        <v>32332</v>
      </c>
    </row>
    <row r="1797" spans="1:4">
      <c r="A1797" t="s">
        <v>4</v>
      </c>
      <c r="B1797" t="s">
        <v>185</v>
      </c>
      <c r="C1797" s="8">
        <v>46189</v>
      </c>
      <c r="D1797" s="9">
        <v>21166</v>
      </c>
    </row>
    <row r="1798" spans="1:4">
      <c r="A1798" t="s">
        <v>6</v>
      </c>
      <c r="B1798" t="s">
        <v>273</v>
      </c>
      <c r="C1798" s="8">
        <v>46189</v>
      </c>
      <c r="D1798" s="9">
        <v>15343</v>
      </c>
    </row>
    <row r="1799" spans="1:4">
      <c r="A1799" t="s">
        <v>9</v>
      </c>
      <c r="B1799" t="s">
        <v>276</v>
      </c>
      <c r="C1799" s="8">
        <v>46189</v>
      </c>
      <c r="D1799" s="9">
        <v>31363</v>
      </c>
    </row>
    <row r="1800" spans="1:4">
      <c r="A1800" t="s">
        <v>9</v>
      </c>
      <c r="B1800" t="s">
        <v>176</v>
      </c>
      <c r="C1800" s="8">
        <v>46189</v>
      </c>
      <c r="D1800" s="9">
        <v>43373</v>
      </c>
    </row>
    <row r="1801" spans="1:4">
      <c r="A1801" t="s">
        <v>9</v>
      </c>
      <c r="B1801" t="s">
        <v>82</v>
      </c>
      <c r="C1801" s="8">
        <v>46189</v>
      </c>
      <c r="D1801" s="9">
        <v>35535</v>
      </c>
    </row>
    <row r="1802" spans="1:4">
      <c r="A1802" t="s">
        <v>9</v>
      </c>
      <c r="B1802" t="s">
        <v>250</v>
      </c>
      <c r="C1802" s="8">
        <v>46189</v>
      </c>
      <c r="D1802" s="9">
        <v>42357</v>
      </c>
    </row>
    <row r="1803" spans="1:4">
      <c r="A1803" t="s">
        <v>9</v>
      </c>
      <c r="B1803" t="s">
        <v>113</v>
      </c>
      <c r="C1803" s="8">
        <v>46189</v>
      </c>
      <c r="D1803" s="9">
        <v>13752</v>
      </c>
    </row>
    <row r="1804" spans="1:4">
      <c r="A1804" t="s">
        <v>5</v>
      </c>
      <c r="B1804" t="s">
        <v>106</v>
      </c>
      <c r="C1804" s="8">
        <v>46189</v>
      </c>
      <c r="D1804" s="9">
        <v>27230</v>
      </c>
    </row>
    <row r="1805" spans="1:4">
      <c r="A1805" t="s">
        <v>5</v>
      </c>
      <c r="B1805" t="s">
        <v>133</v>
      </c>
      <c r="C1805" s="8">
        <v>46189</v>
      </c>
      <c r="D1805" s="9">
        <v>51039</v>
      </c>
    </row>
    <row r="1806" spans="1:4">
      <c r="A1806" t="s">
        <v>5</v>
      </c>
      <c r="B1806" t="s">
        <v>251</v>
      </c>
      <c r="C1806" s="8">
        <v>46189</v>
      </c>
      <c r="D1806" s="9">
        <v>64820</v>
      </c>
    </row>
    <row r="1807" spans="1:4">
      <c r="A1807" t="s">
        <v>5</v>
      </c>
      <c r="B1807" t="s">
        <v>123</v>
      </c>
      <c r="C1807" s="8">
        <v>46189</v>
      </c>
      <c r="D1807" s="9">
        <v>31839</v>
      </c>
    </row>
    <row r="1808" spans="1:4">
      <c r="A1808" t="s">
        <v>5</v>
      </c>
      <c r="B1808" t="s">
        <v>210</v>
      </c>
      <c r="C1808" s="8">
        <v>46189</v>
      </c>
      <c r="D1808" s="9">
        <v>36458</v>
      </c>
    </row>
    <row r="1809" spans="1:4">
      <c r="A1809" t="s">
        <v>5</v>
      </c>
      <c r="B1809" t="s">
        <v>61</v>
      </c>
      <c r="C1809" s="8">
        <v>46189</v>
      </c>
      <c r="D1809" s="9">
        <v>46522</v>
      </c>
    </row>
    <row r="1810" spans="1:4">
      <c r="A1810" t="s">
        <v>4</v>
      </c>
      <c r="B1810" t="s">
        <v>240</v>
      </c>
      <c r="C1810" s="8">
        <v>46190</v>
      </c>
      <c r="D1810" s="9">
        <v>18767</v>
      </c>
    </row>
    <row r="1811" spans="1:4">
      <c r="A1811" t="s">
        <v>4</v>
      </c>
      <c r="B1811" t="s">
        <v>127</v>
      </c>
      <c r="C1811" s="8">
        <v>46190</v>
      </c>
      <c r="D1811" s="9">
        <v>36108</v>
      </c>
    </row>
    <row r="1812" spans="1:4">
      <c r="A1812" t="s">
        <v>4</v>
      </c>
      <c r="B1812" t="s">
        <v>204</v>
      </c>
      <c r="C1812" s="8">
        <v>46190</v>
      </c>
      <c r="D1812" s="9">
        <v>39499</v>
      </c>
    </row>
    <row r="1813" spans="1:4">
      <c r="A1813" t="s">
        <v>31</v>
      </c>
      <c r="B1813" t="s">
        <v>199</v>
      </c>
      <c r="C1813" s="8">
        <v>46190</v>
      </c>
      <c r="D1813" s="9">
        <v>21734</v>
      </c>
    </row>
    <row r="1814" spans="1:4">
      <c r="A1814" t="s">
        <v>28</v>
      </c>
      <c r="B1814" t="s">
        <v>62</v>
      </c>
      <c r="C1814" s="8">
        <v>46190</v>
      </c>
      <c r="D1814" s="9">
        <v>13253</v>
      </c>
    </row>
    <row r="1815" spans="1:4">
      <c r="A1815" t="s">
        <v>32</v>
      </c>
      <c r="B1815" t="s">
        <v>87</v>
      </c>
      <c r="C1815" s="8">
        <v>46190</v>
      </c>
      <c r="D1815" s="9">
        <v>12160</v>
      </c>
    </row>
    <row r="1816" spans="1:4">
      <c r="A1816" t="s">
        <v>6</v>
      </c>
      <c r="B1816" t="s">
        <v>80</v>
      </c>
      <c r="C1816" s="8">
        <v>46190</v>
      </c>
      <c r="D1816" s="9">
        <v>5200</v>
      </c>
    </row>
    <row r="1817" spans="1:4">
      <c r="A1817" t="s">
        <v>6</v>
      </c>
      <c r="B1817" t="s">
        <v>141</v>
      </c>
      <c r="C1817" s="8">
        <v>46190</v>
      </c>
      <c r="D1817" s="9">
        <v>18402</v>
      </c>
    </row>
    <row r="1818" spans="1:4">
      <c r="A1818" t="s">
        <v>7</v>
      </c>
      <c r="B1818" t="s">
        <v>233</v>
      </c>
      <c r="C1818" s="8">
        <v>46190</v>
      </c>
      <c r="D1818" s="9">
        <v>22713</v>
      </c>
    </row>
    <row r="1819" spans="1:4">
      <c r="A1819" t="s">
        <v>9</v>
      </c>
      <c r="B1819" t="s">
        <v>143</v>
      </c>
      <c r="C1819" s="8">
        <v>46190</v>
      </c>
      <c r="D1819" s="9">
        <v>36106</v>
      </c>
    </row>
    <row r="1820" spans="1:4">
      <c r="A1820" t="s">
        <v>9</v>
      </c>
      <c r="B1820" t="s">
        <v>144</v>
      </c>
      <c r="C1820" s="8">
        <v>46190</v>
      </c>
      <c r="D1820" s="9">
        <v>23324</v>
      </c>
    </row>
    <row r="1821" spans="1:4">
      <c r="A1821" t="s">
        <v>5</v>
      </c>
      <c r="B1821" t="s">
        <v>210</v>
      </c>
      <c r="C1821" s="8">
        <v>46190</v>
      </c>
      <c r="D1821" s="9">
        <v>35127</v>
      </c>
    </row>
    <row r="1822" spans="1:4">
      <c r="A1822" t="s">
        <v>5</v>
      </c>
      <c r="B1822" t="s">
        <v>101</v>
      </c>
      <c r="C1822" s="8">
        <v>46190</v>
      </c>
      <c r="D1822" s="9">
        <v>33002</v>
      </c>
    </row>
    <row r="1823" spans="1:4">
      <c r="A1823" t="s">
        <v>5</v>
      </c>
      <c r="B1823" t="s">
        <v>93</v>
      </c>
      <c r="C1823" s="8">
        <v>46190</v>
      </c>
      <c r="D1823" s="9">
        <v>34974</v>
      </c>
    </row>
    <row r="1824" spans="1:4">
      <c r="A1824" t="s">
        <v>27</v>
      </c>
      <c r="B1824" t="s">
        <v>196</v>
      </c>
      <c r="C1824" s="8">
        <v>46191</v>
      </c>
      <c r="D1824" s="9">
        <v>15272</v>
      </c>
    </row>
    <row r="1825" spans="1:4">
      <c r="A1825" t="s">
        <v>4</v>
      </c>
      <c r="B1825" t="s">
        <v>160</v>
      </c>
      <c r="C1825" s="8">
        <v>46191</v>
      </c>
      <c r="D1825" s="9">
        <v>30452</v>
      </c>
    </row>
    <row r="1826" spans="1:4">
      <c r="A1826" t="s">
        <v>4</v>
      </c>
      <c r="B1826" t="s">
        <v>146</v>
      </c>
      <c r="C1826" s="8">
        <v>46191</v>
      </c>
      <c r="D1826" s="9">
        <v>23534</v>
      </c>
    </row>
    <row r="1827" spans="1:4">
      <c r="A1827" t="s">
        <v>8</v>
      </c>
      <c r="B1827" t="s">
        <v>79</v>
      </c>
      <c r="C1827" s="8">
        <v>46191</v>
      </c>
      <c r="D1827" s="9">
        <v>15532</v>
      </c>
    </row>
    <row r="1828" spans="1:4">
      <c r="A1828" t="s">
        <v>8</v>
      </c>
      <c r="B1828" t="s">
        <v>258</v>
      </c>
      <c r="C1828" s="8">
        <v>46191</v>
      </c>
      <c r="D1828" s="9">
        <v>21728</v>
      </c>
    </row>
    <row r="1829" spans="1:4">
      <c r="A1829" t="s">
        <v>8</v>
      </c>
      <c r="B1829" t="s">
        <v>140</v>
      </c>
      <c r="C1829" s="8">
        <v>46191</v>
      </c>
      <c r="D1829" s="9">
        <v>15315</v>
      </c>
    </row>
    <row r="1830" spans="1:4">
      <c r="A1830" t="s">
        <v>7</v>
      </c>
      <c r="B1830" t="s">
        <v>235</v>
      </c>
      <c r="C1830" s="8">
        <v>46191</v>
      </c>
      <c r="D1830" s="9">
        <v>30649</v>
      </c>
    </row>
    <row r="1831" spans="1:4">
      <c r="A1831" t="s">
        <v>7</v>
      </c>
      <c r="B1831" t="s">
        <v>193</v>
      </c>
      <c r="C1831" s="8">
        <v>46191</v>
      </c>
      <c r="D1831" s="9">
        <v>25476</v>
      </c>
    </row>
    <row r="1832" spans="1:4">
      <c r="A1832" t="s">
        <v>7</v>
      </c>
      <c r="B1832" t="s">
        <v>175</v>
      </c>
      <c r="C1832" s="8">
        <v>46191</v>
      </c>
      <c r="D1832" s="9">
        <v>18303</v>
      </c>
    </row>
    <row r="1833" spans="1:4">
      <c r="A1833" t="s">
        <v>9</v>
      </c>
      <c r="B1833" t="s">
        <v>203</v>
      </c>
      <c r="C1833" s="8">
        <v>46191</v>
      </c>
      <c r="D1833" s="9">
        <v>25518</v>
      </c>
    </row>
    <row r="1834" spans="1:4">
      <c r="A1834" t="s">
        <v>9</v>
      </c>
      <c r="B1834" t="s">
        <v>148</v>
      </c>
      <c r="C1834" s="8">
        <v>46191</v>
      </c>
      <c r="D1834" s="9">
        <v>57162</v>
      </c>
    </row>
    <row r="1835" spans="1:4">
      <c r="A1835" t="s">
        <v>9</v>
      </c>
      <c r="B1835" t="s">
        <v>144</v>
      </c>
      <c r="C1835" s="8">
        <v>46191</v>
      </c>
      <c r="D1835" s="9">
        <v>29347</v>
      </c>
    </row>
    <row r="1836" spans="1:4">
      <c r="A1836" t="s">
        <v>9</v>
      </c>
      <c r="B1836" t="s">
        <v>264</v>
      </c>
      <c r="C1836" s="8">
        <v>46191</v>
      </c>
      <c r="D1836" s="9">
        <v>30652</v>
      </c>
    </row>
    <row r="1837" spans="1:4">
      <c r="A1837" t="s">
        <v>5</v>
      </c>
      <c r="B1837" t="s">
        <v>145</v>
      </c>
      <c r="C1837" s="8">
        <v>46191</v>
      </c>
      <c r="D1837" s="9">
        <v>56344</v>
      </c>
    </row>
    <row r="1838" spans="1:4">
      <c r="A1838" t="s">
        <v>5</v>
      </c>
      <c r="B1838" t="s">
        <v>211</v>
      </c>
      <c r="C1838" s="8">
        <v>46191</v>
      </c>
      <c r="D1838" s="9">
        <v>24615</v>
      </c>
    </row>
    <row r="1839" spans="1:4">
      <c r="A1839" t="s">
        <v>5</v>
      </c>
      <c r="B1839" t="s">
        <v>178</v>
      </c>
      <c r="C1839" s="8">
        <v>46191</v>
      </c>
      <c r="D1839" s="9">
        <v>38963</v>
      </c>
    </row>
    <row r="1840" spans="1:4">
      <c r="A1840" t="s">
        <v>4</v>
      </c>
      <c r="B1840" t="s">
        <v>116</v>
      </c>
      <c r="C1840" s="8">
        <v>46192</v>
      </c>
      <c r="D1840" s="9">
        <v>31119</v>
      </c>
    </row>
    <row r="1841" spans="1:4">
      <c r="A1841" t="s">
        <v>28</v>
      </c>
      <c r="B1841" t="s">
        <v>255</v>
      </c>
      <c r="C1841" s="8">
        <v>46192</v>
      </c>
      <c r="D1841" s="9">
        <v>25547</v>
      </c>
    </row>
    <row r="1842" spans="1:4">
      <c r="A1842" t="s">
        <v>6</v>
      </c>
      <c r="B1842" t="s">
        <v>262</v>
      </c>
      <c r="C1842" s="8">
        <v>46192</v>
      </c>
      <c r="D1842" s="9">
        <v>15659</v>
      </c>
    </row>
    <row r="1843" spans="1:4">
      <c r="A1843" t="s">
        <v>9</v>
      </c>
      <c r="B1843" t="s">
        <v>195</v>
      </c>
      <c r="C1843" s="8">
        <v>46192</v>
      </c>
      <c r="D1843" s="9">
        <v>28012</v>
      </c>
    </row>
    <row r="1844" spans="1:4">
      <c r="A1844" t="s">
        <v>9</v>
      </c>
      <c r="B1844" t="s">
        <v>70</v>
      </c>
      <c r="C1844" s="8">
        <v>46192</v>
      </c>
      <c r="D1844" s="9">
        <v>27064</v>
      </c>
    </row>
    <row r="1845" spans="1:4">
      <c r="A1845" t="s">
        <v>5</v>
      </c>
      <c r="B1845" t="s">
        <v>72</v>
      </c>
      <c r="C1845" s="8">
        <v>46192</v>
      </c>
      <c r="D1845" s="9">
        <v>50888</v>
      </c>
    </row>
    <row r="1846" spans="1:4">
      <c r="A1846" t="s">
        <v>5</v>
      </c>
      <c r="B1846" t="s">
        <v>98</v>
      </c>
      <c r="C1846" s="8">
        <v>46192</v>
      </c>
      <c r="D1846" s="9">
        <v>44522</v>
      </c>
    </row>
    <row r="1847" spans="1:4">
      <c r="A1847" t="s">
        <v>5</v>
      </c>
      <c r="B1847" t="s">
        <v>172</v>
      </c>
      <c r="C1847" s="8">
        <v>46192</v>
      </c>
      <c r="D1847" s="9">
        <v>31342</v>
      </c>
    </row>
    <row r="1848" spans="1:4">
      <c r="A1848" t="s">
        <v>5</v>
      </c>
      <c r="B1848" t="s">
        <v>172</v>
      </c>
      <c r="C1848" s="8">
        <v>46192</v>
      </c>
      <c r="D1848" s="9">
        <v>37829</v>
      </c>
    </row>
    <row r="1849" spans="1:4">
      <c r="A1849" t="s">
        <v>25</v>
      </c>
      <c r="B1849" t="s">
        <v>200</v>
      </c>
      <c r="C1849" s="8">
        <v>46193</v>
      </c>
      <c r="D1849" s="9">
        <v>16036</v>
      </c>
    </row>
    <row r="1850" spans="1:4">
      <c r="A1850" t="s">
        <v>29</v>
      </c>
      <c r="B1850" t="s">
        <v>191</v>
      </c>
      <c r="C1850" s="8">
        <v>46193</v>
      </c>
      <c r="D1850" s="9">
        <v>12164</v>
      </c>
    </row>
    <row r="1851" spans="1:4">
      <c r="A1851" t="s">
        <v>29</v>
      </c>
      <c r="B1851" t="s">
        <v>104</v>
      </c>
      <c r="C1851" s="8">
        <v>46193</v>
      </c>
      <c r="D1851" s="9">
        <v>12218</v>
      </c>
    </row>
    <row r="1852" spans="1:4">
      <c r="A1852" t="s">
        <v>7</v>
      </c>
      <c r="B1852" t="s">
        <v>122</v>
      </c>
      <c r="C1852" s="8">
        <v>46193</v>
      </c>
      <c r="D1852" s="9">
        <v>7310</v>
      </c>
    </row>
    <row r="1853" spans="1:4">
      <c r="A1853" t="s">
        <v>9</v>
      </c>
      <c r="B1853" t="s">
        <v>171</v>
      </c>
      <c r="C1853" s="8">
        <v>46193</v>
      </c>
      <c r="D1853" s="9">
        <v>41713</v>
      </c>
    </row>
    <row r="1854" spans="1:4">
      <c r="A1854" t="s">
        <v>5</v>
      </c>
      <c r="B1854" t="s">
        <v>239</v>
      </c>
      <c r="C1854" s="8">
        <v>46193</v>
      </c>
      <c r="D1854" s="9">
        <v>32566</v>
      </c>
    </row>
    <row r="1855" spans="1:4">
      <c r="A1855" t="s">
        <v>5</v>
      </c>
      <c r="B1855" t="s">
        <v>70</v>
      </c>
      <c r="C1855" s="8">
        <v>46193</v>
      </c>
      <c r="D1855" s="9">
        <v>29910</v>
      </c>
    </row>
    <row r="1856" spans="1:4">
      <c r="A1856" t="s">
        <v>5</v>
      </c>
      <c r="B1856" t="s">
        <v>134</v>
      </c>
      <c r="C1856" s="8">
        <v>46193</v>
      </c>
      <c r="D1856" s="9">
        <v>38857</v>
      </c>
    </row>
    <row r="1857" spans="1:4">
      <c r="A1857" t="s">
        <v>25</v>
      </c>
      <c r="B1857" t="s">
        <v>272</v>
      </c>
      <c r="C1857" s="8">
        <v>46194</v>
      </c>
      <c r="D1857" s="9">
        <v>12950</v>
      </c>
    </row>
    <row r="1858" spans="1:4">
      <c r="A1858" t="s">
        <v>29</v>
      </c>
      <c r="B1858" t="s">
        <v>57</v>
      </c>
      <c r="C1858" s="8">
        <v>46194</v>
      </c>
      <c r="D1858" s="9">
        <v>14050</v>
      </c>
    </row>
    <row r="1859" spans="1:4">
      <c r="A1859" t="s">
        <v>7</v>
      </c>
      <c r="B1859" t="s">
        <v>90</v>
      </c>
      <c r="C1859" s="8">
        <v>46194</v>
      </c>
      <c r="D1859" s="9">
        <v>35964</v>
      </c>
    </row>
    <row r="1860" spans="1:4">
      <c r="A1860" t="s">
        <v>9</v>
      </c>
      <c r="B1860" t="s">
        <v>96</v>
      </c>
      <c r="C1860" s="8">
        <v>46194</v>
      </c>
      <c r="D1860" s="9">
        <v>29027</v>
      </c>
    </row>
    <row r="1861" spans="1:4">
      <c r="A1861" t="s">
        <v>27</v>
      </c>
      <c r="B1861" t="s">
        <v>125</v>
      </c>
      <c r="C1861" s="8">
        <v>46195</v>
      </c>
      <c r="D1861" s="9">
        <v>10814</v>
      </c>
    </row>
    <row r="1862" spans="1:4">
      <c r="A1862" t="s">
        <v>4</v>
      </c>
      <c r="B1862" t="s">
        <v>266</v>
      </c>
      <c r="C1862" s="8">
        <v>46195</v>
      </c>
      <c r="D1862" s="9">
        <v>6795</v>
      </c>
    </row>
    <row r="1863" spans="1:4">
      <c r="A1863" t="s">
        <v>6</v>
      </c>
      <c r="B1863" t="s">
        <v>261</v>
      </c>
      <c r="C1863" s="8">
        <v>46195</v>
      </c>
      <c r="D1863" s="9">
        <v>16962</v>
      </c>
    </row>
    <row r="1864" spans="1:4">
      <c r="A1864" t="s">
        <v>33</v>
      </c>
      <c r="B1864" t="s">
        <v>248</v>
      </c>
      <c r="C1864" s="8">
        <v>46195</v>
      </c>
      <c r="D1864" s="9">
        <v>9535</v>
      </c>
    </row>
    <row r="1865" spans="1:4">
      <c r="A1865" t="s">
        <v>29</v>
      </c>
      <c r="B1865" t="s">
        <v>121</v>
      </c>
      <c r="C1865" s="8">
        <v>46195</v>
      </c>
      <c r="D1865" s="9">
        <v>5200</v>
      </c>
    </row>
    <row r="1866" spans="1:4">
      <c r="A1866" t="s">
        <v>5</v>
      </c>
      <c r="B1866" t="s">
        <v>100</v>
      </c>
      <c r="C1866" s="8">
        <v>46195</v>
      </c>
      <c r="D1866" s="9">
        <v>24919</v>
      </c>
    </row>
    <row r="1867" spans="1:4">
      <c r="A1867" t="s">
        <v>35</v>
      </c>
      <c r="B1867" t="s">
        <v>271</v>
      </c>
      <c r="C1867" s="8">
        <v>46196</v>
      </c>
      <c r="D1867" s="9">
        <v>5200</v>
      </c>
    </row>
    <row r="1868" spans="1:4">
      <c r="A1868" t="s">
        <v>34</v>
      </c>
      <c r="B1868" t="s">
        <v>265</v>
      </c>
      <c r="C1868" s="8">
        <v>46196</v>
      </c>
      <c r="D1868" s="9">
        <v>11657</v>
      </c>
    </row>
    <row r="1869" spans="1:4">
      <c r="A1869" t="s">
        <v>7</v>
      </c>
      <c r="B1869" t="s">
        <v>226</v>
      </c>
      <c r="C1869" s="8">
        <v>46196</v>
      </c>
      <c r="D1869" s="9">
        <v>21805</v>
      </c>
    </row>
    <row r="1870" spans="1:4">
      <c r="A1870" t="s">
        <v>7</v>
      </c>
      <c r="B1870" t="s">
        <v>208</v>
      </c>
      <c r="C1870" s="8">
        <v>46196</v>
      </c>
      <c r="D1870" s="9">
        <v>19077</v>
      </c>
    </row>
    <row r="1871" spans="1:4">
      <c r="A1871" t="s">
        <v>9</v>
      </c>
      <c r="B1871" t="s">
        <v>235</v>
      </c>
      <c r="C1871" s="8">
        <v>46196</v>
      </c>
      <c r="D1871" s="9">
        <v>37347</v>
      </c>
    </row>
    <row r="1872" spans="1:4">
      <c r="A1872" t="s">
        <v>9</v>
      </c>
      <c r="B1872" t="s">
        <v>157</v>
      </c>
      <c r="C1872" s="8">
        <v>46196</v>
      </c>
      <c r="D1872" s="9">
        <v>28056</v>
      </c>
    </row>
    <row r="1873" spans="1:4">
      <c r="A1873" t="s">
        <v>9</v>
      </c>
      <c r="B1873" t="s">
        <v>71</v>
      </c>
      <c r="C1873" s="8">
        <v>46196</v>
      </c>
      <c r="D1873" s="9">
        <v>46614</v>
      </c>
    </row>
    <row r="1874" spans="1:4">
      <c r="A1874" t="s">
        <v>5</v>
      </c>
      <c r="B1874" t="s">
        <v>166</v>
      </c>
      <c r="C1874" s="8">
        <v>46196</v>
      </c>
      <c r="D1874" s="9">
        <v>48646</v>
      </c>
    </row>
    <row r="1875" spans="1:4">
      <c r="A1875" t="s">
        <v>5</v>
      </c>
      <c r="B1875" t="s">
        <v>211</v>
      </c>
      <c r="C1875" s="8">
        <v>46196</v>
      </c>
      <c r="D1875" s="9">
        <v>29897</v>
      </c>
    </row>
    <row r="1876" spans="1:4">
      <c r="A1876" t="s">
        <v>5</v>
      </c>
      <c r="B1876" t="s">
        <v>93</v>
      </c>
      <c r="C1876" s="8">
        <v>46196</v>
      </c>
      <c r="D1876" s="9">
        <v>38836</v>
      </c>
    </row>
    <row r="1877" spans="1:4">
      <c r="A1877" t="s">
        <v>5</v>
      </c>
      <c r="B1877" t="s">
        <v>61</v>
      </c>
      <c r="C1877" s="8">
        <v>46196</v>
      </c>
      <c r="D1877" s="9">
        <v>34689</v>
      </c>
    </row>
    <row r="1878" spans="1:4">
      <c r="A1878" t="s">
        <v>31</v>
      </c>
      <c r="B1878" t="s">
        <v>77</v>
      </c>
      <c r="C1878" s="8">
        <v>46197</v>
      </c>
      <c r="D1878" s="9">
        <v>25191</v>
      </c>
    </row>
    <row r="1879" spans="1:4">
      <c r="A1879" t="s">
        <v>25</v>
      </c>
      <c r="B1879" t="s">
        <v>78</v>
      </c>
      <c r="C1879" s="8">
        <v>46197</v>
      </c>
      <c r="D1879" s="9">
        <v>14759</v>
      </c>
    </row>
    <row r="1880" spans="1:4">
      <c r="A1880" t="s">
        <v>30</v>
      </c>
      <c r="B1880" t="s">
        <v>162</v>
      </c>
      <c r="C1880" s="8">
        <v>46197</v>
      </c>
      <c r="D1880" s="9">
        <v>11450</v>
      </c>
    </row>
    <row r="1881" spans="1:4">
      <c r="A1881" t="s">
        <v>32</v>
      </c>
      <c r="B1881" t="s">
        <v>247</v>
      </c>
      <c r="C1881" s="8">
        <v>46197</v>
      </c>
      <c r="D1881" s="9">
        <v>12520</v>
      </c>
    </row>
    <row r="1882" spans="1:4">
      <c r="A1882" t="s">
        <v>6</v>
      </c>
      <c r="B1882" t="s">
        <v>130</v>
      </c>
      <c r="C1882" s="8">
        <v>46197</v>
      </c>
      <c r="D1882" s="9">
        <v>18958</v>
      </c>
    </row>
    <row r="1883" spans="1:4">
      <c r="A1883" t="s">
        <v>6</v>
      </c>
      <c r="B1883" t="s">
        <v>88</v>
      </c>
      <c r="C1883" s="8">
        <v>46197</v>
      </c>
      <c r="D1883" s="9">
        <v>16715</v>
      </c>
    </row>
    <row r="1884" spans="1:4">
      <c r="A1884" t="s">
        <v>7</v>
      </c>
      <c r="B1884" t="s">
        <v>202</v>
      </c>
      <c r="C1884" s="8">
        <v>46197</v>
      </c>
      <c r="D1884" s="9">
        <v>21696</v>
      </c>
    </row>
    <row r="1885" spans="1:4">
      <c r="A1885" t="s">
        <v>9</v>
      </c>
      <c r="B1885" t="s">
        <v>66</v>
      </c>
      <c r="C1885" s="8">
        <v>46197</v>
      </c>
      <c r="D1885" s="9">
        <v>34339</v>
      </c>
    </row>
    <row r="1886" spans="1:4">
      <c r="A1886" t="s">
        <v>9</v>
      </c>
      <c r="B1886" t="s">
        <v>179</v>
      </c>
      <c r="C1886" s="8">
        <v>46197</v>
      </c>
      <c r="D1886" s="9">
        <v>42935</v>
      </c>
    </row>
    <row r="1887" spans="1:4">
      <c r="A1887" t="s">
        <v>9</v>
      </c>
      <c r="B1887" t="s">
        <v>158</v>
      </c>
      <c r="C1887" s="8">
        <v>46197</v>
      </c>
      <c r="D1887" s="9">
        <v>37320</v>
      </c>
    </row>
    <row r="1888" spans="1:4">
      <c r="A1888" t="s">
        <v>5</v>
      </c>
      <c r="B1888" t="s">
        <v>133</v>
      </c>
      <c r="C1888" s="8">
        <v>46197</v>
      </c>
      <c r="D1888" s="9">
        <v>38501</v>
      </c>
    </row>
    <row r="1889" spans="1:4">
      <c r="A1889" t="s">
        <v>5</v>
      </c>
      <c r="B1889" t="s">
        <v>92</v>
      </c>
      <c r="C1889" s="8">
        <v>46197</v>
      </c>
      <c r="D1889" s="9">
        <v>48867</v>
      </c>
    </row>
    <row r="1890" spans="1:4">
      <c r="A1890" t="s">
        <v>5</v>
      </c>
      <c r="B1890" t="s">
        <v>54</v>
      </c>
      <c r="C1890" s="8">
        <v>46197</v>
      </c>
      <c r="D1890" s="9">
        <v>43921</v>
      </c>
    </row>
    <row r="1891" spans="1:4">
      <c r="A1891" t="s">
        <v>32</v>
      </c>
      <c r="B1891" t="s">
        <v>230</v>
      </c>
      <c r="C1891" s="8">
        <v>46198</v>
      </c>
      <c r="D1891" s="9">
        <v>11596</v>
      </c>
    </row>
    <row r="1892" spans="1:4">
      <c r="A1892" t="s">
        <v>9</v>
      </c>
      <c r="B1892" t="s">
        <v>283</v>
      </c>
      <c r="C1892" s="8">
        <v>46198</v>
      </c>
      <c r="D1892" s="9">
        <v>41350</v>
      </c>
    </row>
    <row r="1893" spans="1:4">
      <c r="A1893" t="s">
        <v>9</v>
      </c>
      <c r="B1893" t="s">
        <v>91</v>
      </c>
      <c r="C1893" s="8">
        <v>46198</v>
      </c>
      <c r="D1893" s="9">
        <v>29367</v>
      </c>
    </row>
    <row r="1894" spans="1:4">
      <c r="A1894" t="s">
        <v>5</v>
      </c>
      <c r="B1894" t="s">
        <v>72</v>
      </c>
      <c r="C1894" s="8">
        <v>46198</v>
      </c>
      <c r="D1894" s="9">
        <v>52413</v>
      </c>
    </row>
    <row r="1895" spans="1:4">
      <c r="A1895" t="s">
        <v>5</v>
      </c>
      <c r="B1895" t="s">
        <v>53</v>
      </c>
      <c r="C1895" s="8">
        <v>46198</v>
      </c>
      <c r="D1895" s="9">
        <v>45140</v>
      </c>
    </row>
    <row r="1896" spans="1:4">
      <c r="A1896" t="s">
        <v>5</v>
      </c>
      <c r="B1896" t="s">
        <v>84</v>
      </c>
      <c r="C1896" s="8">
        <v>46198</v>
      </c>
      <c r="D1896" s="9">
        <v>33622</v>
      </c>
    </row>
    <row r="1897" spans="1:4">
      <c r="A1897" t="s">
        <v>5</v>
      </c>
      <c r="B1897" t="s">
        <v>92</v>
      </c>
      <c r="C1897" s="8">
        <v>46198</v>
      </c>
      <c r="D1897" s="9">
        <v>37336</v>
      </c>
    </row>
    <row r="1898" spans="1:4">
      <c r="A1898" t="s">
        <v>5</v>
      </c>
      <c r="B1898" t="s">
        <v>124</v>
      </c>
      <c r="C1898" s="8">
        <v>46198</v>
      </c>
      <c r="D1898" s="9">
        <v>27090</v>
      </c>
    </row>
    <row r="1899" spans="1:4">
      <c r="A1899" t="s">
        <v>5</v>
      </c>
      <c r="B1899" t="s">
        <v>108</v>
      </c>
      <c r="C1899" s="8">
        <v>46198</v>
      </c>
      <c r="D1899" s="9">
        <v>39986</v>
      </c>
    </row>
    <row r="1900" spans="1:4">
      <c r="A1900" t="s">
        <v>31</v>
      </c>
      <c r="B1900" t="s">
        <v>152</v>
      </c>
      <c r="C1900" s="8">
        <v>46199</v>
      </c>
      <c r="D1900" s="9">
        <v>15088</v>
      </c>
    </row>
    <row r="1901" spans="1:4">
      <c r="A1901" t="s">
        <v>31</v>
      </c>
      <c r="B1901" t="s">
        <v>48</v>
      </c>
      <c r="C1901" s="8">
        <v>46199</v>
      </c>
      <c r="D1901" s="9">
        <v>12671</v>
      </c>
    </row>
    <row r="1902" spans="1:4">
      <c r="A1902" t="s">
        <v>28</v>
      </c>
      <c r="B1902" t="s">
        <v>242</v>
      </c>
      <c r="C1902" s="8">
        <v>46199</v>
      </c>
      <c r="D1902" s="9">
        <v>16888</v>
      </c>
    </row>
    <row r="1903" spans="1:4">
      <c r="A1903" t="s">
        <v>26</v>
      </c>
      <c r="B1903" t="s">
        <v>102</v>
      </c>
      <c r="C1903" s="8">
        <v>46199</v>
      </c>
      <c r="D1903" s="9">
        <v>14498</v>
      </c>
    </row>
    <row r="1904" spans="1:4">
      <c r="A1904" t="s">
        <v>29</v>
      </c>
      <c r="B1904" t="s">
        <v>163</v>
      </c>
      <c r="C1904" s="8">
        <v>46199</v>
      </c>
      <c r="D1904" s="9">
        <v>5200</v>
      </c>
    </row>
    <row r="1905" spans="1:4">
      <c r="A1905" t="s">
        <v>7</v>
      </c>
      <c r="B1905" t="s">
        <v>244</v>
      </c>
      <c r="C1905" s="8">
        <v>46199</v>
      </c>
      <c r="D1905" s="9">
        <v>10276</v>
      </c>
    </row>
    <row r="1906" spans="1:4">
      <c r="A1906" t="s">
        <v>7</v>
      </c>
      <c r="B1906" t="s">
        <v>217</v>
      </c>
      <c r="C1906" s="8">
        <v>46199</v>
      </c>
      <c r="D1906" s="9">
        <v>15898</v>
      </c>
    </row>
    <row r="1907" spans="1:4">
      <c r="A1907" t="s">
        <v>9</v>
      </c>
      <c r="B1907" t="s">
        <v>158</v>
      </c>
      <c r="C1907" s="8">
        <v>46199</v>
      </c>
      <c r="D1907" s="9">
        <v>37939</v>
      </c>
    </row>
    <row r="1908" spans="1:4">
      <c r="A1908" t="s">
        <v>5</v>
      </c>
      <c r="B1908" t="s">
        <v>239</v>
      </c>
      <c r="C1908" s="8">
        <v>46199</v>
      </c>
      <c r="D1908" s="9">
        <v>26197</v>
      </c>
    </row>
    <row r="1909" spans="1:4">
      <c r="A1909" t="s">
        <v>5</v>
      </c>
      <c r="B1909" t="s">
        <v>84</v>
      </c>
      <c r="C1909" s="8">
        <v>46199</v>
      </c>
      <c r="D1909" s="9">
        <v>43981</v>
      </c>
    </row>
    <row r="1910" spans="1:4">
      <c r="A1910" t="s">
        <v>5</v>
      </c>
      <c r="B1910" t="s">
        <v>211</v>
      </c>
      <c r="C1910" s="8">
        <v>46199</v>
      </c>
      <c r="D1910" s="9">
        <v>30200</v>
      </c>
    </row>
    <row r="1911" spans="1:4">
      <c r="A1911" t="s">
        <v>25</v>
      </c>
      <c r="B1911" t="s">
        <v>59</v>
      </c>
      <c r="C1911" s="8">
        <v>46200</v>
      </c>
      <c r="D1911" s="9">
        <v>13044</v>
      </c>
    </row>
    <row r="1912" spans="1:4">
      <c r="A1912" t="s">
        <v>25</v>
      </c>
      <c r="B1912" t="s">
        <v>153</v>
      </c>
      <c r="C1912" s="8">
        <v>46200</v>
      </c>
      <c r="D1912" s="9">
        <v>27805</v>
      </c>
    </row>
    <row r="1913" spans="1:4">
      <c r="A1913" t="s">
        <v>8</v>
      </c>
      <c r="B1913" t="s">
        <v>214</v>
      </c>
      <c r="C1913" s="8">
        <v>46200</v>
      </c>
      <c r="D1913" s="9">
        <v>17243</v>
      </c>
    </row>
    <row r="1914" spans="1:4">
      <c r="A1914" t="s">
        <v>6</v>
      </c>
      <c r="B1914" t="s">
        <v>260</v>
      </c>
      <c r="C1914" s="8">
        <v>46200</v>
      </c>
      <c r="D1914" s="9">
        <v>34507</v>
      </c>
    </row>
    <row r="1915" spans="1:4">
      <c r="A1915" t="s">
        <v>6</v>
      </c>
      <c r="B1915" t="s">
        <v>218</v>
      </c>
      <c r="C1915" s="8">
        <v>46200</v>
      </c>
      <c r="D1915" s="9">
        <v>14423</v>
      </c>
    </row>
    <row r="1916" spans="1:4">
      <c r="A1916" t="s">
        <v>33</v>
      </c>
      <c r="B1916" t="s">
        <v>232</v>
      </c>
      <c r="C1916" s="8">
        <v>46200</v>
      </c>
      <c r="D1916" s="9">
        <v>11530</v>
      </c>
    </row>
    <row r="1917" spans="1:4">
      <c r="A1917" t="s">
        <v>29</v>
      </c>
      <c r="B1917" t="s">
        <v>118</v>
      </c>
      <c r="C1917" s="8">
        <v>46200</v>
      </c>
      <c r="D1917" s="9">
        <v>11180</v>
      </c>
    </row>
    <row r="1918" spans="1:4">
      <c r="A1918" t="s">
        <v>7</v>
      </c>
      <c r="B1918" t="s">
        <v>194</v>
      </c>
      <c r="C1918" s="8">
        <v>46200</v>
      </c>
      <c r="D1918" s="9">
        <v>23649</v>
      </c>
    </row>
    <row r="1919" spans="1:4">
      <c r="A1919" t="s">
        <v>37</v>
      </c>
      <c r="B1919" t="s">
        <v>81</v>
      </c>
      <c r="C1919" s="8">
        <v>46200</v>
      </c>
      <c r="D1919" s="9">
        <v>13060</v>
      </c>
    </row>
    <row r="1920" spans="1:4">
      <c r="A1920" t="s">
        <v>9</v>
      </c>
      <c r="B1920" t="s">
        <v>221</v>
      </c>
      <c r="C1920" s="8">
        <v>46200</v>
      </c>
      <c r="D1920" s="9">
        <v>43563</v>
      </c>
    </row>
    <row r="1921" spans="1:4">
      <c r="A1921" t="s">
        <v>9</v>
      </c>
      <c r="B1921" t="s">
        <v>276</v>
      </c>
      <c r="C1921" s="8">
        <v>46200</v>
      </c>
      <c r="D1921" s="9">
        <v>46118</v>
      </c>
    </row>
    <row r="1922" spans="1:4">
      <c r="A1922" t="s">
        <v>9</v>
      </c>
      <c r="B1922" t="s">
        <v>91</v>
      </c>
      <c r="C1922" s="8">
        <v>46200</v>
      </c>
      <c r="D1922" s="9">
        <v>31194</v>
      </c>
    </row>
    <row r="1923" spans="1:4">
      <c r="A1923" t="s">
        <v>9</v>
      </c>
      <c r="B1923" t="s">
        <v>269</v>
      </c>
      <c r="C1923" s="8">
        <v>46200</v>
      </c>
      <c r="D1923" s="9">
        <v>41318</v>
      </c>
    </row>
    <row r="1924" spans="1:4">
      <c r="A1924" t="s">
        <v>5</v>
      </c>
      <c r="B1924" t="s">
        <v>108</v>
      </c>
      <c r="C1924" s="8">
        <v>46200</v>
      </c>
      <c r="D1924" s="9">
        <v>44173</v>
      </c>
    </row>
    <row r="1925" spans="1:4">
      <c r="A1925" t="s">
        <v>4</v>
      </c>
      <c r="B1925" t="s">
        <v>181</v>
      </c>
      <c r="C1925" s="8">
        <v>46201</v>
      </c>
      <c r="D1925" s="9">
        <v>28599</v>
      </c>
    </row>
    <row r="1926" spans="1:4">
      <c r="A1926" t="s">
        <v>4</v>
      </c>
      <c r="B1926" t="s">
        <v>124</v>
      </c>
      <c r="C1926" s="8">
        <v>46201</v>
      </c>
      <c r="D1926" s="9">
        <v>34159</v>
      </c>
    </row>
    <row r="1927" spans="1:4">
      <c r="A1927" t="s">
        <v>25</v>
      </c>
      <c r="B1927" t="s">
        <v>215</v>
      </c>
      <c r="C1927" s="8">
        <v>46201</v>
      </c>
      <c r="D1927" s="9">
        <v>22015</v>
      </c>
    </row>
    <row r="1928" spans="1:4">
      <c r="A1928" t="s">
        <v>29</v>
      </c>
      <c r="B1928" t="s">
        <v>112</v>
      </c>
      <c r="C1928" s="8">
        <v>46201</v>
      </c>
      <c r="D1928" s="9">
        <v>11033</v>
      </c>
    </row>
    <row r="1929" spans="1:4">
      <c r="A1929" t="s">
        <v>5</v>
      </c>
      <c r="B1929" t="s">
        <v>106</v>
      </c>
      <c r="C1929" s="8">
        <v>46201</v>
      </c>
      <c r="D1929" s="9">
        <v>34914</v>
      </c>
    </row>
    <row r="1930" spans="1:4">
      <c r="A1930" t="s">
        <v>5</v>
      </c>
      <c r="B1930" t="s">
        <v>167</v>
      </c>
      <c r="C1930" s="8">
        <v>46201</v>
      </c>
      <c r="D1930" s="9">
        <v>32533</v>
      </c>
    </row>
    <row r="1931" spans="1:4">
      <c r="A1931" t="s">
        <v>5</v>
      </c>
      <c r="B1931" t="s">
        <v>182</v>
      </c>
      <c r="C1931" s="8">
        <v>46201</v>
      </c>
      <c r="D1931" s="9">
        <v>45957</v>
      </c>
    </row>
    <row r="1932" spans="1:4">
      <c r="A1932" t="s">
        <v>5</v>
      </c>
      <c r="B1932" t="s">
        <v>183</v>
      </c>
      <c r="C1932" s="8">
        <v>46201</v>
      </c>
      <c r="D1932" s="9">
        <v>39282</v>
      </c>
    </row>
    <row r="1933" spans="1:4">
      <c r="A1933" t="s">
        <v>5</v>
      </c>
      <c r="B1933" t="s">
        <v>134</v>
      </c>
      <c r="C1933" s="8">
        <v>46201</v>
      </c>
      <c r="D1933" s="9">
        <v>39092</v>
      </c>
    </row>
    <row r="1934" spans="1:4">
      <c r="A1934" t="s">
        <v>5</v>
      </c>
      <c r="B1934" t="s">
        <v>58</v>
      </c>
      <c r="C1934" s="8">
        <v>46201</v>
      </c>
      <c r="D1934" s="9">
        <v>44412</v>
      </c>
    </row>
    <row r="1935" spans="1:4">
      <c r="A1935" t="s">
        <v>5</v>
      </c>
      <c r="B1935" t="s">
        <v>204</v>
      </c>
      <c r="C1935" s="8">
        <v>46201</v>
      </c>
      <c r="D1935" s="9">
        <v>36567</v>
      </c>
    </row>
    <row r="1936" spans="1:4">
      <c r="A1936" t="s">
        <v>4</v>
      </c>
      <c r="B1936" t="s">
        <v>227</v>
      </c>
      <c r="C1936" s="8">
        <v>46202</v>
      </c>
      <c r="D1936" s="9">
        <v>6540</v>
      </c>
    </row>
    <row r="1937" spans="1:4">
      <c r="A1937" t="s">
        <v>4</v>
      </c>
      <c r="B1937" t="s">
        <v>180</v>
      </c>
      <c r="C1937" s="8">
        <v>46202</v>
      </c>
      <c r="D1937" s="9">
        <v>30472</v>
      </c>
    </row>
    <row r="1938" spans="1:4">
      <c r="A1938" t="s">
        <v>26</v>
      </c>
      <c r="B1938" t="s">
        <v>138</v>
      </c>
      <c r="C1938" s="8">
        <v>46202</v>
      </c>
      <c r="D1938" s="9">
        <v>13176</v>
      </c>
    </row>
    <row r="1939" spans="1:4">
      <c r="A1939" t="s">
        <v>26</v>
      </c>
      <c r="B1939" t="s">
        <v>280</v>
      </c>
      <c r="C1939" s="8">
        <v>46202</v>
      </c>
      <c r="D1939" s="9">
        <v>13125</v>
      </c>
    </row>
    <row r="1940" spans="1:4">
      <c r="A1940" t="s">
        <v>8</v>
      </c>
      <c r="B1940" t="s">
        <v>56</v>
      </c>
      <c r="C1940" s="8">
        <v>46202</v>
      </c>
      <c r="D1940" s="9">
        <v>9601</v>
      </c>
    </row>
    <row r="1941" spans="1:4">
      <c r="A1941" t="s">
        <v>8</v>
      </c>
      <c r="B1941" t="s">
        <v>52</v>
      </c>
      <c r="C1941" s="8">
        <v>46202</v>
      </c>
      <c r="D1941" s="9">
        <v>15648</v>
      </c>
    </row>
    <row r="1942" spans="1:4">
      <c r="A1942" t="s">
        <v>33</v>
      </c>
      <c r="B1942" t="s">
        <v>268</v>
      </c>
      <c r="C1942" s="8">
        <v>46202</v>
      </c>
      <c r="D1942" s="9">
        <v>5200</v>
      </c>
    </row>
    <row r="1943" spans="1:4">
      <c r="A1943" t="s">
        <v>29</v>
      </c>
      <c r="B1943" t="s">
        <v>155</v>
      </c>
      <c r="C1943" s="8">
        <v>46202</v>
      </c>
      <c r="D1943" s="9">
        <v>11873</v>
      </c>
    </row>
    <row r="1944" spans="1:4">
      <c r="A1944" t="s">
        <v>5</v>
      </c>
      <c r="B1944" t="s">
        <v>115</v>
      </c>
      <c r="C1944" s="8">
        <v>46202</v>
      </c>
      <c r="D1944" s="9">
        <v>32125</v>
      </c>
    </row>
    <row r="1945" spans="1:4">
      <c r="A1945" t="s">
        <v>5</v>
      </c>
      <c r="B1945" t="s">
        <v>212</v>
      </c>
      <c r="C1945" s="8">
        <v>46202</v>
      </c>
      <c r="D1945" s="9">
        <v>43037</v>
      </c>
    </row>
    <row r="1946" spans="1:4">
      <c r="A1946" t="s">
        <v>27</v>
      </c>
      <c r="B1946" t="s">
        <v>168</v>
      </c>
      <c r="C1946" s="8">
        <v>46203</v>
      </c>
      <c r="D1946" s="9">
        <v>12046</v>
      </c>
    </row>
    <row r="1947" spans="1:4">
      <c r="A1947" t="s">
        <v>30</v>
      </c>
      <c r="B1947" t="s">
        <v>139</v>
      </c>
      <c r="C1947" s="8">
        <v>46203</v>
      </c>
      <c r="D1947" s="9">
        <v>15701</v>
      </c>
    </row>
    <row r="1948" spans="1:4">
      <c r="A1948" t="s">
        <v>29</v>
      </c>
      <c r="B1948" t="s">
        <v>51</v>
      </c>
      <c r="C1948" s="8">
        <v>46203</v>
      </c>
      <c r="D1948" s="9">
        <v>6043</v>
      </c>
    </row>
    <row r="1949" spans="1:4">
      <c r="A1949" t="s">
        <v>9</v>
      </c>
      <c r="B1949" t="s">
        <v>177</v>
      </c>
      <c r="C1949" s="8">
        <v>46203</v>
      </c>
      <c r="D1949" s="9">
        <v>36667</v>
      </c>
    </row>
    <row r="1950" spans="1:4">
      <c r="A1950" t="s">
        <v>9</v>
      </c>
      <c r="B1950" t="s">
        <v>97</v>
      </c>
      <c r="C1950" s="8">
        <v>46203</v>
      </c>
      <c r="D1950" s="9">
        <v>40917</v>
      </c>
    </row>
    <row r="1951" spans="1:4">
      <c r="A1951" t="s">
        <v>9</v>
      </c>
      <c r="B1951" t="s">
        <v>82</v>
      </c>
      <c r="C1951" s="8">
        <v>46203</v>
      </c>
      <c r="D1951" s="9">
        <v>25280</v>
      </c>
    </row>
    <row r="1952" spans="1:4">
      <c r="A1952" t="s">
        <v>9</v>
      </c>
      <c r="B1952" t="s">
        <v>132</v>
      </c>
      <c r="C1952" s="8">
        <v>46203</v>
      </c>
      <c r="D1952" s="9">
        <v>46569</v>
      </c>
    </row>
    <row r="1953" spans="1:4">
      <c r="A1953" t="s">
        <v>9</v>
      </c>
      <c r="B1953" t="s">
        <v>137</v>
      </c>
      <c r="C1953" s="8">
        <v>46203</v>
      </c>
      <c r="D1953" s="9">
        <v>49156</v>
      </c>
    </row>
    <row r="1954" spans="1:4">
      <c r="A1954" t="s">
        <v>5</v>
      </c>
      <c r="B1954" t="s">
        <v>188</v>
      </c>
      <c r="C1954" s="8">
        <v>46203</v>
      </c>
      <c r="D1954" s="9">
        <v>41622</v>
      </c>
    </row>
    <row r="1955" spans="1:4">
      <c r="A1955" t="s">
        <v>5</v>
      </c>
      <c r="B1955" t="s">
        <v>114</v>
      </c>
      <c r="C1955" s="8">
        <v>46203</v>
      </c>
      <c r="D1955" s="9">
        <v>25553</v>
      </c>
    </row>
    <row r="1956" spans="1:4">
      <c r="A1956" t="s">
        <v>5</v>
      </c>
      <c r="B1956" t="s">
        <v>99</v>
      </c>
      <c r="C1956" s="8">
        <v>46203</v>
      </c>
      <c r="D1956" s="9">
        <v>27976</v>
      </c>
    </row>
    <row r="1957" spans="1:4">
      <c r="A1957" t="s">
        <v>27</v>
      </c>
      <c r="B1957" t="s">
        <v>149</v>
      </c>
      <c r="C1957" s="8">
        <v>46204</v>
      </c>
      <c r="D1957" s="9">
        <v>12695</v>
      </c>
    </row>
    <row r="1958" spans="1:4">
      <c r="A1958" t="s">
        <v>4</v>
      </c>
      <c r="B1958" t="s">
        <v>150</v>
      </c>
      <c r="C1958" s="8">
        <v>46204</v>
      </c>
      <c r="D1958" s="9">
        <v>36199</v>
      </c>
    </row>
    <row r="1959" spans="1:4">
      <c r="A1959" t="s">
        <v>30</v>
      </c>
      <c r="B1959" t="s">
        <v>118</v>
      </c>
      <c r="C1959" s="8">
        <v>46204</v>
      </c>
      <c r="D1959" s="9">
        <v>11978</v>
      </c>
    </row>
    <row r="1960" spans="1:4">
      <c r="A1960" t="s">
        <v>8</v>
      </c>
      <c r="B1960" t="s">
        <v>140</v>
      </c>
      <c r="C1960" s="8">
        <v>46204</v>
      </c>
      <c r="D1960" s="9">
        <v>14558</v>
      </c>
    </row>
    <row r="1961" spans="1:4">
      <c r="A1961" t="s">
        <v>7</v>
      </c>
      <c r="B1961" t="s">
        <v>160</v>
      </c>
      <c r="C1961" s="8">
        <v>46204</v>
      </c>
      <c r="D1961" s="9">
        <v>29219</v>
      </c>
    </row>
    <row r="1962" spans="1:4">
      <c r="A1962" t="s">
        <v>5</v>
      </c>
      <c r="B1962" t="s">
        <v>182</v>
      </c>
      <c r="C1962" s="8">
        <v>46204</v>
      </c>
      <c r="D1962" s="9">
        <v>31109</v>
      </c>
    </row>
    <row r="1963" spans="1:4">
      <c r="A1963" t="s">
        <v>5</v>
      </c>
      <c r="B1963" t="s">
        <v>251</v>
      </c>
      <c r="C1963" s="8">
        <v>46204</v>
      </c>
      <c r="D1963" s="9">
        <v>36205</v>
      </c>
    </row>
    <row r="1964" spans="1:4">
      <c r="A1964" t="s">
        <v>5</v>
      </c>
      <c r="B1964" t="s">
        <v>54</v>
      </c>
      <c r="C1964" s="8">
        <v>46204</v>
      </c>
      <c r="D1964" s="9">
        <v>41810</v>
      </c>
    </row>
    <row r="1965" spans="1:4">
      <c r="A1965" t="s">
        <v>5</v>
      </c>
      <c r="B1965" t="s">
        <v>277</v>
      </c>
      <c r="C1965" s="8">
        <v>46204</v>
      </c>
      <c r="D1965" s="9">
        <v>47941</v>
      </c>
    </row>
    <row r="1966" spans="1:4">
      <c r="A1966" t="s">
        <v>5</v>
      </c>
      <c r="B1966" t="s">
        <v>277</v>
      </c>
      <c r="C1966" s="8">
        <v>46204</v>
      </c>
      <c r="D1966" s="9">
        <v>43675</v>
      </c>
    </row>
    <row r="1967" spans="1:4">
      <c r="A1967" t="s">
        <v>5</v>
      </c>
      <c r="B1967" t="s">
        <v>100</v>
      </c>
      <c r="C1967" s="8">
        <v>46204</v>
      </c>
      <c r="D1967" s="9">
        <v>41070</v>
      </c>
    </row>
    <row r="1968" spans="1:4">
      <c r="A1968" t="s">
        <v>4</v>
      </c>
      <c r="B1968" t="s">
        <v>220</v>
      </c>
      <c r="C1968" s="8">
        <v>46205</v>
      </c>
      <c r="D1968" s="9">
        <v>17810</v>
      </c>
    </row>
    <row r="1969" spans="1:4">
      <c r="A1969" t="s">
        <v>25</v>
      </c>
      <c r="B1969" t="s">
        <v>278</v>
      </c>
      <c r="C1969" s="8">
        <v>46205</v>
      </c>
      <c r="D1969" s="9">
        <v>10126</v>
      </c>
    </row>
    <row r="1970" spans="1:4">
      <c r="A1970" t="s">
        <v>34</v>
      </c>
      <c r="B1970" t="s">
        <v>265</v>
      </c>
      <c r="C1970" s="8">
        <v>46205</v>
      </c>
      <c r="D1970" s="9">
        <v>11808</v>
      </c>
    </row>
    <row r="1971" spans="1:4">
      <c r="A1971" t="s">
        <v>29</v>
      </c>
      <c r="B1971" t="s">
        <v>163</v>
      </c>
      <c r="C1971" s="8">
        <v>46205</v>
      </c>
      <c r="D1971" s="9">
        <v>22056</v>
      </c>
    </row>
    <row r="1972" spans="1:4">
      <c r="A1972" t="s">
        <v>9</v>
      </c>
      <c r="B1972" t="s">
        <v>91</v>
      </c>
      <c r="C1972" s="8">
        <v>46205</v>
      </c>
      <c r="D1972" s="9">
        <v>34634</v>
      </c>
    </row>
    <row r="1973" spans="1:4">
      <c r="A1973" t="s">
        <v>9</v>
      </c>
      <c r="B1973" t="s">
        <v>148</v>
      </c>
      <c r="C1973" s="8">
        <v>46205</v>
      </c>
      <c r="D1973" s="9">
        <v>40751</v>
      </c>
    </row>
    <row r="1974" spans="1:4">
      <c r="A1974" t="s">
        <v>9</v>
      </c>
      <c r="B1974" t="s">
        <v>219</v>
      </c>
      <c r="C1974" s="8">
        <v>46205</v>
      </c>
      <c r="D1974" s="9">
        <v>23408</v>
      </c>
    </row>
    <row r="1975" spans="1:4">
      <c r="A1975" t="s">
        <v>5</v>
      </c>
      <c r="B1975" t="s">
        <v>114</v>
      </c>
      <c r="C1975" s="8">
        <v>46205</v>
      </c>
      <c r="D1975" s="9">
        <v>29061</v>
      </c>
    </row>
    <row r="1976" spans="1:4">
      <c r="A1976" t="s">
        <v>5</v>
      </c>
      <c r="B1976" t="s">
        <v>109</v>
      </c>
      <c r="C1976" s="8">
        <v>46205</v>
      </c>
      <c r="D1976" s="9">
        <v>53516</v>
      </c>
    </row>
    <row r="1977" spans="1:4">
      <c r="A1977" t="s">
        <v>4</v>
      </c>
      <c r="B1977" t="s">
        <v>219</v>
      </c>
      <c r="C1977" s="8">
        <v>46206</v>
      </c>
      <c r="D1977" s="9">
        <v>28747</v>
      </c>
    </row>
    <row r="1978" spans="1:4">
      <c r="A1978" t="s">
        <v>4</v>
      </c>
      <c r="B1978" t="s">
        <v>70</v>
      </c>
      <c r="C1978" s="8">
        <v>46206</v>
      </c>
      <c r="D1978" s="9">
        <v>30255</v>
      </c>
    </row>
    <row r="1979" spans="1:4">
      <c r="A1979" t="s">
        <v>4</v>
      </c>
      <c r="B1979" t="s">
        <v>266</v>
      </c>
      <c r="C1979" s="8">
        <v>46206</v>
      </c>
      <c r="D1979" s="9">
        <v>28515</v>
      </c>
    </row>
    <row r="1980" spans="1:4">
      <c r="A1980" t="s">
        <v>25</v>
      </c>
      <c r="B1980" t="s">
        <v>228</v>
      </c>
      <c r="C1980" s="8">
        <v>46206</v>
      </c>
      <c r="D1980" s="9">
        <v>12720</v>
      </c>
    </row>
    <row r="1981" spans="1:4">
      <c r="A1981" t="s">
        <v>8</v>
      </c>
      <c r="B1981" t="s">
        <v>267</v>
      </c>
      <c r="C1981" s="8">
        <v>46206</v>
      </c>
      <c r="D1981" s="9">
        <v>15873</v>
      </c>
    </row>
    <row r="1982" spans="1:4">
      <c r="A1982" t="s">
        <v>32</v>
      </c>
      <c r="B1982" t="s">
        <v>282</v>
      </c>
      <c r="C1982" s="8">
        <v>46206</v>
      </c>
      <c r="D1982" s="9">
        <v>12703</v>
      </c>
    </row>
    <row r="1983" spans="1:4">
      <c r="A1983" t="s">
        <v>9</v>
      </c>
      <c r="B1983" t="s">
        <v>245</v>
      </c>
      <c r="C1983" s="8">
        <v>46206</v>
      </c>
      <c r="D1983" s="9">
        <v>31888</v>
      </c>
    </row>
    <row r="1984" spans="1:4">
      <c r="A1984" t="s">
        <v>9</v>
      </c>
      <c r="B1984" t="s">
        <v>132</v>
      </c>
      <c r="C1984" s="8">
        <v>46206</v>
      </c>
      <c r="D1984" s="9">
        <v>43220</v>
      </c>
    </row>
    <row r="1985" spans="1:4">
      <c r="A1985" t="s">
        <v>5</v>
      </c>
      <c r="B1985" t="s">
        <v>251</v>
      </c>
      <c r="C1985" s="8">
        <v>46206</v>
      </c>
      <c r="D1985" s="9">
        <v>41487</v>
      </c>
    </row>
    <row r="1986" spans="1:4">
      <c r="A1986" t="s">
        <v>5</v>
      </c>
      <c r="B1986" t="s">
        <v>183</v>
      </c>
      <c r="C1986" s="8">
        <v>46206</v>
      </c>
      <c r="D1986" s="9">
        <v>62349</v>
      </c>
    </row>
    <row r="1987" spans="1:4">
      <c r="A1987" t="s">
        <v>5</v>
      </c>
      <c r="B1987" t="s">
        <v>124</v>
      </c>
      <c r="C1987" s="8">
        <v>46206</v>
      </c>
      <c r="D1987" s="9">
        <v>32325</v>
      </c>
    </row>
    <row r="1988" spans="1:4">
      <c r="A1988" t="s">
        <v>5</v>
      </c>
      <c r="B1988" t="s">
        <v>277</v>
      </c>
      <c r="C1988" s="8">
        <v>46206</v>
      </c>
      <c r="D1988" s="9">
        <v>34964</v>
      </c>
    </row>
    <row r="1989" spans="1:4">
      <c r="A1989" t="s">
        <v>5</v>
      </c>
      <c r="B1989" t="s">
        <v>108</v>
      </c>
      <c r="C1989" s="8">
        <v>46206</v>
      </c>
      <c r="D1989" s="9">
        <v>38545</v>
      </c>
    </row>
    <row r="1990" spans="1:4">
      <c r="A1990" t="s">
        <v>4</v>
      </c>
      <c r="B1990" t="s">
        <v>116</v>
      </c>
      <c r="C1990" s="8">
        <v>46207</v>
      </c>
      <c r="D1990" s="9">
        <v>30536</v>
      </c>
    </row>
    <row r="1991" spans="1:4">
      <c r="A1991" t="s">
        <v>31</v>
      </c>
      <c r="B1991" t="s">
        <v>68</v>
      </c>
      <c r="C1991" s="8">
        <v>46207</v>
      </c>
      <c r="D1991" s="9">
        <v>9170</v>
      </c>
    </row>
    <row r="1992" spans="1:4">
      <c r="A1992" t="s">
        <v>25</v>
      </c>
      <c r="B1992" t="s">
        <v>186</v>
      </c>
      <c r="C1992" s="8">
        <v>46207</v>
      </c>
      <c r="D1992" s="9">
        <v>13560</v>
      </c>
    </row>
    <row r="1993" spans="1:4">
      <c r="A1993" t="s">
        <v>25</v>
      </c>
      <c r="B1993" t="s">
        <v>215</v>
      </c>
      <c r="C1993" s="8">
        <v>46207</v>
      </c>
      <c r="D1993" s="9">
        <v>29149</v>
      </c>
    </row>
    <row r="1994" spans="1:4">
      <c r="A1994" t="s">
        <v>28</v>
      </c>
      <c r="B1994" t="s">
        <v>174</v>
      </c>
      <c r="C1994" s="8">
        <v>46207</v>
      </c>
      <c r="D1994" s="9">
        <v>23010</v>
      </c>
    </row>
    <row r="1995" spans="1:4">
      <c r="A1995" t="s">
        <v>28</v>
      </c>
      <c r="B1995" t="s">
        <v>242</v>
      </c>
      <c r="C1995" s="8">
        <v>46207</v>
      </c>
      <c r="D1995" s="9">
        <v>5200</v>
      </c>
    </row>
    <row r="1996" spans="1:4">
      <c r="A1996" t="s">
        <v>8</v>
      </c>
      <c r="B1996" t="s">
        <v>258</v>
      </c>
      <c r="C1996" s="8">
        <v>46207</v>
      </c>
      <c r="D1996" s="9">
        <v>5200</v>
      </c>
    </row>
    <row r="1997" spans="1:4">
      <c r="A1997" t="s">
        <v>7</v>
      </c>
      <c r="B1997" t="s">
        <v>202</v>
      </c>
      <c r="C1997" s="8">
        <v>46207</v>
      </c>
      <c r="D1997" s="9">
        <v>22298</v>
      </c>
    </row>
    <row r="1998" spans="1:4">
      <c r="A1998" t="s">
        <v>9</v>
      </c>
      <c r="B1998" t="s">
        <v>111</v>
      </c>
      <c r="C1998" s="8">
        <v>46207</v>
      </c>
      <c r="D1998" s="9">
        <v>52328</v>
      </c>
    </row>
    <row r="1999" spans="1:4">
      <c r="A1999" t="s">
        <v>9</v>
      </c>
      <c r="B1999" t="s">
        <v>187</v>
      </c>
      <c r="C1999" s="8">
        <v>46207</v>
      </c>
      <c r="D1999" s="9">
        <v>43796</v>
      </c>
    </row>
    <row r="2000" spans="1:4">
      <c r="A2000" t="s">
        <v>5</v>
      </c>
      <c r="B2000" t="s">
        <v>92</v>
      </c>
      <c r="C2000" s="8">
        <v>46207</v>
      </c>
      <c r="D2000" s="9">
        <v>38516</v>
      </c>
    </row>
    <row r="2001" spans="1:4">
      <c r="A2001" t="s">
        <v>5</v>
      </c>
      <c r="B2001" t="s">
        <v>73</v>
      </c>
      <c r="C2001" s="8">
        <v>46207</v>
      </c>
      <c r="D2001" s="9">
        <v>36825</v>
      </c>
    </row>
    <row r="2002" spans="1:4">
      <c r="A2002" t="s">
        <v>5</v>
      </c>
      <c r="B2002" t="s">
        <v>74</v>
      </c>
      <c r="C2002" s="8">
        <v>46207</v>
      </c>
      <c r="D2002" s="9">
        <v>41656</v>
      </c>
    </row>
    <row r="2003" spans="1:4">
      <c r="A2003" t="s">
        <v>5</v>
      </c>
      <c r="B2003" t="s">
        <v>159</v>
      </c>
      <c r="C2003" s="8">
        <v>46207</v>
      </c>
      <c r="D2003" s="9">
        <v>53509</v>
      </c>
    </row>
    <row r="2004" spans="1:4">
      <c r="A2004" t="s">
        <v>5</v>
      </c>
      <c r="B2004" t="s">
        <v>54</v>
      </c>
      <c r="C2004" s="8">
        <v>46207</v>
      </c>
      <c r="D2004" s="9">
        <v>46313</v>
      </c>
    </row>
    <row r="2005" spans="1:4">
      <c r="A2005" t="s">
        <v>5</v>
      </c>
      <c r="B2005" t="s">
        <v>189</v>
      </c>
      <c r="C2005" s="8">
        <v>46207</v>
      </c>
      <c r="D2005" s="9">
        <v>39075</v>
      </c>
    </row>
    <row r="2006" spans="1:4">
      <c r="A2006" t="s">
        <v>4</v>
      </c>
      <c r="B2006" t="s">
        <v>269</v>
      </c>
      <c r="C2006" s="8">
        <v>46208</v>
      </c>
      <c r="D2006" s="9">
        <v>40624</v>
      </c>
    </row>
    <row r="2007" spans="1:4">
      <c r="A2007" t="s">
        <v>8</v>
      </c>
      <c r="B2007" t="s">
        <v>79</v>
      </c>
      <c r="C2007" s="8">
        <v>46208</v>
      </c>
      <c r="D2007" s="9">
        <v>13769</v>
      </c>
    </row>
    <row r="2008" spans="1:4">
      <c r="A2008" t="s">
        <v>6</v>
      </c>
      <c r="B2008" t="s">
        <v>120</v>
      </c>
      <c r="C2008" s="8">
        <v>46208</v>
      </c>
      <c r="D2008" s="9">
        <v>15566</v>
      </c>
    </row>
    <row r="2009" spans="1:4">
      <c r="A2009" t="s">
        <v>7</v>
      </c>
      <c r="B2009" t="s">
        <v>170</v>
      </c>
      <c r="C2009" s="8">
        <v>46208</v>
      </c>
      <c r="D2009" s="9">
        <v>19174</v>
      </c>
    </row>
    <row r="2010" spans="1:4">
      <c r="A2010" t="s">
        <v>7</v>
      </c>
      <c r="B2010" t="s">
        <v>90</v>
      </c>
      <c r="C2010" s="8">
        <v>46208</v>
      </c>
      <c r="D2010" s="9">
        <v>13475</v>
      </c>
    </row>
    <row r="2011" spans="1:4">
      <c r="A2011" t="s">
        <v>37</v>
      </c>
      <c r="B2011" t="s">
        <v>81</v>
      </c>
      <c r="C2011" s="8">
        <v>46208</v>
      </c>
      <c r="D2011" s="9">
        <v>15424</v>
      </c>
    </row>
    <row r="2012" spans="1:4">
      <c r="A2012" t="s">
        <v>9</v>
      </c>
      <c r="B2012" t="s">
        <v>91</v>
      </c>
      <c r="C2012" s="8">
        <v>46208</v>
      </c>
      <c r="D2012" s="9">
        <v>26042</v>
      </c>
    </row>
    <row r="2013" spans="1:4">
      <c r="A2013" t="s">
        <v>5</v>
      </c>
      <c r="B2013" t="s">
        <v>92</v>
      </c>
      <c r="C2013" s="8">
        <v>46208</v>
      </c>
      <c r="D2013" s="9">
        <v>46578</v>
      </c>
    </row>
    <row r="2014" spans="1:4">
      <c r="A2014" t="s">
        <v>5</v>
      </c>
      <c r="B2014" t="s">
        <v>101</v>
      </c>
      <c r="C2014" s="8">
        <v>46208</v>
      </c>
      <c r="D2014" s="9">
        <v>26425</v>
      </c>
    </row>
    <row r="2015" spans="1:4">
      <c r="A2015" t="s">
        <v>5</v>
      </c>
      <c r="B2015" t="s">
        <v>93</v>
      </c>
      <c r="C2015" s="8">
        <v>46208</v>
      </c>
      <c r="D2015" s="9">
        <v>45006</v>
      </c>
    </row>
    <row r="2016" spans="1:4">
      <c r="A2016" t="s">
        <v>5</v>
      </c>
      <c r="B2016" t="s">
        <v>109</v>
      </c>
      <c r="C2016" s="8">
        <v>46208</v>
      </c>
      <c r="D2016" s="9">
        <v>61687</v>
      </c>
    </row>
    <row r="2017" spans="1:4">
      <c r="A2017" t="s">
        <v>27</v>
      </c>
      <c r="B2017" t="s">
        <v>184</v>
      </c>
      <c r="C2017" s="8">
        <v>46209</v>
      </c>
      <c r="D2017" s="9">
        <v>5200</v>
      </c>
    </row>
    <row r="2018" spans="1:4">
      <c r="A2018" t="s">
        <v>4</v>
      </c>
      <c r="B2018" t="s">
        <v>181</v>
      </c>
      <c r="C2018" s="8">
        <v>46209</v>
      </c>
      <c r="D2018" s="9">
        <v>28958</v>
      </c>
    </row>
    <row r="2019" spans="1:4">
      <c r="A2019" t="s">
        <v>4</v>
      </c>
      <c r="B2019" t="s">
        <v>185</v>
      </c>
      <c r="C2019" s="8">
        <v>46209</v>
      </c>
      <c r="D2019" s="9">
        <v>24076</v>
      </c>
    </row>
    <row r="2020" spans="1:4">
      <c r="A2020" t="s">
        <v>6</v>
      </c>
      <c r="B2020" t="s">
        <v>249</v>
      </c>
      <c r="C2020" s="8">
        <v>46209</v>
      </c>
      <c r="D2020" s="9">
        <v>18128</v>
      </c>
    </row>
    <row r="2021" spans="1:4">
      <c r="A2021" t="s">
        <v>6</v>
      </c>
      <c r="B2021" t="s">
        <v>131</v>
      </c>
      <c r="C2021" s="8">
        <v>46209</v>
      </c>
      <c r="D2021" s="9">
        <v>18278</v>
      </c>
    </row>
    <row r="2022" spans="1:4">
      <c r="A2022" t="s">
        <v>7</v>
      </c>
      <c r="B2022" t="s">
        <v>274</v>
      </c>
      <c r="C2022" s="8">
        <v>46209</v>
      </c>
      <c r="D2022" s="9">
        <v>23153</v>
      </c>
    </row>
    <row r="2023" spans="1:4">
      <c r="A2023" t="s">
        <v>7</v>
      </c>
      <c r="B2023" t="s">
        <v>201</v>
      </c>
      <c r="C2023" s="8">
        <v>46209</v>
      </c>
      <c r="D2023" s="9">
        <v>19035</v>
      </c>
    </row>
    <row r="2024" spans="1:4">
      <c r="A2024" t="s">
        <v>9</v>
      </c>
      <c r="B2024" t="s">
        <v>203</v>
      </c>
      <c r="C2024" s="8">
        <v>46209</v>
      </c>
      <c r="D2024" s="9">
        <v>28597</v>
      </c>
    </row>
    <row r="2025" spans="1:4">
      <c r="A2025" t="s">
        <v>5</v>
      </c>
      <c r="B2025" t="s">
        <v>114</v>
      </c>
      <c r="C2025" s="8">
        <v>46209</v>
      </c>
      <c r="D2025" s="9">
        <v>36010</v>
      </c>
    </row>
    <row r="2026" spans="1:4">
      <c r="A2026" t="s">
        <v>5</v>
      </c>
      <c r="B2026" t="s">
        <v>53</v>
      </c>
      <c r="C2026" s="8">
        <v>46209</v>
      </c>
      <c r="D2026" s="9">
        <v>29498</v>
      </c>
    </row>
    <row r="2027" spans="1:4">
      <c r="A2027" t="s">
        <v>5</v>
      </c>
      <c r="B2027" t="s">
        <v>251</v>
      </c>
      <c r="C2027" s="8">
        <v>46209</v>
      </c>
      <c r="D2027" s="9">
        <v>46238</v>
      </c>
    </row>
    <row r="2028" spans="1:4">
      <c r="A2028" t="s">
        <v>5</v>
      </c>
      <c r="B2028" t="s">
        <v>54</v>
      </c>
      <c r="C2028" s="8">
        <v>46209</v>
      </c>
      <c r="D2028" s="9">
        <v>50308</v>
      </c>
    </row>
    <row r="2029" spans="1:4">
      <c r="A2029" t="s">
        <v>5</v>
      </c>
      <c r="B2029" t="s">
        <v>124</v>
      </c>
      <c r="C2029" s="8">
        <v>46209</v>
      </c>
      <c r="D2029" s="9">
        <v>35371</v>
      </c>
    </row>
    <row r="2030" spans="1:4">
      <c r="A2030" t="s">
        <v>5</v>
      </c>
      <c r="B2030" t="s">
        <v>134</v>
      </c>
      <c r="C2030" s="8">
        <v>46209</v>
      </c>
      <c r="D2030" s="9">
        <v>37136</v>
      </c>
    </row>
    <row r="2031" spans="1:4">
      <c r="A2031" t="s">
        <v>5</v>
      </c>
      <c r="B2031" t="s">
        <v>58</v>
      </c>
      <c r="C2031" s="8">
        <v>46209</v>
      </c>
      <c r="D2031" s="9">
        <v>43438</v>
      </c>
    </row>
    <row r="2032" spans="1:4">
      <c r="A2032" t="s">
        <v>5</v>
      </c>
      <c r="B2032" t="s">
        <v>189</v>
      </c>
      <c r="C2032" s="8">
        <v>46209</v>
      </c>
      <c r="D2032" s="9">
        <v>31229</v>
      </c>
    </row>
    <row r="2033" spans="1:4">
      <c r="A2033" t="s">
        <v>4</v>
      </c>
      <c r="B2033" t="s">
        <v>76</v>
      </c>
      <c r="C2033" s="8">
        <v>46210</v>
      </c>
      <c r="D2033" s="9">
        <v>26866</v>
      </c>
    </row>
    <row r="2034" spans="1:4">
      <c r="A2034" t="s">
        <v>8</v>
      </c>
      <c r="B2034" t="s">
        <v>147</v>
      </c>
      <c r="C2034" s="8">
        <v>46210</v>
      </c>
      <c r="D2034" s="9">
        <v>14802</v>
      </c>
    </row>
    <row r="2035" spans="1:4">
      <c r="A2035" t="s">
        <v>6</v>
      </c>
      <c r="B2035" t="s">
        <v>263</v>
      </c>
      <c r="C2035" s="8">
        <v>46210</v>
      </c>
      <c r="D2035" s="9">
        <v>11507</v>
      </c>
    </row>
    <row r="2036" spans="1:4">
      <c r="A2036" t="s">
        <v>29</v>
      </c>
      <c r="B2036" t="s">
        <v>51</v>
      </c>
      <c r="C2036" s="8">
        <v>46210</v>
      </c>
      <c r="D2036" s="9">
        <v>7671</v>
      </c>
    </row>
    <row r="2037" spans="1:4">
      <c r="A2037" t="s">
        <v>9</v>
      </c>
      <c r="B2037" t="s">
        <v>143</v>
      </c>
      <c r="C2037" s="8">
        <v>46210</v>
      </c>
      <c r="D2037" s="9">
        <v>27465</v>
      </c>
    </row>
    <row r="2038" spans="1:4">
      <c r="A2038" t="s">
        <v>5</v>
      </c>
      <c r="B2038" t="s">
        <v>133</v>
      </c>
      <c r="C2038" s="8">
        <v>46210</v>
      </c>
      <c r="D2038" s="9">
        <v>41572</v>
      </c>
    </row>
    <row r="2039" spans="1:4">
      <c r="A2039" t="s">
        <v>5</v>
      </c>
      <c r="B2039" t="s">
        <v>133</v>
      </c>
      <c r="C2039" s="8">
        <v>46210</v>
      </c>
      <c r="D2039" s="9">
        <v>49522</v>
      </c>
    </row>
    <row r="2040" spans="1:4">
      <c r="A2040" t="s">
        <v>5</v>
      </c>
      <c r="B2040" t="s">
        <v>98</v>
      </c>
      <c r="C2040" s="8">
        <v>46210</v>
      </c>
      <c r="D2040" s="9">
        <v>46068</v>
      </c>
    </row>
    <row r="2041" spans="1:4">
      <c r="A2041" t="s">
        <v>25</v>
      </c>
      <c r="B2041" t="s">
        <v>128</v>
      </c>
      <c r="C2041" s="8">
        <v>46211</v>
      </c>
      <c r="D2041" s="9">
        <v>25159</v>
      </c>
    </row>
    <row r="2042" spans="1:4">
      <c r="A2042" t="s">
        <v>30</v>
      </c>
      <c r="B2042" t="s">
        <v>63</v>
      </c>
      <c r="C2042" s="8">
        <v>46211</v>
      </c>
      <c r="D2042" s="9">
        <v>11538</v>
      </c>
    </row>
    <row r="2043" spans="1:4">
      <c r="A2043" t="s">
        <v>6</v>
      </c>
      <c r="B2043" t="s">
        <v>88</v>
      </c>
      <c r="C2043" s="8">
        <v>46211</v>
      </c>
      <c r="D2043" s="9">
        <v>16703</v>
      </c>
    </row>
    <row r="2044" spans="1:4">
      <c r="A2044" t="s">
        <v>33</v>
      </c>
      <c r="B2044" t="s">
        <v>248</v>
      </c>
      <c r="C2044" s="8">
        <v>46211</v>
      </c>
      <c r="D2044" s="9">
        <v>10768</v>
      </c>
    </row>
    <row r="2045" spans="1:4">
      <c r="A2045" t="s">
        <v>7</v>
      </c>
      <c r="B2045" t="s">
        <v>65</v>
      </c>
      <c r="C2045" s="8">
        <v>46211</v>
      </c>
      <c r="D2045" s="9">
        <v>29974</v>
      </c>
    </row>
    <row r="2046" spans="1:4">
      <c r="A2046" t="s">
        <v>7</v>
      </c>
      <c r="B2046" t="s">
        <v>254</v>
      </c>
      <c r="C2046" s="8">
        <v>46211</v>
      </c>
      <c r="D2046" s="9">
        <v>33652</v>
      </c>
    </row>
    <row r="2047" spans="1:4">
      <c r="A2047" t="s">
        <v>9</v>
      </c>
      <c r="B2047" t="s">
        <v>235</v>
      </c>
      <c r="C2047" s="8">
        <v>46211</v>
      </c>
      <c r="D2047" s="9">
        <v>33950</v>
      </c>
    </row>
    <row r="2048" spans="1:4">
      <c r="A2048" t="s">
        <v>5</v>
      </c>
      <c r="B2048" t="s">
        <v>92</v>
      </c>
      <c r="C2048" s="8">
        <v>46211</v>
      </c>
      <c r="D2048" s="9">
        <v>44244</v>
      </c>
    </row>
    <row r="2049" spans="1:4">
      <c r="A2049" t="s">
        <v>5</v>
      </c>
      <c r="B2049" t="s">
        <v>108</v>
      </c>
      <c r="C2049" s="8">
        <v>46211</v>
      </c>
      <c r="D2049" s="9">
        <v>35290</v>
      </c>
    </row>
    <row r="2050" spans="1:4">
      <c r="A2050" t="s">
        <v>5</v>
      </c>
      <c r="B2050" t="s">
        <v>204</v>
      </c>
      <c r="C2050" s="8">
        <v>46211</v>
      </c>
      <c r="D2050" s="9">
        <v>35796</v>
      </c>
    </row>
    <row r="2051" spans="1:4">
      <c r="A2051" t="s">
        <v>4</v>
      </c>
      <c r="B2051" t="s">
        <v>190</v>
      </c>
      <c r="C2051" s="8">
        <v>46212</v>
      </c>
      <c r="D2051" s="9">
        <v>29533</v>
      </c>
    </row>
    <row r="2052" spans="1:4">
      <c r="A2052" t="s">
        <v>31</v>
      </c>
      <c r="B2052" t="s">
        <v>199</v>
      </c>
      <c r="C2052" s="8">
        <v>46212</v>
      </c>
      <c r="D2052" s="9">
        <v>6532</v>
      </c>
    </row>
    <row r="2053" spans="1:4">
      <c r="A2053" t="s">
        <v>6</v>
      </c>
      <c r="B2053" t="s">
        <v>260</v>
      </c>
      <c r="C2053" s="8">
        <v>46212</v>
      </c>
      <c r="D2053" s="9">
        <v>33587</v>
      </c>
    </row>
    <row r="2054" spans="1:4">
      <c r="A2054" t="s">
        <v>29</v>
      </c>
      <c r="B2054" t="s">
        <v>191</v>
      </c>
      <c r="C2054" s="8">
        <v>46212</v>
      </c>
      <c r="D2054" s="9">
        <v>12702</v>
      </c>
    </row>
    <row r="2055" spans="1:4">
      <c r="A2055" t="s">
        <v>29</v>
      </c>
      <c r="B2055" t="s">
        <v>155</v>
      </c>
      <c r="C2055" s="8">
        <v>46212</v>
      </c>
      <c r="D2055" s="9">
        <v>12324</v>
      </c>
    </row>
    <row r="2056" spans="1:4">
      <c r="A2056" t="s">
        <v>29</v>
      </c>
      <c r="B2056" t="s">
        <v>112</v>
      </c>
      <c r="C2056" s="8">
        <v>46212</v>
      </c>
      <c r="D2056" s="9">
        <v>10763</v>
      </c>
    </row>
    <row r="2057" spans="1:4">
      <c r="A2057" t="s">
        <v>7</v>
      </c>
      <c r="B2057" t="s">
        <v>243</v>
      </c>
      <c r="C2057" s="8">
        <v>46212</v>
      </c>
      <c r="D2057" s="9">
        <v>14029</v>
      </c>
    </row>
    <row r="2058" spans="1:4">
      <c r="A2058" t="s">
        <v>9</v>
      </c>
      <c r="B2058" t="s">
        <v>143</v>
      </c>
      <c r="C2058" s="8">
        <v>46212</v>
      </c>
      <c r="D2058" s="9">
        <v>28371</v>
      </c>
    </row>
    <row r="2059" spans="1:4">
      <c r="A2059" t="s">
        <v>9</v>
      </c>
      <c r="B2059" t="s">
        <v>133</v>
      </c>
      <c r="C2059" s="8">
        <v>46212</v>
      </c>
      <c r="D2059" s="9">
        <v>34021</v>
      </c>
    </row>
    <row r="2060" spans="1:4">
      <c r="A2060" t="s">
        <v>9</v>
      </c>
      <c r="B2060" t="s">
        <v>245</v>
      </c>
      <c r="C2060" s="8">
        <v>46212</v>
      </c>
      <c r="D2060" s="9">
        <v>27312</v>
      </c>
    </row>
    <row r="2061" spans="1:4">
      <c r="A2061" t="s">
        <v>5</v>
      </c>
      <c r="B2061" t="s">
        <v>188</v>
      </c>
      <c r="C2061" s="8">
        <v>46212</v>
      </c>
      <c r="D2061" s="9">
        <v>23827</v>
      </c>
    </row>
    <row r="2062" spans="1:4">
      <c r="A2062" t="s">
        <v>5</v>
      </c>
      <c r="B2062" t="s">
        <v>114</v>
      </c>
      <c r="C2062" s="8">
        <v>46212</v>
      </c>
      <c r="D2062" s="9">
        <v>26614</v>
      </c>
    </row>
    <row r="2063" spans="1:4">
      <c r="A2063" t="s">
        <v>5</v>
      </c>
      <c r="B2063" t="s">
        <v>182</v>
      </c>
      <c r="C2063" s="8">
        <v>46212</v>
      </c>
      <c r="D2063" s="9">
        <v>42333</v>
      </c>
    </row>
    <row r="2064" spans="1:4">
      <c r="A2064" t="s">
        <v>5</v>
      </c>
      <c r="B2064" t="s">
        <v>72</v>
      </c>
      <c r="C2064" s="8">
        <v>46212</v>
      </c>
      <c r="D2064" s="9">
        <v>61390</v>
      </c>
    </row>
    <row r="2065" spans="1:4">
      <c r="A2065" t="s">
        <v>36</v>
      </c>
      <c r="B2065" t="s">
        <v>229</v>
      </c>
      <c r="C2065" s="8">
        <v>46213</v>
      </c>
      <c r="D2065" s="9">
        <v>11472</v>
      </c>
    </row>
    <row r="2066" spans="1:4">
      <c r="A2066" t="s">
        <v>6</v>
      </c>
      <c r="B2066" t="s">
        <v>227</v>
      </c>
      <c r="C2066" s="8">
        <v>46213</v>
      </c>
      <c r="D2066" s="9">
        <v>14710</v>
      </c>
    </row>
    <row r="2067" spans="1:4">
      <c r="A2067" t="s">
        <v>9</v>
      </c>
      <c r="B2067" t="s">
        <v>144</v>
      </c>
      <c r="C2067" s="8">
        <v>46213</v>
      </c>
      <c r="D2067" s="9">
        <v>26118</v>
      </c>
    </row>
    <row r="2068" spans="1:4">
      <c r="A2068" t="s">
        <v>9</v>
      </c>
      <c r="B2068" t="s">
        <v>83</v>
      </c>
      <c r="C2068" s="8">
        <v>46213</v>
      </c>
      <c r="D2068" s="9">
        <v>36639</v>
      </c>
    </row>
    <row r="2069" spans="1:4">
      <c r="A2069" t="s">
        <v>5</v>
      </c>
      <c r="B2069" t="s">
        <v>106</v>
      </c>
      <c r="C2069" s="8">
        <v>46213</v>
      </c>
      <c r="D2069" s="9">
        <v>43163</v>
      </c>
    </row>
    <row r="2070" spans="1:4">
      <c r="A2070" t="s">
        <v>5</v>
      </c>
      <c r="B2070" t="s">
        <v>182</v>
      </c>
      <c r="C2070" s="8">
        <v>46213</v>
      </c>
      <c r="D2070" s="9">
        <v>48325</v>
      </c>
    </row>
    <row r="2071" spans="1:4">
      <c r="A2071" t="s">
        <v>5</v>
      </c>
      <c r="B2071" t="s">
        <v>97</v>
      </c>
      <c r="C2071" s="8">
        <v>46213</v>
      </c>
      <c r="D2071" s="9">
        <v>50289</v>
      </c>
    </row>
    <row r="2072" spans="1:4">
      <c r="A2072" t="s">
        <v>5</v>
      </c>
      <c r="B2072" t="s">
        <v>183</v>
      </c>
      <c r="C2072" s="8">
        <v>46213</v>
      </c>
      <c r="D2072" s="9">
        <v>44481</v>
      </c>
    </row>
    <row r="2073" spans="1:4">
      <c r="A2073" t="s">
        <v>5</v>
      </c>
      <c r="B2073" t="s">
        <v>145</v>
      </c>
      <c r="C2073" s="8">
        <v>46213</v>
      </c>
      <c r="D2073" s="9">
        <v>40435</v>
      </c>
    </row>
    <row r="2074" spans="1:4">
      <c r="A2074" t="s">
        <v>5</v>
      </c>
      <c r="B2074" t="s">
        <v>159</v>
      </c>
      <c r="C2074" s="8">
        <v>46213</v>
      </c>
      <c r="D2074" s="9">
        <v>39830</v>
      </c>
    </row>
    <row r="2075" spans="1:4">
      <c r="A2075" t="s">
        <v>4</v>
      </c>
      <c r="B2075" t="s">
        <v>74</v>
      </c>
      <c r="C2075" s="8">
        <v>46214</v>
      </c>
      <c r="D2075" s="9">
        <v>39781</v>
      </c>
    </row>
    <row r="2076" spans="1:4">
      <c r="A2076" t="s">
        <v>8</v>
      </c>
      <c r="B2076" t="s">
        <v>64</v>
      </c>
      <c r="C2076" s="8">
        <v>46214</v>
      </c>
      <c r="D2076" s="9">
        <v>14019</v>
      </c>
    </row>
    <row r="2077" spans="1:4">
      <c r="A2077" t="s">
        <v>6</v>
      </c>
      <c r="B2077" t="s">
        <v>207</v>
      </c>
      <c r="C2077" s="8">
        <v>46214</v>
      </c>
      <c r="D2077" s="9">
        <v>29784</v>
      </c>
    </row>
    <row r="2078" spans="1:4">
      <c r="A2078" t="s">
        <v>6</v>
      </c>
      <c r="B2078" t="s">
        <v>231</v>
      </c>
      <c r="C2078" s="8">
        <v>46214</v>
      </c>
      <c r="D2078" s="9">
        <v>14937</v>
      </c>
    </row>
    <row r="2079" spans="1:4">
      <c r="A2079" t="s">
        <v>7</v>
      </c>
      <c r="B2079" t="s">
        <v>208</v>
      </c>
      <c r="C2079" s="8">
        <v>46214</v>
      </c>
      <c r="D2079" s="9">
        <v>16765</v>
      </c>
    </row>
    <row r="2080" spans="1:4">
      <c r="A2080" t="s">
        <v>9</v>
      </c>
      <c r="B2080" t="s">
        <v>179</v>
      </c>
      <c r="C2080" s="8">
        <v>46214</v>
      </c>
      <c r="D2080" s="9">
        <v>43071</v>
      </c>
    </row>
    <row r="2081" spans="1:4">
      <c r="A2081" t="s">
        <v>5</v>
      </c>
      <c r="B2081" t="s">
        <v>172</v>
      </c>
      <c r="C2081" s="8">
        <v>46214</v>
      </c>
      <c r="D2081" s="9">
        <v>35983</v>
      </c>
    </row>
    <row r="2082" spans="1:4">
      <c r="A2082" t="s">
        <v>35</v>
      </c>
      <c r="B2082" t="s">
        <v>94</v>
      </c>
      <c r="C2082" s="8">
        <v>46215</v>
      </c>
      <c r="D2082" s="9">
        <v>5200</v>
      </c>
    </row>
    <row r="2083" spans="1:4">
      <c r="A2083" t="s">
        <v>31</v>
      </c>
      <c r="B2083" t="s">
        <v>48</v>
      </c>
      <c r="C2083" s="8">
        <v>46215</v>
      </c>
      <c r="D2083" s="9">
        <v>12140</v>
      </c>
    </row>
    <row r="2084" spans="1:4">
      <c r="A2084" t="s">
        <v>26</v>
      </c>
      <c r="B2084" t="s">
        <v>205</v>
      </c>
      <c r="C2084" s="8">
        <v>46215</v>
      </c>
      <c r="D2084" s="9">
        <v>11077</v>
      </c>
    </row>
    <row r="2085" spans="1:4">
      <c r="A2085" t="s">
        <v>8</v>
      </c>
      <c r="B2085" t="s">
        <v>225</v>
      </c>
      <c r="C2085" s="8">
        <v>46215</v>
      </c>
      <c r="D2085" s="9">
        <v>5200</v>
      </c>
    </row>
    <row r="2086" spans="1:4">
      <c r="A2086" t="s">
        <v>7</v>
      </c>
      <c r="B2086" t="s">
        <v>142</v>
      </c>
      <c r="C2086" s="8">
        <v>46215</v>
      </c>
      <c r="D2086" s="9">
        <v>20746</v>
      </c>
    </row>
    <row r="2087" spans="1:4">
      <c r="A2087" t="s">
        <v>7</v>
      </c>
      <c r="B2087" t="s">
        <v>175</v>
      </c>
      <c r="C2087" s="8">
        <v>46215</v>
      </c>
      <c r="D2087" s="9">
        <v>25788</v>
      </c>
    </row>
    <row r="2088" spans="1:4">
      <c r="A2088" t="s">
        <v>7</v>
      </c>
      <c r="B2088" t="s">
        <v>238</v>
      </c>
      <c r="C2088" s="8">
        <v>46215</v>
      </c>
      <c r="D2088" s="9">
        <v>21760</v>
      </c>
    </row>
    <row r="2089" spans="1:4">
      <c r="A2089" t="s">
        <v>5</v>
      </c>
      <c r="B2089" t="s">
        <v>239</v>
      </c>
      <c r="C2089" s="8">
        <v>46215</v>
      </c>
      <c r="D2089" s="9">
        <v>35391</v>
      </c>
    </row>
    <row r="2090" spans="1:4">
      <c r="A2090" t="s">
        <v>5</v>
      </c>
      <c r="B2090" t="s">
        <v>98</v>
      </c>
      <c r="C2090" s="8">
        <v>46215</v>
      </c>
      <c r="D2090" s="9">
        <v>32186</v>
      </c>
    </row>
    <row r="2091" spans="1:4">
      <c r="A2091" t="s">
        <v>5</v>
      </c>
      <c r="B2091" t="s">
        <v>109</v>
      </c>
      <c r="C2091" s="8">
        <v>46215</v>
      </c>
      <c r="D2091" s="9">
        <v>43750</v>
      </c>
    </row>
    <row r="2092" spans="1:4">
      <c r="A2092" t="s">
        <v>35</v>
      </c>
      <c r="B2092" t="s">
        <v>271</v>
      </c>
      <c r="C2092" s="8">
        <v>46216</v>
      </c>
      <c r="D2092" s="9">
        <v>19649</v>
      </c>
    </row>
    <row r="2093" spans="1:4">
      <c r="A2093" t="s">
        <v>27</v>
      </c>
      <c r="B2093" t="s">
        <v>196</v>
      </c>
      <c r="C2093" s="8">
        <v>46216</v>
      </c>
      <c r="D2093" s="9">
        <v>14797</v>
      </c>
    </row>
    <row r="2094" spans="1:4">
      <c r="A2094" t="s">
        <v>4</v>
      </c>
      <c r="B2094" t="s">
        <v>176</v>
      </c>
      <c r="C2094" s="8">
        <v>46216</v>
      </c>
      <c r="D2094" s="9">
        <v>45425</v>
      </c>
    </row>
    <row r="2095" spans="1:4">
      <c r="A2095" t="s">
        <v>4</v>
      </c>
      <c r="B2095" t="s">
        <v>234</v>
      </c>
      <c r="C2095" s="8">
        <v>46216</v>
      </c>
      <c r="D2095" s="9">
        <v>22848</v>
      </c>
    </row>
    <row r="2096" spans="1:4">
      <c r="A2096" t="s">
        <v>25</v>
      </c>
      <c r="B2096" t="s">
        <v>86</v>
      </c>
      <c r="C2096" s="8">
        <v>46216</v>
      </c>
      <c r="D2096" s="9">
        <v>14643</v>
      </c>
    </row>
    <row r="2097" spans="1:4">
      <c r="A2097" t="s">
        <v>26</v>
      </c>
      <c r="B2097" t="s">
        <v>257</v>
      </c>
      <c r="C2097" s="8">
        <v>46216</v>
      </c>
      <c r="D2097" s="9">
        <v>21847</v>
      </c>
    </row>
    <row r="2098" spans="1:4">
      <c r="A2098" t="s">
        <v>6</v>
      </c>
      <c r="B2098" t="s">
        <v>103</v>
      </c>
      <c r="C2098" s="8">
        <v>46216</v>
      </c>
      <c r="D2098" s="9">
        <v>16415</v>
      </c>
    </row>
    <row r="2099" spans="1:4">
      <c r="A2099" t="s">
        <v>7</v>
      </c>
      <c r="B2099" t="s">
        <v>89</v>
      </c>
      <c r="C2099" s="8">
        <v>46216</v>
      </c>
      <c r="D2099" s="9">
        <v>25804</v>
      </c>
    </row>
    <row r="2100" spans="1:4">
      <c r="A2100" t="s">
        <v>9</v>
      </c>
      <c r="B2100" t="s">
        <v>250</v>
      </c>
      <c r="C2100" s="8">
        <v>46216</v>
      </c>
      <c r="D2100" s="9">
        <v>42862</v>
      </c>
    </row>
    <row r="2101" spans="1:4">
      <c r="A2101" t="s">
        <v>9</v>
      </c>
      <c r="B2101" t="s">
        <v>113</v>
      </c>
      <c r="C2101" s="8">
        <v>46216</v>
      </c>
      <c r="D2101" s="9">
        <v>22240</v>
      </c>
    </row>
    <row r="2102" spans="1:4">
      <c r="A2102" t="s">
        <v>9</v>
      </c>
      <c r="B2102" t="s">
        <v>144</v>
      </c>
      <c r="C2102" s="8">
        <v>46216</v>
      </c>
      <c r="D2102" s="9">
        <v>27681</v>
      </c>
    </row>
    <row r="2103" spans="1:4">
      <c r="A2103" t="s">
        <v>5</v>
      </c>
      <c r="B2103" t="s">
        <v>133</v>
      </c>
      <c r="C2103" s="8">
        <v>46216</v>
      </c>
      <c r="D2103" s="9">
        <v>50438</v>
      </c>
    </row>
    <row r="2104" spans="1:4">
      <c r="A2104" t="s">
        <v>5</v>
      </c>
      <c r="B2104" t="s">
        <v>93</v>
      </c>
      <c r="C2104" s="8">
        <v>46216</v>
      </c>
      <c r="D2104" s="9">
        <v>30162</v>
      </c>
    </row>
    <row r="2105" spans="1:4">
      <c r="A2105" t="s">
        <v>5</v>
      </c>
      <c r="B2105" t="s">
        <v>277</v>
      </c>
      <c r="C2105" s="8">
        <v>46216</v>
      </c>
      <c r="D2105" s="9">
        <v>49278</v>
      </c>
    </row>
    <row r="2106" spans="1:4">
      <c r="A2106" t="s">
        <v>35</v>
      </c>
      <c r="B2106" t="s">
        <v>87</v>
      </c>
      <c r="C2106" s="8">
        <v>46217</v>
      </c>
      <c r="D2106" s="9">
        <v>15636</v>
      </c>
    </row>
    <row r="2107" spans="1:4">
      <c r="A2107" t="s">
        <v>4</v>
      </c>
      <c r="B2107" t="s">
        <v>240</v>
      </c>
      <c r="C2107" s="8">
        <v>46217</v>
      </c>
      <c r="D2107" s="9">
        <v>26621</v>
      </c>
    </row>
    <row r="2108" spans="1:4">
      <c r="A2108" t="s">
        <v>4</v>
      </c>
      <c r="B2108" t="s">
        <v>234</v>
      </c>
      <c r="C2108" s="8">
        <v>46217</v>
      </c>
      <c r="D2108" s="9">
        <v>26213</v>
      </c>
    </row>
    <row r="2109" spans="1:4">
      <c r="A2109" t="s">
        <v>26</v>
      </c>
      <c r="B2109" t="s">
        <v>280</v>
      </c>
      <c r="C2109" s="8">
        <v>46217</v>
      </c>
      <c r="D2109" s="9">
        <v>14220</v>
      </c>
    </row>
    <row r="2110" spans="1:4">
      <c r="A2110" t="s">
        <v>6</v>
      </c>
      <c r="B2110" t="s">
        <v>273</v>
      </c>
      <c r="C2110" s="8">
        <v>46217</v>
      </c>
      <c r="D2110" s="9">
        <v>15186</v>
      </c>
    </row>
    <row r="2111" spans="1:4">
      <c r="A2111" t="s">
        <v>9</v>
      </c>
      <c r="B2111" t="s">
        <v>283</v>
      </c>
      <c r="C2111" s="8">
        <v>46217</v>
      </c>
      <c r="D2111" s="9">
        <v>26179</v>
      </c>
    </row>
    <row r="2112" spans="1:4">
      <c r="A2112" t="s">
        <v>9</v>
      </c>
      <c r="B2112" t="s">
        <v>83</v>
      </c>
      <c r="C2112" s="8">
        <v>46217</v>
      </c>
      <c r="D2112" s="9">
        <v>39150</v>
      </c>
    </row>
    <row r="2113" spans="1:4">
      <c r="A2113" t="s">
        <v>5</v>
      </c>
      <c r="B2113" t="s">
        <v>251</v>
      </c>
      <c r="C2113" s="8">
        <v>46217</v>
      </c>
      <c r="D2113" s="9">
        <v>41672</v>
      </c>
    </row>
    <row r="2114" spans="1:4">
      <c r="A2114" t="s">
        <v>5</v>
      </c>
      <c r="B2114" t="s">
        <v>84</v>
      </c>
      <c r="C2114" s="8">
        <v>46217</v>
      </c>
      <c r="D2114" s="9">
        <v>46386</v>
      </c>
    </row>
    <row r="2115" spans="1:4">
      <c r="A2115" t="s">
        <v>5</v>
      </c>
      <c r="B2115" t="s">
        <v>74</v>
      </c>
      <c r="C2115" s="8">
        <v>46217</v>
      </c>
      <c r="D2115" s="9">
        <v>33932</v>
      </c>
    </row>
    <row r="2116" spans="1:4">
      <c r="A2116" t="s">
        <v>5</v>
      </c>
      <c r="B2116" t="s">
        <v>108</v>
      </c>
      <c r="C2116" s="8">
        <v>46217</v>
      </c>
      <c r="D2116" s="9">
        <v>28862</v>
      </c>
    </row>
    <row r="2117" spans="1:4">
      <c r="A2117" t="s">
        <v>27</v>
      </c>
      <c r="B2117" t="s">
        <v>253</v>
      </c>
      <c r="C2117" s="8">
        <v>46218</v>
      </c>
      <c r="D2117" s="9">
        <v>22400</v>
      </c>
    </row>
    <row r="2118" spans="1:4">
      <c r="A2118" t="s">
        <v>4</v>
      </c>
      <c r="B2118" t="s">
        <v>50</v>
      </c>
      <c r="C2118" s="8">
        <v>46218</v>
      </c>
      <c r="D2118" s="9">
        <v>23126</v>
      </c>
    </row>
    <row r="2119" spans="1:4">
      <c r="A2119" t="s">
        <v>31</v>
      </c>
      <c r="B2119" t="s">
        <v>77</v>
      </c>
      <c r="C2119" s="8">
        <v>46218</v>
      </c>
      <c r="D2119" s="9">
        <v>5200</v>
      </c>
    </row>
    <row r="2120" spans="1:4">
      <c r="A2120" t="s">
        <v>28</v>
      </c>
      <c r="B2120" t="s">
        <v>255</v>
      </c>
      <c r="C2120" s="8">
        <v>46218</v>
      </c>
      <c r="D2120" s="9">
        <v>5200</v>
      </c>
    </row>
    <row r="2121" spans="1:4">
      <c r="A2121" t="s">
        <v>8</v>
      </c>
      <c r="B2121" t="s">
        <v>259</v>
      </c>
      <c r="C2121" s="8">
        <v>46218</v>
      </c>
      <c r="D2121" s="9">
        <v>16305</v>
      </c>
    </row>
    <row r="2122" spans="1:4">
      <c r="A2122" t="s">
        <v>6</v>
      </c>
      <c r="B2122" t="s">
        <v>130</v>
      </c>
      <c r="C2122" s="8">
        <v>46218</v>
      </c>
      <c r="D2122" s="9">
        <v>19282</v>
      </c>
    </row>
    <row r="2123" spans="1:4">
      <c r="A2123" t="s">
        <v>9</v>
      </c>
      <c r="B2123" t="s">
        <v>157</v>
      </c>
      <c r="C2123" s="8">
        <v>46218</v>
      </c>
      <c r="D2123" s="9">
        <v>28827</v>
      </c>
    </row>
    <row r="2124" spans="1:4">
      <c r="A2124" t="s">
        <v>9</v>
      </c>
      <c r="B2124" t="s">
        <v>70</v>
      </c>
      <c r="C2124" s="8">
        <v>46218</v>
      </c>
      <c r="D2124" s="9">
        <v>27469</v>
      </c>
    </row>
    <row r="2125" spans="1:4">
      <c r="A2125" t="s">
        <v>5</v>
      </c>
      <c r="B2125" t="s">
        <v>166</v>
      </c>
      <c r="C2125" s="8">
        <v>46218</v>
      </c>
      <c r="D2125" s="9">
        <v>42723</v>
      </c>
    </row>
    <row r="2126" spans="1:4">
      <c r="A2126" t="s">
        <v>27</v>
      </c>
      <c r="B2126" t="s">
        <v>125</v>
      </c>
      <c r="C2126" s="8">
        <v>46219</v>
      </c>
      <c r="D2126" s="9">
        <v>12257</v>
      </c>
    </row>
    <row r="2127" spans="1:4">
      <c r="A2127" t="s">
        <v>4</v>
      </c>
      <c r="B2127" t="s">
        <v>146</v>
      </c>
      <c r="C2127" s="8">
        <v>46219</v>
      </c>
      <c r="D2127" s="9">
        <v>22996</v>
      </c>
    </row>
    <row r="2128" spans="1:4">
      <c r="A2128" t="s">
        <v>25</v>
      </c>
      <c r="B2128" t="s">
        <v>200</v>
      </c>
      <c r="C2128" s="8">
        <v>46219</v>
      </c>
      <c r="D2128" s="9">
        <v>12380</v>
      </c>
    </row>
    <row r="2129" spans="1:4">
      <c r="A2129" t="s">
        <v>8</v>
      </c>
      <c r="B2129" t="s">
        <v>214</v>
      </c>
      <c r="C2129" s="8">
        <v>46219</v>
      </c>
      <c r="D2129" s="9">
        <v>18713</v>
      </c>
    </row>
    <row r="2130" spans="1:4">
      <c r="A2130" t="s">
        <v>6</v>
      </c>
      <c r="B2130" t="s">
        <v>217</v>
      </c>
      <c r="C2130" s="8">
        <v>46219</v>
      </c>
      <c r="D2130" s="9">
        <v>16135</v>
      </c>
    </row>
    <row r="2131" spans="1:4">
      <c r="A2131" t="s">
        <v>29</v>
      </c>
      <c r="B2131" t="s">
        <v>104</v>
      </c>
      <c r="C2131" s="8">
        <v>46219</v>
      </c>
      <c r="D2131" s="9">
        <v>12425</v>
      </c>
    </row>
    <row r="2132" spans="1:4">
      <c r="A2132" t="s">
        <v>9</v>
      </c>
      <c r="B2132" t="s">
        <v>123</v>
      </c>
      <c r="C2132" s="8">
        <v>46219</v>
      </c>
      <c r="D2132" s="9">
        <v>43073</v>
      </c>
    </row>
    <row r="2133" spans="1:4">
      <c r="A2133" t="s">
        <v>5</v>
      </c>
      <c r="B2133" t="s">
        <v>239</v>
      </c>
      <c r="C2133" s="8">
        <v>46219</v>
      </c>
      <c r="D2133" s="9">
        <v>34120</v>
      </c>
    </row>
    <row r="2134" spans="1:4">
      <c r="A2134" t="s">
        <v>5</v>
      </c>
      <c r="B2134" t="s">
        <v>53</v>
      </c>
      <c r="C2134" s="8">
        <v>46219</v>
      </c>
      <c r="D2134" s="9">
        <v>32958</v>
      </c>
    </row>
    <row r="2135" spans="1:4">
      <c r="A2135" t="s">
        <v>5</v>
      </c>
      <c r="B2135" t="s">
        <v>98</v>
      </c>
      <c r="C2135" s="8">
        <v>46219</v>
      </c>
      <c r="D2135" s="9">
        <v>52721</v>
      </c>
    </row>
    <row r="2136" spans="1:4">
      <c r="A2136" t="s">
        <v>5</v>
      </c>
      <c r="B2136" t="s">
        <v>210</v>
      </c>
      <c r="C2136" s="8">
        <v>46219</v>
      </c>
      <c r="D2136" s="9">
        <v>32348</v>
      </c>
    </row>
    <row r="2137" spans="1:4">
      <c r="A2137" t="s">
        <v>5</v>
      </c>
      <c r="B2137" t="s">
        <v>159</v>
      </c>
      <c r="C2137" s="8">
        <v>46219</v>
      </c>
      <c r="D2137" s="9">
        <v>57191</v>
      </c>
    </row>
    <row r="2138" spans="1:4">
      <c r="A2138" t="s">
        <v>5</v>
      </c>
      <c r="B2138" t="s">
        <v>61</v>
      </c>
      <c r="C2138" s="8">
        <v>46219</v>
      </c>
      <c r="D2138" s="9">
        <v>23707</v>
      </c>
    </row>
    <row r="2139" spans="1:4">
      <c r="A2139" t="s">
        <v>25</v>
      </c>
      <c r="B2139" t="s">
        <v>153</v>
      </c>
      <c r="C2139" s="8">
        <v>46220</v>
      </c>
      <c r="D2139" s="9">
        <v>5200</v>
      </c>
    </row>
    <row r="2140" spans="1:4">
      <c r="A2140" t="s">
        <v>34</v>
      </c>
      <c r="B2140" t="s">
        <v>169</v>
      </c>
      <c r="C2140" s="8">
        <v>46220</v>
      </c>
      <c r="D2140" s="9">
        <v>10501</v>
      </c>
    </row>
    <row r="2141" spans="1:4">
      <c r="A2141" t="s">
        <v>6</v>
      </c>
      <c r="B2141" t="s">
        <v>192</v>
      </c>
      <c r="C2141" s="8">
        <v>46220</v>
      </c>
      <c r="D2141" s="9">
        <v>17314</v>
      </c>
    </row>
    <row r="2142" spans="1:4">
      <c r="A2142" t="s">
        <v>5</v>
      </c>
      <c r="B2142" t="s">
        <v>106</v>
      </c>
      <c r="C2142" s="8">
        <v>46220</v>
      </c>
      <c r="D2142" s="9">
        <v>33009</v>
      </c>
    </row>
    <row r="2143" spans="1:4">
      <c r="A2143" t="s">
        <v>5</v>
      </c>
      <c r="B2143" t="s">
        <v>145</v>
      </c>
      <c r="C2143" s="8">
        <v>46220</v>
      </c>
      <c r="D2143" s="9">
        <v>53827</v>
      </c>
    </row>
    <row r="2144" spans="1:4">
      <c r="A2144" t="s">
        <v>5</v>
      </c>
      <c r="B2144" t="s">
        <v>211</v>
      </c>
      <c r="C2144" s="8">
        <v>46220</v>
      </c>
      <c r="D2144" s="9">
        <v>24802</v>
      </c>
    </row>
    <row r="2145" spans="1:4">
      <c r="A2145" t="s">
        <v>5</v>
      </c>
      <c r="B2145" t="s">
        <v>100</v>
      </c>
      <c r="C2145" s="8">
        <v>46220</v>
      </c>
      <c r="D2145" s="9">
        <v>45677</v>
      </c>
    </row>
    <row r="2146" spans="1:4">
      <c r="A2146" t="s">
        <v>4</v>
      </c>
      <c r="B2146" t="s">
        <v>75</v>
      </c>
      <c r="C2146" s="8">
        <v>46221</v>
      </c>
      <c r="D2146" s="9">
        <v>5799</v>
      </c>
    </row>
    <row r="2147" spans="1:4">
      <c r="A2147" t="s">
        <v>30</v>
      </c>
      <c r="B2147" t="s">
        <v>139</v>
      </c>
      <c r="C2147" s="8">
        <v>46221</v>
      </c>
      <c r="D2147" s="9">
        <v>11902</v>
      </c>
    </row>
    <row r="2148" spans="1:4">
      <c r="A2148" t="s">
        <v>9</v>
      </c>
      <c r="B2148" t="s">
        <v>221</v>
      </c>
      <c r="C2148" s="8">
        <v>46221</v>
      </c>
      <c r="D2148" s="9">
        <v>49453</v>
      </c>
    </row>
    <row r="2149" spans="1:4">
      <c r="A2149" t="s">
        <v>9</v>
      </c>
      <c r="B2149" t="s">
        <v>93</v>
      </c>
      <c r="C2149" s="8">
        <v>46221</v>
      </c>
      <c r="D2149" s="9">
        <v>44981</v>
      </c>
    </row>
    <row r="2150" spans="1:4">
      <c r="A2150" t="s">
        <v>5</v>
      </c>
      <c r="B2150" t="s">
        <v>172</v>
      </c>
      <c r="C2150" s="8">
        <v>46221</v>
      </c>
      <c r="D2150" s="9">
        <v>43535</v>
      </c>
    </row>
    <row r="2151" spans="1:4">
      <c r="A2151" t="s">
        <v>25</v>
      </c>
      <c r="B2151" t="s">
        <v>55</v>
      </c>
      <c r="C2151" s="8">
        <v>46222</v>
      </c>
      <c r="D2151" s="9">
        <v>11182</v>
      </c>
    </row>
    <row r="2152" spans="1:4">
      <c r="A2152" t="s">
        <v>26</v>
      </c>
      <c r="B2152" t="s">
        <v>256</v>
      </c>
      <c r="C2152" s="8">
        <v>46222</v>
      </c>
      <c r="D2152" s="9">
        <v>13015</v>
      </c>
    </row>
    <row r="2153" spans="1:4">
      <c r="A2153" t="s">
        <v>8</v>
      </c>
      <c r="B2153" t="s">
        <v>281</v>
      </c>
      <c r="C2153" s="8">
        <v>46222</v>
      </c>
      <c r="D2153" s="9">
        <v>23637</v>
      </c>
    </row>
    <row r="2154" spans="1:4">
      <c r="A2154" t="s">
        <v>7</v>
      </c>
      <c r="B2154" t="s">
        <v>194</v>
      </c>
      <c r="C2154" s="8">
        <v>46222</v>
      </c>
      <c r="D2154" s="9">
        <v>22818</v>
      </c>
    </row>
    <row r="2155" spans="1:4">
      <c r="A2155" t="s">
        <v>9</v>
      </c>
      <c r="B2155" t="s">
        <v>137</v>
      </c>
      <c r="C2155" s="8">
        <v>46222</v>
      </c>
      <c r="D2155" s="9">
        <v>46663</v>
      </c>
    </row>
    <row r="2156" spans="1:4">
      <c r="A2156" t="s">
        <v>9</v>
      </c>
      <c r="B2156" t="s">
        <v>158</v>
      </c>
      <c r="C2156" s="8">
        <v>46222</v>
      </c>
      <c r="D2156" s="9">
        <v>41925</v>
      </c>
    </row>
    <row r="2157" spans="1:4">
      <c r="A2157" t="s">
        <v>5</v>
      </c>
      <c r="B2157" t="s">
        <v>106</v>
      </c>
      <c r="C2157" s="8">
        <v>46222</v>
      </c>
      <c r="D2157" s="9">
        <v>45909</v>
      </c>
    </row>
    <row r="2158" spans="1:4">
      <c r="A2158" t="s">
        <v>5</v>
      </c>
      <c r="B2158" t="s">
        <v>97</v>
      </c>
      <c r="C2158" s="8">
        <v>46222</v>
      </c>
      <c r="D2158" s="9">
        <v>45883</v>
      </c>
    </row>
    <row r="2159" spans="1:4">
      <c r="A2159" t="s">
        <v>5</v>
      </c>
      <c r="B2159" t="s">
        <v>58</v>
      </c>
      <c r="C2159" s="8">
        <v>46222</v>
      </c>
      <c r="D2159" s="9">
        <v>49516</v>
      </c>
    </row>
    <row r="2160" spans="1:4">
      <c r="A2160" t="s">
        <v>4</v>
      </c>
      <c r="B2160" t="s">
        <v>136</v>
      </c>
      <c r="C2160" s="8">
        <v>46223</v>
      </c>
      <c r="D2160" s="9">
        <v>17768</v>
      </c>
    </row>
    <row r="2161" spans="1:4">
      <c r="A2161" t="s">
        <v>7</v>
      </c>
      <c r="B2161" t="s">
        <v>65</v>
      </c>
      <c r="C2161" s="8">
        <v>46223</v>
      </c>
      <c r="D2161" s="9">
        <v>23048</v>
      </c>
    </row>
    <row r="2162" spans="1:4">
      <c r="A2162" t="s">
        <v>9</v>
      </c>
      <c r="B2162" t="s">
        <v>235</v>
      </c>
      <c r="C2162" s="8">
        <v>46223</v>
      </c>
      <c r="D2162" s="9">
        <v>36423</v>
      </c>
    </row>
    <row r="2163" spans="1:4">
      <c r="A2163" t="s">
        <v>5</v>
      </c>
      <c r="B2163" t="s">
        <v>203</v>
      </c>
      <c r="C2163" s="8">
        <v>46223</v>
      </c>
      <c r="D2163" s="9">
        <v>31273</v>
      </c>
    </row>
    <row r="2164" spans="1:4">
      <c r="A2164" t="s">
        <v>5</v>
      </c>
      <c r="B2164" t="s">
        <v>73</v>
      </c>
      <c r="C2164" s="8">
        <v>46223</v>
      </c>
      <c r="D2164" s="9">
        <v>38702</v>
      </c>
    </row>
    <row r="2165" spans="1:4">
      <c r="A2165" t="s">
        <v>5</v>
      </c>
      <c r="B2165" t="s">
        <v>74</v>
      </c>
      <c r="C2165" s="8">
        <v>46223</v>
      </c>
      <c r="D2165" s="9">
        <v>42526</v>
      </c>
    </row>
    <row r="2166" spans="1:4">
      <c r="A2166" t="s">
        <v>5</v>
      </c>
      <c r="B2166" t="s">
        <v>99</v>
      </c>
      <c r="C2166" s="8">
        <v>46223</v>
      </c>
      <c r="D2166" s="9">
        <v>41066</v>
      </c>
    </row>
    <row r="2167" spans="1:4">
      <c r="A2167" t="s">
        <v>5</v>
      </c>
      <c r="B2167" t="s">
        <v>99</v>
      </c>
      <c r="C2167" s="8">
        <v>46223</v>
      </c>
      <c r="D2167" s="9">
        <v>38364</v>
      </c>
    </row>
    <row r="2168" spans="1:4">
      <c r="A2168" t="s">
        <v>5</v>
      </c>
      <c r="B2168" t="s">
        <v>115</v>
      </c>
      <c r="C2168" s="8">
        <v>46223</v>
      </c>
      <c r="D2168" s="9">
        <v>35513</v>
      </c>
    </row>
    <row r="2169" spans="1:4">
      <c r="A2169" t="s">
        <v>5</v>
      </c>
      <c r="B2169" t="s">
        <v>134</v>
      </c>
      <c r="C2169" s="8">
        <v>46223</v>
      </c>
      <c r="D2169" s="9">
        <v>31617</v>
      </c>
    </row>
    <row r="2170" spans="1:4">
      <c r="A2170" t="s">
        <v>27</v>
      </c>
      <c r="B2170" t="s">
        <v>135</v>
      </c>
      <c r="C2170" s="8">
        <v>46224</v>
      </c>
      <c r="D2170" s="9">
        <v>13706</v>
      </c>
    </row>
    <row r="2171" spans="1:4">
      <c r="A2171" t="s">
        <v>27</v>
      </c>
      <c r="B2171" t="s">
        <v>173</v>
      </c>
      <c r="C2171" s="8">
        <v>46224</v>
      </c>
      <c r="D2171" s="9">
        <v>22978</v>
      </c>
    </row>
    <row r="2172" spans="1:4">
      <c r="A2172" t="s">
        <v>4</v>
      </c>
      <c r="B2172" t="s">
        <v>85</v>
      </c>
      <c r="C2172" s="8">
        <v>46224</v>
      </c>
      <c r="D2172" s="9">
        <v>40430</v>
      </c>
    </row>
    <row r="2173" spans="1:4">
      <c r="A2173" t="s">
        <v>26</v>
      </c>
      <c r="B2173" t="s">
        <v>236</v>
      </c>
      <c r="C2173" s="8">
        <v>46224</v>
      </c>
      <c r="D2173" s="9">
        <v>10245</v>
      </c>
    </row>
    <row r="2174" spans="1:4">
      <c r="A2174" t="s">
        <v>7</v>
      </c>
      <c r="B2174" t="s">
        <v>244</v>
      </c>
      <c r="C2174" s="8">
        <v>46224</v>
      </c>
      <c r="D2174" s="9">
        <v>17880</v>
      </c>
    </row>
    <row r="2175" spans="1:4">
      <c r="A2175" t="s">
        <v>5</v>
      </c>
      <c r="B2175" t="s">
        <v>159</v>
      </c>
      <c r="C2175" s="8">
        <v>46224</v>
      </c>
      <c r="D2175" s="9">
        <v>50102</v>
      </c>
    </row>
    <row r="2176" spans="1:4">
      <c r="A2176" t="s">
        <v>5</v>
      </c>
      <c r="B2176" t="s">
        <v>101</v>
      </c>
      <c r="C2176" s="8">
        <v>46224</v>
      </c>
      <c r="D2176" s="9">
        <v>38403</v>
      </c>
    </row>
    <row r="2177" spans="1:4">
      <c r="A2177" t="s">
        <v>4</v>
      </c>
      <c r="B2177" t="s">
        <v>127</v>
      </c>
      <c r="C2177" s="8">
        <v>46225</v>
      </c>
      <c r="D2177" s="9">
        <v>24688</v>
      </c>
    </row>
    <row r="2178" spans="1:4">
      <c r="A2178" t="s">
        <v>4</v>
      </c>
      <c r="B2178" t="s">
        <v>67</v>
      </c>
      <c r="C2178" s="8">
        <v>46225</v>
      </c>
      <c r="D2178" s="9">
        <v>29403</v>
      </c>
    </row>
    <row r="2179" spans="1:4">
      <c r="A2179" t="s">
        <v>26</v>
      </c>
      <c r="B2179" t="s">
        <v>138</v>
      </c>
      <c r="C2179" s="8">
        <v>46225</v>
      </c>
      <c r="D2179" s="9">
        <v>13503</v>
      </c>
    </row>
    <row r="2180" spans="1:4">
      <c r="A2180" t="s">
        <v>26</v>
      </c>
      <c r="B2180" t="s">
        <v>102</v>
      </c>
      <c r="C2180" s="8">
        <v>46225</v>
      </c>
      <c r="D2180" s="9">
        <v>18372</v>
      </c>
    </row>
    <row r="2181" spans="1:4">
      <c r="A2181" t="s">
        <v>26</v>
      </c>
      <c r="B2181" t="s">
        <v>95</v>
      </c>
      <c r="C2181" s="8">
        <v>46225</v>
      </c>
      <c r="D2181" s="9">
        <v>5200</v>
      </c>
    </row>
    <row r="2182" spans="1:4">
      <c r="A2182" t="s">
        <v>30</v>
      </c>
      <c r="B2182" t="s">
        <v>162</v>
      </c>
      <c r="C2182" s="8">
        <v>46225</v>
      </c>
      <c r="D2182" s="9">
        <v>11482</v>
      </c>
    </row>
    <row r="2183" spans="1:4">
      <c r="A2183" t="s">
        <v>30</v>
      </c>
      <c r="B2183" t="s">
        <v>224</v>
      </c>
      <c r="C2183" s="8">
        <v>46225</v>
      </c>
      <c r="D2183" s="9">
        <v>12553</v>
      </c>
    </row>
    <row r="2184" spans="1:4">
      <c r="A2184" t="s">
        <v>29</v>
      </c>
      <c r="B2184" t="s">
        <v>57</v>
      </c>
      <c r="C2184" s="8">
        <v>46225</v>
      </c>
      <c r="D2184" s="9">
        <v>11643</v>
      </c>
    </row>
    <row r="2185" spans="1:4">
      <c r="A2185" t="s">
        <v>7</v>
      </c>
      <c r="B2185" t="s">
        <v>105</v>
      </c>
      <c r="C2185" s="8">
        <v>46225</v>
      </c>
      <c r="D2185" s="9">
        <v>19508</v>
      </c>
    </row>
    <row r="2186" spans="1:4">
      <c r="A2186" t="s">
        <v>9</v>
      </c>
      <c r="B2186" t="s">
        <v>283</v>
      </c>
      <c r="C2186" s="8">
        <v>46225</v>
      </c>
      <c r="D2186" s="9">
        <v>33558</v>
      </c>
    </row>
    <row r="2187" spans="1:4">
      <c r="A2187" t="s">
        <v>9</v>
      </c>
      <c r="B2187" t="s">
        <v>143</v>
      </c>
      <c r="C2187" s="8">
        <v>46225</v>
      </c>
      <c r="D2187" s="9">
        <v>31063</v>
      </c>
    </row>
    <row r="2188" spans="1:4">
      <c r="A2188" t="s">
        <v>9</v>
      </c>
      <c r="B2188" t="s">
        <v>82</v>
      </c>
      <c r="C2188" s="8">
        <v>46225</v>
      </c>
      <c r="D2188" s="9">
        <v>27499</v>
      </c>
    </row>
    <row r="2189" spans="1:4">
      <c r="A2189" t="s">
        <v>9</v>
      </c>
      <c r="B2189" t="s">
        <v>275</v>
      </c>
      <c r="C2189" s="8">
        <v>46225</v>
      </c>
      <c r="D2189" s="9">
        <v>19928</v>
      </c>
    </row>
    <row r="2190" spans="1:4">
      <c r="A2190" t="s">
        <v>5</v>
      </c>
      <c r="B2190" t="s">
        <v>166</v>
      </c>
      <c r="C2190" s="8">
        <v>46225</v>
      </c>
      <c r="D2190" s="9">
        <v>35377</v>
      </c>
    </row>
    <row r="2191" spans="1:4">
      <c r="A2191" t="s">
        <v>5</v>
      </c>
      <c r="B2191" t="s">
        <v>209</v>
      </c>
      <c r="C2191" s="8">
        <v>46225</v>
      </c>
      <c r="D2191" s="9">
        <v>37533</v>
      </c>
    </row>
    <row r="2192" spans="1:4">
      <c r="A2192" t="s">
        <v>5</v>
      </c>
      <c r="B2192" t="s">
        <v>53</v>
      </c>
      <c r="C2192" s="8">
        <v>46225</v>
      </c>
      <c r="D2192" s="9">
        <v>46081</v>
      </c>
    </row>
    <row r="2193" spans="1:4">
      <c r="A2193" t="s">
        <v>5</v>
      </c>
      <c r="B2193" t="s">
        <v>159</v>
      </c>
      <c r="C2193" s="8">
        <v>46225</v>
      </c>
      <c r="D2193" s="9">
        <v>49191</v>
      </c>
    </row>
    <row r="2194" spans="1:4">
      <c r="A2194" t="s">
        <v>5</v>
      </c>
      <c r="B2194" t="s">
        <v>270</v>
      </c>
      <c r="C2194" s="8">
        <v>46225</v>
      </c>
      <c r="D2194" s="9">
        <v>41618</v>
      </c>
    </row>
    <row r="2195" spans="1:4">
      <c r="A2195" t="s">
        <v>4</v>
      </c>
      <c r="B2195" t="s">
        <v>60</v>
      </c>
      <c r="C2195" s="8">
        <v>46226</v>
      </c>
      <c r="D2195" s="9">
        <v>9851</v>
      </c>
    </row>
    <row r="2196" spans="1:4">
      <c r="A2196" t="s">
        <v>4</v>
      </c>
      <c r="B2196" t="s">
        <v>126</v>
      </c>
      <c r="C2196" s="8">
        <v>46226</v>
      </c>
      <c r="D2196" s="9">
        <v>28829</v>
      </c>
    </row>
    <row r="2197" spans="1:4">
      <c r="A2197" t="s">
        <v>4</v>
      </c>
      <c r="B2197" t="s">
        <v>165</v>
      </c>
      <c r="C2197" s="8">
        <v>46226</v>
      </c>
      <c r="D2197" s="9">
        <v>40531</v>
      </c>
    </row>
    <row r="2198" spans="1:4">
      <c r="A2198" t="s">
        <v>25</v>
      </c>
      <c r="B2198" t="s">
        <v>59</v>
      </c>
      <c r="C2198" s="8">
        <v>46226</v>
      </c>
      <c r="D2198" s="9">
        <v>12567</v>
      </c>
    </row>
    <row r="2199" spans="1:4">
      <c r="A2199" t="s">
        <v>25</v>
      </c>
      <c r="B2199" t="s">
        <v>168</v>
      </c>
      <c r="C2199" s="8">
        <v>46226</v>
      </c>
      <c r="D2199" s="9">
        <v>12617</v>
      </c>
    </row>
    <row r="2200" spans="1:4">
      <c r="A2200" t="s">
        <v>8</v>
      </c>
      <c r="B2200" t="s">
        <v>52</v>
      </c>
      <c r="C2200" s="8">
        <v>46226</v>
      </c>
      <c r="D2200" s="9">
        <v>15708</v>
      </c>
    </row>
    <row r="2201" spans="1:4">
      <c r="A2201" t="s">
        <v>9</v>
      </c>
      <c r="B2201" t="s">
        <v>49</v>
      </c>
      <c r="C2201" s="8">
        <v>46226</v>
      </c>
      <c r="D2201" s="9">
        <v>36235</v>
      </c>
    </row>
    <row r="2202" spans="1:4">
      <c r="A2202" t="s">
        <v>5</v>
      </c>
      <c r="B2202" t="s">
        <v>72</v>
      </c>
      <c r="C2202" s="8">
        <v>46226</v>
      </c>
      <c r="D2202" s="9">
        <v>39374</v>
      </c>
    </row>
    <row r="2203" spans="1:4">
      <c r="A2203" t="s">
        <v>5</v>
      </c>
      <c r="B2203" t="s">
        <v>74</v>
      </c>
      <c r="C2203" s="8">
        <v>46226</v>
      </c>
      <c r="D2203" s="9">
        <v>35417</v>
      </c>
    </row>
    <row r="2204" spans="1:4">
      <c r="A2204" t="s">
        <v>5</v>
      </c>
      <c r="B2204" t="s">
        <v>74</v>
      </c>
      <c r="C2204" s="8">
        <v>46226</v>
      </c>
      <c r="D2204" s="9">
        <v>33578</v>
      </c>
    </row>
    <row r="2205" spans="1:4">
      <c r="A2205" t="s">
        <v>5</v>
      </c>
      <c r="B2205" t="s">
        <v>277</v>
      </c>
      <c r="C2205" s="8">
        <v>46226</v>
      </c>
      <c r="D2205" s="9">
        <v>46619</v>
      </c>
    </row>
    <row r="2206" spans="1:4">
      <c r="A2206" t="s">
        <v>4</v>
      </c>
      <c r="B2206" t="s">
        <v>198</v>
      </c>
      <c r="C2206" s="8">
        <v>46227</v>
      </c>
      <c r="D2206" s="9">
        <v>29287</v>
      </c>
    </row>
    <row r="2207" spans="1:4">
      <c r="A2207" t="s">
        <v>4</v>
      </c>
      <c r="B2207" t="s">
        <v>195</v>
      </c>
      <c r="C2207" s="8">
        <v>46227</v>
      </c>
      <c r="D2207" s="9">
        <v>49089</v>
      </c>
    </row>
    <row r="2208" spans="1:4">
      <c r="A2208" t="s">
        <v>28</v>
      </c>
      <c r="B2208" t="s">
        <v>279</v>
      </c>
      <c r="C2208" s="8">
        <v>46227</v>
      </c>
      <c r="D2208" s="9">
        <v>8850</v>
      </c>
    </row>
    <row r="2209" spans="1:4">
      <c r="A2209" t="s">
        <v>26</v>
      </c>
      <c r="B2209" t="s">
        <v>216</v>
      </c>
      <c r="C2209" s="8">
        <v>46227</v>
      </c>
      <c r="D2209" s="9">
        <v>11776</v>
      </c>
    </row>
    <row r="2210" spans="1:4">
      <c r="A2210" t="s">
        <v>6</v>
      </c>
      <c r="B2210" t="s">
        <v>141</v>
      </c>
      <c r="C2210" s="8">
        <v>46227</v>
      </c>
      <c r="D2210" s="9">
        <v>18563</v>
      </c>
    </row>
    <row r="2211" spans="1:4">
      <c r="A2211" t="s">
        <v>7</v>
      </c>
      <c r="B2211" t="s">
        <v>233</v>
      </c>
      <c r="C2211" s="8">
        <v>46227</v>
      </c>
      <c r="D2211" s="9">
        <v>24691</v>
      </c>
    </row>
    <row r="2212" spans="1:4">
      <c r="A2212" t="s">
        <v>7</v>
      </c>
      <c r="B2212" t="s">
        <v>193</v>
      </c>
      <c r="C2212" s="8">
        <v>46227</v>
      </c>
      <c r="D2212" s="9">
        <v>20615</v>
      </c>
    </row>
    <row r="2213" spans="1:4">
      <c r="A2213" t="s">
        <v>9</v>
      </c>
      <c r="B2213" t="s">
        <v>96</v>
      </c>
      <c r="C2213" s="8">
        <v>46227</v>
      </c>
      <c r="D2213" s="9">
        <v>33399</v>
      </c>
    </row>
    <row r="2214" spans="1:4">
      <c r="A2214" t="s">
        <v>9</v>
      </c>
      <c r="B2214" t="s">
        <v>264</v>
      </c>
      <c r="C2214" s="8">
        <v>46227</v>
      </c>
      <c r="D2214" s="9">
        <v>35399</v>
      </c>
    </row>
    <row r="2215" spans="1:4">
      <c r="A2215" t="s">
        <v>9</v>
      </c>
      <c r="B2215" t="s">
        <v>71</v>
      </c>
      <c r="C2215" s="8">
        <v>46227</v>
      </c>
      <c r="D2215" s="9">
        <v>49763</v>
      </c>
    </row>
    <row r="2216" spans="1:4">
      <c r="A2216" t="s">
        <v>5</v>
      </c>
      <c r="B2216" t="s">
        <v>72</v>
      </c>
      <c r="C2216" s="8">
        <v>46227</v>
      </c>
      <c r="D2216" s="9">
        <v>43220</v>
      </c>
    </row>
    <row r="2217" spans="1:4">
      <c r="A2217" t="s">
        <v>5</v>
      </c>
      <c r="B2217" t="s">
        <v>115</v>
      </c>
      <c r="C2217" s="8">
        <v>46227</v>
      </c>
      <c r="D2217" s="9">
        <v>35647</v>
      </c>
    </row>
    <row r="2218" spans="1:4">
      <c r="A2218" t="s">
        <v>5</v>
      </c>
      <c r="B2218" t="s">
        <v>252</v>
      </c>
      <c r="C2218" s="8">
        <v>46227</v>
      </c>
      <c r="D2218" s="9">
        <v>41527</v>
      </c>
    </row>
    <row r="2219" spans="1:4">
      <c r="A2219" t="s">
        <v>8</v>
      </c>
      <c r="B2219" t="s">
        <v>129</v>
      </c>
      <c r="C2219" s="8">
        <v>46228</v>
      </c>
      <c r="D2219" s="9">
        <v>12823</v>
      </c>
    </row>
    <row r="2220" spans="1:4">
      <c r="A2220" t="s">
        <v>9</v>
      </c>
      <c r="B2220" t="s">
        <v>164</v>
      </c>
      <c r="C2220" s="8">
        <v>46228</v>
      </c>
      <c r="D2220" s="9">
        <v>38704</v>
      </c>
    </row>
    <row r="2221" spans="1:4">
      <c r="A2221" t="s">
        <v>9</v>
      </c>
      <c r="B2221" t="s">
        <v>171</v>
      </c>
      <c r="C2221" s="8">
        <v>46228</v>
      </c>
      <c r="D2221" s="9">
        <v>41260</v>
      </c>
    </row>
    <row r="2222" spans="1:4">
      <c r="A2222" t="s">
        <v>9</v>
      </c>
      <c r="B2222" t="s">
        <v>137</v>
      </c>
      <c r="C2222" s="8">
        <v>46228</v>
      </c>
      <c r="D2222" s="9">
        <v>46330</v>
      </c>
    </row>
    <row r="2223" spans="1:4">
      <c r="A2223" t="s">
        <v>5</v>
      </c>
      <c r="B2223" t="s">
        <v>49</v>
      </c>
      <c r="C2223" s="8">
        <v>46228</v>
      </c>
      <c r="D2223" s="9">
        <v>38886</v>
      </c>
    </row>
    <row r="2224" spans="1:4">
      <c r="A2224" t="s">
        <v>35</v>
      </c>
      <c r="B2224" t="s">
        <v>268</v>
      </c>
      <c r="C2224" s="8">
        <v>46229</v>
      </c>
      <c r="D2224" s="9">
        <v>20111</v>
      </c>
    </row>
    <row r="2225" spans="1:4">
      <c r="A2225" t="s">
        <v>27</v>
      </c>
      <c r="B2225" t="s">
        <v>213</v>
      </c>
      <c r="C2225" s="8">
        <v>46229</v>
      </c>
      <c r="D2225" s="9">
        <v>13328</v>
      </c>
    </row>
    <row r="2226" spans="1:4">
      <c r="A2226" t="s">
        <v>38</v>
      </c>
      <c r="B2226" t="s">
        <v>110</v>
      </c>
      <c r="C2226" s="8">
        <v>46229</v>
      </c>
      <c r="D2226" s="9">
        <v>11920</v>
      </c>
    </row>
    <row r="2227" spans="1:4">
      <c r="A2227" t="s">
        <v>4</v>
      </c>
      <c r="B2227" t="s">
        <v>222</v>
      </c>
      <c r="C2227" s="8">
        <v>46229</v>
      </c>
      <c r="D2227" s="9">
        <v>33205</v>
      </c>
    </row>
    <row r="2228" spans="1:4">
      <c r="A2228" t="s">
        <v>4</v>
      </c>
      <c r="B2228" t="s">
        <v>151</v>
      </c>
      <c r="C2228" s="8">
        <v>46229</v>
      </c>
      <c r="D2228" s="9">
        <v>24484</v>
      </c>
    </row>
    <row r="2229" spans="1:4">
      <c r="A2229" t="s">
        <v>31</v>
      </c>
      <c r="B2229" t="s">
        <v>152</v>
      </c>
      <c r="C2229" s="8">
        <v>46229</v>
      </c>
      <c r="D2229" s="9">
        <v>9201</v>
      </c>
    </row>
    <row r="2230" spans="1:4">
      <c r="A2230" t="s">
        <v>26</v>
      </c>
      <c r="B2230" t="s">
        <v>119</v>
      </c>
      <c r="C2230" s="8">
        <v>46229</v>
      </c>
      <c r="D2230" s="9">
        <v>8524</v>
      </c>
    </row>
    <row r="2231" spans="1:4">
      <c r="A2231" t="s">
        <v>32</v>
      </c>
      <c r="B2231" t="s">
        <v>230</v>
      </c>
      <c r="C2231" s="8">
        <v>46229</v>
      </c>
      <c r="D2231" s="9">
        <v>12242</v>
      </c>
    </row>
    <row r="2232" spans="1:4">
      <c r="A2232" t="s">
        <v>7</v>
      </c>
      <c r="B2232" t="s">
        <v>156</v>
      </c>
      <c r="C2232" s="8">
        <v>46229</v>
      </c>
      <c r="D2232" s="9">
        <v>28706</v>
      </c>
    </row>
    <row r="2233" spans="1:4">
      <c r="A2233" t="s">
        <v>5</v>
      </c>
      <c r="B2233" t="s">
        <v>133</v>
      </c>
      <c r="C2233" s="8">
        <v>46229</v>
      </c>
      <c r="D2233" s="9">
        <v>36496</v>
      </c>
    </row>
    <row r="2234" spans="1:4">
      <c r="A2234" t="s">
        <v>5</v>
      </c>
      <c r="B2234" t="s">
        <v>124</v>
      </c>
      <c r="C2234" s="8">
        <v>46229</v>
      </c>
      <c r="D2234" s="9">
        <v>29380</v>
      </c>
    </row>
    <row r="2235" spans="1:4">
      <c r="A2235" t="s">
        <v>26</v>
      </c>
      <c r="B2235" t="s">
        <v>78</v>
      </c>
      <c r="C2235" s="8">
        <v>46230</v>
      </c>
      <c r="D2235" s="9">
        <v>16576</v>
      </c>
    </row>
    <row r="2236" spans="1:4">
      <c r="A2236" t="s">
        <v>8</v>
      </c>
      <c r="B2236" t="s">
        <v>56</v>
      </c>
      <c r="C2236" s="8">
        <v>46230</v>
      </c>
      <c r="D2236" s="9">
        <v>6034</v>
      </c>
    </row>
    <row r="2237" spans="1:4">
      <c r="A2237" t="s">
        <v>6</v>
      </c>
      <c r="B2237" t="s">
        <v>80</v>
      </c>
      <c r="C2237" s="8">
        <v>46230</v>
      </c>
      <c r="D2237" s="9">
        <v>31725</v>
      </c>
    </row>
    <row r="2238" spans="1:4">
      <c r="A2238" t="s">
        <v>6</v>
      </c>
      <c r="B2238" t="s">
        <v>261</v>
      </c>
      <c r="C2238" s="8">
        <v>46230</v>
      </c>
      <c r="D2238" s="9">
        <v>16985</v>
      </c>
    </row>
    <row r="2239" spans="1:4">
      <c r="A2239" t="s">
        <v>7</v>
      </c>
      <c r="B2239" t="s">
        <v>122</v>
      </c>
      <c r="C2239" s="8">
        <v>46230</v>
      </c>
      <c r="D2239" s="9">
        <v>11160</v>
      </c>
    </row>
    <row r="2240" spans="1:4">
      <c r="A2240" t="s">
        <v>9</v>
      </c>
      <c r="B2240" t="s">
        <v>178</v>
      </c>
      <c r="C2240" s="8">
        <v>46230</v>
      </c>
      <c r="D2240" s="9">
        <v>37324</v>
      </c>
    </row>
    <row r="2241" spans="1:4">
      <c r="A2241" t="s">
        <v>9</v>
      </c>
      <c r="B2241" t="s">
        <v>83</v>
      </c>
      <c r="C2241" s="8">
        <v>46230</v>
      </c>
      <c r="D2241" s="9">
        <v>32854</v>
      </c>
    </row>
    <row r="2242" spans="1:4">
      <c r="A2242" t="s">
        <v>5</v>
      </c>
      <c r="B2242" t="s">
        <v>97</v>
      </c>
      <c r="C2242" s="8">
        <v>46230</v>
      </c>
      <c r="D2242" s="9">
        <v>45977</v>
      </c>
    </row>
    <row r="2243" spans="1:4">
      <c r="A2243" t="s">
        <v>5</v>
      </c>
      <c r="B2243" t="s">
        <v>270</v>
      </c>
      <c r="C2243" s="8">
        <v>46230</v>
      </c>
      <c r="D2243" s="9">
        <v>40025</v>
      </c>
    </row>
    <row r="2244" spans="1:4">
      <c r="A2244" t="s">
        <v>27</v>
      </c>
      <c r="B2244" t="s">
        <v>161</v>
      </c>
      <c r="C2244" s="8">
        <v>46231</v>
      </c>
      <c r="D2244" s="9">
        <v>15560</v>
      </c>
    </row>
    <row r="2245" spans="1:4">
      <c r="A2245" t="s">
        <v>25</v>
      </c>
      <c r="B2245" t="s">
        <v>246</v>
      </c>
      <c r="C2245" s="8">
        <v>46231</v>
      </c>
      <c r="D2245" s="9">
        <v>14769</v>
      </c>
    </row>
    <row r="2246" spans="1:4">
      <c r="A2246" t="s">
        <v>30</v>
      </c>
      <c r="B2246" t="s">
        <v>154</v>
      </c>
      <c r="C2246" s="8">
        <v>46231</v>
      </c>
      <c r="D2246" s="9">
        <v>11873</v>
      </c>
    </row>
    <row r="2247" spans="1:4">
      <c r="A2247" t="s">
        <v>30</v>
      </c>
      <c r="B2247" t="s">
        <v>206</v>
      </c>
      <c r="C2247" s="8">
        <v>46231</v>
      </c>
      <c r="D2247" s="9">
        <v>10303</v>
      </c>
    </row>
    <row r="2248" spans="1:4">
      <c r="A2248" t="s">
        <v>6</v>
      </c>
      <c r="B2248" t="s">
        <v>218</v>
      </c>
      <c r="C2248" s="8">
        <v>46231</v>
      </c>
      <c r="D2248" s="9">
        <v>16076</v>
      </c>
    </row>
    <row r="2249" spans="1:4">
      <c r="A2249" t="s">
        <v>29</v>
      </c>
      <c r="B2249" t="s">
        <v>121</v>
      </c>
      <c r="C2249" s="8">
        <v>46231</v>
      </c>
      <c r="D2249" s="9">
        <v>8752</v>
      </c>
    </row>
    <row r="2250" spans="1:4">
      <c r="A2250" t="s">
        <v>9</v>
      </c>
      <c r="B2250" t="s">
        <v>245</v>
      </c>
      <c r="C2250" s="8">
        <v>46231</v>
      </c>
      <c r="D2250" s="9">
        <v>32651</v>
      </c>
    </row>
    <row r="2251" spans="1:4">
      <c r="A2251" t="s">
        <v>9</v>
      </c>
      <c r="B2251" t="s">
        <v>96</v>
      </c>
      <c r="C2251" s="8">
        <v>46231</v>
      </c>
      <c r="D2251" s="9">
        <v>29247</v>
      </c>
    </row>
    <row r="2252" spans="1:4">
      <c r="A2252" t="s">
        <v>5</v>
      </c>
      <c r="B2252" t="s">
        <v>123</v>
      </c>
      <c r="C2252" s="8">
        <v>46231</v>
      </c>
      <c r="D2252" s="9">
        <v>33627</v>
      </c>
    </row>
    <row r="2253" spans="1:4">
      <c r="A2253" t="s">
        <v>5</v>
      </c>
      <c r="B2253" t="s">
        <v>159</v>
      </c>
      <c r="C2253" s="8">
        <v>46231</v>
      </c>
      <c r="D2253" s="9">
        <v>41495</v>
      </c>
    </row>
    <row r="2254" spans="1:4">
      <c r="A2254" t="s">
        <v>5</v>
      </c>
      <c r="B2254" t="s">
        <v>252</v>
      </c>
      <c r="C2254" s="8">
        <v>46231</v>
      </c>
      <c r="D2254" s="9">
        <v>53352</v>
      </c>
    </row>
    <row r="2255" spans="1:4">
      <c r="A2255" t="s">
        <v>5</v>
      </c>
      <c r="B2255" t="s">
        <v>212</v>
      </c>
      <c r="C2255" s="8">
        <v>46231</v>
      </c>
      <c r="D2255" s="9">
        <v>20236</v>
      </c>
    </row>
    <row r="2256" spans="1:4">
      <c r="A2256" t="s">
        <v>5</v>
      </c>
      <c r="B2256" t="s">
        <v>204</v>
      </c>
      <c r="C2256" s="8">
        <v>46231</v>
      </c>
      <c r="D2256" s="9">
        <v>54112</v>
      </c>
    </row>
    <row r="2257" spans="1:4">
      <c r="A2257" t="s">
        <v>4</v>
      </c>
      <c r="B2257" t="s">
        <v>197</v>
      </c>
      <c r="C2257" s="8">
        <v>46232</v>
      </c>
      <c r="D2257" s="9">
        <v>27234</v>
      </c>
    </row>
    <row r="2258" spans="1:4">
      <c r="A2258" t="s">
        <v>4</v>
      </c>
      <c r="B2258" t="s">
        <v>241</v>
      </c>
      <c r="C2258" s="8">
        <v>46232</v>
      </c>
      <c r="D2258" s="9">
        <v>23288</v>
      </c>
    </row>
    <row r="2259" spans="1:4">
      <c r="A2259" t="s">
        <v>4</v>
      </c>
      <c r="B2259" t="s">
        <v>223</v>
      </c>
      <c r="C2259" s="8">
        <v>46232</v>
      </c>
      <c r="D2259" s="9">
        <v>23063</v>
      </c>
    </row>
    <row r="2260" spans="1:4">
      <c r="A2260" t="s">
        <v>25</v>
      </c>
      <c r="B2260" t="s">
        <v>117</v>
      </c>
      <c r="C2260" s="8">
        <v>46232</v>
      </c>
      <c r="D2260" s="9">
        <v>11290</v>
      </c>
    </row>
    <row r="2261" spans="1:4">
      <c r="A2261" t="s">
        <v>8</v>
      </c>
      <c r="B2261" t="s">
        <v>237</v>
      </c>
      <c r="C2261" s="8">
        <v>46232</v>
      </c>
      <c r="D2261" s="9">
        <v>24914</v>
      </c>
    </row>
    <row r="2262" spans="1:4">
      <c r="A2262" t="s">
        <v>32</v>
      </c>
      <c r="B2262" t="s">
        <v>247</v>
      </c>
      <c r="C2262" s="8">
        <v>46232</v>
      </c>
      <c r="D2262" s="9">
        <v>12027</v>
      </c>
    </row>
    <row r="2263" spans="1:4">
      <c r="A2263" t="s">
        <v>9</v>
      </c>
      <c r="B2263" t="s">
        <v>276</v>
      </c>
      <c r="C2263" s="8">
        <v>46232</v>
      </c>
      <c r="D2263" s="9">
        <v>56459</v>
      </c>
    </row>
    <row r="2264" spans="1:4">
      <c r="A2264" t="s">
        <v>5</v>
      </c>
      <c r="B2264" t="s">
        <v>167</v>
      </c>
      <c r="C2264" s="8">
        <v>46232</v>
      </c>
      <c r="D2264" s="9">
        <v>29411</v>
      </c>
    </row>
    <row r="2265" spans="1:4">
      <c r="A2265" t="s">
        <v>5</v>
      </c>
      <c r="B2265" t="s">
        <v>209</v>
      </c>
      <c r="C2265" s="8">
        <v>46232</v>
      </c>
      <c r="D2265" s="9">
        <v>48501</v>
      </c>
    </row>
    <row r="2266" spans="1:4">
      <c r="A2266" t="s">
        <v>5</v>
      </c>
      <c r="B2266" t="s">
        <v>159</v>
      </c>
      <c r="C2266" s="8">
        <v>46232</v>
      </c>
      <c r="D2266" s="9">
        <v>43576</v>
      </c>
    </row>
    <row r="2267" spans="1:4">
      <c r="A2267" t="s">
        <v>5</v>
      </c>
      <c r="B2267" t="s">
        <v>93</v>
      </c>
      <c r="C2267" s="8">
        <v>46232</v>
      </c>
      <c r="D2267" s="9">
        <v>37957</v>
      </c>
    </row>
    <row r="2268" spans="1:4">
      <c r="A2268" t="s">
        <v>5</v>
      </c>
      <c r="B2268" t="s">
        <v>189</v>
      </c>
      <c r="C2268" s="8">
        <v>46232</v>
      </c>
      <c r="D2268" s="9">
        <v>35145</v>
      </c>
    </row>
    <row r="2269" spans="1:4">
      <c r="A2269" t="s">
        <v>28</v>
      </c>
      <c r="B2269" t="s">
        <v>62</v>
      </c>
      <c r="C2269" s="8">
        <v>46233</v>
      </c>
      <c r="D2269" s="9">
        <v>9808</v>
      </c>
    </row>
    <row r="2270" spans="1:4">
      <c r="A2270" t="s">
        <v>7</v>
      </c>
      <c r="B2270" t="s">
        <v>69</v>
      </c>
      <c r="C2270" s="8">
        <v>46233</v>
      </c>
      <c r="D2270" s="9">
        <v>5200</v>
      </c>
    </row>
    <row r="2271" spans="1:4">
      <c r="A2271" t="s">
        <v>7</v>
      </c>
      <c r="B2271" t="s">
        <v>226</v>
      </c>
      <c r="C2271" s="8">
        <v>46233</v>
      </c>
      <c r="D2271" s="9">
        <v>21171</v>
      </c>
    </row>
    <row r="2272" spans="1:4">
      <c r="A2272" t="s">
        <v>9</v>
      </c>
      <c r="B2272" t="s">
        <v>177</v>
      </c>
      <c r="C2272" s="8">
        <v>46233</v>
      </c>
      <c r="D2272" s="9">
        <v>25861</v>
      </c>
    </row>
    <row r="2273" spans="1:4">
      <c r="A2273" t="s">
        <v>5</v>
      </c>
      <c r="B2273" t="s">
        <v>167</v>
      </c>
      <c r="C2273" s="8">
        <v>46233</v>
      </c>
      <c r="D2273" s="9">
        <v>31746</v>
      </c>
    </row>
    <row r="2274" spans="1:4">
      <c r="A2274" t="s">
        <v>5</v>
      </c>
      <c r="B2274" t="s">
        <v>210</v>
      </c>
      <c r="C2274" s="8">
        <v>46233</v>
      </c>
      <c r="D2274" s="9">
        <v>40069</v>
      </c>
    </row>
    <row r="2275" spans="1:4">
      <c r="A2275" t="s">
        <v>5</v>
      </c>
      <c r="B2275" t="s">
        <v>93</v>
      </c>
      <c r="C2275" s="8">
        <v>46233</v>
      </c>
      <c r="D2275" s="9">
        <v>46970</v>
      </c>
    </row>
    <row r="2276" spans="1:4">
      <c r="A2276" t="s">
        <v>5</v>
      </c>
      <c r="B2276" t="s">
        <v>108</v>
      </c>
      <c r="C2276" s="8">
        <v>46233</v>
      </c>
      <c r="D2276" s="9">
        <v>42871</v>
      </c>
    </row>
    <row r="2277" spans="1:4">
      <c r="A2277" t="s">
        <v>4</v>
      </c>
      <c r="B2277" t="s">
        <v>190</v>
      </c>
      <c r="C2277" s="8">
        <v>46234</v>
      </c>
      <c r="D2277" s="9">
        <v>27927</v>
      </c>
    </row>
    <row r="2278" spans="1:4">
      <c r="A2278" t="s">
        <v>4</v>
      </c>
      <c r="B2278" t="s">
        <v>180</v>
      </c>
      <c r="C2278" s="8">
        <v>46234</v>
      </c>
      <c r="D2278" s="9">
        <v>29975</v>
      </c>
    </row>
    <row r="2279" spans="1:4">
      <c r="A2279" t="s">
        <v>25</v>
      </c>
      <c r="B2279" t="s">
        <v>272</v>
      </c>
      <c r="C2279" s="8">
        <v>46234</v>
      </c>
      <c r="D2279" s="9">
        <v>13840</v>
      </c>
    </row>
    <row r="2280" spans="1:4">
      <c r="A2280" t="s">
        <v>6</v>
      </c>
      <c r="B2280" t="s">
        <v>262</v>
      </c>
      <c r="C2280" s="8">
        <v>46234</v>
      </c>
      <c r="D2280" s="9">
        <v>15744</v>
      </c>
    </row>
    <row r="2281" spans="1:4">
      <c r="A2281" t="s">
        <v>33</v>
      </c>
      <c r="B2281" t="s">
        <v>232</v>
      </c>
      <c r="C2281" s="8">
        <v>46234</v>
      </c>
      <c r="D2281" s="9">
        <v>13546</v>
      </c>
    </row>
    <row r="2282" spans="1:4">
      <c r="A2282" t="s">
        <v>7</v>
      </c>
      <c r="B2282" t="s">
        <v>47</v>
      </c>
      <c r="C2282" s="8">
        <v>46234</v>
      </c>
      <c r="D2282" s="9">
        <v>21828</v>
      </c>
    </row>
    <row r="2283" spans="1:4">
      <c r="A2283" t="s">
        <v>9</v>
      </c>
      <c r="B2283" t="s">
        <v>66</v>
      </c>
      <c r="C2283" s="8">
        <v>46234</v>
      </c>
      <c r="D2283" s="9">
        <v>41513</v>
      </c>
    </row>
    <row r="2284" spans="1:4">
      <c r="A2284" t="s">
        <v>5</v>
      </c>
      <c r="B2284" t="s">
        <v>123</v>
      </c>
      <c r="C2284" s="8">
        <v>46234</v>
      </c>
      <c r="D2284" s="9">
        <v>42527</v>
      </c>
    </row>
    <row r="2285" spans="1:4">
      <c r="A2285" t="s">
        <v>5</v>
      </c>
      <c r="B2285" t="s">
        <v>107</v>
      </c>
      <c r="C2285" s="8">
        <v>46234</v>
      </c>
      <c r="D2285" s="9">
        <v>56632</v>
      </c>
    </row>
    <row r="2286" spans="1:4">
      <c r="A2286" t="s">
        <v>5</v>
      </c>
      <c r="B2286" t="s">
        <v>204</v>
      </c>
      <c r="C2286" s="8">
        <v>46234</v>
      </c>
      <c r="D2286" s="9">
        <v>36415</v>
      </c>
    </row>
    <row r="2287" spans="1:4">
      <c r="A2287" t="s">
        <v>4</v>
      </c>
      <c r="B2287" t="s">
        <v>165</v>
      </c>
      <c r="C2287" s="8">
        <v>46235</v>
      </c>
      <c r="D2287" s="9">
        <v>36466</v>
      </c>
    </row>
    <row r="2288" spans="1:4">
      <c r="A2288" t="s">
        <v>4</v>
      </c>
      <c r="B2288" t="s">
        <v>234</v>
      </c>
      <c r="C2288" s="8">
        <v>46235</v>
      </c>
      <c r="D2288" s="9">
        <v>40442</v>
      </c>
    </row>
    <row r="2289" spans="1:4">
      <c r="A2289" t="s">
        <v>25</v>
      </c>
      <c r="B2289" t="s">
        <v>86</v>
      </c>
      <c r="C2289" s="8">
        <v>46235</v>
      </c>
      <c r="D2289" s="9">
        <v>14397</v>
      </c>
    </row>
    <row r="2290" spans="1:4">
      <c r="A2290" t="s">
        <v>33</v>
      </c>
      <c r="B2290" t="s">
        <v>232</v>
      </c>
      <c r="C2290" s="8">
        <v>46235</v>
      </c>
      <c r="D2290" s="9">
        <v>8133</v>
      </c>
    </row>
    <row r="2291" spans="1:4">
      <c r="A2291" t="s">
        <v>29</v>
      </c>
      <c r="B2291" t="s">
        <v>163</v>
      </c>
      <c r="C2291" s="8">
        <v>46235</v>
      </c>
      <c r="D2291" s="9">
        <v>19216</v>
      </c>
    </row>
    <row r="2292" spans="1:4">
      <c r="A2292" t="s">
        <v>9</v>
      </c>
      <c r="B2292" t="s">
        <v>113</v>
      </c>
      <c r="C2292" s="8">
        <v>46235</v>
      </c>
      <c r="D2292" s="9">
        <v>31793</v>
      </c>
    </row>
    <row r="2293" spans="1:4">
      <c r="A2293" t="s">
        <v>9</v>
      </c>
      <c r="B2293" t="s">
        <v>148</v>
      </c>
      <c r="C2293" s="8">
        <v>46235</v>
      </c>
      <c r="D2293" s="9">
        <v>52909</v>
      </c>
    </row>
    <row r="2294" spans="1:4">
      <c r="A2294" t="s">
        <v>9</v>
      </c>
      <c r="B2294" t="s">
        <v>219</v>
      </c>
      <c r="C2294" s="8">
        <v>46235</v>
      </c>
      <c r="D2294" s="9">
        <v>33935</v>
      </c>
    </row>
    <row r="2295" spans="1:4">
      <c r="A2295" t="s">
        <v>9</v>
      </c>
      <c r="B2295" t="s">
        <v>220</v>
      </c>
      <c r="C2295" s="8">
        <v>46235</v>
      </c>
      <c r="D2295" s="9">
        <v>34054</v>
      </c>
    </row>
    <row r="2296" spans="1:4">
      <c r="A2296" t="s">
        <v>5</v>
      </c>
      <c r="B2296" t="s">
        <v>107</v>
      </c>
      <c r="C2296" s="8">
        <v>46235</v>
      </c>
      <c r="D2296" s="9">
        <v>39435</v>
      </c>
    </row>
    <row r="2297" spans="1:4">
      <c r="A2297" t="s">
        <v>5</v>
      </c>
      <c r="B2297" t="s">
        <v>93</v>
      </c>
      <c r="C2297" s="8">
        <v>46235</v>
      </c>
      <c r="D2297" s="9">
        <v>38637</v>
      </c>
    </row>
    <row r="2298" spans="1:4">
      <c r="A2298" t="s">
        <v>5</v>
      </c>
      <c r="B2298" t="s">
        <v>109</v>
      </c>
      <c r="C2298" s="8">
        <v>46235</v>
      </c>
      <c r="D2298" s="9">
        <v>49551</v>
      </c>
    </row>
    <row r="2299" spans="1:4">
      <c r="A2299" t="s">
        <v>5</v>
      </c>
      <c r="B2299" t="s">
        <v>100</v>
      </c>
      <c r="C2299" s="8">
        <v>46235</v>
      </c>
      <c r="D2299" s="9">
        <v>46948</v>
      </c>
    </row>
    <row r="2300" spans="1:4">
      <c r="A2300" t="s">
        <v>28</v>
      </c>
      <c r="B2300" t="s">
        <v>174</v>
      </c>
      <c r="C2300" s="8">
        <v>46236</v>
      </c>
      <c r="D2300" s="9">
        <v>8207</v>
      </c>
    </row>
    <row r="2301" spans="1:4">
      <c r="A2301" t="s">
        <v>8</v>
      </c>
      <c r="B2301" t="s">
        <v>147</v>
      </c>
      <c r="C2301" s="8">
        <v>46236</v>
      </c>
      <c r="D2301" s="9">
        <v>15762</v>
      </c>
    </row>
    <row r="2302" spans="1:4">
      <c r="A2302" t="s">
        <v>7</v>
      </c>
      <c r="B2302" t="s">
        <v>275</v>
      </c>
      <c r="C2302" s="8">
        <v>46236</v>
      </c>
      <c r="D2302" s="9">
        <v>20524</v>
      </c>
    </row>
    <row r="2303" spans="1:4">
      <c r="A2303" t="s">
        <v>9</v>
      </c>
      <c r="B2303" t="s">
        <v>235</v>
      </c>
      <c r="C2303" s="8">
        <v>46236</v>
      </c>
      <c r="D2303" s="9">
        <v>30860</v>
      </c>
    </row>
    <row r="2304" spans="1:4">
      <c r="A2304" t="s">
        <v>9</v>
      </c>
      <c r="B2304" t="s">
        <v>177</v>
      </c>
      <c r="C2304" s="8">
        <v>46236</v>
      </c>
      <c r="D2304" s="9">
        <v>28328</v>
      </c>
    </row>
    <row r="2305" spans="1:4">
      <c r="A2305" t="s">
        <v>9</v>
      </c>
      <c r="B2305" t="s">
        <v>66</v>
      </c>
      <c r="C2305" s="8">
        <v>46236</v>
      </c>
      <c r="D2305" s="9">
        <v>37013</v>
      </c>
    </row>
    <row r="2306" spans="1:4">
      <c r="A2306" t="s">
        <v>5</v>
      </c>
      <c r="B2306" t="s">
        <v>252</v>
      </c>
      <c r="C2306" s="8">
        <v>46236</v>
      </c>
      <c r="D2306" s="9">
        <v>48052</v>
      </c>
    </row>
    <row r="2307" spans="1:4">
      <c r="A2307" t="s">
        <v>5</v>
      </c>
      <c r="B2307" t="s">
        <v>93</v>
      </c>
      <c r="C2307" s="8">
        <v>46236</v>
      </c>
      <c r="D2307" s="9">
        <v>39179</v>
      </c>
    </row>
    <row r="2308" spans="1:4">
      <c r="A2308" t="s">
        <v>5</v>
      </c>
      <c r="B2308" t="s">
        <v>93</v>
      </c>
      <c r="C2308" s="8">
        <v>46236</v>
      </c>
      <c r="D2308" s="9">
        <v>40169</v>
      </c>
    </row>
    <row r="2309" spans="1:4">
      <c r="A2309" t="s">
        <v>5</v>
      </c>
      <c r="B2309" t="s">
        <v>93</v>
      </c>
      <c r="C2309" s="8">
        <v>46236</v>
      </c>
      <c r="D2309" s="9">
        <v>42795</v>
      </c>
    </row>
    <row r="2310" spans="1:4">
      <c r="A2310" t="s">
        <v>5</v>
      </c>
      <c r="B2310" t="s">
        <v>124</v>
      </c>
      <c r="C2310" s="8">
        <v>46236</v>
      </c>
      <c r="D2310" s="9">
        <v>35078</v>
      </c>
    </row>
    <row r="2311" spans="1:4">
      <c r="A2311" t="s">
        <v>5</v>
      </c>
      <c r="B2311" t="s">
        <v>61</v>
      </c>
      <c r="C2311" s="8">
        <v>46236</v>
      </c>
      <c r="D2311" s="9">
        <v>47556</v>
      </c>
    </row>
    <row r="2312" spans="1:4">
      <c r="A2312" t="s">
        <v>4</v>
      </c>
      <c r="B2312" t="s">
        <v>116</v>
      </c>
      <c r="C2312" s="8">
        <v>46237</v>
      </c>
      <c r="D2312" s="9">
        <v>29325</v>
      </c>
    </row>
    <row r="2313" spans="1:4">
      <c r="A2313" t="s">
        <v>7</v>
      </c>
      <c r="B2313" t="s">
        <v>244</v>
      </c>
      <c r="C2313" s="8">
        <v>46237</v>
      </c>
      <c r="D2313" s="9">
        <v>26418</v>
      </c>
    </row>
    <row r="2314" spans="1:4">
      <c r="A2314" t="s">
        <v>7</v>
      </c>
      <c r="B2314" t="s">
        <v>170</v>
      </c>
      <c r="C2314" s="8">
        <v>46237</v>
      </c>
      <c r="D2314" s="9">
        <v>18814</v>
      </c>
    </row>
    <row r="2315" spans="1:4">
      <c r="A2315" t="s">
        <v>7</v>
      </c>
      <c r="B2315" t="s">
        <v>105</v>
      </c>
      <c r="C2315" s="8">
        <v>46237</v>
      </c>
      <c r="D2315" s="9">
        <v>19067</v>
      </c>
    </row>
    <row r="2316" spans="1:4">
      <c r="A2316" t="s">
        <v>9</v>
      </c>
      <c r="B2316" t="s">
        <v>85</v>
      </c>
      <c r="C2316" s="8">
        <v>46237</v>
      </c>
      <c r="D2316" s="9">
        <v>22613</v>
      </c>
    </row>
    <row r="2317" spans="1:4">
      <c r="A2317" t="s">
        <v>5</v>
      </c>
      <c r="B2317" t="s">
        <v>123</v>
      </c>
      <c r="C2317" s="8">
        <v>46237</v>
      </c>
      <c r="D2317" s="9">
        <v>49496</v>
      </c>
    </row>
    <row r="2318" spans="1:4">
      <c r="A2318" t="s">
        <v>5</v>
      </c>
      <c r="B2318" t="s">
        <v>211</v>
      </c>
      <c r="C2318" s="8">
        <v>46237</v>
      </c>
      <c r="D2318" s="9">
        <v>45711</v>
      </c>
    </row>
    <row r="2319" spans="1:4">
      <c r="A2319" t="s">
        <v>5</v>
      </c>
      <c r="B2319" t="s">
        <v>100</v>
      </c>
      <c r="C2319" s="8">
        <v>46237</v>
      </c>
      <c r="D2319" s="9">
        <v>33174</v>
      </c>
    </row>
    <row r="2320" spans="1:4">
      <c r="A2320" t="s">
        <v>4</v>
      </c>
      <c r="B2320" t="s">
        <v>241</v>
      </c>
      <c r="C2320" s="8">
        <v>46238</v>
      </c>
      <c r="D2320" s="9">
        <v>19346</v>
      </c>
    </row>
    <row r="2321" spans="1:4">
      <c r="A2321" t="s">
        <v>4</v>
      </c>
      <c r="B2321" t="s">
        <v>223</v>
      </c>
      <c r="C2321" s="8">
        <v>46238</v>
      </c>
      <c r="D2321" s="9">
        <v>33098</v>
      </c>
    </row>
    <row r="2322" spans="1:4">
      <c r="A2322" t="s">
        <v>25</v>
      </c>
      <c r="B2322" t="s">
        <v>186</v>
      </c>
      <c r="C2322" s="8">
        <v>46238</v>
      </c>
      <c r="D2322" s="9">
        <v>13233</v>
      </c>
    </row>
    <row r="2323" spans="1:4">
      <c r="A2323" t="s">
        <v>29</v>
      </c>
      <c r="B2323" t="s">
        <v>57</v>
      </c>
      <c r="C2323" s="8">
        <v>46238</v>
      </c>
      <c r="D2323" s="9">
        <v>9998</v>
      </c>
    </row>
    <row r="2324" spans="1:4">
      <c r="A2324" t="s">
        <v>7</v>
      </c>
      <c r="B2324" t="s">
        <v>202</v>
      </c>
      <c r="C2324" s="8">
        <v>46238</v>
      </c>
      <c r="D2324" s="9">
        <v>22106</v>
      </c>
    </row>
    <row r="2325" spans="1:4">
      <c r="A2325" t="s">
        <v>9</v>
      </c>
      <c r="B2325" t="s">
        <v>91</v>
      </c>
      <c r="C2325" s="8">
        <v>46238</v>
      </c>
      <c r="D2325" s="9">
        <v>25873</v>
      </c>
    </row>
    <row r="2326" spans="1:4">
      <c r="A2326" t="s">
        <v>9</v>
      </c>
      <c r="B2326" t="s">
        <v>245</v>
      </c>
      <c r="C2326" s="8">
        <v>46238</v>
      </c>
      <c r="D2326" s="9">
        <v>27734</v>
      </c>
    </row>
    <row r="2327" spans="1:4">
      <c r="A2327" t="s">
        <v>5</v>
      </c>
      <c r="B2327" t="s">
        <v>58</v>
      </c>
      <c r="C2327" s="8">
        <v>46238</v>
      </c>
      <c r="D2327" s="9">
        <v>47068</v>
      </c>
    </row>
    <row r="2328" spans="1:4">
      <c r="A2328" t="s">
        <v>4</v>
      </c>
      <c r="B2328" t="s">
        <v>106</v>
      </c>
      <c r="C2328" s="8">
        <v>46239</v>
      </c>
      <c r="D2328" s="9">
        <v>31840</v>
      </c>
    </row>
    <row r="2329" spans="1:4">
      <c r="A2329" t="s">
        <v>25</v>
      </c>
      <c r="B2329" t="s">
        <v>200</v>
      </c>
      <c r="C2329" s="8">
        <v>46239</v>
      </c>
      <c r="D2329" s="9">
        <v>16183</v>
      </c>
    </row>
    <row r="2330" spans="1:4">
      <c r="A2330" t="s">
        <v>26</v>
      </c>
      <c r="B2330" t="s">
        <v>256</v>
      </c>
      <c r="C2330" s="8">
        <v>46239</v>
      </c>
      <c r="D2330" s="9">
        <v>12890</v>
      </c>
    </row>
    <row r="2331" spans="1:4">
      <c r="A2331" t="s">
        <v>6</v>
      </c>
      <c r="B2331" t="s">
        <v>141</v>
      </c>
      <c r="C2331" s="8">
        <v>46239</v>
      </c>
      <c r="D2331" s="9">
        <v>18689</v>
      </c>
    </row>
    <row r="2332" spans="1:4">
      <c r="A2332" t="s">
        <v>37</v>
      </c>
      <c r="B2332" t="s">
        <v>81</v>
      </c>
      <c r="C2332" s="8">
        <v>46239</v>
      </c>
      <c r="D2332" s="9">
        <v>12973</v>
      </c>
    </row>
    <row r="2333" spans="1:4">
      <c r="A2333" t="s">
        <v>5</v>
      </c>
      <c r="B2333" t="s">
        <v>72</v>
      </c>
      <c r="C2333" s="8">
        <v>46239</v>
      </c>
      <c r="D2333" s="9">
        <v>32604</v>
      </c>
    </row>
    <row r="2334" spans="1:4">
      <c r="A2334" t="s">
        <v>5</v>
      </c>
      <c r="B2334" t="s">
        <v>98</v>
      </c>
      <c r="C2334" s="8">
        <v>46239</v>
      </c>
      <c r="D2334" s="9">
        <v>47628</v>
      </c>
    </row>
    <row r="2335" spans="1:4">
      <c r="A2335" t="s">
        <v>26</v>
      </c>
      <c r="B2335" t="s">
        <v>259</v>
      </c>
      <c r="C2335" s="8">
        <v>46240</v>
      </c>
      <c r="D2335" s="9">
        <v>17055</v>
      </c>
    </row>
    <row r="2336" spans="1:4">
      <c r="A2336" t="s">
        <v>29</v>
      </c>
      <c r="B2336" t="s">
        <v>112</v>
      </c>
      <c r="C2336" s="8">
        <v>46240</v>
      </c>
      <c r="D2336" s="9">
        <v>11010</v>
      </c>
    </row>
    <row r="2337" spans="1:4">
      <c r="A2337" t="s">
        <v>7</v>
      </c>
      <c r="B2337" t="s">
        <v>201</v>
      </c>
      <c r="C2337" s="8">
        <v>46240</v>
      </c>
      <c r="D2337" s="9">
        <v>19007</v>
      </c>
    </row>
    <row r="2338" spans="1:4">
      <c r="A2338" t="s">
        <v>7</v>
      </c>
      <c r="B2338" t="s">
        <v>214</v>
      </c>
      <c r="C2338" s="8">
        <v>46240</v>
      </c>
      <c r="D2338" s="9">
        <v>18656</v>
      </c>
    </row>
    <row r="2339" spans="1:4">
      <c r="A2339" t="s">
        <v>9</v>
      </c>
      <c r="B2339" t="s">
        <v>82</v>
      </c>
      <c r="C2339" s="8">
        <v>46240</v>
      </c>
      <c r="D2339" s="9">
        <v>9179</v>
      </c>
    </row>
    <row r="2340" spans="1:4">
      <c r="A2340" t="s">
        <v>5</v>
      </c>
      <c r="B2340" t="s">
        <v>172</v>
      </c>
      <c r="C2340" s="8">
        <v>46240</v>
      </c>
      <c r="D2340" s="9">
        <v>28337</v>
      </c>
    </row>
    <row r="2341" spans="1:4">
      <c r="A2341" t="s">
        <v>27</v>
      </c>
      <c r="B2341" t="s">
        <v>149</v>
      </c>
      <c r="C2341" s="8">
        <v>46241</v>
      </c>
      <c r="D2341" s="9">
        <v>12318</v>
      </c>
    </row>
    <row r="2342" spans="1:4">
      <c r="A2342" t="s">
        <v>38</v>
      </c>
      <c r="B2342" t="s">
        <v>110</v>
      </c>
      <c r="C2342" s="8">
        <v>46241</v>
      </c>
      <c r="D2342" s="9">
        <v>12155</v>
      </c>
    </row>
    <row r="2343" spans="1:4">
      <c r="A2343" t="s">
        <v>26</v>
      </c>
      <c r="B2343" t="s">
        <v>257</v>
      </c>
      <c r="C2343" s="8">
        <v>46241</v>
      </c>
      <c r="D2343" s="9">
        <v>7645</v>
      </c>
    </row>
    <row r="2344" spans="1:4">
      <c r="A2344" t="s">
        <v>9</v>
      </c>
      <c r="B2344" t="s">
        <v>187</v>
      </c>
      <c r="C2344" s="8">
        <v>46241</v>
      </c>
      <c r="D2344" s="9">
        <v>41883</v>
      </c>
    </row>
    <row r="2345" spans="1:4">
      <c r="A2345" t="s">
        <v>9</v>
      </c>
      <c r="B2345" t="s">
        <v>144</v>
      </c>
      <c r="C2345" s="8">
        <v>46241</v>
      </c>
      <c r="D2345" s="9">
        <v>26961</v>
      </c>
    </row>
    <row r="2346" spans="1:4">
      <c r="A2346" t="s">
        <v>9</v>
      </c>
      <c r="B2346" t="s">
        <v>220</v>
      </c>
      <c r="C2346" s="8">
        <v>46241</v>
      </c>
      <c r="D2346" s="9">
        <v>36718</v>
      </c>
    </row>
    <row r="2347" spans="1:4">
      <c r="A2347" t="s">
        <v>5</v>
      </c>
      <c r="B2347" t="s">
        <v>92</v>
      </c>
      <c r="C2347" s="8">
        <v>46241</v>
      </c>
      <c r="D2347" s="9">
        <v>40936</v>
      </c>
    </row>
    <row r="2348" spans="1:4">
      <c r="A2348" t="s">
        <v>5</v>
      </c>
      <c r="B2348" t="s">
        <v>123</v>
      </c>
      <c r="C2348" s="8">
        <v>46241</v>
      </c>
      <c r="D2348" s="9">
        <v>32781</v>
      </c>
    </row>
    <row r="2349" spans="1:4">
      <c r="A2349" t="s">
        <v>5</v>
      </c>
      <c r="B2349" t="s">
        <v>183</v>
      </c>
      <c r="C2349" s="8">
        <v>46241</v>
      </c>
      <c r="D2349" s="9">
        <v>55527</v>
      </c>
    </row>
    <row r="2350" spans="1:4">
      <c r="A2350" t="s">
        <v>5</v>
      </c>
      <c r="B2350" t="s">
        <v>74</v>
      </c>
      <c r="C2350" s="8">
        <v>46241</v>
      </c>
      <c r="D2350" s="9">
        <v>54297</v>
      </c>
    </row>
    <row r="2351" spans="1:4">
      <c r="A2351" t="s">
        <v>5</v>
      </c>
      <c r="B2351" t="s">
        <v>107</v>
      </c>
      <c r="C2351" s="8">
        <v>46241</v>
      </c>
      <c r="D2351" s="9">
        <v>46818</v>
      </c>
    </row>
    <row r="2352" spans="1:4">
      <c r="A2352" t="s">
        <v>5</v>
      </c>
      <c r="B2352" t="s">
        <v>108</v>
      </c>
      <c r="C2352" s="8">
        <v>46241</v>
      </c>
      <c r="D2352" s="9">
        <v>33695</v>
      </c>
    </row>
    <row r="2353" spans="1:4">
      <c r="A2353" t="s">
        <v>5</v>
      </c>
      <c r="B2353" t="s">
        <v>134</v>
      </c>
      <c r="C2353" s="8">
        <v>46241</v>
      </c>
      <c r="D2353" s="9">
        <v>24766</v>
      </c>
    </row>
    <row r="2354" spans="1:4">
      <c r="A2354" t="s">
        <v>5</v>
      </c>
      <c r="B2354" t="s">
        <v>189</v>
      </c>
      <c r="C2354" s="8">
        <v>46241</v>
      </c>
      <c r="D2354" s="9">
        <v>38224</v>
      </c>
    </row>
    <row r="2355" spans="1:4">
      <c r="A2355" t="s">
        <v>27</v>
      </c>
      <c r="B2355" t="s">
        <v>253</v>
      </c>
      <c r="C2355" s="8">
        <v>46242</v>
      </c>
      <c r="D2355" s="9">
        <v>5200</v>
      </c>
    </row>
    <row r="2356" spans="1:4">
      <c r="A2356" t="s">
        <v>4</v>
      </c>
      <c r="B2356" t="s">
        <v>67</v>
      </c>
      <c r="C2356" s="8">
        <v>46242</v>
      </c>
      <c r="D2356" s="9">
        <v>29283</v>
      </c>
    </row>
    <row r="2357" spans="1:4">
      <c r="A2357" t="s">
        <v>4</v>
      </c>
      <c r="B2357" t="s">
        <v>85</v>
      </c>
      <c r="C2357" s="8">
        <v>46242</v>
      </c>
      <c r="D2357" s="9">
        <v>23661</v>
      </c>
    </row>
    <row r="2358" spans="1:4">
      <c r="A2358" t="s">
        <v>4</v>
      </c>
      <c r="B2358" t="s">
        <v>66</v>
      </c>
      <c r="C2358" s="8">
        <v>46242</v>
      </c>
      <c r="D2358" s="9">
        <v>35124</v>
      </c>
    </row>
    <row r="2359" spans="1:4">
      <c r="A2359" t="s">
        <v>25</v>
      </c>
      <c r="B2359" t="s">
        <v>153</v>
      </c>
      <c r="C2359" s="8">
        <v>46242</v>
      </c>
      <c r="D2359" s="9">
        <v>21884</v>
      </c>
    </row>
    <row r="2360" spans="1:4">
      <c r="A2360" t="s">
        <v>8</v>
      </c>
      <c r="B2360" t="s">
        <v>64</v>
      </c>
      <c r="C2360" s="8">
        <v>46242</v>
      </c>
      <c r="D2360" s="9">
        <v>13621</v>
      </c>
    </row>
    <row r="2361" spans="1:4">
      <c r="A2361" t="s">
        <v>29</v>
      </c>
      <c r="B2361" t="s">
        <v>191</v>
      </c>
      <c r="C2361" s="8">
        <v>46242</v>
      </c>
      <c r="D2361" s="9">
        <v>12949</v>
      </c>
    </row>
    <row r="2362" spans="1:4">
      <c r="A2362" t="s">
        <v>7</v>
      </c>
      <c r="B2362" t="s">
        <v>193</v>
      </c>
      <c r="C2362" s="8">
        <v>46242</v>
      </c>
      <c r="D2362" s="9">
        <v>18197</v>
      </c>
    </row>
    <row r="2363" spans="1:4">
      <c r="A2363" t="s">
        <v>9</v>
      </c>
      <c r="B2363" t="s">
        <v>143</v>
      </c>
      <c r="C2363" s="8">
        <v>46242</v>
      </c>
      <c r="D2363" s="9">
        <v>42822</v>
      </c>
    </row>
    <row r="2364" spans="1:4">
      <c r="A2364" t="s">
        <v>4</v>
      </c>
      <c r="B2364" t="s">
        <v>75</v>
      </c>
      <c r="C2364" s="8">
        <v>46243</v>
      </c>
      <c r="D2364" s="9">
        <v>26400</v>
      </c>
    </row>
    <row r="2365" spans="1:4">
      <c r="A2365" t="s">
        <v>31</v>
      </c>
      <c r="B2365" t="s">
        <v>48</v>
      </c>
      <c r="C2365" s="8">
        <v>46243</v>
      </c>
      <c r="D2365" s="9">
        <v>12806</v>
      </c>
    </row>
    <row r="2366" spans="1:4">
      <c r="A2366" t="s">
        <v>28</v>
      </c>
      <c r="B2366" t="s">
        <v>242</v>
      </c>
      <c r="C2366" s="8">
        <v>46243</v>
      </c>
      <c r="D2366" s="9">
        <v>5200</v>
      </c>
    </row>
    <row r="2367" spans="1:4">
      <c r="A2367" t="s">
        <v>8</v>
      </c>
      <c r="B2367" t="s">
        <v>225</v>
      </c>
      <c r="C2367" s="8">
        <v>46243</v>
      </c>
      <c r="D2367" s="9">
        <v>8147</v>
      </c>
    </row>
    <row r="2368" spans="1:4">
      <c r="A2368" t="s">
        <v>32</v>
      </c>
      <c r="B2368" t="s">
        <v>247</v>
      </c>
      <c r="C2368" s="8">
        <v>46243</v>
      </c>
      <c r="D2368" s="9">
        <v>12268</v>
      </c>
    </row>
    <row r="2369" spans="1:4">
      <c r="A2369" t="s">
        <v>6</v>
      </c>
      <c r="B2369" t="s">
        <v>261</v>
      </c>
      <c r="C2369" s="8">
        <v>46243</v>
      </c>
      <c r="D2369" s="9">
        <v>17188</v>
      </c>
    </row>
    <row r="2370" spans="1:4">
      <c r="A2370" t="s">
        <v>5</v>
      </c>
      <c r="B2370" t="s">
        <v>72</v>
      </c>
      <c r="C2370" s="8">
        <v>46243</v>
      </c>
      <c r="D2370" s="9">
        <v>37051</v>
      </c>
    </row>
    <row r="2371" spans="1:4">
      <c r="A2371" t="s">
        <v>5</v>
      </c>
      <c r="B2371" t="s">
        <v>84</v>
      </c>
      <c r="C2371" s="8">
        <v>46243</v>
      </c>
      <c r="D2371" s="9">
        <v>37580</v>
      </c>
    </row>
    <row r="2372" spans="1:4">
      <c r="A2372" t="s">
        <v>5</v>
      </c>
      <c r="B2372" t="s">
        <v>74</v>
      </c>
      <c r="C2372" s="8">
        <v>46243</v>
      </c>
      <c r="D2372" s="9">
        <v>36250</v>
      </c>
    </row>
    <row r="2373" spans="1:4">
      <c r="A2373" t="s">
        <v>5</v>
      </c>
      <c r="B2373" t="s">
        <v>93</v>
      </c>
      <c r="C2373" s="8">
        <v>46243</v>
      </c>
      <c r="D2373" s="9">
        <v>38493</v>
      </c>
    </row>
    <row r="2374" spans="1:4">
      <c r="A2374" t="s">
        <v>4</v>
      </c>
      <c r="B2374" t="s">
        <v>160</v>
      </c>
      <c r="C2374" s="8">
        <v>46244</v>
      </c>
      <c r="D2374" s="9">
        <v>28043</v>
      </c>
    </row>
    <row r="2375" spans="1:4">
      <c r="A2375" t="s">
        <v>4</v>
      </c>
      <c r="B2375" t="s">
        <v>146</v>
      </c>
      <c r="C2375" s="8">
        <v>46244</v>
      </c>
      <c r="D2375" s="9">
        <v>22833</v>
      </c>
    </row>
    <row r="2376" spans="1:4">
      <c r="A2376" t="s">
        <v>4</v>
      </c>
      <c r="B2376" t="s">
        <v>151</v>
      </c>
      <c r="C2376" s="8">
        <v>46244</v>
      </c>
      <c r="D2376" s="9">
        <v>21854</v>
      </c>
    </row>
    <row r="2377" spans="1:4">
      <c r="A2377" t="s">
        <v>28</v>
      </c>
      <c r="B2377" t="s">
        <v>62</v>
      </c>
      <c r="C2377" s="8">
        <v>46244</v>
      </c>
      <c r="D2377" s="9">
        <v>12446</v>
      </c>
    </row>
    <row r="2378" spans="1:4">
      <c r="A2378" t="s">
        <v>26</v>
      </c>
      <c r="B2378" t="s">
        <v>119</v>
      </c>
      <c r="C2378" s="8">
        <v>46244</v>
      </c>
      <c r="D2378" s="9">
        <v>21589</v>
      </c>
    </row>
    <row r="2379" spans="1:4">
      <c r="A2379" t="s">
        <v>26</v>
      </c>
      <c r="B2379" t="s">
        <v>102</v>
      </c>
      <c r="C2379" s="8">
        <v>46244</v>
      </c>
      <c r="D2379" s="9">
        <v>11714</v>
      </c>
    </row>
    <row r="2380" spans="1:4">
      <c r="A2380" t="s">
        <v>8</v>
      </c>
      <c r="B2380" t="s">
        <v>237</v>
      </c>
      <c r="C2380" s="8">
        <v>46244</v>
      </c>
      <c r="D2380" s="9">
        <v>5200</v>
      </c>
    </row>
    <row r="2381" spans="1:4">
      <c r="A2381" t="s">
        <v>34</v>
      </c>
      <c r="B2381" t="s">
        <v>265</v>
      </c>
      <c r="C2381" s="8">
        <v>46244</v>
      </c>
      <c r="D2381" s="9">
        <v>11738</v>
      </c>
    </row>
    <row r="2382" spans="1:4">
      <c r="A2382" t="s">
        <v>29</v>
      </c>
      <c r="B2382" t="s">
        <v>51</v>
      </c>
      <c r="C2382" s="8">
        <v>46244</v>
      </c>
      <c r="D2382" s="9">
        <v>7196</v>
      </c>
    </row>
    <row r="2383" spans="1:4">
      <c r="A2383" t="s">
        <v>7</v>
      </c>
      <c r="B2383" t="s">
        <v>157</v>
      </c>
      <c r="C2383" s="8">
        <v>46244</v>
      </c>
      <c r="D2383" s="9">
        <v>35805</v>
      </c>
    </row>
    <row r="2384" spans="1:4">
      <c r="A2384" t="s">
        <v>7</v>
      </c>
      <c r="B2384" t="s">
        <v>89</v>
      </c>
      <c r="C2384" s="8">
        <v>46244</v>
      </c>
      <c r="D2384" s="9">
        <v>22467</v>
      </c>
    </row>
    <row r="2385" spans="1:4">
      <c r="A2385" t="s">
        <v>9</v>
      </c>
      <c r="B2385" t="s">
        <v>71</v>
      </c>
      <c r="C2385" s="8">
        <v>46244</v>
      </c>
      <c r="D2385" s="9">
        <v>46776</v>
      </c>
    </row>
    <row r="2386" spans="1:4">
      <c r="A2386" t="s">
        <v>5</v>
      </c>
      <c r="B2386" t="s">
        <v>133</v>
      </c>
      <c r="C2386" s="8">
        <v>46244</v>
      </c>
      <c r="D2386" s="9">
        <v>41358</v>
      </c>
    </row>
    <row r="2387" spans="1:4">
      <c r="A2387" t="s">
        <v>5</v>
      </c>
      <c r="B2387" t="s">
        <v>98</v>
      </c>
      <c r="C2387" s="8">
        <v>46244</v>
      </c>
      <c r="D2387" s="9">
        <v>38719</v>
      </c>
    </row>
    <row r="2388" spans="1:4">
      <c r="A2388" t="s">
        <v>5</v>
      </c>
      <c r="B2388" t="s">
        <v>123</v>
      </c>
      <c r="C2388" s="8">
        <v>46244</v>
      </c>
      <c r="D2388" s="9">
        <v>34532</v>
      </c>
    </row>
    <row r="2389" spans="1:4">
      <c r="A2389" t="s">
        <v>27</v>
      </c>
      <c r="B2389" t="s">
        <v>121</v>
      </c>
      <c r="C2389" s="8">
        <v>46245</v>
      </c>
      <c r="D2389" s="9">
        <v>10903</v>
      </c>
    </row>
    <row r="2390" spans="1:4">
      <c r="A2390" t="s">
        <v>4</v>
      </c>
      <c r="B2390" t="s">
        <v>133</v>
      </c>
      <c r="C2390" s="8">
        <v>46245</v>
      </c>
      <c r="D2390" s="9">
        <v>45533</v>
      </c>
    </row>
    <row r="2391" spans="1:4">
      <c r="A2391" t="s">
        <v>28</v>
      </c>
      <c r="B2391" t="s">
        <v>118</v>
      </c>
      <c r="C2391" s="8">
        <v>46245</v>
      </c>
      <c r="D2391" s="9">
        <v>11312</v>
      </c>
    </row>
    <row r="2392" spans="1:4">
      <c r="A2392" t="s">
        <v>28</v>
      </c>
      <c r="B2392" t="s">
        <v>255</v>
      </c>
      <c r="C2392" s="8">
        <v>46245</v>
      </c>
      <c r="D2392" s="9">
        <v>9648</v>
      </c>
    </row>
    <row r="2393" spans="1:4">
      <c r="A2393" t="s">
        <v>26</v>
      </c>
      <c r="B2393" t="s">
        <v>216</v>
      </c>
      <c r="C2393" s="8">
        <v>46245</v>
      </c>
      <c r="D2393" s="9">
        <v>12502</v>
      </c>
    </row>
    <row r="2394" spans="1:4">
      <c r="A2394" t="s">
        <v>26</v>
      </c>
      <c r="B2394" t="s">
        <v>236</v>
      </c>
      <c r="C2394" s="8">
        <v>46245</v>
      </c>
      <c r="D2394" s="9">
        <v>12012</v>
      </c>
    </row>
    <row r="2395" spans="1:4">
      <c r="A2395" t="s">
        <v>6</v>
      </c>
      <c r="B2395" t="s">
        <v>231</v>
      </c>
      <c r="C2395" s="8">
        <v>46245</v>
      </c>
      <c r="D2395" s="9">
        <v>13422</v>
      </c>
    </row>
    <row r="2396" spans="1:4">
      <c r="A2396" t="s">
        <v>7</v>
      </c>
      <c r="B2396" t="s">
        <v>122</v>
      </c>
      <c r="C2396" s="8">
        <v>46245</v>
      </c>
      <c r="D2396" s="9">
        <v>5200</v>
      </c>
    </row>
    <row r="2397" spans="1:4">
      <c r="A2397" t="s">
        <v>9</v>
      </c>
      <c r="B2397" t="s">
        <v>106</v>
      </c>
      <c r="C2397" s="8">
        <v>46245</v>
      </c>
      <c r="D2397" s="9">
        <v>43700</v>
      </c>
    </row>
    <row r="2398" spans="1:4">
      <c r="A2398" t="s">
        <v>9</v>
      </c>
      <c r="B2398" t="s">
        <v>113</v>
      </c>
      <c r="C2398" s="8">
        <v>46245</v>
      </c>
      <c r="D2398" s="9">
        <v>36853</v>
      </c>
    </row>
    <row r="2399" spans="1:4">
      <c r="A2399" t="s">
        <v>9</v>
      </c>
      <c r="B2399" t="s">
        <v>171</v>
      </c>
      <c r="C2399" s="8">
        <v>46245</v>
      </c>
      <c r="D2399" s="9">
        <v>40252</v>
      </c>
    </row>
    <row r="2400" spans="1:4">
      <c r="A2400" t="s">
        <v>9</v>
      </c>
      <c r="B2400" t="s">
        <v>158</v>
      </c>
      <c r="C2400" s="8">
        <v>46245</v>
      </c>
      <c r="D2400" s="9">
        <v>45582</v>
      </c>
    </row>
    <row r="2401" spans="1:4">
      <c r="A2401" t="s">
        <v>5</v>
      </c>
      <c r="B2401" t="s">
        <v>106</v>
      </c>
      <c r="C2401" s="8">
        <v>46245</v>
      </c>
      <c r="D2401" s="9">
        <v>29261</v>
      </c>
    </row>
    <row r="2402" spans="1:4">
      <c r="A2402" t="s">
        <v>5</v>
      </c>
      <c r="B2402" t="s">
        <v>73</v>
      </c>
      <c r="C2402" s="8">
        <v>46245</v>
      </c>
      <c r="D2402" s="9">
        <v>37511</v>
      </c>
    </row>
    <row r="2403" spans="1:4">
      <c r="A2403" t="s">
        <v>5</v>
      </c>
      <c r="B2403" t="s">
        <v>183</v>
      </c>
      <c r="C2403" s="8">
        <v>46245</v>
      </c>
      <c r="D2403" s="9">
        <v>54668</v>
      </c>
    </row>
    <row r="2404" spans="1:4">
      <c r="A2404" t="s">
        <v>27</v>
      </c>
      <c r="B2404" t="s">
        <v>184</v>
      </c>
      <c r="C2404" s="8">
        <v>46246</v>
      </c>
      <c r="D2404" s="9">
        <v>5200</v>
      </c>
    </row>
    <row r="2405" spans="1:4">
      <c r="A2405" t="s">
        <v>27</v>
      </c>
      <c r="B2405" t="s">
        <v>213</v>
      </c>
      <c r="C2405" s="8">
        <v>46246</v>
      </c>
      <c r="D2405" s="9">
        <v>12723</v>
      </c>
    </row>
    <row r="2406" spans="1:4">
      <c r="A2406" t="s">
        <v>27</v>
      </c>
      <c r="B2406" t="s">
        <v>173</v>
      </c>
      <c r="C2406" s="8">
        <v>46246</v>
      </c>
      <c r="D2406" s="9">
        <v>5200</v>
      </c>
    </row>
    <row r="2407" spans="1:4">
      <c r="A2407" t="s">
        <v>4</v>
      </c>
      <c r="B2407" t="s">
        <v>181</v>
      </c>
      <c r="C2407" s="8">
        <v>46246</v>
      </c>
      <c r="D2407" s="9">
        <v>29083</v>
      </c>
    </row>
    <row r="2408" spans="1:4">
      <c r="A2408" t="s">
        <v>4</v>
      </c>
      <c r="B2408" t="s">
        <v>136</v>
      </c>
      <c r="C2408" s="8">
        <v>46246</v>
      </c>
      <c r="D2408" s="9">
        <v>10059</v>
      </c>
    </row>
    <row r="2409" spans="1:4">
      <c r="A2409" t="s">
        <v>4</v>
      </c>
      <c r="B2409" t="s">
        <v>60</v>
      </c>
      <c r="C2409" s="8">
        <v>46246</v>
      </c>
      <c r="D2409" s="9">
        <v>26466</v>
      </c>
    </row>
    <row r="2410" spans="1:4">
      <c r="A2410" t="s">
        <v>4</v>
      </c>
      <c r="B2410" t="s">
        <v>222</v>
      </c>
      <c r="C2410" s="8">
        <v>46246</v>
      </c>
      <c r="D2410" s="9">
        <v>35164</v>
      </c>
    </row>
    <row r="2411" spans="1:4">
      <c r="A2411" t="s">
        <v>4</v>
      </c>
      <c r="B2411" t="s">
        <v>50</v>
      </c>
      <c r="C2411" s="8">
        <v>46246</v>
      </c>
      <c r="D2411" s="9">
        <v>24374</v>
      </c>
    </row>
    <row r="2412" spans="1:4">
      <c r="A2412" t="s">
        <v>25</v>
      </c>
      <c r="B2412" t="s">
        <v>117</v>
      </c>
      <c r="C2412" s="8">
        <v>46246</v>
      </c>
      <c r="D2412" s="9">
        <v>14643</v>
      </c>
    </row>
    <row r="2413" spans="1:4">
      <c r="A2413" t="s">
        <v>25</v>
      </c>
      <c r="B2413" t="s">
        <v>267</v>
      </c>
      <c r="C2413" s="8">
        <v>46246</v>
      </c>
      <c r="D2413" s="9">
        <v>15715</v>
      </c>
    </row>
    <row r="2414" spans="1:4">
      <c r="A2414" t="s">
        <v>25</v>
      </c>
      <c r="B2414" t="s">
        <v>59</v>
      </c>
      <c r="C2414" s="8">
        <v>46246</v>
      </c>
      <c r="D2414" s="9">
        <v>12793</v>
      </c>
    </row>
    <row r="2415" spans="1:4">
      <c r="A2415" t="s">
        <v>8</v>
      </c>
      <c r="B2415" t="s">
        <v>246</v>
      </c>
      <c r="C2415" s="8">
        <v>46246</v>
      </c>
      <c r="D2415" s="9">
        <v>15335</v>
      </c>
    </row>
    <row r="2416" spans="1:4">
      <c r="A2416" t="s">
        <v>34</v>
      </c>
      <c r="B2416" t="s">
        <v>169</v>
      </c>
      <c r="C2416" s="8">
        <v>46246</v>
      </c>
      <c r="D2416" s="9">
        <v>11198</v>
      </c>
    </row>
    <row r="2417" spans="1:4">
      <c r="A2417" t="s">
        <v>6</v>
      </c>
      <c r="B2417" t="s">
        <v>263</v>
      </c>
      <c r="C2417" s="8">
        <v>46246</v>
      </c>
      <c r="D2417" s="9">
        <v>14000</v>
      </c>
    </row>
    <row r="2418" spans="1:4">
      <c r="A2418" t="s">
        <v>9</v>
      </c>
      <c r="B2418" t="s">
        <v>276</v>
      </c>
      <c r="C2418" s="8">
        <v>46246</v>
      </c>
      <c r="D2418" s="9">
        <v>28336</v>
      </c>
    </row>
    <row r="2419" spans="1:4">
      <c r="A2419" t="s">
        <v>9</v>
      </c>
      <c r="B2419" t="s">
        <v>176</v>
      </c>
      <c r="C2419" s="8">
        <v>46246</v>
      </c>
      <c r="D2419" s="9">
        <v>35399</v>
      </c>
    </row>
    <row r="2420" spans="1:4">
      <c r="A2420" t="s">
        <v>9</v>
      </c>
      <c r="B2420" t="s">
        <v>220</v>
      </c>
      <c r="C2420" s="8">
        <v>46246</v>
      </c>
      <c r="D2420" s="9">
        <v>48530</v>
      </c>
    </row>
    <row r="2421" spans="1:4">
      <c r="A2421" t="s">
        <v>5</v>
      </c>
      <c r="B2421" t="s">
        <v>188</v>
      </c>
      <c r="C2421" s="8">
        <v>46246</v>
      </c>
      <c r="D2421" s="9">
        <v>24164</v>
      </c>
    </row>
    <row r="2422" spans="1:4">
      <c r="A2422" t="s">
        <v>5</v>
      </c>
      <c r="B2422" t="s">
        <v>98</v>
      </c>
      <c r="C2422" s="8">
        <v>46246</v>
      </c>
      <c r="D2422" s="9">
        <v>39580</v>
      </c>
    </row>
    <row r="2423" spans="1:4">
      <c r="A2423" t="s">
        <v>5</v>
      </c>
      <c r="B2423" t="s">
        <v>107</v>
      </c>
      <c r="C2423" s="8">
        <v>46246</v>
      </c>
      <c r="D2423" s="9">
        <v>55753</v>
      </c>
    </row>
    <row r="2424" spans="1:4">
      <c r="A2424" t="s">
        <v>5</v>
      </c>
      <c r="B2424" t="s">
        <v>107</v>
      </c>
      <c r="C2424" s="8">
        <v>46246</v>
      </c>
      <c r="D2424" s="9">
        <v>38845</v>
      </c>
    </row>
    <row r="2425" spans="1:4">
      <c r="A2425" t="s">
        <v>5</v>
      </c>
      <c r="B2425" t="s">
        <v>134</v>
      </c>
      <c r="C2425" s="8">
        <v>46246</v>
      </c>
      <c r="D2425" s="9">
        <v>29578</v>
      </c>
    </row>
    <row r="2426" spans="1:4">
      <c r="A2426" t="s">
        <v>5</v>
      </c>
      <c r="B2426" t="s">
        <v>189</v>
      </c>
      <c r="C2426" s="8">
        <v>46246</v>
      </c>
      <c r="D2426" s="9">
        <v>40230</v>
      </c>
    </row>
    <row r="2427" spans="1:4">
      <c r="A2427" t="s">
        <v>4</v>
      </c>
      <c r="B2427" t="s">
        <v>180</v>
      </c>
      <c r="C2427" s="8">
        <v>46247</v>
      </c>
      <c r="D2427" s="9">
        <v>30862</v>
      </c>
    </row>
    <row r="2428" spans="1:4">
      <c r="A2428" t="s">
        <v>31</v>
      </c>
      <c r="B2428" t="s">
        <v>68</v>
      </c>
      <c r="C2428" s="8">
        <v>46247</v>
      </c>
      <c r="D2428" s="9">
        <v>23365</v>
      </c>
    </row>
    <row r="2429" spans="1:4">
      <c r="A2429" t="s">
        <v>8</v>
      </c>
      <c r="B2429" t="s">
        <v>140</v>
      </c>
      <c r="C2429" s="8">
        <v>46247</v>
      </c>
      <c r="D2429" s="9">
        <v>15196</v>
      </c>
    </row>
    <row r="2430" spans="1:4">
      <c r="A2430" t="s">
        <v>32</v>
      </c>
      <c r="B2430" t="s">
        <v>87</v>
      </c>
      <c r="C2430" s="8">
        <v>46247</v>
      </c>
      <c r="D2430" s="9">
        <v>10226</v>
      </c>
    </row>
    <row r="2431" spans="1:4">
      <c r="A2431" t="s">
        <v>7</v>
      </c>
      <c r="B2431" t="s">
        <v>266</v>
      </c>
      <c r="C2431" s="8">
        <v>46247</v>
      </c>
      <c r="D2431" s="9">
        <v>21050</v>
      </c>
    </row>
    <row r="2432" spans="1:4">
      <c r="A2432" t="s">
        <v>9</v>
      </c>
      <c r="B2432" t="s">
        <v>203</v>
      </c>
      <c r="C2432" s="8">
        <v>46247</v>
      </c>
      <c r="D2432" s="9">
        <v>30638</v>
      </c>
    </row>
    <row r="2433" spans="1:4">
      <c r="A2433" t="s">
        <v>5</v>
      </c>
      <c r="B2433" t="s">
        <v>114</v>
      </c>
      <c r="C2433" s="8">
        <v>46247</v>
      </c>
      <c r="D2433" s="9">
        <v>32709</v>
      </c>
    </row>
    <row r="2434" spans="1:4">
      <c r="A2434" t="s">
        <v>5</v>
      </c>
      <c r="B2434" t="s">
        <v>107</v>
      </c>
      <c r="C2434" s="8">
        <v>46247</v>
      </c>
      <c r="D2434" s="9">
        <v>41251</v>
      </c>
    </row>
    <row r="2435" spans="1:4">
      <c r="A2435" t="s">
        <v>5</v>
      </c>
      <c r="B2435" t="s">
        <v>58</v>
      </c>
      <c r="C2435" s="8">
        <v>46247</v>
      </c>
      <c r="D2435" s="9">
        <v>45034</v>
      </c>
    </row>
    <row r="2436" spans="1:4">
      <c r="A2436" t="s">
        <v>5</v>
      </c>
      <c r="B2436" t="s">
        <v>100</v>
      </c>
      <c r="C2436" s="8">
        <v>46247</v>
      </c>
      <c r="D2436" s="9">
        <v>49846</v>
      </c>
    </row>
    <row r="2437" spans="1:4">
      <c r="A2437" t="s">
        <v>27</v>
      </c>
      <c r="B2437" t="s">
        <v>125</v>
      </c>
      <c r="C2437" s="8">
        <v>46248</v>
      </c>
      <c r="D2437" s="9">
        <v>10986</v>
      </c>
    </row>
    <row r="2438" spans="1:4">
      <c r="A2438" t="s">
        <v>30</v>
      </c>
      <c r="B2438" t="s">
        <v>206</v>
      </c>
      <c r="C2438" s="8">
        <v>46248</v>
      </c>
      <c r="D2438" s="9">
        <v>9953</v>
      </c>
    </row>
    <row r="2439" spans="1:4">
      <c r="A2439" t="s">
        <v>33</v>
      </c>
      <c r="B2439" t="s">
        <v>248</v>
      </c>
      <c r="C2439" s="8">
        <v>46248</v>
      </c>
      <c r="D2439" s="9">
        <v>15487</v>
      </c>
    </row>
    <row r="2440" spans="1:4">
      <c r="A2440" t="s">
        <v>9</v>
      </c>
      <c r="B2440" t="s">
        <v>179</v>
      </c>
      <c r="C2440" s="8">
        <v>46248</v>
      </c>
      <c r="D2440" s="9">
        <v>40895</v>
      </c>
    </row>
    <row r="2441" spans="1:4">
      <c r="A2441" t="s">
        <v>5</v>
      </c>
      <c r="B2441" t="s">
        <v>182</v>
      </c>
      <c r="C2441" s="8">
        <v>46248</v>
      </c>
      <c r="D2441" s="9">
        <v>40911</v>
      </c>
    </row>
    <row r="2442" spans="1:4">
      <c r="A2442" t="s">
        <v>5</v>
      </c>
      <c r="B2442" t="s">
        <v>53</v>
      </c>
      <c r="C2442" s="8">
        <v>46248</v>
      </c>
      <c r="D2442" s="9">
        <v>29330</v>
      </c>
    </row>
    <row r="2443" spans="1:4">
      <c r="A2443" t="s">
        <v>5</v>
      </c>
      <c r="B2443" t="s">
        <v>84</v>
      </c>
      <c r="C2443" s="8">
        <v>46248</v>
      </c>
      <c r="D2443" s="9">
        <v>42912</v>
      </c>
    </row>
    <row r="2444" spans="1:4">
      <c r="A2444" t="s">
        <v>5</v>
      </c>
      <c r="B2444" t="s">
        <v>210</v>
      </c>
      <c r="C2444" s="8">
        <v>46248</v>
      </c>
      <c r="D2444" s="9">
        <v>38808</v>
      </c>
    </row>
    <row r="2445" spans="1:4">
      <c r="A2445" t="s">
        <v>5</v>
      </c>
      <c r="B2445" t="s">
        <v>101</v>
      </c>
      <c r="C2445" s="8">
        <v>46248</v>
      </c>
      <c r="D2445" s="9">
        <v>34652</v>
      </c>
    </row>
    <row r="2446" spans="1:4">
      <c r="A2446" t="s">
        <v>5</v>
      </c>
      <c r="B2446" t="s">
        <v>212</v>
      </c>
      <c r="C2446" s="8">
        <v>46248</v>
      </c>
      <c r="D2446" s="9">
        <v>25065</v>
      </c>
    </row>
    <row r="2447" spans="1:4">
      <c r="A2447" t="s">
        <v>27</v>
      </c>
      <c r="B2447" t="s">
        <v>135</v>
      </c>
      <c r="C2447" s="8">
        <v>46249</v>
      </c>
      <c r="D2447" s="9">
        <v>13276</v>
      </c>
    </row>
    <row r="2448" spans="1:4">
      <c r="A2448" t="s">
        <v>4</v>
      </c>
      <c r="B2448" t="s">
        <v>150</v>
      </c>
      <c r="C2448" s="8">
        <v>46249</v>
      </c>
      <c r="D2448" s="9">
        <v>37546</v>
      </c>
    </row>
    <row r="2449" spans="1:4">
      <c r="A2449" t="s">
        <v>4</v>
      </c>
      <c r="B2449" t="s">
        <v>92</v>
      </c>
      <c r="C2449" s="8">
        <v>46249</v>
      </c>
      <c r="D2449" s="9">
        <v>50142</v>
      </c>
    </row>
    <row r="2450" spans="1:4">
      <c r="A2450" t="s">
        <v>26</v>
      </c>
      <c r="B2450" t="s">
        <v>205</v>
      </c>
      <c r="C2450" s="8">
        <v>46249</v>
      </c>
      <c r="D2450" s="9">
        <v>11562</v>
      </c>
    </row>
    <row r="2451" spans="1:4">
      <c r="A2451" t="s">
        <v>6</v>
      </c>
      <c r="B2451" t="s">
        <v>197</v>
      </c>
      <c r="C2451" s="8">
        <v>46249</v>
      </c>
      <c r="D2451" s="9">
        <v>26045</v>
      </c>
    </row>
    <row r="2452" spans="1:4">
      <c r="A2452" t="s">
        <v>7</v>
      </c>
      <c r="B2452" t="s">
        <v>156</v>
      </c>
      <c r="C2452" s="8">
        <v>46249</v>
      </c>
      <c r="D2452" s="9">
        <v>28266</v>
      </c>
    </row>
    <row r="2453" spans="1:4">
      <c r="A2453" t="s">
        <v>7</v>
      </c>
      <c r="B2453" t="s">
        <v>194</v>
      </c>
      <c r="C2453" s="8">
        <v>46249</v>
      </c>
      <c r="D2453" s="9">
        <v>22622</v>
      </c>
    </row>
    <row r="2454" spans="1:4">
      <c r="A2454" t="s">
        <v>7</v>
      </c>
      <c r="B2454" t="s">
        <v>238</v>
      </c>
      <c r="C2454" s="8">
        <v>46249</v>
      </c>
      <c r="D2454" s="9">
        <v>20337</v>
      </c>
    </row>
    <row r="2455" spans="1:4">
      <c r="A2455" t="s">
        <v>9</v>
      </c>
      <c r="B2455" t="s">
        <v>178</v>
      </c>
      <c r="C2455" s="8">
        <v>46249</v>
      </c>
      <c r="D2455" s="9">
        <v>48874</v>
      </c>
    </row>
    <row r="2456" spans="1:4">
      <c r="A2456" t="s">
        <v>9</v>
      </c>
      <c r="B2456" t="s">
        <v>70</v>
      </c>
      <c r="C2456" s="8">
        <v>46249</v>
      </c>
      <c r="D2456" s="9">
        <v>32408</v>
      </c>
    </row>
    <row r="2457" spans="1:4">
      <c r="A2457" t="s">
        <v>5</v>
      </c>
      <c r="B2457" t="s">
        <v>115</v>
      </c>
      <c r="C2457" s="8">
        <v>46249</v>
      </c>
      <c r="D2457" s="9">
        <v>35922</v>
      </c>
    </row>
    <row r="2458" spans="1:4">
      <c r="A2458" t="s">
        <v>27</v>
      </c>
      <c r="B2458" t="s">
        <v>196</v>
      </c>
      <c r="C2458" s="8">
        <v>46250</v>
      </c>
      <c r="D2458" s="9">
        <v>15137</v>
      </c>
    </row>
    <row r="2459" spans="1:4">
      <c r="A2459" t="s">
        <v>25</v>
      </c>
      <c r="B2459" t="s">
        <v>272</v>
      </c>
      <c r="C2459" s="8">
        <v>46250</v>
      </c>
      <c r="D2459" s="9">
        <v>12843</v>
      </c>
    </row>
    <row r="2460" spans="1:4">
      <c r="A2460" t="s">
        <v>26</v>
      </c>
      <c r="B2460" t="s">
        <v>95</v>
      </c>
      <c r="C2460" s="8">
        <v>46250</v>
      </c>
      <c r="D2460" s="9">
        <v>10815</v>
      </c>
    </row>
    <row r="2461" spans="1:4">
      <c r="A2461" t="s">
        <v>30</v>
      </c>
      <c r="B2461" t="s">
        <v>63</v>
      </c>
      <c r="C2461" s="8">
        <v>46250</v>
      </c>
      <c r="D2461" s="9">
        <v>11936</v>
      </c>
    </row>
    <row r="2462" spans="1:4">
      <c r="A2462" t="s">
        <v>6</v>
      </c>
      <c r="B2462" t="s">
        <v>262</v>
      </c>
      <c r="C2462" s="8">
        <v>46250</v>
      </c>
      <c r="D2462" s="9">
        <v>16715</v>
      </c>
    </row>
    <row r="2463" spans="1:4">
      <c r="A2463" t="s">
        <v>7</v>
      </c>
      <c r="B2463" t="s">
        <v>233</v>
      </c>
      <c r="C2463" s="8">
        <v>46250</v>
      </c>
      <c r="D2463" s="9">
        <v>20425</v>
      </c>
    </row>
    <row r="2464" spans="1:4">
      <c r="A2464" t="s">
        <v>5</v>
      </c>
      <c r="B2464" t="s">
        <v>54</v>
      </c>
      <c r="C2464" s="8">
        <v>46250</v>
      </c>
      <c r="D2464" s="9">
        <v>43760</v>
      </c>
    </row>
    <row r="2465" spans="1:4">
      <c r="A2465" t="s">
        <v>4</v>
      </c>
      <c r="B2465" t="s">
        <v>227</v>
      </c>
      <c r="C2465" s="8">
        <v>46251</v>
      </c>
      <c r="D2465" s="9">
        <v>5200</v>
      </c>
    </row>
    <row r="2466" spans="1:4">
      <c r="A2466" t="s">
        <v>28</v>
      </c>
      <c r="B2466" t="s">
        <v>279</v>
      </c>
      <c r="C2466" s="8">
        <v>46251</v>
      </c>
      <c r="D2466" s="9">
        <v>9411</v>
      </c>
    </row>
    <row r="2467" spans="1:4">
      <c r="A2467" t="s">
        <v>26</v>
      </c>
      <c r="B2467" t="s">
        <v>280</v>
      </c>
      <c r="C2467" s="8">
        <v>46251</v>
      </c>
      <c r="D2467" s="9">
        <v>14206</v>
      </c>
    </row>
    <row r="2468" spans="1:4">
      <c r="A2468" t="s">
        <v>30</v>
      </c>
      <c r="B2468" t="s">
        <v>162</v>
      </c>
      <c r="C2468" s="8">
        <v>46251</v>
      </c>
      <c r="D2468" s="9">
        <v>11545</v>
      </c>
    </row>
    <row r="2469" spans="1:4">
      <c r="A2469" t="s">
        <v>32</v>
      </c>
      <c r="B2469" t="s">
        <v>230</v>
      </c>
      <c r="C2469" s="8">
        <v>46251</v>
      </c>
      <c r="D2469" s="9">
        <v>11654</v>
      </c>
    </row>
    <row r="2470" spans="1:4">
      <c r="A2470" t="s">
        <v>33</v>
      </c>
      <c r="B2470" t="s">
        <v>268</v>
      </c>
      <c r="C2470" s="8">
        <v>46251</v>
      </c>
      <c r="D2470" s="9">
        <v>6181</v>
      </c>
    </row>
    <row r="2471" spans="1:4">
      <c r="A2471" t="s">
        <v>9</v>
      </c>
      <c r="B2471" t="s">
        <v>96</v>
      </c>
      <c r="C2471" s="8">
        <v>46251</v>
      </c>
      <c r="D2471" s="9">
        <v>35379</v>
      </c>
    </row>
    <row r="2472" spans="1:4">
      <c r="A2472" t="s">
        <v>5</v>
      </c>
      <c r="B2472" t="s">
        <v>239</v>
      </c>
      <c r="C2472" s="8">
        <v>46251</v>
      </c>
      <c r="D2472" s="9">
        <v>36176</v>
      </c>
    </row>
    <row r="2473" spans="1:4">
      <c r="A2473" t="s">
        <v>5</v>
      </c>
      <c r="B2473" t="s">
        <v>99</v>
      </c>
      <c r="C2473" s="8">
        <v>46251</v>
      </c>
      <c r="D2473" s="9">
        <v>29667</v>
      </c>
    </row>
    <row r="2474" spans="1:4">
      <c r="A2474" t="s">
        <v>25</v>
      </c>
      <c r="B2474" t="s">
        <v>228</v>
      </c>
      <c r="C2474" s="8">
        <v>46252</v>
      </c>
      <c r="D2474" s="9">
        <v>12816</v>
      </c>
    </row>
    <row r="2475" spans="1:4">
      <c r="A2475" t="s">
        <v>36</v>
      </c>
      <c r="B2475" t="s">
        <v>229</v>
      </c>
      <c r="C2475" s="8">
        <v>46252</v>
      </c>
      <c r="D2475" s="9">
        <v>11291</v>
      </c>
    </row>
    <row r="2476" spans="1:4">
      <c r="A2476" t="s">
        <v>26</v>
      </c>
      <c r="B2476" t="s">
        <v>138</v>
      </c>
      <c r="C2476" s="8">
        <v>46252</v>
      </c>
      <c r="D2476" s="9">
        <v>12728</v>
      </c>
    </row>
    <row r="2477" spans="1:4">
      <c r="A2477" t="s">
        <v>7</v>
      </c>
      <c r="B2477" t="s">
        <v>249</v>
      </c>
      <c r="C2477" s="8">
        <v>46252</v>
      </c>
      <c r="D2477" s="9">
        <v>21762</v>
      </c>
    </row>
    <row r="2478" spans="1:4">
      <c r="A2478" t="s">
        <v>9</v>
      </c>
      <c r="B2478" t="s">
        <v>203</v>
      </c>
      <c r="C2478" s="8">
        <v>46252</v>
      </c>
      <c r="D2478" s="9">
        <v>29192</v>
      </c>
    </row>
    <row r="2479" spans="1:4">
      <c r="A2479" t="s">
        <v>9</v>
      </c>
      <c r="B2479" t="s">
        <v>91</v>
      </c>
      <c r="C2479" s="8">
        <v>46252</v>
      </c>
      <c r="D2479" s="9">
        <v>32700</v>
      </c>
    </row>
    <row r="2480" spans="1:4">
      <c r="A2480" t="s">
        <v>9</v>
      </c>
      <c r="B2480" t="s">
        <v>264</v>
      </c>
      <c r="C2480" s="8">
        <v>46252</v>
      </c>
      <c r="D2480" s="9">
        <v>33547</v>
      </c>
    </row>
    <row r="2481" spans="1:4">
      <c r="A2481" t="s">
        <v>5</v>
      </c>
      <c r="B2481" t="s">
        <v>133</v>
      </c>
      <c r="C2481" s="8">
        <v>46252</v>
      </c>
      <c r="D2481" s="9">
        <v>42612</v>
      </c>
    </row>
    <row r="2482" spans="1:4">
      <c r="A2482" t="s">
        <v>5</v>
      </c>
      <c r="B2482" t="s">
        <v>97</v>
      </c>
      <c r="C2482" s="8">
        <v>46252</v>
      </c>
      <c r="D2482" s="9">
        <v>49969</v>
      </c>
    </row>
    <row r="2483" spans="1:4">
      <c r="A2483" t="s">
        <v>5</v>
      </c>
      <c r="B2483" t="s">
        <v>270</v>
      </c>
      <c r="C2483" s="8">
        <v>46252</v>
      </c>
      <c r="D2483" s="9">
        <v>32375</v>
      </c>
    </row>
    <row r="2484" spans="1:4">
      <c r="A2484" t="s">
        <v>5</v>
      </c>
      <c r="B2484" t="s">
        <v>204</v>
      </c>
      <c r="C2484" s="8">
        <v>46252</v>
      </c>
      <c r="D2484" s="9">
        <v>42680</v>
      </c>
    </row>
    <row r="2485" spans="1:4">
      <c r="A2485" t="s">
        <v>5</v>
      </c>
      <c r="B2485" t="s">
        <v>204</v>
      </c>
      <c r="C2485" s="8">
        <v>46252</v>
      </c>
      <c r="D2485" s="9">
        <v>35752</v>
      </c>
    </row>
    <row r="2486" spans="1:4">
      <c r="A2486" t="s">
        <v>31</v>
      </c>
      <c r="B2486" t="s">
        <v>152</v>
      </c>
      <c r="C2486" s="8">
        <v>46253</v>
      </c>
      <c r="D2486" s="9">
        <v>11510</v>
      </c>
    </row>
    <row r="2487" spans="1:4">
      <c r="A2487" t="s">
        <v>30</v>
      </c>
      <c r="B2487" t="s">
        <v>139</v>
      </c>
      <c r="C2487" s="8">
        <v>46253</v>
      </c>
      <c r="D2487" s="9">
        <v>13919</v>
      </c>
    </row>
    <row r="2488" spans="1:4">
      <c r="A2488" t="s">
        <v>8</v>
      </c>
      <c r="B2488" t="s">
        <v>273</v>
      </c>
      <c r="C2488" s="8">
        <v>46253</v>
      </c>
      <c r="D2488" s="9">
        <v>16135</v>
      </c>
    </row>
    <row r="2489" spans="1:4">
      <c r="A2489" t="s">
        <v>8</v>
      </c>
      <c r="B2489" t="s">
        <v>281</v>
      </c>
      <c r="C2489" s="8">
        <v>46253</v>
      </c>
      <c r="D2489" s="9">
        <v>12460</v>
      </c>
    </row>
    <row r="2490" spans="1:4">
      <c r="A2490" t="s">
        <v>6</v>
      </c>
      <c r="B2490" t="s">
        <v>88</v>
      </c>
      <c r="C2490" s="8">
        <v>46253</v>
      </c>
      <c r="D2490" s="9">
        <v>17820</v>
      </c>
    </row>
    <row r="2491" spans="1:4">
      <c r="A2491" t="s">
        <v>5</v>
      </c>
      <c r="B2491" t="s">
        <v>167</v>
      </c>
      <c r="C2491" s="8">
        <v>46253</v>
      </c>
      <c r="D2491" s="9">
        <v>38521</v>
      </c>
    </row>
    <row r="2492" spans="1:4">
      <c r="A2492" t="s">
        <v>5</v>
      </c>
      <c r="B2492" t="s">
        <v>97</v>
      </c>
      <c r="C2492" s="8">
        <v>46253</v>
      </c>
      <c r="D2492" s="9">
        <v>46321</v>
      </c>
    </row>
    <row r="2493" spans="1:4">
      <c r="A2493" t="s">
        <v>5</v>
      </c>
      <c r="B2493" t="s">
        <v>124</v>
      </c>
      <c r="C2493" s="8">
        <v>46253</v>
      </c>
      <c r="D2493" s="9">
        <v>29663</v>
      </c>
    </row>
    <row r="2494" spans="1:4">
      <c r="A2494" t="s">
        <v>8</v>
      </c>
      <c r="B2494" t="s">
        <v>129</v>
      </c>
      <c r="C2494" s="8">
        <v>46254</v>
      </c>
      <c r="D2494" s="9">
        <v>18761</v>
      </c>
    </row>
    <row r="2495" spans="1:4">
      <c r="A2495" t="s">
        <v>8</v>
      </c>
      <c r="B2495" t="s">
        <v>52</v>
      </c>
      <c r="C2495" s="8">
        <v>46254</v>
      </c>
      <c r="D2495" s="9">
        <v>15096</v>
      </c>
    </row>
    <row r="2496" spans="1:4">
      <c r="A2496" t="s">
        <v>32</v>
      </c>
      <c r="B2496" t="s">
        <v>282</v>
      </c>
      <c r="C2496" s="8">
        <v>46254</v>
      </c>
      <c r="D2496" s="9">
        <v>13142</v>
      </c>
    </row>
    <row r="2497" spans="1:4">
      <c r="A2497" t="s">
        <v>6</v>
      </c>
      <c r="B2497" t="s">
        <v>103</v>
      </c>
      <c r="C2497" s="8">
        <v>46254</v>
      </c>
      <c r="D2497" s="9">
        <v>14245</v>
      </c>
    </row>
    <row r="2498" spans="1:4">
      <c r="A2498" t="s">
        <v>7</v>
      </c>
      <c r="B2498" t="s">
        <v>142</v>
      </c>
      <c r="C2498" s="8">
        <v>46254</v>
      </c>
      <c r="D2498" s="9">
        <v>8990</v>
      </c>
    </row>
    <row r="2499" spans="1:4">
      <c r="A2499" t="s">
        <v>7</v>
      </c>
      <c r="B2499" t="s">
        <v>65</v>
      </c>
      <c r="C2499" s="8">
        <v>46254</v>
      </c>
      <c r="D2499" s="9">
        <v>45130</v>
      </c>
    </row>
    <row r="2500" spans="1:4">
      <c r="A2500" t="s">
        <v>9</v>
      </c>
      <c r="B2500" t="s">
        <v>269</v>
      </c>
      <c r="C2500" s="8">
        <v>46254</v>
      </c>
      <c r="D2500" s="9">
        <v>39941</v>
      </c>
    </row>
    <row r="2501" spans="1:4">
      <c r="A2501" t="s">
        <v>5</v>
      </c>
      <c r="B2501" t="s">
        <v>251</v>
      </c>
      <c r="C2501" s="8">
        <v>46254</v>
      </c>
      <c r="D2501" s="9">
        <v>50495</v>
      </c>
    </row>
    <row r="2502" spans="1:4">
      <c r="A2502" t="s">
        <v>5</v>
      </c>
      <c r="B2502" t="s">
        <v>84</v>
      </c>
      <c r="C2502" s="8">
        <v>46254</v>
      </c>
      <c r="D2502" s="9">
        <v>39293</v>
      </c>
    </row>
    <row r="2503" spans="1:4">
      <c r="A2503" t="s">
        <v>5</v>
      </c>
      <c r="B2503" t="s">
        <v>73</v>
      </c>
      <c r="C2503" s="8">
        <v>46254</v>
      </c>
      <c r="D2503" s="9">
        <v>34978</v>
      </c>
    </row>
    <row r="2504" spans="1:4">
      <c r="A2504" t="s">
        <v>5</v>
      </c>
      <c r="B2504" t="s">
        <v>159</v>
      </c>
      <c r="C2504" s="8">
        <v>46254</v>
      </c>
      <c r="D2504" s="9">
        <v>45493</v>
      </c>
    </row>
    <row r="2505" spans="1:4">
      <c r="A2505" t="s">
        <v>5</v>
      </c>
      <c r="B2505" t="s">
        <v>172</v>
      </c>
      <c r="C2505" s="8">
        <v>46254</v>
      </c>
      <c r="D2505" s="9">
        <v>30749</v>
      </c>
    </row>
    <row r="2506" spans="1:4">
      <c r="A2506" t="s">
        <v>5</v>
      </c>
      <c r="B2506" t="s">
        <v>108</v>
      </c>
      <c r="C2506" s="8">
        <v>46254</v>
      </c>
      <c r="D2506" s="9">
        <v>40315</v>
      </c>
    </row>
    <row r="2507" spans="1:4">
      <c r="A2507" t="s">
        <v>5</v>
      </c>
      <c r="B2507" t="s">
        <v>109</v>
      </c>
      <c r="C2507" s="8">
        <v>46254</v>
      </c>
      <c r="D2507" s="9">
        <v>53801</v>
      </c>
    </row>
    <row r="2508" spans="1:4">
      <c r="A2508" t="s">
        <v>6</v>
      </c>
      <c r="B2508" t="s">
        <v>131</v>
      </c>
      <c r="C2508" s="8">
        <v>46255</v>
      </c>
      <c r="D2508" s="9">
        <v>18215</v>
      </c>
    </row>
    <row r="2509" spans="1:4">
      <c r="A2509" t="s">
        <v>9</v>
      </c>
      <c r="B2509" t="s">
        <v>283</v>
      </c>
      <c r="C2509" s="8">
        <v>46255</v>
      </c>
      <c r="D2509" s="9">
        <v>39221</v>
      </c>
    </row>
    <row r="2510" spans="1:4">
      <c r="A2510" t="s">
        <v>9</v>
      </c>
      <c r="B2510" t="s">
        <v>164</v>
      </c>
      <c r="C2510" s="8">
        <v>46255</v>
      </c>
      <c r="D2510" s="9">
        <v>43776</v>
      </c>
    </row>
    <row r="2511" spans="1:4">
      <c r="A2511" t="s">
        <v>9</v>
      </c>
      <c r="B2511" t="s">
        <v>70</v>
      </c>
      <c r="C2511" s="8">
        <v>46255</v>
      </c>
      <c r="D2511" s="9">
        <v>22311</v>
      </c>
    </row>
    <row r="2512" spans="1:4">
      <c r="A2512" t="s">
        <v>5</v>
      </c>
      <c r="B2512" t="s">
        <v>72</v>
      </c>
      <c r="C2512" s="8">
        <v>46255</v>
      </c>
      <c r="D2512" s="9">
        <v>40339</v>
      </c>
    </row>
    <row r="2513" spans="1:4">
      <c r="A2513" t="s">
        <v>5</v>
      </c>
      <c r="B2513" t="s">
        <v>209</v>
      </c>
      <c r="C2513" s="8">
        <v>46255</v>
      </c>
      <c r="D2513" s="9">
        <v>44391</v>
      </c>
    </row>
    <row r="2514" spans="1:4">
      <c r="A2514" t="s">
        <v>5</v>
      </c>
      <c r="B2514" t="s">
        <v>53</v>
      </c>
      <c r="C2514" s="8">
        <v>46255</v>
      </c>
      <c r="D2514" s="9">
        <v>36955</v>
      </c>
    </row>
    <row r="2515" spans="1:4">
      <c r="A2515" t="s">
        <v>5</v>
      </c>
      <c r="B2515" t="s">
        <v>92</v>
      </c>
      <c r="C2515" s="8">
        <v>46255</v>
      </c>
      <c r="D2515" s="9">
        <v>35036</v>
      </c>
    </row>
    <row r="2516" spans="1:4">
      <c r="A2516" t="s">
        <v>5</v>
      </c>
      <c r="B2516" t="s">
        <v>172</v>
      </c>
      <c r="C2516" s="8">
        <v>46255</v>
      </c>
      <c r="D2516" s="9">
        <v>34107</v>
      </c>
    </row>
    <row r="2517" spans="1:4">
      <c r="A2517" t="s">
        <v>5</v>
      </c>
      <c r="B2517" t="s">
        <v>204</v>
      </c>
      <c r="C2517" s="8">
        <v>46255</v>
      </c>
      <c r="D2517" s="9">
        <v>45616</v>
      </c>
    </row>
    <row r="2518" spans="1:4">
      <c r="A2518" t="s">
        <v>4</v>
      </c>
      <c r="B2518" t="s">
        <v>254</v>
      </c>
      <c r="C2518" s="8">
        <v>46256</v>
      </c>
      <c r="D2518" s="9">
        <v>28631</v>
      </c>
    </row>
    <row r="2519" spans="1:4">
      <c r="A2519" t="s">
        <v>30</v>
      </c>
      <c r="B2519" t="s">
        <v>224</v>
      </c>
      <c r="C2519" s="8">
        <v>46256</v>
      </c>
      <c r="D2519" s="9">
        <v>12669</v>
      </c>
    </row>
    <row r="2520" spans="1:4">
      <c r="A2520" t="s">
        <v>9</v>
      </c>
      <c r="B2520" t="s">
        <v>111</v>
      </c>
      <c r="C2520" s="8">
        <v>46256</v>
      </c>
      <c r="D2520" s="9">
        <v>51986</v>
      </c>
    </row>
    <row r="2521" spans="1:4">
      <c r="A2521" t="s">
        <v>9</v>
      </c>
      <c r="B2521" t="s">
        <v>235</v>
      </c>
      <c r="C2521" s="8">
        <v>46256</v>
      </c>
      <c r="D2521" s="9">
        <v>40861</v>
      </c>
    </row>
    <row r="2522" spans="1:4">
      <c r="A2522" t="s">
        <v>9</v>
      </c>
      <c r="B2522" t="s">
        <v>250</v>
      </c>
      <c r="C2522" s="8">
        <v>46256</v>
      </c>
      <c r="D2522" s="9">
        <v>45849</v>
      </c>
    </row>
    <row r="2523" spans="1:4">
      <c r="A2523" t="s">
        <v>5</v>
      </c>
      <c r="B2523" t="s">
        <v>188</v>
      </c>
      <c r="C2523" s="8">
        <v>46256</v>
      </c>
      <c r="D2523" s="9">
        <v>31718</v>
      </c>
    </row>
    <row r="2524" spans="1:4">
      <c r="A2524" t="s">
        <v>5</v>
      </c>
      <c r="B2524" t="s">
        <v>97</v>
      </c>
      <c r="C2524" s="8">
        <v>46256</v>
      </c>
      <c r="D2524" s="9">
        <v>46733</v>
      </c>
    </row>
    <row r="2525" spans="1:4">
      <c r="A2525" t="s">
        <v>5</v>
      </c>
      <c r="B2525" t="s">
        <v>99</v>
      </c>
      <c r="C2525" s="8">
        <v>46256</v>
      </c>
      <c r="D2525" s="9">
        <v>33989</v>
      </c>
    </row>
    <row r="2526" spans="1:4">
      <c r="A2526" t="s">
        <v>5</v>
      </c>
      <c r="B2526" t="s">
        <v>61</v>
      </c>
      <c r="C2526" s="8">
        <v>46256</v>
      </c>
      <c r="D2526" s="9">
        <v>36465</v>
      </c>
    </row>
    <row r="2527" spans="1:4">
      <c r="A2527" t="s">
        <v>4</v>
      </c>
      <c r="B2527" t="s">
        <v>240</v>
      </c>
      <c r="C2527" s="8">
        <v>46257</v>
      </c>
      <c r="D2527" s="9">
        <v>21034</v>
      </c>
    </row>
    <row r="2528" spans="1:4">
      <c r="A2528" t="s">
        <v>4</v>
      </c>
      <c r="B2528" t="s">
        <v>101</v>
      </c>
      <c r="C2528" s="8">
        <v>46257</v>
      </c>
      <c r="D2528" s="9">
        <v>32063</v>
      </c>
    </row>
    <row r="2529" spans="1:4">
      <c r="A2529" t="s">
        <v>6</v>
      </c>
      <c r="B2529" t="s">
        <v>120</v>
      </c>
      <c r="C2529" s="8">
        <v>46257</v>
      </c>
      <c r="D2529" s="9">
        <v>16529</v>
      </c>
    </row>
    <row r="2530" spans="1:4">
      <c r="A2530" t="s">
        <v>6</v>
      </c>
      <c r="B2530" t="s">
        <v>130</v>
      </c>
      <c r="C2530" s="8">
        <v>46257</v>
      </c>
      <c r="D2530" s="9">
        <v>18276</v>
      </c>
    </row>
    <row r="2531" spans="1:4">
      <c r="A2531" t="s">
        <v>6</v>
      </c>
      <c r="B2531" t="s">
        <v>208</v>
      </c>
      <c r="C2531" s="8">
        <v>46257</v>
      </c>
      <c r="D2531" s="9">
        <v>12109</v>
      </c>
    </row>
    <row r="2532" spans="1:4">
      <c r="A2532" t="s">
        <v>9</v>
      </c>
      <c r="B2532" t="s">
        <v>143</v>
      </c>
      <c r="C2532" s="8">
        <v>46257</v>
      </c>
      <c r="D2532" s="9">
        <v>41681</v>
      </c>
    </row>
    <row r="2533" spans="1:4">
      <c r="A2533" t="s">
        <v>9</v>
      </c>
      <c r="B2533" t="s">
        <v>221</v>
      </c>
      <c r="C2533" s="8">
        <v>46257</v>
      </c>
      <c r="D2533" s="9">
        <v>24952</v>
      </c>
    </row>
    <row r="2534" spans="1:4">
      <c r="A2534" t="s">
        <v>5</v>
      </c>
      <c r="B2534" t="s">
        <v>270</v>
      </c>
      <c r="C2534" s="8">
        <v>46257</v>
      </c>
      <c r="D2534" s="9">
        <v>34952</v>
      </c>
    </row>
    <row r="2535" spans="1:4">
      <c r="A2535" t="s">
        <v>5</v>
      </c>
      <c r="B2535" t="s">
        <v>277</v>
      </c>
      <c r="C2535" s="8">
        <v>46257</v>
      </c>
      <c r="D2535" s="9">
        <v>43456</v>
      </c>
    </row>
    <row r="2536" spans="1:4">
      <c r="A2536" t="s">
        <v>31</v>
      </c>
      <c r="B2536" t="s">
        <v>77</v>
      </c>
      <c r="C2536" s="8">
        <v>46258</v>
      </c>
      <c r="D2536" s="9">
        <v>5200</v>
      </c>
    </row>
    <row r="2537" spans="1:4">
      <c r="A2537" t="s">
        <v>5</v>
      </c>
      <c r="B2537" t="s">
        <v>166</v>
      </c>
      <c r="C2537" s="8">
        <v>46258</v>
      </c>
      <c r="D2537" s="9">
        <v>45812</v>
      </c>
    </row>
    <row r="2538" spans="1:4">
      <c r="A2538" t="s">
        <v>5</v>
      </c>
      <c r="B2538" t="s">
        <v>114</v>
      </c>
      <c r="C2538" s="8">
        <v>46258</v>
      </c>
      <c r="D2538" s="9">
        <v>29969</v>
      </c>
    </row>
    <row r="2539" spans="1:4">
      <c r="A2539" t="s">
        <v>5</v>
      </c>
      <c r="B2539" t="s">
        <v>167</v>
      </c>
      <c r="C2539" s="8">
        <v>46258</v>
      </c>
      <c r="D2539" s="9">
        <v>24528</v>
      </c>
    </row>
    <row r="2540" spans="1:4">
      <c r="A2540" t="s">
        <v>5</v>
      </c>
      <c r="B2540" t="s">
        <v>252</v>
      </c>
      <c r="C2540" s="8">
        <v>46258</v>
      </c>
      <c r="D2540" s="9">
        <v>41145</v>
      </c>
    </row>
    <row r="2541" spans="1:4">
      <c r="A2541" t="s">
        <v>5</v>
      </c>
      <c r="B2541" t="s">
        <v>277</v>
      </c>
      <c r="C2541" s="8">
        <v>46258</v>
      </c>
      <c r="D2541" s="9">
        <v>40674</v>
      </c>
    </row>
    <row r="2542" spans="1:4">
      <c r="A2542" t="s">
        <v>35</v>
      </c>
      <c r="B2542" t="s">
        <v>94</v>
      </c>
      <c r="C2542" s="8">
        <v>46259</v>
      </c>
      <c r="D2542" s="9">
        <v>22577</v>
      </c>
    </row>
    <row r="2543" spans="1:4">
      <c r="A2543" t="s">
        <v>4</v>
      </c>
      <c r="B2543" t="s">
        <v>251</v>
      </c>
      <c r="C2543" s="8">
        <v>46259</v>
      </c>
      <c r="D2543" s="9">
        <v>50528</v>
      </c>
    </row>
    <row r="2544" spans="1:4">
      <c r="A2544" t="s">
        <v>4</v>
      </c>
      <c r="B2544" t="s">
        <v>127</v>
      </c>
      <c r="C2544" s="8">
        <v>46259</v>
      </c>
      <c r="D2544" s="9">
        <v>36095</v>
      </c>
    </row>
    <row r="2545" spans="1:4">
      <c r="A2545" t="s">
        <v>8</v>
      </c>
      <c r="B2545" t="s">
        <v>207</v>
      </c>
      <c r="C2545" s="8">
        <v>46259</v>
      </c>
      <c r="D2545" s="9">
        <v>33951</v>
      </c>
    </row>
    <row r="2546" spans="1:4">
      <c r="A2546" t="s">
        <v>6</v>
      </c>
      <c r="B2546" t="s">
        <v>260</v>
      </c>
      <c r="C2546" s="8">
        <v>46259</v>
      </c>
      <c r="D2546" s="9">
        <v>24075</v>
      </c>
    </row>
    <row r="2547" spans="1:4">
      <c r="A2547" t="s">
        <v>7</v>
      </c>
      <c r="B2547" t="s">
        <v>244</v>
      </c>
      <c r="C2547" s="8">
        <v>46259</v>
      </c>
      <c r="D2547" s="9">
        <v>17336</v>
      </c>
    </row>
    <row r="2548" spans="1:4">
      <c r="A2548" t="s">
        <v>9</v>
      </c>
      <c r="B2548" t="s">
        <v>96</v>
      </c>
      <c r="C2548" s="8">
        <v>46259</v>
      </c>
      <c r="D2548" s="9">
        <v>24695</v>
      </c>
    </row>
    <row r="2549" spans="1:4">
      <c r="A2549" t="s">
        <v>5</v>
      </c>
      <c r="B2549" t="s">
        <v>145</v>
      </c>
      <c r="C2549" s="8">
        <v>46259</v>
      </c>
      <c r="D2549" s="9">
        <v>47980</v>
      </c>
    </row>
    <row r="2550" spans="1:4">
      <c r="A2550" t="s">
        <v>5</v>
      </c>
      <c r="B2550" t="s">
        <v>115</v>
      </c>
      <c r="C2550" s="8">
        <v>46259</v>
      </c>
      <c r="D2550" s="9">
        <v>32704</v>
      </c>
    </row>
    <row r="2551" spans="1:4">
      <c r="A2551" t="s">
        <v>35</v>
      </c>
      <c r="B2551" t="s">
        <v>271</v>
      </c>
      <c r="C2551" s="8">
        <v>46260</v>
      </c>
      <c r="D2551" s="9">
        <v>5200</v>
      </c>
    </row>
    <row r="2552" spans="1:4">
      <c r="A2552" t="s">
        <v>27</v>
      </c>
      <c r="B2552" t="s">
        <v>168</v>
      </c>
      <c r="C2552" s="8">
        <v>46260</v>
      </c>
      <c r="D2552" s="9">
        <v>12533</v>
      </c>
    </row>
    <row r="2553" spans="1:4">
      <c r="A2553" t="s">
        <v>4</v>
      </c>
      <c r="B2553" t="s">
        <v>198</v>
      </c>
      <c r="C2553" s="8">
        <v>46260</v>
      </c>
      <c r="D2553" s="9">
        <v>28687</v>
      </c>
    </row>
    <row r="2554" spans="1:4">
      <c r="A2554" t="s">
        <v>28</v>
      </c>
      <c r="B2554" t="s">
        <v>161</v>
      </c>
      <c r="C2554" s="8">
        <v>46260</v>
      </c>
      <c r="D2554" s="9">
        <v>9272</v>
      </c>
    </row>
    <row r="2555" spans="1:4">
      <c r="A2555" t="s">
        <v>29</v>
      </c>
      <c r="B2555" t="s">
        <v>155</v>
      </c>
      <c r="C2555" s="8">
        <v>46260</v>
      </c>
      <c r="D2555" s="9">
        <v>15963</v>
      </c>
    </row>
    <row r="2556" spans="1:4">
      <c r="A2556" t="s">
        <v>7</v>
      </c>
      <c r="B2556" t="s">
        <v>274</v>
      </c>
      <c r="C2556" s="8">
        <v>46260</v>
      </c>
      <c r="D2556" s="9">
        <v>23012</v>
      </c>
    </row>
    <row r="2557" spans="1:4">
      <c r="A2557" t="s">
        <v>7</v>
      </c>
      <c r="B2557" t="s">
        <v>175</v>
      </c>
      <c r="C2557" s="8">
        <v>46260</v>
      </c>
      <c r="D2557" s="9">
        <v>27559</v>
      </c>
    </row>
    <row r="2558" spans="1:4">
      <c r="A2558" t="s">
        <v>9</v>
      </c>
      <c r="B2558" t="s">
        <v>132</v>
      </c>
      <c r="C2558" s="8">
        <v>46260</v>
      </c>
      <c r="D2558" s="9">
        <v>45720</v>
      </c>
    </row>
    <row r="2559" spans="1:4">
      <c r="A2559" t="s">
        <v>5</v>
      </c>
      <c r="B2559" t="s">
        <v>133</v>
      </c>
      <c r="C2559" s="8">
        <v>46260</v>
      </c>
      <c r="D2559" s="9">
        <v>39875</v>
      </c>
    </row>
    <row r="2560" spans="1:4">
      <c r="A2560" t="s">
        <v>5</v>
      </c>
      <c r="B2560" t="s">
        <v>133</v>
      </c>
      <c r="C2560" s="8">
        <v>46260</v>
      </c>
      <c r="D2560" s="9">
        <v>49212</v>
      </c>
    </row>
    <row r="2561" spans="1:4">
      <c r="A2561" t="s">
        <v>5</v>
      </c>
      <c r="B2561" t="s">
        <v>53</v>
      </c>
      <c r="C2561" s="8">
        <v>46260</v>
      </c>
      <c r="D2561" s="9">
        <v>40420</v>
      </c>
    </row>
    <row r="2562" spans="1:4">
      <c r="A2562" t="s">
        <v>5</v>
      </c>
      <c r="B2562" t="s">
        <v>145</v>
      </c>
      <c r="C2562" s="8">
        <v>46260</v>
      </c>
      <c r="D2562" s="9">
        <v>53609</v>
      </c>
    </row>
    <row r="2563" spans="1:4">
      <c r="A2563" t="s">
        <v>4</v>
      </c>
      <c r="B2563" t="s">
        <v>60</v>
      </c>
      <c r="C2563" s="8">
        <v>46261</v>
      </c>
      <c r="D2563" s="9">
        <v>23939</v>
      </c>
    </row>
    <row r="2564" spans="1:4">
      <c r="A2564" t="s">
        <v>4</v>
      </c>
      <c r="B2564" t="s">
        <v>185</v>
      </c>
      <c r="C2564" s="8">
        <v>46261</v>
      </c>
      <c r="D2564" s="9">
        <v>36839</v>
      </c>
    </row>
    <row r="2565" spans="1:4">
      <c r="A2565" t="s">
        <v>4</v>
      </c>
      <c r="B2565" t="s">
        <v>190</v>
      </c>
      <c r="C2565" s="8">
        <v>46261</v>
      </c>
      <c r="D2565" s="9">
        <v>22868</v>
      </c>
    </row>
    <row r="2566" spans="1:4">
      <c r="A2566" t="s">
        <v>4</v>
      </c>
      <c r="B2566" t="s">
        <v>223</v>
      </c>
      <c r="C2566" s="8">
        <v>46261</v>
      </c>
      <c r="D2566" s="9">
        <v>21846</v>
      </c>
    </row>
    <row r="2567" spans="1:4">
      <c r="A2567" t="s">
        <v>25</v>
      </c>
      <c r="B2567" t="s">
        <v>128</v>
      </c>
      <c r="C2567" s="8">
        <v>46261</v>
      </c>
      <c r="D2567" s="9">
        <v>5200</v>
      </c>
    </row>
    <row r="2568" spans="1:4">
      <c r="A2568" t="s">
        <v>6</v>
      </c>
      <c r="B2568" t="s">
        <v>80</v>
      </c>
      <c r="C2568" s="8">
        <v>46261</v>
      </c>
      <c r="D2568" s="9">
        <v>14878</v>
      </c>
    </row>
    <row r="2569" spans="1:4">
      <c r="A2569" t="s">
        <v>6</v>
      </c>
      <c r="B2569" t="s">
        <v>192</v>
      </c>
      <c r="C2569" s="8">
        <v>46261</v>
      </c>
      <c r="D2569" s="9">
        <v>18659</v>
      </c>
    </row>
    <row r="2570" spans="1:4">
      <c r="A2570" t="s">
        <v>6</v>
      </c>
      <c r="B2570" t="s">
        <v>217</v>
      </c>
      <c r="C2570" s="8">
        <v>46261</v>
      </c>
      <c r="D2570" s="9">
        <v>21635</v>
      </c>
    </row>
    <row r="2571" spans="1:4">
      <c r="A2571" t="s">
        <v>29</v>
      </c>
      <c r="B2571" t="s">
        <v>104</v>
      </c>
      <c r="C2571" s="8">
        <v>46261</v>
      </c>
      <c r="D2571" s="9">
        <v>12468</v>
      </c>
    </row>
    <row r="2572" spans="1:4">
      <c r="A2572" t="s">
        <v>7</v>
      </c>
      <c r="B2572" t="s">
        <v>83</v>
      </c>
      <c r="C2572" s="8">
        <v>46261</v>
      </c>
      <c r="D2572" s="9">
        <v>29524</v>
      </c>
    </row>
    <row r="2573" spans="1:4">
      <c r="A2573" t="s">
        <v>5</v>
      </c>
      <c r="B2573" t="s">
        <v>72</v>
      </c>
      <c r="C2573" s="8">
        <v>46261</v>
      </c>
      <c r="D2573" s="9">
        <v>37506</v>
      </c>
    </row>
    <row r="2574" spans="1:4">
      <c r="A2574" t="s">
        <v>5</v>
      </c>
      <c r="B2574" t="s">
        <v>209</v>
      </c>
      <c r="C2574" s="8">
        <v>46261</v>
      </c>
      <c r="D2574" s="9">
        <v>40018</v>
      </c>
    </row>
    <row r="2575" spans="1:4">
      <c r="A2575" t="s">
        <v>5</v>
      </c>
      <c r="B2575" t="s">
        <v>54</v>
      </c>
      <c r="C2575" s="8">
        <v>46261</v>
      </c>
      <c r="D2575" s="9">
        <v>49330</v>
      </c>
    </row>
    <row r="2576" spans="1:4">
      <c r="A2576" t="s">
        <v>5</v>
      </c>
      <c r="B2576" t="s">
        <v>172</v>
      </c>
      <c r="C2576" s="8">
        <v>46261</v>
      </c>
      <c r="D2576" s="9">
        <v>41557</v>
      </c>
    </row>
    <row r="2577" spans="1:4">
      <c r="A2577" t="s">
        <v>5</v>
      </c>
      <c r="B2577" t="s">
        <v>108</v>
      </c>
      <c r="C2577" s="8">
        <v>46261</v>
      </c>
      <c r="D2577" s="9">
        <v>36444</v>
      </c>
    </row>
    <row r="2578" spans="1:4">
      <c r="A2578" t="s">
        <v>5</v>
      </c>
      <c r="B2578" t="s">
        <v>61</v>
      </c>
      <c r="C2578" s="8">
        <v>46261</v>
      </c>
      <c r="D2578" s="9">
        <v>41253</v>
      </c>
    </row>
    <row r="2579" spans="1:4">
      <c r="A2579" t="s">
        <v>4</v>
      </c>
      <c r="B2579" t="s">
        <v>54</v>
      </c>
      <c r="C2579" s="8">
        <v>46262</v>
      </c>
      <c r="D2579" s="9">
        <v>44385</v>
      </c>
    </row>
    <row r="2580" spans="1:4">
      <c r="A2580" t="s">
        <v>25</v>
      </c>
      <c r="B2580" t="s">
        <v>278</v>
      </c>
      <c r="C2580" s="8">
        <v>46262</v>
      </c>
      <c r="D2580" s="9">
        <v>15211</v>
      </c>
    </row>
    <row r="2581" spans="1:4">
      <c r="A2581" t="s">
        <v>25</v>
      </c>
      <c r="B2581" t="s">
        <v>55</v>
      </c>
      <c r="C2581" s="8">
        <v>46262</v>
      </c>
      <c r="D2581" s="9">
        <v>13081</v>
      </c>
    </row>
    <row r="2582" spans="1:4">
      <c r="A2582" t="s">
        <v>8</v>
      </c>
      <c r="B2582" t="s">
        <v>79</v>
      </c>
      <c r="C2582" s="8">
        <v>46262</v>
      </c>
      <c r="D2582" s="9">
        <v>21437</v>
      </c>
    </row>
    <row r="2583" spans="1:4">
      <c r="A2583" t="s">
        <v>8</v>
      </c>
      <c r="B2583" t="s">
        <v>258</v>
      </c>
      <c r="C2583" s="8">
        <v>46262</v>
      </c>
      <c r="D2583" s="9">
        <v>5652</v>
      </c>
    </row>
    <row r="2584" spans="1:4">
      <c r="A2584" t="s">
        <v>8</v>
      </c>
      <c r="B2584" t="s">
        <v>56</v>
      </c>
      <c r="C2584" s="8">
        <v>46262</v>
      </c>
      <c r="D2584" s="9">
        <v>8213</v>
      </c>
    </row>
    <row r="2585" spans="1:4">
      <c r="A2585" t="s">
        <v>6</v>
      </c>
      <c r="B2585" t="s">
        <v>218</v>
      </c>
      <c r="C2585" s="8">
        <v>46262</v>
      </c>
      <c r="D2585" s="9">
        <v>17386</v>
      </c>
    </row>
    <row r="2586" spans="1:4">
      <c r="A2586" t="s">
        <v>7</v>
      </c>
      <c r="B2586" t="s">
        <v>69</v>
      </c>
      <c r="C2586" s="8">
        <v>46262</v>
      </c>
      <c r="D2586" s="9">
        <v>12275</v>
      </c>
    </row>
    <row r="2587" spans="1:4">
      <c r="A2587" t="s">
        <v>7</v>
      </c>
      <c r="B2587" t="s">
        <v>90</v>
      </c>
      <c r="C2587" s="8">
        <v>46262</v>
      </c>
      <c r="D2587" s="9">
        <v>14744</v>
      </c>
    </row>
    <row r="2588" spans="1:4">
      <c r="A2588" t="s">
        <v>7</v>
      </c>
      <c r="B2588" t="s">
        <v>47</v>
      </c>
      <c r="C2588" s="8">
        <v>46262</v>
      </c>
      <c r="D2588" s="9">
        <v>22060</v>
      </c>
    </row>
    <row r="2589" spans="1:4">
      <c r="A2589" t="s">
        <v>9</v>
      </c>
      <c r="B2589" t="s">
        <v>166</v>
      </c>
      <c r="C2589" s="8">
        <v>46262</v>
      </c>
      <c r="D2589" s="9">
        <v>34437</v>
      </c>
    </row>
    <row r="2590" spans="1:4">
      <c r="A2590" t="s">
        <v>9</v>
      </c>
      <c r="B2590" t="s">
        <v>195</v>
      </c>
      <c r="C2590" s="8">
        <v>46262</v>
      </c>
      <c r="D2590" s="9">
        <v>24705</v>
      </c>
    </row>
    <row r="2591" spans="1:4">
      <c r="A2591" t="s">
        <v>5</v>
      </c>
      <c r="B2591" t="s">
        <v>210</v>
      </c>
      <c r="C2591" s="8">
        <v>46262</v>
      </c>
      <c r="D2591" s="9">
        <v>31927</v>
      </c>
    </row>
    <row r="2592" spans="1:4">
      <c r="A2592" t="s">
        <v>5</v>
      </c>
      <c r="B2592" t="s">
        <v>74</v>
      </c>
      <c r="C2592" s="8">
        <v>46262</v>
      </c>
      <c r="D2592" s="9">
        <v>37965</v>
      </c>
    </row>
    <row r="2593" spans="1:4">
      <c r="A2593" t="s">
        <v>4</v>
      </c>
      <c r="B2593" t="s">
        <v>126</v>
      </c>
      <c r="C2593" s="8">
        <v>46263</v>
      </c>
      <c r="D2593" s="9">
        <v>28123</v>
      </c>
    </row>
    <row r="2594" spans="1:4">
      <c r="A2594" t="s">
        <v>4</v>
      </c>
      <c r="B2594" t="s">
        <v>76</v>
      </c>
      <c r="C2594" s="8">
        <v>46263</v>
      </c>
      <c r="D2594" s="9">
        <v>19855</v>
      </c>
    </row>
    <row r="2595" spans="1:4">
      <c r="A2595" t="s">
        <v>31</v>
      </c>
      <c r="B2595" t="s">
        <v>199</v>
      </c>
      <c r="C2595" s="8">
        <v>46263</v>
      </c>
      <c r="D2595" s="9">
        <v>20736</v>
      </c>
    </row>
    <row r="2596" spans="1:4">
      <c r="A2596" t="s">
        <v>5</v>
      </c>
      <c r="B2596" t="s">
        <v>49</v>
      </c>
      <c r="C2596" s="8">
        <v>46263</v>
      </c>
      <c r="D2596" s="9">
        <v>40615</v>
      </c>
    </row>
    <row r="2597" spans="1:4">
      <c r="A2597" t="s">
        <v>5</v>
      </c>
      <c r="B2597" t="s">
        <v>124</v>
      </c>
      <c r="C2597" s="8">
        <v>46263</v>
      </c>
      <c r="D2597" s="9">
        <v>39038</v>
      </c>
    </row>
    <row r="2598" spans="1:4">
      <c r="A2598" t="s">
        <v>9</v>
      </c>
      <c r="B2598" t="s">
        <v>157</v>
      </c>
      <c r="C2598" s="8">
        <v>46264</v>
      </c>
      <c r="D2598" s="9">
        <v>29488</v>
      </c>
    </row>
    <row r="2599" spans="1:4">
      <c r="A2599" t="s">
        <v>9</v>
      </c>
      <c r="B2599" t="s">
        <v>195</v>
      </c>
      <c r="C2599" s="8">
        <v>46264</v>
      </c>
      <c r="D2599" s="9">
        <v>25826</v>
      </c>
    </row>
    <row r="2600" spans="1:4">
      <c r="A2600" t="s">
        <v>5</v>
      </c>
      <c r="B2600" t="s">
        <v>239</v>
      </c>
      <c r="C2600" s="8">
        <v>46264</v>
      </c>
      <c r="D2600" s="9">
        <v>40710</v>
      </c>
    </row>
    <row r="2601" spans="1:4">
      <c r="A2601" t="s">
        <v>5</v>
      </c>
      <c r="B2601" t="s">
        <v>99</v>
      </c>
      <c r="C2601" s="8">
        <v>46264</v>
      </c>
      <c r="D2601" s="9">
        <v>33413</v>
      </c>
    </row>
    <row r="2602" spans="1:4">
      <c r="A2602" t="s">
        <v>5</v>
      </c>
      <c r="B2602" t="s">
        <v>93</v>
      </c>
      <c r="C2602" s="8">
        <v>46264</v>
      </c>
      <c r="D2602" s="9">
        <v>48093</v>
      </c>
    </row>
    <row r="2603" spans="1:4">
      <c r="A2603" t="s">
        <v>5</v>
      </c>
      <c r="B2603" t="s">
        <v>109</v>
      </c>
      <c r="C2603" s="8">
        <v>46264</v>
      </c>
      <c r="D2603" s="9">
        <v>49588</v>
      </c>
    </row>
    <row r="2604" spans="1:4">
      <c r="A2604" t="s">
        <v>5</v>
      </c>
      <c r="B2604" t="s">
        <v>100</v>
      </c>
      <c r="C2604" s="8">
        <v>46264</v>
      </c>
      <c r="D2604" s="9">
        <v>50170</v>
      </c>
    </row>
    <row r="2605" spans="1:4">
      <c r="A2605" t="s">
        <v>25</v>
      </c>
      <c r="B2605" t="s">
        <v>215</v>
      </c>
      <c r="C2605" s="8">
        <v>46265</v>
      </c>
      <c r="D2605" s="9">
        <v>6245</v>
      </c>
    </row>
    <row r="2606" spans="1:4">
      <c r="A2606" t="s">
        <v>26</v>
      </c>
      <c r="B2606" t="s">
        <v>78</v>
      </c>
      <c r="C2606" s="8">
        <v>46265</v>
      </c>
      <c r="D2606" s="9">
        <v>13920</v>
      </c>
    </row>
    <row r="2607" spans="1:4">
      <c r="A2607" t="s">
        <v>30</v>
      </c>
      <c r="B2607" t="s">
        <v>154</v>
      </c>
      <c r="C2607" s="8">
        <v>46265</v>
      </c>
      <c r="D2607" s="9">
        <v>11595</v>
      </c>
    </row>
    <row r="2608" spans="1:4">
      <c r="A2608" t="s">
        <v>7</v>
      </c>
      <c r="B2608" t="s">
        <v>243</v>
      </c>
      <c r="C2608" s="8">
        <v>46265</v>
      </c>
      <c r="D2608" s="9">
        <v>7468</v>
      </c>
    </row>
    <row r="2609" spans="1:4">
      <c r="A2609" t="s">
        <v>7</v>
      </c>
      <c r="B2609" t="s">
        <v>226</v>
      </c>
      <c r="C2609" s="8">
        <v>46265</v>
      </c>
      <c r="D2609" s="9">
        <v>21044</v>
      </c>
    </row>
    <row r="2610" spans="1:4">
      <c r="A2610" t="s">
        <v>9</v>
      </c>
      <c r="B2610" t="s">
        <v>276</v>
      </c>
      <c r="C2610" s="8">
        <v>46265</v>
      </c>
      <c r="D2610" s="9">
        <v>32421</v>
      </c>
    </row>
    <row r="2611" spans="1:4">
      <c r="A2611" t="s">
        <v>9</v>
      </c>
      <c r="B2611" t="s">
        <v>144</v>
      </c>
      <c r="C2611" s="8">
        <v>46265</v>
      </c>
      <c r="D2611" s="9">
        <v>29160</v>
      </c>
    </row>
    <row r="2612" spans="1:4">
      <c r="A2612" t="s">
        <v>9</v>
      </c>
      <c r="B2612" t="s">
        <v>137</v>
      </c>
      <c r="C2612" s="8">
        <v>46265</v>
      </c>
      <c r="D2612" s="9">
        <v>9372</v>
      </c>
    </row>
    <row r="2613" spans="1:4">
      <c r="A2613" t="s">
        <v>5</v>
      </c>
      <c r="B2613" t="s">
        <v>106</v>
      </c>
      <c r="C2613" s="8">
        <v>46265</v>
      </c>
      <c r="D2613" s="9">
        <v>32140</v>
      </c>
    </row>
    <row r="2614" spans="1:4">
      <c r="A2614" t="s">
        <v>5</v>
      </c>
      <c r="B2614" t="s">
        <v>49</v>
      </c>
      <c r="C2614" s="8">
        <v>46265</v>
      </c>
      <c r="D2614" s="9">
        <v>33862</v>
      </c>
    </row>
    <row r="2615" spans="1:4">
      <c r="A2615" t="s">
        <v>5</v>
      </c>
      <c r="B2615" t="s">
        <v>98</v>
      </c>
      <c r="C2615" s="8">
        <v>46265</v>
      </c>
      <c r="D2615" s="9">
        <v>41450</v>
      </c>
    </row>
    <row r="2616" spans="1:4">
      <c r="A2616" t="s">
        <v>5</v>
      </c>
      <c r="B2616" t="s">
        <v>270</v>
      </c>
      <c r="C2616" s="8">
        <v>46265</v>
      </c>
      <c r="D2616" s="9">
        <v>47676</v>
      </c>
    </row>
    <row r="2617" spans="1:4">
      <c r="A2617" t="s">
        <v>5</v>
      </c>
      <c r="B2617" t="s">
        <v>108</v>
      </c>
      <c r="C2617" s="8">
        <v>46265</v>
      </c>
      <c r="D2617" s="9">
        <v>40853</v>
      </c>
    </row>
    <row r="2618" spans="1:4">
      <c r="A2618" t="s">
        <v>5</v>
      </c>
      <c r="B2618" t="s">
        <v>134</v>
      </c>
      <c r="C2618" s="8">
        <v>46265</v>
      </c>
      <c r="D2618" s="9">
        <v>40975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tabSelected="1" workbookViewId="0">
      <selection activeCell="C14" sqref="C14"/>
    </sheetView>
  </sheetViews>
  <sheetFormatPr defaultRowHeight="15"/>
  <cols>
    <col min="1" max="1" width="7.42578125" customWidth="1"/>
    <col min="2" max="2" width="43.28515625" customWidth="1"/>
    <col min="3" max="4" width="12.5703125" customWidth="1"/>
  </cols>
  <sheetData>
    <row r="7" spans="1:4" ht="4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4" t="s">
        <v>5</v>
      </c>
      <c r="C8" s="4" t="s">
        <v>13</v>
      </c>
      <c r="D8" s="4" t="s">
        <v>13</v>
      </c>
    </row>
    <row r="9" spans="1:4">
      <c r="A9">
        <v>2</v>
      </c>
      <c r="B9" s="4" t="s">
        <v>9</v>
      </c>
      <c r="C9" s="4" t="s">
        <v>13</v>
      </c>
      <c r="D9" s="4" t="s">
        <v>13</v>
      </c>
    </row>
    <row r="10" spans="1:4">
      <c r="A10">
        <v>3</v>
      </c>
      <c r="B10" s="4" t="s">
        <v>4</v>
      </c>
      <c r="C10" s="4" t="s">
        <v>13</v>
      </c>
      <c r="D10" s="4" t="s">
        <v>13</v>
      </c>
    </row>
    <row r="11" spans="1:4">
      <c r="A11">
        <v>4</v>
      </c>
      <c r="B11" s="4" t="s">
        <v>7</v>
      </c>
      <c r="C11" s="4" t="s">
        <v>13</v>
      </c>
      <c r="D11" s="4" t="s">
        <v>13</v>
      </c>
    </row>
    <row r="12" spans="1:4">
      <c r="A12">
        <v>5</v>
      </c>
      <c r="B12" s="4" t="s">
        <v>6</v>
      </c>
      <c r="C12" s="4" t="s">
        <v>14</v>
      </c>
      <c r="D12" s="4" t="s">
        <v>13</v>
      </c>
    </row>
    <row r="13" spans="1:4">
      <c r="A13">
        <v>6</v>
      </c>
      <c r="B13" s="4" t="s">
        <v>8</v>
      </c>
      <c r="C13" s="4" t="s">
        <v>14</v>
      </c>
      <c r="D13" s="4" t="s">
        <v>14</v>
      </c>
    </row>
    <row r="14" spans="1:4">
      <c r="A14">
        <v>7</v>
      </c>
      <c r="B14" s="4" t="s">
        <v>25</v>
      </c>
      <c r="C14" s="4" t="s">
        <v>14</v>
      </c>
      <c r="D14" s="4" t="s">
        <v>14</v>
      </c>
    </row>
    <row r="15" spans="1:4">
      <c r="A15">
        <v>8</v>
      </c>
      <c r="B15" s="4" t="s">
        <v>26</v>
      </c>
      <c r="C15" s="4" t="s">
        <v>14</v>
      </c>
      <c r="D15" s="4" t="s">
        <v>14</v>
      </c>
    </row>
    <row r="16" spans="1:4">
      <c r="A16">
        <v>9</v>
      </c>
      <c r="B16" s="4" t="s">
        <v>27</v>
      </c>
      <c r="C16" s="4" t="s">
        <v>14</v>
      </c>
      <c r="D16" s="4" t="s">
        <v>14</v>
      </c>
    </row>
    <row r="17" spans="1:4">
      <c r="A17">
        <v>10</v>
      </c>
      <c r="B17" s="4" t="s">
        <v>29</v>
      </c>
      <c r="C17" s="4" t="s">
        <v>14</v>
      </c>
      <c r="D17" s="4" t="s">
        <v>14</v>
      </c>
    </row>
    <row r="18" spans="1:4">
      <c r="A18">
        <v>11</v>
      </c>
      <c r="B18" s="4" t="s">
        <v>28</v>
      </c>
      <c r="C18" s="4" t="s">
        <v>15</v>
      </c>
      <c r="D18" s="4" t="s">
        <v>14</v>
      </c>
    </row>
    <row r="19" spans="1:4">
      <c r="A19">
        <v>12</v>
      </c>
      <c r="B19" s="4" t="s">
        <v>31</v>
      </c>
      <c r="C19" s="4" t="s">
        <v>15</v>
      </c>
      <c r="D19" s="4" t="s">
        <v>14</v>
      </c>
    </row>
    <row r="20" spans="1:4">
      <c r="A20">
        <f>A19+1</f>
        <v>13</v>
      </c>
      <c r="B20" s="4" t="s">
        <v>30</v>
      </c>
      <c r="C20" s="4" t="s">
        <v>15</v>
      </c>
      <c r="D20" s="4" t="s">
        <v>15</v>
      </c>
    </row>
    <row r="21" spans="1:4">
      <c r="A21">
        <f t="shared" ref="A21:A27" si="0">A20+1</f>
        <v>14</v>
      </c>
      <c r="B21" s="4" t="s">
        <v>32</v>
      </c>
      <c r="C21" s="4" t="s">
        <v>15</v>
      </c>
      <c r="D21" s="4" t="s">
        <v>15</v>
      </c>
    </row>
    <row r="22" spans="1:4">
      <c r="A22">
        <f t="shared" si="0"/>
        <v>15</v>
      </c>
      <c r="B22" s="4" t="s">
        <v>34</v>
      </c>
      <c r="C22" s="4" t="s">
        <v>15</v>
      </c>
      <c r="D22" s="4" t="s">
        <v>15</v>
      </c>
    </row>
    <row r="23" spans="1:4">
      <c r="A23">
        <f t="shared" si="0"/>
        <v>16</v>
      </c>
      <c r="B23" s="4" t="s">
        <v>35</v>
      </c>
      <c r="C23" s="4" t="s">
        <v>15</v>
      </c>
      <c r="D23" s="4" t="s">
        <v>15</v>
      </c>
    </row>
    <row r="24" spans="1:4">
      <c r="A24">
        <f t="shared" si="0"/>
        <v>17</v>
      </c>
      <c r="B24" s="4" t="s">
        <v>33</v>
      </c>
      <c r="C24" s="4" t="s">
        <v>15</v>
      </c>
      <c r="D24" s="4" t="s">
        <v>15</v>
      </c>
    </row>
    <row r="25" spans="1:4">
      <c r="A25">
        <f t="shared" si="0"/>
        <v>18</v>
      </c>
      <c r="B25" s="4" t="s">
        <v>38</v>
      </c>
      <c r="C25" s="4" t="s">
        <v>15</v>
      </c>
      <c r="D25" s="4" t="s">
        <v>15</v>
      </c>
    </row>
    <row r="26" spans="1:4">
      <c r="A26">
        <f t="shared" si="0"/>
        <v>19</v>
      </c>
      <c r="B26" s="4" t="s">
        <v>37</v>
      </c>
      <c r="C26" s="4" t="s">
        <v>15</v>
      </c>
      <c r="D26" s="4" t="s">
        <v>15</v>
      </c>
    </row>
    <row r="27" spans="1:4">
      <c r="A27">
        <f t="shared" si="0"/>
        <v>20</v>
      </c>
      <c r="B27" s="4" t="s">
        <v>36</v>
      </c>
      <c r="C27" s="4" t="s">
        <v>15</v>
      </c>
      <c r="D27" s="4" t="s">
        <v>15</v>
      </c>
    </row>
  </sheetData>
  <sortState xmlns:xlrd2="http://schemas.microsoft.com/office/spreadsheetml/2017/richdata2" ref="C8:D27">
    <sortCondition ref="C8:C27"/>
    <sortCondition ref="D8:D2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9"/>
  <sheetViews>
    <sheetView workbookViewId="0">
      <selection activeCell="R24" sqref="R24"/>
    </sheetView>
  </sheetViews>
  <sheetFormatPr defaultRowHeight="15"/>
  <cols>
    <col min="1" max="1" width="32" style="4" customWidth="1"/>
    <col min="2" max="9" width="9.140625" style="4"/>
    <col min="10" max="11" width="9.140625" style="6"/>
  </cols>
  <sheetData>
    <row r="1" spans="1:16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>
      <c r="A2" s="4" t="s">
        <v>109</v>
      </c>
      <c r="B2" s="4">
        <v>157450</v>
      </c>
      <c r="C2" s="4">
        <v>155569</v>
      </c>
      <c r="D2" s="4">
        <v>152316</v>
      </c>
      <c r="E2" s="4">
        <v>153106</v>
      </c>
      <c r="F2" s="4">
        <v>153987</v>
      </c>
      <c r="G2" s="4">
        <v>160418</v>
      </c>
      <c r="H2" s="4">
        <v>158953</v>
      </c>
      <c r="I2" s="4">
        <v>152940</v>
      </c>
      <c r="J2" s="6" t="s">
        <v>13</v>
      </c>
      <c r="K2" s="6" t="s">
        <v>21</v>
      </c>
    </row>
    <row r="3" spans="1:16">
      <c r="A3" s="4" t="s">
        <v>72</v>
      </c>
      <c r="B3" s="4">
        <v>146330</v>
      </c>
      <c r="C3" s="4">
        <v>147088</v>
      </c>
      <c r="D3" s="4">
        <v>144669</v>
      </c>
      <c r="E3" s="4">
        <v>138884</v>
      </c>
      <c r="F3" s="4">
        <v>144049</v>
      </c>
      <c r="G3" s="4">
        <v>146224</v>
      </c>
      <c r="H3" s="4">
        <v>143984</v>
      </c>
      <c r="I3" s="4">
        <v>147500</v>
      </c>
      <c r="J3" s="6" t="s">
        <v>13</v>
      </c>
      <c r="K3" s="6" t="s">
        <v>21</v>
      </c>
    </row>
    <row r="4" spans="1:16">
      <c r="A4" s="4" t="s">
        <v>97</v>
      </c>
      <c r="B4" s="4">
        <v>145098</v>
      </c>
      <c r="C4" s="4">
        <v>139525</v>
      </c>
      <c r="D4" s="4">
        <v>145161</v>
      </c>
      <c r="E4" s="4">
        <v>145167</v>
      </c>
      <c r="F4" s="4">
        <v>141327</v>
      </c>
      <c r="G4" s="4">
        <v>140648</v>
      </c>
      <c r="H4" s="4">
        <v>142149</v>
      </c>
      <c r="I4" s="4">
        <v>143023</v>
      </c>
      <c r="J4" s="6" t="s">
        <v>13</v>
      </c>
      <c r="K4" s="6" t="s">
        <v>21</v>
      </c>
    </row>
    <row r="5" spans="1:16">
      <c r="A5" s="4" t="s">
        <v>54</v>
      </c>
      <c r="B5" s="4">
        <v>134590</v>
      </c>
      <c r="C5" s="4">
        <v>138973</v>
      </c>
      <c r="D5" s="4">
        <v>139993</v>
      </c>
      <c r="E5" s="4">
        <v>135060</v>
      </c>
      <c r="F5" s="4">
        <v>140198</v>
      </c>
      <c r="G5" s="4">
        <v>136701</v>
      </c>
      <c r="H5" s="4">
        <v>138431</v>
      </c>
      <c r="I5" s="4">
        <v>137475</v>
      </c>
      <c r="J5" s="6" t="s">
        <v>13</v>
      </c>
      <c r="K5" s="6" t="s">
        <v>21</v>
      </c>
    </row>
    <row r="6" spans="1:16">
      <c r="A6" s="4" t="s">
        <v>92</v>
      </c>
      <c r="B6" s="4">
        <v>126605</v>
      </c>
      <c r="C6" s="4">
        <v>125252</v>
      </c>
      <c r="D6" s="4">
        <v>131843</v>
      </c>
      <c r="E6" s="4">
        <v>131957</v>
      </c>
      <c r="F6" s="4">
        <v>129881</v>
      </c>
      <c r="G6" s="4">
        <v>136681</v>
      </c>
      <c r="H6" s="4">
        <v>129338</v>
      </c>
      <c r="I6" s="4">
        <v>126114</v>
      </c>
      <c r="J6" s="6" t="s">
        <v>13</v>
      </c>
      <c r="K6" s="6" t="s">
        <v>21</v>
      </c>
    </row>
    <row r="7" spans="1:16">
      <c r="A7" s="4" t="s">
        <v>204</v>
      </c>
      <c r="B7" s="4">
        <v>126994</v>
      </c>
      <c r="C7" s="4">
        <v>127269</v>
      </c>
      <c r="D7" s="4">
        <v>117992</v>
      </c>
      <c r="E7" s="4">
        <v>119303</v>
      </c>
      <c r="F7" s="4">
        <v>124751</v>
      </c>
      <c r="G7" s="4">
        <v>122833</v>
      </c>
      <c r="H7" s="4">
        <v>126323</v>
      </c>
      <c r="I7" s="4">
        <v>124048</v>
      </c>
      <c r="J7" s="6" t="s">
        <v>13</v>
      </c>
      <c r="K7" s="6" t="s">
        <v>21</v>
      </c>
    </row>
    <row r="8" spans="1:16">
      <c r="A8" s="4" t="s">
        <v>123</v>
      </c>
      <c r="B8" s="4">
        <v>115315</v>
      </c>
      <c r="C8" s="4">
        <v>112197</v>
      </c>
      <c r="D8" s="4">
        <v>119596</v>
      </c>
      <c r="E8" s="4">
        <v>112638</v>
      </c>
      <c r="F8" s="4">
        <v>116769</v>
      </c>
      <c r="G8" s="4">
        <v>113243</v>
      </c>
      <c r="H8" s="4">
        <v>119227</v>
      </c>
      <c r="I8" s="4">
        <v>116809</v>
      </c>
      <c r="J8" s="6" t="s">
        <v>13</v>
      </c>
      <c r="K8" s="6" t="s">
        <v>21</v>
      </c>
    </row>
    <row r="9" spans="1:16">
      <c r="A9" s="4" t="s">
        <v>183</v>
      </c>
      <c r="B9" s="4">
        <v>107457</v>
      </c>
      <c r="C9" s="4">
        <v>115140</v>
      </c>
      <c r="D9" s="4">
        <v>114070</v>
      </c>
      <c r="E9" s="4">
        <v>111511</v>
      </c>
      <c r="F9" s="4">
        <v>112505</v>
      </c>
      <c r="G9" s="4">
        <v>113713</v>
      </c>
      <c r="H9" s="4">
        <v>106830</v>
      </c>
      <c r="I9" s="4">
        <v>110195</v>
      </c>
      <c r="J9" s="6" t="s">
        <v>13</v>
      </c>
      <c r="K9" s="6" t="s">
        <v>21</v>
      </c>
    </row>
    <row r="10" spans="1:16">
      <c r="A10" s="4" t="s">
        <v>124</v>
      </c>
      <c r="B10" s="4">
        <v>96556</v>
      </c>
      <c r="C10" s="4">
        <v>99448</v>
      </c>
      <c r="D10" s="4">
        <v>97184</v>
      </c>
      <c r="E10" s="4">
        <v>100709</v>
      </c>
      <c r="F10" s="4">
        <v>103179</v>
      </c>
      <c r="G10" s="4">
        <v>96824</v>
      </c>
      <c r="H10" s="4">
        <v>97076</v>
      </c>
      <c r="I10" s="4">
        <v>103779</v>
      </c>
      <c r="J10" s="6" t="s">
        <v>13</v>
      </c>
      <c r="K10" s="6" t="s">
        <v>21</v>
      </c>
    </row>
    <row r="11" spans="1:16">
      <c r="A11" s="4" t="s">
        <v>145</v>
      </c>
      <c r="B11" s="4">
        <v>96208</v>
      </c>
      <c r="C11" s="4">
        <v>98719</v>
      </c>
      <c r="D11" s="4">
        <v>102235</v>
      </c>
      <c r="E11" s="4">
        <v>98526</v>
      </c>
      <c r="F11" s="4">
        <v>96461</v>
      </c>
      <c r="G11" s="4">
        <v>93947</v>
      </c>
      <c r="H11" s="4">
        <v>94262</v>
      </c>
      <c r="I11" s="4">
        <v>101589</v>
      </c>
      <c r="J11" s="6" t="s">
        <v>13</v>
      </c>
      <c r="K11" s="6" t="s">
        <v>21</v>
      </c>
    </row>
    <row r="12" spans="1:16">
      <c r="A12" s="4" t="s">
        <v>58</v>
      </c>
      <c r="B12" s="4">
        <v>92739</v>
      </c>
      <c r="C12" s="4">
        <v>95212</v>
      </c>
      <c r="D12" s="4">
        <v>91172</v>
      </c>
      <c r="E12" s="4">
        <v>96387</v>
      </c>
      <c r="F12" s="4">
        <v>94445</v>
      </c>
      <c r="G12" s="4">
        <v>96911</v>
      </c>
      <c r="H12" s="4">
        <v>92954</v>
      </c>
      <c r="I12" s="4">
        <v>92102</v>
      </c>
      <c r="J12" s="6" t="s">
        <v>13</v>
      </c>
      <c r="K12" s="6" t="s">
        <v>21</v>
      </c>
    </row>
    <row r="13" spans="1:16">
      <c r="A13" s="4" t="s">
        <v>252</v>
      </c>
      <c r="B13" s="4">
        <v>88665</v>
      </c>
      <c r="C13" s="4">
        <v>94299</v>
      </c>
      <c r="D13" s="4">
        <v>89547</v>
      </c>
      <c r="E13" s="4">
        <v>89125</v>
      </c>
      <c r="F13" s="4">
        <v>93010</v>
      </c>
      <c r="G13" s="4">
        <v>90737</v>
      </c>
      <c r="H13" s="4">
        <v>94879</v>
      </c>
      <c r="I13" s="4">
        <v>89197</v>
      </c>
      <c r="J13" s="6" t="s">
        <v>13</v>
      </c>
      <c r="K13" s="6" t="s">
        <v>21</v>
      </c>
    </row>
    <row r="14" spans="1:16">
      <c r="A14" s="4" t="s">
        <v>209</v>
      </c>
      <c r="B14" s="4">
        <v>81870</v>
      </c>
      <c r="C14" s="4">
        <v>82733</v>
      </c>
      <c r="D14" s="4">
        <v>83336</v>
      </c>
      <c r="E14" s="4">
        <v>86269</v>
      </c>
      <c r="F14" s="4">
        <v>82848</v>
      </c>
      <c r="G14" s="4">
        <v>81061</v>
      </c>
      <c r="H14" s="4">
        <v>86034</v>
      </c>
      <c r="I14" s="4">
        <v>84409</v>
      </c>
      <c r="J14" s="6" t="s">
        <v>13</v>
      </c>
      <c r="K14" s="6" t="s">
        <v>21</v>
      </c>
      <c r="M14" t="s">
        <v>22</v>
      </c>
    </row>
    <row r="15" spans="1:16">
      <c r="A15" s="4" t="s">
        <v>166</v>
      </c>
      <c r="B15" s="4">
        <v>78913</v>
      </c>
      <c r="C15" s="4">
        <v>78530</v>
      </c>
      <c r="D15" s="4">
        <v>84026</v>
      </c>
      <c r="E15" s="4">
        <v>83719</v>
      </c>
      <c r="F15" s="4">
        <v>77952</v>
      </c>
      <c r="G15" s="4">
        <v>83097</v>
      </c>
      <c r="H15" s="4">
        <v>78100</v>
      </c>
      <c r="I15" s="4">
        <v>80249</v>
      </c>
      <c r="J15" s="6" t="s">
        <v>13</v>
      </c>
      <c r="K15" s="6" t="s">
        <v>21</v>
      </c>
      <c r="M15" t="s">
        <v>23</v>
      </c>
    </row>
    <row r="16" spans="1:16">
      <c r="A16" s="4" t="s">
        <v>49</v>
      </c>
      <c r="B16" s="4">
        <v>75679</v>
      </c>
      <c r="C16" s="4">
        <v>74191</v>
      </c>
      <c r="D16" s="4">
        <v>73434</v>
      </c>
      <c r="E16" s="4">
        <v>77093</v>
      </c>
      <c r="F16" s="4">
        <v>74181</v>
      </c>
      <c r="G16" s="4">
        <v>77100</v>
      </c>
      <c r="H16" s="4">
        <v>75121</v>
      </c>
      <c r="I16" s="4">
        <v>74477</v>
      </c>
      <c r="J16" s="6" t="s">
        <v>13</v>
      </c>
      <c r="K16" s="6" t="s">
        <v>21</v>
      </c>
      <c r="M16" s="4"/>
      <c r="N16" s="4" t="s">
        <v>21</v>
      </c>
      <c r="O16" s="4" t="s">
        <v>20</v>
      </c>
      <c r="P16" s="4" t="s">
        <v>19</v>
      </c>
    </row>
    <row r="17" spans="1:16">
      <c r="A17" s="4" t="s">
        <v>210</v>
      </c>
      <c r="B17" s="4">
        <v>73628</v>
      </c>
      <c r="C17" s="4">
        <v>72770</v>
      </c>
      <c r="D17" s="4">
        <v>70103</v>
      </c>
      <c r="E17" s="4">
        <v>72011</v>
      </c>
      <c r="F17" s="4">
        <v>75656</v>
      </c>
      <c r="G17" s="4">
        <v>71585</v>
      </c>
      <c r="H17" s="4">
        <v>72417</v>
      </c>
      <c r="I17" s="4">
        <v>70735</v>
      </c>
      <c r="J17" s="6" t="s">
        <v>13</v>
      </c>
      <c r="K17" s="6" t="s">
        <v>21</v>
      </c>
      <c r="M17" s="4" t="s">
        <v>13</v>
      </c>
      <c r="N17" s="4">
        <f>COUNTIFS($J:$J,$M17,$K:$K,N$16)</f>
        <v>45</v>
      </c>
      <c r="O17" s="4">
        <f t="shared" ref="O17:P19" si="0">COUNTIFS($J:$J,$M17,$K:$K,O$16)</f>
        <v>32</v>
      </c>
      <c r="P17" s="4">
        <f t="shared" si="0"/>
        <v>34</v>
      </c>
    </row>
    <row r="18" spans="1:16">
      <c r="A18" s="4" t="s">
        <v>115</v>
      </c>
      <c r="B18" s="4">
        <v>67027</v>
      </c>
      <c r="C18" s="4">
        <v>68405</v>
      </c>
      <c r="D18" s="4">
        <v>70208</v>
      </c>
      <c r="E18" s="4">
        <v>68565</v>
      </c>
      <c r="F18" s="4">
        <v>71876</v>
      </c>
      <c r="G18" s="4">
        <v>68668</v>
      </c>
      <c r="H18" s="4">
        <v>71160</v>
      </c>
      <c r="I18" s="4">
        <v>68626</v>
      </c>
      <c r="J18" s="6" t="s">
        <v>13</v>
      </c>
      <c r="K18" s="6" t="s">
        <v>21</v>
      </c>
      <c r="M18" s="4" t="s">
        <v>14</v>
      </c>
      <c r="N18" s="4">
        <f t="shared" ref="N18:N19" si="1">COUNTIFS($J:$J,$M18,$K:$K,N$16)</f>
        <v>35</v>
      </c>
      <c r="O18" s="4">
        <f t="shared" si="0"/>
        <v>27</v>
      </c>
      <c r="P18" s="4">
        <f t="shared" si="0"/>
        <v>22</v>
      </c>
    </row>
    <row r="19" spans="1:16">
      <c r="A19" s="4" t="s">
        <v>101</v>
      </c>
      <c r="B19" s="4">
        <v>61374</v>
      </c>
      <c r="C19" s="4">
        <v>62343</v>
      </c>
      <c r="D19" s="4">
        <v>62460</v>
      </c>
      <c r="E19" s="4">
        <v>64696</v>
      </c>
      <c r="F19" s="4">
        <v>63928</v>
      </c>
      <c r="G19" s="4">
        <v>61933</v>
      </c>
      <c r="H19" s="4">
        <v>64828</v>
      </c>
      <c r="I19" s="4">
        <v>66715</v>
      </c>
      <c r="J19" s="6" t="s">
        <v>13</v>
      </c>
      <c r="K19" s="6" t="s">
        <v>21</v>
      </c>
      <c r="M19" s="4" t="s">
        <v>15</v>
      </c>
      <c r="N19" s="4">
        <f t="shared" si="1"/>
        <v>18</v>
      </c>
      <c r="O19" s="4">
        <f t="shared" si="0"/>
        <v>9</v>
      </c>
      <c r="P19" s="4">
        <f t="shared" si="0"/>
        <v>15</v>
      </c>
    </row>
    <row r="20" spans="1:16">
      <c r="A20" s="4" t="s">
        <v>167</v>
      </c>
      <c r="B20" s="4">
        <v>63968</v>
      </c>
      <c r="C20" s="4">
        <v>62331</v>
      </c>
      <c r="D20" s="4">
        <v>62773</v>
      </c>
      <c r="E20" s="4">
        <v>60490</v>
      </c>
      <c r="F20" s="4">
        <v>60180</v>
      </c>
      <c r="G20" s="4">
        <v>60164</v>
      </c>
      <c r="H20" s="4">
        <v>61157</v>
      </c>
      <c r="I20" s="4">
        <v>63049</v>
      </c>
      <c r="J20" s="6" t="s">
        <v>13</v>
      </c>
      <c r="K20" s="6" t="s">
        <v>21</v>
      </c>
    </row>
    <row r="21" spans="1:16">
      <c r="A21" s="4" t="s">
        <v>203</v>
      </c>
      <c r="B21" s="4">
        <v>61467</v>
      </c>
      <c r="C21" s="4">
        <v>61445</v>
      </c>
      <c r="D21" s="4">
        <v>63000</v>
      </c>
      <c r="E21" s="4">
        <v>64206</v>
      </c>
      <c r="F21" s="4">
        <v>62351</v>
      </c>
      <c r="G21" s="4">
        <v>61115</v>
      </c>
      <c r="H21" s="4">
        <v>59870</v>
      </c>
      <c r="I21" s="4">
        <v>59830</v>
      </c>
      <c r="J21" s="6" t="s">
        <v>13</v>
      </c>
      <c r="K21" s="6" t="s">
        <v>21</v>
      </c>
      <c r="M21" t="s">
        <v>24</v>
      </c>
    </row>
    <row r="22" spans="1:16">
      <c r="A22" s="4" t="s">
        <v>96</v>
      </c>
      <c r="B22" s="4">
        <v>60509</v>
      </c>
      <c r="C22" s="4">
        <v>59322</v>
      </c>
      <c r="D22" s="4">
        <v>60385</v>
      </c>
      <c r="E22" s="4">
        <v>61043</v>
      </c>
      <c r="F22" s="4">
        <v>58484</v>
      </c>
      <c r="G22" s="4">
        <v>60486</v>
      </c>
      <c r="H22" s="4">
        <v>62646</v>
      </c>
      <c r="I22" s="4">
        <v>60074</v>
      </c>
      <c r="J22" s="6" t="s">
        <v>13</v>
      </c>
      <c r="K22" s="6" t="s">
        <v>21</v>
      </c>
      <c r="M22" s="4"/>
      <c r="N22" s="4" t="s">
        <v>21</v>
      </c>
      <c r="O22" s="4" t="s">
        <v>20</v>
      </c>
      <c r="P22" s="4" t="s">
        <v>19</v>
      </c>
    </row>
    <row r="23" spans="1:16">
      <c r="A23" s="4" t="s">
        <v>91</v>
      </c>
      <c r="B23" s="4">
        <v>58789</v>
      </c>
      <c r="C23" s="4">
        <v>59473</v>
      </c>
      <c r="D23" s="4">
        <v>59888</v>
      </c>
      <c r="E23" s="4">
        <v>59985</v>
      </c>
      <c r="F23" s="4">
        <v>58721</v>
      </c>
      <c r="G23" s="4">
        <v>60561</v>
      </c>
      <c r="H23" s="4">
        <v>60676</v>
      </c>
      <c r="I23" s="4">
        <v>58573</v>
      </c>
      <c r="J23" s="6" t="s">
        <v>13</v>
      </c>
      <c r="K23" s="6" t="s">
        <v>21</v>
      </c>
      <c r="M23" s="4" t="s">
        <v>13</v>
      </c>
      <c r="N23" s="4">
        <v>23816764</v>
      </c>
      <c r="O23" s="4">
        <v>16448540</v>
      </c>
      <c r="P23" s="4">
        <v>19271588</v>
      </c>
    </row>
    <row r="24" spans="1:16">
      <c r="A24" s="4" t="s">
        <v>70</v>
      </c>
      <c r="B24" s="4">
        <v>55121</v>
      </c>
      <c r="C24" s="4">
        <v>58030</v>
      </c>
      <c r="D24" s="4">
        <v>57144</v>
      </c>
      <c r="E24" s="4">
        <v>56558</v>
      </c>
      <c r="F24" s="4">
        <v>55464</v>
      </c>
      <c r="G24" s="4">
        <v>56974</v>
      </c>
      <c r="H24" s="4">
        <v>57724</v>
      </c>
      <c r="I24" s="4">
        <v>54719</v>
      </c>
      <c r="J24" s="6" t="s">
        <v>13</v>
      </c>
      <c r="K24" s="6" t="s">
        <v>21</v>
      </c>
      <c r="M24" s="4" t="s">
        <v>14</v>
      </c>
      <c r="N24" s="4">
        <v>4644391</v>
      </c>
      <c r="O24" s="4">
        <v>3479158</v>
      </c>
      <c r="P24" s="4">
        <v>2958320</v>
      </c>
    </row>
    <row r="25" spans="1:16">
      <c r="A25" s="4" t="s">
        <v>144</v>
      </c>
      <c r="B25" s="4">
        <v>55775</v>
      </c>
      <c r="C25" s="4">
        <v>52298</v>
      </c>
      <c r="D25" s="4">
        <v>56383</v>
      </c>
      <c r="E25" s="4">
        <v>52305</v>
      </c>
      <c r="F25" s="4">
        <v>54090</v>
      </c>
      <c r="G25" s="4">
        <v>52671</v>
      </c>
      <c r="H25" s="4">
        <v>53799</v>
      </c>
      <c r="I25" s="4">
        <v>56121</v>
      </c>
      <c r="J25" s="6" t="s">
        <v>13</v>
      </c>
      <c r="K25" s="6" t="s">
        <v>21</v>
      </c>
      <c r="M25" s="4" t="s">
        <v>15</v>
      </c>
      <c r="N25" s="4">
        <v>1709877</v>
      </c>
      <c r="O25" s="4">
        <v>821031</v>
      </c>
      <c r="P25" s="4">
        <v>1289414</v>
      </c>
    </row>
    <row r="26" spans="1:16">
      <c r="A26" s="4" t="s">
        <v>195</v>
      </c>
      <c r="B26" s="4">
        <v>51488</v>
      </c>
      <c r="C26" s="4">
        <v>49734</v>
      </c>
      <c r="D26" s="4">
        <v>49021</v>
      </c>
      <c r="E26" s="4">
        <v>49561</v>
      </c>
      <c r="F26" s="4">
        <v>50126</v>
      </c>
      <c r="G26" s="4">
        <v>51273</v>
      </c>
      <c r="H26" s="4">
        <v>49089</v>
      </c>
      <c r="I26" s="4">
        <v>50531</v>
      </c>
      <c r="J26" s="6" t="s">
        <v>13</v>
      </c>
      <c r="K26" s="6" t="s">
        <v>21</v>
      </c>
    </row>
    <row r="27" spans="1:16">
      <c r="A27" s="4" t="s">
        <v>71</v>
      </c>
      <c r="B27" s="4">
        <v>47320</v>
      </c>
      <c r="C27" s="4">
        <v>49256</v>
      </c>
      <c r="D27" s="4">
        <v>45913</v>
      </c>
      <c r="E27" s="4">
        <v>47903</v>
      </c>
      <c r="F27" s="4">
        <v>48456</v>
      </c>
      <c r="G27" s="4">
        <v>46614</v>
      </c>
      <c r="H27" s="4">
        <v>49763</v>
      </c>
      <c r="I27" s="4">
        <v>46776</v>
      </c>
      <c r="J27" s="6" t="s">
        <v>13</v>
      </c>
      <c r="K27" s="6" t="s">
        <v>21</v>
      </c>
    </row>
    <row r="28" spans="1:16">
      <c r="A28" s="4" t="s">
        <v>132</v>
      </c>
      <c r="B28" s="4">
        <v>46384</v>
      </c>
      <c r="C28" s="4">
        <v>43125</v>
      </c>
      <c r="D28" s="4">
        <v>45077</v>
      </c>
      <c r="E28" s="4">
        <v>43826</v>
      </c>
      <c r="F28" s="4">
        <v>43465</v>
      </c>
      <c r="G28" s="4">
        <v>46569</v>
      </c>
      <c r="H28" s="4">
        <v>43220</v>
      </c>
      <c r="I28" s="4">
        <v>45720</v>
      </c>
      <c r="J28" s="6" t="s">
        <v>13</v>
      </c>
      <c r="K28" s="6" t="s">
        <v>21</v>
      </c>
    </row>
    <row r="29" spans="1:16">
      <c r="A29" s="4" t="s">
        <v>187</v>
      </c>
      <c r="B29" s="4">
        <v>45230</v>
      </c>
      <c r="C29" s="4">
        <v>44695</v>
      </c>
      <c r="D29" s="4">
        <v>44115</v>
      </c>
      <c r="E29" s="4">
        <v>41889</v>
      </c>
      <c r="F29" s="4">
        <v>44814</v>
      </c>
      <c r="G29" s="4">
        <v>45202</v>
      </c>
      <c r="H29" s="4">
        <v>43796</v>
      </c>
      <c r="I29" s="4">
        <v>41883</v>
      </c>
      <c r="J29" s="6" t="s">
        <v>13</v>
      </c>
      <c r="K29" s="6" t="s">
        <v>21</v>
      </c>
    </row>
    <row r="30" spans="1:16">
      <c r="A30" s="4" t="s">
        <v>250</v>
      </c>
      <c r="B30" s="4">
        <v>44255</v>
      </c>
      <c r="C30" s="4">
        <v>42649</v>
      </c>
      <c r="D30" s="4">
        <v>44932</v>
      </c>
      <c r="E30" s="4">
        <v>44423</v>
      </c>
      <c r="F30" s="4">
        <v>42970</v>
      </c>
      <c r="G30" s="4">
        <v>42357</v>
      </c>
      <c r="H30" s="4">
        <v>42862</v>
      </c>
      <c r="I30" s="4">
        <v>45849</v>
      </c>
      <c r="J30" s="6" t="s">
        <v>13</v>
      </c>
      <c r="K30" s="6" t="s">
        <v>21</v>
      </c>
    </row>
    <row r="31" spans="1:16">
      <c r="A31" s="4" t="s">
        <v>179</v>
      </c>
      <c r="B31" s="4">
        <v>40569</v>
      </c>
      <c r="C31" s="4">
        <v>41105</v>
      </c>
      <c r="D31" s="4">
        <v>43258</v>
      </c>
      <c r="E31" s="4">
        <v>43067</v>
      </c>
      <c r="F31" s="4">
        <v>42733</v>
      </c>
      <c r="G31" s="4">
        <v>42935</v>
      </c>
      <c r="H31" s="4">
        <v>43071</v>
      </c>
      <c r="I31" s="4">
        <v>40895</v>
      </c>
      <c r="J31" s="6" t="s">
        <v>13</v>
      </c>
      <c r="K31" s="6" t="s">
        <v>21</v>
      </c>
    </row>
    <row r="32" spans="1:16">
      <c r="A32" s="4" t="s">
        <v>171</v>
      </c>
      <c r="B32" s="4">
        <v>41353</v>
      </c>
      <c r="C32" s="4">
        <v>42191</v>
      </c>
      <c r="D32" s="4">
        <v>42202</v>
      </c>
      <c r="E32" s="4">
        <v>42542</v>
      </c>
      <c r="F32" s="4">
        <v>42021</v>
      </c>
      <c r="G32" s="4">
        <v>41713</v>
      </c>
      <c r="H32" s="4">
        <v>41260</v>
      </c>
      <c r="I32" s="4">
        <v>40252</v>
      </c>
      <c r="J32" s="6" t="s">
        <v>13</v>
      </c>
      <c r="K32" s="6" t="s">
        <v>21</v>
      </c>
    </row>
    <row r="33" spans="1:11">
      <c r="A33" s="4" t="s">
        <v>269</v>
      </c>
      <c r="B33" s="4">
        <v>40035</v>
      </c>
      <c r="C33" s="4">
        <v>39468</v>
      </c>
      <c r="D33" s="4">
        <v>41101</v>
      </c>
      <c r="E33" s="4">
        <v>41783</v>
      </c>
      <c r="F33" s="4">
        <v>39789</v>
      </c>
      <c r="G33" s="4">
        <v>41318</v>
      </c>
      <c r="H33" s="4">
        <v>40624</v>
      </c>
      <c r="I33" s="4">
        <v>39941</v>
      </c>
      <c r="J33" s="6" t="s">
        <v>13</v>
      </c>
      <c r="K33" s="6" t="s">
        <v>21</v>
      </c>
    </row>
    <row r="34" spans="1:11">
      <c r="A34" s="4" t="s">
        <v>150</v>
      </c>
      <c r="B34" s="4">
        <v>36121</v>
      </c>
      <c r="C34" s="4">
        <v>37378</v>
      </c>
      <c r="D34" s="4">
        <v>38450</v>
      </c>
      <c r="E34" s="4">
        <v>36074</v>
      </c>
      <c r="F34" s="4">
        <v>35988</v>
      </c>
      <c r="G34" s="4">
        <v>38611</v>
      </c>
      <c r="H34" s="4">
        <v>36199</v>
      </c>
      <c r="I34" s="4">
        <v>37546</v>
      </c>
      <c r="J34" s="6" t="s">
        <v>13</v>
      </c>
      <c r="K34" s="6" t="s">
        <v>21</v>
      </c>
    </row>
    <row r="35" spans="1:11">
      <c r="A35" s="4" t="s">
        <v>222</v>
      </c>
      <c r="B35" s="4">
        <v>34493</v>
      </c>
      <c r="C35" s="4">
        <v>35320</v>
      </c>
      <c r="D35" s="4">
        <v>35880</v>
      </c>
      <c r="E35" s="4">
        <v>36188</v>
      </c>
      <c r="F35" s="4">
        <v>35888</v>
      </c>
      <c r="G35" s="4">
        <v>33771</v>
      </c>
      <c r="H35" s="4">
        <v>33205</v>
      </c>
      <c r="I35" s="4">
        <v>35164</v>
      </c>
      <c r="J35" s="6" t="s">
        <v>13</v>
      </c>
      <c r="K35" s="6" t="s">
        <v>21</v>
      </c>
    </row>
    <row r="36" spans="1:11">
      <c r="A36" s="4" t="s">
        <v>180</v>
      </c>
      <c r="B36" s="4">
        <v>32072</v>
      </c>
      <c r="C36" s="4">
        <v>30676</v>
      </c>
      <c r="D36" s="4">
        <v>31793</v>
      </c>
      <c r="E36" s="4">
        <v>30810</v>
      </c>
      <c r="F36" s="4">
        <v>31805</v>
      </c>
      <c r="G36" s="4">
        <v>30472</v>
      </c>
      <c r="H36" s="4">
        <v>29975</v>
      </c>
      <c r="I36" s="4">
        <v>30862</v>
      </c>
      <c r="J36" s="6" t="s">
        <v>13</v>
      </c>
      <c r="K36" s="6" t="s">
        <v>21</v>
      </c>
    </row>
    <row r="37" spans="1:11">
      <c r="A37" s="4" t="s">
        <v>116</v>
      </c>
      <c r="B37" s="4">
        <v>29767</v>
      </c>
      <c r="C37" s="4">
        <v>28681</v>
      </c>
      <c r="D37" s="4">
        <v>29069</v>
      </c>
      <c r="E37" s="4">
        <v>29243</v>
      </c>
      <c r="F37" s="4">
        <v>29630</v>
      </c>
      <c r="G37" s="4">
        <v>31119</v>
      </c>
      <c r="H37" s="4">
        <v>30536</v>
      </c>
      <c r="I37" s="4">
        <v>29325</v>
      </c>
      <c r="J37" s="6" t="s">
        <v>13</v>
      </c>
      <c r="K37" s="6" t="s">
        <v>21</v>
      </c>
    </row>
    <row r="38" spans="1:11">
      <c r="A38" s="4" t="s">
        <v>67</v>
      </c>
      <c r="B38" s="4">
        <v>29653</v>
      </c>
      <c r="C38" s="4">
        <v>30502</v>
      </c>
      <c r="D38" s="4">
        <v>29110</v>
      </c>
      <c r="E38" s="4">
        <v>29250</v>
      </c>
      <c r="F38" s="4">
        <v>30987</v>
      </c>
      <c r="G38" s="4">
        <v>28645</v>
      </c>
      <c r="H38" s="4">
        <v>29403</v>
      </c>
      <c r="I38" s="4">
        <v>29283</v>
      </c>
      <c r="J38" s="6" t="s">
        <v>13</v>
      </c>
      <c r="K38" s="6" t="s">
        <v>21</v>
      </c>
    </row>
    <row r="39" spans="1:11">
      <c r="A39" s="4" t="s">
        <v>198</v>
      </c>
      <c r="B39" s="4">
        <v>28977</v>
      </c>
      <c r="C39" s="4">
        <v>28677</v>
      </c>
      <c r="D39" s="4">
        <v>29855</v>
      </c>
      <c r="E39" s="4">
        <v>28303</v>
      </c>
      <c r="F39" s="4">
        <v>29824</v>
      </c>
      <c r="G39" s="4">
        <v>29306</v>
      </c>
      <c r="H39" s="4">
        <v>29287</v>
      </c>
      <c r="I39" s="4">
        <v>28687</v>
      </c>
      <c r="J39" s="6" t="s">
        <v>13</v>
      </c>
      <c r="K39" s="6" t="s">
        <v>21</v>
      </c>
    </row>
    <row r="40" spans="1:11">
      <c r="A40" s="4" t="s">
        <v>254</v>
      </c>
      <c r="B40" s="4">
        <v>30966</v>
      </c>
      <c r="C40" s="4">
        <v>29260</v>
      </c>
      <c r="D40" s="4">
        <v>28964</v>
      </c>
      <c r="E40" s="4">
        <v>27338</v>
      </c>
      <c r="F40" s="4">
        <v>24481</v>
      </c>
      <c r="G40" s="4">
        <v>29211</v>
      </c>
      <c r="H40" s="4">
        <v>33652</v>
      </c>
      <c r="I40" s="4">
        <v>28631</v>
      </c>
      <c r="J40" s="6" t="s">
        <v>13</v>
      </c>
      <c r="K40" s="6" t="s">
        <v>21</v>
      </c>
    </row>
    <row r="41" spans="1:11">
      <c r="A41" s="4" t="s">
        <v>160</v>
      </c>
      <c r="B41" s="4">
        <v>28178</v>
      </c>
      <c r="C41" s="4">
        <v>30131</v>
      </c>
      <c r="D41" s="4">
        <v>29783</v>
      </c>
      <c r="E41" s="4">
        <v>28272</v>
      </c>
      <c r="F41" s="4">
        <v>28253</v>
      </c>
      <c r="G41" s="4">
        <v>30452</v>
      </c>
      <c r="H41" s="4">
        <v>29219</v>
      </c>
      <c r="I41" s="4">
        <v>28043</v>
      </c>
      <c r="J41" s="6" t="s">
        <v>13</v>
      </c>
      <c r="K41" s="6" t="s">
        <v>21</v>
      </c>
    </row>
    <row r="42" spans="1:11">
      <c r="A42" s="4" t="s">
        <v>181</v>
      </c>
      <c r="B42" s="4">
        <v>28364</v>
      </c>
      <c r="C42" s="4">
        <v>27330</v>
      </c>
      <c r="D42" s="4">
        <v>28572</v>
      </c>
      <c r="E42" s="4">
        <v>27462</v>
      </c>
      <c r="F42" s="4">
        <v>27127</v>
      </c>
      <c r="G42" s="4">
        <v>28599</v>
      </c>
      <c r="H42" s="4">
        <v>28958</v>
      </c>
      <c r="I42" s="4">
        <v>29083</v>
      </c>
      <c r="J42" s="6" t="s">
        <v>13</v>
      </c>
      <c r="K42" s="6" t="s">
        <v>21</v>
      </c>
    </row>
    <row r="43" spans="1:11">
      <c r="A43" s="4" t="s">
        <v>126</v>
      </c>
      <c r="B43" s="4">
        <v>27572</v>
      </c>
      <c r="C43" s="4">
        <v>28021</v>
      </c>
      <c r="D43" s="4">
        <v>27217</v>
      </c>
      <c r="E43" s="4">
        <v>28992</v>
      </c>
      <c r="F43" s="4">
        <v>26957</v>
      </c>
      <c r="G43" s="4">
        <v>28690</v>
      </c>
      <c r="H43" s="4">
        <v>28829</v>
      </c>
      <c r="I43" s="4">
        <v>28123</v>
      </c>
      <c r="J43" s="6" t="s">
        <v>13</v>
      </c>
      <c r="K43" s="6" t="s">
        <v>21</v>
      </c>
    </row>
    <row r="44" spans="1:11">
      <c r="A44" s="4" t="s">
        <v>197</v>
      </c>
      <c r="B44" s="4">
        <v>26597</v>
      </c>
      <c r="C44" s="4">
        <v>25290</v>
      </c>
      <c r="D44" s="4">
        <v>26575</v>
      </c>
      <c r="E44" s="4">
        <v>26962</v>
      </c>
      <c r="F44" s="4">
        <v>27248</v>
      </c>
      <c r="G44" s="4">
        <v>27593</v>
      </c>
      <c r="H44" s="4">
        <v>27234</v>
      </c>
      <c r="I44" s="4">
        <v>26045</v>
      </c>
      <c r="J44" s="6" t="s">
        <v>13</v>
      </c>
      <c r="K44" s="6" t="s">
        <v>21</v>
      </c>
    </row>
    <row r="45" spans="1:11">
      <c r="A45" s="4" t="s">
        <v>50</v>
      </c>
      <c r="B45" s="4">
        <v>24544</v>
      </c>
      <c r="C45" s="4">
        <v>24336</v>
      </c>
      <c r="D45" s="4">
        <v>24068</v>
      </c>
      <c r="E45" s="4">
        <v>24363</v>
      </c>
      <c r="F45" s="4">
        <v>23753</v>
      </c>
      <c r="G45" s="4">
        <v>23409</v>
      </c>
      <c r="H45" s="4">
        <v>23126</v>
      </c>
      <c r="I45" s="4">
        <v>24374</v>
      </c>
      <c r="J45" s="6" t="s">
        <v>13</v>
      </c>
      <c r="K45" s="6" t="s">
        <v>21</v>
      </c>
    </row>
    <row r="46" spans="1:11">
      <c r="A46" s="4" t="s">
        <v>194</v>
      </c>
      <c r="B46" s="4">
        <v>23641</v>
      </c>
      <c r="C46" s="4">
        <v>24364</v>
      </c>
      <c r="D46" s="4">
        <v>24658</v>
      </c>
      <c r="E46" s="4">
        <v>23459</v>
      </c>
      <c r="F46" s="4">
        <v>24295</v>
      </c>
      <c r="G46" s="4">
        <v>23649</v>
      </c>
      <c r="H46" s="4">
        <v>22818</v>
      </c>
      <c r="I46" s="4">
        <v>22622</v>
      </c>
      <c r="J46" s="6" t="s">
        <v>13</v>
      </c>
      <c r="K46" s="6" t="s">
        <v>21</v>
      </c>
    </row>
    <row r="47" spans="1:11">
      <c r="A47" s="4" t="s">
        <v>108</v>
      </c>
      <c r="B47" s="4">
        <v>169102</v>
      </c>
      <c r="C47" s="4">
        <v>196966</v>
      </c>
      <c r="D47" s="4">
        <v>139459</v>
      </c>
      <c r="E47" s="4">
        <v>177120</v>
      </c>
      <c r="F47" s="4">
        <v>184836</v>
      </c>
      <c r="G47" s="4">
        <v>166902</v>
      </c>
      <c r="H47" s="4">
        <v>145568</v>
      </c>
      <c r="I47" s="4">
        <v>151307</v>
      </c>
      <c r="J47" s="6" t="s">
        <v>13</v>
      </c>
      <c r="K47" s="6" t="s">
        <v>20</v>
      </c>
    </row>
    <row r="48" spans="1:11">
      <c r="A48" s="4" t="s">
        <v>251</v>
      </c>
      <c r="B48" s="4">
        <v>134375</v>
      </c>
      <c r="C48" s="4">
        <v>183477</v>
      </c>
      <c r="D48" s="4">
        <v>177917</v>
      </c>
      <c r="E48" s="4">
        <v>121428</v>
      </c>
      <c r="F48" s="4">
        <v>169078</v>
      </c>
      <c r="G48" s="4">
        <v>105832</v>
      </c>
      <c r="H48" s="4">
        <v>165602</v>
      </c>
      <c r="I48" s="4">
        <v>101023</v>
      </c>
      <c r="J48" s="6" t="s">
        <v>13</v>
      </c>
      <c r="K48" s="6" t="s">
        <v>20</v>
      </c>
    </row>
    <row r="49" spans="1:11">
      <c r="A49" s="4" t="s">
        <v>98</v>
      </c>
      <c r="B49" s="4">
        <v>112582</v>
      </c>
      <c r="C49" s="4">
        <v>102164</v>
      </c>
      <c r="D49" s="4">
        <v>155967</v>
      </c>
      <c r="E49" s="4">
        <v>120652</v>
      </c>
      <c r="F49" s="4">
        <v>105806</v>
      </c>
      <c r="G49" s="4">
        <v>179051</v>
      </c>
      <c r="H49" s="4">
        <v>130975</v>
      </c>
      <c r="I49" s="4">
        <v>167377</v>
      </c>
      <c r="J49" s="6" t="s">
        <v>13</v>
      </c>
      <c r="K49" s="6" t="s">
        <v>20</v>
      </c>
    </row>
    <row r="50" spans="1:11">
      <c r="A50" s="4" t="s">
        <v>172</v>
      </c>
      <c r="B50" s="4">
        <v>117937</v>
      </c>
      <c r="C50" s="4">
        <v>124879</v>
      </c>
      <c r="D50" s="4">
        <v>104705</v>
      </c>
      <c r="E50" s="4">
        <v>123525</v>
      </c>
      <c r="F50" s="4">
        <v>111447</v>
      </c>
      <c r="G50" s="4">
        <v>98585</v>
      </c>
      <c r="H50" s="4">
        <v>79518</v>
      </c>
      <c r="I50" s="4">
        <v>134750</v>
      </c>
      <c r="J50" s="6" t="s">
        <v>13</v>
      </c>
      <c r="K50" s="6" t="s">
        <v>20</v>
      </c>
    </row>
    <row r="51" spans="1:11">
      <c r="A51" s="4" t="s">
        <v>53</v>
      </c>
      <c r="B51" s="4">
        <v>120049</v>
      </c>
      <c r="C51" s="4">
        <v>87487</v>
      </c>
      <c r="D51" s="4">
        <v>133354</v>
      </c>
      <c r="E51" s="4">
        <v>136275</v>
      </c>
      <c r="F51" s="4">
        <v>96969</v>
      </c>
      <c r="G51" s="4">
        <v>89559</v>
      </c>
      <c r="H51" s="4">
        <v>108537</v>
      </c>
      <c r="I51" s="4">
        <v>106705</v>
      </c>
      <c r="J51" s="6" t="s">
        <v>13</v>
      </c>
      <c r="K51" s="6" t="s">
        <v>20</v>
      </c>
    </row>
    <row r="52" spans="1:11">
      <c r="A52" s="4" t="s">
        <v>270</v>
      </c>
      <c r="B52" s="4">
        <v>105397</v>
      </c>
      <c r="C52" s="4">
        <v>97560</v>
      </c>
      <c r="D52" s="4">
        <v>135115</v>
      </c>
      <c r="E52" s="4">
        <v>94085</v>
      </c>
      <c r="F52" s="4">
        <v>99918</v>
      </c>
      <c r="G52" s="4">
        <v>85577</v>
      </c>
      <c r="H52" s="4">
        <v>81643</v>
      </c>
      <c r="I52" s="4">
        <v>115003</v>
      </c>
      <c r="J52" s="6" t="s">
        <v>13</v>
      </c>
      <c r="K52" s="6" t="s">
        <v>20</v>
      </c>
    </row>
    <row r="53" spans="1:11">
      <c r="A53" s="4" t="s">
        <v>99</v>
      </c>
      <c r="B53" s="4">
        <v>88967</v>
      </c>
      <c r="C53" s="4">
        <v>70548</v>
      </c>
      <c r="D53" s="4">
        <v>129734</v>
      </c>
      <c r="E53" s="4">
        <v>76967</v>
      </c>
      <c r="F53" s="4">
        <v>107626</v>
      </c>
      <c r="G53" s="4">
        <v>99913</v>
      </c>
      <c r="H53" s="4">
        <v>79430</v>
      </c>
      <c r="I53" s="4">
        <v>97069</v>
      </c>
      <c r="J53" s="6" t="s">
        <v>13</v>
      </c>
      <c r="K53" s="6" t="s">
        <v>20</v>
      </c>
    </row>
    <row r="54" spans="1:11">
      <c r="A54" s="4" t="s">
        <v>189</v>
      </c>
      <c r="B54" s="4">
        <v>85060</v>
      </c>
      <c r="C54" s="4">
        <v>83385</v>
      </c>
      <c r="D54" s="4">
        <v>72696</v>
      </c>
      <c r="E54" s="4">
        <v>114327</v>
      </c>
      <c r="F54" s="4">
        <v>91162</v>
      </c>
      <c r="G54" s="4">
        <v>86396</v>
      </c>
      <c r="H54" s="4">
        <v>105449</v>
      </c>
      <c r="I54" s="4">
        <v>78454</v>
      </c>
      <c r="J54" s="6" t="s">
        <v>13</v>
      </c>
      <c r="K54" s="6" t="s">
        <v>20</v>
      </c>
    </row>
    <row r="55" spans="1:11">
      <c r="A55" s="4" t="s">
        <v>239</v>
      </c>
      <c r="B55" s="4">
        <v>69139</v>
      </c>
      <c r="C55" s="4">
        <v>78328</v>
      </c>
      <c r="D55" s="4">
        <v>91553</v>
      </c>
      <c r="E55" s="4">
        <v>89146</v>
      </c>
      <c r="F55" s="4">
        <v>98518</v>
      </c>
      <c r="G55" s="4">
        <v>126451</v>
      </c>
      <c r="H55" s="4">
        <v>69511</v>
      </c>
      <c r="I55" s="4">
        <v>76886</v>
      </c>
      <c r="J55" s="6" t="s">
        <v>13</v>
      </c>
      <c r="K55" s="6" t="s">
        <v>20</v>
      </c>
    </row>
    <row r="56" spans="1:11">
      <c r="A56" s="4" t="s">
        <v>134</v>
      </c>
      <c r="B56" s="4">
        <v>77602</v>
      </c>
      <c r="C56" s="4">
        <v>98935</v>
      </c>
      <c r="D56" s="4">
        <v>59707</v>
      </c>
      <c r="E56" s="4">
        <v>90156</v>
      </c>
      <c r="F56" s="4">
        <v>67534</v>
      </c>
      <c r="G56" s="4">
        <v>77949</v>
      </c>
      <c r="H56" s="4">
        <v>68753</v>
      </c>
      <c r="I56" s="4">
        <v>95319</v>
      </c>
      <c r="J56" s="6" t="s">
        <v>13</v>
      </c>
      <c r="K56" s="6" t="s">
        <v>20</v>
      </c>
    </row>
    <row r="57" spans="1:11">
      <c r="A57" s="4" t="s">
        <v>114</v>
      </c>
      <c r="B57" s="4">
        <v>96120</v>
      </c>
      <c r="C57" s="4">
        <v>69488</v>
      </c>
      <c r="D57" s="4">
        <v>69811</v>
      </c>
      <c r="E57" s="4">
        <v>61619</v>
      </c>
      <c r="F57" s="4">
        <v>68592</v>
      </c>
      <c r="G57" s="4">
        <v>89718</v>
      </c>
      <c r="H57" s="4">
        <v>91685</v>
      </c>
      <c r="I57" s="4">
        <v>62678</v>
      </c>
      <c r="J57" s="6" t="s">
        <v>13</v>
      </c>
      <c r="K57" s="6" t="s">
        <v>20</v>
      </c>
    </row>
    <row r="58" spans="1:11">
      <c r="A58" s="4" t="s">
        <v>235</v>
      </c>
      <c r="B58" s="4">
        <v>79078</v>
      </c>
      <c r="C58" s="4">
        <v>57526</v>
      </c>
      <c r="D58" s="4">
        <v>89888</v>
      </c>
      <c r="E58" s="4">
        <v>77964</v>
      </c>
      <c r="F58" s="4">
        <v>69779</v>
      </c>
      <c r="G58" s="4">
        <v>67996</v>
      </c>
      <c r="H58" s="4">
        <v>70373</v>
      </c>
      <c r="I58" s="4">
        <v>71721</v>
      </c>
      <c r="J58" s="6" t="s">
        <v>13</v>
      </c>
      <c r="K58" s="6" t="s">
        <v>20</v>
      </c>
    </row>
    <row r="59" spans="1:11">
      <c r="A59" s="4" t="s">
        <v>276</v>
      </c>
      <c r="B59" s="4">
        <v>56331</v>
      </c>
      <c r="C59" s="4">
        <v>77453</v>
      </c>
      <c r="D59" s="4">
        <v>49464</v>
      </c>
      <c r="E59" s="4">
        <v>79807</v>
      </c>
      <c r="F59" s="4">
        <v>76630</v>
      </c>
      <c r="G59" s="4">
        <v>77481</v>
      </c>
      <c r="H59" s="4">
        <v>56459</v>
      </c>
      <c r="I59" s="4">
        <v>60757</v>
      </c>
      <c r="J59" s="6" t="s">
        <v>13</v>
      </c>
      <c r="K59" s="6" t="s">
        <v>20</v>
      </c>
    </row>
    <row r="60" spans="1:11">
      <c r="A60" s="4" t="s">
        <v>73</v>
      </c>
      <c r="B60" s="4">
        <v>48838</v>
      </c>
      <c r="C60" s="4">
        <v>70380</v>
      </c>
      <c r="D60" s="4">
        <v>71926</v>
      </c>
      <c r="E60" s="4">
        <v>72903</v>
      </c>
      <c r="F60" s="4">
        <v>73024</v>
      </c>
      <c r="G60" s="4">
        <v>49235</v>
      </c>
      <c r="H60" s="4">
        <v>75527</v>
      </c>
      <c r="I60" s="4">
        <v>72489</v>
      </c>
      <c r="J60" s="6" t="s">
        <v>13</v>
      </c>
      <c r="K60" s="6" t="s">
        <v>20</v>
      </c>
    </row>
    <row r="61" spans="1:11">
      <c r="A61" s="4" t="s">
        <v>158</v>
      </c>
      <c r="B61" s="4">
        <v>65000</v>
      </c>
      <c r="C61" s="4">
        <v>56193</v>
      </c>
      <c r="D61" s="4">
        <v>48933</v>
      </c>
      <c r="E61" s="4">
        <v>61567</v>
      </c>
      <c r="F61" s="4">
        <v>47436</v>
      </c>
      <c r="G61" s="4">
        <v>75259</v>
      </c>
      <c r="H61" s="4">
        <v>41925</v>
      </c>
      <c r="I61" s="4">
        <v>45582</v>
      </c>
      <c r="J61" s="6" t="s">
        <v>13</v>
      </c>
      <c r="K61" s="6" t="s">
        <v>20</v>
      </c>
    </row>
    <row r="62" spans="1:11">
      <c r="A62" s="4" t="s">
        <v>148</v>
      </c>
      <c r="B62" s="4">
        <v>45620</v>
      </c>
      <c r="C62" s="4">
        <v>58067</v>
      </c>
      <c r="D62" s="4">
        <v>58176</v>
      </c>
      <c r="E62" s="4">
        <v>43216</v>
      </c>
      <c r="F62" s="4">
        <v>55803</v>
      </c>
      <c r="G62" s="4">
        <v>57162</v>
      </c>
      <c r="H62" s="4">
        <v>40751</v>
      </c>
      <c r="I62" s="4">
        <v>52909</v>
      </c>
      <c r="J62" s="6" t="s">
        <v>13</v>
      </c>
      <c r="K62" s="6" t="s">
        <v>20</v>
      </c>
    </row>
    <row r="63" spans="1:11">
      <c r="A63" s="4" t="s">
        <v>283</v>
      </c>
      <c r="B63" s="4">
        <v>46506</v>
      </c>
      <c r="C63" s="4">
        <v>61275</v>
      </c>
      <c r="D63" s="4">
        <v>51139</v>
      </c>
      <c r="E63" s="4">
        <v>49120</v>
      </c>
      <c r="F63" s="4">
        <v>58145</v>
      </c>
      <c r="G63" s="4">
        <v>41350</v>
      </c>
      <c r="H63" s="4">
        <v>59737</v>
      </c>
      <c r="I63" s="4">
        <v>39221</v>
      </c>
      <c r="J63" s="6" t="s">
        <v>13</v>
      </c>
      <c r="K63" s="6" t="s">
        <v>20</v>
      </c>
    </row>
    <row r="64" spans="1:11">
      <c r="A64" s="4" t="s">
        <v>178</v>
      </c>
      <c r="B64" s="4">
        <v>48337</v>
      </c>
      <c r="C64" s="4">
        <v>57844</v>
      </c>
      <c r="D64" s="4">
        <v>56994</v>
      </c>
      <c r="E64" s="4">
        <v>41926</v>
      </c>
      <c r="F64" s="4">
        <v>53313</v>
      </c>
      <c r="G64" s="4">
        <v>38963</v>
      </c>
      <c r="H64" s="4">
        <v>37324</v>
      </c>
      <c r="I64" s="4">
        <v>48874</v>
      </c>
      <c r="J64" s="6" t="s">
        <v>13</v>
      </c>
      <c r="K64" s="6" t="s">
        <v>20</v>
      </c>
    </row>
    <row r="65" spans="1:11">
      <c r="A65" s="4" t="s">
        <v>111</v>
      </c>
      <c r="B65" s="4">
        <v>51900</v>
      </c>
      <c r="C65" s="4">
        <v>47917</v>
      </c>
      <c r="D65" s="4">
        <v>36259</v>
      </c>
      <c r="E65" s="4">
        <v>31414</v>
      </c>
      <c r="F65" s="4">
        <v>56909</v>
      </c>
      <c r="G65" s="4">
        <v>52536</v>
      </c>
      <c r="H65" s="4">
        <v>52328</v>
      </c>
      <c r="I65" s="4">
        <v>51986</v>
      </c>
      <c r="J65" s="6" t="s">
        <v>13</v>
      </c>
      <c r="K65" s="6" t="s">
        <v>20</v>
      </c>
    </row>
    <row r="66" spans="1:11">
      <c r="A66" s="4" t="s">
        <v>219</v>
      </c>
      <c r="B66" s="4">
        <v>43488</v>
      </c>
      <c r="C66" s="4">
        <v>43113</v>
      </c>
      <c r="D66" s="4">
        <v>48418</v>
      </c>
      <c r="E66" s="4">
        <v>61574</v>
      </c>
      <c r="F66" s="4">
        <v>39499</v>
      </c>
      <c r="G66" s="4">
        <v>50893</v>
      </c>
      <c r="H66" s="4">
        <v>52155</v>
      </c>
      <c r="I66" s="4">
        <v>33935</v>
      </c>
      <c r="J66" s="6" t="s">
        <v>13</v>
      </c>
      <c r="K66" s="6" t="s">
        <v>20</v>
      </c>
    </row>
    <row r="67" spans="1:11">
      <c r="A67" s="4" t="s">
        <v>176</v>
      </c>
      <c r="B67" s="4">
        <v>41622</v>
      </c>
      <c r="C67" s="4">
        <v>29519</v>
      </c>
      <c r="D67" s="4">
        <v>48951</v>
      </c>
      <c r="E67" s="4">
        <v>33257</v>
      </c>
      <c r="F67" s="4">
        <v>41302</v>
      </c>
      <c r="G67" s="4">
        <v>43373</v>
      </c>
      <c r="H67" s="4">
        <v>45425</v>
      </c>
      <c r="I67" s="4">
        <v>35399</v>
      </c>
      <c r="J67" s="6" t="s">
        <v>13</v>
      </c>
      <c r="K67" s="6" t="s">
        <v>20</v>
      </c>
    </row>
    <row r="68" spans="1:11">
      <c r="A68" s="4" t="s">
        <v>264</v>
      </c>
      <c r="B68" s="4">
        <v>29931</v>
      </c>
      <c r="C68" s="4">
        <v>34706</v>
      </c>
      <c r="D68" s="4">
        <v>40542</v>
      </c>
      <c r="E68" s="4">
        <v>43369</v>
      </c>
      <c r="F68" s="4">
        <v>35015</v>
      </c>
      <c r="G68" s="4">
        <v>30652</v>
      </c>
      <c r="H68" s="4">
        <v>35399</v>
      </c>
      <c r="I68" s="4">
        <v>33547</v>
      </c>
      <c r="J68" s="6" t="s">
        <v>13</v>
      </c>
      <c r="K68" s="6" t="s">
        <v>20</v>
      </c>
    </row>
    <row r="69" spans="1:11">
      <c r="A69" s="4" t="s">
        <v>165</v>
      </c>
      <c r="B69" s="4">
        <v>38303</v>
      </c>
      <c r="C69" s="4">
        <v>41648</v>
      </c>
      <c r="D69" s="4">
        <v>37715</v>
      </c>
      <c r="E69" s="4">
        <v>24105</v>
      </c>
      <c r="F69" s="4">
        <v>27900</v>
      </c>
      <c r="G69" s="4">
        <v>29316</v>
      </c>
      <c r="H69" s="4">
        <v>40531</v>
      </c>
      <c r="I69" s="4">
        <v>36466</v>
      </c>
      <c r="J69" s="6" t="s">
        <v>13</v>
      </c>
      <c r="K69" s="6" t="s">
        <v>20</v>
      </c>
    </row>
    <row r="70" spans="1:11">
      <c r="A70" s="4" t="s">
        <v>177</v>
      </c>
      <c r="B70" s="4">
        <v>31846</v>
      </c>
      <c r="C70" s="4">
        <v>38550</v>
      </c>
      <c r="D70" s="4">
        <v>32691</v>
      </c>
      <c r="E70" s="4">
        <v>28136</v>
      </c>
      <c r="F70" s="4">
        <v>40001</v>
      </c>
      <c r="G70" s="4">
        <v>36667</v>
      </c>
      <c r="H70" s="4">
        <v>25861</v>
      </c>
      <c r="I70" s="4">
        <v>28328</v>
      </c>
      <c r="J70" s="6" t="s">
        <v>13</v>
      </c>
      <c r="K70" s="6" t="s">
        <v>20</v>
      </c>
    </row>
    <row r="71" spans="1:11">
      <c r="A71" s="4" t="s">
        <v>164</v>
      </c>
      <c r="B71" s="4">
        <v>29501</v>
      </c>
      <c r="C71" s="4">
        <v>28833</v>
      </c>
      <c r="D71" s="4">
        <v>29182</v>
      </c>
      <c r="E71" s="4">
        <v>27855</v>
      </c>
      <c r="F71" s="4">
        <v>31814</v>
      </c>
      <c r="G71" s="4">
        <v>28314</v>
      </c>
      <c r="H71" s="4">
        <v>38704</v>
      </c>
      <c r="I71" s="4">
        <v>43776</v>
      </c>
      <c r="J71" s="6" t="s">
        <v>13</v>
      </c>
      <c r="K71" s="6" t="s">
        <v>20</v>
      </c>
    </row>
    <row r="72" spans="1:11">
      <c r="A72" s="4" t="s">
        <v>127</v>
      </c>
      <c r="B72" s="4">
        <v>23255</v>
      </c>
      <c r="C72" s="4">
        <v>26163</v>
      </c>
      <c r="D72" s="4">
        <v>33186</v>
      </c>
      <c r="E72" s="4">
        <v>28178</v>
      </c>
      <c r="F72" s="4">
        <v>38498</v>
      </c>
      <c r="G72" s="4">
        <v>36108</v>
      </c>
      <c r="H72" s="4">
        <v>24688</v>
      </c>
      <c r="I72" s="4">
        <v>36095</v>
      </c>
      <c r="J72" s="6" t="s">
        <v>13</v>
      </c>
      <c r="K72" s="6" t="s">
        <v>20</v>
      </c>
    </row>
    <row r="73" spans="1:11">
      <c r="A73" s="4" t="s">
        <v>185</v>
      </c>
      <c r="B73" s="4">
        <v>26852</v>
      </c>
      <c r="C73" s="4">
        <v>20580</v>
      </c>
      <c r="D73" s="4">
        <v>31402</v>
      </c>
      <c r="E73" s="4">
        <v>24970</v>
      </c>
      <c r="F73" s="4">
        <v>35818</v>
      </c>
      <c r="G73" s="4">
        <v>21166</v>
      </c>
      <c r="H73" s="4">
        <v>24076</v>
      </c>
      <c r="I73" s="4">
        <v>36839</v>
      </c>
      <c r="J73" s="6" t="s">
        <v>13</v>
      </c>
      <c r="K73" s="6" t="s">
        <v>20</v>
      </c>
    </row>
    <row r="74" spans="1:11">
      <c r="A74" s="4" t="s">
        <v>76</v>
      </c>
      <c r="B74" s="4">
        <v>22347</v>
      </c>
      <c r="C74" s="4">
        <v>30055</v>
      </c>
      <c r="D74" s="4">
        <v>21814</v>
      </c>
      <c r="E74" s="4">
        <v>20468</v>
      </c>
      <c r="F74" s="4">
        <v>33119</v>
      </c>
      <c r="G74" s="4">
        <v>31550</v>
      </c>
      <c r="H74" s="4">
        <v>26866</v>
      </c>
      <c r="I74" s="4">
        <v>19855</v>
      </c>
      <c r="J74" s="6" t="s">
        <v>13</v>
      </c>
      <c r="K74" s="6" t="s">
        <v>20</v>
      </c>
    </row>
    <row r="75" spans="1:11">
      <c r="A75" s="4" t="s">
        <v>151</v>
      </c>
      <c r="B75" s="4">
        <v>22573</v>
      </c>
      <c r="C75" s="4">
        <v>16491</v>
      </c>
      <c r="D75" s="4">
        <v>28947</v>
      </c>
      <c r="E75" s="4">
        <v>28098</v>
      </c>
      <c r="F75" s="4">
        <v>24871</v>
      </c>
      <c r="G75" s="4">
        <v>26883</v>
      </c>
      <c r="H75" s="4">
        <v>24484</v>
      </c>
      <c r="I75" s="4">
        <v>21854</v>
      </c>
      <c r="J75" s="6" t="s">
        <v>13</v>
      </c>
      <c r="K75" s="6" t="s">
        <v>20</v>
      </c>
    </row>
    <row r="76" spans="1:11">
      <c r="A76" s="4" t="s">
        <v>175</v>
      </c>
      <c r="B76" s="4">
        <v>20928</v>
      </c>
      <c r="C76" s="4">
        <v>17822</v>
      </c>
      <c r="D76" s="4">
        <v>29109</v>
      </c>
      <c r="E76" s="4">
        <v>28398</v>
      </c>
      <c r="F76" s="4">
        <v>25871</v>
      </c>
      <c r="G76" s="4">
        <v>18303</v>
      </c>
      <c r="H76" s="4">
        <v>25788</v>
      </c>
      <c r="I76" s="4">
        <v>27559</v>
      </c>
      <c r="J76" s="6" t="s">
        <v>13</v>
      </c>
      <c r="K76" s="6" t="s">
        <v>20</v>
      </c>
    </row>
    <row r="77" spans="1:11">
      <c r="A77" s="4" t="s">
        <v>89</v>
      </c>
      <c r="B77" s="4">
        <v>19433</v>
      </c>
      <c r="C77" s="4">
        <v>19651</v>
      </c>
      <c r="D77" s="4">
        <v>28199</v>
      </c>
      <c r="E77" s="4">
        <v>25972</v>
      </c>
      <c r="F77" s="4">
        <v>19614</v>
      </c>
      <c r="G77" s="4">
        <v>25425</v>
      </c>
      <c r="H77" s="4">
        <v>25804</v>
      </c>
      <c r="I77" s="4">
        <v>22467</v>
      </c>
      <c r="J77" s="6" t="s">
        <v>13</v>
      </c>
      <c r="K77" s="6" t="s">
        <v>20</v>
      </c>
    </row>
    <row r="78" spans="1:11">
      <c r="A78" s="4" t="s">
        <v>240</v>
      </c>
      <c r="B78" s="4">
        <v>27143</v>
      </c>
      <c r="C78" s="4">
        <v>19102</v>
      </c>
      <c r="D78" s="4">
        <v>27320</v>
      </c>
      <c r="E78" s="4">
        <v>18959</v>
      </c>
      <c r="F78" s="4">
        <v>26504</v>
      </c>
      <c r="G78" s="4">
        <v>18767</v>
      </c>
      <c r="H78" s="4">
        <v>26621</v>
      </c>
      <c r="I78" s="4">
        <v>21034</v>
      </c>
      <c r="J78" s="6" t="s">
        <v>13</v>
      </c>
      <c r="K78" s="6" t="s">
        <v>20</v>
      </c>
    </row>
    <row r="79" spans="1:11">
      <c r="A79" s="4" t="s">
        <v>74</v>
      </c>
      <c r="B79" s="4">
        <v>130728</v>
      </c>
      <c r="C79" s="4">
        <v>236463</v>
      </c>
      <c r="D79" s="4">
        <v>286103</v>
      </c>
      <c r="E79" s="4">
        <v>95959</v>
      </c>
      <c r="F79" s="4">
        <v>273948</v>
      </c>
      <c r="G79" s="4">
        <v>37731</v>
      </c>
      <c r="H79" s="4">
        <v>226890</v>
      </c>
      <c r="I79" s="4">
        <v>128512</v>
      </c>
      <c r="J79" s="6" t="s">
        <v>13</v>
      </c>
      <c r="K79" s="6" t="s">
        <v>19</v>
      </c>
    </row>
    <row r="80" spans="1:11">
      <c r="A80" s="4" t="s">
        <v>159</v>
      </c>
      <c r="B80" s="4">
        <v>105877</v>
      </c>
      <c r="C80" s="4">
        <v>355725</v>
      </c>
      <c r="D80" s="4">
        <v>295403</v>
      </c>
      <c r="E80" s="4">
        <v>136486</v>
      </c>
      <c r="F80" s="4">
        <v>50753</v>
      </c>
      <c r="G80" s="4">
        <v>63301</v>
      </c>
      <c r="H80" s="4">
        <v>334894</v>
      </c>
      <c r="I80" s="4">
        <v>45493</v>
      </c>
      <c r="J80" s="6" t="s">
        <v>13</v>
      </c>
      <c r="K80" s="6" t="s">
        <v>19</v>
      </c>
    </row>
    <row r="81" spans="1:11">
      <c r="A81" s="4" t="s">
        <v>133</v>
      </c>
      <c r="B81" s="4">
        <v>211636</v>
      </c>
      <c r="C81" s="4">
        <v>30490</v>
      </c>
      <c r="D81" s="4">
        <v>197476</v>
      </c>
      <c r="E81" s="4">
        <v>82485</v>
      </c>
      <c r="F81" s="4">
        <v>242676</v>
      </c>
      <c r="G81" s="4">
        <v>89540</v>
      </c>
      <c r="H81" s="4">
        <v>212049</v>
      </c>
      <c r="I81" s="4">
        <v>218590</v>
      </c>
      <c r="J81" s="6" t="s">
        <v>13</v>
      </c>
      <c r="K81" s="6" t="s">
        <v>19</v>
      </c>
    </row>
    <row r="82" spans="1:11">
      <c r="A82" s="4" t="s">
        <v>84</v>
      </c>
      <c r="B82" s="4">
        <v>301051</v>
      </c>
      <c r="C82" s="4">
        <v>43950</v>
      </c>
      <c r="D82" s="4">
        <v>36063</v>
      </c>
      <c r="E82" s="4">
        <v>237377</v>
      </c>
      <c r="F82" s="4">
        <v>255939</v>
      </c>
      <c r="G82" s="4">
        <v>204030</v>
      </c>
      <c r="H82" s="4">
        <v>46386</v>
      </c>
      <c r="I82" s="4">
        <v>119785</v>
      </c>
      <c r="J82" s="6" t="s">
        <v>13</v>
      </c>
      <c r="K82" s="6" t="s">
        <v>19</v>
      </c>
    </row>
    <row r="83" spans="1:11">
      <c r="A83" s="4" t="s">
        <v>93</v>
      </c>
      <c r="B83" s="4">
        <v>217580</v>
      </c>
      <c r="C83" s="4">
        <v>108546</v>
      </c>
      <c r="D83" s="4">
        <v>76494</v>
      </c>
      <c r="E83" s="4">
        <v>74759</v>
      </c>
      <c r="F83" s="4">
        <v>200230</v>
      </c>
      <c r="G83" s="4">
        <v>73810</v>
      </c>
      <c r="H83" s="4">
        <v>205076</v>
      </c>
      <c r="I83" s="4">
        <v>247366</v>
      </c>
      <c r="J83" s="6" t="s">
        <v>13</v>
      </c>
      <c r="K83" s="6" t="s">
        <v>19</v>
      </c>
    </row>
    <row r="84" spans="1:11">
      <c r="A84" s="4" t="s">
        <v>277</v>
      </c>
      <c r="B84" s="4">
        <v>23888</v>
      </c>
      <c r="C84" s="4">
        <v>165036</v>
      </c>
      <c r="D84" s="4">
        <v>32906</v>
      </c>
      <c r="E84" s="4">
        <v>198319</v>
      </c>
      <c r="F84" s="4">
        <v>188123</v>
      </c>
      <c r="G84" s="4">
        <v>161296</v>
      </c>
      <c r="H84" s="4">
        <v>222477</v>
      </c>
      <c r="I84" s="4">
        <v>84130</v>
      </c>
      <c r="J84" s="6" t="s">
        <v>13</v>
      </c>
      <c r="K84" s="6" t="s">
        <v>19</v>
      </c>
    </row>
    <row r="85" spans="1:11">
      <c r="A85" s="4" t="s">
        <v>107</v>
      </c>
      <c r="B85" s="4">
        <v>157895</v>
      </c>
      <c r="C85" s="4">
        <v>174828</v>
      </c>
      <c r="D85" s="4">
        <v>25666</v>
      </c>
      <c r="E85" s="4">
        <v>172912</v>
      </c>
      <c r="F85" s="4">
        <v>58834</v>
      </c>
      <c r="G85" s="4">
        <v>205205</v>
      </c>
      <c r="H85" s="4">
        <v>56632</v>
      </c>
      <c r="I85" s="4">
        <v>222102</v>
      </c>
      <c r="J85" s="6" t="s">
        <v>13</v>
      </c>
      <c r="K85" s="6" t="s">
        <v>19</v>
      </c>
    </row>
    <row r="86" spans="1:11">
      <c r="A86" s="4" t="s">
        <v>106</v>
      </c>
      <c r="B86" s="4">
        <v>70719</v>
      </c>
      <c r="C86" s="4">
        <v>48284</v>
      </c>
      <c r="D86" s="4">
        <v>49683</v>
      </c>
      <c r="E86" s="4">
        <v>166019</v>
      </c>
      <c r="F86" s="4">
        <v>136536</v>
      </c>
      <c r="G86" s="4">
        <v>166050</v>
      </c>
      <c r="H86" s="4">
        <v>122081</v>
      </c>
      <c r="I86" s="4">
        <v>136941</v>
      </c>
      <c r="J86" s="6" t="s">
        <v>13</v>
      </c>
      <c r="K86" s="6" t="s">
        <v>19</v>
      </c>
    </row>
    <row r="87" spans="1:11">
      <c r="A87" s="4" t="s">
        <v>100</v>
      </c>
      <c r="B87" s="4">
        <v>20629</v>
      </c>
      <c r="C87" s="4">
        <v>62167</v>
      </c>
      <c r="D87" s="4">
        <v>221204</v>
      </c>
      <c r="E87" s="4">
        <v>41138</v>
      </c>
      <c r="F87" s="4">
        <v>186877</v>
      </c>
      <c r="G87" s="4">
        <v>24919</v>
      </c>
      <c r="H87" s="4">
        <v>86747</v>
      </c>
      <c r="I87" s="4">
        <v>180138</v>
      </c>
      <c r="J87" s="6" t="s">
        <v>13</v>
      </c>
      <c r="K87" s="6" t="s">
        <v>19</v>
      </c>
    </row>
    <row r="88" spans="1:11">
      <c r="A88" s="4" t="s">
        <v>61</v>
      </c>
      <c r="B88" s="4">
        <v>71905</v>
      </c>
      <c r="C88" s="4">
        <v>24092</v>
      </c>
      <c r="D88" s="4">
        <v>32444</v>
      </c>
      <c r="E88" s="4">
        <v>175694</v>
      </c>
      <c r="F88" s="4">
        <v>20174</v>
      </c>
      <c r="G88" s="4">
        <v>152402</v>
      </c>
      <c r="H88" s="4">
        <v>23707</v>
      </c>
      <c r="I88" s="4">
        <v>125274</v>
      </c>
      <c r="J88" s="6" t="s">
        <v>13</v>
      </c>
      <c r="K88" s="6" t="s">
        <v>19</v>
      </c>
    </row>
    <row r="89" spans="1:11">
      <c r="A89" s="4" t="s">
        <v>182</v>
      </c>
      <c r="B89" s="4">
        <v>26723</v>
      </c>
      <c r="C89" s="4">
        <v>41581</v>
      </c>
      <c r="D89" s="4">
        <v>131523</v>
      </c>
      <c r="E89" s="4">
        <v>42565</v>
      </c>
      <c r="F89" s="4">
        <v>96958</v>
      </c>
      <c r="G89" s="4">
        <v>94718</v>
      </c>
      <c r="H89" s="4">
        <v>121767</v>
      </c>
      <c r="I89" s="4">
        <v>40911</v>
      </c>
      <c r="J89" s="6" t="s">
        <v>13</v>
      </c>
      <c r="K89" s="6" t="s">
        <v>19</v>
      </c>
    </row>
    <row r="90" spans="1:11">
      <c r="A90" s="4" t="s">
        <v>211</v>
      </c>
      <c r="B90" s="4">
        <v>54165</v>
      </c>
      <c r="C90" s="4">
        <v>136608</v>
      </c>
      <c r="D90" s="4">
        <v>102739</v>
      </c>
      <c r="E90" s="4">
        <v>17201</v>
      </c>
      <c r="F90" s="4">
        <v>17215</v>
      </c>
      <c r="G90" s="4">
        <v>120409</v>
      </c>
      <c r="H90" s="4">
        <v>24802</v>
      </c>
      <c r="I90" s="4">
        <v>45711</v>
      </c>
      <c r="J90" s="6" t="s">
        <v>13</v>
      </c>
      <c r="K90" s="6" t="s">
        <v>19</v>
      </c>
    </row>
    <row r="91" spans="1:11">
      <c r="A91" s="4" t="s">
        <v>212</v>
      </c>
      <c r="B91" s="4">
        <v>32525</v>
      </c>
      <c r="C91" s="4">
        <v>65497</v>
      </c>
      <c r="D91" s="4">
        <v>133894</v>
      </c>
      <c r="E91" s="4">
        <v>26936</v>
      </c>
      <c r="F91" s="4">
        <v>169888</v>
      </c>
      <c r="G91" s="4">
        <v>43037</v>
      </c>
      <c r="H91" s="4">
        <v>20236</v>
      </c>
      <c r="I91" s="4">
        <v>25065</v>
      </c>
      <c r="J91" s="6" t="s">
        <v>13</v>
      </c>
      <c r="K91" s="6" t="s">
        <v>19</v>
      </c>
    </row>
    <row r="92" spans="1:11">
      <c r="A92" s="4" t="s">
        <v>220</v>
      </c>
      <c r="B92" s="4">
        <v>109212</v>
      </c>
      <c r="C92" s="4">
        <v>95815</v>
      </c>
      <c r="D92" s="4">
        <v>11766</v>
      </c>
      <c r="E92" s="4">
        <v>92607</v>
      </c>
      <c r="F92" s="4">
        <v>22646</v>
      </c>
      <c r="G92" s="4">
        <v>45272</v>
      </c>
      <c r="H92" s="4">
        <v>17810</v>
      </c>
      <c r="I92" s="4">
        <v>119302</v>
      </c>
      <c r="J92" s="6" t="s">
        <v>13</v>
      </c>
      <c r="K92" s="6" t="s">
        <v>19</v>
      </c>
    </row>
    <row r="93" spans="1:11">
      <c r="A93" s="4" t="s">
        <v>137</v>
      </c>
      <c r="B93" s="4">
        <v>89169</v>
      </c>
      <c r="C93" s="4">
        <v>12378</v>
      </c>
      <c r="D93" s="4">
        <v>18578</v>
      </c>
      <c r="E93" s="4">
        <v>102619</v>
      </c>
      <c r="F93" s="4">
        <v>15826</v>
      </c>
      <c r="G93" s="4">
        <v>84688</v>
      </c>
      <c r="H93" s="4">
        <v>92993</v>
      </c>
      <c r="I93" s="4">
        <v>9372</v>
      </c>
      <c r="J93" s="6" t="s">
        <v>13</v>
      </c>
      <c r="K93" s="6" t="s">
        <v>19</v>
      </c>
    </row>
    <row r="94" spans="1:11">
      <c r="A94" s="4" t="s">
        <v>82</v>
      </c>
      <c r="B94" s="4">
        <v>103854</v>
      </c>
      <c r="C94" s="4">
        <v>68992</v>
      </c>
      <c r="D94" s="4">
        <v>19728</v>
      </c>
      <c r="E94" s="4">
        <v>80505</v>
      </c>
      <c r="F94" s="4">
        <v>18382</v>
      </c>
      <c r="G94" s="4">
        <v>87351</v>
      </c>
      <c r="H94" s="4">
        <v>27499</v>
      </c>
      <c r="I94" s="4">
        <v>9179</v>
      </c>
      <c r="J94" s="6" t="s">
        <v>13</v>
      </c>
      <c r="K94" s="6" t="s">
        <v>19</v>
      </c>
    </row>
    <row r="95" spans="1:11">
      <c r="A95" s="4" t="s">
        <v>188</v>
      </c>
      <c r="B95" s="4">
        <v>47151</v>
      </c>
      <c r="C95" s="4">
        <v>20114</v>
      </c>
      <c r="D95" s="4">
        <v>142125</v>
      </c>
      <c r="E95" s="4">
        <v>26323</v>
      </c>
      <c r="F95" s="4">
        <v>42693</v>
      </c>
      <c r="G95" s="4">
        <v>41622</v>
      </c>
      <c r="H95" s="4">
        <v>23827</v>
      </c>
      <c r="I95" s="4">
        <v>55882</v>
      </c>
      <c r="J95" s="6" t="s">
        <v>13</v>
      </c>
      <c r="K95" s="6" t="s">
        <v>19</v>
      </c>
    </row>
    <row r="96" spans="1:11">
      <c r="A96" s="4" t="s">
        <v>143</v>
      </c>
      <c r="B96" s="4">
        <v>67640</v>
      </c>
      <c r="C96" s="4">
        <v>33667</v>
      </c>
      <c r="D96" s="4">
        <v>14718</v>
      </c>
      <c r="E96" s="4">
        <v>9758</v>
      </c>
      <c r="F96" s="4">
        <v>36253</v>
      </c>
      <c r="G96" s="4">
        <v>64690</v>
      </c>
      <c r="H96" s="4">
        <v>86899</v>
      </c>
      <c r="I96" s="4">
        <v>84503</v>
      </c>
      <c r="J96" s="6" t="s">
        <v>13</v>
      </c>
      <c r="K96" s="6" t="s">
        <v>19</v>
      </c>
    </row>
    <row r="97" spans="1:11">
      <c r="A97" s="4" t="s">
        <v>221</v>
      </c>
      <c r="B97" s="4">
        <v>49366</v>
      </c>
      <c r="C97" s="4">
        <v>45316</v>
      </c>
      <c r="D97" s="4">
        <v>48873</v>
      </c>
      <c r="E97" s="4">
        <v>95488</v>
      </c>
      <c r="F97" s="4">
        <v>19964</v>
      </c>
      <c r="G97" s="4">
        <v>43563</v>
      </c>
      <c r="H97" s="4">
        <v>49453</v>
      </c>
      <c r="I97" s="4">
        <v>24952</v>
      </c>
      <c r="J97" s="6" t="s">
        <v>13</v>
      </c>
      <c r="K97" s="6" t="s">
        <v>19</v>
      </c>
    </row>
    <row r="98" spans="1:11">
      <c r="A98" s="4" t="s">
        <v>66</v>
      </c>
      <c r="B98" s="4">
        <v>9609</v>
      </c>
      <c r="C98" s="4">
        <v>20194</v>
      </c>
      <c r="D98" s="4">
        <v>35315</v>
      </c>
      <c r="E98" s="4">
        <v>73940</v>
      </c>
      <c r="F98" s="4">
        <v>43757</v>
      </c>
      <c r="G98" s="4">
        <v>73362</v>
      </c>
      <c r="H98" s="4">
        <v>41513</v>
      </c>
      <c r="I98" s="4">
        <v>72137</v>
      </c>
      <c r="J98" s="6" t="s">
        <v>13</v>
      </c>
      <c r="K98" s="6" t="s">
        <v>19</v>
      </c>
    </row>
    <row r="99" spans="1:11">
      <c r="A99" s="4" t="s">
        <v>83</v>
      </c>
      <c r="B99" s="4">
        <v>33655</v>
      </c>
      <c r="C99" s="4">
        <v>9947</v>
      </c>
      <c r="D99" s="4">
        <v>104523</v>
      </c>
      <c r="E99" s="4">
        <v>41111</v>
      </c>
      <c r="F99" s="4">
        <v>16925</v>
      </c>
      <c r="G99" s="4">
        <v>16654</v>
      </c>
      <c r="H99" s="4">
        <v>108643</v>
      </c>
      <c r="I99" s="4">
        <v>29524</v>
      </c>
      <c r="J99" s="6" t="s">
        <v>13</v>
      </c>
      <c r="K99" s="6" t="s">
        <v>19</v>
      </c>
    </row>
    <row r="100" spans="1:11">
      <c r="A100" s="4" t="s">
        <v>245</v>
      </c>
      <c r="B100" s="4">
        <v>13010</v>
      </c>
      <c r="C100" s="4">
        <v>70578</v>
      </c>
      <c r="D100" s="4">
        <v>34251</v>
      </c>
      <c r="E100" s="4">
        <v>22727</v>
      </c>
      <c r="F100" s="4">
        <v>77156</v>
      </c>
      <c r="G100" s="4">
        <v>16158</v>
      </c>
      <c r="H100" s="4">
        <v>91851</v>
      </c>
      <c r="I100" s="4">
        <v>27734</v>
      </c>
      <c r="J100" s="6" t="s">
        <v>13</v>
      </c>
      <c r="K100" s="6" t="s">
        <v>19</v>
      </c>
    </row>
    <row r="101" spans="1:11">
      <c r="A101" s="4" t="s">
        <v>157</v>
      </c>
      <c r="B101" s="4">
        <v>76750</v>
      </c>
      <c r="C101" s="4">
        <v>80234</v>
      </c>
      <c r="D101" s="4">
        <v>12547</v>
      </c>
      <c r="E101" s="4">
        <v>27129</v>
      </c>
      <c r="F101" s="4">
        <v>9455</v>
      </c>
      <c r="G101" s="4">
        <v>28056</v>
      </c>
      <c r="H101" s="4">
        <v>28827</v>
      </c>
      <c r="I101" s="4">
        <v>65293</v>
      </c>
      <c r="J101" s="6" t="s">
        <v>13</v>
      </c>
      <c r="K101" s="6" t="s">
        <v>19</v>
      </c>
    </row>
    <row r="102" spans="1:11">
      <c r="A102" s="4" t="s">
        <v>223</v>
      </c>
      <c r="B102" s="4">
        <v>53529</v>
      </c>
      <c r="C102" s="4">
        <v>13498</v>
      </c>
      <c r="D102" s="4">
        <v>57839</v>
      </c>
      <c r="E102" s="4">
        <v>8592</v>
      </c>
      <c r="F102" s="4">
        <v>72409</v>
      </c>
      <c r="G102" s="4">
        <v>33350</v>
      </c>
      <c r="H102" s="4">
        <v>23063</v>
      </c>
      <c r="I102" s="4">
        <v>54944</v>
      </c>
      <c r="J102" s="6" t="s">
        <v>13</v>
      </c>
      <c r="K102" s="6" t="s">
        <v>19</v>
      </c>
    </row>
    <row r="103" spans="1:11">
      <c r="A103" s="4" t="s">
        <v>113</v>
      </c>
      <c r="B103" s="4">
        <v>21359</v>
      </c>
      <c r="C103" s="4">
        <v>25065</v>
      </c>
      <c r="D103" s="4">
        <v>69542</v>
      </c>
      <c r="E103" s="4">
        <v>23946</v>
      </c>
      <c r="F103" s="4">
        <v>56491</v>
      </c>
      <c r="G103" s="4">
        <v>13752</v>
      </c>
      <c r="H103" s="4">
        <v>22240</v>
      </c>
      <c r="I103" s="4">
        <v>68646</v>
      </c>
      <c r="J103" s="6" t="s">
        <v>13</v>
      </c>
      <c r="K103" s="6" t="s">
        <v>19</v>
      </c>
    </row>
    <row r="104" spans="1:11">
      <c r="A104" s="4" t="s">
        <v>190</v>
      </c>
      <c r="B104" s="4">
        <v>43140</v>
      </c>
      <c r="C104" s="4">
        <v>56059</v>
      </c>
      <c r="D104" s="4">
        <v>51975</v>
      </c>
      <c r="E104" s="4">
        <v>14061</v>
      </c>
      <c r="F104" s="4">
        <v>7541</v>
      </c>
      <c r="G104" s="4">
        <v>20557</v>
      </c>
      <c r="H104" s="4">
        <v>57460</v>
      </c>
      <c r="I104" s="4">
        <v>22868</v>
      </c>
      <c r="J104" s="6" t="s">
        <v>13</v>
      </c>
      <c r="K104" s="6" t="s">
        <v>19</v>
      </c>
    </row>
    <row r="105" spans="1:11">
      <c r="A105" s="4" t="s">
        <v>60</v>
      </c>
      <c r="B105" s="4">
        <v>23669</v>
      </c>
      <c r="C105" s="4">
        <v>47231</v>
      </c>
      <c r="D105" s="4">
        <v>20674</v>
      </c>
      <c r="E105" s="4">
        <v>26491</v>
      </c>
      <c r="F105" s="4">
        <v>19442</v>
      </c>
      <c r="G105" s="4">
        <v>62021</v>
      </c>
      <c r="H105" s="4">
        <v>9851</v>
      </c>
      <c r="I105" s="4">
        <v>50405</v>
      </c>
      <c r="J105" s="6" t="s">
        <v>13</v>
      </c>
      <c r="K105" s="6" t="s">
        <v>19</v>
      </c>
    </row>
    <row r="106" spans="1:11">
      <c r="A106" s="4" t="s">
        <v>65</v>
      </c>
      <c r="B106" s="4">
        <v>39150</v>
      </c>
      <c r="C106" s="4">
        <v>35955</v>
      </c>
      <c r="D106" s="4">
        <v>40142</v>
      </c>
      <c r="E106" s="4">
        <v>5200</v>
      </c>
      <c r="F106" s="4">
        <v>9034</v>
      </c>
      <c r="G106" s="4">
        <v>7447</v>
      </c>
      <c r="H106" s="4">
        <v>53022</v>
      </c>
      <c r="I106" s="4">
        <v>45130</v>
      </c>
      <c r="J106" s="6" t="s">
        <v>13</v>
      </c>
      <c r="K106" s="6" t="s">
        <v>19</v>
      </c>
    </row>
    <row r="107" spans="1:11">
      <c r="A107" s="4" t="s">
        <v>234</v>
      </c>
      <c r="B107" s="4">
        <v>10025</v>
      </c>
      <c r="C107" s="4">
        <v>8097</v>
      </c>
      <c r="D107" s="4">
        <v>20081</v>
      </c>
      <c r="E107" s="4">
        <v>9882</v>
      </c>
      <c r="F107" s="4">
        <v>49497</v>
      </c>
      <c r="G107" s="4">
        <v>46977</v>
      </c>
      <c r="H107" s="4">
        <v>49061</v>
      </c>
      <c r="I107" s="4">
        <v>40442</v>
      </c>
      <c r="J107" s="6" t="s">
        <v>13</v>
      </c>
      <c r="K107" s="6" t="s">
        <v>19</v>
      </c>
    </row>
    <row r="108" spans="1:11">
      <c r="A108" s="4" t="s">
        <v>266</v>
      </c>
      <c r="B108" s="4">
        <v>51010</v>
      </c>
      <c r="C108" s="4">
        <v>20853</v>
      </c>
      <c r="D108" s="4">
        <v>24351</v>
      </c>
      <c r="E108" s="4">
        <v>14050</v>
      </c>
      <c r="F108" s="4">
        <v>56793</v>
      </c>
      <c r="G108" s="4">
        <v>6795</v>
      </c>
      <c r="H108" s="4">
        <v>28515</v>
      </c>
      <c r="I108" s="4">
        <v>21050</v>
      </c>
      <c r="J108" s="6" t="s">
        <v>13</v>
      </c>
      <c r="K108" s="6" t="s">
        <v>19</v>
      </c>
    </row>
    <row r="109" spans="1:11">
      <c r="A109" s="4" t="s">
        <v>85</v>
      </c>
      <c r="B109" s="4">
        <v>7009</v>
      </c>
      <c r="C109" s="4">
        <v>47284</v>
      </c>
      <c r="D109" s="4">
        <v>13989</v>
      </c>
      <c r="E109" s="4">
        <v>16052</v>
      </c>
      <c r="F109" s="4">
        <v>40433</v>
      </c>
      <c r="G109" s="4">
        <v>10056</v>
      </c>
      <c r="H109" s="4">
        <v>40430</v>
      </c>
      <c r="I109" s="4">
        <v>46274</v>
      </c>
      <c r="J109" s="6" t="s">
        <v>13</v>
      </c>
      <c r="K109" s="6" t="s">
        <v>19</v>
      </c>
    </row>
    <row r="110" spans="1:11">
      <c r="A110" s="4" t="s">
        <v>260</v>
      </c>
      <c r="B110" s="4">
        <v>28699</v>
      </c>
      <c r="C110" s="4">
        <v>5676</v>
      </c>
      <c r="D110" s="4">
        <v>31283</v>
      </c>
      <c r="E110" s="4">
        <v>29406</v>
      </c>
      <c r="F110" s="4">
        <v>25560</v>
      </c>
      <c r="G110" s="4">
        <v>34507</v>
      </c>
      <c r="H110" s="4">
        <v>33587</v>
      </c>
      <c r="I110" s="4">
        <v>24075</v>
      </c>
      <c r="J110" s="6" t="s">
        <v>13</v>
      </c>
      <c r="K110" s="6" t="s">
        <v>19</v>
      </c>
    </row>
    <row r="111" spans="1:11">
      <c r="A111" s="4" t="s">
        <v>243</v>
      </c>
      <c r="B111" s="4">
        <v>35201</v>
      </c>
      <c r="C111" s="4">
        <v>11403</v>
      </c>
      <c r="D111" s="4">
        <v>42285</v>
      </c>
      <c r="E111" s="4">
        <v>41842</v>
      </c>
      <c r="F111" s="4">
        <v>5200</v>
      </c>
      <c r="G111" s="4">
        <v>39873</v>
      </c>
      <c r="H111" s="4">
        <v>14029</v>
      </c>
      <c r="I111" s="4">
        <v>7468</v>
      </c>
      <c r="J111" s="6" t="s">
        <v>13</v>
      </c>
      <c r="K111" s="6" t="s">
        <v>19</v>
      </c>
    </row>
    <row r="112" spans="1:11">
      <c r="A112" s="4" t="s">
        <v>103</v>
      </c>
      <c r="B112" s="4">
        <v>26791</v>
      </c>
      <c r="C112" s="4">
        <v>29969</v>
      </c>
      <c r="D112" s="4">
        <v>29297</v>
      </c>
      <c r="E112" s="4">
        <v>30819</v>
      </c>
      <c r="F112" s="4">
        <v>28910</v>
      </c>
      <c r="G112" s="4">
        <v>9907</v>
      </c>
      <c r="H112" s="4">
        <v>16415</v>
      </c>
      <c r="I112" s="4">
        <v>14245</v>
      </c>
      <c r="J112" s="6" t="s">
        <v>13</v>
      </c>
      <c r="K112" s="6" t="s">
        <v>19</v>
      </c>
    </row>
    <row r="113" spans="1:11">
      <c r="A113" s="4" t="s">
        <v>146</v>
      </c>
      <c r="B113" s="4">
        <v>23190</v>
      </c>
      <c r="C113" s="4">
        <v>23629</v>
      </c>
      <c r="D113" s="4">
        <v>22459</v>
      </c>
      <c r="E113" s="4">
        <v>22927</v>
      </c>
      <c r="F113" s="4">
        <v>23774</v>
      </c>
      <c r="G113" s="4">
        <v>23534</v>
      </c>
      <c r="H113" s="4">
        <v>22996</v>
      </c>
      <c r="I113" s="4">
        <v>22833</v>
      </c>
      <c r="J113" s="6" t="s">
        <v>14</v>
      </c>
      <c r="K113" s="6" t="s">
        <v>21</v>
      </c>
    </row>
    <row r="114" spans="1:11">
      <c r="A114" s="4" t="s">
        <v>274</v>
      </c>
      <c r="B114" s="4">
        <v>23141</v>
      </c>
      <c r="C114" s="4">
        <v>22804</v>
      </c>
      <c r="D114" s="4">
        <v>22240</v>
      </c>
      <c r="E114" s="4">
        <v>23285</v>
      </c>
      <c r="F114" s="4">
        <v>23660</v>
      </c>
      <c r="G114" s="4">
        <v>23057</v>
      </c>
      <c r="H114" s="4">
        <v>23153</v>
      </c>
      <c r="I114" s="4">
        <v>23012</v>
      </c>
      <c r="J114" s="6" t="s">
        <v>14</v>
      </c>
      <c r="K114" s="6" t="s">
        <v>21</v>
      </c>
    </row>
    <row r="115" spans="1:11">
      <c r="A115" s="4" t="s">
        <v>202</v>
      </c>
      <c r="B115" s="4">
        <v>22658</v>
      </c>
      <c r="C115" s="4">
        <v>21715</v>
      </c>
      <c r="D115" s="4">
        <v>22110</v>
      </c>
      <c r="E115" s="4">
        <v>22302</v>
      </c>
      <c r="F115" s="4">
        <v>21793</v>
      </c>
      <c r="G115" s="4">
        <v>21696</v>
      </c>
      <c r="H115" s="4">
        <v>22298</v>
      </c>
      <c r="I115" s="4">
        <v>22106</v>
      </c>
      <c r="J115" s="6" t="s">
        <v>14</v>
      </c>
      <c r="K115" s="6" t="s">
        <v>21</v>
      </c>
    </row>
    <row r="116" spans="1:11">
      <c r="A116" s="4" t="s">
        <v>47</v>
      </c>
      <c r="B116" s="4">
        <v>22141</v>
      </c>
      <c r="C116" s="4">
        <v>20664</v>
      </c>
      <c r="D116" s="4">
        <v>21213</v>
      </c>
      <c r="E116" s="4">
        <v>20992</v>
      </c>
      <c r="F116" s="4">
        <v>22372</v>
      </c>
      <c r="G116" s="4">
        <v>21019</v>
      </c>
      <c r="H116" s="4">
        <v>21828</v>
      </c>
      <c r="I116" s="4">
        <v>22060</v>
      </c>
      <c r="J116" s="6" t="s">
        <v>14</v>
      </c>
      <c r="K116" s="6" t="s">
        <v>21</v>
      </c>
    </row>
    <row r="117" spans="1:11">
      <c r="A117" s="4" t="s">
        <v>226</v>
      </c>
      <c r="B117" s="4">
        <v>21523</v>
      </c>
      <c r="C117" s="4">
        <v>22166</v>
      </c>
      <c r="D117" s="4">
        <v>20510</v>
      </c>
      <c r="E117" s="4">
        <v>20651</v>
      </c>
      <c r="F117" s="4">
        <v>21149</v>
      </c>
      <c r="G117" s="4">
        <v>21805</v>
      </c>
      <c r="H117" s="4">
        <v>21171</v>
      </c>
      <c r="I117" s="4">
        <v>21044</v>
      </c>
      <c r="J117" s="6" t="s">
        <v>14</v>
      </c>
      <c r="K117" s="6" t="s">
        <v>21</v>
      </c>
    </row>
    <row r="118" spans="1:11">
      <c r="A118" s="4" t="s">
        <v>275</v>
      </c>
      <c r="B118" s="4">
        <v>20168</v>
      </c>
      <c r="C118" s="4">
        <v>20881</v>
      </c>
      <c r="D118" s="4">
        <v>20801</v>
      </c>
      <c r="E118" s="4">
        <v>21382</v>
      </c>
      <c r="F118" s="4">
        <v>20110</v>
      </c>
      <c r="G118" s="4">
        <v>21500</v>
      </c>
      <c r="H118" s="4">
        <v>19928</v>
      </c>
      <c r="I118" s="4">
        <v>20524</v>
      </c>
      <c r="J118" s="6" t="s">
        <v>14</v>
      </c>
      <c r="K118" s="6" t="s">
        <v>21</v>
      </c>
    </row>
    <row r="119" spans="1:11">
      <c r="A119" s="4" t="s">
        <v>130</v>
      </c>
      <c r="B119" s="4">
        <v>18320</v>
      </c>
      <c r="C119" s="4">
        <v>18924</v>
      </c>
      <c r="D119" s="4">
        <v>19618</v>
      </c>
      <c r="E119" s="4">
        <v>19425</v>
      </c>
      <c r="F119" s="4">
        <v>19631</v>
      </c>
      <c r="G119" s="4">
        <v>18958</v>
      </c>
      <c r="H119" s="4">
        <v>19282</v>
      </c>
      <c r="I119" s="4">
        <v>18276</v>
      </c>
      <c r="J119" s="6" t="s">
        <v>14</v>
      </c>
      <c r="K119" s="6" t="s">
        <v>21</v>
      </c>
    </row>
    <row r="120" spans="1:11">
      <c r="A120" s="4" t="s">
        <v>201</v>
      </c>
      <c r="B120" s="4">
        <v>18278</v>
      </c>
      <c r="C120" s="4">
        <v>19227</v>
      </c>
      <c r="D120" s="4">
        <v>19244</v>
      </c>
      <c r="E120" s="4">
        <v>18102</v>
      </c>
      <c r="F120" s="4">
        <v>19500</v>
      </c>
      <c r="G120" s="4">
        <v>18128</v>
      </c>
      <c r="H120" s="4">
        <v>19035</v>
      </c>
      <c r="I120" s="4">
        <v>19007</v>
      </c>
      <c r="J120" s="6" t="s">
        <v>14</v>
      </c>
      <c r="K120" s="6" t="s">
        <v>21</v>
      </c>
    </row>
    <row r="121" spans="1:11">
      <c r="A121" s="4" t="s">
        <v>170</v>
      </c>
      <c r="B121" s="4">
        <v>18334</v>
      </c>
      <c r="C121" s="4">
        <v>19276</v>
      </c>
      <c r="D121" s="4">
        <v>19420</v>
      </c>
      <c r="E121" s="4">
        <v>18191</v>
      </c>
      <c r="F121" s="4">
        <v>18299</v>
      </c>
      <c r="G121" s="4">
        <v>18263</v>
      </c>
      <c r="H121" s="4">
        <v>19174</v>
      </c>
      <c r="I121" s="4">
        <v>18814</v>
      </c>
      <c r="J121" s="6" t="s">
        <v>14</v>
      </c>
      <c r="K121" s="6" t="s">
        <v>21</v>
      </c>
    </row>
    <row r="122" spans="1:11">
      <c r="A122" s="4" t="s">
        <v>192</v>
      </c>
      <c r="B122" s="4">
        <v>18609</v>
      </c>
      <c r="C122" s="4">
        <v>18752</v>
      </c>
      <c r="D122" s="4">
        <v>17879</v>
      </c>
      <c r="E122" s="4">
        <v>18354</v>
      </c>
      <c r="F122" s="4">
        <v>18707</v>
      </c>
      <c r="G122" s="4">
        <v>17907</v>
      </c>
      <c r="H122" s="4">
        <v>17314</v>
      </c>
      <c r="I122" s="4">
        <v>18659</v>
      </c>
      <c r="J122" s="6" t="s">
        <v>14</v>
      </c>
      <c r="K122" s="6" t="s">
        <v>21</v>
      </c>
    </row>
    <row r="123" spans="1:11">
      <c r="A123" s="4" t="s">
        <v>141</v>
      </c>
      <c r="B123" s="4">
        <v>17202</v>
      </c>
      <c r="C123" s="4">
        <v>17951</v>
      </c>
      <c r="D123" s="4">
        <v>17268</v>
      </c>
      <c r="E123" s="4">
        <v>17161</v>
      </c>
      <c r="F123" s="4">
        <v>18735</v>
      </c>
      <c r="G123" s="4">
        <v>18402</v>
      </c>
      <c r="H123" s="4">
        <v>18563</v>
      </c>
      <c r="I123" s="4">
        <v>18689</v>
      </c>
      <c r="J123" s="6" t="s">
        <v>14</v>
      </c>
      <c r="K123" s="6" t="s">
        <v>21</v>
      </c>
    </row>
    <row r="124" spans="1:11">
      <c r="A124" s="4" t="s">
        <v>214</v>
      </c>
      <c r="B124" s="4">
        <v>14539</v>
      </c>
      <c r="C124" s="4">
        <v>17598</v>
      </c>
      <c r="D124" s="4">
        <v>18210</v>
      </c>
      <c r="E124" s="4">
        <v>19637</v>
      </c>
      <c r="F124" s="4">
        <v>15988</v>
      </c>
      <c r="G124" s="4">
        <v>17243</v>
      </c>
      <c r="H124" s="4">
        <v>18713</v>
      </c>
      <c r="I124" s="4">
        <v>18656</v>
      </c>
      <c r="J124" s="6" t="s">
        <v>14</v>
      </c>
      <c r="K124" s="6" t="s">
        <v>21</v>
      </c>
    </row>
    <row r="125" spans="1:11">
      <c r="A125" s="4" t="s">
        <v>131</v>
      </c>
      <c r="B125" s="4">
        <v>17727</v>
      </c>
      <c r="C125" s="4">
        <v>17280</v>
      </c>
      <c r="D125" s="4">
        <v>16794</v>
      </c>
      <c r="E125" s="4">
        <v>17049</v>
      </c>
      <c r="F125" s="4">
        <v>16894</v>
      </c>
      <c r="G125" s="4">
        <v>17992</v>
      </c>
      <c r="H125" s="4">
        <v>18278</v>
      </c>
      <c r="I125" s="4">
        <v>18215</v>
      </c>
      <c r="J125" s="6" t="s">
        <v>14</v>
      </c>
      <c r="K125" s="6" t="s">
        <v>21</v>
      </c>
    </row>
    <row r="126" spans="1:11">
      <c r="A126" s="4" t="s">
        <v>261</v>
      </c>
      <c r="B126" s="4">
        <v>17970</v>
      </c>
      <c r="C126" s="4">
        <v>16684</v>
      </c>
      <c r="D126" s="4">
        <v>17372</v>
      </c>
      <c r="E126" s="4">
        <v>17566</v>
      </c>
      <c r="F126" s="4">
        <v>18039</v>
      </c>
      <c r="G126" s="4">
        <v>16962</v>
      </c>
      <c r="H126" s="4">
        <v>16985</v>
      </c>
      <c r="I126" s="4">
        <v>17188</v>
      </c>
      <c r="J126" s="6" t="s">
        <v>14</v>
      </c>
      <c r="K126" s="6" t="s">
        <v>21</v>
      </c>
    </row>
    <row r="127" spans="1:11">
      <c r="A127" s="4" t="s">
        <v>88</v>
      </c>
      <c r="B127" s="4">
        <v>17035</v>
      </c>
      <c r="C127" s="4">
        <v>17865</v>
      </c>
      <c r="D127" s="4">
        <v>17024</v>
      </c>
      <c r="E127" s="4">
        <v>17261</v>
      </c>
      <c r="F127" s="4">
        <v>17157</v>
      </c>
      <c r="G127" s="4">
        <v>16715</v>
      </c>
      <c r="H127" s="4">
        <v>16703</v>
      </c>
      <c r="I127" s="4">
        <v>17820</v>
      </c>
      <c r="J127" s="6" t="s">
        <v>14</v>
      </c>
      <c r="K127" s="6" t="s">
        <v>21</v>
      </c>
    </row>
    <row r="128" spans="1:11">
      <c r="A128" s="4" t="s">
        <v>259</v>
      </c>
      <c r="B128" s="4">
        <v>15943</v>
      </c>
      <c r="C128" s="4">
        <v>16002</v>
      </c>
      <c r="D128" s="4">
        <v>16288</v>
      </c>
      <c r="E128" s="4">
        <v>17019</v>
      </c>
      <c r="F128" s="4">
        <v>16911</v>
      </c>
      <c r="G128" s="4">
        <v>16568</v>
      </c>
      <c r="H128" s="4">
        <v>16305</v>
      </c>
      <c r="I128" s="4">
        <v>17055</v>
      </c>
      <c r="J128" s="6" t="s">
        <v>14</v>
      </c>
      <c r="K128" s="6" t="s">
        <v>21</v>
      </c>
    </row>
    <row r="129" spans="1:11">
      <c r="A129" s="4" t="s">
        <v>262</v>
      </c>
      <c r="B129" s="4">
        <v>16581</v>
      </c>
      <c r="C129" s="4">
        <v>16778</v>
      </c>
      <c r="D129" s="4">
        <v>16635</v>
      </c>
      <c r="E129" s="4">
        <v>16117</v>
      </c>
      <c r="F129" s="4">
        <v>15593</v>
      </c>
      <c r="G129" s="4">
        <v>15659</v>
      </c>
      <c r="H129" s="4">
        <v>15744</v>
      </c>
      <c r="I129" s="4">
        <v>16715</v>
      </c>
      <c r="J129" s="6" t="s">
        <v>14</v>
      </c>
      <c r="K129" s="6" t="s">
        <v>21</v>
      </c>
    </row>
    <row r="130" spans="1:11">
      <c r="A130" s="4" t="s">
        <v>273</v>
      </c>
      <c r="B130" s="4">
        <v>15580</v>
      </c>
      <c r="C130" s="4">
        <v>15373</v>
      </c>
      <c r="D130" s="4">
        <v>15883</v>
      </c>
      <c r="E130" s="4">
        <v>15766</v>
      </c>
      <c r="F130" s="4">
        <v>15888</v>
      </c>
      <c r="G130" s="4">
        <v>15343</v>
      </c>
      <c r="H130" s="4">
        <v>15186</v>
      </c>
      <c r="I130" s="4">
        <v>16135</v>
      </c>
      <c r="J130" s="6" t="s">
        <v>14</v>
      </c>
      <c r="K130" s="6" t="s">
        <v>21</v>
      </c>
    </row>
    <row r="131" spans="1:11">
      <c r="A131" s="4" t="s">
        <v>267</v>
      </c>
      <c r="B131" s="4">
        <v>15868</v>
      </c>
      <c r="C131" s="4">
        <v>14844</v>
      </c>
      <c r="D131" s="4">
        <v>15959</v>
      </c>
      <c r="E131" s="4">
        <v>15364</v>
      </c>
      <c r="F131" s="4">
        <v>15600</v>
      </c>
      <c r="G131" s="4">
        <v>15359</v>
      </c>
      <c r="H131" s="4">
        <v>15873</v>
      </c>
      <c r="I131" s="4">
        <v>15715</v>
      </c>
      <c r="J131" s="6" t="s">
        <v>14</v>
      </c>
      <c r="K131" s="6" t="s">
        <v>21</v>
      </c>
    </row>
    <row r="132" spans="1:11">
      <c r="A132" s="4" t="s">
        <v>147</v>
      </c>
      <c r="B132" s="4">
        <v>15736</v>
      </c>
      <c r="C132" s="4">
        <v>16035</v>
      </c>
      <c r="D132" s="4">
        <v>15252</v>
      </c>
      <c r="E132" s="4">
        <v>15267</v>
      </c>
      <c r="F132" s="4">
        <v>14952</v>
      </c>
      <c r="G132" s="4">
        <v>15970</v>
      </c>
      <c r="H132" s="4">
        <v>14802</v>
      </c>
      <c r="I132" s="4">
        <v>15762</v>
      </c>
      <c r="J132" s="6" t="s">
        <v>14</v>
      </c>
      <c r="K132" s="6" t="s">
        <v>21</v>
      </c>
    </row>
    <row r="133" spans="1:11">
      <c r="A133" s="4" t="s">
        <v>52</v>
      </c>
      <c r="B133" s="4">
        <v>15664</v>
      </c>
      <c r="C133" s="4">
        <v>15441</v>
      </c>
      <c r="D133" s="4">
        <v>14982</v>
      </c>
      <c r="E133" s="4">
        <v>14822</v>
      </c>
      <c r="F133" s="4">
        <v>15760</v>
      </c>
      <c r="G133" s="4">
        <v>15648</v>
      </c>
      <c r="H133" s="4">
        <v>15708</v>
      </c>
      <c r="I133" s="4">
        <v>15096</v>
      </c>
      <c r="J133" s="6" t="s">
        <v>14</v>
      </c>
      <c r="K133" s="6" t="s">
        <v>21</v>
      </c>
    </row>
    <row r="134" spans="1:11">
      <c r="A134" s="4" t="s">
        <v>246</v>
      </c>
      <c r="B134" s="4">
        <v>14912</v>
      </c>
      <c r="C134" s="4">
        <v>15947</v>
      </c>
      <c r="D134" s="4">
        <v>15926</v>
      </c>
      <c r="E134" s="4">
        <v>15440</v>
      </c>
      <c r="F134" s="4">
        <v>14716</v>
      </c>
      <c r="G134" s="4">
        <v>15940</v>
      </c>
      <c r="H134" s="4">
        <v>14769</v>
      </c>
      <c r="I134" s="4">
        <v>15335</v>
      </c>
      <c r="J134" s="6" t="s">
        <v>14</v>
      </c>
      <c r="K134" s="6" t="s">
        <v>21</v>
      </c>
    </row>
    <row r="135" spans="1:11">
      <c r="A135" s="4" t="s">
        <v>140</v>
      </c>
      <c r="B135" s="4">
        <v>14195</v>
      </c>
      <c r="C135" s="4">
        <v>15460</v>
      </c>
      <c r="D135" s="4">
        <v>14826</v>
      </c>
      <c r="E135" s="4">
        <v>14327</v>
      </c>
      <c r="F135" s="4">
        <v>14788</v>
      </c>
      <c r="G135" s="4">
        <v>15315</v>
      </c>
      <c r="H135" s="4">
        <v>14558</v>
      </c>
      <c r="I135" s="4">
        <v>15196</v>
      </c>
      <c r="J135" s="6" t="s">
        <v>14</v>
      </c>
      <c r="K135" s="6" t="s">
        <v>21</v>
      </c>
    </row>
    <row r="136" spans="1:11">
      <c r="A136" s="4" t="s">
        <v>86</v>
      </c>
      <c r="B136" s="4">
        <v>14238</v>
      </c>
      <c r="C136" s="4">
        <v>14908</v>
      </c>
      <c r="D136" s="4">
        <v>15287</v>
      </c>
      <c r="E136" s="4">
        <v>14305</v>
      </c>
      <c r="F136" s="4">
        <v>15395</v>
      </c>
      <c r="G136" s="4">
        <v>15478</v>
      </c>
      <c r="H136" s="4">
        <v>14643</v>
      </c>
      <c r="I136" s="4">
        <v>14397</v>
      </c>
      <c r="J136" s="6" t="s">
        <v>14</v>
      </c>
      <c r="K136" s="6" t="s">
        <v>21</v>
      </c>
    </row>
    <row r="137" spans="1:11">
      <c r="A137" s="4" t="s">
        <v>64</v>
      </c>
      <c r="B137" s="4">
        <v>14687</v>
      </c>
      <c r="C137" s="4">
        <v>13627</v>
      </c>
      <c r="D137" s="4">
        <v>14426</v>
      </c>
      <c r="E137" s="4">
        <v>14042</v>
      </c>
      <c r="F137" s="4">
        <v>13658</v>
      </c>
      <c r="G137" s="4">
        <v>14814</v>
      </c>
      <c r="H137" s="4">
        <v>14019</v>
      </c>
      <c r="I137" s="4">
        <v>13621</v>
      </c>
      <c r="J137" s="6" t="s">
        <v>14</v>
      </c>
      <c r="K137" s="6" t="s">
        <v>21</v>
      </c>
    </row>
    <row r="138" spans="1:11">
      <c r="A138" s="4" t="s">
        <v>280</v>
      </c>
      <c r="B138" s="4">
        <v>13158</v>
      </c>
      <c r="C138" s="4">
        <v>14258</v>
      </c>
      <c r="D138" s="4">
        <v>13699</v>
      </c>
      <c r="E138" s="4">
        <v>13142</v>
      </c>
      <c r="F138" s="4">
        <v>13924</v>
      </c>
      <c r="G138" s="4">
        <v>13125</v>
      </c>
      <c r="H138" s="4">
        <v>14220</v>
      </c>
      <c r="I138" s="4">
        <v>14206</v>
      </c>
      <c r="J138" s="6" t="s">
        <v>14</v>
      </c>
      <c r="K138" s="6" t="s">
        <v>21</v>
      </c>
    </row>
    <row r="139" spans="1:11">
      <c r="A139" s="4" t="s">
        <v>135</v>
      </c>
      <c r="B139" s="4">
        <v>13700</v>
      </c>
      <c r="C139" s="4">
        <v>13569</v>
      </c>
      <c r="D139" s="4">
        <v>13942</v>
      </c>
      <c r="E139" s="4">
        <v>13238</v>
      </c>
      <c r="F139" s="4">
        <v>14218</v>
      </c>
      <c r="G139" s="4">
        <v>13571</v>
      </c>
      <c r="H139" s="4">
        <v>13706</v>
      </c>
      <c r="I139" s="4">
        <v>13276</v>
      </c>
      <c r="J139" s="6" t="s">
        <v>14</v>
      </c>
      <c r="K139" s="6" t="s">
        <v>21</v>
      </c>
    </row>
    <row r="140" spans="1:11">
      <c r="A140" s="4" t="s">
        <v>272</v>
      </c>
      <c r="B140" s="4">
        <v>13234</v>
      </c>
      <c r="C140" s="4">
        <v>13924</v>
      </c>
      <c r="D140" s="4">
        <v>13313</v>
      </c>
      <c r="E140" s="4">
        <v>13846</v>
      </c>
      <c r="F140" s="4">
        <v>13219</v>
      </c>
      <c r="G140" s="4">
        <v>12950</v>
      </c>
      <c r="H140" s="4">
        <v>13840</v>
      </c>
      <c r="I140" s="4">
        <v>12843</v>
      </c>
      <c r="J140" s="6" t="s">
        <v>14</v>
      </c>
      <c r="K140" s="6" t="s">
        <v>21</v>
      </c>
    </row>
    <row r="141" spans="1:11">
      <c r="A141" s="4" t="s">
        <v>256</v>
      </c>
      <c r="B141" s="4">
        <v>14014</v>
      </c>
      <c r="C141" s="4">
        <v>13324</v>
      </c>
      <c r="D141" s="4">
        <v>12879</v>
      </c>
      <c r="E141" s="4">
        <v>13464</v>
      </c>
      <c r="F141" s="4">
        <v>13081</v>
      </c>
      <c r="G141" s="4">
        <v>14025</v>
      </c>
      <c r="H141" s="4">
        <v>13015</v>
      </c>
      <c r="I141" s="4">
        <v>12890</v>
      </c>
      <c r="J141" s="6" t="s">
        <v>14</v>
      </c>
      <c r="K141" s="6" t="s">
        <v>21</v>
      </c>
    </row>
    <row r="142" spans="1:11">
      <c r="A142" s="4" t="s">
        <v>186</v>
      </c>
      <c r="B142" s="4">
        <v>13261</v>
      </c>
      <c r="C142" s="4">
        <v>13573</v>
      </c>
      <c r="D142" s="4">
        <v>12761</v>
      </c>
      <c r="E142" s="4">
        <v>12819</v>
      </c>
      <c r="F142" s="4">
        <v>13708</v>
      </c>
      <c r="G142" s="4">
        <v>13264</v>
      </c>
      <c r="H142" s="4">
        <v>13560</v>
      </c>
      <c r="I142" s="4">
        <v>13233</v>
      </c>
      <c r="J142" s="6" t="s">
        <v>14</v>
      </c>
      <c r="K142" s="6" t="s">
        <v>21</v>
      </c>
    </row>
    <row r="143" spans="1:11">
      <c r="A143" s="4" t="s">
        <v>138</v>
      </c>
      <c r="B143" s="4">
        <v>13392</v>
      </c>
      <c r="C143" s="4">
        <v>13671</v>
      </c>
      <c r="D143" s="4">
        <v>12976</v>
      </c>
      <c r="E143" s="4">
        <v>12645</v>
      </c>
      <c r="F143" s="4">
        <v>13351</v>
      </c>
      <c r="G143" s="4">
        <v>13176</v>
      </c>
      <c r="H143" s="4">
        <v>13503</v>
      </c>
      <c r="I143" s="4">
        <v>12728</v>
      </c>
      <c r="J143" s="6" t="s">
        <v>14</v>
      </c>
      <c r="K143" s="6" t="s">
        <v>21</v>
      </c>
    </row>
    <row r="144" spans="1:11">
      <c r="A144" s="4" t="s">
        <v>282</v>
      </c>
      <c r="B144" s="4">
        <v>12784</v>
      </c>
      <c r="C144" s="4">
        <v>13341</v>
      </c>
      <c r="D144" s="4">
        <v>12808</v>
      </c>
      <c r="E144" s="4">
        <v>12640</v>
      </c>
      <c r="F144" s="4">
        <v>13406</v>
      </c>
      <c r="G144" s="4">
        <v>13379</v>
      </c>
      <c r="H144" s="4">
        <v>12703</v>
      </c>
      <c r="I144" s="4">
        <v>13142</v>
      </c>
      <c r="J144" s="6" t="s">
        <v>14</v>
      </c>
      <c r="K144" s="6" t="s">
        <v>21</v>
      </c>
    </row>
    <row r="145" spans="1:11">
      <c r="A145" s="4" t="s">
        <v>213</v>
      </c>
      <c r="B145" s="4">
        <v>12229</v>
      </c>
      <c r="C145" s="4">
        <v>13282</v>
      </c>
      <c r="D145" s="4">
        <v>13160</v>
      </c>
      <c r="E145" s="4">
        <v>13078</v>
      </c>
      <c r="F145" s="4">
        <v>13237</v>
      </c>
      <c r="G145" s="4">
        <v>12841</v>
      </c>
      <c r="H145" s="4">
        <v>13328</v>
      </c>
      <c r="I145" s="4">
        <v>12723</v>
      </c>
      <c r="J145" s="6" t="s">
        <v>14</v>
      </c>
      <c r="K145" s="6" t="s">
        <v>21</v>
      </c>
    </row>
    <row r="146" spans="1:11">
      <c r="A146" s="4" t="s">
        <v>228</v>
      </c>
      <c r="B146" s="4">
        <v>13370</v>
      </c>
      <c r="C146" s="4">
        <v>12716</v>
      </c>
      <c r="D146" s="4">
        <v>12950</v>
      </c>
      <c r="E146" s="4">
        <v>13244</v>
      </c>
      <c r="F146" s="4">
        <v>12759</v>
      </c>
      <c r="G146" s="4">
        <v>12609</v>
      </c>
      <c r="H146" s="4">
        <v>12720</v>
      </c>
      <c r="I146" s="4">
        <v>12816</v>
      </c>
      <c r="J146" s="6" t="s">
        <v>14</v>
      </c>
      <c r="K146" s="6" t="s">
        <v>21</v>
      </c>
    </row>
    <row r="147" spans="1:11">
      <c r="A147" s="4" t="s">
        <v>59</v>
      </c>
      <c r="B147" s="4">
        <v>12745</v>
      </c>
      <c r="C147" s="4">
        <v>13104</v>
      </c>
      <c r="D147" s="4">
        <v>12450</v>
      </c>
      <c r="E147" s="4">
        <v>13130</v>
      </c>
      <c r="F147" s="4">
        <v>13107</v>
      </c>
      <c r="G147" s="4">
        <v>13044</v>
      </c>
      <c r="H147" s="4">
        <v>12567</v>
      </c>
      <c r="I147" s="4">
        <v>12793</v>
      </c>
      <c r="J147" s="6" t="s">
        <v>14</v>
      </c>
      <c r="K147" s="6" t="s">
        <v>21</v>
      </c>
    </row>
    <row r="148" spans="1:11">
      <c r="A148" s="4" t="s">
        <v>105</v>
      </c>
      <c r="B148" s="4">
        <v>26113</v>
      </c>
      <c r="C148" s="4">
        <v>20683</v>
      </c>
      <c r="D148" s="4">
        <v>18749</v>
      </c>
      <c r="E148" s="4">
        <v>23043</v>
      </c>
      <c r="F148" s="4">
        <v>26891</v>
      </c>
      <c r="G148" s="4">
        <v>24023</v>
      </c>
      <c r="H148" s="4">
        <v>19508</v>
      </c>
      <c r="I148" s="4">
        <v>19067</v>
      </c>
      <c r="J148" s="6" t="s">
        <v>14</v>
      </c>
      <c r="K148" s="6" t="s">
        <v>20</v>
      </c>
    </row>
    <row r="149" spans="1:11">
      <c r="A149" s="4" t="s">
        <v>233</v>
      </c>
      <c r="B149" s="4">
        <v>24947</v>
      </c>
      <c r="C149" s="4">
        <v>18158</v>
      </c>
      <c r="D149" s="4">
        <v>23681</v>
      </c>
      <c r="E149" s="4">
        <v>16970</v>
      </c>
      <c r="F149" s="4">
        <v>23760</v>
      </c>
      <c r="G149" s="4">
        <v>22713</v>
      </c>
      <c r="H149" s="4">
        <v>24691</v>
      </c>
      <c r="I149" s="4">
        <v>20425</v>
      </c>
      <c r="J149" s="6" t="s">
        <v>14</v>
      </c>
      <c r="K149" s="6" t="s">
        <v>20</v>
      </c>
    </row>
    <row r="150" spans="1:11">
      <c r="A150" s="4" t="s">
        <v>241</v>
      </c>
      <c r="B150" s="4">
        <v>20438</v>
      </c>
      <c r="C150" s="4">
        <v>19118</v>
      </c>
      <c r="D150" s="4">
        <v>17476</v>
      </c>
      <c r="E150" s="4">
        <v>22066</v>
      </c>
      <c r="F150" s="4">
        <v>19567</v>
      </c>
      <c r="G150" s="4">
        <v>28805</v>
      </c>
      <c r="H150" s="4">
        <v>23288</v>
      </c>
      <c r="I150" s="4">
        <v>19346</v>
      </c>
      <c r="J150" s="6" t="s">
        <v>14</v>
      </c>
      <c r="K150" s="6" t="s">
        <v>20</v>
      </c>
    </row>
    <row r="151" spans="1:11">
      <c r="A151" s="4" t="s">
        <v>238</v>
      </c>
      <c r="B151" s="4">
        <v>22811</v>
      </c>
      <c r="C151" s="4">
        <v>15605</v>
      </c>
      <c r="D151" s="4">
        <v>19038</v>
      </c>
      <c r="E151" s="4">
        <v>26044</v>
      </c>
      <c r="F151" s="4">
        <v>17675</v>
      </c>
      <c r="G151" s="4">
        <v>26715</v>
      </c>
      <c r="H151" s="4">
        <v>21760</v>
      </c>
      <c r="I151" s="4">
        <v>20337</v>
      </c>
      <c r="J151" s="6" t="s">
        <v>14</v>
      </c>
      <c r="K151" s="6" t="s">
        <v>20</v>
      </c>
    </row>
    <row r="152" spans="1:11">
      <c r="A152" s="4" t="s">
        <v>249</v>
      </c>
      <c r="B152" s="4">
        <v>23230</v>
      </c>
      <c r="C152" s="4">
        <v>24027</v>
      </c>
      <c r="D152" s="4">
        <v>16065</v>
      </c>
      <c r="E152" s="4">
        <v>21302</v>
      </c>
      <c r="F152" s="4">
        <v>18180</v>
      </c>
      <c r="G152" s="4">
        <v>26481</v>
      </c>
      <c r="H152" s="4">
        <v>18128</v>
      </c>
      <c r="I152" s="4">
        <v>21762</v>
      </c>
      <c r="J152" s="6" t="s">
        <v>14</v>
      </c>
      <c r="K152" s="6" t="s">
        <v>20</v>
      </c>
    </row>
    <row r="153" spans="1:11">
      <c r="A153" s="4" t="s">
        <v>193</v>
      </c>
      <c r="B153" s="4">
        <v>18274</v>
      </c>
      <c r="C153" s="4">
        <v>15538</v>
      </c>
      <c r="D153" s="4">
        <v>17812</v>
      </c>
      <c r="E153" s="4">
        <v>21297</v>
      </c>
      <c r="F153" s="4">
        <v>23636</v>
      </c>
      <c r="G153" s="4">
        <v>25476</v>
      </c>
      <c r="H153" s="4">
        <v>20615</v>
      </c>
      <c r="I153" s="4">
        <v>18197</v>
      </c>
      <c r="J153" s="6" t="s">
        <v>14</v>
      </c>
      <c r="K153" s="6" t="s">
        <v>20</v>
      </c>
    </row>
    <row r="154" spans="1:11">
      <c r="A154" s="4" t="s">
        <v>217</v>
      </c>
      <c r="B154" s="4">
        <v>21865</v>
      </c>
      <c r="C154" s="4">
        <v>17117</v>
      </c>
      <c r="D154" s="4">
        <v>17662</v>
      </c>
      <c r="E154" s="4">
        <v>17742</v>
      </c>
      <c r="F154" s="4">
        <v>16136</v>
      </c>
      <c r="G154" s="4">
        <v>15898</v>
      </c>
      <c r="H154" s="4">
        <v>16135</v>
      </c>
      <c r="I154" s="4">
        <v>21635</v>
      </c>
      <c r="J154" s="6" t="s">
        <v>14</v>
      </c>
      <c r="K154" s="6" t="s">
        <v>20</v>
      </c>
    </row>
    <row r="155" spans="1:11">
      <c r="A155" s="4" t="s">
        <v>231</v>
      </c>
      <c r="B155" s="4">
        <v>20762</v>
      </c>
      <c r="C155" s="4">
        <v>14776</v>
      </c>
      <c r="D155" s="4">
        <v>12501</v>
      </c>
      <c r="E155" s="4">
        <v>21434</v>
      </c>
      <c r="F155" s="4">
        <v>21717</v>
      </c>
      <c r="G155" s="4">
        <v>19524</v>
      </c>
      <c r="H155" s="4">
        <v>14937</v>
      </c>
      <c r="I155" s="4">
        <v>13422</v>
      </c>
      <c r="J155" s="6" t="s">
        <v>14</v>
      </c>
      <c r="K155" s="6" t="s">
        <v>20</v>
      </c>
    </row>
    <row r="156" spans="1:11">
      <c r="A156" s="4" t="s">
        <v>208</v>
      </c>
      <c r="B156" s="4">
        <v>19004</v>
      </c>
      <c r="C156" s="4">
        <v>17346</v>
      </c>
      <c r="D156" s="4">
        <v>17504</v>
      </c>
      <c r="E156" s="4">
        <v>14275</v>
      </c>
      <c r="F156" s="4">
        <v>18148</v>
      </c>
      <c r="G156" s="4">
        <v>19077</v>
      </c>
      <c r="H156" s="4">
        <v>16765</v>
      </c>
      <c r="I156" s="4">
        <v>12109</v>
      </c>
      <c r="J156" s="6" t="s">
        <v>14</v>
      </c>
      <c r="K156" s="6" t="s">
        <v>20</v>
      </c>
    </row>
    <row r="157" spans="1:11">
      <c r="A157" s="4" t="s">
        <v>120</v>
      </c>
      <c r="B157" s="4">
        <v>16659</v>
      </c>
      <c r="C157" s="4">
        <v>18140</v>
      </c>
      <c r="D157" s="4">
        <v>18671</v>
      </c>
      <c r="E157" s="4">
        <v>15226</v>
      </c>
      <c r="F157" s="4">
        <v>19303</v>
      </c>
      <c r="G157" s="4">
        <v>13754</v>
      </c>
      <c r="H157" s="4">
        <v>15566</v>
      </c>
      <c r="I157" s="4">
        <v>16529</v>
      </c>
      <c r="J157" s="6" t="s">
        <v>14</v>
      </c>
      <c r="K157" s="6" t="s">
        <v>20</v>
      </c>
    </row>
    <row r="158" spans="1:11">
      <c r="A158" s="4" t="s">
        <v>79</v>
      </c>
      <c r="B158" s="4">
        <v>19022</v>
      </c>
      <c r="C158" s="4">
        <v>12386</v>
      </c>
      <c r="D158" s="4">
        <v>13871</v>
      </c>
      <c r="E158" s="4">
        <v>13567</v>
      </c>
      <c r="F158" s="4">
        <v>20767</v>
      </c>
      <c r="G158" s="4">
        <v>15532</v>
      </c>
      <c r="H158" s="4">
        <v>13769</v>
      </c>
      <c r="I158" s="4">
        <v>21437</v>
      </c>
      <c r="J158" s="6" t="s">
        <v>14</v>
      </c>
      <c r="K158" s="6" t="s">
        <v>20</v>
      </c>
    </row>
    <row r="159" spans="1:11">
      <c r="A159" s="4" t="s">
        <v>129</v>
      </c>
      <c r="B159" s="4">
        <v>11993</v>
      </c>
      <c r="C159" s="4">
        <v>16416</v>
      </c>
      <c r="D159" s="4">
        <v>18321</v>
      </c>
      <c r="E159" s="4">
        <v>14683</v>
      </c>
      <c r="F159" s="4">
        <v>14784</v>
      </c>
      <c r="G159" s="4">
        <v>18469</v>
      </c>
      <c r="H159" s="4">
        <v>12823</v>
      </c>
      <c r="I159" s="4">
        <v>18761</v>
      </c>
      <c r="J159" s="6" t="s">
        <v>14</v>
      </c>
      <c r="K159" s="6" t="s">
        <v>20</v>
      </c>
    </row>
    <row r="160" spans="1:11">
      <c r="A160" s="4" t="s">
        <v>218</v>
      </c>
      <c r="B160" s="4">
        <v>13217</v>
      </c>
      <c r="C160" s="4">
        <v>11859</v>
      </c>
      <c r="D160" s="4">
        <v>14223</v>
      </c>
      <c r="E160" s="4">
        <v>18071</v>
      </c>
      <c r="F160" s="4">
        <v>19511</v>
      </c>
      <c r="G160" s="4">
        <v>14423</v>
      </c>
      <c r="H160" s="4">
        <v>16076</v>
      </c>
      <c r="I160" s="4">
        <v>17386</v>
      </c>
      <c r="J160" s="6" t="s">
        <v>14</v>
      </c>
      <c r="K160" s="6" t="s">
        <v>20</v>
      </c>
    </row>
    <row r="161" spans="1:11">
      <c r="A161" s="4" t="s">
        <v>200</v>
      </c>
      <c r="B161" s="4">
        <v>17497</v>
      </c>
      <c r="C161" s="4">
        <v>16643</v>
      </c>
      <c r="D161" s="4">
        <v>14375</v>
      </c>
      <c r="E161" s="4">
        <v>16236</v>
      </c>
      <c r="F161" s="4">
        <v>13874</v>
      </c>
      <c r="G161" s="4">
        <v>16036</v>
      </c>
      <c r="H161" s="4">
        <v>12380</v>
      </c>
      <c r="I161" s="4">
        <v>16183</v>
      </c>
      <c r="J161" s="6" t="s">
        <v>14</v>
      </c>
      <c r="K161" s="6" t="s">
        <v>20</v>
      </c>
    </row>
    <row r="162" spans="1:11">
      <c r="A162" s="4" t="s">
        <v>263</v>
      </c>
      <c r="B162" s="4">
        <v>16679</v>
      </c>
      <c r="C162" s="4">
        <v>15619</v>
      </c>
      <c r="D162" s="4">
        <v>16718</v>
      </c>
      <c r="E162" s="4">
        <v>12244</v>
      </c>
      <c r="F162" s="4">
        <v>12007</v>
      </c>
      <c r="G162" s="4">
        <v>19052</v>
      </c>
      <c r="H162" s="4">
        <v>11507</v>
      </c>
      <c r="I162" s="4">
        <v>14000</v>
      </c>
      <c r="J162" s="6" t="s">
        <v>14</v>
      </c>
      <c r="K162" s="6" t="s">
        <v>20</v>
      </c>
    </row>
    <row r="163" spans="1:11">
      <c r="A163" s="4" t="s">
        <v>102</v>
      </c>
      <c r="B163" s="4">
        <v>15522</v>
      </c>
      <c r="C163" s="4">
        <v>14877</v>
      </c>
      <c r="D163" s="4">
        <v>14726</v>
      </c>
      <c r="E163" s="4">
        <v>12696</v>
      </c>
      <c r="F163" s="4">
        <v>10224</v>
      </c>
      <c r="G163" s="4">
        <v>14498</v>
      </c>
      <c r="H163" s="4">
        <v>18372</v>
      </c>
      <c r="I163" s="4">
        <v>11714</v>
      </c>
      <c r="J163" s="6" t="s">
        <v>14</v>
      </c>
      <c r="K163" s="6" t="s">
        <v>20</v>
      </c>
    </row>
    <row r="164" spans="1:11">
      <c r="A164" s="4" t="s">
        <v>196</v>
      </c>
      <c r="B164" s="4">
        <v>10184</v>
      </c>
      <c r="C164" s="4">
        <v>13198</v>
      </c>
      <c r="D164" s="4">
        <v>14332</v>
      </c>
      <c r="E164" s="4">
        <v>15077</v>
      </c>
      <c r="F164" s="4">
        <v>12930</v>
      </c>
      <c r="G164" s="4">
        <v>15272</v>
      </c>
      <c r="H164" s="4">
        <v>14797</v>
      </c>
      <c r="I164" s="4">
        <v>15137</v>
      </c>
      <c r="J164" s="6" t="s">
        <v>14</v>
      </c>
      <c r="K164" s="6" t="s">
        <v>20</v>
      </c>
    </row>
    <row r="165" spans="1:11">
      <c r="A165" s="4" t="s">
        <v>117</v>
      </c>
      <c r="B165" s="4">
        <v>13737</v>
      </c>
      <c r="C165" s="4">
        <v>10434</v>
      </c>
      <c r="D165" s="4">
        <v>12135</v>
      </c>
      <c r="E165" s="4">
        <v>11576</v>
      </c>
      <c r="F165" s="4">
        <v>18495</v>
      </c>
      <c r="G165" s="4">
        <v>16692</v>
      </c>
      <c r="H165" s="4">
        <v>11290</v>
      </c>
      <c r="I165" s="4">
        <v>14643</v>
      </c>
      <c r="J165" s="6" t="s">
        <v>14</v>
      </c>
      <c r="K165" s="6" t="s">
        <v>20</v>
      </c>
    </row>
    <row r="166" spans="1:11">
      <c r="A166" s="4" t="s">
        <v>155</v>
      </c>
      <c r="B166" s="4">
        <v>11842</v>
      </c>
      <c r="C166" s="4">
        <v>15788</v>
      </c>
      <c r="D166" s="4">
        <v>13220</v>
      </c>
      <c r="E166" s="4">
        <v>16717</v>
      </c>
      <c r="F166" s="4">
        <v>11211</v>
      </c>
      <c r="G166" s="4">
        <v>11873</v>
      </c>
      <c r="H166" s="4">
        <v>12324</v>
      </c>
      <c r="I166" s="4">
        <v>15963</v>
      </c>
      <c r="J166" s="6" t="s">
        <v>14</v>
      </c>
      <c r="K166" s="6" t="s">
        <v>20</v>
      </c>
    </row>
    <row r="167" spans="1:11">
      <c r="A167" s="4" t="s">
        <v>152</v>
      </c>
      <c r="B167" s="4">
        <v>13424</v>
      </c>
      <c r="C167" s="4">
        <v>15742</v>
      </c>
      <c r="D167" s="4">
        <v>15435</v>
      </c>
      <c r="E167" s="4">
        <v>14255</v>
      </c>
      <c r="F167" s="4">
        <v>13370</v>
      </c>
      <c r="G167" s="4">
        <v>15088</v>
      </c>
      <c r="H167" s="4">
        <v>9201</v>
      </c>
      <c r="I167" s="4">
        <v>11510</v>
      </c>
      <c r="J167" s="6" t="s">
        <v>14</v>
      </c>
      <c r="K167" s="6" t="s">
        <v>20</v>
      </c>
    </row>
    <row r="168" spans="1:11">
      <c r="A168" s="4" t="s">
        <v>139</v>
      </c>
      <c r="B168" s="4">
        <v>10633</v>
      </c>
      <c r="C168" s="4">
        <v>10779</v>
      </c>
      <c r="D168" s="4">
        <v>15556</v>
      </c>
      <c r="E168" s="4">
        <v>14837</v>
      </c>
      <c r="F168" s="4">
        <v>13841</v>
      </c>
      <c r="G168" s="4">
        <v>15701</v>
      </c>
      <c r="H168" s="4">
        <v>11902</v>
      </c>
      <c r="I168" s="4">
        <v>13919</v>
      </c>
      <c r="J168" s="6" t="s">
        <v>14</v>
      </c>
      <c r="K168" s="6" t="s">
        <v>20</v>
      </c>
    </row>
    <row r="169" spans="1:11">
      <c r="A169" s="4" t="s">
        <v>55</v>
      </c>
      <c r="B169" s="4">
        <v>17182</v>
      </c>
      <c r="C169" s="4">
        <v>12909</v>
      </c>
      <c r="D169" s="4">
        <v>10467</v>
      </c>
      <c r="E169" s="4">
        <v>15295</v>
      </c>
      <c r="F169" s="4">
        <v>16988</v>
      </c>
      <c r="G169" s="4">
        <v>9834</v>
      </c>
      <c r="H169" s="4">
        <v>11182</v>
      </c>
      <c r="I169" s="4">
        <v>13081</v>
      </c>
      <c r="J169" s="6" t="s">
        <v>14</v>
      </c>
      <c r="K169" s="6" t="s">
        <v>20</v>
      </c>
    </row>
    <row r="170" spans="1:11">
      <c r="A170" s="4" t="s">
        <v>205</v>
      </c>
      <c r="B170" s="4">
        <v>15435</v>
      </c>
      <c r="C170" s="4">
        <v>13953</v>
      </c>
      <c r="D170" s="4">
        <v>15068</v>
      </c>
      <c r="E170" s="4">
        <v>14865</v>
      </c>
      <c r="F170" s="4">
        <v>11927</v>
      </c>
      <c r="G170" s="4">
        <v>12804</v>
      </c>
      <c r="H170" s="4">
        <v>11077</v>
      </c>
      <c r="I170" s="4">
        <v>11562</v>
      </c>
      <c r="J170" s="6" t="s">
        <v>14</v>
      </c>
      <c r="K170" s="6" t="s">
        <v>20</v>
      </c>
    </row>
    <row r="171" spans="1:11">
      <c r="A171" s="4" t="s">
        <v>81</v>
      </c>
      <c r="B171" s="4">
        <v>14801</v>
      </c>
      <c r="C171" s="4">
        <v>10441</v>
      </c>
      <c r="D171" s="4">
        <v>16001</v>
      </c>
      <c r="E171" s="4">
        <v>9682</v>
      </c>
      <c r="F171" s="4">
        <v>11804</v>
      </c>
      <c r="G171" s="4">
        <v>13060</v>
      </c>
      <c r="H171" s="4">
        <v>15424</v>
      </c>
      <c r="I171" s="4">
        <v>12973</v>
      </c>
      <c r="J171" s="6" t="s">
        <v>14</v>
      </c>
      <c r="K171" s="6" t="s">
        <v>20</v>
      </c>
    </row>
    <row r="172" spans="1:11">
      <c r="A172" s="4" t="s">
        <v>78</v>
      </c>
      <c r="B172" s="4">
        <v>9697</v>
      </c>
      <c r="C172" s="4">
        <v>13382</v>
      </c>
      <c r="D172" s="4">
        <v>12999</v>
      </c>
      <c r="E172" s="4">
        <v>9698</v>
      </c>
      <c r="F172" s="4">
        <v>12106</v>
      </c>
      <c r="G172" s="4">
        <v>14759</v>
      </c>
      <c r="H172" s="4">
        <v>16576</v>
      </c>
      <c r="I172" s="4">
        <v>13920</v>
      </c>
      <c r="J172" s="6" t="s">
        <v>14</v>
      </c>
      <c r="K172" s="6" t="s">
        <v>20</v>
      </c>
    </row>
    <row r="173" spans="1:11">
      <c r="A173" s="4" t="s">
        <v>278</v>
      </c>
      <c r="B173" s="4">
        <v>14357</v>
      </c>
      <c r="C173" s="4">
        <v>12075</v>
      </c>
      <c r="D173" s="4">
        <v>15426</v>
      </c>
      <c r="E173" s="4">
        <v>13275</v>
      </c>
      <c r="F173" s="4">
        <v>12612</v>
      </c>
      <c r="G173" s="4">
        <v>9426</v>
      </c>
      <c r="H173" s="4">
        <v>10126</v>
      </c>
      <c r="I173" s="4">
        <v>15211</v>
      </c>
      <c r="J173" s="6" t="s">
        <v>14</v>
      </c>
      <c r="K173" s="6" t="s">
        <v>20</v>
      </c>
    </row>
    <row r="174" spans="1:11">
      <c r="A174" s="4" t="s">
        <v>161</v>
      </c>
      <c r="B174" s="4">
        <v>10607</v>
      </c>
      <c r="C174" s="4">
        <v>10986</v>
      </c>
      <c r="D174" s="4">
        <v>15912</v>
      </c>
      <c r="E174" s="4">
        <v>14482</v>
      </c>
      <c r="F174" s="4">
        <v>15363</v>
      </c>
      <c r="G174" s="4">
        <v>9540</v>
      </c>
      <c r="H174" s="4">
        <v>15560</v>
      </c>
      <c r="I174" s="4">
        <v>9272</v>
      </c>
      <c r="J174" s="6" t="s">
        <v>14</v>
      </c>
      <c r="K174" s="6" t="s">
        <v>20</v>
      </c>
    </row>
    <row r="175" spans="1:11">
      <c r="A175" s="4" t="s">
        <v>142</v>
      </c>
      <c r="B175" s="4">
        <v>16289</v>
      </c>
      <c r="C175" s="4">
        <v>35641</v>
      </c>
      <c r="D175" s="4">
        <v>39134</v>
      </c>
      <c r="E175" s="4">
        <v>6568</v>
      </c>
      <c r="F175" s="4">
        <v>45238</v>
      </c>
      <c r="G175" s="4">
        <v>5495</v>
      </c>
      <c r="H175" s="4">
        <v>20746</v>
      </c>
      <c r="I175" s="4">
        <v>8990</v>
      </c>
      <c r="J175" s="6" t="s">
        <v>14</v>
      </c>
      <c r="K175" s="6" t="s">
        <v>19</v>
      </c>
    </row>
    <row r="176" spans="1:11">
      <c r="A176" s="4" t="s">
        <v>90</v>
      </c>
      <c r="B176" s="4">
        <v>7267</v>
      </c>
      <c r="C176" s="4">
        <v>35400</v>
      </c>
      <c r="D176" s="4">
        <v>28867</v>
      </c>
      <c r="E176" s="4">
        <v>10045</v>
      </c>
      <c r="F176" s="4">
        <v>27470</v>
      </c>
      <c r="G176" s="4">
        <v>35964</v>
      </c>
      <c r="H176" s="4">
        <v>13475</v>
      </c>
      <c r="I176" s="4">
        <v>14744</v>
      </c>
      <c r="J176" s="6" t="s">
        <v>14</v>
      </c>
      <c r="K176" s="6" t="s">
        <v>19</v>
      </c>
    </row>
    <row r="177" spans="1:11">
      <c r="A177" s="4" t="s">
        <v>80</v>
      </c>
      <c r="B177" s="4">
        <v>27885</v>
      </c>
      <c r="C177" s="4">
        <v>6329</v>
      </c>
      <c r="D177" s="4">
        <v>14342</v>
      </c>
      <c r="E177" s="4">
        <v>36441</v>
      </c>
      <c r="F177" s="4">
        <v>35262</v>
      </c>
      <c r="G177" s="4">
        <v>5200</v>
      </c>
      <c r="H177" s="4">
        <v>31725</v>
      </c>
      <c r="I177" s="4">
        <v>14878</v>
      </c>
      <c r="J177" s="6" t="s">
        <v>14</v>
      </c>
      <c r="K177" s="6" t="s">
        <v>19</v>
      </c>
    </row>
    <row r="178" spans="1:11">
      <c r="A178" s="4" t="s">
        <v>75</v>
      </c>
      <c r="B178" s="4">
        <v>7030</v>
      </c>
      <c r="C178" s="4">
        <v>58642</v>
      </c>
      <c r="D178" s="4">
        <v>18565</v>
      </c>
      <c r="E178" s="4">
        <v>9987</v>
      </c>
      <c r="F178" s="4">
        <v>18942</v>
      </c>
      <c r="G178" s="4">
        <v>23522</v>
      </c>
      <c r="H178" s="4">
        <v>5799</v>
      </c>
      <c r="I178" s="4">
        <v>26400</v>
      </c>
      <c r="J178" s="6" t="s">
        <v>14</v>
      </c>
      <c r="K178" s="6" t="s">
        <v>19</v>
      </c>
    </row>
    <row r="179" spans="1:11">
      <c r="A179" s="4" t="s">
        <v>244</v>
      </c>
      <c r="B179" s="4">
        <v>13846</v>
      </c>
      <c r="C179" s="4">
        <v>19012</v>
      </c>
      <c r="D179" s="4">
        <v>16975</v>
      </c>
      <c r="E179" s="4">
        <v>19591</v>
      </c>
      <c r="F179" s="4">
        <v>13043</v>
      </c>
      <c r="G179" s="4">
        <v>10276</v>
      </c>
      <c r="H179" s="4">
        <v>17880</v>
      </c>
      <c r="I179" s="4">
        <v>43754</v>
      </c>
      <c r="J179" s="6" t="s">
        <v>14</v>
      </c>
      <c r="K179" s="6" t="s">
        <v>19</v>
      </c>
    </row>
    <row r="180" spans="1:11">
      <c r="A180" s="4" t="s">
        <v>156</v>
      </c>
      <c r="B180" s="4">
        <v>5222</v>
      </c>
      <c r="C180" s="4">
        <v>15568</v>
      </c>
      <c r="D180" s="4">
        <v>14086</v>
      </c>
      <c r="E180" s="4">
        <v>15698</v>
      </c>
      <c r="F180" s="4">
        <v>6152</v>
      </c>
      <c r="G180" s="4">
        <v>36762</v>
      </c>
      <c r="H180" s="4">
        <v>28706</v>
      </c>
      <c r="I180" s="4">
        <v>28266</v>
      </c>
      <c r="J180" s="6" t="s">
        <v>14</v>
      </c>
      <c r="K180" s="6" t="s">
        <v>19</v>
      </c>
    </row>
    <row r="181" spans="1:11">
      <c r="A181" s="4" t="s">
        <v>77</v>
      </c>
      <c r="B181" s="4">
        <v>26765</v>
      </c>
      <c r="C181" s="4">
        <v>7928</v>
      </c>
      <c r="D181" s="4">
        <v>26683</v>
      </c>
      <c r="E181" s="4">
        <v>21491</v>
      </c>
      <c r="F181" s="4">
        <v>23027</v>
      </c>
      <c r="G181" s="4">
        <v>25191</v>
      </c>
      <c r="H181" s="4">
        <v>5200</v>
      </c>
      <c r="I181" s="4">
        <v>5200</v>
      </c>
      <c r="J181" s="6" t="s">
        <v>14</v>
      </c>
      <c r="K181" s="6" t="s">
        <v>19</v>
      </c>
    </row>
    <row r="182" spans="1:11">
      <c r="A182" s="4" t="s">
        <v>207</v>
      </c>
      <c r="B182" s="4">
        <v>9389</v>
      </c>
      <c r="C182" s="4">
        <v>33492</v>
      </c>
      <c r="D182" s="4">
        <v>13124</v>
      </c>
      <c r="E182" s="4">
        <v>5200</v>
      </c>
      <c r="F182" s="4">
        <v>8371</v>
      </c>
      <c r="G182" s="4">
        <v>5994</v>
      </c>
      <c r="H182" s="4">
        <v>29784</v>
      </c>
      <c r="I182" s="4">
        <v>33951</v>
      </c>
      <c r="J182" s="6" t="s">
        <v>14</v>
      </c>
      <c r="K182" s="6" t="s">
        <v>19</v>
      </c>
    </row>
    <row r="183" spans="1:11">
      <c r="A183" s="4" t="s">
        <v>174</v>
      </c>
      <c r="B183" s="4">
        <v>22502</v>
      </c>
      <c r="C183" s="4">
        <v>24732</v>
      </c>
      <c r="D183" s="4">
        <v>16582</v>
      </c>
      <c r="E183" s="4">
        <v>5200</v>
      </c>
      <c r="F183" s="4">
        <v>18442</v>
      </c>
      <c r="G183" s="4">
        <v>18253</v>
      </c>
      <c r="H183" s="4">
        <v>23010</v>
      </c>
      <c r="I183" s="4">
        <v>8207</v>
      </c>
      <c r="J183" s="6" t="s">
        <v>14</v>
      </c>
      <c r="K183" s="6" t="s">
        <v>19</v>
      </c>
    </row>
    <row r="184" spans="1:11">
      <c r="A184" s="4" t="s">
        <v>199</v>
      </c>
      <c r="B184" s="4">
        <v>18739</v>
      </c>
      <c r="C184" s="4">
        <v>19654</v>
      </c>
      <c r="D184" s="4">
        <v>20306</v>
      </c>
      <c r="E184" s="4">
        <v>22426</v>
      </c>
      <c r="F184" s="4">
        <v>6170</v>
      </c>
      <c r="G184" s="4">
        <v>21734</v>
      </c>
      <c r="H184" s="4">
        <v>6532</v>
      </c>
      <c r="I184" s="4">
        <v>20736</v>
      </c>
      <c r="J184" s="6" t="s">
        <v>14</v>
      </c>
      <c r="K184" s="6" t="s">
        <v>19</v>
      </c>
    </row>
    <row r="185" spans="1:11">
      <c r="A185" s="4" t="s">
        <v>153</v>
      </c>
      <c r="B185" s="4">
        <v>30073</v>
      </c>
      <c r="C185" s="4">
        <v>11603</v>
      </c>
      <c r="D185" s="4">
        <v>23001</v>
      </c>
      <c r="E185" s="4">
        <v>9281</v>
      </c>
      <c r="F185" s="4">
        <v>6209</v>
      </c>
      <c r="G185" s="4">
        <v>27805</v>
      </c>
      <c r="H185" s="4">
        <v>5200</v>
      </c>
      <c r="I185" s="4">
        <v>21884</v>
      </c>
      <c r="J185" s="6" t="s">
        <v>14</v>
      </c>
      <c r="K185" s="6" t="s">
        <v>19</v>
      </c>
    </row>
    <row r="186" spans="1:11">
      <c r="A186" s="4" t="s">
        <v>69</v>
      </c>
      <c r="B186" s="4">
        <v>38539</v>
      </c>
      <c r="C186" s="4">
        <v>6273</v>
      </c>
      <c r="D186" s="4">
        <v>37823</v>
      </c>
      <c r="E186" s="4">
        <v>11912</v>
      </c>
      <c r="F186" s="4">
        <v>7763</v>
      </c>
      <c r="G186" s="4">
        <v>13336</v>
      </c>
      <c r="H186" s="4">
        <v>5200</v>
      </c>
      <c r="I186" s="4">
        <v>12275</v>
      </c>
      <c r="J186" s="6" t="s">
        <v>14</v>
      </c>
      <c r="K186" s="6" t="s">
        <v>19</v>
      </c>
    </row>
    <row r="187" spans="1:11">
      <c r="A187" s="4" t="s">
        <v>136</v>
      </c>
      <c r="B187" s="4">
        <v>6117</v>
      </c>
      <c r="C187" s="4">
        <v>6600</v>
      </c>
      <c r="D187" s="4">
        <v>21713</v>
      </c>
      <c r="E187" s="4">
        <v>19286</v>
      </c>
      <c r="F187" s="4">
        <v>42018</v>
      </c>
      <c r="G187" s="4">
        <v>7441</v>
      </c>
      <c r="H187" s="4">
        <v>17768</v>
      </c>
      <c r="I187" s="4">
        <v>10059</v>
      </c>
      <c r="J187" s="6" t="s">
        <v>14</v>
      </c>
      <c r="K187" s="6" t="s">
        <v>19</v>
      </c>
    </row>
    <row r="188" spans="1:11">
      <c r="A188" s="4" t="s">
        <v>215</v>
      </c>
      <c r="B188" s="4">
        <v>12898</v>
      </c>
      <c r="C188" s="4">
        <v>9759</v>
      </c>
      <c r="D188" s="4">
        <v>6233</v>
      </c>
      <c r="E188" s="4">
        <v>8157</v>
      </c>
      <c r="F188" s="4">
        <v>27439</v>
      </c>
      <c r="G188" s="4">
        <v>22015</v>
      </c>
      <c r="H188" s="4">
        <v>29149</v>
      </c>
      <c r="I188" s="4">
        <v>6245</v>
      </c>
      <c r="J188" s="6" t="s">
        <v>14</v>
      </c>
      <c r="K188" s="6" t="s">
        <v>19</v>
      </c>
    </row>
    <row r="189" spans="1:11">
      <c r="A189" s="4" t="s">
        <v>227</v>
      </c>
      <c r="B189" s="4">
        <v>13407</v>
      </c>
      <c r="C189" s="4">
        <v>24765</v>
      </c>
      <c r="D189" s="4">
        <v>14559</v>
      </c>
      <c r="E189" s="4">
        <v>5200</v>
      </c>
      <c r="F189" s="4">
        <v>33664</v>
      </c>
      <c r="G189" s="4">
        <v>6540</v>
      </c>
      <c r="H189" s="4">
        <v>14710</v>
      </c>
      <c r="I189" s="4">
        <v>5200</v>
      </c>
      <c r="J189" s="6" t="s">
        <v>14</v>
      </c>
      <c r="K189" s="6" t="s">
        <v>19</v>
      </c>
    </row>
    <row r="190" spans="1:11">
      <c r="A190" s="4" t="s">
        <v>128</v>
      </c>
      <c r="B190" s="4">
        <v>5200</v>
      </c>
      <c r="C190" s="4">
        <v>20726</v>
      </c>
      <c r="D190" s="4">
        <v>11582</v>
      </c>
      <c r="E190" s="4">
        <v>9371</v>
      </c>
      <c r="F190" s="4">
        <v>9448</v>
      </c>
      <c r="G190" s="4">
        <v>26665</v>
      </c>
      <c r="H190" s="4">
        <v>25159</v>
      </c>
      <c r="I190" s="4">
        <v>5200</v>
      </c>
      <c r="J190" s="6" t="s">
        <v>14</v>
      </c>
      <c r="K190" s="6" t="s">
        <v>19</v>
      </c>
    </row>
    <row r="191" spans="1:11">
      <c r="A191" s="4" t="s">
        <v>184</v>
      </c>
      <c r="B191" s="4">
        <v>7140</v>
      </c>
      <c r="C191" s="4">
        <v>21598</v>
      </c>
      <c r="D191" s="4">
        <v>25132</v>
      </c>
      <c r="E191" s="4">
        <v>19948</v>
      </c>
      <c r="F191" s="4">
        <v>5200</v>
      </c>
      <c r="G191" s="4">
        <v>23862</v>
      </c>
      <c r="H191" s="4">
        <v>5200</v>
      </c>
      <c r="I191" s="4">
        <v>5200</v>
      </c>
      <c r="J191" s="6" t="s">
        <v>14</v>
      </c>
      <c r="K191" s="6" t="s">
        <v>19</v>
      </c>
    </row>
    <row r="192" spans="1:11">
      <c r="A192" s="4" t="s">
        <v>281</v>
      </c>
      <c r="B192" s="4">
        <v>20238</v>
      </c>
      <c r="C192" s="4">
        <v>10095</v>
      </c>
      <c r="D192" s="4">
        <v>5911</v>
      </c>
      <c r="E192" s="4">
        <v>5200</v>
      </c>
      <c r="F192" s="4">
        <v>7641</v>
      </c>
      <c r="G192" s="4">
        <v>27731</v>
      </c>
      <c r="H192" s="4">
        <v>23637</v>
      </c>
      <c r="I192" s="4">
        <v>12460</v>
      </c>
      <c r="J192" s="6" t="s">
        <v>14</v>
      </c>
      <c r="K192" s="6" t="s">
        <v>19</v>
      </c>
    </row>
    <row r="193" spans="1:11">
      <c r="A193" s="4" t="s">
        <v>242</v>
      </c>
      <c r="B193" s="4">
        <v>22620</v>
      </c>
      <c r="C193" s="4">
        <v>6191</v>
      </c>
      <c r="D193" s="4">
        <v>15729</v>
      </c>
      <c r="E193" s="4">
        <v>17610</v>
      </c>
      <c r="F193" s="4">
        <v>23081</v>
      </c>
      <c r="G193" s="4">
        <v>16888</v>
      </c>
      <c r="H193" s="4">
        <v>5200</v>
      </c>
      <c r="I193" s="4">
        <v>5200</v>
      </c>
      <c r="J193" s="6" t="s">
        <v>14</v>
      </c>
      <c r="K193" s="6" t="s">
        <v>19</v>
      </c>
    </row>
    <row r="194" spans="1:11">
      <c r="A194" s="4" t="s">
        <v>94</v>
      </c>
      <c r="B194" s="4">
        <v>8917</v>
      </c>
      <c r="C194" s="4">
        <v>5239</v>
      </c>
      <c r="D194" s="4">
        <v>5200</v>
      </c>
      <c r="E194" s="4">
        <v>23785</v>
      </c>
      <c r="F194" s="4">
        <v>25653</v>
      </c>
      <c r="G194" s="4">
        <v>11181</v>
      </c>
      <c r="H194" s="4">
        <v>5200</v>
      </c>
      <c r="I194" s="4">
        <v>22577</v>
      </c>
      <c r="J194" s="6" t="s">
        <v>14</v>
      </c>
      <c r="K194" s="6" t="s">
        <v>19</v>
      </c>
    </row>
    <row r="195" spans="1:11">
      <c r="A195" s="4" t="s">
        <v>237</v>
      </c>
      <c r="B195" s="4">
        <v>5200</v>
      </c>
      <c r="C195" s="4">
        <v>5200</v>
      </c>
      <c r="D195" s="4">
        <v>23429</v>
      </c>
      <c r="E195" s="4">
        <v>8094</v>
      </c>
      <c r="F195" s="4">
        <v>5200</v>
      </c>
      <c r="G195" s="4">
        <v>27576</v>
      </c>
      <c r="H195" s="4">
        <v>24914</v>
      </c>
      <c r="I195" s="4">
        <v>5200</v>
      </c>
      <c r="J195" s="6" t="s">
        <v>14</v>
      </c>
      <c r="K195" s="6" t="s">
        <v>19</v>
      </c>
    </row>
    <row r="196" spans="1:11">
      <c r="A196" s="4" t="s">
        <v>257</v>
      </c>
      <c r="B196" s="4">
        <v>19996</v>
      </c>
      <c r="C196" s="4">
        <v>5200</v>
      </c>
      <c r="D196" s="4">
        <v>5200</v>
      </c>
      <c r="E196" s="4">
        <v>11238</v>
      </c>
      <c r="F196" s="4">
        <v>24303</v>
      </c>
      <c r="G196" s="4">
        <v>8010</v>
      </c>
      <c r="H196" s="4">
        <v>21847</v>
      </c>
      <c r="I196" s="4">
        <v>7645</v>
      </c>
      <c r="J196" s="6" t="s">
        <v>14</v>
      </c>
      <c r="K196" s="6" t="s">
        <v>19</v>
      </c>
    </row>
    <row r="197" spans="1:11">
      <c r="A197" s="4" t="s">
        <v>149</v>
      </c>
      <c r="B197" s="4">
        <v>12316</v>
      </c>
      <c r="C197" s="4">
        <v>12072</v>
      </c>
      <c r="D197" s="4">
        <v>13197</v>
      </c>
      <c r="E197" s="4">
        <v>12365</v>
      </c>
      <c r="F197" s="4">
        <v>12604</v>
      </c>
      <c r="G197" s="4">
        <v>12626</v>
      </c>
      <c r="H197" s="4">
        <v>12695</v>
      </c>
      <c r="I197" s="4">
        <v>12318</v>
      </c>
      <c r="J197" s="6" t="s">
        <v>15</v>
      </c>
      <c r="K197" s="6" t="s">
        <v>21</v>
      </c>
    </row>
    <row r="198" spans="1:11">
      <c r="A198" s="4" t="s">
        <v>224</v>
      </c>
      <c r="B198" s="4">
        <v>12139</v>
      </c>
      <c r="C198" s="4">
        <v>12253</v>
      </c>
      <c r="D198" s="4">
        <v>12414</v>
      </c>
      <c r="E198" s="4">
        <v>12205</v>
      </c>
      <c r="F198" s="4">
        <v>13032</v>
      </c>
      <c r="G198" s="4">
        <v>12805</v>
      </c>
      <c r="H198" s="4">
        <v>12553</v>
      </c>
      <c r="I198" s="4">
        <v>12669</v>
      </c>
      <c r="J198" s="6" t="s">
        <v>15</v>
      </c>
      <c r="K198" s="6" t="s">
        <v>21</v>
      </c>
    </row>
    <row r="199" spans="1:11">
      <c r="A199" s="4" t="s">
        <v>191</v>
      </c>
      <c r="B199" s="4">
        <v>11913</v>
      </c>
      <c r="C199" s="4">
        <v>12823</v>
      </c>
      <c r="D199" s="4">
        <v>12046</v>
      </c>
      <c r="E199" s="4">
        <v>12438</v>
      </c>
      <c r="F199" s="4">
        <v>12396</v>
      </c>
      <c r="G199" s="4">
        <v>12164</v>
      </c>
      <c r="H199" s="4">
        <v>12702</v>
      </c>
      <c r="I199" s="4">
        <v>12949</v>
      </c>
      <c r="J199" s="6" t="s">
        <v>15</v>
      </c>
      <c r="K199" s="6" t="s">
        <v>21</v>
      </c>
    </row>
    <row r="200" spans="1:11">
      <c r="A200" s="4" t="s">
        <v>104</v>
      </c>
      <c r="B200" s="4">
        <v>12631</v>
      </c>
      <c r="C200" s="4">
        <v>12838</v>
      </c>
      <c r="D200" s="4">
        <v>12136</v>
      </c>
      <c r="E200" s="4">
        <v>12453</v>
      </c>
      <c r="F200" s="4">
        <v>12037</v>
      </c>
      <c r="G200" s="4">
        <v>12218</v>
      </c>
      <c r="H200" s="4">
        <v>12425</v>
      </c>
      <c r="I200" s="4">
        <v>12468</v>
      </c>
      <c r="J200" s="6" t="s">
        <v>15</v>
      </c>
      <c r="K200" s="6" t="s">
        <v>21</v>
      </c>
    </row>
    <row r="201" spans="1:11">
      <c r="A201" s="4" t="s">
        <v>48</v>
      </c>
      <c r="B201" s="4">
        <v>11887</v>
      </c>
      <c r="C201" s="4">
        <v>12867</v>
      </c>
      <c r="D201" s="4">
        <v>12889</v>
      </c>
      <c r="E201" s="4">
        <v>12041</v>
      </c>
      <c r="F201" s="4">
        <v>11879</v>
      </c>
      <c r="G201" s="4">
        <v>12671</v>
      </c>
      <c r="H201" s="4">
        <v>12140</v>
      </c>
      <c r="I201" s="4">
        <v>12806</v>
      </c>
      <c r="J201" s="6" t="s">
        <v>15</v>
      </c>
      <c r="K201" s="6" t="s">
        <v>21</v>
      </c>
    </row>
    <row r="202" spans="1:11">
      <c r="A202" s="4" t="s">
        <v>168</v>
      </c>
      <c r="B202" s="4">
        <v>12119</v>
      </c>
      <c r="C202" s="4">
        <v>12045</v>
      </c>
      <c r="D202" s="4">
        <v>12006</v>
      </c>
      <c r="E202" s="4">
        <v>12195</v>
      </c>
      <c r="F202" s="4">
        <v>12889</v>
      </c>
      <c r="G202" s="4">
        <v>12046</v>
      </c>
      <c r="H202" s="4">
        <v>12617</v>
      </c>
      <c r="I202" s="4">
        <v>12533</v>
      </c>
      <c r="J202" s="6" t="s">
        <v>15</v>
      </c>
      <c r="K202" s="6" t="s">
        <v>21</v>
      </c>
    </row>
    <row r="203" spans="1:11">
      <c r="A203" s="4" t="s">
        <v>247</v>
      </c>
      <c r="B203" s="4">
        <v>11930</v>
      </c>
      <c r="C203" s="4">
        <v>12897</v>
      </c>
      <c r="D203" s="4">
        <v>11858</v>
      </c>
      <c r="E203" s="4">
        <v>12154</v>
      </c>
      <c r="F203" s="4">
        <v>12630</v>
      </c>
      <c r="G203" s="4">
        <v>12520</v>
      </c>
      <c r="H203" s="4">
        <v>12027</v>
      </c>
      <c r="I203" s="4">
        <v>12268</v>
      </c>
      <c r="J203" s="6" t="s">
        <v>15</v>
      </c>
      <c r="K203" s="6" t="s">
        <v>21</v>
      </c>
    </row>
    <row r="204" spans="1:11">
      <c r="A204" s="4" t="s">
        <v>216</v>
      </c>
      <c r="B204" s="4">
        <v>12199</v>
      </c>
      <c r="C204" s="4">
        <v>12282</v>
      </c>
      <c r="D204" s="4">
        <v>12237</v>
      </c>
      <c r="E204" s="4">
        <v>12139</v>
      </c>
      <c r="F204" s="4">
        <v>11766</v>
      </c>
      <c r="G204" s="4">
        <v>12727</v>
      </c>
      <c r="H204" s="4">
        <v>11776</v>
      </c>
      <c r="I204" s="4">
        <v>12502</v>
      </c>
      <c r="J204" s="6" t="s">
        <v>15</v>
      </c>
      <c r="K204" s="6" t="s">
        <v>21</v>
      </c>
    </row>
    <row r="205" spans="1:11">
      <c r="A205" s="4" t="s">
        <v>110</v>
      </c>
      <c r="B205" s="4">
        <v>12199</v>
      </c>
      <c r="C205" s="4">
        <v>11841</v>
      </c>
      <c r="D205" s="4">
        <v>11661</v>
      </c>
      <c r="E205" s="4">
        <v>11331</v>
      </c>
      <c r="F205" s="4">
        <v>11501</v>
      </c>
      <c r="G205" s="4">
        <v>11863</v>
      </c>
      <c r="H205" s="4">
        <v>11920</v>
      </c>
      <c r="I205" s="4">
        <v>12155</v>
      </c>
      <c r="J205" s="6" t="s">
        <v>15</v>
      </c>
      <c r="K205" s="6" t="s">
        <v>21</v>
      </c>
    </row>
    <row r="206" spans="1:11">
      <c r="A206" s="4" t="s">
        <v>63</v>
      </c>
      <c r="B206" s="4">
        <v>11664</v>
      </c>
      <c r="C206" s="4">
        <v>12235</v>
      </c>
      <c r="D206" s="4">
        <v>11787</v>
      </c>
      <c r="E206" s="4">
        <v>11309</v>
      </c>
      <c r="F206" s="4">
        <v>11692</v>
      </c>
      <c r="G206" s="4">
        <v>12067</v>
      </c>
      <c r="H206" s="4">
        <v>11538</v>
      </c>
      <c r="I206" s="4">
        <v>11936</v>
      </c>
      <c r="J206" s="6" t="s">
        <v>15</v>
      </c>
      <c r="K206" s="6" t="s">
        <v>21</v>
      </c>
    </row>
    <row r="207" spans="1:11">
      <c r="A207" s="4" t="s">
        <v>230</v>
      </c>
      <c r="B207" s="4">
        <v>11883</v>
      </c>
      <c r="C207" s="4">
        <v>12097</v>
      </c>
      <c r="D207" s="4">
        <v>11284</v>
      </c>
      <c r="E207" s="4">
        <v>11451</v>
      </c>
      <c r="F207" s="4">
        <v>11671</v>
      </c>
      <c r="G207" s="4">
        <v>11596</v>
      </c>
      <c r="H207" s="4">
        <v>12242</v>
      </c>
      <c r="I207" s="4">
        <v>11654</v>
      </c>
      <c r="J207" s="6" t="s">
        <v>15</v>
      </c>
      <c r="K207" s="6" t="s">
        <v>21</v>
      </c>
    </row>
    <row r="208" spans="1:11">
      <c r="A208" s="4" t="s">
        <v>118</v>
      </c>
      <c r="B208" s="4">
        <v>11899</v>
      </c>
      <c r="C208" s="4">
        <v>11858</v>
      </c>
      <c r="D208" s="4">
        <v>12194</v>
      </c>
      <c r="E208" s="4">
        <v>11698</v>
      </c>
      <c r="F208" s="4">
        <v>11562</v>
      </c>
      <c r="G208" s="4">
        <v>11180</v>
      </c>
      <c r="H208" s="4">
        <v>11978</v>
      </c>
      <c r="I208" s="4">
        <v>11312</v>
      </c>
      <c r="J208" s="6" t="s">
        <v>15</v>
      </c>
      <c r="K208" s="6" t="s">
        <v>21</v>
      </c>
    </row>
    <row r="209" spans="1:11">
      <c r="A209" s="4" t="s">
        <v>265</v>
      </c>
      <c r="B209" s="4">
        <v>11760</v>
      </c>
      <c r="C209" s="4">
        <v>11188</v>
      </c>
      <c r="D209" s="4">
        <v>11796</v>
      </c>
      <c r="E209" s="4">
        <v>11163</v>
      </c>
      <c r="F209" s="4">
        <v>11934</v>
      </c>
      <c r="G209" s="4">
        <v>11657</v>
      </c>
      <c r="H209" s="4">
        <v>11808</v>
      </c>
      <c r="I209" s="4">
        <v>11738</v>
      </c>
      <c r="J209" s="6" t="s">
        <v>15</v>
      </c>
      <c r="K209" s="6" t="s">
        <v>21</v>
      </c>
    </row>
    <row r="210" spans="1:11">
      <c r="A210" s="4" t="s">
        <v>162</v>
      </c>
      <c r="B210" s="4">
        <v>11234</v>
      </c>
      <c r="C210" s="4">
        <v>12075</v>
      </c>
      <c r="D210" s="4">
        <v>11703</v>
      </c>
      <c r="E210" s="4">
        <v>11846</v>
      </c>
      <c r="F210" s="4">
        <v>11518</v>
      </c>
      <c r="G210" s="4">
        <v>11450</v>
      </c>
      <c r="H210" s="4">
        <v>11482</v>
      </c>
      <c r="I210" s="4">
        <v>11545</v>
      </c>
      <c r="J210" s="6" t="s">
        <v>15</v>
      </c>
      <c r="K210" s="6" t="s">
        <v>21</v>
      </c>
    </row>
    <row r="211" spans="1:11">
      <c r="A211" s="4" t="s">
        <v>154</v>
      </c>
      <c r="B211" s="4">
        <v>10903</v>
      </c>
      <c r="C211" s="4">
        <v>11226</v>
      </c>
      <c r="D211" s="4">
        <v>11092</v>
      </c>
      <c r="E211" s="4">
        <v>10932</v>
      </c>
      <c r="F211" s="4">
        <v>11866</v>
      </c>
      <c r="G211" s="4">
        <v>11627</v>
      </c>
      <c r="H211" s="4">
        <v>11873</v>
      </c>
      <c r="I211" s="4">
        <v>11595</v>
      </c>
      <c r="J211" s="6" t="s">
        <v>15</v>
      </c>
      <c r="K211" s="6" t="s">
        <v>21</v>
      </c>
    </row>
    <row r="212" spans="1:11">
      <c r="A212" s="4" t="s">
        <v>229</v>
      </c>
      <c r="B212" s="4">
        <v>10783</v>
      </c>
      <c r="C212" s="4">
        <v>11194</v>
      </c>
      <c r="D212" s="4">
        <v>11414</v>
      </c>
      <c r="E212" s="4">
        <v>11597</v>
      </c>
      <c r="F212" s="4">
        <v>10837</v>
      </c>
      <c r="G212" s="4">
        <v>10789</v>
      </c>
      <c r="H212" s="4">
        <v>11472</v>
      </c>
      <c r="I212" s="4">
        <v>11291</v>
      </c>
      <c r="J212" s="6" t="s">
        <v>15</v>
      </c>
      <c r="K212" s="6" t="s">
        <v>21</v>
      </c>
    </row>
    <row r="213" spans="1:11">
      <c r="A213" s="4" t="s">
        <v>112</v>
      </c>
      <c r="B213" s="4">
        <v>11328</v>
      </c>
      <c r="C213" s="4">
        <v>10983</v>
      </c>
      <c r="D213" s="4">
        <v>11113</v>
      </c>
      <c r="E213" s="4">
        <v>11371</v>
      </c>
      <c r="F213" s="4">
        <v>11250</v>
      </c>
      <c r="G213" s="4">
        <v>11033</v>
      </c>
      <c r="H213" s="4">
        <v>10763</v>
      </c>
      <c r="I213" s="4">
        <v>11010</v>
      </c>
      <c r="J213" s="6" t="s">
        <v>15</v>
      </c>
      <c r="K213" s="6" t="s">
        <v>21</v>
      </c>
    </row>
    <row r="214" spans="1:11">
      <c r="A214" s="4" t="s">
        <v>169</v>
      </c>
      <c r="B214" s="4">
        <v>11063</v>
      </c>
      <c r="C214" s="4">
        <v>10479</v>
      </c>
      <c r="D214" s="4">
        <v>10519</v>
      </c>
      <c r="E214" s="4">
        <v>10560</v>
      </c>
      <c r="F214" s="4">
        <v>10622</v>
      </c>
      <c r="G214" s="4">
        <v>10996</v>
      </c>
      <c r="H214" s="4">
        <v>10501</v>
      </c>
      <c r="I214" s="4">
        <v>11198</v>
      </c>
      <c r="J214" s="6" t="s">
        <v>15</v>
      </c>
      <c r="K214" s="6" t="s">
        <v>21</v>
      </c>
    </row>
    <row r="215" spans="1:11">
      <c r="A215" s="4" t="s">
        <v>248</v>
      </c>
      <c r="B215" s="4">
        <v>9766</v>
      </c>
      <c r="C215" s="4">
        <v>14815</v>
      </c>
      <c r="D215" s="4">
        <v>12972</v>
      </c>
      <c r="E215" s="4">
        <v>12894</v>
      </c>
      <c r="F215" s="4">
        <v>11634</v>
      </c>
      <c r="G215" s="4">
        <v>9535</v>
      </c>
      <c r="H215" s="4">
        <v>10768</v>
      </c>
      <c r="I215" s="4">
        <v>15487</v>
      </c>
      <c r="J215" s="6" t="s">
        <v>15</v>
      </c>
      <c r="K215" s="6" t="s">
        <v>20</v>
      </c>
    </row>
    <row r="216" spans="1:11">
      <c r="A216" s="4" t="s">
        <v>57</v>
      </c>
      <c r="B216" s="4">
        <v>11857</v>
      </c>
      <c r="C216" s="4">
        <v>14624</v>
      </c>
      <c r="D216" s="4">
        <v>11379</v>
      </c>
      <c r="E216" s="4">
        <v>9486</v>
      </c>
      <c r="F216" s="4">
        <v>14812</v>
      </c>
      <c r="G216" s="4">
        <v>14050</v>
      </c>
      <c r="H216" s="4">
        <v>11643</v>
      </c>
      <c r="I216" s="4">
        <v>9998</v>
      </c>
      <c r="J216" s="6" t="s">
        <v>15</v>
      </c>
      <c r="K216" s="6" t="s">
        <v>20</v>
      </c>
    </row>
    <row r="217" spans="1:11">
      <c r="A217" s="4" t="s">
        <v>206</v>
      </c>
      <c r="B217" s="4">
        <v>11591</v>
      </c>
      <c r="C217" s="4">
        <v>8603</v>
      </c>
      <c r="D217" s="4">
        <v>13333</v>
      </c>
      <c r="E217" s="4">
        <v>13971</v>
      </c>
      <c r="F217" s="4">
        <v>15745</v>
      </c>
      <c r="G217" s="4">
        <v>11168</v>
      </c>
      <c r="H217" s="4">
        <v>10303</v>
      </c>
      <c r="I217" s="4">
        <v>9953</v>
      </c>
      <c r="J217" s="6" t="s">
        <v>15</v>
      </c>
      <c r="K217" s="6" t="s">
        <v>20</v>
      </c>
    </row>
    <row r="218" spans="1:11">
      <c r="A218" s="4" t="s">
        <v>87</v>
      </c>
      <c r="B218" s="4">
        <v>11165</v>
      </c>
      <c r="C218" s="4">
        <v>11322</v>
      </c>
      <c r="D218" s="4">
        <v>10163</v>
      </c>
      <c r="E218" s="4">
        <v>12839</v>
      </c>
      <c r="F218" s="4">
        <v>10315</v>
      </c>
      <c r="G218" s="4">
        <v>12160</v>
      </c>
      <c r="H218" s="4">
        <v>15636</v>
      </c>
      <c r="I218" s="4">
        <v>10226</v>
      </c>
      <c r="J218" s="6" t="s">
        <v>15</v>
      </c>
      <c r="K218" s="6" t="s">
        <v>20</v>
      </c>
    </row>
    <row r="219" spans="1:11">
      <c r="A219" s="4" t="s">
        <v>125</v>
      </c>
      <c r="B219" s="4">
        <v>10652</v>
      </c>
      <c r="C219" s="4">
        <v>14732</v>
      </c>
      <c r="D219" s="4">
        <v>13131</v>
      </c>
      <c r="E219" s="4">
        <v>11091</v>
      </c>
      <c r="F219" s="4">
        <v>10062</v>
      </c>
      <c r="G219" s="4">
        <v>10814</v>
      </c>
      <c r="H219" s="4">
        <v>12257</v>
      </c>
      <c r="I219" s="4">
        <v>10986</v>
      </c>
      <c r="J219" s="6" t="s">
        <v>15</v>
      </c>
      <c r="K219" s="6" t="s">
        <v>20</v>
      </c>
    </row>
    <row r="220" spans="1:11">
      <c r="A220" s="4" t="s">
        <v>62</v>
      </c>
      <c r="B220" s="4">
        <v>11340</v>
      </c>
      <c r="C220" s="4">
        <v>9281</v>
      </c>
      <c r="D220" s="4">
        <v>8734</v>
      </c>
      <c r="E220" s="4">
        <v>12208</v>
      </c>
      <c r="F220" s="4">
        <v>13841</v>
      </c>
      <c r="G220" s="4">
        <v>13253</v>
      </c>
      <c r="H220" s="4">
        <v>9808</v>
      </c>
      <c r="I220" s="4">
        <v>12446</v>
      </c>
      <c r="J220" s="6" t="s">
        <v>15</v>
      </c>
      <c r="K220" s="6" t="s">
        <v>20</v>
      </c>
    </row>
    <row r="221" spans="1:11">
      <c r="A221" s="4" t="s">
        <v>236</v>
      </c>
      <c r="B221" s="4">
        <v>8679</v>
      </c>
      <c r="C221" s="4">
        <v>9286</v>
      </c>
      <c r="D221" s="4">
        <v>10662</v>
      </c>
      <c r="E221" s="4">
        <v>10815</v>
      </c>
      <c r="F221" s="4">
        <v>10615</v>
      </c>
      <c r="G221" s="4">
        <v>12253</v>
      </c>
      <c r="H221" s="4">
        <v>10245</v>
      </c>
      <c r="I221" s="4">
        <v>12012</v>
      </c>
      <c r="J221" s="6" t="s">
        <v>15</v>
      </c>
      <c r="K221" s="6" t="s">
        <v>20</v>
      </c>
    </row>
    <row r="222" spans="1:11">
      <c r="A222" s="4" t="s">
        <v>279</v>
      </c>
      <c r="B222" s="4">
        <v>8376</v>
      </c>
      <c r="C222" s="4">
        <v>10108</v>
      </c>
      <c r="D222" s="4">
        <v>13835</v>
      </c>
      <c r="E222" s="4">
        <v>11691</v>
      </c>
      <c r="F222" s="4">
        <v>8044</v>
      </c>
      <c r="G222" s="4">
        <v>13729</v>
      </c>
      <c r="H222" s="4">
        <v>8850</v>
      </c>
      <c r="I222" s="4">
        <v>9411</v>
      </c>
      <c r="J222" s="6" t="s">
        <v>15</v>
      </c>
      <c r="K222" s="6" t="s">
        <v>20</v>
      </c>
    </row>
    <row r="223" spans="1:11">
      <c r="A223" s="4" t="s">
        <v>232</v>
      </c>
      <c r="B223" s="4">
        <v>10033</v>
      </c>
      <c r="C223" s="4">
        <v>13345</v>
      </c>
      <c r="D223" s="4">
        <v>7858</v>
      </c>
      <c r="E223" s="4">
        <v>11221</v>
      </c>
      <c r="F223" s="4">
        <v>7905</v>
      </c>
      <c r="G223" s="4">
        <v>11530</v>
      </c>
      <c r="H223" s="4">
        <v>13546</v>
      </c>
      <c r="I223" s="4">
        <v>8133</v>
      </c>
      <c r="J223" s="6" t="s">
        <v>15</v>
      </c>
      <c r="K223" s="6" t="s">
        <v>20</v>
      </c>
    </row>
    <row r="224" spans="1:11">
      <c r="A224" s="4" t="s">
        <v>255</v>
      </c>
      <c r="B224" s="4">
        <v>8621</v>
      </c>
      <c r="C224" s="4">
        <v>22924</v>
      </c>
      <c r="D224" s="4">
        <v>17639</v>
      </c>
      <c r="E224" s="4">
        <v>5200</v>
      </c>
      <c r="F224" s="4">
        <v>5200</v>
      </c>
      <c r="G224" s="4">
        <v>25547</v>
      </c>
      <c r="H224" s="4">
        <v>5200</v>
      </c>
      <c r="I224" s="4">
        <v>9648</v>
      </c>
      <c r="J224" s="6" t="s">
        <v>15</v>
      </c>
      <c r="K224" s="6" t="s">
        <v>19</v>
      </c>
    </row>
    <row r="225" spans="1:11">
      <c r="A225" s="4" t="s">
        <v>225</v>
      </c>
      <c r="B225" s="4">
        <v>23917</v>
      </c>
      <c r="C225" s="4">
        <v>5200</v>
      </c>
      <c r="D225" s="4">
        <v>9385</v>
      </c>
      <c r="E225" s="4">
        <v>28304</v>
      </c>
      <c r="F225" s="4">
        <v>11460</v>
      </c>
      <c r="G225" s="4">
        <v>5200</v>
      </c>
      <c r="H225" s="4">
        <v>5200</v>
      </c>
      <c r="I225" s="4">
        <v>8147</v>
      </c>
      <c r="J225" s="6" t="s">
        <v>15</v>
      </c>
      <c r="K225" s="6" t="s">
        <v>19</v>
      </c>
    </row>
    <row r="226" spans="1:11">
      <c r="A226" s="4" t="s">
        <v>95</v>
      </c>
      <c r="B226" s="4">
        <v>19694</v>
      </c>
      <c r="C226" s="4">
        <v>5200</v>
      </c>
      <c r="D226" s="4">
        <v>5200</v>
      </c>
      <c r="E226" s="4">
        <v>5200</v>
      </c>
      <c r="F226" s="4">
        <v>22220</v>
      </c>
      <c r="G226" s="4">
        <v>22910</v>
      </c>
      <c r="H226" s="4">
        <v>5200</v>
      </c>
      <c r="I226" s="4">
        <v>10815</v>
      </c>
      <c r="J226" s="6" t="s">
        <v>15</v>
      </c>
      <c r="K226" s="6" t="s">
        <v>19</v>
      </c>
    </row>
    <row r="227" spans="1:11">
      <c r="A227" s="4" t="s">
        <v>173</v>
      </c>
      <c r="B227" s="4">
        <v>5200</v>
      </c>
      <c r="C227" s="4">
        <v>5200</v>
      </c>
      <c r="D227" s="4">
        <v>6582</v>
      </c>
      <c r="E227" s="4">
        <v>21578</v>
      </c>
      <c r="F227" s="4">
        <v>20319</v>
      </c>
      <c r="G227" s="4">
        <v>5200</v>
      </c>
      <c r="H227" s="4">
        <v>22978</v>
      </c>
      <c r="I227" s="4">
        <v>5200</v>
      </c>
      <c r="J227" s="6" t="s">
        <v>15</v>
      </c>
      <c r="K227" s="6" t="s">
        <v>19</v>
      </c>
    </row>
    <row r="228" spans="1:11">
      <c r="A228" s="4" t="s">
        <v>122</v>
      </c>
      <c r="B228" s="4">
        <v>6843</v>
      </c>
      <c r="C228" s="4">
        <v>11759</v>
      </c>
      <c r="D228" s="4">
        <v>36169</v>
      </c>
      <c r="E228" s="4">
        <v>7178</v>
      </c>
      <c r="F228" s="4">
        <v>5821</v>
      </c>
      <c r="G228" s="4">
        <v>7310</v>
      </c>
      <c r="H228" s="4">
        <v>11160</v>
      </c>
      <c r="I228" s="4">
        <v>5200</v>
      </c>
      <c r="J228" s="6" t="s">
        <v>15</v>
      </c>
      <c r="K228" s="6" t="s">
        <v>19</v>
      </c>
    </row>
    <row r="229" spans="1:11">
      <c r="A229" s="4" t="s">
        <v>68</v>
      </c>
      <c r="B229" s="4">
        <v>8474</v>
      </c>
      <c r="C229" s="4">
        <v>9880</v>
      </c>
      <c r="D229" s="4">
        <v>5200</v>
      </c>
      <c r="E229" s="4">
        <v>5200</v>
      </c>
      <c r="F229" s="4">
        <v>24100</v>
      </c>
      <c r="G229" s="4">
        <v>5200</v>
      </c>
      <c r="H229" s="4">
        <v>9170</v>
      </c>
      <c r="I229" s="4">
        <v>23365</v>
      </c>
      <c r="J229" s="6" t="s">
        <v>15</v>
      </c>
      <c r="K229" s="6" t="s">
        <v>19</v>
      </c>
    </row>
    <row r="230" spans="1:11">
      <c r="A230" s="4" t="s">
        <v>119</v>
      </c>
      <c r="B230" s="4">
        <v>5200</v>
      </c>
      <c r="C230" s="4">
        <v>9339</v>
      </c>
      <c r="D230" s="4">
        <v>5200</v>
      </c>
      <c r="E230" s="4">
        <v>5200</v>
      </c>
      <c r="F230" s="4">
        <v>11110</v>
      </c>
      <c r="G230" s="4">
        <v>23606</v>
      </c>
      <c r="H230" s="4">
        <v>8524</v>
      </c>
      <c r="I230" s="4">
        <v>21589</v>
      </c>
      <c r="J230" s="6" t="s">
        <v>15</v>
      </c>
      <c r="K230" s="6" t="s">
        <v>19</v>
      </c>
    </row>
    <row r="231" spans="1:11">
      <c r="A231" s="4" t="s">
        <v>253</v>
      </c>
      <c r="B231" s="4">
        <v>5200</v>
      </c>
      <c r="C231" s="4">
        <v>21602</v>
      </c>
      <c r="D231" s="4">
        <v>7664</v>
      </c>
      <c r="E231" s="4">
        <v>5200</v>
      </c>
      <c r="F231" s="4">
        <v>17021</v>
      </c>
      <c r="G231" s="4">
        <v>5200</v>
      </c>
      <c r="H231" s="4">
        <v>22400</v>
      </c>
      <c r="I231" s="4">
        <v>5200</v>
      </c>
      <c r="J231" s="6" t="s">
        <v>15</v>
      </c>
      <c r="K231" s="6" t="s">
        <v>19</v>
      </c>
    </row>
    <row r="232" spans="1:11">
      <c r="A232" s="4" t="s">
        <v>271</v>
      </c>
      <c r="B232" s="4">
        <v>5200</v>
      </c>
      <c r="C232" s="4">
        <v>23790</v>
      </c>
      <c r="D232" s="4">
        <v>10955</v>
      </c>
      <c r="E232" s="4">
        <v>5200</v>
      </c>
      <c r="F232" s="4">
        <v>9922</v>
      </c>
      <c r="G232" s="4">
        <v>5200</v>
      </c>
      <c r="H232" s="4">
        <v>19649</v>
      </c>
      <c r="I232" s="4">
        <v>5200</v>
      </c>
      <c r="J232" s="6" t="s">
        <v>15</v>
      </c>
      <c r="K232" s="6" t="s">
        <v>19</v>
      </c>
    </row>
    <row r="233" spans="1:11">
      <c r="A233" s="4" t="s">
        <v>51</v>
      </c>
      <c r="B233" s="4">
        <v>5200</v>
      </c>
      <c r="C233" s="4">
        <v>20654</v>
      </c>
      <c r="D233" s="4">
        <v>8019</v>
      </c>
      <c r="E233" s="4">
        <v>20525</v>
      </c>
      <c r="F233" s="4">
        <v>9752</v>
      </c>
      <c r="G233" s="4">
        <v>6043</v>
      </c>
      <c r="H233" s="4">
        <v>7671</v>
      </c>
      <c r="I233" s="4">
        <v>7196</v>
      </c>
      <c r="J233" s="6" t="s">
        <v>15</v>
      </c>
      <c r="K233" s="6" t="s">
        <v>19</v>
      </c>
    </row>
    <row r="234" spans="1:11">
      <c r="A234" s="4" t="s">
        <v>56</v>
      </c>
      <c r="B234" s="4">
        <v>6349</v>
      </c>
      <c r="C234" s="4">
        <v>28114</v>
      </c>
      <c r="D234" s="4">
        <v>13193</v>
      </c>
      <c r="E234" s="4">
        <v>5200</v>
      </c>
      <c r="F234" s="4">
        <v>5854</v>
      </c>
      <c r="G234" s="4">
        <v>9601</v>
      </c>
      <c r="H234" s="4">
        <v>6034</v>
      </c>
      <c r="I234" s="4">
        <v>8213</v>
      </c>
      <c r="J234" s="6" t="s">
        <v>15</v>
      </c>
      <c r="K234" s="6" t="s">
        <v>19</v>
      </c>
    </row>
    <row r="235" spans="1:11">
      <c r="A235" s="4" t="s">
        <v>258</v>
      </c>
      <c r="B235" s="4">
        <v>24397</v>
      </c>
      <c r="C235" s="4">
        <v>7726</v>
      </c>
      <c r="D235" s="4">
        <v>5200</v>
      </c>
      <c r="E235" s="4">
        <v>5200</v>
      </c>
      <c r="F235" s="4">
        <v>5200</v>
      </c>
      <c r="G235" s="4">
        <v>21728</v>
      </c>
      <c r="H235" s="4">
        <v>5200</v>
      </c>
      <c r="I235" s="4">
        <v>5652</v>
      </c>
      <c r="J235" s="6" t="s">
        <v>15</v>
      </c>
      <c r="K235" s="6" t="s">
        <v>19</v>
      </c>
    </row>
    <row r="236" spans="1:11">
      <c r="A236" s="4" t="s">
        <v>121</v>
      </c>
      <c r="B236" s="4">
        <v>5200</v>
      </c>
      <c r="C236" s="4">
        <v>5200</v>
      </c>
      <c r="D236" s="4">
        <v>25506</v>
      </c>
      <c r="E236" s="4">
        <v>9100</v>
      </c>
      <c r="F236" s="4">
        <v>5200</v>
      </c>
      <c r="G236" s="4">
        <v>5200</v>
      </c>
      <c r="H236" s="4">
        <v>8752</v>
      </c>
      <c r="I236" s="4">
        <v>10903</v>
      </c>
      <c r="J236" s="6" t="s">
        <v>15</v>
      </c>
      <c r="K236" s="6" t="s">
        <v>19</v>
      </c>
    </row>
    <row r="237" spans="1:11">
      <c r="A237" s="4" t="s">
        <v>163</v>
      </c>
      <c r="B237" s="4">
        <v>5200</v>
      </c>
      <c r="C237" s="4">
        <v>5200</v>
      </c>
      <c r="D237" s="4">
        <v>5200</v>
      </c>
      <c r="E237" s="4">
        <v>5200</v>
      </c>
      <c r="F237" s="4">
        <v>5200</v>
      </c>
      <c r="G237" s="4">
        <v>5200</v>
      </c>
      <c r="H237" s="4">
        <v>22056</v>
      </c>
      <c r="I237" s="4">
        <v>19216</v>
      </c>
      <c r="J237" s="6" t="s">
        <v>15</v>
      </c>
      <c r="K237" s="6" t="s">
        <v>19</v>
      </c>
    </row>
    <row r="238" spans="1:11">
      <c r="A238" s="4" t="s">
        <v>268</v>
      </c>
      <c r="B238" s="4">
        <v>5200</v>
      </c>
      <c r="C238" s="4">
        <v>5200</v>
      </c>
      <c r="D238" s="4">
        <v>5200</v>
      </c>
      <c r="E238" s="4">
        <v>9780</v>
      </c>
      <c r="F238" s="4">
        <v>5200</v>
      </c>
      <c r="G238" s="4">
        <v>5200</v>
      </c>
      <c r="H238" s="4">
        <v>20111</v>
      </c>
      <c r="I238" s="4">
        <v>6181</v>
      </c>
      <c r="J238" s="6" t="s">
        <v>15</v>
      </c>
      <c r="K238" s="6" t="s">
        <v>19</v>
      </c>
    </row>
    <row r="239" spans="1:11">
      <c r="A239" s="4" t="s">
        <v>285</v>
      </c>
      <c r="K239" s="6" t="s">
        <v>21</v>
      </c>
    </row>
  </sheetData>
  <sortState xmlns:xlrd2="http://schemas.microsoft.com/office/spreadsheetml/2017/richdata2" ref="A2:K1048576">
    <sortCondition ref="J2:J1048576"/>
    <sortCondition ref="K2:K104857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504C-7094-4210-94BD-CFE14C378EC5}">
  <dimension ref="A1:C21"/>
  <sheetViews>
    <sheetView zoomScaleNormal="100" workbookViewId="0">
      <selection activeCell="C2" sqref="C2:C21"/>
    </sheetView>
  </sheetViews>
  <sheetFormatPr defaultRowHeight="15"/>
  <sheetData>
    <row r="1" spans="1:3">
      <c r="A1" t="s">
        <v>21</v>
      </c>
      <c r="B1" t="s">
        <v>20</v>
      </c>
    </row>
    <row r="2" spans="1:3">
      <c r="A2" s="15">
        <v>0.05</v>
      </c>
      <c r="B2" s="13">
        <v>0.48823947764106701</v>
      </c>
      <c r="C2" t="str">
        <f>IF(A2&lt;=20%,"A",IF(A2&lt;=50%,"B","C"))</f>
        <v>A</v>
      </c>
    </row>
    <row r="3" spans="1:3">
      <c r="A3" s="15">
        <v>0.1</v>
      </c>
      <c r="B3" s="13">
        <v>0.68202120383455023</v>
      </c>
      <c r="C3" t="str">
        <f t="shared" ref="C3:C21" si="0">IF(A3&lt;=20%,"A",IF(A3&lt;=50%,"B","C"))</f>
        <v>A</v>
      </c>
    </row>
    <row r="4" spans="1:3">
      <c r="A4" s="15">
        <v>0.15</v>
      </c>
      <c r="B4" s="13">
        <v>0.78531884923945128</v>
      </c>
      <c r="C4" t="str">
        <f t="shared" si="0"/>
        <v>A</v>
      </c>
    </row>
    <row r="5" spans="1:3">
      <c r="A5" s="15">
        <v>0.2</v>
      </c>
      <c r="B5" s="13">
        <v>0.84400216214377599</v>
      </c>
      <c r="C5" t="str">
        <f t="shared" si="0"/>
        <v>A</v>
      </c>
    </row>
    <row r="6" spans="1:3">
      <c r="A6" s="15">
        <v>0.25</v>
      </c>
      <c r="B6" s="13">
        <v>0.87736943239883813</v>
      </c>
      <c r="C6" t="str">
        <f t="shared" si="0"/>
        <v>B</v>
      </c>
    </row>
    <row r="7" spans="1:3">
      <c r="A7" s="15">
        <v>0.3</v>
      </c>
      <c r="B7" s="13">
        <v>0.90057237808799984</v>
      </c>
      <c r="C7" t="str">
        <f t="shared" si="0"/>
        <v>B</v>
      </c>
    </row>
    <row r="8" spans="1:3">
      <c r="A8" s="15">
        <v>0.35</v>
      </c>
      <c r="B8" s="13">
        <v>0.92100293605175121</v>
      </c>
      <c r="C8" t="str">
        <f t="shared" si="0"/>
        <v>B</v>
      </c>
    </row>
    <row r="9" spans="1:3">
      <c r="A9" s="15">
        <v>0.4</v>
      </c>
      <c r="B9" s="13">
        <v>0.93580576482920941</v>
      </c>
      <c r="C9" t="str">
        <f t="shared" si="0"/>
        <v>B</v>
      </c>
    </row>
    <row r="10" spans="1:3">
      <c r="A10" s="15">
        <v>0.45</v>
      </c>
      <c r="B10" s="13">
        <v>0.94812112341577337</v>
      </c>
      <c r="C10" t="str">
        <f t="shared" si="0"/>
        <v>B</v>
      </c>
    </row>
    <row r="11" spans="1:3">
      <c r="A11" s="15">
        <v>0.5</v>
      </c>
      <c r="B11" s="13">
        <v>0.95796362778945032</v>
      </c>
      <c r="C11" t="str">
        <f t="shared" si="0"/>
        <v>B</v>
      </c>
    </row>
    <row r="12" spans="1:3">
      <c r="A12" s="15">
        <v>0.55000000000000004</v>
      </c>
      <c r="B12" s="13">
        <v>0.9669314840968688</v>
      </c>
      <c r="C12" t="str">
        <f t="shared" si="0"/>
        <v>C</v>
      </c>
    </row>
    <row r="13" spans="1:3">
      <c r="A13" s="15">
        <v>0.6</v>
      </c>
      <c r="B13" s="13">
        <v>0.97473929118659353</v>
      </c>
      <c r="C13" t="str">
        <f t="shared" si="0"/>
        <v>C</v>
      </c>
    </row>
    <row r="14" spans="1:3">
      <c r="A14" s="15">
        <v>0.65</v>
      </c>
      <c r="B14" s="13">
        <v>0.98244256985272105</v>
      </c>
      <c r="C14" t="str">
        <f t="shared" si="0"/>
        <v>C</v>
      </c>
    </row>
    <row r="15" spans="1:3">
      <c r="A15" s="15">
        <v>0.7</v>
      </c>
      <c r="B15" s="13">
        <v>0.98765387800384374</v>
      </c>
      <c r="C15" t="str">
        <f t="shared" si="0"/>
        <v>C</v>
      </c>
    </row>
    <row r="16" spans="1:3">
      <c r="A16" s="15">
        <v>0.75</v>
      </c>
      <c r="B16" s="13">
        <v>0.99053913654471004</v>
      </c>
      <c r="C16" t="str">
        <f t="shared" si="0"/>
        <v>C</v>
      </c>
    </row>
    <row r="17" spans="1:3">
      <c r="A17" s="15">
        <v>0.8</v>
      </c>
      <c r="B17" s="13">
        <v>0.99337510646121208</v>
      </c>
      <c r="C17" t="str">
        <f t="shared" si="0"/>
        <v>C</v>
      </c>
    </row>
    <row r="18" spans="1:3">
      <c r="A18" s="15">
        <v>0.85</v>
      </c>
      <c r="B18" s="13">
        <v>0.99612712854079621</v>
      </c>
      <c r="C18" t="str">
        <f t="shared" si="0"/>
        <v>C</v>
      </c>
    </row>
    <row r="19" spans="1:3">
      <c r="A19" s="15">
        <v>0.9</v>
      </c>
      <c r="B19" s="13">
        <v>0.99752977881256277</v>
      </c>
      <c r="C19" t="str">
        <f t="shared" si="0"/>
        <v>C</v>
      </c>
    </row>
    <row r="20" spans="1:3">
      <c r="A20" s="15">
        <v>0.95</v>
      </c>
      <c r="B20" s="13">
        <v>0.99879932696108042</v>
      </c>
      <c r="C20" t="str">
        <f t="shared" si="0"/>
        <v>C</v>
      </c>
    </row>
    <row r="21" spans="1:3">
      <c r="A21" s="15">
        <v>1</v>
      </c>
      <c r="B21" s="13">
        <v>1</v>
      </c>
      <c r="C21" t="str">
        <f t="shared" si="0"/>
        <v>C</v>
      </c>
    </row>
  </sheetData>
  <conditionalFormatting sqref="A1:B1">
    <cfRule type="cellIs" dxfId="25" priority="7" operator="between">
      <formula>0.201</formula>
      <formula>0.5</formula>
    </cfRule>
    <cfRule type="cellIs" dxfId="24" priority="8" operator="between">
      <formula>0.0001</formula>
      <formula>0.2</formula>
    </cfRule>
  </conditionalFormatting>
  <conditionalFormatting sqref="A2:A21">
    <cfRule type="cellIs" dxfId="23" priority="5" operator="between">
      <formula>0.201</formula>
      <formula>0.5</formula>
    </cfRule>
    <cfRule type="cellIs" dxfId="22" priority="6" operator="between">
      <formula>0.0001</formula>
      <formula>0.2</formula>
    </cfRule>
  </conditionalFormatting>
  <conditionalFormatting sqref="A12:A21">
    <cfRule type="cellIs" dxfId="21" priority="4" operator="greaterThan">
      <formula>0.5</formula>
    </cfRule>
  </conditionalFormatting>
  <conditionalFormatting sqref="B2:B21">
    <cfRule type="cellIs" dxfId="20" priority="1" operator="greaterThan">
      <formula>0.95</formula>
    </cfRule>
    <cfRule type="cellIs" dxfId="19" priority="2" operator="between">
      <formula>0.8</formula>
      <formula>0.95</formula>
    </cfRule>
    <cfRule type="cellIs" dxfId="18" priority="3" operator="between">
      <formula>0.000001</formula>
      <formula>0.8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6805-9DD5-4747-9294-5B158A39ED07}">
  <dimension ref="A1:W21"/>
  <sheetViews>
    <sheetView workbookViewId="0">
      <selection activeCell="Q26" sqref="Q26"/>
    </sheetView>
  </sheetViews>
  <sheetFormatPr defaultRowHeight="15"/>
  <cols>
    <col min="1" max="1" width="29.42578125" bestFit="1" customWidth="1"/>
    <col min="2" max="2" width="33.140625" bestFit="1" customWidth="1"/>
    <col min="3" max="3" width="34.28515625" bestFit="1" customWidth="1"/>
    <col min="5" max="5" width="29.7109375" hidden="1" customWidth="1"/>
    <col min="6" max="6" width="11" hidden="1" customWidth="1"/>
    <col min="7" max="7" width="11.7109375" hidden="1" customWidth="1"/>
    <col min="8" max="11" width="0" hidden="1" customWidth="1"/>
    <col min="14" max="14" width="31.7109375" customWidth="1"/>
    <col min="17" max="17" width="28.85546875" customWidth="1"/>
    <col min="20" max="20" width="13" customWidth="1"/>
  </cols>
  <sheetData>
    <row r="1" spans="1:23">
      <c r="A1" s="10" t="s">
        <v>284</v>
      </c>
      <c r="B1" t="s">
        <v>286</v>
      </c>
      <c r="C1" t="s">
        <v>293</v>
      </c>
      <c r="E1" t="s">
        <v>289</v>
      </c>
      <c r="F1" t="s">
        <v>290</v>
      </c>
      <c r="G1" t="s">
        <v>291</v>
      </c>
      <c r="H1" t="s">
        <v>292</v>
      </c>
      <c r="I1" t="s">
        <v>21</v>
      </c>
      <c r="J1" t="s">
        <v>20</v>
      </c>
      <c r="U1" t="s">
        <v>20</v>
      </c>
      <c r="V1" t="s">
        <v>21</v>
      </c>
    </row>
    <row r="2" spans="1:23">
      <c r="A2" s="11" t="s">
        <v>5</v>
      </c>
      <c r="B2" s="12">
        <v>895</v>
      </c>
      <c r="C2" s="13">
        <v>0.34199465036301108</v>
      </c>
      <c r="E2" s="11" t="s">
        <v>5</v>
      </c>
      <c r="F2" s="12">
        <v>36344099</v>
      </c>
      <c r="G2" s="13">
        <v>0.48823947764106657</v>
      </c>
      <c r="H2" s="15">
        <f>(ROW()-1)/20</f>
        <v>0.05</v>
      </c>
      <c r="I2" s="15">
        <v>0.05</v>
      </c>
      <c r="J2" s="13">
        <v>0.48823947764106657</v>
      </c>
      <c r="K2" t="str">
        <f>IF(I2&lt;=20%,"A",IF(I2&lt;=50%,"B","C"))</f>
        <v>A</v>
      </c>
      <c r="N2" s="11" t="s">
        <v>5</v>
      </c>
      <c r="O2" t="s">
        <v>13</v>
      </c>
      <c r="P2" t="str">
        <f>VLOOKUP(N2,T:W,4,0)</f>
        <v>A</v>
      </c>
      <c r="T2" s="11" t="s">
        <v>5</v>
      </c>
      <c r="U2" s="13">
        <v>0.34199465036301108</v>
      </c>
      <c r="V2">
        <f>(ROW()-1)/20</f>
        <v>0.05</v>
      </c>
      <c r="W2" t="s">
        <v>13</v>
      </c>
    </row>
    <row r="3" spans="1:23">
      <c r="A3" s="11" t="s">
        <v>9</v>
      </c>
      <c r="B3" s="12">
        <v>411</v>
      </c>
      <c r="C3" s="13">
        <v>0.49904470768055026</v>
      </c>
      <c r="E3" s="11" t="s">
        <v>9</v>
      </c>
      <c r="F3" s="12">
        <v>14424934</v>
      </c>
      <c r="G3" s="13">
        <v>0.68202120383455023</v>
      </c>
      <c r="H3" s="15">
        <f t="shared" ref="H3:H21" si="0">(ROW()-1)/20</f>
        <v>0.1</v>
      </c>
      <c r="I3" s="15">
        <v>0.1</v>
      </c>
      <c r="J3" s="13">
        <v>0.68202120383455023</v>
      </c>
      <c r="K3" t="str">
        <f t="shared" ref="K3:K21" si="1">IF(I3&lt;=20%,"A",IF(I3&lt;=50%,"B","C"))</f>
        <v>A</v>
      </c>
      <c r="N3" s="11" t="s">
        <v>9</v>
      </c>
      <c r="O3" t="s">
        <v>13</v>
      </c>
      <c r="P3" t="str">
        <f t="shared" ref="P3:P21" si="2">VLOOKUP(N3,T:W,4,0)</f>
        <v>A</v>
      </c>
      <c r="T3" s="11" t="s">
        <v>9</v>
      </c>
      <c r="U3" s="13">
        <v>0.49904470768055026</v>
      </c>
      <c r="V3">
        <f t="shared" ref="V3:V21" si="3">(ROW()-1)/20</f>
        <v>0.1</v>
      </c>
      <c r="W3" t="s">
        <v>13</v>
      </c>
    </row>
    <row r="4" spans="1:23">
      <c r="A4" s="11" t="s">
        <v>4</v>
      </c>
      <c r="B4" s="12">
        <v>271</v>
      </c>
      <c r="C4" s="13">
        <v>0.60259839510890334</v>
      </c>
      <c r="E4" s="11" t="s">
        <v>4</v>
      </c>
      <c r="F4" s="12">
        <v>7689382</v>
      </c>
      <c r="G4" s="13">
        <v>0.78531884923945128</v>
      </c>
      <c r="H4" s="15">
        <f t="shared" si="0"/>
        <v>0.15</v>
      </c>
      <c r="I4" s="15">
        <v>0.15</v>
      </c>
      <c r="J4" s="13">
        <v>0.78531884923945128</v>
      </c>
      <c r="K4" t="str">
        <f t="shared" si="1"/>
        <v>A</v>
      </c>
      <c r="N4" s="11" t="s">
        <v>4</v>
      </c>
      <c r="O4" t="s">
        <v>13</v>
      </c>
      <c r="P4" t="str">
        <f t="shared" si="2"/>
        <v>A</v>
      </c>
      <c r="T4" s="11" t="s">
        <v>4</v>
      </c>
      <c r="U4" s="13">
        <v>0.60259839510890334</v>
      </c>
      <c r="V4">
        <f t="shared" si="3"/>
        <v>0.15</v>
      </c>
      <c r="W4" t="s">
        <v>13</v>
      </c>
    </row>
    <row r="5" spans="1:23">
      <c r="A5" s="11" t="s">
        <v>7</v>
      </c>
      <c r="B5" s="12">
        <v>203</v>
      </c>
      <c r="C5" s="13">
        <v>0.68016813144822319</v>
      </c>
      <c r="E5" s="11" t="s">
        <v>7</v>
      </c>
      <c r="F5" s="12">
        <v>4368332</v>
      </c>
      <c r="G5" s="13">
        <v>0.84400216214377599</v>
      </c>
      <c r="H5" s="15">
        <f t="shared" si="0"/>
        <v>0.2</v>
      </c>
      <c r="I5" s="15">
        <v>0.2</v>
      </c>
      <c r="J5" s="13">
        <v>0.84400216214377599</v>
      </c>
      <c r="K5" t="str">
        <f t="shared" si="1"/>
        <v>A</v>
      </c>
      <c r="N5" s="11" t="s">
        <v>7</v>
      </c>
      <c r="O5" t="s">
        <v>13</v>
      </c>
      <c r="P5" t="str">
        <f t="shared" si="2"/>
        <v>A</v>
      </c>
      <c r="T5" s="11" t="s">
        <v>7</v>
      </c>
      <c r="U5" s="13">
        <v>0.68016813144822319</v>
      </c>
      <c r="V5">
        <f t="shared" si="3"/>
        <v>0.2</v>
      </c>
      <c r="W5" t="s">
        <v>13</v>
      </c>
    </row>
    <row r="6" spans="1:23">
      <c r="A6" s="11" t="s">
        <v>6</v>
      </c>
      <c r="B6" s="12">
        <v>136</v>
      </c>
      <c r="C6" s="13">
        <v>0.73213603362628965</v>
      </c>
      <c r="E6" s="11" t="s">
        <v>6</v>
      </c>
      <c r="F6" s="12">
        <v>2483829</v>
      </c>
      <c r="G6" s="13">
        <v>0.87736943239883813</v>
      </c>
      <c r="H6" s="15">
        <f t="shared" si="0"/>
        <v>0.25</v>
      </c>
      <c r="I6" s="15">
        <v>0.25</v>
      </c>
      <c r="J6" s="13">
        <v>0.87736943239883813</v>
      </c>
      <c r="K6" t="str">
        <f t="shared" si="1"/>
        <v>B</v>
      </c>
      <c r="N6" s="11" t="s">
        <v>6</v>
      </c>
      <c r="O6" t="s">
        <v>14</v>
      </c>
      <c r="P6" t="str">
        <f t="shared" si="2"/>
        <v>A</v>
      </c>
      <c r="T6" s="11" t="s">
        <v>6</v>
      </c>
      <c r="U6" s="13">
        <v>0.73213603362628965</v>
      </c>
      <c r="V6">
        <f t="shared" si="3"/>
        <v>0.25</v>
      </c>
      <c r="W6" t="s">
        <v>13</v>
      </c>
    </row>
    <row r="7" spans="1:23">
      <c r="A7" s="11" t="s">
        <v>8</v>
      </c>
      <c r="B7" s="12">
        <v>117</v>
      </c>
      <c r="C7" s="13">
        <v>0.77684371417653797</v>
      </c>
      <c r="E7" s="11" t="s">
        <v>8</v>
      </c>
      <c r="F7" s="12">
        <v>1727206</v>
      </c>
      <c r="G7" s="13">
        <v>0.90057237808799984</v>
      </c>
      <c r="H7" s="15">
        <f t="shared" si="0"/>
        <v>0.3</v>
      </c>
      <c r="I7" s="15">
        <v>0.3</v>
      </c>
      <c r="J7" s="13">
        <v>0.90057237808799984</v>
      </c>
      <c r="K7" t="str">
        <f t="shared" si="1"/>
        <v>B</v>
      </c>
      <c r="N7" s="11" t="s">
        <v>8</v>
      </c>
      <c r="O7" t="s">
        <v>14</v>
      </c>
      <c r="P7" t="str">
        <f t="shared" si="2"/>
        <v>B</v>
      </c>
      <c r="T7" s="11" t="s">
        <v>8</v>
      </c>
      <c r="U7" s="13">
        <v>0.77684371417653797</v>
      </c>
      <c r="V7">
        <f t="shared" si="3"/>
        <v>0.3</v>
      </c>
      <c r="W7" t="s">
        <v>14</v>
      </c>
    </row>
    <row r="8" spans="1:23">
      <c r="A8" s="11" t="s">
        <v>25</v>
      </c>
      <c r="B8" s="12">
        <v>108</v>
      </c>
      <c r="C8" s="13">
        <v>0.81811234237676733</v>
      </c>
      <c r="E8" s="11" t="s">
        <v>25</v>
      </c>
      <c r="F8" s="12">
        <v>1520832</v>
      </c>
      <c r="G8" s="13">
        <v>0.92100293605175121</v>
      </c>
      <c r="H8" s="15">
        <f t="shared" si="0"/>
        <v>0.35</v>
      </c>
      <c r="I8" s="15">
        <v>0.35</v>
      </c>
      <c r="J8" s="13">
        <v>0.92100293605175121</v>
      </c>
      <c r="K8" t="str">
        <f t="shared" si="1"/>
        <v>B</v>
      </c>
      <c r="N8" s="11" t="s">
        <v>25</v>
      </c>
      <c r="O8" t="s">
        <v>14</v>
      </c>
      <c r="P8" t="str">
        <f t="shared" si="2"/>
        <v>B</v>
      </c>
      <c r="T8" s="11" t="s">
        <v>25</v>
      </c>
      <c r="U8" s="13">
        <v>0.81811234237676733</v>
      </c>
      <c r="V8">
        <f t="shared" si="3"/>
        <v>0.35</v>
      </c>
      <c r="W8" t="s">
        <v>14</v>
      </c>
    </row>
    <row r="9" spans="1:23">
      <c r="A9" s="11" t="s">
        <v>26</v>
      </c>
      <c r="B9" s="12">
        <v>85</v>
      </c>
      <c r="C9" s="13">
        <v>0.85059228123805886</v>
      </c>
      <c r="E9" s="11" t="s">
        <v>26</v>
      </c>
      <c r="F9" s="12">
        <v>1101909</v>
      </c>
      <c r="G9" s="13">
        <v>0.93580576482920941</v>
      </c>
      <c r="H9" s="15">
        <f t="shared" si="0"/>
        <v>0.4</v>
      </c>
      <c r="I9" s="15">
        <v>0.4</v>
      </c>
      <c r="J9" s="13">
        <v>0.93580576482920941</v>
      </c>
      <c r="K9" t="str">
        <f t="shared" si="1"/>
        <v>B</v>
      </c>
      <c r="N9" s="11" t="s">
        <v>26</v>
      </c>
      <c r="O9" t="s">
        <v>14</v>
      </c>
      <c r="P9" t="str">
        <f t="shared" si="2"/>
        <v>B</v>
      </c>
      <c r="T9" s="11" t="s">
        <v>26</v>
      </c>
      <c r="U9" s="13">
        <v>0.85059228123805886</v>
      </c>
      <c r="V9">
        <f t="shared" si="3"/>
        <v>0.4</v>
      </c>
      <c r="W9" t="s">
        <v>14</v>
      </c>
    </row>
    <row r="10" spans="1:23">
      <c r="A10" s="11" t="s">
        <v>27</v>
      </c>
      <c r="B10" s="12">
        <v>73</v>
      </c>
      <c r="C10" s="13">
        <v>0.87848681696599162</v>
      </c>
      <c r="E10" s="11" t="s">
        <v>27</v>
      </c>
      <c r="F10" s="12">
        <v>916744</v>
      </c>
      <c r="G10" s="13">
        <v>0.94812112341577337</v>
      </c>
      <c r="H10" s="15">
        <f t="shared" si="0"/>
        <v>0.45</v>
      </c>
      <c r="I10" s="15">
        <v>0.45</v>
      </c>
      <c r="J10" s="13">
        <v>0.94812112341577337</v>
      </c>
      <c r="K10" t="str">
        <f t="shared" si="1"/>
        <v>B</v>
      </c>
      <c r="N10" s="11" t="s">
        <v>27</v>
      </c>
      <c r="O10" t="s">
        <v>14</v>
      </c>
      <c r="P10" t="str">
        <f t="shared" si="2"/>
        <v>B</v>
      </c>
      <c r="T10" s="11" t="s">
        <v>27</v>
      </c>
      <c r="U10" s="13">
        <v>0.87848681696599162</v>
      </c>
      <c r="V10">
        <f t="shared" si="3"/>
        <v>0.45</v>
      </c>
      <c r="W10" t="s">
        <v>14</v>
      </c>
    </row>
    <row r="11" spans="1:23">
      <c r="A11" s="11" t="s">
        <v>29</v>
      </c>
      <c r="B11" s="12">
        <v>65</v>
      </c>
      <c r="C11" s="13">
        <v>0.90332441727168511</v>
      </c>
      <c r="E11" s="11" t="s">
        <v>29</v>
      </c>
      <c r="F11" s="12">
        <v>732667</v>
      </c>
      <c r="G11" s="13">
        <v>0.95796362778945032</v>
      </c>
      <c r="H11" s="15">
        <f t="shared" si="0"/>
        <v>0.5</v>
      </c>
      <c r="I11" s="15">
        <v>0.5</v>
      </c>
      <c r="J11" s="13">
        <v>0.95796362778945032</v>
      </c>
      <c r="K11" t="str">
        <f t="shared" si="1"/>
        <v>B</v>
      </c>
      <c r="N11" s="11" t="s">
        <v>29</v>
      </c>
      <c r="O11" t="s">
        <v>14</v>
      </c>
      <c r="P11" t="str">
        <f t="shared" si="2"/>
        <v>B</v>
      </c>
      <c r="T11" s="11" t="s">
        <v>29</v>
      </c>
      <c r="U11" s="13">
        <v>0.90332441727168511</v>
      </c>
      <c r="V11">
        <f t="shared" si="3"/>
        <v>0.5</v>
      </c>
      <c r="W11" t="s">
        <v>14</v>
      </c>
    </row>
    <row r="12" spans="1:23">
      <c r="A12" s="11" t="s">
        <v>28</v>
      </c>
      <c r="B12" s="12">
        <v>52</v>
      </c>
      <c r="C12" s="13">
        <v>0.92319449751623994</v>
      </c>
      <c r="E12" s="11" t="s">
        <v>28</v>
      </c>
      <c r="F12" s="12">
        <v>667559</v>
      </c>
      <c r="G12" s="13">
        <v>0.9669314840968688</v>
      </c>
      <c r="H12" s="15">
        <f t="shared" si="0"/>
        <v>0.55000000000000004</v>
      </c>
      <c r="I12" s="15">
        <v>0.55000000000000004</v>
      </c>
      <c r="J12" s="13">
        <v>0.9669314840968688</v>
      </c>
      <c r="K12" t="str">
        <f t="shared" si="1"/>
        <v>C</v>
      </c>
      <c r="N12" s="11" t="s">
        <v>28</v>
      </c>
      <c r="O12" t="s">
        <v>15</v>
      </c>
      <c r="P12" t="str">
        <f t="shared" si="2"/>
        <v>B</v>
      </c>
      <c r="T12" s="11" t="s">
        <v>28</v>
      </c>
      <c r="U12" s="13">
        <v>0.92319449751623994</v>
      </c>
      <c r="V12">
        <f t="shared" si="3"/>
        <v>0.55000000000000004</v>
      </c>
      <c r="W12" t="s">
        <v>14</v>
      </c>
    </row>
    <row r="13" spans="1:23">
      <c r="A13" s="11" t="s">
        <v>30</v>
      </c>
      <c r="B13" s="12">
        <v>48</v>
      </c>
      <c r="C13" s="13">
        <v>0.94153611004967519</v>
      </c>
      <c r="E13" s="11" t="s">
        <v>31</v>
      </c>
      <c r="F13" s="12">
        <v>581206</v>
      </c>
      <c r="G13" s="13">
        <v>0.97473929118659353</v>
      </c>
      <c r="H13" s="15">
        <f t="shared" si="0"/>
        <v>0.6</v>
      </c>
      <c r="I13" s="15">
        <v>0.6</v>
      </c>
      <c r="J13" s="13">
        <v>0.97473929118659353</v>
      </c>
      <c r="K13" t="str">
        <f t="shared" si="1"/>
        <v>C</v>
      </c>
      <c r="N13" s="11" t="s">
        <v>31</v>
      </c>
      <c r="O13" t="s">
        <v>15</v>
      </c>
      <c r="P13" t="str">
        <f t="shared" si="2"/>
        <v>C</v>
      </c>
      <c r="T13" s="11" t="s">
        <v>30</v>
      </c>
      <c r="U13" s="13">
        <v>0.94153611004967519</v>
      </c>
      <c r="V13">
        <f t="shared" si="3"/>
        <v>0.6</v>
      </c>
      <c r="W13" t="s">
        <v>14</v>
      </c>
    </row>
    <row r="14" spans="1:23">
      <c r="A14" s="11" t="s">
        <v>31</v>
      </c>
      <c r="B14" s="12">
        <v>40</v>
      </c>
      <c r="C14" s="13">
        <v>0.95682078716087127</v>
      </c>
      <c r="E14" s="11" t="s">
        <v>30</v>
      </c>
      <c r="F14" s="12">
        <v>573425</v>
      </c>
      <c r="G14" s="13">
        <v>0.98244256985272105</v>
      </c>
      <c r="H14" s="15">
        <f t="shared" si="0"/>
        <v>0.65</v>
      </c>
      <c r="I14" s="15">
        <v>0.65</v>
      </c>
      <c r="J14" s="13">
        <v>0.98244256985272105</v>
      </c>
      <c r="K14" t="str">
        <f t="shared" si="1"/>
        <v>C</v>
      </c>
      <c r="N14" s="11" t="s">
        <v>30</v>
      </c>
      <c r="O14" t="s">
        <v>15</v>
      </c>
      <c r="P14" t="str">
        <f t="shared" si="2"/>
        <v>B</v>
      </c>
      <c r="T14" s="11" t="s">
        <v>31</v>
      </c>
      <c r="U14" s="13">
        <v>0.95682078716087127</v>
      </c>
      <c r="V14">
        <f t="shared" si="3"/>
        <v>0.65</v>
      </c>
      <c r="W14" t="s">
        <v>15</v>
      </c>
    </row>
    <row r="15" spans="1:23">
      <c r="A15" s="11" t="s">
        <v>32</v>
      </c>
      <c r="B15" s="12">
        <v>32</v>
      </c>
      <c r="C15" s="13">
        <v>0.96904852884982806</v>
      </c>
      <c r="E15" s="11" t="s">
        <v>32</v>
      </c>
      <c r="F15" s="12">
        <v>387925</v>
      </c>
      <c r="G15" s="13">
        <v>0.98765387800384374</v>
      </c>
      <c r="H15" s="15">
        <f t="shared" si="0"/>
        <v>0.7</v>
      </c>
      <c r="I15" s="15">
        <v>0.7</v>
      </c>
      <c r="J15" s="13">
        <v>0.98765387800384374</v>
      </c>
      <c r="K15" t="str">
        <f t="shared" si="1"/>
        <v>C</v>
      </c>
      <c r="N15" s="11" t="s">
        <v>32</v>
      </c>
      <c r="O15" t="s">
        <v>15</v>
      </c>
      <c r="P15" t="str">
        <f t="shared" si="2"/>
        <v>C</v>
      </c>
      <c r="T15" s="11" t="s">
        <v>32</v>
      </c>
      <c r="U15" s="13">
        <v>0.96904852884982806</v>
      </c>
      <c r="V15">
        <f t="shared" si="3"/>
        <v>0.7</v>
      </c>
      <c r="W15" t="s">
        <v>15</v>
      </c>
    </row>
    <row r="16" spans="1:23">
      <c r="A16" s="11" t="s">
        <v>33</v>
      </c>
      <c r="B16" s="12">
        <v>21</v>
      </c>
      <c r="C16" s="13">
        <v>0.977072984333206</v>
      </c>
      <c r="E16" s="11" t="s">
        <v>34</v>
      </c>
      <c r="F16" s="12">
        <v>214776</v>
      </c>
      <c r="G16" s="13">
        <v>0.99053913654471004</v>
      </c>
      <c r="H16" s="15">
        <f t="shared" si="0"/>
        <v>0.75</v>
      </c>
      <c r="I16" s="15">
        <v>0.75</v>
      </c>
      <c r="J16" s="13">
        <v>0.99053913654471004</v>
      </c>
      <c r="K16" t="str">
        <f t="shared" si="1"/>
        <v>C</v>
      </c>
      <c r="N16" s="11" t="s">
        <v>34</v>
      </c>
      <c r="O16" t="s">
        <v>15</v>
      </c>
      <c r="P16" t="str">
        <f t="shared" si="2"/>
        <v>C</v>
      </c>
      <c r="T16" s="11" t="s">
        <v>33</v>
      </c>
      <c r="U16" s="13">
        <v>0.977072984333206</v>
      </c>
      <c r="V16">
        <f t="shared" si="3"/>
        <v>0.75</v>
      </c>
      <c r="W16" t="s">
        <v>15</v>
      </c>
    </row>
    <row r="17" spans="1:23">
      <c r="A17" s="11" t="s">
        <v>34</v>
      </c>
      <c r="B17" s="12">
        <v>19</v>
      </c>
      <c r="C17" s="13">
        <v>0.98433320596102403</v>
      </c>
      <c r="E17" s="11" t="s">
        <v>35</v>
      </c>
      <c r="F17" s="12">
        <v>211107</v>
      </c>
      <c r="G17" s="13">
        <v>0.99337510646121208</v>
      </c>
      <c r="H17" s="15">
        <f t="shared" si="0"/>
        <v>0.8</v>
      </c>
      <c r="I17" s="15">
        <v>0.8</v>
      </c>
      <c r="J17" s="13">
        <v>0.99337510646121208</v>
      </c>
      <c r="K17" t="str">
        <f t="shared" si="1"/>
        <v>C</v>
      </c>
      <c r="N17" s="11" t="s">
        <v>35</v>
      </c>
      <c r="O17" t="s">
        <v>15</v>
      </c>
      <c r="P17" t="str">
        <f t="shared" si="2"/>
        <v>C</v>
      </c>
      <c r="T17" s="11" t="s">
        <v>34</v>
      </c>
      <c r="U17" s="13">
        <v>0.98433320596102403</v>
      </c>
      <c r="V17">
        <f t="shared" si="3"/>
        <v>0.8</v>
      </c>
      <c r="W17" t="s">
        <v>15</v>
      </c>
    </row>
    <row r="18" spans="1:23">
      <c r="A18" s="11" t="s">
        <v>35</v>
      </c>
      <c r="B18" s="12">
        <v>17</v>
      </c>
      <c r="C18" s="13">
        <v>0.99082919373328238</v>
      </c>
      <c r="E18" s="11" t="s">
        <v>33</v>
      </c>
      <c r="F18" s="12">
        <v>204858</v>
      </c>
      <c r="G18" s="13">
        <v>0.99612712854079621</v>
      </c>
      <c r="H18" s="15">
        <f t="shared" si="0"/>
        <v>0.85</v>
      </c>
      <c r="I18" s="15">
        <v>0.85</v>
      </c>
      <c r="J18" s="13">
        <v>0.99612712854079621</v>
      </c>
      <c r="K18" t="str">
        <f t="shared" si="1"/>
        <v>C</v>
      </c>
      <c r="N18" s="11" t="s">
        <v>33</v>
      </c>
      <c r="O18" t="s">
        <v>15</v>
      </c>
      <c r="P18" t="str">
        <f t="shared" si="2"/>
        <v>C</v>
      </c>
      <c r="T18" s="11" t="s">
        <v>35</v>
      </c>
      <c r="U18" s="13">
        <v>0.99082919373328238</v>
      </c>
      <c r="V18">
        <f t="shared" si="3"/>
        <v>0.85</v>
      </c>
      <c r="W18" t="s">
        <v>15</v>
      </c>
    </row>
    <row r="19" spans="1:23">
      <c r="A19" s="11" t="s">
        <v>38</v>
      </c>
      <c r="B19" s="12">
        <v>9</v>
      </c>
      <c r="C19" s="13">
        <v>0.99426824608330144</v>
      </c>
      <c r="E19" s="11" t="s">
        <v>38</v>
      </c>
      <c r="F19" s="12">
        <v>104412</v>
      </c>
      <c r="G19" s="13">
        <v>0.99752977881256277</v>
      </c>
      <c r="H19" s="15">
        <f t="shared" si="0"/>
        <v>0.9</v>
      </c>
      <c r="I19" s="15">
        <v>0.9</v>
      </c>
      <c r="J19" s="13">
        <v>0.99752977881256277</v>
      </c>
      <c r="K19" t="str">
        <f t="shared" si="1"/>
        <v>C</v>
      </c>
      <c r="N19" s="11" t="s">
        <v>38</v>
      </c>
      <c r="O19" t="s">
        <v>15</v>
      </c>
      <c r="P19" t="str">
        <f t="shared" si="2"/>
        <v>C</v>
      </c>
      <c r="T19" s="11" t="s">
        <v>38</v>
      </c>
      <c r="U19" s="13">
        <v>0.99426824608330144</v>
      </c>
      <c r="V19">
        <f t="shared" si="3"/>
        <v>0.9</v>
      </c>
      <c r="W19" t="s">
        <v>15</v>
      </c>
    </row>
    <row r="20" spans="1:23">
      <c r="A20" s="11" t="s">
        <v>36</v>
      </c>
      <c r="B20" s="12">
        <v>8</v>
      </c>
      <c r="C20" s="13">
        <v>0.99732518150554073</v>
      </c>
      <c r="E20" s="11" t="s">
        <v>37</v>
      </c>
      <c r="F20" s="12">
        <v>94504</v>
      </c>
      <c r="G20" s="13">
        <v>0.99879932696108042</v>
      </c>
      <c r="H20" s="15">
        <f t="shared" si="0"/>
        <v>0.95</v>
      </c>
      <c r="I20" s="15">
        <v>0.95</v>
      </c>
      <c r="J20" s="13">
        <v>0.99879932696108042</v>
      </c>
      <c r="K20" t="str">
        <f t="shared" si="1"/>
        <v>C</v>
      </c>
      <c r="N20" s="11" t="s">
        <v>37</v>
      </c>
      <c r="O20" t="s">
        <v>15</v>
      </c>
      <c r="P20" t="str">
        <f t="shared" si="2"/>
        <v>C</v>
      </c>
      <c r="T20" s="11" t="s">
        <v>36</v>
      </c>
      <c r="U20" s="13">
        <v>0.99732518150554073</v>
      </c>
      <c r="V20">
        <f t="shared" si="3"/>
        <v>0.95</v>
      </c>
      <c r="W20" t="s">
        <v>15</v>
      </c>
    </row>
    <row r="21" spans="1:23">
      <c r="A21" s="11" t="s">
        <v>37</v>
      </c>
      <c r="B21" s="12">
        <v>7</v>
      </c>
      <c r="C21" s="13">
        <v>1</v>
      </c>
      <c r="E21" s="11" t="s">
        <v>36</v>
      </c>
      <c r="F21" s="12">
        <v>89377</v>
      </c>
      <c r="G21" s="13">
        <v>1</v>
      </c>
      <c r="H21" s="15">
        <f t="shared" si="0"/>
        <v>1</v>
      </c>
      <c r="I21" s="15">
        <v>1</v>
      </c>
      <c r="J21" s="13">
        <v>1</v>
      </c>
      <c r="K21" t="str">
        <f t="shared" si="1"/>
        <v>C</v>
      </c>
      <c r="N21" s="11" t="s">
        <v>36</v>
      </c>
      <c r="O21" t="s">
        <v>15</v>
      </c>
      <c r="P21" t="str">
        <f t="shared" si="2"/>
        <v>C</v>
      </c>
      <c r="T21" s="11" t="s">
        <v>37</v>
      </c>
      <c r="U21" s="13">
        <v>1</v>
      </c>
      <c r="V21">
        <f t="shared" si="3"/>
        <v>1</v>
      </c>
      <c r="W21" t="s">
        <v>15</v>
      </c>
    </row>
  </sheetData>
  <sortState xmlns:xlrd2="http://schemas.microsoft.com/office/spreadsheetml/2017/richdata2" ref="A1:C21">
    <sortCondition descending="1" ref="C1"/>
  </sortState>
  <conditionalFormatting sqref="G2:G21">
    <cfRule type="cellIs" dxfId="17" priority="10" operator="greaterThan">
      <formula>0.95</formula>
    </cfRule>
    <cfRule type="cellIs" dxfId="16" priority="11" operator="between">
      <formula>0.8</formula>
      <formula>0.95</formula>
    </cfRule>
    <cfRule type="cellIs" dxfId="15" priority="12" operator="between">
      <formula>0.000001</formula>
      <formula>0.8</formula>
    </cfRule>
  </conditionalFormatting>
  <conditionalFormatting sqref="H1:H1048576 I1:J1">
    <cfRule type="cellIs" dxfId="14" priority="8" operator="between">
      <formula>0.201</formula>
      <formula>0.5</formula>
    </cfRule>
    <cfRule type="cellIs" dxfId="13" priority="9" operator="between">
      <formula>0.0001</formula>
      <formula>0.2</formula>
    </cfRule>
  </conditionalFormatting>
  <conditionalFormatting sqref="H12:H21">
    <cfRule type="cellIs" dxfId="12" priority="7" operator="greaterThan">
      <formula>0.5</formula>
    </cfRule>
  </conditionalFormatting>
  <conditionalFormatting sqref="I2:I21">
    <cfRule type="cellIs" dxfId="11" priority="5" operator="between">
      <formula>0.201</formula>
      <formula>0.5</formula>
    </cfRule>
    <cfRule type="cellIs" dxfId="10" priority="6" operator="between">
      <formula>0.0001</formula>
      <formula>0.2</formula>
    </cfRule>
  </conditionalFormatting>
  <conditionalFormatting sqref="I12:I21">
    <cfRule type="cellIs" dxfId="9" priority="4" operator="greaterThan">
      <formula>0.5</formula>
    </cfRule>
  </conditionalFormatting>
  <conditionalFormatting sqref="J2:J21">
    <cfRule type="cellIs" dxfId="8" priority="1" operator="greaterThan">
      <formula>0.95</formula>
    </cfRule>
    <cfRule type="cellIs" dxfId="7" priority="2" operator="between">
      <formula>0.8</formula>
      <formula>0.95</formula>
    </cfRule>
    <cfRule type="cellIs" dxfId="6" priority="3" operator="between">
      <formula>0.000001</formula>
      <formula>0.8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B8-5D78-4161-BBFB-77FE58854195}">
  <dimension ref="A1:F21"/>
  <sheetViews>
    <sheetView zoomScale="145" zoomScaleNormal="145" workbookViewId="0">
      <selection activeCell="D26" sqref="D26"/>
    </sheetView>
  </sheetViews>
  <sheetFormatPr defaultRowHeight="15"/>
  <cols>
    <col min="1" max="1" width="9.140625" style="14"/>
  </cols>
  <sheetData>
    <row r="1" spans="1:6">
      <c r="A1" s="14" t="s">
        <v>21</v>
      </c>
      <c r="B1" t="s">
        <v>20</v>
      </c>
    </row>
    <row r="2" spans="1:6">
      <c r="A2" s="14">
        <v>0.05</v>
      </c>
      <c r="B2">
        <v>0.34199465036301108</v>
      </c>
      <c r="C2" s="16" t="str">
        <f>IF(A2&lt;=$F$3,"A",IF(A2&lt;=$F$2,"B","C"))</f>
        <v>A</v>
      </c>
      <c r="D2" s="16"/>
      <c r="F2" s="16">
        <v>0.6</v>
      </c>
    </row>
    <row r="3" spans="1:6">
      <c r="A3" s="14">
        <v>0.1</v>
      </c>
      <c r="B3">
        <v>0.49904470768055026</v>
      </c>
      <c r="C3" s="16" t="str">
        <f t="shared" ref="C3:C21" si="0">IF(A3&lt;=$F$3,"A",IF(A3&lt;=$F$2,"B","C"))</f>
        <v>A</v>
      </c>
      <c r="F3" s="16">
        <v>0.25</v>
      </c>
    </row>
    <row r="4" spans="1:6">
      <c r="A4" s="14">
        <v>0.15</v>
      </c>
      <c r="B4">
        <v>0.60259839510890334</v>
      </c>
      <c r="C4" s="16" t="str">
        <f t="shared" si="0"/>
        <v>A</v>
      </c>
    </row>
    <row r="5" spans="1:6">
      <c r="A5" s="14">
        <v>0.2</v>
      </c>
      <c r="B5">
        <v>0.68016813144822319</v>
      </c>
      <c r="C5" s="16" t="str">
        <f t="shared" si="0"/>
        <v>A</v>
      </c>
    </row>
    <row r="6" spans="1:6">
      <c r="A6" s="14">
        <v>0.25</v>
      </c>
      <c r="B6">
        <v>0.73213603362628965</v>
      </c>
      <c r="C6" s="16" t="str">
        <f t="shared" si="0"/>
        <v>A</v>
      </c>
    </row>
    <row r="7" spans="1:6">
      <c r="A7" s="14">
        <v>0.3</v>
      </c>
      <c r="B7">
        <v>0.77684371417653797</v>
      </c>
      <c r="C7" s="16" t="str">
        <f t="shared" si="0"/>
        <v>B</v>
      </c>
    </row>
    <row r="8" spans="1:6">
      <c r="A8" s="14">
        <v>0.35</v>
      </c>
      <c r="B8">
        <v>0.81811234237676733</v>
      </c>
      <c r="C8" s="16" t="str">
        <f t="shared" si="0"/>
        <v>B</v>
      </c>
    </row>
    <row r="9" spans="1:6">
      <c r="A9" s="14">
        <v>0.4</v>
      </c>
      <c r="B9">
        <v>0.85059228123805886</v>
      </c>
      <c r="C9" s="16" t="str">
        <f t="shared" si="0"/>
        <v>B</v>
      </c>
    </row>
    <row r="10" spans="1:6">
      <c r="A10" s="14">
        <v>0.45</v>
      </c>
      <c r="B10">
        <v>0.87848681696599162</v>
      </c>
      <c r="C10" s="16" t="str">
        <f t="shared" si="0"/>
        <v>B</v>
      </c>
    </row>
    <row r="11" spans="1:6">
      <c r="A11" s="14">
        <v>0.5</v>
      </c>
      <c r="B11">
        <v>0.90332441727168511</v>
      </c>
      <c r="C11" s="16" t="str">
        <f t="shared" si="0"/>
        <v>B</v>
      </c>
    </row>
    <row r="12" spans="1:6">
      <c r="A12" s="14">
        <v>0.55000000000000004</v>
      </c>
      <c r="B12">
        <v>0.92319449751623994</v>
      </c>
      <c r="C12" s="16" t="str">
        <f t="shared" si="0"/>
        <v>B</v>
      </c>
    </row>
    <row r="13" spans="1:6">
      <c r="A13" s="14">
        <v>0.6</v>
      </c>
      <c r="B13">
        <v>0.94153611004967519</v>
      </c>
      <c r="C13" s="16" t="str">
        <f t="shared" si="0"/>
        <v>B</v>
      </c>
    </row>
    <row r="14" spans="1:6">
      <c r="A14" s="14">
        <v>0.65</v>
      </c>
      <c r="B14">
        <v>0.95682078716087127</v>
      </c>
      <c r="C14" s="16" t="str">
        <f t="shared" si="0"/>
        <v>C</v>
      </c>
    </row>
    <row r="15" spans="1:6">
      <c r="A15" s="14">
        <v>0.7</v>
      </c>
      <c r="B15">
        <v>0.96904852884982806</v>
      </c>
      <c r="C15" s="16" t="str">
        <f t="shared" si="0"/>
        <v>C</v>
      </c>
    </row>
    <row r="16" spans="1:6">
      <c r="A16" s="14">
        <v>0.75</v>
      </c>
      <c r="B16">
        <v>0.977072984333206</v>
      </c>
      <c r="C16" s="16" t="str">
        <f t="shared" si="0"/>
        <v>C</v>
      </c>
    </row>
    <row r="17" spans="1:3">
      <c r="A17" s="14">
        <v>0.8</v>
      </c>
      <c r="B17">
        <v>0.98433320596102403</v>
      </c>
      <c r="C17" s="16" t="str">
        <f t="shared" si="0"/>
        <v>C</v>
      </c>
    </row>
    <row r="18" spans="1:3">
      <c r="A18" s="14">
        <v>0.85</v>
      </c>
      <c r="B18">
        <v>0.99082919373328238</v>
      </c>
      <c r="C18" s="16" t="str">
        <f t="shared" si="0"/>
        <v>C</v>
      </c>
    </row>
    <row r="19" spans="1:3">
      <c r="A19" s="14">
        <v>0.9</v>
      </c>
      <c r="B19">
        <v>0.99426824608330144</v>
      </c>
      <c r="C19" s="16" t="str">
        <f t="shared" si="0"/>
        <v>C</v>
      </c>
    </row>
    <row r="20" spans="1:3">
      <c r="A20" s="14">
        <v>0.95</v>
      </c>
      <c r="B20">
        <v>0.99732518150554073</v>
      </c>
      <c r="C20" s="16" t="str">
        <f t="shared" si="0"/>
        <v>C</v>
      </c>
    </row>
    <row r="21" spans="1:3">
      <c r="A21" s="14">
        <v>1</v>
      </c>
      <c r="B21">
        <v>1</v>
      </c>
      <c r="C21" s="16" t="str">
        <f t="shared" si="0"/>
        <v>C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00F4-E6B5-489D-8D26-4682018835E5}">
  <dimension ref="A1:Z2618"/>
  <sheetViews>
    <sheetView topLeftCell="D1" workbookViewId="0">
      <selection activeCell="L20" sqref="L20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7" max="7" width="13" customWidth="1"/>
    <col min="8" max="8" width="35.140625" bestFit="1" customWidth="1"/>
    <col min="9" max="9" width="20.85546875" bestFit="1" customWidth="1"/>
    <col min="10" max="16" width="8" bestFit="1" customWidth="1"/>
    <col min="17" max="17" width="11.85546875" bestFit="1" customWidth="1"/>
  </cols>
  <sheetData>
    <row r="1" spans="1:26">
      <c r="A1" s="7" t="s">
        <v>0</v>
      </c>
      <c r="B1" s="7" t="s">
        <v>1</v>
      </c>
      <c r="C1" s="7" t="s">
        <v>2</v>
      </c>
      <c r="D1" s="7" t="s">
        <v>3</v>
      </c>
      <c r="E1" s="7" t="s">
        <v>294</v>
      </c>
      <c r="I1" s="10" t="s">
        <v>295</v>
      </c>
    </row>
    <row r="2" spans="1:26">
      <c r="A2" t="s">
        <v>4</v>
      </c>
      <c r="B2" t="s">
        <v>60</v>
      </c>
      <c r="C2" s="8">
        <v>46023</v>
      </c>
      <c r="D2" s="9">
        <v>23669</v>
      </c>
      <c r="E2">
        <f>MONTH(C2)</f>
        <v>1</v>
      </c>
      <c r="I2">
        <v>1</v>
      </c>
      <c r="K2">
        <v>2</v>
      </c>
      <c r="M2">
        <v>3</v>
      </c>
      <c r="O2">
        <v>4</v>
      </c>
      <c r="Q2">
        <v>5</v>
      </c>
      <c r="S2">
        <v>6</v>
      </c>
      <c r="U2">
        <v>7</v>
      </c>
      <c r="W2">
        <v>8</v>
      </c>
      <c r="Y2" t="s">
        <v>296</v>
      </c>
      <c r="Z2" t="s">
        <v>297</v>
      </c>
    </row>
    <row r="3" spans="1:26">
      <c r="A3" t="s">
        <v>4</v>
      </c>
      <c r="B3" t="s">
        <v>61</v>
      </c>
      <c r="C3" s="8">
        <v>46023</v>
      </c>
      <c r="D3" s="9">
        <v>31702</v>
      </c>
      <c r="E3">
        <f>MONTH(C3)</f>
        <v>1</v>
      </c>
      <c r="H3" s="10" t="s">
        <v>284</v>
      </c>
      <c r="I3" t="s">
        <v>287</v>
      </c>
      <c r="J3" t="s">
        <v>288</v>
      </c>
      <c r="K3" t="s">
        <v>287</v>
      </c>
      <c r="L3" t="s">
        <v>288</v>
      </c>
      <c r="M3" t="s">
        <v>287</v>
      </c>
      <c r="N3" t="s">
        <v>288</v>
      </c>
      <c r="O3" t="s">
        <v>287</v>
      </c>
      <c r="P3" t="s">
        <v>288</v>
      </c>
      <c r="Q3" t="s">
        <v>287</v>
      </c>
      <c r="R3" t="s">
        <v>288</v>
      </c>
      <c r="S3" t="s">
        <v>287</v>
      </c>
      <c r="T3" t="s">
        <v>288</v>
      </c>
      <c r="U3" t="s">
        <v>287</v>
      </c>
      <c r="V3" t="s">
        <v>288</v>
      </c>
      <c r="W3" t="s">
        <v>287</v>
      </c>
      <c r="X3" t="s">
        <v>288</v>
      </c>
    </row>
    <row r="4" spans="1:26">
      <c r="A4" t="s">
        <v>28</v>
      </c>
      <c r="B4" t="s">
        <v>62</v>
      </c>
      <c r="C4" s="8">
        <v>46023</v>
      </c>
      <c r="D4" s="9">
        <v>11340</v>
      </c>
      <c r="E4">
        <f>MONTH(C4)</f>
        <v>1</v>
      </c>
      <c r="H4" s="11" t="s">
        <v>74</v>
      </c>
      <c r="I4" s="12">
        <v>130728</v>
      </c>
      <c r="J4" s="13">
        <v>1.4300141067421827E-2</v>
      </c>
      <c r="K4" s="12">
        <v>236463</v>
      </c>
      <c r="L4" s="13">
        <v>2.5811807393047077E-2</v>
      </c>
      <c r="M4" s="12">
        <v>286103</v>
      </c>
      <c r="N4" s="13">
        <v>3.0063279334533542E-2</v>
      </c>
      <c r="O4" s="12">
        <v>95959</v>
      </c>
      <c r="P4" s="13">
        <v>1.0585554032006301E-2</v>
      </c>
      <c r="Q4" s="12">
        <v>273948</v>
      </c>
      <c r="R4" s="13">
        <v>2.8561086244580182E-2</v>
      </c>
      <c r="S4" s="12">
        <v>37731</v>
      </c>
      <c r="T4" s="13">
        <v>4.0983722300875769E-3</v>
      </c>
      <c r="U4" s="12">
        <v>226890</v>
      </c>
      <c r="V4" s="13">
        <v>2.4031963814677326E-2</v>
      </c>
      <c r="W4" s="12">
        <v>128512</v>
      </c>
      <c r="X4" s="13">
        <v>1.379570056613986E-2</v>
      </c>
      <c r="Y4" s="12">
        <v>1416334</v>
      </c>
      <c r="Z4" s="13">
        <v>1.9026752384899745E-2</v>
      </c>
    </row>
    <row r="5" spans="1:26">
      <c r="A5" t="s">
        <v>30</v>
      </c>
      <c r="B5" t="s">
        <v>63</v>
      </c>
      <c r="C5" s="8">
        <v>46023</v>
      </c>
      <c r="D5" s="9">
        <v>11664</v>
      </c>
      <c r="E5">
        <f>MONTH(C5)</f>
        <v>1</v>
      </c>
      <c r="H5" s="11" t="s">
        <v>159</v>
      </c>
      <c r="I5" s="12">
        <v>105877</v>
      </c>
      <c r="J5" s="13">
        <v>2.5881868285733287E-2</v>
      </c>
      <c r="K5" s="12">
        <v>355725</v>
      </c>
      <c r="L5" s="13">
        <v>6.4642005711141967E-2</v>
      </c>
      <c r="M5" s="12">
        <v>295403</v>
      </c>
      <c r="N5" s="13">
        <v>6.1103788889690987E-2</v>
      </c>
      <c r="O5" s="12">
        <v>136486</v>
      </c>
      <c r="P5" s="13">
        <v>2.5641775205761885E-2</v>
      </c>
      <c r="Q5" s="12">
        <v>50753</v>
      </c>
      <c r="R5" s="13">
        <v>3.3852458366921571E-2</v>
      </c>
      <c r="S5" s="12">
        <v>63301</v>
      </c>
      <c r="T5" s="13">
        <v>1.097417887546601E-2</v>
      </c>
      <c r="U5" s="12">
        <v>334894</v>
      </c>
      <c r="V5" s="13">
        <v>5.9503604212017655E-2</v>
      </c>
      <c r="W5" s="12">
        <v>45493</v>
      </c>
      <c r="X5" s="13">
        <v>1.8679351943874239E-2</v>
      </c>
      <c r="Y5" s="12">
        <v>1387932</v>
      </c>
      <c r="Z5" s="13">
        <v>3.7671957888035776E-2</v>
      </c>
    </row>
    <row r="6" spans="1:26">
      <c r="A6" t="s">
        <v>8</v>
      </c>
      <c r="B6" t="s">
        <v>64</v>
      </c>
      <c r="C6" s="8">
        <v>46023</v>
      </c>
      <c r="D6" s="9">
        <v>14687</v>
      </c>
      <c r="E6">
        <f>MONTH(C6)</f>
        <v>1</v>
      </c>
      <c r="H6" s="11" t="s">
        <v>108</v>
      </c>
      <c r="I6" s="12">
        <v>169102</v>
      </c>
      <c r="J6" s="13">
        <v>4.4379684015975973E-2</v>
      </c>
      <c r="K6" s="12">
        <v>196966</v>
      </c>
      <c r="L6" s="13">
        <v>8.6142403045942381E-2</v>
      </c>
      <c r="M6" s="12">
        <v>139459</v>
      </c>
      <c r="N6" s="13">
        <v>7.5757933979797396E-2</v>
      </c>
      <c r="O6" s="12">
        <v>177120</v>
      </c>
      <c r="P6" s="13">
        <v>4.518046704445295E-2</v>
      </c>
      <c r="Q6" s="12">
        <v>184836</v>
      </c>
      <c r="R6" s="13">
        <v>5.3122965678904947E-2</v>
      </c>
      <c r="S6" s="12">
        <v>166902</v>
      </c>
      <c r="T6" s="13">
        <v>2.9103211287702015E-2</v>
      </c>
      <c r="U6" s="12">
        <v>145568</v>
      </c>
      <c r="V6" s="13">
        <v>7.4922022426019808E-2</v>
      </c>
      <c r="W6" s="12">
        <v>151307</v>
      </c>
      <c r="X6" s="13">
        <v>3.4922084650243476E-2</v>
      </c>
      <c r="Y6" s="12">
        <v>1331260</v>
      </c>
      <c r="Z6" s="13">
        <v>5.5555842889682024E-2</v>
      </c>
    </row>
    <row r="7" spans="1:26">
      <c r="A7" t="s">
        <v>7</v>
      </c>
      <c r="B7" t="s">
        <v>65</v>
      </c>
      <c r="C7" s="8">
        <v>46023</v>
      </c>
      <c r="D7" s="9">
        <v>39150</v>
      </c>
      <c r="E7">
        <f>MONTH(C7)</f>
        <v>1</v>
      </c>
      <c r="H7" s="11" t="s">
        <v>133</v>
      </c>
      <c r="I7" s="12">
        <v>211636</v>
      </c>
      <c r="J7" s="13">
        <v>6.7530230608480152E-2</v>
      </c>
      <c r="K7" s="12">
        <v>30490</v>
      </c>
      <c r="L7" s="13">
        <v>8.9470627788984652E-2</v>
      </c>
      <c r="M7" s="12">
        <v>197476</v>
      </c>
      <c r="N7" s="13">
        <v>9.6508419468821785E-2</v>
      </c>
      <c r="O7" s="12">
        <v>82485</v>
      </c>
      <c r="P7" s="13">
        <v>5.4279659661404356E-2</v>
      </c>
      <c r="Q7" s="12">
        <v>242676</v>
      </c>
      <c r="R7" s="13">
        <v>7.8423716790392312E-2</v>
      </c>
      <c r="S7" s="12">
        <v>89540</v>
      </c>
      <c r="T7" s="13">
        <v>3.88291196782043E-2</v>
      </c>
      <c r="U7" s="12">
        <v>212049</v>
      </c>
      <c r="V7" s="13">
        <v>9.7382042237111138E-2</v>
      </c>
      <c r="W7" s="12">
        <v>218590</v>
      </c>
      <c r="X7" s="13">
        <v>5.838761461439089E-2</v>
      </c>
      <c r="Y7" s="12">
        <v>1284942</v>
      </c>
      <c r="Z7" s="13">
        <v>7.2817500989366027E-2</v>
      </c>
    </row>
    <row r="8" spans="1:26">
      <c r="A8" t="s">
        <v>7</v>
      </c>
      <c r="B8" t="s">
        <v>66</v>
      </c>
      <c r="C8" s="8">
        <v>46023</v>
      </c>
      <c r="D8" s="9">
        <v>9609</v>
      </c>
      <c r="E8">
        <f>MONTH(C8)</f>
        <v>1</v>
      </c>
      <c r="H8" s="11" t="s">
        <v>109</v>
      </c>
      <c r="I8" s="12">
        <v>157450</v>
      </c>
      <c r="J8" s="13">
        <v>8.4753451426251139E-2</v>
      </c>
      <c r="K8" s="12">
        <v>155569</v>
      </c>
      <c r="L8" s="13">
        <v>0.1064522150323544</v>
      </c>
      <c r="M8" s="12">
        <v>152316</v>
      </c>
      <c r="N8" s="13">
        <v>0.11251355906931115</v>
      </c>
      <c r="O8" s="12">
        <v>153106</v>
      </c>
      <c r="P8" s="13">
        <v>7.1169287894549307E-2</v>
      </c>
      <c r="Q8" s="12">
        <v>153987</v>
      </c>
      <c r="R8" s="13">
        <v>9.4477989818646468E-2</v>
      </c>
      <c r="S8" s="12">
        <v>160418</v>
      </c>
      <c r="T8" s="13">
        <v>5.6253854681416214E-2</v>
      </c>
      <c r="U8" s="12">
        <v>158953</v>
      </c>
      <c r="V8" s="13">
        <v>0.11421818637847658</v>
      </c>
      <c r="W8" s="12">
        <v>152940</v>
      </c>
      <c r="X8" s="13">
        <v>7.4805649074872638E-2</v>
      </c>
      <c r="Y8" s="12">
        <v>1244739</v>
      </c>
      <c r="Z8" s="13">
        <v>8.9539079894361412E-2</v>
      </c>
    </row>
    <row r="9" spans="1:26">
      <c r="A9" t="s">
        <v>4</v>
      </c>
      <c r="B9" t="s">
        <v>67</v>
      </c>
      <c r="C9" s="8">
        <v>46024</v>
      </c>
      <c r="D9" s="9">
        <v>29653</v>
      </c>
      <c r="E9">
        <f>MONTH(C9)</f>
        <v>1</v>
      </c>
      <c r="H9" s="11" t="s">
        <v>84</v>
      </c>
      <c r="I9" s="12">
        <v>301051</v>
      </c>
      <c r="J9" s="13">
        <v>0.11768497159399186</v>
      </c>
      <c r="K9" s="12">
        <v>43950</v>
      </c>
      <c r="L9" s="13">
        <v>0.11124970527363705</v>
      </c>
      <c r="M9" s="12">
        <v>36063</v>
      </c>
      <c r="N9" s="13">
        <v>0.11630300567644664</v>
      </c>
      <c r="O9" s="12">
        <v>237377</v>
      </c>
      <c r="P9" s="13">
        <v>9.7355128299884505E-2</v>
      </c>
      <c r="Q9" s="12">
        <v>255939</v>
      </c>
      <c r="R9" s="13">
        <v>0.1211615058594703</v>
      </c>
      <c r="S9" s="12">
        <v>204030</v>
      </c>
      <c r="T9" s="13">
        <v>7.8415760968150422E-2</v>
      </c>
      <c r="U9" s="12">
        <v>46386</v>
      </c>
      <c r="V9" s="13">
        <v>0.11913134550187392</v>
      </c>
      <c r="W9" s="12">
        <v>119785</v>
      </c>
      <c r="X9" s="13">
        <v>8.7664510444356136E-2</v>
      </c>
      <c r="Y9" s="12">
        <v>1244581</v>
      </c>
      <c r="Z9" s="13">
        <v>0.10625853625843296</v>
      </c>
    </row>
    <row r="10" spans="1:26">
      <c r="A10" t="s">
        <v>31</v>
      </c>
      <c r="B10" t="s">
        <v>68</v>
      </c>
      <c r="C10" s="8">
        <v>46024</v>
      </c>
      <c r="D10" s="9">
        <v>8474</v>
      </c>
      <c r="E10">
        <f>MONTH(C10)</f>
        <v>1</v>
      </c>
      <c r="H10" s="11" t="s">
        <v>93</v>
      </c>
      <c r="I10" s="12">
        <v>217580</v>
      </c>
      <c r="J10" s="13">
        <v>0.14148572348685062</v>
      </c>
      <c r="K10" s="12">
        <v>108546</v>
      </c>
      <c r="L10" s="13">
        <v>0.12309836001152707</v>
      </c>
      <c r="M10" s="12">
        <v>76494</v>
      </c>
      <c r="N10" s="13">
        <v>0.12434088185885581</v>
      </c>
      <c r="O10" s="12">
        <v>74759</v>
      </c>
      <c r="P10" s="13">
        <v>0.1056020403548117</v>
      </c>
      <c r="Q10" s="12">
        <v>200230</v>
      </c>
      <c r="R10" s="13">
        <v>0.14203695046484172</v>
      </c>
      <c r="S10" s="12">
        <v>73810</v>
      </c>
      <c r="T10" s="13">
        <v>8.6433063830591489E-2</v>
      </c>
      <c r="U10" s="12">
        <v>205076</v>
      </c>
      <c r="V10" s="13">
        <v>0.1408527920674289</v>
      </c>
      <c r="W10" s="12">
        <v>247366</v>
      </c>
      <c r="X10" s="13">
        <v>0.11421912998372796</v>
      </c>
      <c r="Y10" s="12">
        <v>1203861</v>
      </c>
      <c r="Z10" s="13">
        <v>0.12243096815150181</v>
      </c>
    </row>
    <row r="11" spans="1:26">
      <c r="A11" t="s">
        <v>7</v>
      </c>
      <c r="B11" t="s">
        <v>69</v>
      </c>
      <c r="C11" s="8">
        <v>46024</v>
      </c>
      <c r="D11" s="9">
        <v>38539</v>
      </c>
      <c r="E11">
        <f>MONTH(C11)</f>
        <v>1</v>
      </c>
      <c r="H11" s="11" t="s">
        <v>251</v>
      </c>
      <c r="I11" s="12">
        <v>134375</v>
      </c>
      <c r="J11" s="13">
        <v>0.15618480444834937</v>
      </c>
      <c r="K11" s="12">
        <v>183477</v>
      </c>
      <c r="L11" s="13">
        <v>0.14312632626863325</v>
      </c>
      <c r="M11" s="12">
        <v>177917</v>
      </c>
      <c r="N11" s="13">
        <v>0.14303613660753794</v>
      </c>
      <c r="O11" s="12">
        <v>121428</v>
      </c>
      <c r="P11" s="13">
        <v>0.11899716384503629</v>
      </c>
      <c r="Q11" s="12">
        <v>169078</v>
      </c>
      <c r="R11" s="13">
        <v>0.15966457081637239</v>
      </c>
      <c r="S11" s="12">
        <v>105832</v>
      </c>
      <c r="T11" s="13">
        <v>9.792862265104757E-2</v>
      </c>
      <c r="U11" s="12">
        <v>165602</v>
      </c>
      <c r="V11" s="13">
        <v>0.15839319169561081</v>
      </c>
      <c r="W11" s="12">
        <v>101023</v>
      </c>
      <c r="X11" s="13">
        <v>0.12506389979738852</v>
      </c>
      <c r="Y11" s="12">
        <v>1158732</v>
      </c>
      <c r="Z11" s="13">
        <v>0.13799714593475043</v>
      </c>
    </row>
    <row r="12" spans="1:26">
      <c r="A12" t="s">
        <v>9</v>
      </c>
      <c r="B12" t="s">
        <v>70</v>
      </c>
      <c r="C12" s="8">
        <v>46024</v>
      </c>
      <c r="D12" s="9">
        <v>30855</v>
      </c>
      <c r="E12">
        <f>MONTH(C12)</f>
        <v>1</v>
      </c>
      <c r="H12" s="11" t="s">
        <v>72</v>
      </c>
      <c r="I12" s="12">
        <v>146330</v>
      </c>
      <c r="J12" s="13">
        <v>0.17219162504069252</v>
      </c>
      <c r="K12" s="12">
        <v>147088</v>
      </c>
      <c r="L12" s="13">
        <v>0.15918214525861693</v>
      </c>
      <c r="M12" s="12">
        <v>144669</v>
      </c>
      <c r="N12" s="13">
        <v>0.15823774077823041</v>
      </c>
      <c r="O12" s="12">
        <v>138884</v>
      </c>
      <c r="P12" s="13">
        <v>0.13431791631412374</v>
      </c>
      <c r="Q12" s="12">
        <v>144049</v>
      </c>
      <c r="R12" s="13">
        <v>0.1746827345278999</v>
      </c>
      <c r="S12" s="12">
        <v>146224</v>
      </c>
      <c r="T12" s="13">
        <v>0.1138115937085951</v>
      </c>
      <c r="U12" s="12">
        <v>143984</v>
      </c>
      <c r="V12" s="13">
        <v>0.17364383420031573</v>
      </c>
      <c r="W12" s="12">
        <v>147500</v>
      </c>
      <c r="X12" s="13">
        <v>0.14089795290920401</v>
      </c>
      <c r="Y12" s="12">
        <v>1158728</v>
      </c>
      <c r="Z12" s="13">
        <v>0.1535632699827858</v>
      </c>
    </row>
    <row r="13" spans="1:26">
      <c r="A13" t="s">
        <v>9</v>
      </c>
      <c r="B13" t="s">
        <v>71</v>
      </c>
      <c r="C13" s="8">
        <v>46024</v>
      </c>
      <c r="D13" s="9">
        <v>47320</v>
      </c>
      <c r="E13">
        <f>MONTH(C13)</f>
        <v>1</v>
      </c>
      <c r="H13" s="11" t="s">
        <v>97</v>
      </c>
      <c r="I13" s="12">
        <v>145098</v>
      </c>
      <c r="J13" s="13">
        <v>0.18806367898935519</v>
      </c>
      <c r="K13" s="12">
        <v>139525</v>
      </c>
      <c r="L13" s="13">
        <v>0.17441240295861604</v>
      </c>
      <c r="M13" s="12">
        <v>145161</v>
      </c>
      <c r="N13" s="13">
        <v>0.17349104357994946</v>
      </c>
      <c r="O13" s="12">
        <v>145167</v>
      </c>
      <c r="P13" s="13">
        <v>0.1503317672521729</v>
      </c>
      <c r="Q13" s="12">
        <v>141327</v>
      </c>
      <c r="R13" s="13">
        <v>0.1894171097950593</v>
      </c>
      <c r="S13" s="12">
        <v>140648</v>
      </c>
      <c r="T13" s="13">
        <v>0.12908889506337917</v>
      </c>
      <c r="U13" s="12">
        <v>142149</v>
      </c>
      <c r="V13" s="13">
        <v>0.18870011532461634</v>
      </c>
      <c r="W13" s="12">
        <v>143023</v>
      </c>
      <c r="X13" s="13">
        <v>0.15625140225300863</v>
      </c>
      <c r="Y13" s="12">
        <v>1142098</v>
      </c>
      <c r="Z13" s="13">
        <v>0.1689059898816862</v>
      </c>
    </row>
    <row r="14" spans="1:26">
      <c r="A14" t="s">
        <v>5</v>
      </c>
      <c r="B14" t="s">
        <v>72</v>
      </c>
      <c r="C14" s="8">
        <v>46024</v>
      </c>
      <c r="D14" s="9">
        <v>53081</v>
      </c>
      <c r="E14">
        <f>MONTH(C14)</f>
        <v>1</v>
      </c>
      <c r="H14" s="11" t="s">
        <v>54</v>
      </c>
      <c r="I14" s="12">
        <v>134590</v>
      </c>
      <c r="J14" s="13">
        <v>0.20278627848039232</v>
      </c>
      <c r="K14" s="12">
        <v>138973</v>
      </c>
      <c r="L14" s="13">
        <v>0.1895824054910796</v>
      </c>
      <c r="M14" s="12">
        <v>139993</v>
      </c>
      <c r="N14" s="13">
        <v>0.18820130059885298</v>
      </c>
      <c r="O14" s="12">
        <v>135060</v>
      </c>
      <c r="P14" s="13">
        <v>0.16523068165897967</v>
      </c>
      <c r="Q14" s="12">
        <v>140198</v>
      </c>
      <c r="R14" s="13">
        <v>0.20403377853992199</v>
      </c>
      <c r="S14" s="12">
        <v>136701</v>
      </c>
      <c r="T14" s="13">
        <v>0.14393747003423077</v>
      </c>
      <c r="U14" s="12">
        <v>138431</v>
      </c>
      <c r="V14" s="13">
        <v>0.20336258957570541</v>
      </c>
      <c r="W14" s="12">
        <v>137475</v>
      </c>
      <c r="X14" s="13">
        <v>0.17100927650078376</v>
      </c>
      <c r="Y14" s="12">
        <v>1101421</v>
      </c>
      <c r="Z14" s="13">
        <v>0.1837022629631265</v>
      </c>
    </row>
    <row r="15" spans="1:26">
      <c r="A15" t="s">
        <v>5</v>
      </c>
      <c r="B15" t="s">
        <v>73</v>
      </c>
      <c r="C15" s="8">
        <v>46024</v>
      </c>
      <c r="D15" s="9">
        <v>48838</v>
      </c>
      <c r="E15">
        <f>MONTH(C15)</f>
        <v>1</v>
      </c>
      <c r="H15" s="11" t="s">
        <v>277</v>
      </c>
      <c r="I15" s="12">
        <v>23888</v>
      </c>
      <c r="J15" s="13">
        <v>0.20539935119487257</v>
      </c>
      <c r="K15" s="12">
        <v>165036</v>
      </c>
      <c r="L15" s="13">
        <v>0.20759739068926672</v>
      </c>
      <c r="M15" s="12">
        <v>32906</v>
      </c>
      <c r="N15" s="13">
        <v>0.19165901432356808</v>
      </c>
      <c r="O15" s="12">
        <v>198319</v>
      </c>
      <c r="P15" s="13">
        <v>0.18710790516144904</v>
      </c>
      <c r="Q15" s="12">
        <v>188123</v>
      </c>
      <c r="R15" s="13">
        <v>0.22364697968608535</v>
      </c>
      <c r="S15" s="12">
        <v>161296</v>
      </c>
      <c r="T15" s="13">
        <v>0.16145757411904713</v>
      </c>
      <c r="U15" s="12">
        <v>222477</v>
      </c>
      <c r="V15" s="13">
        <v>0.22692713280633683</v>
      </c>
      <c r="W15" s="12">
        <v>84130</v>
      </c>
      <c r="X15" s="13">
        <v>0.1800405909977128</v>
      </c>
      <c r="Y15" s="12">
        <v>1076175</v>
      </c>
      <c r="Z15" s="13">
        <v>0.19815938624606647</v>
      </c>
    </row>
    <row r="16" spans="1:26">
      <c r="A16" t="s">
        <v>5</v>
      </c>
      <c r="B16" t="s">
        <v>74</v>
      </c>
      <c r="C16" s="8">
        <v>46024</v>
      </c>
      <c r="D16" s="9">
        <v>49009</v>
      </c>
      <c r="E16">
        <f>MONTH(C16)</f>
        <v>1</v>
      </c>
      <c r="H16" s="11" t="s">
        <v>98</v>
      </c>
      <c r="I16" s="12">
        <v>112582</v>
      </c>
      <c r="J16" s="13">
        <v>0.21771452836925359</v>
      </c>
      <c r="K16" s="12">
        <v>102164</v>
      </c>
      <c r="L16" s="13">
        <v>0.21874939963148288</v>
      </c>
      <c r="M16" s="12">
        <v>155967</v>
      </c>
      <c r="N16" s="13">
        <v>0.20804779559454109</v>
      </c>
      <c r="O16" s="12">
        <v>120652</v>
      </c>
      <c r="P16" s="13">
        <v>0.20041742553024847</v>
      </c>
      <c r="Q16" s="12">
        <v>105806</v>
      </c>
      <c r="R16" s="13">
        <v>0.23467803043730109</v>
      </c>
      <c r="S16" s="12">
        <v>179051</v>
      </c>
      <c r="T16" s="13">
        <v>0.18090624089621737</v>
      </c>
      <c r="U16" s="12">
        <v>130975</v>
      </c>
      <c r="V16" s="13">
        <v>0.24079987493083488</v>
      </c>
      <c r="W16" s="12">
        <v>167377</v>
      </c>
      <c r="X16" s="13">
        <v>0.19800843037192528</v>
      </c>
      <c r="Y16" s="12">
        <v>1074574</v>
      </c>
      <c r="Z16" s="13">
        <v>0.21259500200989848</v>
      </c>
    </row>
    <row r="17" spans="1:26">
      <c r="A17" t="s">
        <v>5</v>
      </c>
      <c r="B17" t="s">
        <v>61</v>
      </c>
      <c r="C17" s="8">
        <v>46024</v>
      </c>
      <c r="D17" s="9">
        <v>40203</v>
      </c>
      <c r="E17">
        <f>MONTH(C17)</f>
        <v>1</v>
      </c>
      <c r="H17" s="11" t="s">
        <v>107</v>
      </c>
      <c r="I17" s="12">
        <v>157895</v>
      </c>
      <c r="J17" s="13">
        <v>0.23498642707374362</v>
      </c>
      <c r="K17" s="12">
        <v>174828</v>
      </c>
      <c r="L17" s="13">
        <v>0.23783325910595304</v>
      </c>
      <c r="M17" s="12">
        <v>25666</v>
      </c>
      <c r="N17" s="13">
        <v>0.21074474084642639</v>
      </c>
      <c r="O17" s="12">
        <v>172912</v>
      </c>
      <c r="P17" s="13">
        <v>0.21949191899914949</v>
      </c>
      <c r="Q17" s="12">
        <v>58834</v>
      </c>
      <c r="R17" s="13">
        <v>0.24081190601994318</v>
      </c>
      <c r="S17" s="12">
        <v>205205</v>
      </c>
      <c r="T17" s="13">
        <v>0.20319577664865227</v>
      </c>
      <c r="U17" s="12">
        <v>56632</v>
      </c>
      <c r="V17" s="13">
        <v>0.24679828021424449</v>
      </c>
      <c r="W17" s="12">
        <v>222102</v>
      </c>
      <c r="X17" s="13">
        <v>0.22185097182440283</v>
      </c>
      <c r="Y17" s="12">
        <v>1074074</v>
      </c>
      <c r="Z17" s="13">
        <v>0.2270239008720728</v>
      </c>
    </row>
    <row r="18" spans="1:26">
      <c r="A18" t="s">
        <v>4</v>
      </c>
      <c r="B18" t="s">
        <v>75</v>
      </c>
      <c r="C18" s="8">
        <v>46025</v>
      </c>
      <c r="D18" s="9">
        <v>7030</v>
      </c>
      <c r="E18">
        <f>MONTH(C18)</f>
        <v>1</v>
      </c>
      <c r="H18" s="11" t="s">
        <v>92</v>
      </c>
      <c r="I18" s="12">
        <v>126605</v>
      </c>
      <c r="J18" s="13">
        <v>0.24883555931657561</v>
      </c>
      <c r="K18" s="12">
        <v>125252</v>
      </c>
      <c r="L18" s="13">
        <v>0.25150550592509147</v>
      </c>
      <c r="M18" s="12">
        <v>131843</v>
      </c>
      <c r="N18" s="13">
        <v>0.22459860794080463</v>
      </c>
      <c r="O18" s="12">
        <v>131957</v>
      </c>
      <c r="P18" s="13">
        <v>0.23404853123355643</v>
      </c>
      <c r="Q18" s="12">
        <v>129881</v>
      </c>
      <c r="R18" s="13">
        <v>0.25435295192110807</v>
      </c>
      <c r="S18" s="12">
        <v>136681</v>
      </c>
      <c r="T18" s="13">
        <v>0.2180421792030664</v>
      </c>
      <c r="U18" s="12">
        <v>129338</v>
      </c>
      <c r="V18" s="13">
        <v>0.2604976329220004</v>
      </c>
      <c r="W18" s="12">
        <v>126114</v>
      </c>
      <c r="X18" s="13">
        <v>0.23538924825927399</v>
      </c>
      <c r="Y18" s="12">
        <v>1037671</v>
      </c>
      <c r="Z18" s="13">
        <v>0.24096376899215699</v>
      </c>
    </row>
    <row r="19" spans="1:26">
      <c r="A19" t="s">
        <v>4</v>
      </c>
      <c r="B19" t="s">
        <v>76</v>
      </c>
      <c r="C19" s="8">
        <v>46025</v>
      </c>
      <c r="D19" s="9">
        <v>22347</v>
      </c>
      <c r="E19">
        <f>MONTH(C19)</f>
        <v>1</v>
      </c>
      <c r="H19" s="11" t="s">
        <v>204</v>
      </c>
      <c r="I19" s="12">
        <v>126994</v>
      </c>
      <c r="J19" s="13">
        <v>0.26272724368959566</v>
      </c>
      <c r="K19" s="12">
        <v>127269</v>
      </c>
      <c r="L19" s="13">
        <v>0.26539792425314157</v>
      </c>
      <c r="M19" s="12">
        <v>117992</v>
      </c>
      <c r="N19" s="13">
        <v>0.23699703247756337</v>
      </c>
      <c r="O19" s="12">
        <v>119303</v>
      </c>
      <c r="P19" s="13">
        <v>0.24720923895956906</v>
      </c>
      <c r="Q19" s="12">
        <v>124751</v>
      </c>
      <c r="R19" s="13">
        <v>0.2673591577342464</v>
      </c>
      <c r="S19" s="12">
        <v>122833</v>
      </c>
      <c r="T19" s="13">
        <v>0.2313844006161842</v>
      </c>
      <c r="U19" s="12">
        <v>126323</v>
      </c>
      <c r="V19" s="13">
        <v>0.27387763981944624</v>
      </c>
      <c r="W19" s="12">
        <v>124048</v>
      </c>
      <c r="X19" s="13">
        <v>0.24870574060106709</v>
      </c>
      <c r="Y19" s="12">
        <v>989513</v>
      </c>
      <c r="Z19" s="13">
        <v>0.2542566920121786</v>
      </c>
    </row>
    <row r="20" spans="1:26">
      <c r="A20" t="s">
        <v>31</v>
      </c>
      <c r="B20" t="s">
        <v>77</v>
      </c>
      <c r="C20" s="8">
        <v>46025</v>
      </c>
      <c r="D20" s="9">
        <v>26765</v>
      </c>
      <c r="E20">
        <f>MONTH(C20)</f>
        <v>1</v>
      </c>
      <c r="H20" s="11" t="s">
        <v>123</v>
      </c>
      <c r="I20" s="12">
        <v>115315</v>
      </c>
      <c r="J20" s="13">
        <v>0.27534137966038807</v>
      </c>
      <c r="K20" s="12">
        <v>112197</v>
      </c>
      <c r="L20" s="13">
        <v>0.27764511452848151</v>
      </c>
      <c r="M20" s="12">
        <v>119596</v>
      </c>
      <c r="N20" s="13">
        <v>0.24956400295775014</v>
      </c>
      <c r="O20" s="12">
        <v>112638</v>
      </c>
      <c r="P20" s="13">
        <v>0.2596347085357123</v>
      </c>
      <c r="Q20" s="12">
        <v>116769</v>
      </c>
      <c r="R20" s="13">
        <v>0.27953318156246704</v>
      </c>
      <c r="S20" s="12">
        <v>113243</v>
      </c>
      <c r="T20" s="13">
        <v>0.24368494834754056</v>
      </c>
      <c r="U20" s="12">
        <v>119227</v>
      </c>
      <c r="V20" s="13">
        <v>0.28650604543332314</v>
      </c>
      <c r="W20" s="12">
        <v>116809</v>
      </c>
      <c r="X20" s="13">
        <v>0.26124512982098608</v>
      </c>
      <c r="Y20" s="12">
        <v>925794</v>
      </c>
      <c r="Z20" s="13">
        <v>0.2666936265187469</v>
      </c>
    </row>
    <row r="21" spans="1:26">
      <c r="A21" t="s">
        <v>26</v>
      </c>
      <c r="B21" t="s">
        <v>78</v>
      </c>
      <c r="C21" s="8">
        <v>46025</v>
      </c>
      <c r="D21" s="9">
        <v>9697</v>
      </c>
      <c r="E21">
        <f>MONTH(C21)</f>
        <v>1</v>
      </c>
      <c r="H21" s="11" t="s">
        <v>106</v>
      </c>
      <c r="I21" s="12">
        <v>70719</v>
      </c>
      <c r="J21" s="13">
        <v>0.28307722566236931</v>
      </c>
      <c r="K21" s="12">
        <v>48284</v>
      </c>
      <c r="L21" s="13">
        <v>0.28291569516124809</v>
      </c>
      <c r="M21" s="12">
        <v>49683</v>
      </c>
      <c r="N21" s="13">
        <v>0.25478461898476706</v>
      </c>
      <c r="O21" s="12">
        <v>166019</v>
      </c>
      <c r="P21" s="13">
        <v>0.27794881242216019</v>
      </c>
      <c r="Q21" s="12">
        <v>136536</v>
      </c>
      <c r="R21" s="13">
        <v>0.29376805997548699</v>
      </c>
      <c r="S21" s="12">
        <v>166050</v>
      </c>
      <c r="T21" s="13">
        <v>0.26172143581954083</v>
      </c>
      <c r="U21" s="12">
        <v>122081</v>
      </c>
      <c r="V21" s="13">
        <v>0.29943674389715857</v>
      </c>
      <c r="W21" s="12">
        <v>136941</v>
      </c>
      <c r="X21" s="13">
        <v>0.27594567942902082</v>
      </c>
      <c r="Y21" s="12">
        <v>896313</v>
      </c>
      <c r="Z21" s="13">
        <v>0.27873451906977414</v>
      </c>
    </row>
    <row r="22" spans="1:26">
      <c r="A22" t="s">
        <v>8</v>
      </c>
      <c r="B22" t="s">
        <v>79</v>
      </c>
      <c r="C22" s="8">
        <v>46025</v>
      </c>
      <c r="D22" s="9">
        <v>19022</v>
      </c>
      <c r="E22">
        <f>MONTH(C22)</f>
        <v>1</v>
      </c>
      <c r="H22" s="11" t="s">
        <v>172</v>
      </c>
      <c r="I22" s="12">
        <v>117937</v>
      </c>
      <c r="J22" s="13">
        <v>0.29597817830502066</v>
      </c>
      <c r="K22" s="12">
        <v>124879</v>
      </c>
      <c r="L22" s="13">
        <v>0.29654722607913514</v>
      </c>
      <c r="M22" s="12">
        <v>104705</v>
      </c>
      <c r="N22" s="13">
        <v>0.26578686524825379</v>
      </c>
      <c r="O22" s="12">
        <v>123525</v>
      </c>
      <c r="P22" s="13">
        <v>0.29157526290417413</v>
      </c>
      <c r="Q22" s="12">
        <v>111447</v>
      </c>
      <c r="R22" s="13">
        <v>0.30538722630887777</v>
      </c>
      <c r="S22" s="12">
        <v>98585</v>
      </c>
      <c r="T22" s="13">
        <v>0.27242981954388379</v>
      </c>
      <c r="U22" s="12">
        <v>79518</v>
      </c>
      <c r="V22" s="13">
        <v>0.30785921160668966</v>
      </c>
      <c r="W22" s="12">
        <v>134750</v>
      </c>
      <c r="X22" s="13">
        <v>0.29041102625489967</v>
      </c>
      <c r="Y22" s="12">
        <v>895346</v>
      </c>
      <c r="Z22" s="13">
        <v>0.29076242113299544</v>
      </c>
    </row>
    <row r="23" spans="1:26">
      <c r="A23" t="s">
        <v>6</v>
      </c>
      <c r="B23" t="s">
        <v>80</v>
      </c>
      <c r="C23" s="8">
        <v>46025</v>
      </c>
      <c r="D23" s="9">
        <v>27885</v>
      </c>
      <c r="E23">
        <f>MONTH(C23)</f>
        <v>1</v>
      </c>
      <c r="H23" s="11" t="s">
        <v>183</v>
      </c>
      <c r="I23" s="12">
        <v>107457</v>
      </c>
      <c r="J23" s="13">
        <v>0.30773273936831197</v>
      </c>
      <c r="K23" s="12">
        <v>115140</v>
      </c>
      <c r="L23" s="13">
        <v>0.30911566809008584</v>
      </c>
      <c r="M23" s="12">
        <v>114070</v>
      </c>
      <c r="N23" s="13">
        <v>0.27777317183605693</v>
      </c>
      <c r="O23" s="12">
        <v>111511</v>
      </c>
      <c r="P23" s="13">
        <v>0.30387640939030941</v>
      </c>
      <c r="Q23" s="12">
        <v>112505</v>
      </c>
      <c r="R23" s="13">
        <v>0.31711669689434102</v>
      </c>
      <c r="S23" s="12">
        <v>113713</v>
      </c>
      <c r="T23" s="13">
        <v>0.28478141906152044</v>
      </c>
      <c r="U23" s="12">
        <v>106830</v>
      </c>
      <c r="V23" s="13">
        <v>0.31917453927349726</v>
      </c>
      <c r="W23" s="12">
        <v>110195</v>
      </c>
      <c r="X23" s="13">
        <v>0.30224040579833361</v>
      </c>
      <c r="Y23" s="12">
        <v>891421</v>
      </c>
      <c r="Z23" s="13">
        <v>0.30273759551820378</v>
      </c>
    </row>
    <row r="24" spans="1:26">
      <c r="A24" t="s">
        <v>37</v>
      </c>
      <c r="B24" t="s">
        <v>81</v>
      </c>
      <c r="C24" s="8">
        <v>46025</v>
      </c>
      <c r="D24" s="9">
        <v>14801</v>
      </c>
      <c r="E24">
        <f>MONTH(C24)</f>
        <v>1</v>
      </c>
      <c r="H24" s="11" t="s">
        <v>53</v>
      </c>
      <c r="I24" s="12">
        <v>120049</v>
      </c>
      <c r="J24" s="13">
        <v>0.32086472054298704</v>
      </c>
      <c r="K24" s="12">
        <v>87487</v>
      </c>
      <c r="L24" s="13">
        <v>0.31866556635491167</v>
      </c>
      <c r="M24" s="12">
        <v>133354</v>
      </c>
      <c r="N24" s="13">
        <v>0.29178581257165698</v>
      </c>
      <c r="O24" s="12">
        <v>136275</v>
      </c>
      <c r="P24" s="13">
        <v>0.318909354457595</v>
      </c>
      <c r="Q24" s="12">
        <v>96969</v>
      </c>
      <c r="R24" s="13">
        <v>0.32722642564596799</v>
      </c>
      <c r="S24" s="12">
        <v>89559</v>
      </c>
      <c r="T24" s="13">
        <v>0.29450939124763831</v>
      </c>
      <c r="U24" s="12">
        <v>108537</v>
      </c>
      <c r="V24" s="13">
        <v>0.33067067068763467</v>
      </c>
      <c r="W24" s="12">
        <v>106705</v>
      </c>
      <c r="X24" s="13">
        <v>0.31369513554271511</v>
      </c>
      <c r="Y24" s="12">
        <v>878935</v>
      </c>
      <c r="Z24" s="13">
        <v>0.31454503543521622</v>
      </c>
    </row>
    <row r="25" spans="1:26">
      <c r="A25" t="s">
        <v>9</v>
      </c>
      <c r="B25" t="s">
        <v>82</v>
      </c>
      <c r="C25" s="8">
        <v>46025</v>
      </c>
      <c r="D25" s="9">
        <v>38182</v>
      </c>
      <c r="E25">
        <f>MONTH(C25)</f>
        <v>1</v>
      </c>
      <c r="H25" s="11" t="s">
        <v>100</v>
      </c>
      <c r="I25" s="12">
        <v>20629</v>
      </c>
      <c r="J25" s="13">
        <v>0.32312129610506896</v>
      </c>
      <c r="K25" s="12">
        <v>62167</v>
      </c>
      <c r="L25" s="13">
        <v>0.32545158628278015</v>
      </c>
      <c r="M25" s="12">
        <v>221204</v>
      </c>
      <c r="N25" s="13">
        <v>0.31502960114401085</v>
      </c>
      <c r="O25" s="12">
        <v>41138</v>
      </c>
      <c r="P25" s="13">
        <v>0.32344742302613655</v>
      </c>
      <c r="Q25" s="12">
        <v>186877</v>
      </c>
      <c r="R25" s="13">
        <v>0.34670972216256385</v>
      </c>
      <c r="S25" s="12">
        <v>24919</v>
      </c>
      <c r="T25" s="13">
        <v>0.2972161135078899</v>
      </c>
      <c r="U25" s="12">
        <v>86747</v>
      </c>
      <c r="V25" s="13">
        <v>0.33985882690885116</v>
      </c>
      <c r="W25" s="12">
        <v>180138</v>
      </c>
      <c r="X25" s="13">
        <v>0.33303286204750304</v>
      </c>
      <c r="Y25" s="12">
        <v>823819</v>
      </c>
      <c r="Z25" s="13">
        <v>0.32561205784869757</v>
      </c>
    </row>
    <row r="26" spans="1:26">
      <c r="A26" t="s">
        <v>9</v>
      </c>
      <c r="B26" t="s">
        <v>83</v>
      </c>
      <c r="C26" s="8">
        <v>46025</v>
      </c>
      <c r="D26" s="9">
        <v>33655</v>
      </c>
      <c r="E26">
        <f>MONTH(C26)</f>
        <v>1</v>
      </c>
      <c r="H26" s="11" t="s">
        <v>270</v>
      </c>
      <c r="I26" s="12">
        <v>105397</v>
      </c>
      <c r="J26" s="13">
        <v>0.33465051683882957</v>
      </c>
      <c r="K26" s="12">
        <v>97560</v>
      </c>
      <c r="L26" s="13">
        <v>0.33610103219721776</v>
      </c>
      <c r="M26" s="12">
        <v>135115</v>
      </c>
      <c r="N26" s="13">
        <v>0.32922728515041938</v>
      </c>
      <c r="O26" s="12">
        <v>94085</v>
      </c>
      <c r="P26" s="13">
        <v>0.33382624993243309</v>
      </c>
      <c r="Q26" s="12">
        <v>99918</v>
      </c>
      <c r="R26" s="13">
        <v>0.35712690577181072</v>
      </c>
      <c r="S26" s="12">
        <v>85577</v>
      </c>
      <c r="T26" s="13">
        <v>0.30651155758130977</v>
      </c>
      <c r="U26" s="12">
        <v>81643</v>
      </c>
      <c r="V26" s="13">
        <v>0.34850637251122107</v>
      </c>
      <c r="W26" s="12">
        <v>115003</v>
      </c>
      <c r="X26" s="13">
        <v>0.34537837804762583</v>
      </c>
      <c r="Y26" s="12">
        <v>814298</v>
      </c>
      <c r="Z26" s="13">
        <v>0.33655117702081311</v>
      </c>
    </row>
    <row r="27" spans="1:26">
      <c r="A27" t="s">
        <v>5</v>
      </c>
      <c r="B27" t="s">
        <v>84</v>
      </c>
      <c r="C27" s="8">
        <v>46025</v>
      </c>
      <c r="D27" s="9">
        <v>47115</v>
      </c>
      <c r="E27">
        <f>MONTH(C27)</f>
        <v>1</v>
      </c>
      <c r="H27" s="11" t="s">
        <v>124</v>
      </c>
      <c r="I27" s="12">
        <v>96556</v>
      </c>
      <c r="J27" s="13">
        <v>0.34521263376026939</v>
      </c>
      <c r="K27" s="12">
        <v>99448</v>
      </c>
      <c r="L27" s="13">
        <v>0.34695656824989302</v>
      </c>
      <c r="M27" s="12">
        <v>97184</v>
      </c>
      <c r="N27" s="13">
        <v>0.33943923587742086</v>
      </c>
      <c r="O27" s="12">
        <v>100709</v>
      </c>
      <c r="P27" s="13">
        <v>0.34493579214326608</v>
      </c>
      <c r="Q27" s="12">
        <v>103179</v>
      </c>
      <c r="R27" s="13">
        <v>0.36788407252473299</v>
      </c>
      <c r="S27" s="12">
        <v>96824</v>
      </c>
      <c r="T27" s="13">
        <v>0.31702866003833446</v>
      </c>
      <c r="U27" s="12">
        <v>97076</v>
      </c>
      <c r="V27" s="13">
        <v>0.35878856617014659</v>
      </c>
      <c r="W27" s="12">
        <v>103779</v>
      </c>
      <c r="X27" s="13">
        <v>0.35651900311807394</v>
      </c>
      <c r="Y27" s="12">
        <v>794755</v>
      </c>
      <c r="Z27" s="13">
        <v>0.34722775937473599</v>
      </c>
    </row>
    <row r="28" spans="1:26">
      <c r="A28" t="s">
        <v>5</v>
      </c>
      <c r="B28" t="s">
        <v>58</v>
      </c>
      <c r="C28" s="8">
        <v>46025</v>
      </c>
      <c r="D28" s="9">
        <v>48000</v>
      </c>
      <c r="E28">
        <f>MONTH(C28)</f>
        <v>1</v>
      </c>
      <c r="H28" s="11" t="s">
        <v>145</v>
      </c>
      <c r="I28" s="12">
        <v>96208</v>
      </c>
      <c r="J28" s="13">
        <v>0.35573668348040982</v>
      </c>
      <c r="K28" s="12">
        <v>98719</v>
      </c>
      <c r="L28" s="13">
        <v>0.35773252818457291</v>
      </c>
      <c r="M28" s="12">
        <v>102235</v>
      </c>
      <c r="N28" s="13">
        <v>0.35018193820059129</v>
      </c>
      <c r="O28" s="12">
        <v>98526</v>
      </c>
      <c r="P28" s="13">
        <v>0.35580452041844041</v>
      </c>
      <c r="Q28" s="12">
        <v>96461</v>
      </c>
      <c r="R28" s="13">
        <v>0.37794083855419275</v>
      </c>
      <c r="S28" s="12">
        <v>93947</v>
      </c>
      <c r="T28" s="13">
        <v>0.32723326039083073</v>
      </c>
      <c r="U28" s="12">
        <v>94262</v>
      </c>
      <c r="V28" s="13">
        <v>0.36877270373944943</v>
      </c>
      <c r="W28" s="12">
        <v>101589</v>
      </c>
      <c r="X28" s="13">
        <v>0.36742453275587883</v>
      </c>
      <c r="Y28" s="12">
        <v>781947</v>
      </c>
      <c r="Z28" s="13">
        <v>0.35773228157579534</v>
      </c>
    </row>
    <row r="29" spans="1:26">
      <c r="A29" t="s">
        <v>4</v>
      </c>
      <c r="B29" t="s">
        <v>85</v>
      </c>
      <c r="C29" s="8">
        <v>46026</v>
      </c>
      <c r="D29" s="9">
        <v>7009</v>
      </c>
      <c r="E29">
        <f>MONTH(C29)</f>
        <v>1</v>
      </c>
      <c r="H29" s="11" t="s">
        <v>58</v>
      </c>
      <c r="I29" s="12">
        <v>92739</v>
      </c>
      <c r="J29" s="13">
        <v>0.36588126446116093</v>
      </c>
      <c r="K29" s="12">
        <v>95212</v>
      </c>
      <c r="L29" s="13">
        <v>0.36812567132116003</v>
      </c>
      <c r="M29" s="12">
        <v>91172</v>
      </c>
      <c r="N29" s="13">
        <v>0.35976215687529273</v>
      </c>
      <c r="O29" s="12">
        <v>96387</v>
      </c>
      <c r="P29" s="13">
        <v>0.36643728854319152</v>
      </c>
      <c r="Q29" s="12">
        <v>94445</v>
      </c>
      <c r="R29" s="13">
        <v>0.38778742181221754</v>
      </c>
      <c r="S29" s="12">
        <v>96911</v>
      </c>
      <c r="T29" s="13">
        <v>0.33775981285935841</v>
      </c>
      <c r="U29" s="12">
        <v>92954</v>
      </c>
      <c r="V29" s="13">
        <v>0.37861829924577195</v>
      </c>
      <c r="W29" s="12">
        <v>92102</v>
      </c>
      <c r="X29" s="13">
        <v>0.3773116375674343</v>
      </c>
      <c r="Y29" s="12">
        <v>751922</v>
      </c>
      <c r="Z29" s="13">
        <v>0.36783345383231009</v>
      </c>
    </row>
    <row r="30" spans="1:26">
      <c r="A30" t="s">
        <v>25</v>
      </c>
      <c r="B30" t="s">
        <v>86</v>
      </c>
      <c r="C30" s="8">
        <v>46026</v>
      </c>
      <c r="D30" s="9">
        <v>14238</v>
      </c>
      <c r="E30">
        <f>MONTH(C30)</f>
        <v>1</v>
      </c>
      <c r="H30" s="11" t="s">
        <v>99</v>
      </c>
      <c r="I30" s="12">
        <v>88967</v>
      </c>
      <c r="J30" s="13">
        <v>0.37561323198415003</v>
      </c>
      <c r="K30" s="12">
        <v>70548</v>
      </c>
      <c r="L30" s="13">
        <v>0.37582654371119434</v>
      </c>
      <c r="M30" s="12">
        <v>129734</v>
      </c>
      <c r="N30" s="13">
        <v>0.37339441337447787</v>
      </c>
      <c r="O30" s="12">
        <v>76967</v>
      </c>
      <c r="P30" s="13">
        <v>0.37492777236629754</v>
      </c>
      <c r="Q30" s="12">
        <v>107626</v>
      </c>
      <c r="R30" s="13">
        <v>0.39900822089875654</v>
      </c>
      <c r="S30" s="12">
        <v>99913</v>
      </c>
      <c r="T30" s="13">
        <v>0.3486124450351486</v>
      </c>
      <c r="U30" s="12">
        <v>79430</v>
      </c>
      <c r="V30" s="13">
        <v>0.38703144608256429</v>
      </c>
      <c r="W30" s="12">
        <v>97069</v>
      </c>
      <c r="X30" s="13">
        <v>0.38773194740818556</v>
      </c>
      <c r="Y30" s="12">
        <v>750254</v>
      </c>
      <c r="Z30" s="13">
        <v>0.37791221850489481</v>
      </c>
    </row>
    <row r="31" spans="1:26">
      <c r="A31" t="s">
        <v>32</v>
      </c>
      <c r="B31" t="s">
        <v>87</v>
      </c>
      <c r="C31" s="8">
        <v>46026</v>
      </c>
      <c r="D31" s="9">
        <v>11165</v>
      </c>
      <c r="E31">
        <f>MONTH(C31)</f>
        <v>1</v>
      </c>
      <c r="H31" s="11" t="s">
        <v>252</v>
      </c>
      <c r="I31" s="12">
        <v>88665</v>
      </c>
      <c r="J31" s="13">
        <v>0.38531216417727587</v>
      </c>
      <c r="K31" s="12">
        <v>94299</v>
      </c>
      <c r="L31" s="13">
        <v>0.38612002567394094</v>
      </c>
      <c r="M31" s="12">
        <v>89547</v>
      </c>
      <c r="N31" s="13">
        <v>0.38280387945686595</v>
      </c>
      <c r="O31" s="12">
        <v>89125</v>
      </c>
      <c r="P31" s="13">
        <v>0.38475944530059825</v>
      </c>
      <c r="Q31" s="12">
        <v>93010</v>
      </c>
      <c r="R31" s="13">
        <v>0.40870519489239182</v>
      </c>
      <c r="S31" s="12">
        <v>90737</v>
      </c>
      <c r="T31" s="13">
        <v>0.35846837254943281</v>
      </c>
      <c r="U31" s="12">
        <v>94879</v>
      </c>
      <c r="V31" s="13">
        <v>0.39708093568004665</v>
      </c>
      <c r="W31" s="12">
        <v>89197</v>
      </c>
      <c r="X31" s="13">
        <v>0.39730720188557272</v>
      </c>
      <c r="Y31" s="12">
        <v>729459</v>
      </c>
      <c r="Z31" s="13">
        <v>0.38771162723753594</v>
      </c>
    </row>
    <row r="32" spans="1:26">
      <c r="A32" t="s">
        <v>6</v>
      </c>
      <c r="B32" t="s">
        <v>88</v>
      </c>
      <c r="C32" s="8">
        <v>46026</v>
      </c>
      <c r="D32" s="9">
        <v>17035</v>
      </c>
      <c r="E32">
        <f>MONTH(C32)</f>
        <v>1</v>
      </c>
      <c r="H32" s="11" t="s">
        <v>189</v>
      </c>
      <c r="I32" s="12">
        <v>85060</v>
      </c>
      <c r="J32" s="13">
        <v>0.39461675079372305</v>
      </c>
      <c r="K32" s="12">
        <v>83385</v>
      </c>
      <c r="L32" s="13">
        <v>0.39522215818291373</v>
      </c>
      <c r="M32" s="12">
        <v>72696</v>
      </c>
      <c r="N32" s="13">
        <v>0.3904426674265945</v>
      </c>
      <c r="O32" s="12">
        <v>114327</v>
      </c>
      <c r="P32" s="13">
        <v>0.39737123404180213</v>
      </c>
      <c r="Q32" s="12">
        <v>91162</v>
      </c>
      <c r="R32" s="13">
        <v>0.41820950134554508</v>
      </c>
      <c r="S32" s="12">
        <v>86396</v>
      </c>
      <c r="T32" s="13">
        <v>0.36785277707596659</v>
      </c>
      <c r="U32" s="12">
        <v>105449</v>
      </c>
      <c r="V32" s="13">
        <v>0.40824998919626115</v>
      </c>
      <c r="W32" s="12">
        <v>78454</v>
      </c>
      <c r="X32" s="13">
        <v>0.40572920054885658</v>
      </c>
      <c r="Y32" s="12">
        <v>716929</v>
      </c>
      <c r="Z32" s="13">
        <v>0.39734271041463526</v>
      </c>
    </row>
    <row r="33" spans="1:26">
      <c r="A33" t="s">
        <v>7</v>
      </c>
      <c r="B33" t="s">
        <v>89</v>
      </c>
      <c r="C33" s="8">
        <v>46026</v>
      </c>
      <c r="D33" s="9">
        <v>19433</v>
      </c>
      <c r="E33">
        <f>MONTH(C33)</f>
        <v>1</v>
      </c>
      <c r="H33" s="11" t="s">
        <v>239</v>
      </c>
      <c r="I33" s="12">
        <v>69139</v>
      </c>
      <c r="J33" s="13">
        <v>0.40217976295072444</v>
      </c>
      <c r="K33" s="12">
        <v>78328</v>
      </c>
      <c r="L33" s="13">
        <v>0.40377227912988045</v>
      </c>
      <c r="M33" s="12">
        <v>91553</v>
      </c>
      <c r="N33" s="13">
        <v>0.40006292101678598</v>
      </c>
      <c r="O33" s="12">
        <v>89146</v>
      </c>
      <c r="P33" s="13">
        <v>0.40720522355541977</v>
      </c>
      <c r="Q33" s="12">
        <v>98518</v>
      </c>
      <c r="R33" s="13">
        <v>0.42848072469685095</v>
      </c>
      <c r="S33" s="12">
        <v>126451</v>
      </c>
      <c r="T33" s="13">
        <v>0.38158798862262061</v>
      </c>
      <c r="U33" s="12">
        <v>69511</v>
      </c>
      <c r="V33" s="13">
        <v>0.41561252538878629</v>
      </c>
      <c r="W33" s="12">
        <v>76886</v>
      </c>
      <c r="X33" s="13">
        <v>0.41398287517634841</v>
      </c>
      <c r="Y33" s="12">
        <v>699532</v>
      </c>
      <c r="Z33" s="13">
        <v>0.40674008571545678</v>
      </c>
    </row>
    <row r="34" spans="1:26">
      <c r="A34" t="s">
        <v>7</v>
      </c>
      <c r="B34" t="s">
        <v>90</v>
      </c>
      <c r="C34" s="8">
        <v>46026</v>
      </c>
      <c r="D34" s="9">
        <v>7267</v>
      </c>
      <c r="E34">
        <f>MONTH(C34)</f>
        <v>1</v>
      </c>
      <c r="H34" s="11" t="s">
        <v>209</v>
      </c>
      <c r="I34" s="12">
        <v>81870</v>
      </c>
      <c r="J34" s="13">
        <v>0.41113540022192741</v>
      </c>
      <c r="K34" s="12">
        <v>82733</v>
      </c>
      <c r="L34" s="13">
        <v>0.41280324068009744</v>
      </c>
      <c r="M34" s="12">
        <v>83336</v>
      </c>
      <c r="N34" s="13">
        <v>0.40881974442172297</v>
      </c>
      <c r="O34" s="12">
        <v>86269</v>
      </c>
      <c r="P34" s="13">
        <v>0.41672184170261961</v>
      </c>
      <c r="Q34" s="12">
        <v>82848</v>
      </c>
      <c r="R34" s="13">
        <v>0.43711823573248904</v>
      </c>
      <c r="S34" s="12">
        <v>81061</v>
      </c>
      <c r="T34" s="13">
        <v>0.39039290106446234</v>
      </c>
      <c r="U34" s="12">
        <v>86034</v>
      </c>
      <c r="V34" s="13">
        <v>0.42472516135701738</v>
      </c>
      <c r="W34" s="12">
        <v>84409</v>
      </c>
      <c r="X34" s="13">
        <v>0.42304414018729913</v>
      </c>
      <c r="Y34" s="12">
        <v>668560</v>
      </c>
      <c r="Z34" s="13">
        <v>0.41572138925999397</v>
      </c>
    </row>
    <row r="35" spans="1:26">
      <c r="A35" t="s">
        <v>9</v>
      </c>
      <c r="B35" t="s">
        <v>91</v>
      </c>
      <c r="C35" s="8">
        <v>46026</v>
      </c>
      <c r="D35" s="9">
        <v>32204</v>
      </c>
      <c r="E35">
        <f>MONTH(C35)</f>
        <v>1</v>
      </c>
      <c r="H35" s="11" t="s">
        <v>166</v>
      </c>
      <c r="I35" s="12">
        <v>78913</v>
      </c>
      <c r="J35" s="13">
        <v>0.41976757567059531</v>
      </c>
      <c r="K35" s="12">
        <v>78530</v>
      </c>
      <c r="L35" s="13">
        <v>0.42137541152532898</v>
      </c>
      <c r="M35" s="12">
        <v>84026</v>
      </c>
      <c r="N35" s="13">
        <v>0.41764907200431917</v>
      </c>
      <c r="O35" s="12">
        <v>83719</v>
      </c>
      <c r="P35" s="13">
        <v>0.42595716093276514</v>
      </c>
      <c r="Q35" s="12">
        <v>77952</v>
      </c>
      <c r="R35" s="13">
        <v>0.44524530289464215</v>
      </c>
      <c r="S35" s="12">
        <v>83097</v>
      </c>
      <c r="T35" s="13">
        <v>0.39941896549963729</v>
      </c>
      <c r="U35" s="12">
        <v>78100</v>
      </c>
      <c r="V35" s="13">
        <v>0.43299743591264478</v>
      </c>
      <c r="W35" s="12">
        <v>80249</v>
      </c>
      <c r="X35" s="13">
        <v>0.43165883122574034</v>
      </c>
      <c r="Y35" s="12">
        <v>644586</v>
      </c>
      <c r="Z35" s="13">
        <v>0.42438063080384802</v>
      </c>
    </row>
    <row r="36" spans="1:26">
      <c r="A36" t="s">
        <v>5</v>
      </c>
      <c r="B36" t="s">
        <v>92</v>
      </c>
      <c r="C36" s="8">
        <v>46026</v>
      </c>
      <c r="D36" s="9">
        <v>34177</v>
      </c>
      <c r="E36">
        <f>MONTH(C36)</f>
        <v>1</v>
      </c>
      <c r="H36" s="11" t="s">
        <v>134</v>
      </c>
      <c r="I36" s="12">
        <v>77602</v>
      </c>
      <c r="J36" s="13">
        <v>0.42825634278333374</v>
      </c>
      <c r="K36" s="12">
        <v>98935</v>
      </c>
      <c r="L36" s="13">
        <v>0.43217494956904456</v>
      </c>
      <c r="M36" s="12">
        <v>59707</v>
      </c>
      <c r="N36" s="13">
        <v>0.42392299509924297</v>
      </c>
      <c r="O36" s="12">
        <v>90156</v>
      </c>
      <c r="P36" s="13">
        <v>0.43590256688019646</v>
      </c>
      <c r="Q36" s="12">
        <v>67534</v>
      </c>
      <c r="R36" s="13">
        <v>0.45228621722306023</v>
      </c>
      <c r="S36" s="12">
        <v>77949</v>
      </c>
      <c r="T36" s="13">
        <v>0.40788584994381044</v>
      </c>
      <c r="U36" s="12">
        <v>68753</v>
      </c>
      <c r="V36" s="13">
        <v>0.44027968549680674</v>
      </c>
      <c r="W36" s="12">
        <v>95319</v>
      </c>
      <c r="X36" s="13">
        <v>0.44189127941940232</v>
      </c>
      <c r="Y36" s="12">
        <v>635955</v>
      </c>
      <c r="Z36" s="13">
        <v>0.43292392519128697</v>
      </c>
    </row>
    <row r="37" spans="1:26">
      <c r="A37" t="s">
        <v>5</v>
      </c>
      <c r="B37" t="s">
        <v>93</v>
      </c>
      <c r="C37" s="8">
        <v>46026</v>
      </c>
      <c r="D37" s="9">
        <v>48645</v>
      </c>
      <c r="E37">
        <f>MONTH(C37)</f>
        <v>1</v>
      </c>
      <c r="H37" s="11" t="s">
        <v>61</v>
      </c>
      <c r="I37" s="12">
        <v>71905</v>
      </c>
      <c r="J37" s="13">
        <v>0.43612192355755935</v>
      </c>
      <c r="K37" s="12">
        <v>24092</v>
      </c>
      <c r="L37" s="13">
        <v>0.43480478198981776</v>
      </c>
      <c r="M37" s="12">
        <v>32444</v>
      </c>
      <c r="N37" s="13">
        <v>0.42733216254848194</v>
      </c>
      <c r="O37" s="12">
        <v>175694</v>
      </c>
      <c r="P37" s="13">
        <v>0.45528395195193871</v>
      </c>
      <c r="Q37" s="12">
        <v>20174</v>
      </c>
      <c r="R37" s="13">
        <v>0.45438950453998955</v>
      </c>
      <c r="S37" s="12">
        <v>152402</v>
      </c>
      <c r="T37" s="13">
        <v>0.42443988043888897</v>
      </c>
      <c r="U37" s="12">
        <v>23707</v>
      </c>
      <c r="V37" s="13">
        <v>0.44279070742882032</v>
      </c>
      <c r="W37" s="12">
        <v>125274</v>
      </c>
      <c r="X37" s="13">
        <v>0.4553393822636706</v>
      </c>
      <c r="Y37" s="12">
        <v>625692</v>
      </c>
      <c r="Z37" s="13">
        <v>0.44132934845530003</v>
      </c>
    </row>
    <row r="38" spans="1:26">
      <c r="A38" t="s">
        <v>35</v>
      </c>
      <c r="B38" t="s">
        <v>94</v>
      </c>
      <c r="C38" s="8">
        <v>46027</v>
      </c>
      <c r="D38" s="9">
        <v>8917</v>
      </c>
      <c r="E38">
        <f>MONTH(C38)</f>
        <v>1</v>
      </c>
      <c r="H38" s="11" t="s">
        <v>114</v>
      </c>
      <c r="I38" s="12">
        <v>96120</v>
      </c>
      <c r="J38" s="13">
        <v>0.44663634708886546</v>
      </c>
      <c r="K38" s="12">
        <v>69488</v>
      </c>
      <c r="L38" s="13">
        <v>0.44238994699291784</v>
      </c>
      <c r="M38" s="12">
        <v>69811</v>
      </c>
      <c r="N38" s="13">
        <v>0.43466779899278035</v>
      </c>
      <c r="O38" s="12">
        <v>61619</v>
      </c>
      <c r="P38" s="13">
        <v>0.46208134723428007</v>
      </c>
      <c r="Q38" s="12">
        <v>68592</v>
      </c>
      <c r="R38" s="13">
        <v>0.46154072312048017</v>
      </c>
      <c r="S38" s="12">
        <v>89718</v>
      </c>
      <c r="T38" s="13">
        <v>0.4341851233356846</v>
      </c>
      <c r="U38" s="12">
        <v>91685</v>
      </c>
      <c r="V38" s="13">
        <v>0.45250189171348992</v>
      </c>
      <c r="W38" s="12">
        <v>62678</v>
      </c>
      <c r="X38" s="13">
        <v>0.46206783501582227</v>
      </c>
      <c r="Y38" s="12">
        <v>609711</v>
      </c>
      <c r="Z38" s="13">
        <v>0.44952008610852984</v>
      </c>
    </row>
    <row r="39" spans="1:26">
      <c r="A39" t="s">
        <v>26</v>
      </c>
      <c r="B39" t="s">
        <v>95</v>
      </c>
      <c r="C39" s="8">
        <v>46027</v>
      </c>
      <c r="D39" s="9">
        <v>19694</v>
      </c>
      <c r="E39">
        <f>MONTH(C39)</f>
        <v>1</v>
      </c>
      <c r="H39" s="11" t="s">
        <v>49</v>
      </c>
      <c r="I39" s="12">
        <v>75679</v>
      </c>
      <c r="J39" s="13">
        <v>0.45491476009787207</v>
      </c>
      <c r="K39" s="12">
        <v>74191</v>
      </c>
      <c r="L39" s="13">
        <v>0.45048848165710442</v>
      </c>
      <c r="M39" s="12">
        <v>73434</v>
      </c>
      <c r="N39" s="13">
        <v>0.44238413490904877</v>
      </c>
      <c r="O39" s="12">
        <v>77093</v>
      </c>
      <c r="P39" s="13">
        <v>0.47058573053328762</v>
      </c>
      <c r="Q39" s="12">
        <v>74181</v>
      </c>
      <c r="R39" s="13">
        <v>0.46927463590213658</v>
      </c>
      <c r="S39" s="12">
        <v>77100</v>
      </c>
      <c r="T39" s="13">
        <v>0.44255978870208762</v>
      </c>
      <c r="U39" s="12">
        <v>75121</v>
      </c>
      <c r="V39" s="13">
        <v>0.46045863354310945</v>
      </c>
      <c r="W39" s="12">
        <v>74477</v>
      </c>
      <c r="X39" s="13">
        <v>0.47006290466740652</v>
      </c>
      <c r="Y39" s="12">
        <v>601276</v>
      </c>
      <c r="Z39" s="13">
        <v>0.45759750963079437</v>
      </c>
    </row>
    <row r="40" spans="1:26">
      <c r="A40" t="s">
        <v>9</v>
      </c>
      <c r="B40" t="s">
        <v>96</v>
      </c>
      <c r="C40" s="8">
        <v>46027</v>
      </c>
      <c r="D40" s="9">
        <v>28094</v>
      </c>
      <c r="E40">
        <f>MONTH(C40)</f>
        <v>1</v>
      </c>
      <c r="H40" s="11" t="s">
        <v>182</v>
      </c>
      <c r="I40" s="12">
        <v>26723</v>
      </c>
      <c r="J40" s="13">
        <v>0.45783794923673071</v>
      </c>
      <c r="K40" s="12">
        <v>41581</v>
      </c>
      <c r="L40" s="13">
        <v>0.45502737680438027</v>
      </c>
      <c r="M40" s="12">
        <v>131523</v>
      </c>
      <c r="N40" s="13">
        <v>0.45620437687755611</v>
      </c>
      <c r="O40" s="12">
        <v>42565</v>
      </c>
      <c r="P40" s="13">
        <v>0.47528121618207875</v>
      </c>
      <c r="Q40" s="12">
        <v>96958</v>
      </c>
      <c r="R40" s="13">
        <v>0.4793832178231654</v>
      </c>
      <c r="S40" s="12">
        <v>94718</v>
      </c>
      <c r="T40" s="13">
        <v>0.45284813570824795</v>
      </c>
      <c r="U40" s="12">
        <v>121767</v>
      </c>
      <c r="V40" s="13">
        <v>0.47335607343830893</v>
      </c>
      <c r="W40" s="12">
        <v>40911</v>
      </c>
      <c r="X40" s="13">
        <v>0.4744546805783047</v>
      </c>
      <c r="Y40" s="12">
        <v>596746</v>
      </c>
      <c r="Z40" s="13">
        <v>0.46561407802404015</v>
      </c>
    </row>
    <row r="41" spans="1:26">
      <c r="A41" t="s">
        <v>5</v>
      </c>
      <c r="B41" t="s">
        <v>97</v>
      </c>
      <c r="C41" s="8">
        <v>46027</v>
      </c>
      <c r="D41" s="9">
        <v>55787</v>
      </c>
      <c r="E41">
        <f>MONTH(C41)</f>
        <v>1</v>
      </c>
      <c r="H41" s="11" t="s">
        <v>235</v>
      </c>
      <c r="I41" s="12">
        <v>79078</v>
      </c>
      <c r="J41" s="13">
        <v>0.466488173789463</v>
      </c>
      <c r="K41" s="12">
        <v>57526</v>
      </c>
      <c r="L41" s="13">
        <v>0.46130679486171877</v>
      </c>
      <c r="M41" s="12">
        <v>89888</v>
      </c>
      <c r="N41" s="13">
        <v>0.46564967473470037</v>
      </c>
      <c r="O41" s="12">
        <v>77964</v>
      </c>
      <c r="P41" s="13">
        <v>0.48388168236608792</v>
      </c>
      <c r="Q41" s="12">
        <v>69779</v>
      </c>
      <c r="R41" s="13">
        <v>0.48665818985092452</v>
      </c>
      <c r="S41" s="12">
        <v>67996</v>
      </c>
      <c r="T41" s="13">
        <v>0.46023391711231981</v>
      </c>
      <c r="U41" s="12">
        <v>70373</v>
      </c>
      <c r="V41" s="13">
        <v>0.48080991181607036</v>
      </c>
      <c r="W41" s="12">
        <v>71721</v>
      </c>
      <c r="X41" s="13">
        <v>0.48215389497310146</v>
      </c>
      <c r="Y41" s="12">
        <v>584325</v>
      </c>
      <c r="Z41" s="13">
        <v>0.47346378514630549</v>
      </c>
    </row>
    <row r="42" spans="1:26">
      <c r="A42" t="s">
        <v>5</v>
      </c>
      <c r="B42" t="s">
        <v>98</v>
      </c>
      <c r="C42" s="8">
        <v>46027</v>
      </c>
      <c r="D42" s="9">
        <v>28935</v>
      </c>
      <c r="E42">
        <f>MONTH(C42)</f>
        <v>1</v>
      </c>
      <c r="H42" s="11" t="s">
        <v>210</v>
      </c>
      <c r="I42" s="12">
        <v>73628</v>
      </c>
      <c r="J42" s="13">
        <v>0.47454223096552423</v>
      </c>
      <c r="K42" s="12">
        <v>72770</v>
      </c>
      <c r="L42" s="13">
        <v>0.46925021613266615</v>
      </c>
      <c r="M42" s="12">
        <v>70103</v>
      </c>
      <c r="N42" s="13">
        <v>0.47301599410635609</v>
      </c>
      <c r="O42" s="12">
        <v>72011</v>
      </c>
      <c r="P42" s="13">
        <v>0.4918254534704013</v>
      </c>
      <c r="Q42" s="12">
        <v>75656</v>
      </c>
      <c r="R42" s="13">
        <v>0.49454588219005441</v>
      </c>
      <c r="S42" s="12">
        <v>71585</v>
      </c>
      <c r="T42" s="13">
        <v>0.46800953864609357</v>
      </c>
      <c r="U42" s="12">
        <v>72417</v>
      </c>
      <c r="V42" s="13">
        <v>0.48848024864699058</v>
      </c>
      <c r="W42" s="12">
        <v>70735</v>
      </c>
      <c r="X42" s="13">
        <v>0.48974726274845237</v>
      </c>
      <c r="Y42" s="12">
        <v>578905</v>
      </c>
      <c r="Z42" s="13">
        <v>0.48124068105460138</v>
      </c>
    </row>
    <row r="43" spans="1:26">
      <c r="A43" t="s">
        <v>5</v>
      </c>
      <c r="B43" t="s">
        <v>74</v>
      </c>
      <c r="C43" s="8">
        <v>46027</v>
      </c>
      <c r="D43" s="9">
        <v>34285</v>
      </c>
      <c r="E43">
        <f>MONTH(C43)</f>
        <v>1</v>
      </c>
      <c r="H43" s="11" t="s">
        <v>115</v>
      </c>
      <c r="I43" s="12">
        <v>67027</v>
      </c>
      <c r="J43" s="13">
        <v>0.48187421459050195</v>
      </c>
      <c r="K43" s="12">
        <v>68405</v>
      </c>
      <c r="L43" s="13">
        <v>0.47671716311685136</v>
      </c>
      <c r="M43" s="12">
        <v>70208</v>
      </c>
      <c r="N43" s="13">
        <v>0.48039334672243816</v>
      </c>
      <c r="O43" s="12">
        <v>68565</v>
      </c>
      <c r="P43" s="13">
        <v>0.49938908494013851</v>
      </c>
      <c r="Q43" s="12">
        <v>71876</v>
      </c>
      <c r="R43" s="13">
        <v>0.50203948183274372</v>
      </c>
      <c r="S43" s="12">
        <v>68668</v>
      </c>
      <c r="T43" s="13">
        <v>0.47546831324246402</v>
      </c>
      <c r="U43" s="12">
        <v>71160</v>
      </c>
      <c r="V43" s="13">
        <v>0.49601744528435865</v>
      </c>
      <c r="W43" s="12">
        <v>68626</v>
      </c>
      <c r="X43" s="13">
        <v>0.49711423040168257</v>
      </c>
      <c r="Y43" s="12">
        <v>554535</v>
      </c>
      <c r="Z43" s="13">
        <v>0.48869019517610124</v>
      </c>
    </row>
    <row r="44" spans="1:26">
      <c r="A44" t="s">
        <v>5</v>
      </c>
      <c r="B44" t="s">
        <v>99</v>
      </c>
      <c r="C44" s="8">
        <v>46027</v>
      </c>
      <c r="D44" s="9">
        <v>27476</v>
      </c>
      <c r="E44">
        <f>MONTH(C44)</f>
        <v>1</v>
      </c>
      <c r="H44" s="11" t="s">
        <v>276</v>
      </c>
      <c r="I44" s="12">
        <v>56331</v>
      </c>
      <c r="J44" s="13">
        <v>0.4880361787180717</v>
      </c>
      <c r="K44" s="12">
        <v>77453</v>
      </c>
      <c r="L44" s="13">
        <v>0.48517177089064123</v>
      </c>
      <c r="M44" s="12">
        <v>49464</v>
      </c>
      <c r="N44" s="13">
        <v>0.4855909505539372</v>
      </c>
      <c r="O44" s="12">
        <v>79807</v>
      </c>
      <c r="P44" s="13">
        <v>0.50819285853753249</v>
      </c>
      <c r="Q44" s="12">
        <v>76630</v>
      </c>
      <c r="R44" s="13">
        <v>0.51002872080846973</v>
      </c>
      <c r="S44" s="12">
        <v>77481</v>
      </c>
      <c r="T44" s="13">
        <v>0.48388436314200067</v>
      </c>
      <c r="U44" s="12">
        <v>56459</v>
      </c>
      <c r="V44" s="13">
        <v>0.50199752657931596</v>
      </c>
      <c r="W44" s="12">
        <v>60757</v>
      </c>
      <c r="X44" s="13">
        <v>0.50363646474008639</v>
      </c>
      <c r="Y44" s="12">
        <v>534382</v>
      </c>
      <c r="Z44" s="13">
        <v>0.49586897785938605</v>
      </c>
    </row>
    <row r="45" spans="1:26">
      <c r="A45" t="s">
        <v>5</v>
      </c>
      <c r="B45" t="s">
        <v>100</v>
      </c>
      <c r="C45" s="8">
        <v>46027</v>
      </c>
      <c r="D45" s="9">
        <v>20629</v>
      </c>
      <c r="E45">
        <f>MONTH(C45)</f>
        <v>1</v>
      </c>
      <c r="H45" s="11" t="s">
        <v>73</v>
      </c>
      <c r="I45" s="12">
        <v>48838</v>
      </c>
      <c r="J45" s="13">
        <v>0.49337849474410089</v>
      </c>
      <c r="K45" s="12">
        <v>70380</v>
      </c>
      <c r="L45" s="13">
        <v>0.49285430475142561</v>
      </c>
      <c r="M45" s="12">
        <v>71926</v>
      </c>
      <c r="N45" s="13">
        <v>0.4931488280645388</v>
      </c>
      <c r="O45" s="12">
        <v>72903</v>
      </c>
      <c r="P45" s="13">
        <v>0.51623502910616437</v>
      </c>
      <c r="Q45" s="12">
        <v>73024</v>
      </c>
      <c r="R45" s="13">
        <v>0.51764200786267056</v>
      </c>
      <c r="S45" s="12">
        <v>49235</v>
      </c>
      <c r="T45" s="13">
        <v>0.48923230930691441</v>
      </c>
      <c r="U45" s="12">
        <v>75527</v>
      </c>
      <c r="V45" s="13">
        <v>0.50999727152634378</v>
      </c>
      <c r="W45" s="12">
        <v>72489</v>
      </c>
      <c r="X45" s="13">
        <v>0.51141812356057725</v>
      </c>
      <c r="Y45" s="12">
        <v>534322</v>
      </c>
      <c r="Z45" s="13">
        <v>0.5030469545144719</v>
      </c>
    </row>
    <row r="46" spans="1:26">
      <c r="A46" t="s">
        <v>4</v>
      </c>
      <c r="B46" t="s">
        <v>101</v>
      </c>
      <c r="C46" s="8">
        <v>46028</v>
      </c>
      <c r="D46" s="9">
        <v>31439</v>
      </c>
      <c r="E46">
        <f>MONTH(C46)</f>
        <v>1</v>
      </c>
      <c r="H46" s="11" t="s">
        <v>211</v>
      </c>
      <c r="I46" s="12">
        <v>54165</v>
      </c>
      <c r="J46" s="13">
        <v>0.499303523360135</v>
      </c>
      <c r="K46" s="12">
        <v>136608</v>
      </c>
      <c r="L46" s="13">
        <v>0.50776614882153115</v>
      </c>
      <c r="M46" s="12">
        <v>102739</v>
      </c>
      <c r="N46" s="13">
        <v>0.50394448996095598</v>
      </c>
      <c r="O46" s="12">
        <v>17201</v>
      </c>
      <c r="P46" s="13">
        <v>0.5181325281933219</v>
      </c>
      <c r="Q46" s="12">
        <v>17215</v>
      </c>
      <c r="R46" s="13">
        <v>0.51943679774870899</v>
      </c>
      <c r="S46" s="12">
        <v>120409</v>
      </c>
      <c r="T46" s="13">
        <v>0.50231123384781229</v>
      </c>
      <c r="U46" s="12">
        <v>24802</v>
      </c>
      <c r="V46" s="13">
        <v>0.51262427477254957</v>
      </c>
      <c r="W46" s="12">
        <v>45711</v>
      </c>
      <c r="X46" s="13">
        <v>0.51632517713206327</v>
      </c>
      <c r="Y46" s="12">
        <v>518850</v>
      </c>
      <c r="Z46" s="13">
        <v>0.51001708336466212</v>
      </c>
    </row>
    <row r="47" spans="1:26">
      <c r="A47" t="s">
        <v>25</v>
      </c>
      <c r="B47" t="s">
        <v>55</v>
      </c>
      <c r="C47" s="8">
        <v>46028</v>
      </c>
      <c r="D47" s="9">
        <v>17182</v>
      </c>
      <c r="E47">
        <f>MONTH(C47)</f>
        <v>1</v>
      </c>
      <c r="H47" s="11" t="s">
        <v>212</v>
      </c>
      <c r="I47" s="12">
        <v>32525</v>
      </c>
      <c r="J47" s="13">
        <v>0.50286138463100194</v>
      </c>
      <c r="K47" s="12">
        <v>65497</v>
      </c>
      <c r="L47" s="13">
        <v>0.51491566459703264</v>
      </c>
      <c r="M47" s="12">
        <v>133894</v>
      </c>
      <c r="N47" s="13">
        <v>0.51801387309646318</v>
      </c>
      <c r="O47" s="12">
        <v>26936</v>
      </c>
      <c r="P47" s="13">
        <v>0.52110392726382193</v>
      </c>
      <c r="Q47" s="12">
        <v>169888</v>
      </c>
      <c r="R47" s="13">
        <v>0.53714886653519123</v>
      </c>
      <c r="S47" s="12">
        <v>43037</v>
      </c>
      <c r="T47" s="13">
        <v>0.50698594815875764</v>
      </c>
      <c r="U47" s="12">
        <v>20236</v>
      </c>
      <c r="V47" s="13">
        <v>0.51476765182642503</v>
      </c>
      <c r="W47" s="12">
        <v>25065</v>
      </c>
      <c r="X47" s="13">
        <v>0.51901589266594572</v>
      </c>
      <c r="Y47" s="12">
        <v>517078</v>
      </c>
      <c r="Z47" s="13">
        <v>0.51696340751537739</v>
      </c>
    </row>
    <row r="48" spans="1:26">
      <c r="A48" t="s">
        <v>26</v>
      </c>
      <c r="B48" t="s">
        <v>102</v>
      </c>
      <c r="C48" s="8">
        <v>46028</v>
      </c>
      <c r="D48" s="9">
        <v>15522</v>
      </c>
      <c r="E48">
        <f>MONTH(C48)</f>
        <v>1</v>
      </c>
      <c r="H48" s="11" t="s">
        <v>220</v>
      </c>
      <c r="I48" s="12">
        <v>109212</v>
      </c>
      <c r="J48" s="13">
        <v>0.51480792252843222</v>
      </c>
      <c r="K48" s="12">
        <v>95815</v>
      </c>
      <c r="L48" s="13">
        <v>0.52537462995467765</v>
      </c>
      <c r="M48" s="12">
        <v>11766</v>
      </c>
      <c r="N48" s="13">
        <v>0.51925022694333001</v>
      </c>
      <c r="O48" s="12">
        <v>92607</v>
      </c>
      <c r="P48" s="13">
        <v>0.53131971111152787</v>
      </c>
      <c r="Q48" s="12">
        <v>22646</v>
      </c>
      <c r="R48" s="13">
        <v>0.5395098779647135</v>
      </c>
      <c r="S48" s="12">
        <v>45272</v>
      </c>
      <c r="T48" s="13">
        <v>0.51190343000658889</v>
      </c>
      <c r="U48" s="12">
        <v>17810</v>
      </c>
      <c r="V48" s="13">
        <v>0.51665406936593494</v>
      </c>
      <c r="W48" s="12">
        <v>119302</v>
      </c>
      <c r="X48" s="13">
        <v>0.53182290422083256</v>
      </c>
      <c r="Y48" s="12">
        <v>514430</v>
      </c>
      <c r="Z48" s="13">
        <v>0.52387415895491352</v>
      </c>
    </row>
    <row r="49" spans="1:26">
      <c r="A49" t="s">
        <v>6</v>
      </c>
      <c r="B49" t="s">
        <v>103</v>
      </c>
      <c r="C49" s="8">
        <v>46028</v>
      </c>
      <c r="D49" s="9">
        <v>26791</v>
      </c>
      <c r="E49">
        <f>MONTH(C49)</f>
        <v>1</v>
      </c>
      <c r="H49" s="11" t="s">
        <v>101</v>
      </c>
      <c r="I49" s="12">
        <v>61374</v>
      </c>
      <c r="J49" s="13">
        <v>0.52152153290931424</v>
      </c>
      <c r="K49" s="12">
        <v>62343</v>
      </c>
      <c r="L49" s="13">
        <v>0.53217986167509368</v>
      </c>
      <c r="M49" s="12">
        <v>62460</v>
      </c>
      <c r="N49" s="13">
        <v>0.52581343119926216</v>
      </c>
      <c r="O49" s="12">
        <v>64696</v>
      </c>
      <c r="P49" s="13">
        <v>0.5384565404204481</v>
      </c>
      <c r="Q49" s="12">
        <v>63928</v>
      </c>
      <c r="R49" s="13">
        <v>0.54617484037160646</v>
      </c>
      <c r="S49" s="12">
        <v>61933</v>
      </c>
      <c r="T49" s="13">
        <v>0.51863064336764519</v>
      </c>
      <c r="U49" s="12">
        <v>64828</v>
      </c>
      <c r="V49" s="13">
        <v>0.52352058684214764</v>
      </c>
      <c r="W49" s="12">
        <v>66715</v>
      </c>
      <c r="X49" s="13">
        <v>0.5389847269554412</v>
      </c>
      <c r="Y49" s="12">
        <v>508277</v>
      </c>
      <c r="Z49" s="13">
        <v>0.5307022522026501</v>
      </c>
    </row>
    <row r="50" spans="1:26">
      <c r="A50" t="s">
        <v>29</v>
      </c>
      <c r="B50" t="s">
        <v>104</v>
      </c>
      <c r="C50" s="8">
        <v>46028</v>
      </c>
      <c r="D50" s="9">
        <v>12631</v>
      </c>
      <c r="E50">
        <f>MONTH(C50)</f>
        <v>1</v>
      </c>
      <c r="H50" s="11" t="s">
        <v>167</v>
      </c>
      <c r="I50" s="12">
        <v>63968</v>
      </c>
      <c r="J50" s="13">
        <v>0.52851889708378985</v>
      </c>
      <c r="K50" s="12">
        <v>62331</v>
      </c>
      <c r="L50" s="13">
        <v>0.53898378350056331</v>
      </c>
      <c r="M50" s="12">
        <v>62773</v>
      </c>
      <c r="N50" s="13">
        <v>0.5324095250314369</v>
      </c>
      <c r="O50" s="12">
        <v>60490</v>
      </c>
      <c r="P50" s="13">
        <v>0.54512939198617993</v>
      </c>
      <c r="Q50" s="12">
        <v>60180</v>
      </c>
      <c r="R50" s="13">
        <v>0.55244904631652603</v>
      </c>
      <c r="S50" s="12">
        <v>60164</v>
      </c>
      <c r="T50" s="13">
        <v>0.5251657064948082</v>
      </c>
      <c r="U50" s="12">
        <v>61157</v>
      </c>
      <c r="V50" s="13">
        <v>0.52999827563854329</v>
      </c>
      <c r="W50" s="12">
        <v>63049</v>
      </c>
      <c r="X50" s="13">
        <v>0.54575300637677571</v>
      </c>
      <c r="Y50" s="12">
        <v>494112</v>
      </c>
      <c r="Z50" s="13">
        <v>0.53734005562642406</v>
      </c>
    </row>
    <row r="51" spans="1:26">
      <c r="A51" t="s">
        <v>7</v>
      </c>
      <c r="B51" t="s">
        <v>105</v>
      </c>
      <c r="C51" s="8">
        <v>46028</v>
      </c>
      <c r="D51" s="9">
        <v>26113</v>
      </c>
      <c r="E51">
        <f>MONTH(C51)</f>
        <v>1</v>
      </c>
      <c r="H51" s="11" t="s">
        <v>203</v>
      </c>
      <c r="I51" s="12">
        <v>61467</v>
      </c>
      <c r="J51" s="13">
        <v>0.53524268059605362</v>
      </c>
      <c r="K51" s="12">
        <v>61445</v>
      </c>
      <c r="L51" s="13">
        <v>0.54569099141582178</v>
      </c>
      <c r="M51" s="12">
        <v>63000</v>
      </c>
      <c r="N51" s="13">
        <v>0.53902947168727622</v>
      </c>
      <c r="O51" s="12">
        <v>64206</v>
      </c>
      <c r="P51" s="13">
        <v>0.55221216777770543</v>
      </c>
      <c r="Q51" s="12">
        <v>62351</v>
      </c>
      <c r="R51" s="13">
        <v>0.55894959491858132</v>
      </c>
      <c r="S51" s="12">
        <v>61115</v>
      </c>
      <c r="T51" s="13">
        <v>0.5318040680235725</v>
      </c>
      <c r="U51" s="12">
        <v>59870</v>
      </c>
      <c r="V51" s="13">
        <v>0.53633964667113498</v>
      </c>
      <c r="W51" s="12">
        <v>59830</v>
      </c>
      <c r="X51" s="13">
        <v>0.55217572771697854</v>
      </c>
      <c r="Y51" s="12">
        <v>493284</v>
      </c>
      <c r="Z51" s="13">
        <v>0.54396673586105304</v>
      </c>
    </row>
    <row r="52" spans="1:26">
      <c r="A52" t="s">
        <v>5</v>
      </c>
      <c r="B52" t="s">
        <v>106</v>
      </c>
      <c r="C52" s="8">
        <v>46028</v>
      </c>
      <c r="D52" s="9">
        <v>31463</v>
      </c>
      <c r="E52">
        <f>MONTH(C52)</f>
        <v>1</v>
      </c>
      <c r="H52" s="11" t="s">
        <v>96</v>
      </c>
      <c r="I52" s="12">
        <v>60509</v>
      </c>
      <c r="J52" s="13">
        <v>0.54186166991623463</v>
      </c>
      <c r="K52" s="12">
        <v>59322</v>
      </c>
      <c r="L52" s="13">
        <v>0.55216645708347523</v>
      </c>
      <c r="M52" s="12">
        <v>60385</v>
      </c>
      <c r="N52" s="13">
        <v>0.54537463801763908</v>
      </c>
      <c r="O52" s="12">
        <v>61043</v>
      </c>
      <c r="P52" s="13">
        <v>0.55894602259878279</v>
      </c>
      <c r="Q52" s="12">
        <v>58484</v>
      </c>
      <c r="R52" s="13">
        <v>0.56504698043673807</v>
      </c>
      <c r="S52" s="12">
        <v>60486</v>
      </c>
      <c r="T52" s="13">
        <v>0.53837410705537858</v>
      </c>
      <c r="U52" s="12">
        <v>62646</v>
      </c>
      <c r="V52" s="13">
        <v>0.54297504887103043</v>
      </c>
      <c r="W52" s="12">
        <v>60074</v>
      </c>
      <c r="X52" s="13">
        <v>0.55862464233826137</v>
      </c>
      <c r="Y52" s="12">
        <v>482949</v>
      </c>
      <c r="Z52" s="13">
        <v>0.55045457773841733</v>
      </c>
    </row>
    <row r="53" spans="1:26">
      <c r="A53" t="s">
        <v>5</v>
      </c>
      <c r="B53" t="s">
        <v>92</v>
      </c>
      <c r="C53" s="8">
        <v>46028</v>
      </c>
      <c r="D53" s="9">
        <v>40304</v>
      </c>
      <c r="E53">
        <f>MONTH(C53)</f>
        <v>1</v>
      </c>
      <c r="H53" s="11" t="s">
        <v>91</v>
      </c>
      <c r="I53" s="12">
        <v>58789</v>
      </c>
      <c r="J53" s="13">
        <v>0.54829251100010856</v>
      </c>
      <c r="K53" s="12">
        <v>59473</v>
      </c>
      <c r="L53" s="13">
        <v>0.55865840559587121</v>
      </c>
      <c r="M53" s="12">
        <v>59888</v>
      </c>
      <c r="N53" s="13">
        <v>0.55166758032438368</v>
      </c>
      <c r="O53" s="12">
        <v>59985</v>
      </c>
      <c r="P53" s="13">
        <v>0.5655631659476078</v>
      </c>
      <c r="Q53" s="12">
        <v>58721</v>
      </c>
      <c r="R53" s="13">
        <v>0.57116907494141778</v>
      </c>
      <c r="S53" s="12">
        <v>60561</v>
      </c>
      <c r="T53" s="13">
        <v>0.54495229264882517</v>
      </c>
      <c r="U53" s="12">
        <v>60676</v>
      </c>
      <c r="V53" s="13">
        <v>0.54940179062438832</v>
      </c>
      <c r="W53" s="12">
        <v>58573</v>
      </c>
      <c r="X53" s="13">
        <v>0.56491242534109776</v>
      </c>
      <c r="Y53" s="12">
        <v>476666</v>
      </c>
      <c r="Z53" s="13">
        <v>0.55685801502955112</v>
      </c>
    </row>
    <row r="54" spans="1:26">
      <c r="A54" t="s">
        <v>5</v>
      </c>
      <c r="B54" t="s">
        <v>107</v>
      </c>
      <c r="C54" s="8">
        <v>46028</v>
      </c>
      <c r="D54" s="9">
        <v>58773</v>
      </c>
      <c r="E54">
        <f>MONTH(C54)</f>
        <v>1</v>
      </c>
      <c r="H54" s="11" t="s">
        <v>70</v>
      </c>
      <c r="I54" s="12">
        <v>55121</v>
      </c>
      <c r="J54" s="13">
        <v>0.55432211503120632</v>
      </c>
      <c r="K54" s="12">
        <v>58030</v>
      </c>
      <c r="L54" s="13">
        <v>0.56499283924095955</v>
      </c>
      <c r="M54" s="12">
        <v>57144</v>
      </c>
      <c r="N54" s="13">
        <v>0.55767218717678502</v>
      </c>
      <c r="O54" s="12">
        <v>56558</v>
      </c>
      <c r="P54" s="13">
        <v>0.57180226561457193</v>
      </c>
      <c r="Q54" s="12">
        <v>55464</v>
      </c>
      <c r="R54" s="13">
        <v>0.57695160333173057</v>
      </c>
      <c r="S54" s="12">
        <v>56974</v>
      </c>
      <c r="T54" s="13">
        <v>0.55114085535421353</v>
      </c>
      <c r="U54" s="12">
        <v>57724</v>
      </c>
      <c r="V54" s="13">
        <v>0.55551585946496496</v>
      </c>
      <c r="W54" s="12">
        <v>54719</v>
      </c>
      <c r="X54" s="13">
        <v>0.5707864833222871</v>
      </c>
      <c r="Y54" s="12">
        <v>451734</v>
      </c>
      <c r="Z54" s="13">
        <v>0.56292652073642546</v>
      </c>
    </row>
    <row r="55" spans="1:26">
      <c r="A55" t="s">
        <v>5</v>
      </c>
      <c r="B55" t="s">
        <v>93</v>
      </c>
      <c r="C55" s="8">
        <v>46028</v>
      </c>
      <c r="D55" s="9">
        <v>39904</v>
      </c>
      <c r="E55">
        <f>MONTH(C55)</f>
        <v>1</v>
      </c>
      <c r="H55" s="11" t="s">
        <v>158</v>
      </c>
      <c r="I55" s="12">
        <v>65000</v>
      </c>
      <c r="J55" s="13">
        <v>0.56143236814746622</v>
      </c>
      <c r="K55" s="12">
        <v>56193</v>
      </c>
      <c r="L55" s="13">
        <v>0.5711267498013326</v>
      </c>
      <c r="M55" s="12">
        <v>48933</v>
      </c>
      <c r="N55" s="13">
        <v>0.56281399431504198</v>
      </c>
      <c r="O55" s="12">
        <v>61567</v>
      </c>
      <c r="P55" s="13">
        <v>0.57859392460527148</v>
      </c>
      <c r="Q55" s="12">
        <v>47436</v>
      </c>
      <c r="R55" s="13">
        <v>0.5818971539000789</v>
      </c>
      <c r="S55" s="12">
        <v>75259</v>
      </c>
      <c r="T55" s="13">
        <v>0.55931554978754849</v>
      </c>
      <c r="U55" s="12">
        <v>41925</v>
      </c>
      <c r="V55" s="13">
        <v>0.55995651389191348</v>
      </c>
      <c r="W55" s="12">
        <v>45582</v>
      </c>
      <c r="X55" s="13">
        <v>0.57567968880664488</v>
      </c>
      <c r="Y55" s="12">
        <v>441895</v>
      </c>
      <c r="Z55" s="13">
        <v>0.56886285125247982</v>
      </c>
    </row>
    <row r="56" spans="1:26">
      <c r="A56" t="s">
        <v>5</v>
      </c>
      <c r="B56" t="s">
        <v>108</v>
      </c>
      <c r="C56" s="8">
        <v>46028</v>
      </c>
      <c r="D56" s="9">
        <v>32515</v>
      </c>
      <c r="E56">
        <f>MONTH(C56)</f>
        <v>1</v>
      </c>
      <c r="H56" s="11" t="s">
        <v>144</v>
      </c>
      <c r="I56" s="12">
        <v>55775</v>
      </c>
      <c r="J56" s="13">
        <v>0.56753351226376458</v>
      </c>
      <c r="K56" s="12">
        <v>52298</v>
      </c>
      <c r="L56" s="13">
        <v>0.57683549029367842</v>
      </c>
      <c r="M56" s="12">
        <v>56383</v>
      </c>
      <c r="N56" s="13">
        <v>0.56873863641498157</v>
      </c>
      <c r="O56" s="12">
        <v>52305</v>
      </c>
      <c r="P56" s="13">
        <v>0.58436386180390931</v>
      </c>
      <c r="Q56" s="12">
        <v>54090</v>
      </c>
      <c r="R56" s="13">
        <v>0.5875364327229553</v>
      </c>
      <c r="S56" s="12">
        <v>52671</v>
      </c>
      <c r="T56" s="13">
        <v>0.56503671709641767</v>
      </c>
      <c r="U56" s="12">
        <v>53799</v>
      </c>
      <c r="V56" s="13">
        <v>0.56565485062454079</v>
      </c>
      <c r="W56" s="12">
        <v>56121</v>
      </c>
      <c r="X56" s="13">
        <v>0.58170425080453092</v>
      </c>
      <c r="Y56" s="12">
        <v>433442</v>
      </c>
      <c r="Z56" s="13">
        <v>0.5746856258291092</v>
      </c>
    </row>
    <row r="57" spans="1:26">
      <c r="A57" t="s">
        <v>5</v>
      </c>
      <c r="B57" t="s">
        <v>109</v>
      </c>
      <c r="C57" s="8">
        <v>46028</v>
      </c>
      <c r="D57" s="9">
        <v>57276</v>
      </c>
      <c r="E57">
        <f>MONTH(C57)</f>
        <v>1</v>
      </c>
      <c r="H57" s="11" t="s">
        <v>137</v>
      </c>
      <c r="I57" s="12">
        <v>89169</v>
      </c>
      <c r="J57" s="13">
        <v>0.57728757626566884</v>
      </c>
      <c r="K57" s="12">
        <v>12378</v>
      </c>
      <c r="L57" s="13">
        <v>0.57818664693091615</v>
      </c>
      <c r="M57" s="12">
        <v>18578</v>
      </c>
      <c r="N57" s="13">
        <v>0.57069078512882576</v>
      </c>
      <c r="O57" s="12">
        <v>102619</v>
      </c>
      <c r="P57" s="13">
        <v>0.59568410241928105</v>
      </c>
      <c r="Q57" s="12">
        <v>15826</v>
      </c>
      <c r="R57" s="13">
        <v>0.58918640918165088</v>
      </c>
      <c r="S57" s="12">
        <v>84688</v>
      </c>
      <c r="T57" s="13">
        <v>0.57423559725919249</v>
      </c>
      <c r="U57" s="12">
        <v>92993</v>
      </c>
      <c r="V57" s="13">
        <v>0.57550457697219071</v>
      </c>
      <c r="W57" s="12">
        <v>9372</v>
      </c>
      <c r="X57" s="13">
        <v>0.58271033043682874</v>
      </c>
      <c r="Y57" s="12">
        <v>425623</v>
      </c>
      <c r="Z57" s="13">
        <v>0.5804033614976154</v>
      </c>
    </row>
    <row r="58" spans="1:26">
      <c r="A58" t="s">
        <v>38</v>
      </c>
      <c r="B58" t="s">
        <v>110</v>
      </c>
      <c r="C58" s="8">
        <v>46029</v>
      </c>
      <c r="D58" s="9">
        <v>12199</v>
      </c>
      <c r="E58">
        <f>MONTH(C58)</f>
        <v>1</v>
      </c>
      <c r="H58" s="11" t="s">
        <v>82</v>
      </c>
      <c r="I58" s="12">
        <v>103854</v>
      </c>
      <c r="J58" s="13">
        <v>0.58864801052930038</v>
      </c>
      <c r="K58" s="12">
        <v>68992</v>
      </c>
      <c r="L58" s="13">
        <v>0.58571766960956395</v>
      </c>
      <c r="M58" s="12">
        <v>19728</v>
      </c>
      <c r="N58" s="13">
        <v>0.57276377413876856</v>
      </c>
      <c r="O58" s="12">
        <v>80505</v>
      </c>
      <c r="P58" s="13">
        <v>0.60456487470063724</v>
      </c>
      <c r="Q58" s="12">
        <v>18382</v>
      </c>
      <c r="R58" s="13">
        <v>0.59110286736841577</v>
      </c>
      <c r="S58" s="12">
        <v>87351</v>
      </c>
      <c r="T58" s="13">
        <v>0.583723734670615</v>
      </c>
      <c r="U58" s="12">
        <v>27499</v>
      </c>
      <c r="V58" s="13">
        <v>0.57841724378403703</v>
      </c>
      <c r="W58" s="12">
        <v>9179</v>
      </c>
      <c r="X58" s="13">
        <v>0.58369569161319046</v>
      </c>
      <c r="Y58" s="12">
        <v>415490</v>
      </c>
      <c r="Z58" s="13">
        <v>0.58598497243712688</v>
      </c>
    </row>
    <row r="59" spans="1:26">
      <c r="A59" t="s">
        <v>4</v>
      </c>
      <c r="B59" t="s">
        <v>111</v>
      </c>
      <c r="C59" s="8">
        <v>46029</v>
      </c>
      <c r="D59" s="9">
        <v>51900</v>
      </c>
      <c r="E59">
        <f>MONTH(C59)</f>
        <v>1</v>
      </c>
      <c r="H59" s="11" t="s">
        <v>148</v>
      </c>
      <c r="I59" s="12">
        <v>45620</v>
      </c>
      <c r="J59" s="13">
        <v>0.59363831433182002</v>
      </c>
      <c r="K59" s="12">
        <v>58067</v>
      </c>
      <c r="L59" s="13">
        <v>0.59205614209740376</v>
      </c>
      <c r="M59" s="12">
        <v>58176</v>
      </c>
      <c r="N59" s="13">
        <v>0.57887682202210367</v>
      </c>
      <c r="O59" s="12">
        <v>43216</v>
      </c>
      <c r="P59" s="13">
        <v>0.60933217430825282</v>
      </c>
      <c r="Q59" s="12">
        <v>55803</v>
      </c>
      <c r="R59" s="13">
        <v>0.59692073899261566</v>
      </c>
      <c r="S59" s="12">
        <v>57162</v>
      </c>
      <c r="T59" s="13">
        <v>0.58993271809051551</v>
      </c>
      <c r="U59" s="12">
        <v>40751</v>
      </c>
      <c r="V59" s="13">
        <v>0.58273354929513022</v>
      </c>
      <c r="W59" s="12">
        <v>52909</v>
      </c>
      <c r="X59" s="13">
        <v>0.58937544697653321</v>
      </c>
      <c r="Y59" s="12">
        <v>411704</v>
      </c>
      <c r="Z59" s="13">
        <v>0.59151572299728628</v>
      </c>
    </row>
    <row r="60" spans="1:26">
      <c r="A60" t="s">
        <v>29</v>
      </c>
      <c r="B60" t="s">
        <v>112</v>
      </c>
      <c r="C60" s="8">
        <v>46029</v>
      </c>
      <c r="D60" s="9">
        <v>11328</v>
      </c>
      <c r="E60">
        <f>MONTH(C60)</f>
        <v>1</v>
      </c>
      <c r="H60" s="11" t="s">
        <v>283</v>
      </c>
      <c r="I60" s="12">
        <v>46506</v>
      </c>
      <c r="J60" s="13">
        <v>0.59872553635373971</v>
      </c>
      <c r="K60" s="12">
        <v>61275</v>
      </c>
      <c r="L60" s="13">
        <v>0.598744793167588</v>
      </c>
      <c r="M60" s="12">
        <v>51139</v>
      </c>
      <c r="N60" s="13">
        <v>0.58425043237183338</v>
      </c>
      <c r="O60" s="12">
        <v>49120</v>
      </c>
      <c r="P60" s="13">
        <v>0.61475076364382486</v>
      </c>
      <c r="Q60" s="12">
        <v>58145</v>
      </c>
      <c r="R60" s="13">
        <v>0.60298278127688532</v>
      </c>
      <c r="S60" s="12">
        <v>41350</v>
      </c>
      <c r="T60" s="13">
        <v>0.5944241890749612</v>
      </c>
      <c r="U60" s="12">
        <v>59737</v>
      </c>
      <c r="V60" s="13">
        <v>0.58906083309960544</v>
      </c>
      <c r="W60" s="12">
        <v>39221</v>
      </c>
      <c r="X60" s="13">
        <v>0.59358580221109936</v>
      </c>
      <c r="Y60" s="12">
        <v>406493</v>
      </c>
      <c r="Z60" s="13">
        <v>0.59697647000836918</v>
      </c>
    </row>
    <row r="61" spans="1:26">
      <c r="A61" t="s">
        <v>9</v>
      </c>
      <c r="B61" t="s">
        <v>113</v>
      </c>
      <c r="C61" s="8">
        <v>46029</v>
      </c>
      <c r="D61" s="9">
        <v>21359</v>
      </c>
      <c r="E61">
        <f>MONTH(C61)</f>
        <v>1</v>
      </c>
      <c r="H61" s="11" t="s">
        <v>195</v>
      </c>
      <c r="I61" s="12">
        <v>51488</v>
      </c>
      <c r="J61" s="13">
        <v>0.60435773192989339</v>
      </c>
      <c r="K61" s="12">
        <v>49734</v>
      </c>
      <c r="L61" s="13">
        <v>0.60417365277304758</v>
      </c>
      <c r="M61" s="12">
        <v>49021</v>
      </c>
      <c r="N61" s="13">
        <v>0.5894014864197048</v>
      </c>
      <c r="O61" s="12">
        <v>49561</v>
      </c>
      <c r="P61" s="13">
        <v>0.6202180011450521</v>
      </c>
      <c r="Q61" s="12">
        <v>50126</v>
      </c>
      <c r="R61" s="13">
        <v>0.60820878405513457</v>
      </c>
      <c r="S61" s="12">
        <v>51273</v>
      </c>
      <c r="T61" s="13">
        <v>0.599993504474852</v>
      </c>
      <c r="U61" s="12">
        <v>49089</v>
      </c>
      <c r="V61" s="13">
        <v>0.59426029130269364</v>
      </c>
      <c r="W61" s="12">
        <v>50531</v>
      </c>
      <c r="X61" s="13">
        <v>0.59901028043342586</v>
      </c>
      <c r="Y61" s="12">
        <v>400823</v>
      </c>
      <c r="Z61" s="13">
        <v>0.60236104735465379</v>
      </c>
    </row>
    <row r="62" spans="1:26">
      <c r="A62" t="s">
        <v>5</v>
      </c>
      <c r="B62" t="s">
        <v>114</v>
      </c>
      <c r="C62" s="8">
        <v>46029</v>
      </c>
      <c r="D62" s="9">
        <v>28208</v>
      </c>
      <c r="E62">
        <f>MONTH(C62)</f>
        <v>1</v>
      </c>
      <c r="H62" s="11" t="s">
        <v>188</v>
      </c>
      <c r="I62" s="12">
        <v>47151</v>
      </c>
      <c r="J62" s="13">
        <v>0.60951550954042821</v>
      </c>
      <c r="K62" s="12">
        <v>20114</v>
      </c>
      <c r="L62" s="13">
        <v>0.60636925501908079</v>
      </c>
      <c r="M62" s="12">
        <v>142125</v>
      </c>
      <c r="N62" s="13">
        <v>0.60433577083972345</v>
      </c>
      <c r="O62" s="12">
        <v>26323</v>
      </c>
      <c r="P62" s="13">
        <v>0.6231217781621583</v>
      </c>
      <c r="Q62" s="12">
        <v>42693</v>
      </c>
      <c r="R62" s="13">
        <v>0.61265984212104441</v>
      </c>
      <c r="S62" s="12">
        <v>41622</v>
      </c>
      <c r="T62" s="13">
        <v>0.60451452032284714</v>
      </c>
      <c r="U62" s="12">
        <v>23827</v>
      </c>
      <c r="V62" s="13">
        <v>0.59678402351571458</v>
      </c>
      <c r="W62" s="12">
        <v>55882</v>
      </c>
      <c r="X62" s="13">
        <v>0.60500918589779507</v>
      </c>
      <c r="Y62" s="12">
        <v>399737</v>
      </c>
      <c r="Z62" s="13">
        <v>0.60773103559053787</v>
      </c>
    </row>
    <row r="63" spans="1:26">
      <c r="A63" t="s">
        <v>5</v>
      </c>
      <c r="B63" t="s">
        <v>53</v>
      </c>
      <c r="C63" s="8">
        <v>46029</v>
      </c>
      <c r="D63" s="9">
        <v>48671</v>
      </c>
      <c r="E63">
        <f>MONTH(C63)</f>
        <v>1</v>
      </c>
      <c r="H63" s="11" t="s">
        <v>143</v>
      </c>
      <c r="I63" s="12">
        <v>67640</v>
      </c>
      <c r="J63" s="13">
        <v>0.61691454832171777</v>
      </c>
      <c r="K63" s="12">
        <v>33667</v>
      </c>
      <c r="L63" s="13">
        <v>0.61004427444918918</v>
      </c>
      <c r="M63" s="12">
        <v>14718</v>
      </c>
      <c r="N63" s="13">
        <v>0.60588231647274948</v>
      </c>
      <c r="O63" s="12">
        <v>9758</v>
      </c>
      <c r="P63" s="13">
        <v>0.62419821535141962</v>
      </c>
      <c r="Q63" s="12">
        <v>36253</v>
      </c>
      <c r="R63" s="13">
        <v>0.61643948300042584</v>
      </c>
      <c r="S63" s="12">
        <v>64690</v>
      </c>
      <c r="T63" s="13">
        <v>0.61154120128980705</v>
      </c>
      <c r="U63" s="12">
        <v>86899</v>
      </c>
      <c r="V63" s="13">
        <v>0.60598827942620703</v>
      </c>
      <c r="W63" s="12">
        <v>84503</v>
      </c>
      <c r="X63" s="13">
        <v>0.61408054176293236</v>
      </c>
      <c r="Y63" s="12">
        <v>398128</v>
      </c>
      <c r="Z63" s="13">
        <v>0.6130794088368875</v>
      </c>
    </row>
    <row r="64" spans="1:26">
      <c r="A64" t="s">
        <v>5</v>
      </c>
      <c r="B64" t="s">
        <v>97</v>
      </c>
      <c r="C64" s="8">
        <v>46029</v>
      </c>
      <c r="D64" s="9">
        <v>44820</v>
      </c>
      <c r="E64">
        <f>MONTH(C64)</f>
        <v>1</v>
      </c>
      <c r="H64" s="11" t="s">
        <v>178</v>
      </c>
      <c r="I64" s="12">
        <v>48337</v>
      </c>
      <c r="J64" s="13">
        <v>0.62220206070449702</v>
      </c>
      <c r="K64" s="12">
        <v>57844</v>
      </c>
      <c r="L64" s="13">
        <v>0.61635840472260794</v>
      </c>
      <c r="M64" s="12">
        <v>56994</v>
      </c>
      <c r="N64" s="13">
        <v>0.61187116154739885</v>
      </c>
      <c r="O64" s="12">
        <v>41926</v>
      </c>
      <c r="P64" s="13">
        <v>0.6288232108009959</v>
      </c>
      <c r="Q64" s="12">
        <v>53313</v>
      </c>
      <c r="R64" s="13">
        <v>0.62199775388014489</v>
      </c>
      <c r="S64" s="12">
        <v>38963</v>
      </c>
      <c r="T64" s="13">
        <v>0.61577339437244216</v>
      </c>
      <c r="U64" s="12">
        <v>37324</v>
      </c>
      <c r="V64" s="13">
        <v>0.60994160049553148</v>
      </c>
      <c r="W64" s="12">
        <v>48874</v>
      </c>
      <c r="X64" s="13">
        <v>0.61932714184284332</v>
      </c>
      <c r="Y64" s="12">
        <v>383575</v>
      </c>
      <c r="Z64" s="13">
        <v>0.6182322799435882</v>
      </c>
    </row>
    <row r="65" spans="1:26">
      <c r="A65" t="s">
        <v>5</v>
      </c>
      <c r="B65" t="s">
        <v>115</v>
      </c>
      <c r="C65" s="8">
        <v>46029</v>
      </c>
      <c r="D65" s="9">
        <v>27095</v>
      </c>
      <c r="E65">
        <f>MONTH(C65)</f>
        <v>1</v>
      </c>
      <c r="H65" s="11" t="s">
        <v>71</v>
      </c>
      <c r="I65" s="12">
        <v>47320</v>
      </c>
      <c r="J65" s="13">
        <v>0.62737832497313417</v>
      </c>
      <c r="K65" s="12">
        <v>49256</v>
      </c>
      <c r="L65" s="13">
        <v>0.62173508684603496</v>
      </c>
      <c r="M65" s="12">
        <v>45913</v>
      </c>
      <c r="N65" s="13">
        <v>0.61669563156024887</v>
      </c>
      <c r="O65" s="12">
        <v>47903</v>
      </c>
      <c r="P65" s="13">
        <v>0.63410754884948739</v>
      </c>
      <c r="Q65" s="12">
        <v>48456</v>
      </c>
      <c r="R65" s="13">
        <v>0.62704964692213605</v>
      </c>
      <c r="S65" s="12">
        <v>46614</v>
      </c>
      <c r="T65" s="13">
        <v>0.62083664536322691</v>
      </c>
      <c r="U65" s="12">
        <v>49763</v>
      </c>
      <c r="V65" s="13">
        <v>0.61521244811027775</v>
      </c>
      <c r="W65" s="12">
        <v>46776</v>
      </c>
      <c r="X65" s="13">
        <v>0.6243485226452723</v>
      </c>
      <c r="Y65" s="12">
        <v>382001</v>
      </c>
      <c r="Z65" s="13">
        <v>0.62336400624387056</v>
      </c>
    </row>
    <row r="66" spans="1:26">
      <c r="A66" t="s">
        <v>5</v>
      </c>
      <c r="B66" t="s">
        <v>54</v>
      </c>
      <c r="C66" s="8">
        <v>46029</v>
      </c>
      <c r="D66" s="9">
        <v>39491</v>
      </c>
      <c r="E66">
        <f>MONTH(C66)</f>
        <v>1</v>
      </c>
      <c r="H66" s="11" t="s">
        <v>111</v>
      </c>
      <c r="I66" s="12">
        <v>51900</v>
      </c>
      <c r="J66" s="13">
        <v>0.63305558861519395</v>
      </c>
      <c r="K66" s="12">
        <v>47917</v>
      </c>
      <c r="L66" s="13">
        <v>0.62696560652502331</v>
      </c>
      <c r="M66" s="12">
        <v>36259</v>
      </c>
      <c r="N66" s="13">
        <v>0.62050567355698039</v>
      </c>
      <c r="O66" s="12">
        <v>31414</v>
      </c>
      <c r="P66" s="13">
        <v>0.63757293088099509</v>
      </c>
      <c r="Q66" s="12">
        <v>56909</v>
      </c>
      <c r="R66" s="13">
        <v>0.63298282715010923</v>
      </c>
      <c r="S66" s="12">
        <v>52536</v>
      </c>
      <c r="T66" s="13">
        <v>0.62654314886114326</v>
      </c>
      <c r="U66" s="12">
        <v>52328</v>
      </c>
      <c r="V66" s="13">
        <v>0.62075497798155654</v>
      </c>
      <c r="W66" s="12">
        <v>51986</v>
      </c>
      <c r="X66" s="13">
        <v>0.62992919440846451</v>
      </c>
      <c r="Y66" s="12">
        <v>381249</v>
      </c>
      <c r="Z66" s="13">
        <v>0.6284856303240598</v>
      </c>
    </row>
    <row r="67" spans="1:26">
      <c r="A67" t="s">
        <v>5</v>
      </c>
      <c r="B67" t="s">
        <v>109</v>
      </c>
      <c r="C67" s="8">
        <v>46029</v>
      </c>
      <c r="D67" s="9">
        <v>44782</v>
      </c>
      <c r="E67">
        <f>MONTH(C67)</f>
        <v>1</v>
      </c>
      <c r="H67" s="11" t="s">
        <v>221</v>
      </c>
      <c r="I67" s="12">
        <v>49366</v>
      </c>
      <c r="J67" s="13">
        <v>0.63845566177422908</v>
      </c>
      <c r="K67" s="12">
        <v>45316</v>
      </c>
      <c r="L67" s="13">
        <v>0.63191220647437407</v>
      </c>
      <c r="M67" s="12">
        <v>48873</v>
      </c>
      <c r="N67" s="13">
        <v>0.62564117598413649</v>
      </c>
      <c r="O67" s="12">
        <v>95488</v>
      </c>
      <c r="P67" s="13">
        <v>0.64810652734832197</v>
      </c>
      <c r="Q67" s="12">
        <v>19964</v>
      </c>
      <c r="R67" s="13">
        <v>0.63506422042834754</v>
      </c>
      <c r="S67" s="12">
        <v>43563</v>
      </c>
      <c r="T67" s="13">
        <v>0.63127499772439377</v>
      </c>
      <c r="U67" s="12">
        <v>49453</v>
      </c>
      <c r="V67" s="13">
        <v>0.62599299070370051</v>
      </c>
      <c r="W67" s="12">
        <v>24952</v>
      </c>
      <c r="X67" s="13">
        <v>0.63260777944742053</v>
      </c>
      <c r="Y67" s="12">
        <v>376975</v>
      </c>
      <c r="Z67" s="13">
        <v>0.6335498383288789</v>
      </c>
    </row>
    <row r="68" spans="1:26">
      <c r="A68" t="s">
        <v>4</v>
      </c>
      <c r="B68" t="s">
        <v>116</v>
      </c>
      <c r="C68" s="8">
        <v>46030</v>
      </c>
      <c r="D68" s="9">
        <v>29767</v>
      </c>
      <c r="E68">
        <f>MONTH(C68)</f>
        <v>1</v>
      </c>
      <c r="H68" s="11" t="s">
        <v>219</v>
      </c>
      <c r="I68" s="12">
        <v>43488</v>
      </c>
      <c r="J68" s="13">
        <v>0.64321274927453542</v>
      </c>
      <c r="K68" s="12">
        <v>43113</v>
      </c>
      <c r="L68" s="13">
        <v>0.63661833154314362</v>
      </c>
      <c r="M68" s="12">
        <v>48418</v>
      </c>
      <c r="N68" s="13">
        <v>0.63072886768544489</v>
      </c>
      <c r="O68" s="12">
        <v>61574</v>
      </c>
      <c r="P68" s="13">
        <v>0.6548989585321271</v>
      </c>
      <c r="Q68" s="12">
        <v>39499</v>
      </c>
      <c r="R68" s="13">
        <v>0.63918228059149773</v>
      </c>
      <c r="S68" s="12">
        <v>50893</v>
      </c>
      <c r="T68" s="13">
        <v>0.63680303721197284</v>
      </c>
      <c r="U68" s="12">
        <v>52155</v>
      </c>
      <c r="V68" s="13">
        <v>0.63151719658652694</v>
      </c>
      <c r="W68" s="12">
        <v>33935</v>
      </c>
      <c r="X68" s="13">
        <v>0.63625068515826433</v>
      </c>
      <c r="Y68" s="12">
        <v>373075</v>
      </c>
      <c r="Z68" s="13">
        <v>0.63856165450076807</v>
      </c>
    </row>
    <row r="69" spans="1:26">
      <c r="A69" t="s">
        <v>25</v>
      </c>
      <c r="B69" t="s">
        <v>117</v>
      </c>
      <c r="C69" s="8">
        <v>46030</v>
      </c>
      <c r="D69" s="9">
        <v>13737</v>
      </c>
      <c r="E69">
        <f>MONTH(C69)</f>
        <v>1</v>
      </c>
      <c r="H69" s="11" t="s">
        <v>66</v>
      </c>
      <c r="I69" s="12">
        <v>9609</v>
      </c>
      <c r="J69" s="13">
        <v>0.6442638634621376</v>
      </c>
      <c r="K69" s="12">
        <v>20194</v>
      </c>
      <c r="L69" s="13">
        <v>0.63882266642215291</v>
      </c>
      <c r="M69" s="12">
        <v>35315</v>
      </c>
      <c r="N69" s="13">
        <v>0.6344397155608571</v>
      </c>
      <c r="O69" s="12">
        <v>73940</v>
      </c>
      <c r="P69" s="13">
        <v>0.6630555239936945</v>
      </c>
      <c r="Q69" s="12">
        <v>43757</v>
      </c>
      <c r="R69" s="13">
        <v>0.64374426845344268</v>
      </c>
      <c r="S69" s="12">
        <v>73362</v>
      </c>
      <c r="T69" s="13">
        <v>0.64477167794621493</v>
      </c>
      <c r="U69" s="12">
        <v>41513</v>
      </c>
      <c r="V69" s="13">
        <v>0.63591421238201684</v>
      </c>
      <c r="W69" s="12">
        <v>72137</v>
      </c>
      <c r="X69" s="13">
        <v>0.64399455695031194</v>
      </c>
      <c r="Y69" s="12">
        <v>369827</v>
      </c>
      <c r="Z69" s="13">
        <v>0.6435298376794889</v>
      </c>
    </row>
    <row r="70" spans="1:26">
      <c r="A70" t="s">
        <v>28</v>
      </c>
      <c r="B70" t="s">
        <v>118</v>
      </c>
      <c r="C70" s="8">
        <v>46030</v>
      </c>
      <c r="D70" s="9">
        <v>11899</v>
      </c>
      <c r="E70">
        <f>MONTH(C70)</f>
        <v>1</v>
      </c>
      <c r="H70" s="11" t="s">
        <v>83</v>
      </c>
      <c r="I70" s="12">
        <v>33655</v>
      </c>
      <c r="J70" s="13">
        <v>0.64794533374871799</v>
      </c>
      <c r="K70" s="12">
        <v>9947</v>
      </c>
      <c r="L70" s="13">
        <v>0.63990846017482728</v>
      </c>
      <c r="M70" s="12">
        <v>104523</v>
      </c>
      <c r="N70" s="13">
        <v>0.64542283753400476</v>
      </c>
      <c r="O70" s="12">
        <v>41111</v>
      </c>
      <c r="P70" s="13">
        <v>0.66759061410311427</v>
      </c>
      <c r="Q70" s="12">
        <v>16925</v>
      </c>
      <c r="R70" s="13">
        <v>0.64550882371462182</v>
      </c>
      <c r="S70" s="12">
        <v>16654</v>
      </c>
      <c r="T70" s="13">
        <v>0.64658064911368673</v>
      </c>
      <c r="U70" s="12">
        <v>108643</v>
      </c>
      <c r="V70" s="13">
        <v>0.64742157121104404</v>
      </c>
      <c r="W70" s="12">
        <v>29524</v>
      </c>
      <c r="X70" s="13">
        <v>0.64716394396097798</v>
      </c>
      <c r="Y70" s="12">
        <v>360982</v>
      </c>
      <c r="Z70" s="13">
        <v>0.64837919886788509</v>
      </c>
    </row>
    <row r="71" spans="1:26">
      <c r="A71" t="s">
        <v>26</v>
      </c>
      <c r="B71" t="s">
        <v>119</v>
      </c>
      <c r="C71" s="8">
        <v>46030</v>
      </c>
      <c r="D71" s="9">
        <v>5200</v>
      </c>
      <c r="E71">
        <f>MONTH(C71)</f>
        <v>1</v>
      </c>
      <c r="H71" s="11" t="s">
        <v>132</v>
      </c>
      <c r="I71" s="12">
        <v>46384</v>
      </c>
      <c r="J71" s="13">
        <v>0.65301921037248101</v>
      </c>
      <c r="K71" s="12">
        <v>43125</v>
      </c>
      <c r="L71" s="13">
        <v>0.64461589513854323</v>
      </c>
      <c r="M71" s="12">
        <v>45077</v>
      </c>
      <c r="N71" s="13">
        <v>0.65015946190551699</v>
      </c>
      <c r="O71" s="12">
        <v>43826</v>
      </c>
      <c r="P71" s="13">
        <v>0.6724252048242213</v>
      </c>
      <c r="Q71" s="12">
        <v>43465</v>
      </c>
      <c r="R71" s="13">
        <v>0.65004036843705337</v>
      </c>
      <c r="S71" s="12">
        <v>46569</v>
      </c>
      <c r="T71" s="13">
        <v>0.65163901216748721</v>
      </c>
      <c r="U71" s="12">
        <v>43220</v>
      </c>
      <c r="V71" s="13">
        <v>0.65199939075386371</v>
      </c>
      <c r="W71" s="12">
        <v>45720</v>
      </c>
      <c r="X71" s="13">
        <v>0.65207196367807774</v>
      </c>
      <c r="Y71" s="12">
        <v>357386</v>
      </c>
      <c r="Z71" s="13">
        <v>0.6531802520995591</v>
      </c>
    </row>
    <row r="72" spans="1:26">
      <c r="A72" t="s">
        <v>6</v>
      </c>
      <c r="B72" t="s">
        <v>120</v>
      </c>
      <c r="C72" s="8">
        <v>46030</v>
      </c>
      <c r="D72" s="9">
        <v>16659</v>
      </c>
      <c r="E72">
        <f>MONTH(C72)</f>
        <v>1</v>
      </c>
      <c r="H72" s="11" t="s">
        <v>245</v>
      </c>
      <c r="I72" s="12">
        <v>13010</v>
      </c>
      <c r="J72" s="13">
        <v>0.6544423548808278</v>
      </c>
      <c r="K72" s="12">
        <v>70578</v>
      </c>
      <c r="L72" s="13">
        <v>0.65232004226594364</v>
      </c>
      <c r="M72" s="12">
        <v>34251</v>
      </c>
      <c r="N72" s="13">
        <v>0.65375850623740828</v>
      </c>
      <c r="O72" s="12">
        <v>22727</v>
      </c>
      <c r="P72" s="13">
        <v>0.67493229521163056</v>
      </c>
      <c r="Q72" s="12">
        <v>77156</v>
      </c>
      <c r="R72" s="13">
        <v>0.65808444676683431</v>
      </c>
      <c r="S72" s="12">
        <v>16158</v>
      </c>
      <c r="T72" s="13">
        <v>0.65339410740731008</v>
      </c>
      <c r="U72" s="12">
        <v>91851</v>
      </c>
      <c r="V72" s="13">
        <v>0.66172815759392689</v>
      </c>
      <c r="W72" s="12">
        <v>27734</v>
      </c>
      <c r="X72" s="13">
        <v>0.65504919506114945</v>
      </c>
      <c r="Y72" s="12">
        <v>353465</v>
      </c>
      <c r="Z72" s="13">
        <v>0.65792863138843338</v>
      </c>
    </row>
    <row r="73" spans="1:26">
      <c r="A73" t="s">
        <v>29</v>
      </c>
      <c r="B73" t="s">
        <v>121</v>
      </c>
      <c r="C73" s="8">
        <v>46030</v>
      </c>
      <c r="D73" s="9">
        <v>5200</v>
      </c>
      <c r="E73">
        <f>MONTH(C73)</f>
        <v>1</v>
      </c>
      <c r="H73" s="11" t="s">
        <v>187</v>
      </c>
      <c r="I73" s="12">
        <v>45230</v>
      </c>
      <c r="J73" s="13">
        <v>0.65938999716464985</v>
      </c>
      <c r="K73" s="12">
        <v>44695</v>
      </c>
      <c r="L73" s="13">
        <v>0.65719885515181686</v>
      </c>
      <c r="M73" s="12">
        <v>44115</v>
      </c>
      <c r="N73" s="13">
        <v>0.65839404507427113</v>
      </c>
      <c r="O73" s="12">
        <v>41889</v>
      </c>
      <c r="P73" s="13">
        <v>0.67955320906907712</v>
      </c>
      <c r="Q73" s="12">
        <v>44814</v>
      </c>
      <c r="R73" s="13">
        <v>0.66275663462352474</v>
      </c>
      <c r="S73" s="12">
        <v>45202</v>
      </c>
      <c r="T73" s="13">
        <v>0.65830398579761029</v>
      </c>
      <c r="U73" s="12">
        <v>43796</v>
      </c>
      <c r="V73" s="13">
        <v>0.6663669864855819</v>
      </c>
      <c r="W73" s="12">
        <v>41883</v>
      </c>
      <c r="X73" s="13">
        <v>0.65954531469831679</v>
      </c>
      <c r="Y73" s="12">
        <v>351624</v>
      </c>
      <c r="Z73" s="13">
        <v>0.66265227904540414</v>
      </c>
    </row>
    <row r="74" spans="1:26">
      <c r="A74" t="s">
        <v>7</v>
      </c>
      <c r="B74" t="s">
        <v>122</v>
      </c>
      <c r="C74" s="8">
        <v>46030</v>
      </c>
      <c r="D74" s="9">
        <v>6843</v>
      </c>
      <c r="E74">
        <f>MONTH(C74)</f>
        <v>1</v>
      </c>
      <c r="H74" s="11" t="s">
        <v>250</v>
      </c>
      <c r="I74" s="12">
        <v>44255</v>
      </c>
      <c r="J74" s="13">
        <v>0.664230985651728</v>
      </c>
      <c r="K74" s="12">
        <v>42649</v>
      </c>
      <c r="L74" s="13">
        <v>0.66185433094932455</v>
      </c>
      <c r="M74" s="12">
        <v>44932</v>
      </c>
      <c r="N74" s="13">
        <v>0.66311543306062304</v>
      </c>
      <c r="O74" s="12">
        <v>44423</v>
      </c>
      <c r="P74" s="13">
        <v>0.68445365683076509</v>
      </c>
      <c r="Q74" s="12">
        <v>42970</v>
      </c>
      <c r="R74" s="13">
        <v>0.6672365719690414</v>
      </c>
      <c r="S74" s="12">
        <v>42357</v>
      </c>
      <c r="T74" s="13">
        <v>0.66290483794968202</v>
      </c>
      <c r="U74" s="12">
        <v>42862</v>
      </c>
      <c r="V74" s="13">
        <v>0.67090688702339629</v>
      </c>
      <c r="W74" s="12">
        <v>45849</v>
      </c>
      <c r="X74" s="13">
        <v>0.66446718250254477</v>
      </c>
      <c r="Y74" s="12">
        <v>350297</v>
      </c>
      <c r="Z74" s="13">
        <v>0.66735810004537532</v>
      </c>
    </row>
    <row r="75" spans="1:26">
      <c r="A75" t="s">
        <v>5</v>
      </c>
      <c r="B75" t="s">
        <v>123</v>
      </c>
      <c r="C75" s="8">
        <v>46030</v>
      </c>
      <c r="D75" s="9">
        <v>48670</v>
      </c>
      <c r="E75">
        <f>MONTH(C75)</f>
        <v>1</v>
      </c>
      <c r="H75" s="11" t="s">
        <v>179</v>
      </c>
      <c r="I75" s="12">
        <v>40569</v>
      </c>
      <c r="J75" s="13">
        <v>0.66866876809285947</v>
      </c>
      <c r="K75" s="12">
        <v>41105</v>
      </c>
      <c r="L75" s="13">
        <v>0.6663412669303922</v>
      </c>
      <c r="M75" s="12">
        <v>43258</v>
      </c>
      <c r="N75" s="13">
        <v>0.6676609196072627</v>
      </c>
      <c r="O75" s="12">
        <v>43067</v>
      </c>
      <c r="P75" s="13">
        <v>0.68920451975656061</v>
      </c>
      <c r="Q75" s="12">
        <v>42733</v>
      </c>
      <c r="R75" s="13">
        <v>0.67169180032803522</v>
      </c>
      <c r="S75" s="12">
        <v>42935</v>
      </c>
      <c r="T75" s="13">
        <v>0.66756847293679633</v>
      </c>
      <c r="U75" s="12">
        <v>43071</v>
      </c>
      <c r="V75" s="13">
        <v>0.67546892463396513</v>
      </c>
      <c r="W75" s="12">
        <v>40895</v>
      </c>
      <c r="X75" s="13">
        <v>0.66885724082124098</v>
      </c>
      <c r="Y75" s="12">
        <v>337633</v>
      </c>
      <c r="Z75" s="13">
        <v>0.67189379536016047</v>
      </c>
    </row>
    <row r="76" spans="1:26">
      <c r="A76" t="s">
        <v>5</v>
      </c>
      <c r="B76" t="s">
        <v>124</v>
      </c>
      <c r="C76" s="8">
        <v>46030</v>
      </c>
      <c r="D76" s="9">
        <v>37671</v>
      </c>
      <c r="E76">
        <f>MONTH(C76)</f>
        <v>1</v>
      </c>
      <c r="H76" s="11" t="s">
        <v>171</v>
      </c>
      <c r="I76" s="12">
        <v>41353</v>
      </c>
      <c r="J76" s="13">
        <v>0.67319231112542399</v>
      </c>
      <c r="K76" s="12">
        <v>42191</v>
      </c>
      <c r="L76" s="13">
        <v>0.67094674840411128</v>
      </c>
      <c r="M76" s="12">
        <v>42202</v>
      </c>
      <c r="N76" s="13">
        <v>0.67209544323852832</v>
      </c>
      <c r="O76" s="12">
        <v>42542</v>
      </c>
      <c r="P76" s="13">
        <v>0.69389746819943321</v>
      </c>
      <c r="Q76" s="12">
        <v>42021</v>
      </c>
      <c r="R76" s="13">
        <v>0.67607279747013338</v>
      </c>
      <c r="S76" s="12">
        <v>41713</v>
      </c>
      <c r="T76" s="13">
        <v>0.67209937327958191</v>
      </c>
      <c r="U76" s="12">
        <v>41260</v>
      </c>
      <c r="V76" s="13">
        <v>0.6798391429203311</v>
      </c>
      <c r="W76" s="12">
        <v>40252</v>
      </c>
      <c r="X76" s="13">
        <v>0.67317827340332093</v>
      </c>
      <c r="Y76" s="12">
        <v>333534</v>
      </c>
      <c r="Z76" s="13">
        <v>0.67637442551515581</v>
      </c>
    </row>
    <row r="77" spans="1:26">
      <c r="A77" t="s">
        <v>27</v>
      </c>
      <c r="B77" t="s">
        <v>125</v>
      </c>
      <c r="C77" s="8">
        <v>46031</v>
      </c>
      <c r="D77" s="9">
        <v>10652</v>
      </c>
      <c r="E77">
        <f>MONTH(C77)</f>
        <v>1</v>
      </c>
      <c r="H77" s="11" t="s">
        <v>157</v>
      </c>
      <c r="I77" s="12">
        <v>76750</v>
      </c>
      <c r="J77" s="13">
        <v>0.68158787922808461</v>
      </c>
      <c r="K77" s="12">
        <v>80234</v>
      </c>
      <c r="L77" s="13">
        <v>0.67970492433173524</v>
      </c>
      <c r="M77" s="12">
        <v>12547</v>
      </c>
      <c r="N77" s="13">
        <v>0.67341386340822385</v>
      </c>
      <c r="O77" s="12">
        <v>27129</v>
      </c>
      <c r="P77" s="13">
        <v>0.69689015773698881</v>
      </c>
      <c r="Q77" s="12">
        <v>9455</v>
      </c>
      <c r="R77" s="13">
        <v>0.67705855049787045</v>
      </c>
      <c r="S77" s="12">
        <v>28056</v>
      </c>
      <c r="T77" s="13">
        <v>0.67514683905804895</v>
      </c>
      <c r="U77" s="12">
        <v>28827</v>
      </c>
      <c r="V77" s="13">
        <v>0.68289247017532562</v>
      </c>
      <c r="W77" s="12">
        <v>65293</v>
      </c>
      <c r="X77" s="13">
        <v>0.68018744513098039</v>
      </c>
      <c r="Y77" s="12">
        <v>328291</v>
      </c>
      <c r="Z77" s="13">
        <v>0.68078462223936853</v>
      </c>
    </row>
    <row r="78" spans="1:26">
      <c r="A78" t="s">
        <v>4</v>
      </c>
      <c r="B78" t="s">
        <v>126</v>
      </c>
      <c r="C78" s="8">
        <v>46031</v>
      </c>
      <c r="D78" s="9">
        <v>27572</v>
      </c>
      <c r="E78">
        <f>MONTH(C78)</f>
        <v>1</v>
      </c>
      <c r="H78" s="11" t="s">
        <v>269</v>
      </c>
      <c r="I78" s="12">
        <v>40035</v>
      </c>
      <c r="J78" s="13">
        <v>0.68596724820515331</v>
      </c>
      <c r="K78" s="12">
        <v>39468</v>
      </c>
      <c r="L78" s="13">
        <v>0.68401316881052809</v>
      </c>
      <c r="M78" s="12">
        <v>41101</v>
      </c>
      <c r="N78" s="13">
        <v>0.67773269559078975</v>
      </c>
      <c r="O78" s="12">
        <v>41783</v>
      </c>
      <c r="P78" s="13">
        <v>0.70149937838455001</v>
      </c>
      <c r="Q78" s="12">
        <v>39789</v>
      </c>
      <c r="R78" s="13">
        <v>0.68120684528587983</v>
      </c>
      <c r="S78" s="12">
        <v>41318</v>
      </c>
      <c r="T78" s="13">
        <v>0.67963483417619475</v>
      </c>
      <c r="U78" s="12">
        <v>40624</v>
      </c>
      <c r="V78" s="13">
        <v>0.68719532397235261</v>
      </c>
      <c r="W78" s="12">
        <v>39941</v>
      </c>
      <c r="X78" s="13">
        <v>0.68447509201463475</v>
      </c>
      <c r="Y78" s="12">
        <v>324059</v>
      </c>
      <c r="Z78" s="13">
        <v>0.6851379671079505</v>
      </c>
    </row>
    <row r="79" spans="1:26">
      <c r="A79" t="s">
        <v>4</v>
      </c>
      <c r="B79" t="s">
        <v>127</v>
      </c>
      <c r="C79" s="8">
        <v>46031</v>
      </c>
      <c r="D79" s="9">
        <v>23255</v>
      </c>
      <c r="E79">
        <f>MONTH(C79)</f>
        <v>1</v>
      </c>
      <c r="H79" s="11" t="s">
        <v>176</v>
      </c>
      <c r="I79" s="12">
        <v>41622</v>
      </c>
      <c r="J79" s="13">
        <v>0.69052021674676822</v>
      </c>
      <c r="K79" s="12">
        <v>29519</v>
      </c>
      <c r="L79" s="13">
        <v>0.68723540122082205</v>
      </c>
      <c r="M79" s="12">
        <v>48951</v>
      </c>
      <c r="N79" s="13">
        <v>0.682876394142377</v>
      </c>
      <c r="O79" s="12">
        <v>33257</v>
      </c>
      <c r="P79" s="13">
        <v>0.70516806782944241</v>
      </c>
      <c r="Q79" s="12">
        <v>41302</v>
      </c>
      <c r="R79" s="13">
        <v>0.68551288140979261</v>
      </c>
      <c r="S79" s="12">
        <v>43373</v>
      </c>
      <c r="T79" s="13">
        <v>0.68434604508328933</v>
      </c>
      <c r="U79" s="12">
        <v>45425</v>
      </c>
      <c r="V79" s="13">
        <v>0.69200669492868261</v>
      </c>
      <c r="W79" s="12">
        <v>35399</v>
      </c>
      <c r="X79" s="13">
        <v>0.68827515741195788</v>
      </c>
      <c r="Y79" s="12">
        <v>318848</v>
      </c>
      <c r="Z79" s="13">
        <v>0.68942130842745608</v>
      </c>
    </row>
    <row r="80" spans="1:26">
      <c r="A80" t="s">
        <v>25</v>
      </c>
      <c r="B80" t="s">
        <v>128</v>
      </c>
      <c r="C80" s="8">
        <v>46031</v>
      </c>
      <c r="D80" s="9">
        <v>5200</v>
      </c>
      <c r="E80">
        <f>MONTH(C80)</f>
        <v>1</v>
      </c>
      <c r="H80" s="11" t="s">
        <v>223</v>
      </c>
      <c r="I80" s="12">
        <v>53529</v>
      </c>
      <c r="J80" s="13">
        <v>0.6963756742707724</v>
      </c>
      <c r="K80" s="12">
        <v>13498</v>
      </c>
      <c r="L80" s="13">
        <v>0.68870881471972611</v>
      </c>
      <c r="M80" s="12">
        <v>57839</v>
      </c>
      <c r="N80" s="13">
        <v>0.68895403056502924</v>
      </c>
      <c r="O80" s="12">
        <v>8592</v>
      </c>
      <c r="P80" s="13">
        <v>0.70611587970996426</v>
      </c>
      <c r="Q80" s="12">
        <v>72409</v>
      </c>
      <c r="R80" s="13">
        <v>0.69306205020782652</v>
      </c>
      <c r="S80" s="12">
        <v>33350</v>
      </c>
      <c r="T80" s="13">
        <v>0.68796854949275166</v>
      </c>
      <c r="U80" s="12">
        <v>23063</v>
      </c>
      <c r="V80" s="13">
        <v>0.69444950501928993</v>
      </c>
      <c r="W80" s="12">
        <v>54944</v>
      </c>
      <c r="X80" s="13">
        <v>0.69417336903348725</v>
      </c>
      <c r="Y80" s="12">
        <v>317224</v>
      </c>
      <c r="Z80" s="13">
        <v>0.69368283325037738</v>
      </c>
    </row>
    <row r="81" spans="1:26">
      <c r="A81" t="s">
        <v>8</v>
      </c>
      <c r="B81" t="s">
        <v>129</v>
      </c>
      <c r="C81" s="8">
        <v>46031</v>
      </c>
      <c r="D81" s="9">
        <v>11993</v>
      </c>
      <c r="E81">
        <f>MONTH(C81)</f>
        <v>1</v>
      </c>
      <c r="H81" s="11" t="s">
        <v>113</v>
      </c>
      <c r="I81" s="12">
        <v>21359</v>
      </c>
      <c r="J81" s="13">
        <v>0.69871210344477541</v>
      </c>
      <c r="K81" s="12">
        <v>25065</v>
      </c>
      <c r="L81" s="13">
        <v>0.69144485778907194</v>
      </c>
      <c r="M81" s="12">
        <v>69542</v>
      </c>
      <c r="N81" s="13">
        <v>0.69626140088789246</v>
      </c>
      <c r="O81" s="12">
        <v>23946</v>
      </c>
      <c r="P81" s="13">
        <v>0.70875744201105562</v>
      </c>
      <c r="Q81" s="12">
        <v>56491</v>
      </c>
      <c r="R81" s="13">
        <v>0.69895165087307176</v>
      </c>
      <c r="S81" s="12">
        <v>13752</v>
      </c>
      <c r="T81" s="13">
        <v>0.68946230303514822</v>
      </c>
      <c r="U81" s="12">
        <v>22240</v>
      </c>
      <c r="V81" s="13">
        <v>0.69680514376598846</v>
      </c>
      <c r="W81" s="12">
        <v>68646</v>
      </c>
      <c r="X81" s="13">
        <v>0.70154248367696981</v>
      </c>
      <c r="Y81" s="12">
        <v>301041</v>
      </c>
      <c r="Z81" s="13">
        <v>0.69772695883424574</v>
      </c>
    </row>
    <row r="82" spans="1:26">
      <c r="A82" t="s">
        <v>6</v>
      </c>
      <c r="B82" t="s">
        <v>130</v>
      </c>
      <c r="C82" s="8">
        <v>46031</v>
      </c>
      <c r="D82" s="9">
        <v>18320</v>
      </c>
      <c r="E82">
        <f>MONTH(C82)</f>
        <v>1</v>
      </c>
      <c r="H82" s="11" t="s">
        <v>150</v>
      </c>
      <c r="I82" s="12">
        <v>36121</v>
      </c>
      <c r="J82" s="13">
        <v>0.70266332579573576</v>
      </c>
      <c r="K82" s="12">
        <v>37378</v>
      </c>
      <c r="L82" s="13">
        <v>0.6955249622313624</v>
      </c>
      <c r="M82" s="12">
        <v>38450</v>
      </c>
      <c r="N82" s="13">
        <v>0.70030166991832143</v>
      </c>
      <c r="O82" s="12">
        <v>36074</v>
      </c>
      <c r="P82" s="13">
        <v>0.71273688402431745</v>
      </c>
      <c r="Q82" s="12">
        <v>35988</v>
      </c>
      <c r="R82" s="13">
        <v>0.70270366356077141</v>
      </c>
      <c r="S82" s="12">
        <v>38611</v>
      </c>
      <c r="T82" s="13">
        <v>0.69365626158848392</v>
      </c>
      <c r="U82" s="12">
        <v>36199</v>
      </c>
      <c r="V82" s="13">
        <v>0.70063930595086887</v>
      </c>
      <c r="W82" s="12">
        <v>37546</v>
      </c>
      <c r="X82" s="13">
        <v>0.70557302847789338</v>
      </c>
      <c r="Y82" s="12">
        <v>296367</v>
      </c>
      <c r="Z82" s="13">
        <v>0.70170829482141794</v>
      </c>
    </row>
    <row r="83" spans="1:26">
      <c r="A83" t="s">
        <v>6</v>
      </c>
      <c r="B83" t="s">
        <v>131</v>
      </c>
      <c r="C83" s="8">
        <v>46031</v>
      </c>
      <c r="D83" s="9">
        <v>17727</v>
      </c>
      <c r="E83">
        <f>MONTH(C83)</f>
        <v>1</v>
      </c>
      <c r="H83" s="11" t="s">
        <v>264</v>
      </c>
      <c r="I83" s="12">
        <v>29931</v>
      </c>
      <c r="J83" s="13">
        <v>0.70593743327300917</v>
      </c>
      <c r="K83" s="12">
        <v>34706</v>
      </c>
      <c r="L83" s="13">
        <v>0.69931339673224879</v>
      </c>
      <c r="M83" s="12">
        <v>40542</v>
      </c>
      <c r="N83" s="13">
        <v>0.70456176320913155</v>
      </c>
      <c r="O83" s="12">
        <v>43369</v>
      </c>
      <c r="P83" s="13">
        <v>0.71752106156695628</v>
      </c>
      <c r="Q83" s="12">
        <v>35015</v>
      </c>
      <c r="R83" s="13">
        <v>0.70635423386920204</v>
      </c>
      <c r="S83" s="12">
        <v>30652</v>
      </c>
      <c r="T83" s="13">
        <v>0.69698570702053297</v>
      </c>
      <c r="U83" s="12">
        <v>35399</v>
      </c>
      <c r="V83" s="13">
        <v>0.70438873292903337</v>
      </c>
      <c r="W83" s="12">
        <v>33547</v>
      </c>
      <c r="X83" s="13">
        <v>0.70917428257783965</v>
      </c>
      <c r="Y83" s="12">
        <v>283161</v>
      </c>
      <c r="Z83" s="13">
        <v>0.70551222400200708</v>
      </c>
    </row>
    <row r="84" spans="1:26">
      <c r="A84" t="s">
        <v>9</v>
      </c>
      <c r="B84" t="s">
        <v>132</v>
      </c>
      <c r="C84" s="8">
        <v>46031</v>
      </c>
      <c r="D84" s="9">
        <v>46384</v>
      </c>
      <c r="E84">
        <f>MONTH(C84)</f>
        <v>1</v>
      </c>
      <c r="H84" s="11" t="s">
        <v>222</v>
      </c>
      <c r="I84" s="12">
        <v>34493</v>
      </c>
      <c r="J84" s="13">
        <v>0.7097105711305346</v>
      </c>
      <c r="K84" s="12">
        <v>35320</v>
      </c>
      <c r="L84" s="13">
        <v>0.70316885419122721</v>
      </c>
      <c r="M84" s="12">
        <v>35880</v>
      </c>
      <c r="N84" s="13">
        <v>0.70833198044740964</v>
      </c>
      <c r="O84" s="12">
        <v>36188</v>
      </c>
      <c r="P84" s="13">
        <v>0.72151307929650998</v>
      </c>
      <c r="Q84" s="12">
        <v>35888</v>
      </c>
      <c r="R84" s="13">
        <v>0.71009582082419165</v>
      </c>
      <c r="S84" s="12">
        <v>33771</v>
      </c>
      <c r="T84" s="13">
        <v>0.70065394079600385</v>
      </c>
      <c r="U84" s="12">
        <v>33205</v>
      </c>
      <c r="V84" s="13">
        <v>0.70790577360277995</v>
      </c>
      <c r="W84" s="12">
        <v>35164</v>
      </c>
      <c r="X84" s="13">
        <v>0.71294912083969653</v>
      </c>
      <c r="Y84" s="12">
        <v>279909</v>
      </c>
      <c r="Z84" s="13">
        <v>0.7092724664542146</v>
      </c>
    </row>
    <row r="85" spans="1:26">
      <c r="A85" t="s">
        <v>5</v>
      </c>
      <c r="B85" t="s">
        <v>133</v>
      </c>
      <c r="C85" s="8">
        <v>46031</v>
      </c>
      <c r="D85" s="9">
        <v>35355</v>
      </c>
      <c r="E85">
        <f>MONTH(C85)</f>
        <v>1</v>
      </c>
      <c r="H85" s="11" t="s">
        <v>165</v>
      </c>
      <c r="I85" s="12">
        <v>38303</v>
      </c>
      <c r="J85" s="13">
        <v>0.71390047920918231</v>
      </c>
      <c r="K85" s="12">
        <v>41648</v>
      </c>
      <c r="L85" s="13">
        <v>0.70771506291862063</v>
      </c>
      <c r="M85" s="12">
        <v>37715</v>
      </c>
      <c r="N85" s="13">
        <v>0.71229501676685381</v>
      </c>
      <c r="O85" s="12">
        <v>24105</v>
      </c>
      <c r="P85" s="13">
        <v>0.72417218141242945</v>
      </c>
      <c r="Q85" s="12">
        <v>27900</v>
      </c>
      <c r="R85" s="13">
        <v>0.71300460025030099</v>
      </c>
      <c r="S85" s="12">
        <v>29316</v>
      </c>
      <c r="T85" s="13">
        <v>0.70383826881003064</v>
      </c>
      <c r="U85" s="12">
        <v>40531</v>
      </c>
      <c r="V85" s="13">
        <v>0.71219877693202627</v>
      </c>
      <c r="W85" s="12">
        <v>36466</v>
      </c>
      <c r="X85" s="13">
        <v>0.71686372816698773</v>
      </c>
      <c r="Y85" s="12">
        <v>275984</v>
      </c>
      <c r="Z85" s="13">
        <v>0.71297998122840922</v>
      </c>
    </row>
    <row r="86" spans="1:26">
      <c r="A86" t="s">
        <v>5</v>
      </c>
      <c r="B86" t="s">
        <v>134</v>
      </c>
      <c r="C86" s="8">
        <v>46031</v>
      </c>
      <c r="D86" s="9">
        <v>37524</v>
      </c>
      <c r="E86">
        <f>MONTH(C86)</f>
        <v>1</v>
      </c>
      <c r="H86" s="11" t="s">
        <v>190</v>
      </c>
      <c r="I86" s="12">
        <v>43140</v>
      </c>
      <c r="J86" s="13">
        <v>0.71861949950818926</v>
      </c>
      <c r="K86" s="12">
        <v>56059</v>
      </c>
      <c r="L86" s="13">
        <v>0.71383434631875853</v>
      </c>
      <c r="M86" s="12">
        <v>51975</v>
      </c>
      <c r="N86" s="13">
        <v>0.71775647275792132</v>
      </c>
      <c r="O86" s="12">
        <v>14061</v>
      </c>
      <c r="P86" s="13">
        <v>0.7257232967350572</v>
      </c>
      <c r="Q86" s="12">
        <v>7541</v>
      </c>
      <c r="R86" s="13">
        <v>0.71379080475396728</v>
      </c>
      <c r="S86" s="12">
        <v>20557</v>
      </c>
      <c r="T86" s="13">
        <v>0.7060711870452725</v>
      </c>
      <c r="U86" s="12">
        <v>57460</v>
      </c>
      <c r="V86" s="13">
        <v>0.71828488315438666</v>
      </c>
      <c r="W86" s="12">
        <v>22868</v>
      </c>
      <c r="X86" s="13">
        <v>0.71931859682163857</v>
      </c>
      <c r="Y86" s="12">
        <v>273661</v>
      </c>
      <c r="Z86" s="13">
        <v>0.71665628927750225</v>
      </c>
    </row>
    <row r="87" spans="1:26">
      <c r="A87" t="s">
        <v>27</v>
      </c>
      <c r="B87" t="s">
        <v>135</v>
      </c>
      <c r="C87" s="8">
        <v>46032</v>
      </c>
      <c r="D87" s="9">
        <v>13700</v>
      </c>
      <c r="E87">
        <f>MONTH(C87)</f>
        <v>1</v>
      </c>
      <c r="H87" s="11" t="s">
        <v>177</v>
      </c>
      <c r="I87" s="12">
        <v>31846</v>
      </c>
      <c r="J87" s="13">
        <v>0.72210308598111872</v>
      </c>
      <c r="K87" s="12">
        <v>38550</v>
      </c>
      <c r="L87" s="13">
        <v>0.71804238383414987</v>
      </c>
      <c r="M87" s="12">
        <v>32691</v>
      </c>
      <c r="N87" s="13">
        <v>0.72119159460119187</v>
      </c>
      <c r="O87" s="12">
        <v>28136</v>
      </c>
      <c r="P87" s="13">
        <v>0.72882707176652406</v>
      </c>
      <c r="Q87" s="12">
        <v>40001</v>
      </c>
      <c r="R87" s="13">
        <v>0.7179612020953221</v>
      </c>
      <c r="S87" s="12">
        <v>36667</v>
      </c>
      <c r="T87" s="13">
        <v>0.71005398672088726</v>
      </c>
      <c r="U87" s="12">
        <v>25861</v>
      </c>
      <c r="V87" s="13">
        <v>0.72102405463048247</v>
      </c>
      <c r="W87" s="12">
        <v>28328</v>
      </c>
      <c r="X87" s="13">
        <v>0.72235959381520809</v>
      </c>
      <c r="Y87" s="12">
        <v>262080</v>
      </c>
      <c r="Z87" s="13">
        <v>0.72017702045039966</v>
      </c>
    </row>
    <row r="88" spans="1:26">
      <c r="A88" t="s">
        <v>4</v>
      </c>
      <c r="B88" t="s">
        <v>136</v>
      </c>
      <c r="C88" s="8">
        <v>46032</v>
      </c>
      <c r="D88" s="9">
        <v>6117</v>
      </c>
      <c r="E88">
        <f>MONTH(C88)</f>
        <v>1</v>
      </c>
      <c r="H88" s="11" t="s">
        <v>60</v>
      </c>
      <c r="I88" s="12">
        <v>23669</v>
      </c>
      <c r="J88" s="13">
        <v>0.72469220261202261</v>
      </c>
      <c r="K88" s="12">
        <v>47231</v>
      </c>
      <c r="L88" s="13">
        <v>0.72319802118536758</v>
      </c>
      <c r="M88" s="12">
        <v>20674</v>
      </c>
      <c r="N88" s="13">
        <v>0.72336398788949063</v>
      </c>
      <c r="O88" s="12">
        <v>26491</v>
      </c>
      <c r="P88" s="13">
        <v>0.7317493814181657</v>
      </c>
      <c r="Q88" s="12">
        <v>19442</v>
      </c>
      <c r="R88" s="13">
        <v>0.71998817304881368</v>
      </c>
      <c r="S88" s="12">
        <v>62021</v>
      </c>
      <c r="T88" s="13">
        <v>0.71679075871426834</v>
      </c>
      <c r="U88" s="12">
        <v>9851</v>
      </c>
      <c r="V88" s="13">
        <v>0.72206746278217881</v>
      </c>
      <c r="W88" s="12">
        <v>50405</v>
      </c>
      <c r="X88" s="13">
        <v>0.72777054599894409</v>
      </c>
      <c r="Y88" s="12">
        <v>259784</v>
      </c>
      <c r="Z88" s="13">
        <v>0.72366690761088504</v>
      </c>
    </row>
    <row r="89" spans="1:26">
      <c r="A89" t="s">
        <v>4</v>
      </c>
      <c r="B89" t="s">
        <v>137</v>
      </c>
      <c r="C89" s="8">
        <v>46032</v>
      </c>
      <c r="D89" s="9">
        <v>44034</v>
      </c>
      <c r="E89">
        <f>MONTH(C89)</f>
        <v>1</v>
      </c>
      <c r="H89" s="11" t="s">
        <v>164</v>
      </c>
      <c r="I89" s="12">
        <v>29501</v>
      </c>
      <c r="J89" s="13">
        <v>0.72791927303021919</v>
      </c>
      <c r="K89" s="12">
        <v>28833</v>
      </c>
      <c r="L89" s="13">
        <v>0.726345371267891</v>
      </c>
      <c r="M89" s="12">
        <v>29182</v>
      </c>
      <c r="N89" s="13">
        <v>0.72643038921188274</v>
      </c>
      <c r="O89" s="12">
        <v>27855</v>
      </c>
      <c r="P89" s="13">
        <v>0.73482215841210619</v>
      </c>
      <c r="Q89" s="12">
        <v>31814</v>
      </c>
      <c r="R89" s="13">
        <v>0.72330501565319505</v>
      </c>
      <c r="S89" s="12">
        <v>28314</v>
      </c>
      <c r="T89" s="13">
        <v>0.71986624866477855</v>
      </c>
      <c r="U89" s="12">
        <v>38704</v>
      </c>
      <c r="V89" s="13">
        <v>0.7261669520830879</v>
      </c>
      <c r="W89" s="12">
        <v>43776</v>
      </c>
      <c r="X89" s="13">
        <v>0.73246987826350574</v>
      </c>
      <c r="Y89" s="12">
        <v>257979</v>
      </c>
      <c r="Z89" s="13">
        <v>0.72713254675638606</v>
      </c>
    </row>
    <row r="90" spans="1:26">
      <c r="A90" t="s">
        <v>25</v>
      </c>
      <c r="B90" t="s">
        <v>59</v>
      </c>
      <c r="C90" s="8">
        <v>46032</v>
      </c>
      <c r="D90" s="9">
        <v>12745</v>
      </c>
      <c r="E90">
        <f>MONTH(C90)</f>
        <v>1</v>
      </c>
      <c r="H90" s="11" t="s">
        <v>180</v>
      </c>
      <c r="I90" s="12">
        <v>32072</v>
      </c>
      <c r="J90" s="13">
        <v>0.73142758130629137</v>
      </c>
      <c r="K90" s="12">
        <v>30676</v>
      </c>
      <c r="L90" s="13">
        <v>0.72969389938260287</v>
      </c>
      <c r="M90" s="12">
        <v>31793</v>
      </c>
      <c r="N90" s="13">
        <v>0.72977115054567798</v>
      </c>
      <c r="O90" s="12">
        <v>30810</v>
      </c>
      <c r="P90" s="13">
        <v>0.73822091120992728</v>
      </c>
      <c r="Q90" s="12">
        <v>31805</v>
      </c>
      <c r="R90" s="13">
        <v>0.72662091994163258</v>
      </c>
      <c r="S90" s="12">
        <v>30472</v>
      </c>
      <c r="T90" s="13">
        <v>0.72317614234889049</v>
      </c>
      <c r="U90" s="12">
        <v>29975</v>
      </c>
      <c r="V90" s="13">
        <v>0.72934187435971964</v>
      </c>
      <c r="W90" s="12">
        <v>30862</v>
      </c>
      <c r="X90" s="13">
        <v>0.73578289892206061</v>
      </c>
      <c r="Y90" s="12">
        <v>248465</v>
      </c>
      <c r="Z90" s="13">
        <v>0.73047037669714443</v>
      </c>
    </row>
    <row r="91" spans="1:26">
      <c r="A91" t="s">
        <v>26</v>
      </c>
      <c r="B91" t="s">
        <v>138</v>
      </c>
      <c r="C91" s="8">
        <v>46032</v>
      </c>
      <c r="D91" s="9">
        <v>13392</v>
      </c>
      <c r="E91">
        <f>MONTH(C91)</f>
        <v>1</v>
      </c>
      <c r="H91" s="11" t="s">
        <v>127</v>
      </c>
      <c r="I91" s="12">
        <v>23255</v>
      </c>
      <c r="J91" s="13">
        <v>0.73397141109427011</v>
      </c>
      <c r="K91" s="12">
        <v>26163</v>
      </c>
      <c r="L91" s="13">
        <v>0.73254979783954666</v>
      </c>
      <c r="M91" s="12">
        <v>33186</v>
      </c>
      <c r="N91" s="13">
        <v>0.73325828625553013</v>
      </c>
      <c r="O91" s="12">
        <v>28178</v>
      </c>
      <c r="P91" s="13">
        <v>0.741329319400028</v>
      </c>
      <c r="Q91" s="12">
        <v>38498</v>
      </c>
      <c r="R91" s="13">
        <v>0.73063461852035494</v>
      </c>
      <c r="S91" s="12">
        <v>36108</v>
      </c>
      <c r="T91" s="13">
        <v>0.72709822298507831</v>
      </c>
      <c r="U91" s="12">
        <v>24688</v>
      </c>
      <c r="V91" s="13">
        <v>0.73195680283896836</v>
      </c>
      <c r="W91" s="12">
        <v>36095</v>
      </c>
      <c r="X91" s="13">
        <v>0.73965767958016893</v>
      </c>
      <c r="Y91" s="12">
        <v>246171</v>
      </c>
      <c r="Z91" s="13">
        <v>0.73377738949309734</v>
      </c>
    </row>
    <row r="92" spans="1:26">
      <c r="A92" t="s">
        <v>30</v>
      </c>
      <c r="B92" t="s">
        <v>139</v>
      </c>
      <c r="C92" s="8">
        <v>46032</v>
      </c>
      <c r="D92" s="9">
        <v>10633</v>
      </c>
      <c r="E92">
        <f>MONTH(C92)</f>
        <v>1</v>
      </c>
      <c r="H92" s="11" t="s">
        <v>116</v>
      </c>
      <c r="I92" s="12">
        <v>29767</v>
      </c>
      <c r="J92" s="13">
        <v>0.73722757885598866</v>
      </c>
      <c r="K92" s="12">
        <v>28681</v>
      </c>
      <c r="L92" s="13">
        <v>0.73568055591941528</v>
      </c>
      <c r="M92" s="12">
        <v>29069</v>
      </c>
      <c r="N92" s="13">
        <v>0.73631281370534907</v>
      </c>
      <c r="O92" s="12">
        <v>29243</v>
      </c>
      <c r="P92" s="13">
        <v>0.74455521125548674</v>
      </c>
      <c r="Q92" s="12">
        <v>29630</v>
      </c>
      <c r="R92" s="13">
        <v>0.73372376312234844</v>
      </c>
      <c r="S92" s="12">
        <v>31119</v>
      </c>
      <c r="T92" s="13">
        <v>0.73047839434094208</v>
      </c>
      <c r="U92" s="12">
        <v>30536</v>
      </c>
      <c r="V92" s="13">
        <v>0.73519114567930943</v>
      </c>
      <c r="W92" s="12">
        <v>29325</v>
      </c>
      <c r="X92" s="13">
        <v>0.74280570403782309</v>
      </c>
      <c r="Y92" s="12">
        <v>237370</v>
      </c>
      <c r="Z92" s="13">
        <v>0.73696617138607146</v>
      </c>
    </row>
    <row r="93" spans="1:26">
      <c r="A93" t="s">
        <v>8</v>
      </c>
      <c r="B93" t="s">
        <v>140</v>
      </c>
      <c r="C93" s="8">
        <v>46032</v>
      </c>
      <c r="D93" s="9">
        <v>14195</v>
      </c>
      <c r="E93">
        <f>MONTH(C93)</f>
        <v>1</v>
      </c>
      <c r="H93" s="11" t="s">
        <v>67</v>
      </c>
      <c r="I93" s="12">
        <v>29653</v>
      </c>
      <c r="J93" s="13">
        <v>0.74047127632762644</v>
      </c>
      <c r="K93" s="12">
        <v>30502</v>
      </c>
      <c r="L93" s="13">
        <v>0.73901009055740396</v>
      </c>
      <c r="M93" s="12">
        <v>29110</v>
      </c>
      <c r="N93" s="13">
        <v>0.73937164937442035</v>
      </c>
      <c r="O93" s="12">
        <v>29250</v>
      </c>
      <c r="P93" s="13">
        <v>0.74778187530405105</v>
      </c>
      <c r="Q93" s="12">
        <v>30987</v>
      </c>
      <c r="R93" s="13">
        <v>0.73695438491721754</v>
      </c>
      <c r="S93" s="12">
        <v>28645</v>
      </c>
      <c r="T93" s="13">
        <v>0.73358983778349218</v>
      </c>
      <c r="U93" s="12">
        <v>29403</v>
      </c>
      <c r="V93" s="13">
        <v>0.7383054822831393</v>
      </c>
      <c r="W93" s="12">
        <v>29283</v>
      </c>
      <c r="X93" s="13">
        <v>0.74594921981594708</v>
      </c>
      <c r="Y93" s="12">
        <v>236833</v>
      </c>
      <c r="Z93" s="13">
        <v>0.74014773932666522</v>
      </c>
    </row>
    <row r="94" spans="1:26">
      <c r="A94" t="s">
        <v>6</v>
      </c>
      <c r="B94" t="s">
        <v>141</v>
      </c>
      <c r="C94" s="8">
        <v>46032</v>
      </c>
      <c r="D94" s="9">
        <v>17202</v>
      </c>
      <c r="E94">
        <f>MONTH(C94)</f>
        <v>1</v>
      </c>
      <c r="H94" s="11" t="s">
        <v>65</v>
      </c>
      <c r="I94" s="12">
        <v>39150</v>
      </c>
      <c r="J94" s="13">
        <v>0.74475383647380455</v>
      </c>
      <c r="K94" s="12">
        <v>35955</v>
      </c>
      <c r="L94" s="13">
        <v>0.74293486329063074</v>
      </c>
      <c r="M94" s="12">
        <v>40142</v>
      </c>
      <c r="N94" s="13">
        <v>0.74358971125789175</v>
      </c>
      <c r="O94" s="12">
        <v>5200</v>
      </c>
      <c r="P94" s="13">
        <v>0.74835550446824028</v>
      </c>
      <c r="Q94" s="12">
        <v>9034</v>
      </c>
      <c r="R94" s="13">
        <v>0.73789624561024525</v>
      </c>
      <c r="S94" s="12">
        <v>7447</v>
      </c>
      <c r="T94" s="13">
        <v>0.73439873704397995</v>
      </c>
      <c r="U94" s="12">
        <v>53022</v>
      </c>
      <c r="V94" s="13">
        <v>0.743921519946244</v>
      </c>
      <c r="W94" s="12">
        <v>45130</v>
      </c>
      <c r="X94" s="13">
        <v>0.75079390332059959</v>
      </c>
      <c r="Y94" s="12">
        <v>235080</v>
      </c>
      <c r="Z94" s="13">
        <v>0.74330575781004715</v>
      </c>
    </row>
    <row r="95" spans="1:26">
      <c r="A95" t="s">
        <v>7</v>
      </c>
      <c r="B95" t="s">
        <v>142</v>
      </c>
      <c r="C95" s="8">
        <v>46032</v>
      </c>
      <c r="D95" s="9">
        <v>16289</v>
      </c>
      <c r="E95">
        <f>MONTH(C95)</f>
        <v>1</v>
      </c>
      <c r="H95" s="11" t="s">
        <v>234</v>
      </c>
      <c r="I95" s="12">
        <v>10025</v>
      </c>
      <c r="J95" s="13">
        <v>0.74585045628135072</v>
      </c>
      <c r="K95" s="12">
        <v>8097</v>
      </c>
      <c r="L95" s="13">
        <v>0.74381871490573126</v>
      </c>
      <c r="M95" s="12">
        <v>20081</v>
      </c>
      <c r="N95" s="13">
        <v>0.74569979298481104</v>
      </c>
      <c r="O95" s="12">
        <v>9882</v>
      </c>
      <c r="P95" s="13">
        <v>0.74944562050680141</v>
      </c>
      <c r="Q95" s="12">
        <v>49497</v>
      </c>
      <c r="R95" s="13">
        <v>0.74305667052974811</v>
      </c>
      <c r="S95" s="12">
        <v>46977</v>
      </c>
      <c r="T95" s="13">
        <v>0.7395014173931046</v>
      </c>
      <c r="U95" s="12">
        <v>49061</v>
      </c>
      <c r="V95" s="13">
        <v>0.74911801241709719</v>
      </c>
      <c r="W95" s="12">
        <v>40442</v>
      </c>
      <c r="X95" s="13">
        <v>0.75513533231007779</v>
      </c>
      <c r="Y95" s="12">
        <v>234062</v>
      </c>
      <c r="Z95" s="13">
        <v>0.74645010068165407</v>
      </c>
    </row>
    <row r="96" spans="1:26">
      <c r="A96" t="s">
        <v>9</v>
      </c>
      <c r="B96" t="s">
        <v>143</v>
      </c>
      <c r="C96" s="8">
        <v>46032</v>
      </c>
      <c r="D96" s="9">
        <v>35669</v>
      </c>
      <c r="E96">
        <f>MONTH(C96)</f>
        <v>1</v>
      </c>
      <c r="H96" s="11" t="s">
        <v>198</v>
      </c>
      <c r="I96" s="12">
        <v>28977</v>
      </c>
      <c r="J96" s="13">
        <v>0.74902020712057937</v>
      </c>
      <c r="K96" s="12">
        <v>28677</v>
      </c>
      <c r="L96" s="13">
        <v>0.74694903635395105</v>
      </c>
      <c r="M96" s="12">
        <v>29855</v>
      </c>
      <c r="N96" s="13">
        <v>0.74883691215005044</v>
      </c>
      <c r="O96" s="12">
        <v>28303</v>
      </c>
      <c r="P96" s="13">
        <v>0.75256781785950277</v>
      </c>
      <c r="Q96" s="12">
        <v>29824</v>
      </c>
      <c r="R96" s="13">
        <v>0.74616604105319917</v>
      </c>
      <c r="S96" s="12">
        <v>29306</v>
      </c>
      <c r="T96" s="13">
        <v>0.7426846591989128</v>
      </c>
      <c r="U96" s="12">
        <v>29287</v>
      </c>
      <c r="V96" s="13">
        <v>0.75222006241595329</v>
      </c>
      <c r="W96" s="12">
        <v>28687</v>
      </c>
      <c r="X96" s="13">
        <v>0.75821486777867875</v>
      </c>
      <c r="Y96" s="12">
        <v>232916</v>
      </c>
      <c r="Z96" s="13">
        <v>0.74957904841466139</v>
      </c>
    </row>
    <row r="97" spans="1:26">
      <c r="A97" t="s">
        <v>9</v>
      </c>
      <c r="B97" t="s">
        <v>144</v>
      </c>
      <c r="C97" s="8">
        <v>46032</v>
      </c>
      <c r="D97" s="9">
        <v>22592</v>
      </c>
      <c r="E97">
        <f>MONTH(C97)</f>
        <v>1</v>
      </c>
      <c r="H97" s="11" t="s">
        <v>254</v>
      </c>
      <c r="I97" s="12">
        <v>30966</v>
      </c>
      <c r="J97" s="13">
        <v>0.75240753170516561</v>
      </c>
      <c r="K97" s="12">
        <v>29260</v>
      </c>
      <c r="L97" s="13">
        <v>0.75014299686498476</v>
      </c>
      <c r="M97" s="12">
        <v>28964</v>
      </c>
      <c r="N97" s="13">
        <v>0.75188040635544295</v>
      </c>
      <c r="O97" s="12">
        <v>27338</v>
      </c>
      <c r="P97" s="13">
        <v>0.75558356287692674</v>
      </c>
      <c r="Q97" s="12">
        <v>24481</v>
      </c>
      <c r="R97" s="13">
        <v>0.74871836467795116</v>
      </c>
      <c r="S97" s="12">
        <v>29211</v>
      </c>
      <c r="T97" s="13">
        <v>0.74585758202664298</v>
      </c>
      <c r="U97" s="12">
        <v>33652</v>
      </c>
      <c r="V97" s="13">
        <v>0.75578444888645224</v>
      </c>
      <c r="W97" s="12">
        <v>28631</v>
      </c>
      <c r="X97" s="13">
        <v>0.76128839167457296</v>
      </c>
      <c r="Y97" s="12">
        <v>232503</v>
      </c>
      <c r="Z97" s="13">
        <v>0.75270244798689956</v>
      </c>
    </row>
    <row r="98" spans="1:26">
      <c r="A98" t="s">
        <v>5</v>
      </c>
      <c r="B98" t="s">
        <v>123</v>
      </c>
      <c r="C98" s="8">
        <v>46032</v>
      </c>
      <c r="D98" s="9">
        <v>30810</v>
      </c>
      <c r="E98">
        <f>MONTH(C98)</f>
        <v>1</v>
      </c>
      <c r="H98" s="11" t="s">
        <v>160</v>
      </c>
      <c r="I98" s="12">
        <v>28178</v>
      </c>
      <c r="J98" s="13">
        <v>0.75548988112531901</v>
      </c>
      <c r="K98" s="12">
        <v>30131</v>
      </c>
      <c r="L98" s="13">
        <v>0.75343203391754643</v>
      </c>
      <c r="M98" s="12">
        <v>29783</v>
      </c>
      <c r="N98" s="13">
        <v>0.75500995986736152</v>
      </c>
      <c r="O98" s="12">
        <v>28272</v>
      </c>
      <c r="P98" s="13">
        <v>0.75870234051730323</v>
      </c>
      <c r="Q98" s="12">
        <v>28253</v>
      </c>
      <c r="R98" s="13">
        <v>0.75166394694052707</v>
      </c>
      <c r="S98" s="12">
        <v>30452</v>
      </c>
      <c r="T98" s="13">
        <v>0.74916530329431741</v>
      </c>
      <c r="U98" s="12">
        <v>29219</v>
      </c>
      <c r="V98" s="13">
        <v>0.75887929639273755</v>
      </c>
      <c r="W98" s="12">
        <v>28043</v>
      </c>
      <c r="X98" s="13">
        <v>0.76429879405704515</v>
      </c>
      <c r="Y98" s="12">
        <v>232331</v>
      </c>
      <c r="Z98" s="13">
        <v>0.75582353694496751</v>
      </c>
    </row>
    <row r="99" spans="1:26">
      <c r="A99" t="s">
        <v>5</v>
      </c>
      <c r="B99" t="s">
        <v>145</v>
      </c>
      <c r="C99" s="8">
        <v>46032</v>
      </c>
      <c r="D99" s="9">
        <v>55158</v>
      </c>
      <c r="E99">
        <f>MONTH(C99)</f>
        <v>1</v>
      </c>
      <c r="H99" s="11" t="s">
        <v>181</v>
      </c>
      <c r="I99" s="12">
        <v>28364</v>
      </c>
      <c r="J99" s="13">
        <v>0.75859257680823577</v>
      </c>
      <c r="K99" s="12">
        <v>27330</v>
      </c>
      <c r="L99" s="13">
        <v>0.75641531965803011</v>
      </c>
      <c r="M99" s="12">
        <v>28572</v>
      </c>
      <c r="N99" s="13">
        <v>0.75801226329356219</v>
      </c>
      <c r="O99" s="12">
        <v>27462</v>
      </c>
      <c r="P99" s="13">
        <v>0.76173176438402712</v>
      </c>
      <c r="Q99" s="12">
        <v>27127</v>
      </c>
      <c r="R99" s="13">
        <v>0.75449213545278748</v>
      </c>
      <c r="S99" s="12">
        <v>28599</v>
      </c>
      <c r="T99" s="13">
        <v>0.75227175017906145</v>
      </c>
      <c r="U99" s="12">
        <v>28958</v>
      </c>
      <c r="V99" s="13">
        <v>0.76194649903783174</v>
      </c>
      <c r="W99" s="12">
        <v>29083</v>
      </c>
      <c r="X99" s="13">
        <v>0.76742083993264465</v>
      </c>
      <c r="Y99" s="12">
        <v>225495</v>
      </c>
      <c r="Z99" s="13">
        <v>0.7588527924235714</v>
      </c>
    </row>
    <row r="100" spans="1:26">
      <c r="A100" t="s">
        <v>5</v>
      </c>
      <c r="B100" t="s">
        <v>101</v>
      </c>
      <c r="C100" s="8">
        <v>46032</v>
      </c>
      <c r="D100" s="9">
        <v>29935</v>
      </c>
      <c r="E100">
        <f>MONTH(C100)</f>
        <v>1</v>
      </c>
      <c r="H100" s="11" t="s">
        <v>126</v>
      </c>
      <c r="I100" s="12">
        <v>27572</v>
      </c>
      <c r="J100" s="13">
        <v>0.76160863679164381</v>
      </c>
      <c r="K100" s="12">
        <v>28021</v>
      </c>
      <c r="L100" s="13">
        <v>0.75947403351584541</v>
      </c>
      <c r="M100" s="12">
        <v>27217</v>
      </c>
      <c r="N100" s="13">
        <v>0.76087218532740308</v>
      </c>
      <c r="O100" s="12">
        <v>28992</v>
      </c>
      <c r="P100" s="13">
        <v>0.76492996760098353</v>
      </c>
      <c r="Q100" s="12">
        <v>26957</v>
      </c>
      <c r="R100" s="13">
        <v>0.75730260021944085</v>
      </c>
      <c r="S100" s="12">
        <v>28690</v>
      </c>
      <c r="T100" s="13">
        <v>0.75538808155859583</v>
      </c>
      <c r="U100" s="12">
        <v>28829</v>
      </c>
      <c r="V100" s="13">
        <v>0.76500003813084305</v>
      </c>
      <c r="W100" s="12">
        <v>28123</v>
      </c>
      <c r="X100" s="13">
        <v>0.77043983027612661</v>
      </c>
      <c r="Y100" s="12">
        <v>224401</v>
      </c>
      <c r="Z100" s="13">
        <v>0.7618673513213482</v>
      </c>
    </row>
    <row r="101" spans="1:26">
      <c r="A101" t="s">
        <v>5</v>
      </c>
      <c r="B101" t="s">
        <v>93</v>
      </c>
      <c r="C101" s="8">
        <v>46032</v>
      </c>
      <c r="D101" s="9">
        <v>48213</v>
      </c>
      <c r="E101">
        <f>MONTH(C101)</f>
        <v>1</v>
      </c>
      <c r="H101" s="11" t="s">
        <v>266</v>
      </c>
      <c r="I101" s="12">
        <v>51010</v>
      </c>
      <c r="J101" s="13">
        <v>0.76718854466026554</v>
      </c>
      <c r="K101" s="12">
        <v>20853</v>
      </c>
      <c r="L101" s="13">
        <v>0.76175030345899597</v>
      </c>
      <c r="M101" s="12">
        <v>24351</v>
      </c>
      <c r="N101" s="13">
        <v>0.76343095232766256</v>
      </c>
      <c r="O101" s="12">
        <v>14050</v>
      </c>
      <c r="P101" s="13">
        <v>0.76647986947730251</v>
      </c>
      <c r="Q101" s="12">
        <v>56793</v>
      </c>
      <c r="R101" s="13">
        <v>0.76322368659747042</v>
      </c>
      <c r="S101" s="12">
        <v>6795</v>
      </c>
      <c r="T101" s="13">
        <v>0.75612616004322242</v>
      </c>
      <c r="U101" s="12">
        <v>28515</v>
      </c>
      <c r="V101" s="13">
        <v>0.76802031865521836</v>
      </c>
      <c r="W101" s="12">
        <v>21050</v>
      </c>
      <c r="X101" s="13">
        <v>0.77269953751682974</v>
      </c>
      <c r="Y101" s="12">
        <v>223417</v>
      </c>
      <c r="Z101" s="13">
        <v>0.76486869135666269</v>
      </c>
    </row>
    <row r="102" spans="1:26">
      <c r="A102" t="s">
        <v>4</v>
      </c>
      <c r="B102" t="s">
        <v>146</v>
      </c>
      <c r="C102" s="8">
        <v>46033</v>
      </c>
      <c r="D102" s="9">
        <v>23190</v>
      </c>
      <c r="E102">
        <f>MONTH(C102)</f>
        <v>1</v>
      </c>
      <c r="H102" s="11" t="s">
        <v>185</v>
      </c>
      <c r="I102" s="12">
        <v>26852</v>
      </c>
      <c r="J102" s="13">
        <v>0.77012584491684721</v>
      </c>
      <c r="K102" s="12">
        <v>20580</v>
      </c>
      <c r="L102" s="13">
        <v>0.76399677329211535</v>
      </c>
      <c r="M102" s="12">
        <v>31402</v>
      </c>
      <c r="N102" s="13">
        <v>0.76673062796078428</v>
      </c>
      <c r="O102" s="12">
        <v>24970</v>
      </c>
      <c r="P102" s="13">
        <v>0.76923439259841875</v>
      </c>
      <c r="Q102" s="12">
        <v>35818</v>
      </c>
      <c r="R102" s="13">
        <v>0.76695797553956291</v>
      </c>
      <c r="S102" s="12">
        <v>21166</v>
      </c>
      <c r="T102" s="13">
        <v>0.75842522835898485</v>
      </c>
      <c r="U102" s="12">
        <v>24076</v>
      </c>
      <c r="V102" s="13">
        <v>0.77057042470132953</v>
      </c>
      <c r="W102" s="12">
        <v>36839</v>
      </c>
      <c r="X102" s="13">
        <v>0.77665418621232918</v>
      </c>
      <c r="Y102" s="12">
        <v>221703</v>
      </c>
      <c r="Z102" s="13">
        <v>0.76784700585309462</v>
      </c>
    </row>
    <row r="103" spans="1:26">
      <c r="A103" t="s">
        <v>8</v>
      </c>
      <c r="B103" t="s">
        <v>147</v>
      </c>
      <c r="C103" s="8">
        <v>46033</v>
      </c>
      <c r="D103" s="9">
        <v>15736</v>
      </c>
      <c r="E103">
        <f>MONTH(C103)</f>
        <v>1</v>
      </c>
      <c r="H103" s="11" t="s">
        <v>85</v>
      </c>
      <c r="I103" s="12">
        <v>7009</v>
      </c>
      <c r="J103" s="13">
        <v>0.77089254897979897</v>
      </c>
      <c r="K103" s="12">
        <v>47284</v>
      </c>
      <c r="L103" s="13">
        <v>0.76915819601267976</v>
      </c>
      <c r="M103" s="12">
        <v>13989</v>
      </c>
      <c r="N103" s="13">
        <v>0.76820057135393571</v>
      </c>
      <c r="O103" s="12">
        <v>16052</v>
      </c>
      <c r="P103" s="13">
        <v>0.77100514170295054</v>
      </c>
      <c r="Q103" s="12">
        <v>40433</v>
      </c>
      <c r="R103" s="13">
        <v>0.77117341204622525</v>
      </c>
      <c r="S103" s="12">
        <v>10056</v>
      </c>
      <c r="T103" s="13">
        <v>0.75951751934373901</v>
      </c>
      <c r="U103" s="12">
        <v>40430</v>
      </c>
      <c r="V103" s="13">
        <v>0.77485273021072798</v>
      </c>
      <c r="W103" s="12">
        <v>46274</v>
      </c>
      <c r="X103" s="13">
        <v>0.78162167755942169</v>
      </c>
      <c r="Y103" s="12">
        <v>221527</v>
      </c>
      <c r="Z103" s="13">
        <v>0.77082295600014306</v>
      </c>
    </row>
    <row r="104" spans="1:26">
      <c r="A104" t="s">
        <v>9</v>
      </c>
      <c r="B104" t="s">
        <v>148</v>
      </c>
      <c r="C104" s="8">
        <v>46033</v>
      </c>
      <c r="D104" s="9">
        <v>45620</v>
      </c>
      <c r="E104">
        <f>MONTH(C104)</f>
        <v>1</v>
      </c>
      <c r="H104" s="11" t="s">
        <v>197</v>
      </c>
      <c r="I104" s="12">
        <v>26597</v>
      </c>
      <c r="J104" s="13">
        <v>0.77380195516646311</v>
      </c>
      <c r="K104" s="12">
        <v>25290</v>
      </c>
      <c r="L104" s="13">
        <v>0.77191879961227106</v>
      </c>
      <c r="M104" s="12">
        <v>26575</v>
      </c>
      <c r="N104" s="13">
        <v>0.77099303297899802</v>
      </c>
      <c r="O104" s="12">
        <v>26962</v>
      </c>
      <c r="P104" s="13">
        <v>0.77397940891927164</v>
      </c>
      <c r="Q104" s="12">
        <v>27248</v>
      </c>
      <c r="R104" s="13">
        <v>0.77401421569506479</v>
      </c>
      <c r="S104" s="12">
        <v>27593</v>
      </c>
      <c r="T104" s="13">
        <v>0.7625146936816789</v>
      </c>
      <c r="U104" s="12">
        <v>27234</v>
      </c>
      <c r="V104" s="13">
        <v>0.77773732848534971</v>
      </c>
      <c r="W104" s="12">
        <v>26045</v>
      </c>
      <c r="X104" s="13">
        <v>0.78441759561567415</v>
      </c>
      <c r="Y104" s="12">
        <v>213544</v>
      </c>
      <c r="Z104" s="13">
        <v>0.77369166409532475</v>
      </c>
    </row>
    <row r="105" spans="1:26">
      <c r="A105" t="s">
        <v>5</v>
      </c>
      <c r="B105" t="s">
        <v>106</v>
      </c>
      <c r="C105" s="8">
        <v>46033</v>
      </c>
      <c r="D105" s="9">
        <v>39256</v>
      </c>
      <c r="E105">
        <f>MONTH(C105)</f>
        <v>1</v>
      </c>
      <c r="H105" s="11" t="s">
        <v>260</v>
      </c>
      <c r="I105" s="12">
        <v>28699</v>
      </c>
      <c r="J105" s="13">
        <v>0.77694129600005601</v>
      </c>
      <c r="K105" s="12">
        <v>5676</v>
      </c>
      <c r="L105" s="13">
        <v>0.77253837992193031</v>
      </c>
      <c r="M105" s="12">
        <v>31283</v>
      </c>
      <c r="N105" s="13">
        <v>0.77428020426843658</v>
      </c>
      <c r="O105" s="12">
        <v>29406</v>
      </c>
      <c r="P105" s="13">
        <v>0.77722328184276168</v>
      </c>
      <c r="Q105" s="12">
        <v>25560</v>
      </c>
      <c r="R105" s="13">
        <v>0.77667903297575847</v>
      </c>
      <c r="S105" s="12">
        <v>34507</v>
      </c>
      <c r="T105" s="13">
        <v>0.76626287238204815</v>
      </c>
      <c r="U105" s="12">
        <v>33587</v>
      </c>
      <c r="V105" s="13">
        <v>0.7812948302203031</v>
      </c>
      <c r="W105" s="12">
        <v>24075</v>
      </c>
      <c r="X105" s="13">
        <v>0.78700203513206035</v>
      </c>
      <c r="Y105" s="12">
        <v>212793</v>
      </c>
      <c r="Z105" s="13">
        <v>0.77655028340421661</v>
      </c>
    </row>
    <row r="106" spans="1:26">
      <c r="A106" t="s">
        <v>5</v>
      </c>
      <c r="B106" t="s">
        <v>93</v>
      </c>
      <c r="C106" s="8">
        <v>46033</v>
      </c>
      <c r="D106" s="9">
        <v>42770</v>
      </c>
      <c r="E106">
        <f>MONTH(C106)</f>
        <v>1</v>
      </c>
      <c r="H106" s="11" t="s">
        <v>76</v>
      </c>
      <c r="I106" s="12">
        <v>22347</v>
      </c>
      <c r="J106" s="13">
        <v>0.77938580102142618</v>
      </c>
      <c r="K106" s="12">
        <v>30055</v>
      </c>
      <c r="L106" s="13">
        <v>0.77581912097316463</v>
      </c>
      <c r="M106" s="12">
        <v>21814</v>
      </c>
      <c r="N106" s="13">
        <v>0.77657238706765053</v>
      </c>
      <c r="O106" s="12">
        <v>20468</v>
      </c>
      <c r="P106" s="13">
        <v>0.77948117448365106</v>
      </c>
      <c r="Q106" s="12">
        <v>33119</v>
      </c>
      <c r="R106" s="13">
        <v>0.78013193139200632</v>
      </c>
      <c r="S106" s="12">
        <v>31550</v>
      </c>
      <c r="T106" s="13">
        <v>0.76968985931213907</v>
      </c>
      <c r="U106" s="12">
        <v>26866</v>
      </c>
      <c r="V106" s="13">
        <v>0.78414045029983548</v>
      </c>
      <c r="W106" s="12">
        <v>19855</v>
      </c>
      <c r="X106" s="13">
        <v>0.78913345970517956</v>
      </c>
      <c r="Y106" s="12">
        <v>206074</v>
      </c>
      <c r="Z106" s="13">
        <v>0.77931864098863224</v>
      </c>
    </row>
    <row r="107" spans="1:26">
      <c r="A107" t="s">
        <v>27</v>
      </c>
      <c r="B107" t="s">
        <v>149</v>
      </c>
      <c r="C107" s="8">
        <v>46034</v>
      </c>
      <c r="D107" s="9">
        <v>12316</v>
      </c>
      <c r="E107">
        <f>MONTH(C107)</f>
        <v>1</v>
      </c>
      <c r="H107" s="11" t="s">
        <v>243</v>
      </c>
      <c r="I107" s="12">
        <v>35201</v>
      </c>
      <c r="J107" s="13">
        <v>0.78323638594366407</v>
      </c>
      <c r="K107" s="12">
        <v>11403</v>
      </c>
      <c r="L107" s="13">
        <v>0.77706384864600531</v>
      </c>
      <c r="M107" s="12">
        <v>42285</v>
      </c>
      <c r="N107" s="13">
        <v>0.78101563221593884</v>
      </c>
      <c r="O107" s="12">
        <v>41842</v>
      </c>
      <c r="P107" s="13">
        <v>0.78409690361595974</v>
      </c>
      <c r="Q107" s="12">
        <v>5200</v>
      </c>
      <c r="R107" s="13">
        <v>0.78067406949292995</v>
      </c>
      <c r="S107" s="12">
        <v>39873</v>
      </c>
      <c r="T107" s="13">
        <v>0.77402089734267854</v>
      </c>
      <c r="U107" s="12">
        <v>14029</v>
      </c>
      <c r="V107" s="13">
        <v>0.78562638806860496</v>
      </c>
      <c r="W107" s="12">
        <v>7468</v>
      </c>
      <c r="X107" s="13">
        <v>0.78993514586544422</v>
      </c>
      <c r="Y107" s="12">
        <v>197301</v>
      </c>
      <c r="Z107" s="13">
        <v>0.78196914381656202</v>
      </c>
    </row>
    <row r="108" spans="1:26">
      <c r="A108" t="s">
        <v>4</v>
      </c>
      <c r="B108" t="s">
        <v>150</v>
      </c>
      <c r="C108" s="8">
        <v>46034</v>
      </c>
      <c r="D108" s="9">
        <v>36121</v>
      </c>
      <c r="E108">
        <f>MONTH(C108)</f>
        <v>1</v>
      </c>
      <c r="H108" s="11" t="s">
        <v>151</v>
      </c>
      <c r="I108" s="12">
        <v>22573</v>
      </c>
      <c r="J108" s="13">
        <v>0.78570561276817685</v>
      </c>
      <c r="K108" s="12">
        <v>16491</v>
      </c>
      <c r="L108" s="13">
        <v>0.7788639717761302</v>
      </c>
      <c r="M108" s="12">
        <v>28947</v>
      </c>
      <c r="N108" s="13">
        <v>0.78405734008651951</v>
      </c>
      <c r="O108" s="12">
        <v>28098</v>
      </c>
      <c r="P108" s="13">
        <v>0.78719648674199594</v>
      </c>
      <c r="Q108" s="12">
        <v>24871</v>
      </c>
      <c r="R108" s="13">
        <v>0.78326705347525116</v>
      </c>
      <c r="S108" s="12">
        <v>26883</v>
      </c>
      <c r="T108" s="13">
        <v>0.77694095089708848</v>
      </c>
      <c r="U108" s="12">
        <v>24484</v>
      </c>
      <c r="V108" s="13">
        <v>0.78821970907014127</v>
      </c>
      <c r="W108" s="12">
        <v>21854</v>
      </c>
      <c r="X108" s="13">
        <v>0.79228116211429589</v>
      </c>
      <c r="Y108" s="12">
        <v>194201</v>
      </c>
      <c r="Z108" s="13">
        <v>0.78457800185421411</v>
      </c>
    </row>
    <row r="109" spans="1:26">
      <c r="A109" t="s">
        <v>4</v>
      </c>
      <c r="B109" t="s">
        <v>151</v>
      </c>
      <c r="C109" s="8">
        <v>46034</v>
      </c>
      <c r="D109" s="9">
        <v>22573</v>
      </c>
      <c r="E109">
        <f>MONTH(C109)</f>
        <v>1</v>
      </c>
      <c r="H109" s="11" t="s">
        <v>175</v>
      </c>
      <c r="I109" s="12">
        <v>20928</v>
      </c>
      <c r="J109" s="13">
        <v>0.78799489549459356</v>
      </c>
      <c r="K109" s="12">
        <v>17822</v>
      </c>
      <c r="L109" s="13">
        <v>0.7808093840873962</v>
      </c>
      <c r="M109" s="12">
        <v>29109</v>
      </c>
      <c r="N109" s="13">
        <v>0.78711607067707234</v>
      </c>
      <c r="O109" s="12">
        <v>28398</v>
      </c>
      <c r="P109" s="13">
        <v>0.7903291638582739</v>
      </c>
      <c r="Q109" s="12">
        <v>25871</v>
      </c>
      <c r="R109" s="13">
        <v>0.78596429478467322</v>
      </c>
      <c r="S109" s="12">
        <v>18303</v>
      </c>
      <c r="T109" s="13">
        <v>0.77892903779982881</v>
      </c>
      <c r="U109" s="12">
        <v>25788</v>
      </c>
      <c r="V109" s="13">
        <v>0.79095114845862424</v>
      </c>
      <c r="W109" s="12">
        <v>27559</v>
      </c>
      <c r="X109" s="13">
        <v>0.79523960733265875</v>
      </c>
      <c r="Y109" s="12">
        <v>193778</v>
      </c>
      <c r="Z109" s="13">
        <v>0.78718117739306381</v>
      </c>
    </row>
    <row r="110" spans="1:26">
      <c r="A110" t="s">
        <v>31</v>
      </c>
      <c r="B110" t="s">
        <v>152</v>
      </c>
      <c r="C110" s="8">
        <v>46034</v>
      </c>
      <c r="D110" s="9">
        <v>13424</v>
      </c>
      <c r="E110">
        <f>MONTH(C110)</f>
        <v>1</v>
      </c>
      <c r="H110" s="11" t="s">
        <v>50</v>
      </c>
      <c r="I110" s="12">
        <v>24544</v>
      </c>
      <c r="J110" s="13">
        <v>0.7906797270712933</v>
      </c>
      <c r="K110" s="12">
        <v>24336</v>
      </c>
      <c r="L110" s="13">
        <v>0.78346585103874666</v>
      </c>
      <c r="M110" s="12">
        <v>24068</v>
      </c>
      <c r="N110" s="13">
        <v>0.78964510045663971</v>
      </c>
      <c r="O110" s="12">
        <v>24363</v>
      </c>
      <c r="P110" s="13">
        <v>0.79301672680580115</v>
      </c>
      <c r="Q110" s="12">
        <v>23753</v>
      </c>
      <c r="R110" s="13">
        <v>0.78844071907529589</v>
      </c>
      <c r="S110" s="12">
        <v>23409</v>
      </c>
      <c r="T110" s="13">
        <v>0.78147174261905217</v>
      </c>
      <c r="U110" s="12">
        <v>23126</v>
      </c>
      <c r="V110" s="13">
        <v>0.79340063144676043</v>
      </c>
      <c r="W110" s="12">
        <v>24374</v>
      </c>
      <c r="X110" s="13">
        <v>0.79785614435331897</v>
      </c>
      <c r="Y110" s="12">
        <v>191973</v>
      </c>
      <c r="Z110" s="13">
        <v>0.78976010491692916</v>
      </c>
    </row>
    <row r="111" spans="1:26">
      <c r="A111" t="s">
        <v>31</v>
      </c>
      <c r="B111" t="s">
        <v>48</v>
      </c>
      <c r="C111" s="8">
        <v>46034</v>
      </c>
      <c r="D111" s="9">
        <v>11887</v>
      </c>
      <c r="E111">
        <f>MONTH(C111)</f>
        <v>1</v>
      </c>
      <c r="H111" s="11" t="s">
        <v>194</v>
      </c>
      <c r="I111" s="12">
        <v>23641</v>
      </c>
      <c r="J111" s="13">
        <v>0.79326578082393173</v>
      </c>
      <c r="K111" s="12">
        <v>24364</v>
      </c>
      <c r="L111" s="13">
        <v>0.78612537441163888</v>
      </c>
      <c r="M111" s="12">
        <v>24658</v>
      </c>
      <c r="N111" s="13">
        <v>0.79223612656203157</v>
      </c>
      <c r="O111" s="12">
        <v>23459</v>
      </c>
      <c r="P111" s="13">
        <v>0.79560456652940015</v>
      </c>
      <c r="Q111" s="12">
        <v>24295</v>
      </c>
      <c r="R111" s="13">
        <v>0.79097365083720717</v>
      </c>
      <c r="S111" s="12">
        <v>23649</v>
      </c>
      <c r="T111" s="13">
        <v>0.78404051643552519</v>
      </c>
      <c r="U111" s="12">
        <v>22818</v>
      </c>
      <c r="V111" s="13">
        <v>0.7958174913803111</v>
      </c>
      <c r="W111" s="12">
        <v>22622</v>
      </c>
      <c r="X111" s="13">
        <v>0.80028460502786469</v>
      </c>
      <c r="Y111" s="12">
        <v>189506</v>
      </c>
      <c r="Z111" s="13">
        <v>0.79230589124801554</v>
      </c>
    </row>
    <row r="112" spans="1:26">
      <c r="A112" t="s">
        <v>25</v>
      </c>
      <c r="B112" t="s">
        <v>153</v>
      </c>
      <c r="C112" s="8">
        <v>46034</v>
      </c>
      <c r="D112" s="9">
        <v>30073</v>
      </c>
      <c r="E112">
        <f>MONTH(C112)</f>
        <v>1</v>
      </c>
      <c r="H112" s="11" t="s">
        <v>89</v>
      </c>
      <c r="I112" s="12">
        <v>19433</v>
      </c>
      <c r="J112" s="13">
        <v>0.7953915277286745</v>
      </c>
      <c r="K112" s="12">
        <v>19651</v>
      </c>
      <c r="L112" s="13">
        <v>0.78827043654432249</v>
      </c>
      <c r="M112" s="12">
        <v>28199</v>
      </c>
      <c r="N112" s="13">
        <v>0.79519923570088891</v>
      </c>
      <c r="O112" s="12">
        <v>25972</v>
      </c>
      <c r="P112" s="13">
        <v>0.79846962357792362</v>
      </c>
      <c r="Q112" s="12">
        <v>19614</v>
      </c>
      <c r="R112" s="13">
        <v>0.79301855405096011</v>
      </c>
      <c r="S112" s="12">
        <v>25425</v>
      </c>
      <c r="T112" s="13">
        <v>0.78680220083164443</v>
      </c>
      <c r="U112" s="12">
        <v>25804</v>
      </c>
      <c r="V112" s="13">
        <v>0.79855062547292832</v>
      </c>
      <c r="W112" s="12">
        <v>22467</v>
      </c>
      <c r="X112" s="13">
        <v>0.80269642652795392</v>
      </c>
      <c r="Y112" s="12">
        <v>186565</v>
      </c>
      <c r="Z112" s="13">
        <v>0.79481216876355132</v>
      </c>
    </row>
    <row r="113" spans="1:26">
      <c r="A113" t="s">
        <v>29</v>
      </c>
      <c r="B113" t="s">
        <v>154</v>
      </c>
      <c r="C113" s="8">
        <v>46034</v>
      </c>
      <c r="D113" s="9">
        <v>10903</v>
      </c>
      <c r="E113">
        <f>MONTH(C113)</f>
        <v>1</v>
      </c>
      <c r="H113" s="11" t="s">
        <v>103</v>
      </c>
      <c r="I113" s="12">
        <v>26791</v>
      </c>
      <c r="J113" s="13">
        <v>0.79832215528617789</v>
      </c>
      <c r="K113" s="12">
        <v>29969</v>
      </c>
      <c r="L113" s="13">
        <v>0.79154179001510749</v>
      </c>
      <c r="M113" s="12">
        <v>29297</v>
      </c>
      <c r="N113" s="13">
        <v>0.79827772105289097</v>
      </c>
      <c r="O113" s="12">
        <v>30819</v>
      </c>
      <c r="P113" s="13">
        <v>0.80186936919545204</v>
      </c>
      <c r="Q113" s="12">
        <v>28910</v>
      </c>
      <c r="R113" s="13">
        <v>0.79603263337744112</v>
      </c>
      <c r="S113" s="12">
        <v>9907</v>
      </c>
      <c r="T113" s="13">
        <v>0.7878783073139396</v>
      </c>
      <c r="U113" s="12">
        <v>16415</v>
      </c>
      <c r="V113" s="13">
        <v>0.80028928599572768</v>
      </c>
      <c r="W113" s="12">
        <v>14245</v>
      </c>
      <c r="X113" s="13">
        <v>0.80422562033526113</v>
      </c>
      <c r="Y113" s="12">
        <v>186353</v>
      </c>
      <c r="Z113" s="13">
        <v>0.7973155983127842</v>
      </c>
    </row>
    <row r="114" spans="1:26">
      <c r="A114" t="s">
        <v>29</v>
      </c>
      <c r="B114" t="s">
        <v>155</v>
      </c>
      <c r="C114" s="8">
        <v>46034</v>
      </c>
      <c r="D114" s="9">
        <v>11842</v>
      </c>
      <c r="E114">
        <f>MONTH(C114)</f>
        <v>1</v>
      </c>
      <c r="H114" s="11" t="s">
        <v>240</v>
      </c>
      <c r="I114" s="12">
        <v>27143</v>
      </c>
      <c r="J114" s="13">
        <v>0.80129128759901846</v>
      </c>
      <c r="K114" s="12">
        <v>19102</v>
      </c>
      <c r="L114" s="13">
        <v>0.79362692445399208</v>
      </c>
      <c r="M114" s="12">
        <v>27320</v>
      </c>
      <c r="N114" s="13">
        <v>0.80114846617412161</v>
      </c>
      <c r="O114" s="12">
        <v>18959</v>
      </c>
      <c r="P114" s="13">
        <v>0.80396079906542572</v>
      </c>
      <c r="Q114" s="12">
        <v>26504</v>
      </c>
      <c r="R114" s="13">
        <v>0.79879586957491788</v>
      </c>
      <c r="S114" s="12">
        <v>18767</v>
      </c>
      <c r="T114" s="13">
        <v>0.78991679427802886</v>
      </c>
      <c r="U114" s="12">
        <v>26621</v>
      </c>
      <c r="V114" s="13">
        <v>0.80310895591820342</v>
      </c>
      <c r="W114" s="12">
        <v>21034</v>
      </c>
      <c r="X114" s="13">
        <v>0.80648360998376234</v>
      </c>
      <c r="Y114" s="12">
        <v>185450</v>
      </c>
      <c r="Z114" s="13">
        <v>0.79980689713762321</v>
      </c>
    </row>
    <row r="115" spans="1:26">
      <c r="A115" t="s">
        <v>7</v>
      </c>
      <c r="B115" t="s">
        <v>156</v>
      </c>
      <c r="C115" s="8">
        <v>46034</v>
      </c>
      <c r="D115" s="9">
        <v>5222</v>
      </c>
      <c r="E115">
        <f>MONTH(C115)</f>
        <v>1</v>
      </c>
      <c r="H115" s="11" t="s">
        <v>146</v>
      </c>
      <c r="I115" s="12">
        <v>23190</v>
      </c>
      <c r="J115" s="13">
        <v>0.80382800713388103</v>
      </c>
      <c r="K115" s="12">
        <v>23629</v>
      </c>
      <c r="L115" s="13">
        <v>0.79620621676141579</v>
      </c>
      <c r="M115" s="12">
        <v>22459</v>
      </c>
      <c r="N115" s="13">
        <v>0.80350842461766914</v>
      </c>
      <c r="O115" s="12">
        <v>22927</v>
      </c>
      <c r="P115" s="13">
        <v>0.80648995211299612</v>
      </c>
      <c r="Q115" s="12">
        <v>23774</v>
      </c>
      <c r="R115" s="13">
        <v>0.80127448326940964</v>
      </c>
      <c r="S115" s="12">
        <v>23534</v>
      </c>
      <c r="T115" s="13">
        <v>0.79247307669998646</v>
      </c>
      <c r="U115" s="12">
        <v>22996</v>
      </c>
      <c r="V115" s="13">
        <v>0.80554466943524827</v>
      </c>
      <c r="W115" s="12">
        <v>22833</v>
      </c>
      <c r="X115" s="13">
        <v>0.8089347214054714</v>
      </c>
      <c r="Y115" s="12">
        <v>185342</v>
      </c>
      <c r="Z115" s="13">
        <v>0.80229674511170435</v>
      </c>
    </row>
    <row r="116" spans="1:26">
      <c r="A116" t="s">
        <v>9</v>
      </c>
      <c r="B116" t="s">
        <v>82</v>
      </c>
      <c r="C116" s="8">
        <v>46034</v>
      </c>
      <c r="D116" s="9">
        <v>37694</v>
      </c>
      <c r="E116">
        <f>MONTH(C116)</f>
        <v>1</v>
      </c>
      <c r="H116" s="11" t="s">
        <v>274</v>
      </c>
      <c r="I116" s="12">
        <v>23141</v>
      </c>
      <c r="J116" s="13">
        <v>0.80635936663177898</v>
      </c>
      <c r="K116" s="12">
        <v>22804</v>
      </c>
      <c r="L116" s="13">
        <v>0.7986954537912726</v>
      </c>
      <c r="M116" s="12">
        <v>22240</v>
      </c>
      <c r="N116" s="13">
        <v>0.80584537086569885</v>
      </c>
      <c r="O116" s="12">
        <v>23285</v>
      </c>
      <c r="P116" s="13">
        <v>0.80905859732225494</v>
      </c>
      <c r="Q116" s="12">
        <v>23660</v>
      </c>
      <c r="R116" s="13">
        <v>0.80374121162861201</v>
      </c>
      <c r="S116" s="12">
        <v>23057</v>
      </c>
      <c r="T116" s="13">
        <v>0.79497754698991063</v>
      </c>
      <c r="U116" s="12">
        <v>23153</v>
      </c>
      <c r="V116" s="13">
        <v>0.80799701223661125</v>
      </c>
      <c r="W116" s="12">
        <v>23012</v>
      </c>
      <c r="X116" s="13">
        <v>0.81140504838993976</v>
      </c>
      <c r="Y116" s="12">
        <v>184352</v>
      </c>
      <c r="Z116" s="13">
        <v>0.80477329362050309</v>
      </c>
    </row>
    <row r="117" spans="1:26">
      <c r="A117" t="s">
        <v>9</v>
      </c>
      <c r="B117" t="s">
        <v>157</v>
      </c>
      <c r="C117" s="8">
        <v>46034</v>
      </c>
      <c r="D117" s="9">
        <v>37745</v>
      </c>
      <c r="E117">
        <f>MONTH(C117)</f>
        <v>1</v>
      </c>
      <c r="H117" s="11" t="s">
        <v>142</v>
      </c>
      <c r="I117" s="12">
        <v>16289</v>
      </c>
      <c r="J117" s="13">
        <v>0.80814119606271373</v>
      </c>
      <c r="K117" s="12">
        <v>35641</v>
      </c>
      <c r="L117" s="13">
        <v>0.8025859509400679</v>
      </c>
      <c r="M117" s="12">
        <v>39134</v>
      </c>
      <c r="N117" s="13">
        <v>0.80995751360267687</v>
      </c>
      <c r="O117" s="12">
        <v>6568</v>
      </c>
      <c r="P117" s="13">
        <v>0.80978313508194621</v>
      </c>
      <c r="Q117" s="12">
        <v>45238</v>
      </c>
      <c r="R117" s="13">
        <v>0.80845760459199312</v>
      </c>
      <c r="S117" s="12">
        <v>5495</v>
      </c>
      <c r="T117" s="13">
        <v>0.79557441840610243</v>
      </c>
      <c r="U117" s="12">
        <v>20746</v>
      </c>
      <c r="V117" s="13">
        <v>0.81019440798476805</v>
      </c>
      <c r="W117" s="12">
        <v>8990</v>
      </c>
      <c r="X117" s="13">
        <v>0.81237012050841584</v>
      </c>
      <c r="Y117" s="12">
        <v>178101</v>
      </c>
      <c r="Z117" s="13">
        <v>0.80716586742477736</v>
      </c>
    </row>
    <row r="118" spans="1:26">
      <c r="A118" t="s">
        <v>9</v>
      </c>
      <c r="B118" t="s">
        <v>157</v>
      </c>
      <c r="C118" s="8">
        <v>46034</v>
      </c>
      <c r="D118" s="9">
        <v>39005</v>
      </c>
      <c r="E118">
        <f>MONTH(C118)</f>
        <v>1</v>
      </c>
      <c r="H118" s="11" t="s">
        <v>105</v>
      </c>
      <c r="I118" s="12">
        <v>26113</v>
      </c>
      <c r="J118" s="13">
        <v>0.81099765821078906</v>
      </c>
      <c r="K118" s="12">
        <v>20683</v>
      </c>
      <c r="L118" s="13">
        <v>0.80484366403814411</v>
      </c>
      <c r="M118" s="12">
        <v>18749</v>
      </c>
      <c r="N118" s="13">
        <v>0.81192763074315832</v>
      </c>
      <c r="O118" s="12">
        <v>23043</v>
      </c>
      <c r="P118" s="13">
        <v>0.81232508447241014</v>
      </c>
      <c r="Q118" s="12">
        <v>26891</v>
      </c>
      <c r="R118" s="13">
        <v>0.81126118837505778</v>
      </c>
      <c r="S118" s="12">
        <v>24023</v>
      </c>
      <c r="T118" s="13">
        <v>0.79818381640995584</v>
      </c>
      <c r="U118" s="12">
        <v>19508</v>
      </c>
      <c r="V118" s="13">
        <v>0.81226067600053209</v>
      </c>
      <c r="W118" s="12">
        <v>19067</v>
      </c>
      <c r="X118" s="13">
        <v>0.81441695366558864</v>
      </c>
      <c r="Y118" s="12">
        <v>178077</v>
      </c>
      <c r="Z118" s="13">
        <v>0.80955811881777207</v>
      </c>
    </row>
    <row r="119" spans="1:26">
      <c r="A119" t="s">
        <v>9</v>
      </c>
      <c r="B119" t="s">
        <v>158</v>
      </c>
      <c r="C119" s="8">
        <v>46034</v>
      </c>
      <c r="D119" s="9">
        <v>30799</v>
      </c>
      <c r="E119">
        <f>MONTH(C119)</f>
        <v>1</v>
      </c>
      <c r="H119" s="11" t="s">
        <v>202</v>
      </c>
      <c r="I119" s="12">
        <v>22658</v>
      </c>
      <c r="J119" s="13">
        <v>0.81347618305860769</v>
      </c>
      <c r="K119" s="12">
        <v>21715</v>
      </c>
      <c r="L119" s="13">
        <v>0.80721402810161291</v>
      </c>
      <c r="M119" s="12">
        <v>22110</v>
      </c>
      <c r="N119" s="13">
        <v>0.8142509167838029</v>
      </c>
      <c r="O119" s="12">
        <v>22302</v>
      </c>
      <c r="P119" s="13">
        <v>0.814785291706977</v>
      </c>
      <c r="Q119" s="12">
        <v>21793</v>
      </c>
      <c r="R119" s="13">
        <v>0.81353326830456318</v>
      </c>
      <c r="S119" s="12">
        <v>21696</v>
      </c>
      <c r="T119" s="13">
        <v>0.800540453761311</v>
      </c>
      <c r="U119" s="12">
        <v>22298</v>
      </c>
      <c r="V119" s="13">
        <v>0.81462245804971756</v>
      </c>
      <c r="W119" s="12">
        <v>22106</v>
      </c>
      <c r="X119" s="13">
        <v>0.81679002199162121</v>
      </c>
      <c r="Y119" s="12">
        <v>176678</v>
      </c>
      <c r="Z119" s="13">
        <v>0.81193157631992863</v>
      </c>
    </row>
    <row r="120" spans="1:26">
      <c r="A120" t="s">
        <v>9</v>
      </c>
      <c r="B120" t="s">
        <v>158</v>
      </c>
      <c r="C120" s="8">
        <v>46034</v>
      </c>
      <c r="D120" s="9">
        <v>34201</v>
      </c>
      <c r="E120">
        <f>MONTH(C120)</f>
        <v>1</v>
      </c>
      <c r="H120" s="11" t="s">
        <v>233</v>
      </c>
      <c r="I120" s="12">
        <v>24947</v>
      </c>
      <c r="J120" s="13">
        <v>0.81620509820462828</v>
      </c>
      <c r="K120" s="12">
        <v>18158</v>
      </c>
      <c r="L120" s="13">
        <v>0.80919611747137876</v>
      </c>
      <c r="M120" s="12">
        <v>23681</v>
      </c>
      <c r="N120" s="13">
        <v>0.81673928117677008</v>
      </c>
      <c r="O120" s="12">
        <v>16970</v>
      </c>
      <c r="P120" s="13">
        <v>0.8166573084216483</v>
      </c>
      <c r="Q120" s="12">
        <v>23760</v>
      </c>
      <c r="R120" s="13">
        <v>0.81601042239647559</v>
      </c>
      <c r="S120" s="12">
        <v>22713</v>
      </c>
      <c r="T120" s="13">
        <v>0.8030075584885108</v>
      </c>
      <c r="U120" s="12">
        <v>24691</v>
      </c>
      <c r="V120" s="13">
        <v>0.81723770428599152</v>
      </c>
      <c r="W120" s="12">
        <v>20425</v>
      </c>
      <c r="X120" s="13">
        <v>0.81898263578693531</v>
      </c>
      <c r="Y120" s="12">
        <v>175345</v>
      </c>
      <c r="Z120" s="13">
        <v>0.81428712656226565</v>
      </c>
    </row>
    <row r="121" spans="1:26">
      <c r="A121" t="s">
        <v>5</v>
      </c>
      <c r="B121" t="s">
        <v>97</v>
      </c>
      <c r="C121" s="8">
        <v>46034</v>
      </c>
      <c r="D121" s="9">
        <v>44491</v>
      </c>
      <c r="E121">
        <f>MONTH(C121)</f>
        <v>1</v>
      </c>
      <c r="H121" s="11" t="s">
        <v>90</v>
      </c>
      <c r="I121" s="12">
        <v>7267</v>
      </c>
      <c r="J121" s="13">
        <v>0.81700002450302611</v>
      </c>
      <c r="K121" s="12">
        <v>35400</v>
      </c>
      <c r="L121" s="13">
        <v>0.81306030756333347</v>
      </c>
      <c r="M121" s="12">
        <v>28867</v>
      </c>
      <c r="N121" s="13">
        <v>0.81977258276588305</v>
      </c>
      <c r="O121" s="12">
        <v>10045</v>
      </c>
      <c r="P121" s="13">
        <v>0.81776540552824073</v>
      </c>
      <c r="Q121" s="12">
        <v>27470</v>
      </c>
      <c r="R121" s="13">
        <v>0.81887437117193163</v>
      </c>
      <c r="S121" s="12">
        <v>35964</v>
      </c>
      <c r="T121" s="13">
        <v>0.80691399772634897</v>
      </c>
      <c r="U121" s="12">
        <v>13475</v>
      </c>
      <c r="V121" s="13">
        <v>0.81866496292411028</v>
      </c>
      <c r="W121" s="12">
        <v>14744</v>
      </c>
      <c r="X121" s="13">
        <v>0.82056539700104103</v>
      </c>
      <c r="Y121" s="12">
        <v>173232</v>
      </c>
      <c r="Z121" s="13">
        <v>0.81661429117819739</v>
      </c>
    </row>
    <row r="122" spans="1:26">
      <c r="A122" t="s">
        <v>5</v>
      </c>
      <c r="B122" t="s">
        <v>159</v>
      </c>
      <c r="C122" s="8">
        <v>46034</v>
      </c>
      <c r="D122" s="9">
        <v>47254</v>
      </c>
      <c r="E122">
        <f>MONTH(C122)</f>
        <v>1</v>
      </c>
      <c r="H122" s="11" t="s">
        <v>47</v>
      </c>
      <c r="I122" s="12">
        <v>22141</v>
      </c>
      <c r="J122" s="13">
        <v>0.81942199549144323</v>
      </c>
      <c r="K122" s="12">
        <v>20664</v>
      </c>
      <c r="L122" s="13">
        <v>0.81531594666107776</v>
      </c>
      <c r="M122" s="12">
        <v>21213</v>
      </c>
      <c r="N122" s="13">
        <v>0.82200161337557065</v>
      </c>
      <c r="O122" s="12">
        <v>20992</v>
      </c>
      <c r="P122" s="13">
        <v>0.82008110233875231</v>
      </c>
      <c r="Q122" s="12">
        <v>22372</v>
      </c>
      <c r="R122" s="13">
        <v>0.82120681609382828</v>
      </c>
      <c r="S122" s="12">
        <v>21019</v>
      </c>
      <c r="T122" s="13">
        <v>0.80919709878129609</v>
      </c>
      <c r="U122" s="12">
        <v>21828</v>
      </c>
      <c r="V122" s="13">
        <v>0.82097696303935019</v>
      </c>
      <c r="W122" s="12">
        <v>22060</v>
      </c>
      <c r="X122" s="13">
        <v>0.82293352724949298</v>
      </c>
      <c r="Y122" s="12">
        <v>172289</v>
      </c>
      <c r="Z122" s="13">
        <v>0.81892878771760258</v>
      </c>
    </row>
    <row r="123" spans="1:26">
      <c r="A123" t="s">
        <v>4</v>
      </c>
      <c r="B123" t="s">
        <v>160</v>
      </c>
      <c r="C123" s="8">
        <v>46035</v>
      </c>
      <c r="D123" s="9">
        <v>28178</v>
      </c>
      <c r="E123">
        <f>MONTH(C123)</f>
        <v>1</v>
      </c>
      <c r="H123" s="11" t="s">
        <v>80</v>
      </c>
      <c r="I123" s="12">
        <v>27885</v>
      </c>
      <c r="J123" s="13">
        <v>0.82247229407831868</v>
      </c>
      <c r="K123" s="12">
        <v>6329</v>
      </c>
      <c r="L123" s="13">
        <v>0.81600680708740492</v>
      </c>
      <c r="M123" s="12">
        <v>14342</v>
      </c>
      <c r="N123" s="13">
        <v>0.82350864948569846</v>
      </c>
      <c r="O123" s="12">
        <v>36441</v>
      </c>
      <c r="P123" s="13">
        <v>0.82410102933340978</v>
      </c>
      <c r="Q123" s="12">
        <v>35262</v>
      </c>
      <c r="R123" s="13">
        <v>0.82488313796205281</v>
      </c>
      <c r="S123" s="12">
        <v>5200</v>
      </c>
      <c r="T123" s="13">
        <v>0.80976192705503536</v>
      </c>
      <c r="U123" s="12">
        <v>31725</v>
      </c>
      <c r="V123" s="13">
        <v>0.82433724358067262</v>
      </c>
      <c r="W123" s="12">
        <v>14878</v>
      </c>
      <c r="X123" s="13">
        <v>0.82453067329829011</v>
      </c>
      <c r="Y123" s="12">
        <v>172062</v>
      </c>
      <c r="Z123" s="13">
        <v>0.82124023478365527</v>
      </c>
    </row>
    <row r="124" spans="1:26">
      <c r="A124" t="s">
        <v>28</v>
      </c>
      <c r="B124" t="s">
        <v>161</v>
      </c>
      <c r="C124" s="8">
        <v>46035</v>
      </c>
      <c r="D124" s="9">
        <v>10607</v>
      </c>
      <c r="E124">
        <f>MONTH(C124)</f>
        <v>1</v>
      </c>
      <c r="H124" s="11" t="s">
        <v>241</v>
      </c>
      <c r="I124" s="12">
        <v>20438</v>
      </c>
      <c r="J124" s="13">
        <v>0.82470797643508975</v>
      </c>
      <c r="K124" s="12">
        <v>19118</v>
      </c>
      <c r="L124" s="13">
        <v>0.81809368805288485</v>
      </c>
      <c r="M124" s="12">
        <v>17476</v>
      </c>
      <c r="N124" s="13">
        <v>0.82534500167232461</v>
      </c>
      <c r="O124" s="12">
        <v>22066</v>
      </c>
      <c r="P124" s="13">
        <v>0.82653520262898661</v>
      </c>
      <c r="Q124" s="12">
        <v>19567</v>
      </c>
      <c r="R124" s="13">
        <v>0.82692314108143206</v>
      </c>
      <c r="S124" s="12">
        <v>28805</v>
      </c>
      <c r="T124" s="13">
        <v>0.81289074982908516</v>
      </c>
      <c r="U124" s="12">
        <v>23288</v>
      </c>
      <c r="V124" s="13">
        <v>0.82680388544816874</v>
      </c>
      <c r="W124" s="12">
        <v>19346</v>
      </c>
      <c r="X124" s="13">
        <v>0.82660745696948457</v>
      </c>
      <c r="Y124" s="12">
        <v>170104</v>
      </c>
      <c r="Z124" s="13">
        <v>0.82352537846281637</v>
      </c>
    </row>
    <row r="125" spans="1:26">
      <c r="A125" t="s">
        <v>30</v>
      </c>
      <c r="B125" t="s">
        <v>162</v>
      </c>
      <c r="C125" s="8">
        <v>46035</v>
      </c>
      <c r="D125" s="9">
        <v>11234</v>
      </c>
      <c r="E125">
        <f>MONTH(C125)</f>
        <v>1</v>
      </c>
      <c r="H125" s="11" t="s">
        <v>226</v>
      </c>
      <c r="I125" s="12">
        <v>21523</v>
      </c>
      <c r="J125" s="13">
        <v>0.82706234532464762</v>
      </c>
      <c r="K125" s="12">
        <v>22166</v>
      </c>
      <c r="L125" s="13">
        <v>0.82051328233475673</v>
      </c>
      <c r="M125" s="12">
        <v>20510</v>
      </c>
      <c r="N125" s="13">
        <v>0.82750016208361454</v>
      </c>
      <c r="O125" s="12">
        <v>20651</v>
      </c>
      <c r="P125" s="13">
        <v>0.8288132826039234</v>
      </c>
      <c r="Q125" s="12">
        <v>21149</v>
      </c>
      <c r="R125" s="13">
        <v>0.8291280792922846</v>
      </c>
      <c r="S125" s="12">
        <v>21805</v>
      </c>
      <c r="T125" s="13">
        <v>0.81525922685002439</v>
      </c>
      <c r="U125" s="12">
        <v>21171</v>
      </c>
      <c r="V125" s="13">
        <v>0.82904629677489328</v>
      </c>
      <c r="W125" s="12">
        <v>21044</v>
      </c>
      <c r="X125" s="13">
        <v>0.82886652011311202</v>
      </c>
      <c r="Y125" s="12">
        <v>170019</v>
      </c>
      <c r="Z125" s="13">
        <v>0.82580938026869566</v>
      </c>
    </row>
    <row r="126" spans="1:26">
      <c r="A126" t="s">
        <v>29</v>
      </c>
      <c r="B126" t="s">
        <v>163</v>
      </c>
      <c r="C126" s="8">
        <v>46035</v>
      </c>
      <c r="D126" s="9">
        <v>5200</v>
      </c>
      <c r="E126">
        <f>MONTH(C126)</f>
        <v>1</v>
      </c>
      <c r="H126" s="11" t="s">
        <v>238</v>
      </c>
      <c r="I126" s="12">
        <v>22811</v>
      </c>
      <c r="J126" s="13">
        <v>0.82955760661441691</v>
      </c>
      <c r="K126" s="12">
        <v>15605</v>
      </c>
      <c r="L126" s="13">
        <v>0.8222166915546707</v>
      </c>
      <c r="M126" s="12">
        <v>19038</v>
      </c>
      <c r="N126" s="13">
        <v>0.8295006469158982</v>
      </c>
      <c r="O126" s="12">
        <v>26044</v>
      </c>
      <c r="P126" s="13">
        <v>0.83168628221010488</v>
      </c>
      <c r="Q126" s="12">
        <v>17675</v>
      </c>
      <c r="R126" s="13">
        <v>0.83097082754878926</v>
      </c>
      <c r="S126" s="12">
        <v>26715</v>
      </c>
      <c r="T126" s="13">
        <v>0.81816103210635982</v>
      </c>
      <c r="U126" s="12">
        <v>21760</v>
      </c>
      <c r="V126" s="13">
        <v>0.83135109439756238</v>
      </c>
      <c r="W126" s="12">
        <v>20337</v>
      </c>
      <c r="X126" s="13">
        <v>0.83104968715131533</v>
      </c>
      <c r="Y126" s="12">
        <v>169985</v>
      </c>
      <c r="Z126" s="13">
        <v>0.82809292532526224</v>
      </c>
    </row>
    <row r="127" spans="1:26">
      <c r="A127" t="s">
        <v>9</v>
      </c>
      <c r="B127" t="s">
        <v>164</v>
      </c>
      <c r="C127" s="8">
        <v>46035</v>
      </c>
      <c r="D127" s="9">
        <v>29501</v>
      </c>
      <c r="E127">
        <f>MONTH(C127)</f>
        <v>1</v>
      </c>
      <c r="H127" s="11" t="s">
        <v>249</v>
      </c>
      <c r="I127" s="12">
        <v>23230</v>
      </c>
      <c r="J127" s="13">
        <v>0.83209870168965872</v>
      </c>
      <c r="K127" s="12">
        <v>24027</v>
      </c>
      <c r="L127" s="13">
        <v>0.82483942871115068</v>
      </c>
      <c r="M127" s="12">
        <v>16065</v>
      </c>
      <c r="N127" s="13">
        <v>0.83118873331313725</v>
      </c>
      <c r="O127" s="12">
        <v>21302</v>
      </c>
      <c r="P127" s="13">
        <v>0.83403617614386616</v>
      </c>
      <c r="Q127" s="12">
        <v>18180</v>
      </c>
      <c r="R127" s="13">
        <v>0.83286622575547986</v>
      </c>
      <c r="S127" s="12">
        <v>26481</v>
      </c>
      <c r="T127" s="13">
        <v>0.82103742009037683</v>
      </c>
      <c r="U127" s="12">
        <v>18128</v>
      </c>
      <c r="V127" s="13">
        <v>0.83327119418174178</v>
      </c>
      <c r="W127" s="12">
        <v>21762</v>
      </c>
      <c r="X127" s="13">
        <v>0.83338582724500576</v>
      </c>
      <c r="Y127" s="12">
        <v>169175</v>
      </c>
      <c r="Z127" s="13">
        <v>0.83036558900114343</v>
      </c>
    </row>
    <row r="128" spans="1:26">
      <c r="A128" t="s">
        <v>9</v>
      </c>
      <c r="B128" t="s">
        <v>165</v>
      </c>
      <c r="C128" s="8">
        <v>46035</v>
      </c>
      <c r="D128" s="9">
        <v>38303</v>
      </c>
      <c r="E128">
        <f>MONTH(C128)</f>
        <v>1</v>
      </c>
      <c r="H128" s="11" t="s">
        <v>75</v>
      </c>
      <c r="I128" s="12">
        <v>7030</v>
      </c>
      <c r="J128" s="13">
        <v>0.83286770291130952</v>
      </c>
      <c r="K128" s="12">
        <v>58642</v>
      </c>
      <c r="L128" s="13">
        <v>0.83124066699850674</v>
      </c>
      <c r="M128" s="12">
        <v>18565</v>
      </c>
      <c r="N128" s="13">
        <v>0.83313951600624292</v>
      </c>
      <c r="O128" s="12">
        <v>9987</v>
      </c>
      <c r="P128" s="13">
        <v>0.83513787507901194</v>
      </c>
      <c r="Q128" s="12">
        <v>18942</v>
      </c>
      <c r="R128" s="13">
        <v>0.83484106804542113</v>
      </c>
      <c r="S128" s="12">
        <v>23522</v>
      </c>
      <c r="T128" s="13">
        <v>0.82359239906247195</v>
      </c>
      <c r="U128" s="12">
        <v>5799</v>
      </c>
      <c r="V128" s="13">
        <v>0.83388541851142273</v>
      </c>
      <c r="W128" s="12">
        <v>26400</v>
      </c>
      <c r="X128" s="13">
        <v>0.83621985437823909</v>
      </c>
      <c r="Y128" s="12">
        <v>168887</v>
      </c>
      <c r="Z128" s="13">
        <v>0.83263438374166965</v>
      </c>
    </row>
    <row r="129" spans="1:26">
      <c r="A129" t="s">
        <v>5</v>
      </c>
      <c r="B129" t="s">
        <v>166</v>
      </c>
      <c r="C129" s="8">
        <v>46035</v>
      </c>
      <c r="D129" s="9">
        <v>45941</v>
      </c>
      <c r="E129">
        <f>MONTH(C129)</f>
        <v>1</v>
      </c>
      <c r="H129" s="11" t="s">
        <v>275</v>
      </c>
      <c r="I129" s="12">
        <v>20168</v>
      </c>
      <c r="J129" s="13">
        <v>0.83507385037052073</v>
      </c>
      <c r="K129" s="12">
        <v>20881</v>
      </c>
      <c r="L129" s="13">
        <v>0.83351999336319893</v>
      </c>
      <c r="M129" s="12">
        <v>20801</v>
      </c>
      <c r="N129" s="13">
        <v>0.83532525426637172</v>
      </c>
      <c r="O129" s="12">
        <v>21382</v>
      </c>
      <c r="P129" s="13">
        <v>0.83749659407683763</v>
      </c>
      <c r="Q129" s="12">
        <v>20110</v>
      </c>
      <c r="R129" s="13">
        <v>0.83693768289341608</v>
      </c>
      <c r="S129" s="12">
        <v>21500</v>
      </c>
      <c r="T129" s="13">
        <v>0.82592774673273994</v>
      </c>
      <c r="U129" s="12">
        <v>19928</v>
      </c>
      <c r="V129" s="13">
        <v>0.83599617251071268</v>
      </c>
      <c r="W129" s="12">
        <v>20524</v>
      </c>
      <c r="X129" s="13">
        <v>0.83842309577530283</v>
      </c>
      <c r="Y129" s="12">
        <v>165294</v>
      </c>
      <c r="Z129" s="13">
        <v>0.83485491082688379</v>
      </c>
    </row>
    <row r="130" spans="1:26">
      <c r="A130" t="s">
        <v>5</v>
      </c>
      <c r="B130" t="s">
        <v>114</v>
      </c>
      <c r="C130" s="8">
        <v>46035</v>
      </c>
      <c r="D130" s="9">
        <v>33727</v>
      </c>
      <c r="E130">
        <f>MONTH(C130)</f>
        <v>1</v>
      </c>
      <c r="H130" s="11" t="s">
        <v>193</v>
      </c>
      <c r="I130" s="12">
        <v>18274</v>
      </c>
      <c r="J130" s="13">
        <v>0.83707281599277505</v>
      </c>
      <c r="K130" s="12">
        <v>15538</v>
      </c>
      <c r="L130" s="13">
        <v>0.83521608900299527</v>
      </c>
      <c r="M130" s="12">
        <v>17812</v>
      </c>
      <c r="N130" s="13">
        <v>0.8371969128351624</v>
      </c>
      <c r="O130" s="12">
        <v>21297</v>
      </c>
      <c r="P130" s="13">
        <v>0.83984593644409489</v>
      </c>
      <c r="Q130" s="12">
        <v>23636</v>
      </c>
      <c r="R130" s="13">
        <v>0.83940190907676804</v>
      </c>
      <c r="S130" s="12">
        <v>25476</v>
      </c>
      <c r="T130" s="13">
        <v>0.82869497079077481</v>
      </c>
      <c r="U130" s="12">
        <v>20615</v>
      </c>
      <c r="V130" s="13">
        <v>0.8381796928687697</v>
      </c>
      <c r="W130" s="12">
        <v>18197</v>
      </c>
      <c r="X130" s="13">
        <v>0.84037653485649411</v>
      </c>
      <c r="Y130" s="12">
        <v>160845</v>
      </c>
      <c r="Z130" s="13">
        <v>0.8370156709211477</v>
      </c>
    </row>
    <row r="131" spans="1:26">
      <c r="A131" t="s">
        <v>5</v>
      </c>
      <c r="B131" t="s">
        <v>133</v>
      </c>
      <c r="C131" s="8">
        <v>46035</v>
      </c>
      <c r="D131" s="9">
        <v>35115</v>
      </c>
      <c r="E131">
        <f>MONTH(C131)</f>
        <v>1</v>
      </c>
      <c r="H131" s="11" t="s">
        <v>244</v>
      </c>
      <c r="I131" s="12">
        <v>13846</v>
      </c>
      <c r="J131" s="13">
        <v>0.83858740929504794</v>
      </c>
      <c r="K131" s="12">
        <v>19012</v>
      </c>
      <c r="L131" s="13">
        <v>0.8372913992297818</v>
      </c>
      <c r="M131" s="12">
        <v>16975</v>
      </c>
      <c r="N131" s="13">
        <v>0.83898062068409684</v>
      </c>
      <c r="O131" s="12">
        <v>19591</v>
      </c>
      <c r="P131" s="13">
        <v>0.84200708432017779</v>
      </c>
      <c r="Q131" s="12">
        <v>13043</v>
      </c>
      <c r="R131" s="13">
        <v>0.84076173739414228</v>
      </c>
      <c r="S131" s="12">
        <v>10276</v>
      </c>
      <c r="T131" s="13">
        <v>0.82981115835634101</v>
      </c>
      <c r="U131" s="12">
        <v>17880</v>
      </c>
      <c r="V131" s="13">
        <v>0.84007352473886732</v>
      </c>
      <c r="W131" s="12">
        <v>43754</v>
      </c>
      <c r="X131" s="13">
        <v>0.84507350543177795</v>
      </c>
      <c r="Y131" s="12">
        <v>154377</v>
      </c>
      <c r="Z131" s="13">
        <v>0.83908954117556767</v>
      </c>
    </row>
    <row r="132" spans="1:26">
      <c r="A132" t="s">
        <v>5</v>
      </c>
      <c r="B132" t="s">
        <v>167</v>
      </c>
      <c r="C132" s="8">
        <v>46035</v>
      </c>
      <c r="D132" s="9">
        <v>27078</v>
      </c>
      <c r="E132">
        <f>MONTH(C132)</f>
        <v>1</v>
      </c>
      <c r="H132" s="11" t="s">
        <v>130</v>
      </c>
      <c r="I132" s="12">
        <v>18320</v>
      </c>
      <c r="J132" s="13">
        <v>0.84059140678873845</v>
      </c>
      <c r="K132" s="12">
        <v>18924</v>
      </c>
      <c r="L132" s="13">
        <v>0.83935710356029447</v>
      </c>
      <c r="M132" s="12">
        <v>19618</v>
      </c>
      <c r="N132" s="13">
        <v>0.84104205105702157</v>
      </c>
      <c r="O132" s="12">
        <v>19425</v>
      </c>
      <c r="P132" s="13">
        <v>0.84414992018832691</v>
      </c>
      <c r="Q132" s="12">
        <v>19631</v>
      </c>
      <c r="R132" s="13">
        <v>0.84280841298245601</v>
      </c>
      <c r="S132" s="12">
        <v>18958</v>
      </c>
      <c r="T132" s="13">
        <v>0.83187039189740808</v>
      </c>
      <c r="U132" s="12">
        <v>19282</v>
      </c>
      <c r="V132" s="13">
        <v>0.84211585505873421</v>
      </c>
      <c r="W132" s="12">
        <v>18276</v>
      </c>
      <c r="X132" s="13">
        <v>0.84703542512446639</v>
      </c>
      <c r="Y132" s="12">
        <v>152434</v>
      </c>
      <c r="Z132" s="13">
        <v>0.84113730955014587</v>
      </c>
    </row>
    <row r="133" spans="1:26">
      <c r="A133" t="s">
        <v>5</v>
      </c>
      <c r="B133" t="s">
        <v>98</v>
      </c>
      <c r="C133" s="8">
        <v>46035</v>
      </c>
      <c r="D133" s="9">
        <v>45470</v>
      </c>
      <c r="E133">
        <f>MONTH(C133)</f>
        <v>1</v>
      </c>
      <c r="H133" s="11" t="s">
        <v>201</v>
      </c>
      <c r="I133" s="12">
        <v>18278</v>
      </c>
      <c r="J133" s="13">
        <v>0.84259080996503066</v>
      </c>
      <c r="K133" s="12">
        <v>19227</v>
      </c>
      <c r="L133" s="13">
        <v>0.84145588273820437</v>
      </c>
      <c r="M133" s="12">
        <v>19244</v>
      </c>
      <c r="N133" s="13">
        <v>0.84306418206408462</v>
      </c>
      <c r="O133" s="12">
        <v>18102</v>
      </c>
      <c r="P133" s="13">
        <v>0.84614681155951021</v>
      </c>
      <c r="Q133" s="12">
        <v>19500</v>
      </c>
      <c r="R133" s="13">
        <v>0.84484143086091945</v>
      </c>
      <c r="S133" s="12">
        <v>18128</v>
      </c>
      <c r="T133" s="13">
        <v>0.83383947015632054</v>
      </c>
      <c r="U133" s="12">
        <v>19035</v>
      </c>
      <c r="V133" s="13">
        <v>0.84413202338352766</v>
      </c>
      <c r="W133" s="12">
        <v>19007</v>
      </c>
      <c r="X133" s="13">
        <v>0.84907581731088178</v>
      </c>
      <c r="Y133" s="12">
        <v>150521</v>
      </c>
      <c r="Z133" s="13">
        <v>0.84315937905898164</v>
      </c>
    </row>
    <row r="134" spans="1:26">
      <c r="A134" t="s">
        <v>27</v>
      </c>
      <c r="B134" t="s">
        <v>168</v>
      </c>
      <c r="C134" s="8">
        <v>46036</v>
      </c>
      <c r="D134" s="9">
        <v>12119</v>
      </c>
      <c r="E134">
        <f>MONTH(C134)</f>
        <v>1</v>
      </c>
      <c r="H134" s="11" t="s">
        <v>156</v>
      </c>
      <c r="I134" s="12">
        <v>5222</v>
      </c>
      <c r="J134" s="13">
        <v>0.84316203676154</v>
      </c>
      <c r="K134" s="12">
        <v>15568</v>
      </c>
      <c r="L134" s="13">
        <v>0.84315525311536677</v>
      </c>
      <c r="M134" s="12">
        <v>14086</v>
      </c>
      <c r="N134" s="13">
        <v>0.84454431807351571</v>
      </c>
      <c r="O134" s="12">
        <v>15698</v>
      </c>
      <c r="P134" s="13">
        <v>0.84787850975555679</v>
      </c>
      <c r="Q134" s="12">
        <v>6152</v>
      </c>
      <c r="R134" s="13">
        <v>0.84548282193724289</v>
      </c>
      <c r="S134" s="12">
        <v>36762</v>
      </c>
      <c r="T134" s="13">
        <v>0.83783258881001332</v>
      </c>
      <c r="U134" s="12">
        <v>28706</v>
      </c>
      <c r="V134" s="13">
        <v>0.84717253443850637</v>
      </c>
      <c r="W134" s="12">
        <v>28266</v>
      </c>
      <c r="X134" s="13">
        <v>0.85211015863466877</v>
      </c>
      <c r="Y134" s="12">
        <v>150460</v>
      </c>
      <c r="Z134" s="13">
        <v>0.84518062910581526</v>
      </c>
    </row>
    <row r="135" spans="1:26">
      <c r="A135" t="s">
        <v>34</v>
      </c>
      <c r="B135" t="s">
        <v>169</v>
      </c>
      <c r="C135" s="8">
        <v>46036</v>
      </c>
      <c r="D135" s="9">
        <v>11063</v>
      </c>
      <c r="E135">
        <f>MONTH(C135)</f>
        <v>1</v>
      </c>
      <c r="H135" s="11" t="s">
        <v>170</v>
      </c>
      <c r="I135" s="12">
        <v>18334</v>
      </c>
      <c r="J135" s="13">
        <v>0.84516756569436324</v>
      </c>
      <c r="K135" s="12">
        <v>19276</v>
      </c>
      <c r="L135" s="13">
        <v>0.84525938103097464</v>
      </c>
      <c r="M135" s="12">
        <v>19420</v>
      </c>
      <c r="N135" s="13">
        <v>0.84658494289980779</v>
      </c>
      <c r="O135" s="12">
        <v>18191</v>
      </c>
      <c r="P135" s="13">
        <v>0.84988521901051173</v>
      </c>
      <c r="Q135" s="12">
        <v>18299</v>
      </c>
      <c r="R135" s="13">
        <v>0.84739062676585852</v>
      </c>
      <c r="S135" s="12">
        <v>18263</v>
      </c>
      <c r="T135" s="13">
        <v>0.83981633087987861</v>
      </c>
      <c r="U135" s="12">
        <v>19174</v>
      </c>
      <c r="V135" s="13">
        <v>0.84920342550546668</v>
      </c>
      <c r="W135" s="12">
        <v>18814</v>
      </c>
      <c r="X135" s="13">
        <v>0.85412983236514806</v>
      </c>
      <c r="Y135" s="12">
        <v>149771</v>
      </c>
      <c r="Z135" s="13">
        <v>0.8471926232621646</v>
      </c>
    </row>
    <row r="136" spans="1:26">
      <c r="A136" t="s">
        <v>7</v>
      </c>
      <c r="B136" t="s">
        <v>170</v>
      </c>
      <c r="C136" s="8">
        <v>46036</v>
      </c>
      <c r="D136" s="9">
        <v>18334</v>
      </c>
      <c r="E136">
        <f>MONTH(C136)</f>
        <v>1</v>
      </c>
      <c r="H136" s="11" t="s">
        <v>192</v>
      </c>
      <c r="I136" s="12">
        <v>18609</v>
      </c>
      <c r="J136" s="13">
        <v>0.84720317646729371</v>
      </c>
      <c r="K136" s="12">
        <v>18752</v>
      </c>
      <c r="L136" s="13">
        <v>0.84730631020058855</v>
      </c>
      <c r="M136" s="12">
        <v>17879</v>
      </c>
      <c r="N136" s="13">
        <v>0.84846364172932764</v>
      </c>
      <c r="O136" s="12">
        <v>18354</v>
      </c>
      <c r="P136" s="13">
        <v>0.85190990933349808</v>
      </c>
      <c r="Q136" s="12">
        <v>18707</v>
      </c>
      <c r="R136" s="13">
        <v>0.84934096858393116</v>
      </c>
      <c r="S136" s="12">
        <v>17907</v>
      </c>
      <c r="T136" s="13">
        <v>0.84176140393715726</v>
      </c>
      <c r="U136" s="12">
        <v>17314</v>
      </c>
      <c r="V136" s="13">
        <v>0.85103730721681281</v>
      </c>
      <c r="W136" s="12">
        <v>18659</v>
      </c>
      <c r="X136" s="13">
        <v>0.85613286692117085</v>
      </c>
      <c r="Y136" s="12">
        <v>146181</v>
      </c>
      <c r="Z136" s="13">
        <v>0.84915639006461163</v>
      </c>
    </row>
    <row r="137" spans="1:26">
      <c r="A137" t="s">
        <v>9</v>
      </c>
      <c r="B137" t="s">
        <v>171</v>
      </c>
      <c r="C137" s="8">
        <v>46036</v>
      </c>
      <c r="D137" s="9">
        <v>41353</v>
      </c>
      <c r="E137">
        <f>MONTH(C137)</f>
        <v>1</v>
      </c>
      <c r="H137" s="11" t="s">
        <v>217</v>
      </c>
      <c r="I137" s="12">
        <v>21865</v>
      </c>
      <c r="J137" s="13">
        <v>0.84959495622709402</v>
      </c>
      <c r="K137" s="12">
        <v>17117</v>
      </c>
      <c r="L137" s="13">
        <v>0.84917476618375209</v>
      </c>
      <c r="M137" s="12">
        <v>17662</v>
      </c>
      <c r="N137" s="13">
        <v>0.85031953852036624</v>
      </c>
      <c r="O137" s="12">
        <v>17742</v>
      </c>
      <c r="P137" s="13">
        <v>0.85386708791639132</v>
      </c>
      <c r="Q137" s="12">
        <v>16136</v>
      </c>
      <c r="R137" s="13">
        <v>0.8510232648140279</v>
      </c>
      <c r="S137" s="12">
        <v>15898</v>
      </c>
      <c r="T137" s="13">
        <v>0.84348825776329306</v>
      </c>
      <c r="U137" s="12">
        <v>16135</v>
      </c>
      <c r="V137" s="13">
        <v>0.85274631041726157</v>
      </c>
      <c r="W137" s="12">
        <v>21635</v>
      </c>
      <c r="X137" s="13">
        <v>0.85845537362675817</v>
      </c>
      <c r="Y137" s="12">
        <v>144190</v>
      </c>
      <c r="Z137" s="13">
        <v>0.85109341016465767</v>
      </c>
    </row>
    <row r="138" spans="1:26">
      <c r="A138" t="s">
        <v>5</v>
      </c>
      <c r="B138" t="s">
        <v>172</v>
      </c>
      <c r="C138" s="8">
        <v>46036</v>
      </c>
      <c r="D138" s="9">
        <v>38004</v>
      </c>
      <c r="E138">
        <f>MONTH(C138)</f>
        <v>1</v>
      </c>
      <c r="H138" s="11" t="s">
        <v>141</v>
      </c>
      <c r="I138" s="12">
        <v>17202</v>
      </c>
      <c r="J138" s="13">
        <v>0.85147665736718481</v>
      </c>
      <c r="K138" s="12">
        <v>17951</v>
      </c>
      <c r="L138" s="13">
        <v>0.85113425986569213</v>
      </c>
      <c r="M138" s="12">
        <v>17268</v>
      </c>
      <c r="N138" s="13">
        <v>0.85213403437517632</v>
      </c>
      <c r="O138" s="12">
        <v>17161</v>
      </c>
      <c r="P138" s="13">
        <v>0.85576017447151653</v>
      </c>
      <c r="Q138" s="12">
        <v>18735</v>
      </c>
      <c r="R138" s="13">
        <v>0.85297652583725936</v>
      </c>
      <c r="S138" s="12">
        <v>18402</v>
      </c>
      <c r="T138" s="13">
        <v>0.84548709812739875</v>
      </c>
      <c r="U138" s="12">
        <v>18563</v>
      </c>
      <c r="V138" s="13">
        <v>0.85471248497009267</v>
      </c>
      <c r="W138" s="12">
        <v>18689</v>
      </c>
      <c r="X138" s="13">
        <v>0.86046162866815967</v>
      </c>
      <c r="Y138" s="12">
        <v>143971</v>
      </c>
      <c r="Z138" s="13">
        <v>0.85302748826177777</v>
      </c>
    </row>
    <row r="139" spans="1:26">
      <c r="A139" t="s">
        <v>27</v>
      </c>
      <c r="B139" t="s">
        <v>173</v>
      </c>
      <c r="C139" s="8">
        <v>46037</v>
      </c>
      <c r="D139" s="9">
        <v>5200</v>
      </c>
      <c r="E139">
        <f>MONTH(C139)</f>
        <v>1</v>
      </c>
      <c r="H139" s="11" t="s">
        <v>77</v>
      </c>
      <c r="I139" s="12">
        <v>26765</v>
      </c>
      <c r="J139" s="13">
        <v>0.85440444082344169</v>
      </c>
      <c r="K139" s="12">
        <v>7928</v>
      </c>
      <c r="L139" s="13">
        <v>0.85199966379363046</v>
      </c>
      <c r="M139" s="12">
        <v>26683</v>
      </c>
      <c r="N139" s="13">
        <v>0.85493784448022014</v>
      </c>
      <c r="O139" s="12">
        <v>21491</v>
      </c>
      <c r="P139" s="13">
        <v>0.85813091761913007</v>
      </c>
      <c r="Q139" s="12">
        <v>23027</v>
      </c>
      <c r="R139" s="13">
        <v>0.85537725930840691</v>
      </c>
      <c r="S139" s="12">
        <v>25191</v>
      </c>
      <c r="T139" s="13">
        <v>0.84822336525119979</v>
      </c>
      <c r="U139" s="12">
        <v>5200</v>
      </c>
      <c r="V139" s="13">
        <v>0.85526326381374529</v>
      </c>
      <c r="W139" s="12">
        <v>5200</v>
      </c>
      <c r="X139" s="13">
        <v>0.86101984613379656</v>
      </c>
      <c r="Y139" s="12">
        <v>141485</v>
      </c>
      <c r="Z139" s="13">
        <v>0.85492816992385567</v>
      </c>
    </row>
    <row r="140" spans="1:26">
      <c r="A140" t="s">
        <v>28</v>
      </c>
      <c r="B140" t="s">
        <v>174</v>
      </c>
      <c r="C140" s="8">
        <v>46037</v>
      </c>
      <c r="D140" s="9">
        <v>22502</v>
      </c>
      <c r="E140">
        <f>MONTH(C140)</f>
        <v>1</v>
      </c>
      <c r="H140" s="11" t="s">
        <v>214</v>
      </c>
      <c r="I140" s="12">
        <v>14539</v>
      </c>
      <c r="J140" s="13">
        <v>0.85599484036278484</v>
      </c>
      <c r="K140" s="12">
        <v>17598</v>
      </c>
      <c r="L140" s="13">
        <v>0.85392062473256314</v>
      </c>
      <c r="M140" s="12">
        <v>18210</v>
      </c>
      <c r="N140" s="13">
        <v>0.85685132429931277</v>
      </c>
      <c r="O140" s="12">
        <v>19637</v>
      </c>
      <c r="P140" s="13">
        <v>0.86029713990705003</v>
      </c>
      <c r="Q140" s="12">
        <v>15988</v>
      </c>
      <c r="R140" s="13">
        <v>0.85704412545409281</v>
      </c>
      <c r="S140" s="12">
        <v>17243</v>
      </c>
      <c r="T140" s="13">
        <v>0.85009631408275477</v>
      </c>
      <c r="U140" s="12">
        <v>18713</v>
      </c>
      <c r="V140" s="13">
        <v>0.85724532621783556</v>
      </c>
      <c r="W140" s="12">
        <v>18656</v>
      </c>
      <c r="X140" s="13">
        <v>0.86302255864128152</v>
      </c>
      <c r="Y140" s="12">
        <v>140584</v>
      </c>
      <c r="Z140" s="13">
        <v>0.85681674772914651</v>
      </c>
    </row>
    <row r="141" spans="1:26">
      <c r="A141" t="s">
        <v>7</v>
      </c>
      <c r="B141" t="s">
        <v>175</v>
      </c>
      <c r="C141" s="8">
        <v>46037</v>
      </c>
      <c r="D141" s="9">
        <v>20928</v>
      </c>
      <c r="E141">
        <f>MONTH(C141)</f>
        <v>1</v>
      </c>
      <c r="H141" s="11" t="s">
        <v>131</v>
      </c>
      <c r="I141" s="12">
        <v>17727</v>
      </c>
      <c r="J141" s="13">
        <v>0.85793397047035314</v>
      </c>
      <c r="K141" s="12">
        <v>17280</v>
      </c>
      <c r="L141" s="13">
        <v>0.85580687345541551</v>
      </c>
      <c r="M141" s="12">
        <v>16794</v>
      </c>
      <c r="N141" s="13">
        <v>0.85861601293642653</v>
      </c>
      <c r="O141" s="12">
        <v>17049</v>
      </c>
      <c r="P141" s="13">
        <v>0.86217787137248503</v>
      </c>
      <c r="Q141" s="12">
        <v>16894</v>
      </c>
      <c r="R141" s="13">
        <v>0.85880544873813192</v>
      </c>
      <c r="S141" s="12">
        <v>17992</v>
      </c>
      <c r="T141" s="13">
        <v>0.8520506199098925</v>
      </c>
      <c r="U141" s="12">
        <v>18278</v>
      </c>
      <c r="V141" s="13">
        <v>0.85918131385327423</v>
      </c>
      <c r="W141" s="12">
        <v>18215</v>
      </c>
      <c r="X141" s="13">
        <v>0.86497793001369994</v>
      </c>
      <c r="Y141" s="12">
        <v>140229</v>
      </c>
      <c r="Z141" s="13">
        <v>0.85870055653426036</v>
      </c>
    </row>
    <row r="142" spans="1:26">
      <c r="A142" t="s">
        <v>9</v>
      </c>
      <c r="B142" t="s">
        <v>176</v>
      </c>
      <c r="C142" s="8">
        <v>46037</v>
      </c>
      <c r="D142" s="9">
        <v>41622</v>
      </c>
      <c r="E142">
        <f>MONTH(C142)</f>
        <v>1</v>
      </c>
      <c r="H142" s="11" t="s">
        <v>207</v>
      </c>
      <c r="I142" s="12">
        <v>9389</v>
      </c>
      <c r="J142" s="13">
        <v>0.85896101918586942</v>
      </c>
      <c r="K142" s="12">
        <v>33492</v>
      </c>
      <c r="L142" s="13">
        <v>0.85946279025088856</v>
      </c>
      <c r="M142" s="12">
        <v>13124</v>
      </c>
      <c r="N142" s="13">
        <v>0.85999506341120813</v>
      </c>
      <c r="O142" s="12">
        <v>5200</v>
      </c>
      <c r="P142" s="13">
        <v>0.86275150053667415</v>
      </c>
      <c r="Q142" s="12">
        <v>8371</v>
      </c>
      <c r="R142" s="13">
        <v>0.85967818682329178</v>
      </c>
      <c r="S142" s="12">
        <v>5994</v>
      </c>
      <c r="T142" s="13">
        <v>0.85270169311619881</v>
      </c>
      <c r="U142" s="12">
        <v>29784</v>
      </c>
      <c r="V142" s="13">
        <v>0.86233600559930246</v>
      </c>
      <c r="W142" s="12">
        <v>33951</v>
      </c>
      <c r="X142" s="13">
        <v>0.86862255331674565</v>
      </c>
      <c r="Y142" s="12">
        <v>139305</v>
      </c>
      <c r="Z142" s="13">
        <v>0.86057195250511076</v>
      </c>
    </row>
    <row r="143" spans="1:26">
      <c r="A143" t="s">
        <v>9</v>
      </c>
      <c r="B143" t="s">
        <v>177</v>
      </c>
      <c r="C143" s="8">
        <v>46037</v>
      </c>
      <c r="D143" s="9">
        <v>31846</v>
      </c>
      <c r="E143">
        <f>MONTH(C143)</f>
        <v>1</v>
      </c>
      <c r="H143" s="11" t="s">
        <v>231</v>
      </c>
      <c r="I143" s="12">
        <v>20762</v>
      </c>
      <c r="J143" s="13">
        <v>0.86123214341971233</v>
      </c>
      <c r="K143" s="12">
        <v>14776</v>
      </c>
      <c r="L143" s="13">
        <v>0.86107570756158691</v>
      </c>
      <c r="M143" s="12">
        <v>12501</v>
      </c>
      <c r="N143" s="13">
        <v>0.86130864996905965</v>
      </c>
      <c r="O143" s="12">
        <v>21434</v>
      </c>
      <c r="P143" s="13">
        <v>0.86511595582614187</v>
      </c>
      <c r="Q143" s="12">
        <v>21717</v>
      </c>
      <c r="R143" s="13">
        <v>0.86194234319593743</v>
      </c>
      <c r="S143" s="12">
        <v>19524</v>
      </c>
      <c r="T143" s="13">
        <v>0.85482240604244597</v>
      </c>
      <c r="U143" s="12">
        <v>14937</v>
      </c>
      <c r="V143" s="13">
        <v>0.86391811782769434</v>
      </c>
      <c r="W143" s="12">
        <v>13422</v>
      </c>
      <c r="X143" s="13">
        <v>0.87006339847516456</v>
      </c>
      <c r="Y143" s="12">
        <v>139073</v>
      </c>
      <c r="Z143" s="13">
        <v>0.86244023183359209</v>
      </c>
    </row>
    <row r="144" spans="1:26">
      <c r="A144" t="s">
        <v>9</v>
      </c>
      <c r="B144" t="s">
        <v>172</v>
      </c>
      <c r="C144" s="8">
        <v>46037</v>
      </c>
      <c r="D144" s="9">
        <v>41007</v>
      </c>
      <c r="E144">
        <f>MONTH(C144)</f>
        <v>1</v>
      </c>
      <c r="H144" s="11" t="s">
        <v>261</v>
      </c>
      <c r="I144" s="12">
        <v>17970</v>
      </c>
      <c r="J144" s="13">
        <v>0.8631978549350845</v>
      </c>
      <c r="K144" s="12">
        <v>16684</v>
      </c>
      <c r="L144" s="13">
        <v>0.86289689816876691</v>
      </c>
      <c r="M144" s="12">
        <v>17372</v>
      </c>
      <c r="N144" s="13">
        <v>0.86313407398977771</v>
      </c>
      <c r="O144" s="12">
        <v>17566</v>
      </c>
      <c r="P144" s="13">
        <v>0.86705371926809327</v>
      </c>
      <c r="Q144" s="12">
        <v>18039</v>
      </c>
      <c r="R144" s="13">
        <v>0.86382304111950681</v>
      </c>
      <c r="S144" s="12">
        <v>16962</v>
      </c>
      <c r="T144" s="13">
        <v>0.85666483242305469</v>
      </c>
      <c r="U144" s="12">
        <v>16985</v>
      </c>
      <c r="V144" s="13">
        <v>0.86571715218527856</v>
      </c>
      <c r="W144" s="12">
        <v>17188</v>
      </c>
      <c r="X144" s="13">
        <v>0.87190852189811974</v>
      </c>
      <c r="Y144" s="12">
        <v>138766</v>
      </c>
      <c r="Z144" s="13">
        <v>0.86430438698445544</v>
      </c>
    </row>
    <row r="145" spans="1:26">
      <c r="A145" t="s">
        <v>9</v>
      </c>
      <c r="B145" t="s">
        <v>178</v>
      </c>
      <c r="C145" s="8">
        <v>46037</v>
      </c>
      <c r="D145" s="9">
        <v>48337</v>
      </c>
      <c r="E145">
        <f>MONTH(C145)</f>
        <v>1</v>
      </c>
      <c r="H145" s="11" t="s">
        <v>88</v>
      </c>
      <c r="I145" s="12">
        <v>17035</v>
      </c>
      <c r="J145" s="13">
        <v>0.865061288194092</v>
      </c>
      <c r="K145" s="12">
        <v>17865</v>
      </c>
      <c r="L145" s="13">
        <v>0.86484700427025751</v>
      </c>
      <c r="M145" s="12">
        <v>17024</v>
      </c>
      <c r="N145" s="13">
        <v>0.86492293068611126</v>
      </c>
      <c r="O145" s="12">
        <v>17261</v>
      </c>
      <c r="P145" s="13">
        <v>0.86895783715329911</v>
      </c>
      <c r="Q145" s="12">
        <v>17157</v>
      </c>
      <c r="R145" s="13">
        <v>0.86561178408057338</v>
      </c>
      <c r="S145" s="12">
        <v>16715</v>
      </c>
      <c r="T145" s="13">
        <v>0.85848042946066072</v>
      </c>
      <c r="U145" s="12">
        <v>16703</v>
      </c>
      <c r="V145" s="13">
        <v>0.8674863173824956</v>
      </c>
      <c r="W145" s="12">
        <v>17820</v>
      </c>
      <c r="X145" s="13">
        <v>0.87382149021305233</v>
      </c>
      <c r="Y145" s="12">
        <v>137580</v>
      </c>
      <c r="Z145" s="13">
        <v>0.86615260964458685</v>
      </c>
    </row>
    <row r="146" spans="1:26">
      <c r="A146" t="s">
        <v>9</v>
      </c>
      <c r="B146" t="s">
        <v>109</v>
      </c>
      <c r="C146" s="8">
        <v>46037</v>
      </c>
      <c r="D146" s="9">
        <v>55392</v>
      </c>
      <c r="E146">
        <f>MONTH(C146)</f>
        <v>1</v>
      </c>
      <c r="H146" s="11" t="s">
        <v>174</v>
      </c>
      <c r="I146" s="12">
        <v>22502</v>
      </c>
      <c r="J146" s="13">
        <v>0.86752274843443167</v>
      </c>
      <c r="K146" s="12">
        <v>24732</v>
      </c>
      <c r="L146" s="13">
        <v>0.86754669775484006</v>
      </c>
      <c r="M146" s="12">
        <v>16582</v>
      </c>
      <c r="N146" s="13">
        <v>0.86666534267733553</v>
      </c>
      <c r="O146" s="12">
        <v>5200</v>
      </c>
      <c r="P146" s="13">
        <v>0.86953146631748834</v>
      </c>
      <c r="Q146" s="12">
        <v>18442</v>
      </c>
      <c r="R146" s="13">
        <v>0.86753449770696434</v>
      </c>
      <c r="S146" s="12">
        <v>18253</v>
      </c>
      <c r="T146" s="13">
        <v>0.86046308532230731</v>
      </c>
      <c r="U146" s="12">
        <v>23010</v>
      </c>
      <c r="V146" s="13">
        <v>0.86992351376565802</v>
      </c>
      <c r="W146" s="12">
        <v>8207</v>
      </c>
      <c r="X146" s="13">
        <v>0.87470250766314495</v>
      </c>
      <c r="Y146" s="12">
        <v>136928</v>
      </c>
      <c r="Z146" s="13">
        <v>0.86799207346495655</v>
      </c>
    </row>
    <row r="147" spans="1:26">
      <c r="A147" t="s">
        <v>9</v>
      </c>
      <c r="B147" t="s">
        <v>179</v>
      </c>
      <c r="C147" s="8">
        <v>46037</v>
      </c>
      <c r="D147" s="9">
        <v>40569</v>
      </c>
      <c r="E147">
        <f>MONTH(C147)</f>
        <v>1</v>
      </c>
      <c r="H147" s="11" t="s">
        <v>199</v>
      </c>
      <c r="I147" s="12">
        <v>18739</v>
      </c>
      <c r="J147" s="13">
        <v>0.86957257971359458</v>
      </c>
      <c r="K147" s="12">
        <v>19654</v>
      </c>
      <c r="L147" s="13">
        <v>0.86969208736126025</v>
      </c>
      <c r="M147" s="12">
        <v>20306</v>
      </c>
      <c r="N147" s="13">
        <v>0.86879906707088272</v>
      </c>
      <c r="O147" s="12">
        <v>22426</v>
      </c>
      <c r="P147" s="13">
        <v>0.87200535240135513</v>
      </c>
      <c r="Q147" s="12">
        <v>6170</v>
      </c>
      <c r="R147" s="13">
        <v>0.86817776541517566</v>
      </c>
      <c r="S147" s="12">
        <v>21734</v>
      </c>
      <c r="T147" s="13">
        <v>0.86282385026489361</v>
      </c>
      <c r="U147" s="12">
        <v>6532</v>
      </c>
      <c r="V147" s="13">
        <v>0.87061537672849232</v>
      </c>
      <c r="W147" s="12">
        <v>20736</v>
      </c>
      <c r="X147" s="13">
        <v>0.87692850715688464</v>
      </c>
      <c r="Y147" s="12">
        <v>136297</v>
      </c>
      <c r="Z147" s="13">
        <v>0.86982306055543435</v>
      </c>
    </row>
    <row r="148" spans="1:26">
      <c r="A148" t="s">
        <v>5</v>
      </c>
      <c r="B148" t="s">
        <v>133</v>
      </c>
      <c r="C148" s="8">
        <v>46037</v>
      </c>
      <c r="D148" s="9">
        <v>44660</v>
      </c>
      <c r="E148">
        <f>MONTH(C148)</f>
        <v>1</v>
      </c>
      <c r="H148" s="11" t="s">
        <v>153</v>
      </c>
      <c r="I148" s="12">
        <v>30073</v>
      </c>
      <c r="J148" s="13">
        <v>0.87286222035921435</v>
      </c>
      <c r="K148" s="12">
        <v>11603</v>
      </c>
      <c r="L148" s="13">
        <v>0.87095864661654132</v>
      </c>
      <c r="M148" s="12">
        <v>23001</v>
      </c>
      <c r="N148" s="13">
        <v>0.87121597807137419</v>
      </c>
      <c r="O148" s="12">
        <v>9281</v>
      </c>
      <c r="P148" s="13">
        <v>0.87302917014613202</v>
      </c>
      <c r="Q148" s="12">
        <v>6209</v>
      </c>
      <c r="R148" s="13">
        <v>0.86882509915914385</v>
      </c>
      <c r="S148" s="12">
        <v>27805</v>
      </c>
      <c r="T148" s="13">
        <v>0.8658440522170705</v>
      </c>
      <c r="U148" s="12">
        <v>5200</v>
      </c>
      <c r="V148" s="13">
        <v>0.87116615557214483</v>
      </c>
      <c r="W148" s="12">
        <v>21884</v>
      </c>
      <c r="X148" s="13">
        <v>0.8792777438911149</v>
      </c>
      <c r="Y148" s="12">
        <v>135056</v>
      </c>
      <c r="Z148" s="13">
        <v>0.87163737629599758</v>
      </c>
    </row>
    <row r="149" spans="1:26">
      <c r="A149" t="s">
        <v>5</v>
      </c>
      <c r="B149" t="s">
        <v>107</v>
      </c>
      <c r="C149" s="8">
        <v>46037</v>
      </c>
      <c r="D149" s="9">
        <v>48392</v>
      </c>
      <c r="E149">
        <f>MONTH(C149)</f>
        <v>1</v>
      </c>
      <c r="H149" s="11" t="s">
        <v>208</v>
      </c>
      <c r="I149" s="12">
        <v>19004</v>
      </c>
      <c r="J149" s="13">
        <v>0.87494103959338976</v>
      </c>
      <c r="K149" s="12">
        <v>17346</v>
      </c>
      <c r="L149" s="13">
        <v>0.87285209976159917</v>
      </c>
      <c r="M149" s="12">
        <v>17504</v>
      </c>
      <c r="N149" s="13">
        <v>0.87305527245651404</v>
      </c>
      <c r="O149" s="12">
        <v>14275</v>
      </c>
      <c r="P149" s="13">
        <v>0.87460389251513226</v>
      </c>
      <c r="Q149" s="12">
        <v>18148</v>
      </c>
      <c r="R149" s="13">
        <v>0.8707171611313671</v>
      </c>
      <c r="S149" s="12">
        <v>19077</v>
      </c>
      <c r="T149" s="13">
        <v>0.86791621163594035</v>
      </c>
      <c r="U149" s="12">
        <v>16765</v>
      </c>
      <c r="V149" s="13">
        <v>0.87294188774788228</v>
      </c>
      <c r="W149" s="12">
        <v>12109</v>
      </c>
      <c r="X149" s="13">
        <v>0.88057763913946052</v>
      </c>
      <c r="Y149" s="12">
        <v>134228</v>
      </c>
      <c r="Z149" s="13">
        <v>0.87344056884741583</v>
      </c>
    </row>
    <row r="150" spans="1:26">
      <c r="A150" t="s">
        <v>4</v>
      </c>
      <c r="B150" t="s">
        <v>180</v>
      </c>
      <c r="C150" s="8">
        <v>46038</v>
      </c>
      <c r="D150" s="9">
        <v>32072</v>
      </c>
      <c r="E150">
        <f>MONTH(C150)</f>
        <v>1</v>
      </c>
      <c r="H150" s="11" t="s">
        <v>120</v>
      </c>
      <c r="I150" s="12">
        <v>16659</v>
      </c>
      <c r="J150" s="13">
        <v>0.87676334277283241</v>
      </c>
      <c r="K150" s="12">
        <v>18140</v>
      </c>
      <c r="L150" s="13">
        <v>0.87483222428894536</v>
      </c>
      <c r="M150" s="12">
        <v>18671</v>
      </c>
      <c r="N150" s="13">
        <v>0.87501719347256446</v>
      </c>
      <c r="O150" s="12">
        <v>15226</v>
      </c>
      <c r="P150" s="13">
        <v>0.87628352283319855</v>
      </c>
      <c r="Q150" s="12">
        <v>19303</v>
      </c>
      <c r="R150" s="13">
        <v>0.87272964031639177</v>
      </c>
      <c r="S150" s="12">
        <v>13754</v>
      </c>
      <c r="T150" s="13">
        <v>0.86941018241998069</v>
      </c>
      <c r="U150" s="12">
        <v>15566</v>
      </c>
      <c r="V150" s="13">
        <v>0.87459062303255442</v>
      </c>
      <c r="W150" s="12">
        <v>16529</v>
      </c>
      <c r="X150" s="13">
        <v>0.88235201923359752</v>
      </c>
      <c r="Y150" s="12">
        <v>133848</v>
      </c>
      <c r="Z150" s="13">
        <v>0.87523865655357413</v>
      </c>
    </row>
    <row r="151" spans="1:26">
      <c r="A151" t="s">
        <v>5</v>
      </c>
      <c r="B151" t="s">
        <v>181</v>
      </c>
      <c r="C151" s="8">
        <v>46038</v>
      </c>
      <c r="D151" s="9">
        <v>28364</v>
      </c>
      <c r="E151">
        <f>MONTH(C151)</f>
        <v>1</v>
      </c>
      <c r="H151" s="11" t="s">
        <v>69</v>
      </c>
      <c r="I151" s="12">
        <v>38539</v>
      </c>
      <c r="J151" s="13">
        <v>0.88097906653971769</v>
      </c>
      <c r="K151" s="12">
        <v>6273</v>
      </c>
      <c r="L151" s="13">
        <v>0.87551697187218913</v>
      </c>
      <c r="M151" s="12">
        <v>37823</v>
      </c>
      <c r="N151" s="13">
        <v>0.87899157827199004</v>
      </c>
      <c r="O151" s="12">
        <v>11912</v>
      </c>
      <c r="P151" s="13">
        <v>0.87759757487239509</v>
      </c>
      <c r="Q151" s="12">
        <v>7763</v>
      </c>
      <c r="R151" s="13">
        <v>0.87353898994667445</v>
      </c>
      <c r="S151" s="12">
        <v>13336</v>
      </c>
      <c r="T151" s="13">
        <v>0.87085874970047805</v>
      </c>
      <c r="U151" s="12">
        <v>5200</v>
      </c>
      <c r="V151" s="13">
        <v>0.87514140187620693</v>
      </c>
      <c r="W151" s="12">
        <v>12275</v>
      </c>
      <c r="X151" s="13">
        <v>0.88366973450103836</v>
      </c>
      <c r="Y151" s="12">
        <v>133121</v>
      </c>
      <c r="Z151" s="13">
        <v>0.87702697788472217</v>
      </c>
    </row>
    <row r="152" spans="1:26">
      <c r="A152" t="s">
        <v>5</v>
      </c>
      <c r="B152" t="s">
        <v>133</v>
      </c>
      <c r="C152" s="8">
        <v>46038</v>
      </c>
      <c r="D152" s="9">
        <v>46156</v>
      </c>
      <c r="E152">
        <f>MONTH(C152)</f>
        <v>1</v>
      </c>
      <c r="H152" s="11" t="s">
        <v>259</v>
      </c>
      <c r="I152" s="12">
        <v>15943</v>
      </c>
      <c r="J152" s="13">
        <v>0.88272304754637199</v>
      </c>
      <c r="K152" s="12">
        <v>16002</v>
      </c>
      <c r="L152" s="13">
        <v>0.87726371678324733</v>
      </c>
      <c r="M152" s="12">
        <v>16288</v>
      </c>
      <c r="N152" s="13">
        <v>0.88070309717882045</v>
      </c>
      <c r="O152" s="12">
        <v>17019</v>
      </c>
      <c r="P152" s="13">
        <v>0.87947499693880593</v>
      </c>
      <c r="Q152" s="12">
        <v>16911</v>
      </c>
      <c r="R152" s="13">
        <v>0.87530208560527423</v>
      </c>
      <c r="S152" s="12">
        <v>16568</v>
      </c>
      <c r="T152" s="13">
        <v>0.87265837947726876</v>
      </c>
      <c r="U152" s="12">
        <v>16305</v>
      </c>
      <c r="V152" s="13">
        <v>0.8768684113080828</v>
      </c>
      <c r="W152" s="12">
        <v>17055</v>
      </c>
      <c r="X152" s="13">
        <v>0.88550058043881474</v>
      </c>
      <c r="Y152" s="12">
        <v>132091</v>
      </c>
      <c r="Z152" s="13">
        <v>0.87880146239845536</v>
      </c>
    </row>
    <row r="153" spans="1:26">
      <c r="A153" t="s">
        <v>5</v>
      </c>
      <c r="B153" t="s">
        <v>182</v>
      </c>
      <c r="C153" s="8">
        <v>46038</v>
      </c>
      <c r="D153" s="9">
        <v>26723</v>
      </c>
      <c r="E153">
        <f>MONTH(C153)</f>
        <v>1</v>
      </c>
      <c r="H153" s="11" t="s">
        <v>136</v>
      </c>
      <c r="I153" s="12">
        <v>6117</v>
      </c>
      <c r="J153" s="13">
        <v>0.88339217705886675</v>
      </c>
      <c r="K153" s="12">
        <v>6600</v>
      </c>
      <c r="L153" s="13">
        <v>0.87798415900378124</v>
      </c>
      <c r="M153" s="12">
        <v>21713</v>
      </c>
      <c r="N153" s="13">
        <v>0.88298466704768142</v>
      </c>
      <c r="O153" s="12">
        <v>19286</v>
      </c>
      <c r="P153" s="13">
        <v>0.88160249925814305</v>
      </c>
      <c r="Q153" s="12">
        <v>42018</v>
      </c>
      <c r="R153" s="13">
        <v>0.87968276997539108</v>
      </c>
      <c r="S153" s="12">
        <v>7441</v>
      </c>
      <c r="T153" s="13">
        <v>0.87346662701282529</v>
      </c>
      <c r="U153" s="12">
        <v>17768</v>
      </c>
      <c r="V153" s="13">
        <v>0.87875038024924013</v>
      </c>
      <c r="W153" s="12">
        <v>10059</v>
      </c>
      <c r="X153" s="13">
        <v>0.88658040918628422</v>
      </c>
      <c r="Y153" s="12">
        <v>131002</v>
      </c>
      <c r="Z153" s="13">
        <v>0.88056131750037814</v>
      </c>
    </row>
    <row r="154" spans="1:26">
      <c r="A154" t="s">
        <v>5</v>
      </c>
      <c r="B154" t="s">
        <v>183</v>
      </c>
      <c r="C154" s="8">
        <v>46038</v>
      </c>
      <c r="D154" s="9">
        <v>56083</v>
      </c>
      <c r="E154">
        <f>MONTH(C154)</f>
        <v>1</v>
      </c>
      <c r="H154" s="11" t="s">
        <v>79</v>
      </c>
      <c r="I154" s="12">
        <v>19022</v>
      </c>
      <c r="J154" s="13">
        <v>0.88547296528621289</v>
      </c>
      <c r="K154" s="12">
        <v>12386</v>
      </c>
      <c r="L154" s="13">
        <v>0.87933618890431653</v>
      </c>
      <c r="M154" s="12">
        <v>13871</v>
      </c>
      <c r="N154" s="13">
        <v>0.8844422111756679</v>
      </c>
      <c r="O154" s="12">
        <v>13567</v>
      </c>
      <c r="P154" s="13">
        <v>0.88309911981017286</v>
      </c>
      <c r="Q154" s="12">
        <v>20767</v>
      </c>
      <c r="R154" s="13">
        <v>0.88184788188729113</v>
      </c>
      <c r="S154" s="12">
        <v>15532</v>
      </c>
      <c r="T154" s="13">
        <v>0.87515372561815563</v>
      </c>
      <c r="U154" s="12">
        <v>13769</v>
      </c>
      <c r="V154" s="13">
        <v>0.88020877907582695</v>
      </c>
      <c r="W154" s="12">
        <v>21437</v>
      </c>
      <c r="X154" s="13">
        <v>0.88888166068837227</v>
      </c>
      <c r="Y154" s="12">
        <v>130351</v>
      </c>
      <c r="Z154" s="13">
        <v>0.88231242719634251</v>
      </c>
    </row>
    <row r="155" spans="1:26">
      <c r="A155" t="s">
        <v>5</v>
      </c>
      <c r="B155" t="s">
        <v>107</v>
      </c>
      <c r="C155" s="8">
        <v>46038</v>
      </c>
      <c r="D155" s="9">
        <v>50730</v>
      </c>
      <c r="E155">
        <f>MONTH(C155)</f>
        <v>1</v>
      </c>
      <c r="H155" s="11" t="s">
        <v>262</v>
      </c>
      <c r="I155" s="12">
        <v>16581</v>
      </c>
      <c r="J155" s="13">
        <v>0.887286736161916</v>
      </c>
      <c r="K155" s="12">
        <v>16778</v>
      </c>
      <c r="L155" s="13">
        <v>0.88116764035524353</v>
      </c>
      <c r="M155" s="12">
        <v>16635</v>
      </c>
      <c r="N155" s="13">
        <v>0.88619019232836449</v>
      </c>
      <c r="O155" s="12">
        <v>16117</v>
      </c>
      <c r="P155" s="13">
        <v>0.88487703927925698</v>
      </c>
      <c r="Q155" s="12">
        <v>15593</v>
      </c>
      <c r="R155" s="13">
        <v>0.88347356638877228</v>
      </c>
      <c r="S155" s="12">
        <v>15659</v>
      </c>
      <c r="T155" s="13">
        <v>0.87685461906786388</v>
      </c>
      <c r="U155" s="12">
        <v>15744</v>
      </c>
      <c r="V155" s="13">
        <v>0.88187636794399338</v>
      </c>
      <c r="W155" s="12">
        <v>16715</v>
      </c>
      <c r="X155" s="13">
        <v>0.89067600779185707</v>
      </c>
      <c r="Y155" s="12">
        <v>129822</v>
      </c>
      <c r="Z155" s="13">
        <v>0.88405643041035309</v>
      </c>
    </row>
    <row r="156" spans="1:26">
      <c r="A156" t="s">
        <v>27</v>
      </c>
      <c r="B156" t="s">
        <v>184</v>
      </c>
      <c r="C156" s="8">
        <v>46039</v>
      </c>
      <c r="D156" s="9">
        <v>7140</v>
      </c>
      <c r="E156">
        <f>MONTH(C156)</f>
        <v>1</v>
      </c>
      <c r="H156" s="11" t="s">
        <v>129</v>
      </c>
      <c r="I156" s="12">
        <v>11993</v>
      </c>
      <c r="J156" s="13">
        <v>0.8885986325561207</v>
      </c>
      <c r="K156" s="12">
        <v>16416</v>
      </c>
      <c r="L156" s="13">
        <v>0.88295957664195335</v>
      </c>
      <c r="M156" s="12">
        <v>18321</v>
      </c>
      <c r="N156" s="13">
        <v>0.88811533586299363</v>
      </c>
      <c r="O156" s="12">
        <v>14683</v>
      </c>
      <c r="P156" s="13">
        <v>0.8864967694749859</v>
      </c>
      <c r="Q156" s="12">
        <v>14784</v>
      </c>
      <c r="R156" s="13">
        <v>0.88501490671262883</v>
      </c>
      <c r="S156" s="12">
        <v>18469</v>
      </c>
      <c r="T156" s="13">
        <v>0.87886073702703504</v>
      </c>
      <c r="U156" s="12">
        <v>12823</v>
      </c>
      <c r="V156" s="13">
        <v>0.88323456738863892</v>
      </c>
      <c r="W156" s="12">
        <v>18761</v>
      </c>
      <c r="X156" s="13">
        <v>0.89268999199816734</v>
      </c>
      <c r="Y156" s="12">
        <v>126250</v>
      </c>
      <c r="Z156" s="13">
        <v>0.88575244807892117</v>
      </c>
    </row>
    <row r="157" spans="1:26">
      <c r="A157" t="s">
        <v>4</v>
      </c>
      <c r="B157" t="s">
        <v>185</v>
      </c>
      <c r="C157" s="8">
        <v>46039</v>
      </c>
      <c r="D157" s="9">
        <v>26852</v>
      </c>
      <c r="E157">
        <f>MONTH(C157)</f>
        <v>1</v>
      </c>
      <c r="H157" s="11" t="s">
        <v>273</v>
      </c>
      <c r="I157" s="12">
        <v>15580</v>
      </c>
      <c r="J157" s="13">
        <v>0.8903029055338334</v>
      </c>
      <c r="K157" s="12">
        <v>15373</v>
      </c>
      <c r="L157" s="13">
        <v>0.88463766122623633</v>
      </c>
      <c r="M157" s="12">
        <v>15883</v>
      </c>
      <c r="N157" s="13">
        <v>0.88978429796989356</v>
      </c>
      <c r="O157" s="12">
        <v>15766</v>
      </c>
      <c r="P157" s="13">
        <v>0.88823596897548729</v>
      </c>
      <c r="Q157" s="12">
        <v>15888</v>
      </c>
      <c r="R157" s="13">
        <v>0.88667134712560469</v>
      </c>
      <c r="S157" s="12">
        <v>15343</v>
      </c>
      <c r="T157" s="13">
        <v>0.88052730629703146</v>
      </c>
      <c r="U157" s="12">
        <v>15186</v>
      </c>
      <c r="V157" s="13">
        <v>0.88484305345012104</v>
      </c>
      <c r="W157" s="12">
        <v>16135</v>
      </c>
      <c r="X157" s="13">
        <v>0.89442207638433102</v>
      </c>
      <c r="Y157" s="12">
        <v>125154</v>
      </c>
      <c r="Z157" s="13">
        <v>0.88743374229905547</v>
      </c>
    </row>
    <row r="158" spans="1:26">
      <c r="A158" t="s">
        <v>25</v>
      </c>
      <c r="B158" t="s">
        <v>186</v>
      </c>
      <c r="C158" s="8">
        <v>46039</v>
      </c>
      <c r="D158" s="9">
        <v>13261</v>
      </c>
      <c r="E158">
        <f>MONTH(C158)</f>
        <v>1</v>
      </c>
      <c r="H158" s="11" t="s">
        <v>218</v>
      </c>
      <c r="I158" s="12">
        <v>13217</v>
      </c>
      <c r="J158" s="13">
        <v>0.89174869346364272</v>
      </c>
      <c r="K158" s="12">
        <v>11859</v>
      </c>
      <c r="L158" s="13">
        <v>0.88593216490704108</v>
      </c>
      <c r="M158" s="12">
        <v>14223</v>
      </c>
      <c r="N158" s="13">
        <v>0.89127882973633799</v>
      </c>
      <c r="O158" s="12">
        <v>18071</v>
      </c>
      <c r="P158" s="13">
        <v>0.89022944063434561</v>
      </c>
      <c r="Q158" s="12">
        <v>19511</v>
      </c>
      <c r="R158" s="13">
        <v>0.88870551183466617</v>
      </c>
      <c r="S158" s="12">
        <v>14423</v>
      </c>
      <c r="T158" s="13">
        <v>0.88209394441090472</v>
      </c>
      <c r="U158" s="12">
        <v>16076</v>
      </c>
      <c r="V158" s="13">
        <v>0.88654580742907452</v>
      </c>
      <c r="W158" s="12">
        <v>17386</v>
      </c>
      <c r="X158" s="13">
        <v>0.89628845501078536</v>
      </c>
      <c r="Y158" s="12">
        <v>124766</v>
      </c>
      <c r="Z158" s="13">
        <v>0.88910982420350337</v>
      </c>
    </row>
    <row r="159" spans="1:26">
      <c r="A159" t="s">
        <v>9</v>
      </c>
      <c r="B159" t="s">
        <v>187</v>
      </c>
      <c r="C159" s="8">
        <v>46039</v>
      </c>
      <c r="D159" s="9">
        <v>45230</v>
      </c>
      <c r="E159">
        <f>MONTH(C159)</f>
        <v>1</v>
      </c>
      <c r="H159" s="11" t="s">
        <v>267</v>
      </c>
      <c r="I159" s="12">
        <v>15868</v>
      </c>
      <c r="J159" s="13">
        <v>0.893484470332086</v>
      </c>
      <c r="K159" s="12">
        <v>14844</v>
      </c>
      <c r="L159" s="13">
        <v>0.88755250495576921</v>
      </c>
      <c r="M159" s="12">
        <v>15959</v>
      </c>
      <c r="N159" s="13">
        <v>0.89295577781063229</v>
      </c>
      <c r="O159" s="12">
        <v>15364</v>
      </c>
      <c r="P159" s="13">
        <v>0.89192429418792307</v>
      </c>
      <c r="Q159" s="12">
        <v>15600</v>
      </c>
      <c r="R159" s="13">
        <v>0.89033192613743706</v>
      </c>
      <c r="S159" s="12">
        <v>15359</v>
      </c>
      <c r="T159" s="13">
        <v>0.88376225161405109</v>
      </c>
      <c r="U159" s="12">
        <v>15873</v>
      </c>
      <c r="V159" s="13">
        <v>0.88822705984932382</v>
      </c>
      <c r="W159" s="12">
        <v>15715</v>
      </c>
      <c r="X159" s="13">
        <v>0.89797545260164768</v>
      </c>
      <c r="Y159" s="12">
        <v>124582</v>
      </c>
      <c r="Z159" s="13">
        <v>0.89078343428814133</v>
      </c>
    </row>
    <row r="160" spans="1:26">
      <c r="A160" t="s">
        <v>5</v>
      </c>
      <c r="B160" t="s">
        <v>188</v>
      </c>
      <c r="C160" s="8">
        <v>46039</v>
      </c>
      <c r="D160" s="9">
        <v>47151</v>
      </c>
      <c r="E160">
        <f>MONTH(C160)</f>
        <v>1</v>
      </c>
      <c r="H160" s="11" t="s">
        <v>147</v>
      </c>
      <c r="I160" s="12">
        <v>15736</v>
      </c>
      <c r="J160" s="13">
        <v>0.89520580791727777</v>
      </c>
      <c r="K160" s="12">
        <v>16035</v>
      </c>
      <c r="L160" s="13">
        <v>0.88930285207793003</v>
      </c>
      <c r="M160" s="12">
        <v>15252</v>
      </c>
      <c r="N160" s="13">
        <v>0.8945584353724555</v>
      </c>
      <c r="O160" s="12">
        <v>15267</v>
      </c>
      <c r="P160" s="13">
        <v>0.8936084473513225</v>
      </c>
      <c r="Q160" s="12">
        <v>14952</v>
      </c>
      <c r="R160" s="13">
        <v>0.89189078169224656</v>
      </c>
      <c r="S160" s="12">
        <v>15970</v>
      </c>
      <c r="T160" s="13">
        <v>0.88549692613936182</v>
      </c>
      <c r="U160" s="12">
        <v>14802</v>
      </c>
      <c r="V160" s="13">
        <v>0.88979487301158244</v>
      </c>
      <c r="W160" s="12">
        <v>15762</v>
      </c>
      <c r="X160" s="13">
        <v>0.89966749561960313</v>
      </c>
      <c r="Y160" s="12">
        <v>123776</v>
      </c>
      <c r="Z160" s="13">
        <v>0.89244621672730706</v>
      </c>
    </row>
    <row r="161" spans="1:26">
      <c r="A161" t="s">
        <v>5</v>
      </c>
      <c r="B161" t="s">
        <v>72</v>
      </c>
      <c r="C161" s="8">
        <v>46039</v>
      </c>
      <c r="D161" s="9">
        <v>51958</v>
      </c>
      <c r="E161">
        <f>MONTH(C161)</f>
        <v>1</v>
      </c>
      <c r="H161" s="11" t="s">
        <v>200</v>
      </c>
      <c r="I161" s="12">
        <v>17497</v>
      </c>
      <c r="J161" s="13">
        <v>0.89711977866766546</v>
      </c>
      <c r="K161" s="12">
        <v>16643</v>
      </c>
      <c r="L161" s="13">
        <v>0.89111956721070973</v>
      </c>
      <c r="M161" s="12">
        <v>14375</v>
      </c>
      <c r="N161" s="13">
        <v>0.89606893907368868</v>
      </c>
      <c r="O161" s="12">
        <v>16236</v>
      </c>
      <c r="P161" s="13">
        <v>0.89539949410320252</v>
      </c>
      <c r="Q161" s="12">
        <v>13874</v>
      </c>
      <c r="R161" s="13">
        <v>0.8933372478484416</v>
      </c>
      <c r="S161" s="12">
        <v>16036</v>
      </c>
      <c r="T161" s="13">
        <v>0.88723876963891612</v>
      </c>
      <c r="U161" s="12">
        <v>12380</v>
      </c>
      <c r="V161" s="13">
        <v>0.89110615033550911</v>
      </c>
      <c r="W161" s="12">
        <v>16183</v>
      </c>
      <c r="X161" s="13">
        <v>0.90140473278237265</v>
      </c>
      <c r="Y161" s="12">
        <v>123224</v>
      </c>
      <c r="Z161" s="13">
        <v>0.89410158370704274</v>
      </c>
    </row>
    <row r="162" spans="1:26">
      <c r="A162" t="s">
        <v>5</v>
      </c>
      <c r="B162" t="s">
        <v>92</v>
      </c>
      <c r="C162" s="8">
        <v>46039</v>
      </c>
      <c r="D162" s="9">
        <v>52124</v>
      </c>
      <c r="E162">
        <f>MONTH(C162)</f>
        <v>1</v>
      </c>
      <c r="H162" s="11" t="s">
        <v>52</v>
      </c>
      <c r="I162" s="12">
        <v>15664</v>
      </c>
      <c r="J162" s="13">
        <v>0.89883324028017464</v>
      </c>
      <c r="K162" s="12">
        <v>15441</v>
      </c>
      <c r="L162" s="13">
        <v>0.89280507453302249</v>
      </c>
      <c r="M162" s="12">
        <v>14982</v>
      </c>
      <c r="N162" s="13">
        <v>0.8976432254355583</v>
      </c>
      <c r="O162" s="12">
        <v>14822</v>
      </c>
      <c r="P162" s="13">
        <v>0.89703455784774333</v>
      </c>
      <c r="Q162" s="12">
        <v>15760</v>
      </c>
      <c r="R162" s="13">
        <v>0.89498034332354848</v>
      </c>
      <c r="S162" s="12">
        <v>15648</v>
      </c>
      <c r="T162" s="13">
        <v>0.88893846825958378</v>
      </c>
      <c r="U162" s="12">
        <v>15708</v>
      </c>
      <c r="V162" s="13">
        <v>0.89276992611937322</v>
      </c>
      <c r="W162" s="12">
        <v>15096</v>
      </c>
      <c r="X162" s="13">
        <v>0.90302528102492163</v>
      </c>
      <c r="Y162" s="12">
        <v>123121</v>
      </c>
      <c r="Z162" s="13">
        <v>0.89575556700503689</v>
      </c>
    </row>
    <row r="163" spans="1:26">
      <c r="A163" t="s">
        <v>5</v>
      </c>
      <c r="B163" t="s">
        <v>189</v>
      </c>
      <c r="C163" s="8">
        <v>46039</v>
      </c>
      <c r="D163" s="9">
        <v>45844</v>
      </c>
      <c r="E163">
        <f>MONTH(C163)</f>
        <v>1</v>
      </c>
      <c r="H163" s="11" t="s">
        <v>246</v>
      </c>
      <c r="I163" s="12">
        <v>14912</v>
      </c>
      <c r="J163" s="13">
        <v>0.90046444173355411</v>
      </c>
      <c r="K163" s="12">
        <v>15947</v>
      </c>
      <c r="L163" s="13">
        <v>0.89454581575890946</v>
      </c>
      <c r="M163" s="12">
        <v>15926</v>
      </c>
      <c r="N163" s="13">
        <v>0.89931670591874724</v>
      </c>
      <c r="O163" s="12">
        <v>15440</v>
      </c>
      <c r="P163" s="13">
        <v>0.89873779521218211</v>
      </c>
      <c r="Q163" s="12">
        <v>14716</v>
      </c>
      <c r="R163" s="13">
        <v>0.89651459414916224</v>
      </c>
      <c r="S163" s="12">
        <v>15940</v>
      </c>
      <c r="T163" s="13">
        <v>0.89066988416023829</v>
      </c>
      <c r="U163" s="12">
        <v>14769</v>
      </c>
      <c r="V163" s="13">
        <v>0.89433424395435479</v>
      </c>
      <c r="W163" s="12">
        <v>15335</v>
      </c>
      <c r="X163" s="13">
        <v>0.90467148580098733</v>
      </c>
      <c r="Y163" s="12">
        <v>122985</v>
      </c>
      <c r="Z163" s="13">
        <v>0.89740772330578011</v>
      </c>
    </row>
    <row r="164" spans="1:26">
      <c r="A164" t="s">
        <v>4</v>
      </c>
      <c r="B164" t="s">
        <v>190</v>
      </c>
      <c r="C164" s="8">
        <v>46040</v>
      </c>
      <c r="D164" s="9">
        <v>21609</v>
      </c>
      <c r="E164">
        <f>MONTH(C164)</f>
        <v>1</v>
      </c>
      <c r="H164" s="11" t="s">
        <v>215</v>
      </c>
      <c r="I164" s="12">
        <v>12898</v>
      </c>
      <c r="J164" s="13">
        <v>0.90187533472883896</v>
      </c>
      <c r="K164" s="12">
        <v>9759</v>
      </c>
      <c r="L164" s="13">
        <v>0.89561108782408982</v>
      </c>
      <c r="M164" s="12">
        <v>6233</v>
      </c>
      <c r="N164" s="13">
        <v>0.89997166032360187</v>
      </c>
      <c r="O164" s="12">
        <v>8157</v>
      </c>
      <c r="P164" s="13">
        <v>0.8996376208068535</v>
      </c>
      <c r="Q164" s="12">
        <v>27439</v>
      </c>
      <c r="R164" s="13">
        <v>0.89937531094747802</v>
      </c>
      <c r="S164" s="12">
        <v>22015</v>
      </c>
      <c r="T164" s="13">
        <v>0.89306117155377085</v>
      </c>
      <c r="U164" s="12">
        <v>29149</v>
      </c>
      <c r="V164" s="13">
        <v>0.8974216771300525</v>
      </c>
      <c r="W164" s="12">
        <v>6245</v>
      </c>
      <c r="X164" s="13">
        <v>0.9053418835073147</v>
      </c>
      <c r="Y164" s="12">
        <v>121895</v>
      </c>
      <c r="Z164" s="13">
        <v>0.89904523676090964</v>
      </c>
    </row>
    <row r="165" spans="1:26">
      <c r="A165" t="s">
        <v>4</v>
      </c>
      <c r="B165" t="s">
        <v>50</v>
      </c>
      <c r="C165" s="8">
        <v>46040</v>
      </c>
      <c r="D165" s="9">
        <v>24544</v>
      </c>
      <c r="E165">
        <f>MONTH(C165)</f>
        <v>1</v>
      </c>
      <c r="H165" s="11" t="s">
        <v>140</v>
      </c>
      <c r="I165" s="12">
        <v>14195</v>
      </c>
      <c r="J165" s="13">
        <v>0.90342810462092071</v>
      </c>
      <c r="K165" s="12">
        <v>15460</v>
      </c>
      <c r="L165" s="13">
        <v>0.8972986691467344</v>
      </c>
      <c r="M165" s="12">
        <v>14826</v>
      </c>
      <c r="N165" s="13">
        <v>0.90152955443660943</v>
      </c>
      <c r="O165" s="12">
        <v>14327</v>
      </c>
      <c r="P165" s="13">
        <v>0.90121807946749566</v>
      </c>
      <c r="Q165" s="12">
        <v>14788</v>
      </c>
      <c r="R165" s="13">
        <v>0.90091706830064311</v>
      </c>
      <c r="S165" s="12">
        <v>15315</v>
      </c>
      <c r="T165" s="13">
        <v>0.89472469944075483</v>
      </c>
      <c r="U165" s="12">
        <v>14558</v>
      </c>
      <c r="V165" s="13">
        <v>0.89896364605426271</v>
      </c>
      <c r="W165" s="12">
        <v>15196</v>
      </c>
      <c r="X165" s="13">
        <v>0.90697316670112582</v>
      </c>
      <c r="Y165" s="12">
        <v>118665</v>
      </c>
      <c r="Z165" s="13">
        <v>0.90063935903133041</v>
      </c>
    </row>
    <row r="166" spans="1:26">
      <c r="A166" t="s">
        <v>28</v>
      </c>
      <c r="B166" t="s">
        <v>191</v>
      </c>
      <c r="C166" s="8">
        <v>46040</v>
      </c>
      <c r="D166" s="9">
        <v>11913</v>
      </c>
      <c r="E166">
        <f>MONTH(C166)</f>
        <v>1</v>
      </c>
      <c r="H166" s="11" t="s">
        <v>86</v>
      </c>
      <c r="I166" s="12">
        <v>14238</v>
      </c>
      <c r="J166" s="13">
        <v>0.90498557821891001</v>
      </c>
      <c r="K166" s="12">
        <v>14908</v>
      </c>
      <c r="L166" s="13">
        <v>0.89892599530184347</v>
      </c>
      <c r="M166" s="12">
        <v>15287</v>
      </c>
      <c r="N166" s="13">
        <v>0.90313588974657477</v>
      </c>
      <c r="O166" s="12">
        <v>14305</v>
      </c>
      <c r="P166" s="13">
        <v>0.90279611123551995</v>
      </c>
      <c r="Q166" s="12">
        <v>15395</v>
      </c>
      <c r="R166" s="13">
        <v>0.90252210985135828</v>
      </c>
      <c r="S166" s="12">
        <v>15478</v>
      </c>
      <c r="T166" s="13">
        <v>0.89640593252170409</v>
      </c>
      <c r="U166" s="12">
        <v>14643</v>
      </c>
      <c r="V166" s="13">
        <v>0.90051461809418654</v>
      </c>
      <c r="W166" s="12">
        <v>14397</v>
      </c>
      <c r="X166" s="13">
        <v>0.90851867763435168</v>
      </c>
      <c r="Y166" s="12">
        <v>118651</v>
      </c>
      <c r="Z166" s="13">
        <v>0.90223329322850476</v>
      </c>
    </row>
    <row r="167" spans="1:26">
      <c r="A167" t="s">
        <v>6</v>
      </c>
      <c r="B167" t="s">
        <v>192</v>
      </c>
      <c r="C167" s="8">
        <v>46040</v>
      </c>
      <c r="D167" s="9">
        <v>18609</v>
      </c>
      <c r="E167">
        <f>MONTH(C167)</f>
        <v>1</v>
      </c>
      <c r="H167" s="11" t="s">
        <v>227</v>
      </c>
      <c r="I167" s="12">
        <v>13407</v>
      </c>
      <c r="J167" s="13">
        <v>0.9064521499655207</v>
      </c>
      <c r="K167" s="12">
        <v>24765</v>
      </c>
      <c r="L167" s="13">
        <v>0.90162929099752864</v>
      </c>
      <c r="M167" s="12">
        <v>14559</v>
      </c>
      <c r="N167" s="13">
        <v>0.90466572789518374</v>
      </c>
      <c r="O167" s="12">
        <v>5200</v>
      </c>
      <c r="P167" s="13">
        <v>0.90336974039970919</v>
      </c>
      <c r="Q167" s="12">
        <v>33664</v>
      </c>
      <c r="R167" s="13">
        <v>0.90603182851087594</v>
      </c>
      <c r="S167" s="12">
        <v>6540</v>
      </c>
      <c r="T167" s="13">
        <v>0.89711631269675307</v>
      </c>
      <c r="U167" s="12">
        <v>14710</v>
      </c>
      <c r="V167" s="13">
        <v>0.90207268670767282</v>
      </c>
      <c r="W167" s="12">
        <v>5200</v>
      </c>
      <c r="X167" s="13">
        <v>0.90907689509998857</v>
      </c>
      <c r="Y167" s="12">
        <v>118045</v>
      </c>
      <c r="Z167" s="13">
        <v>0.90381908654086995</v>
      </c>
    </row>
    <row r="168" spans="1:26">
      <c r="A168" t="s">
        <v>7</v>
      </c>
      <c r="B168" t="s">
        <v>193</v>
      </c>
      <c r="C168" s="8">
        <v>46040</v>
      </c>
      <c r="D168" s="9">
        <v>18274</v>
      </c>
      <c r="E168">
        <f>MONTH(C168)</f>
        <v>1</v>
      </c>
      <c r="H168" s="11" t="s">
        <v>263</v>
      </c>
      <c r="I168" s="12">
        <v>16679</v>
      </c>
      <c r="J168" s="13">
        <v>0.90827664091515303</v>
      </c>
      <c r="K168" s="12">
        <v>15619</v>
      </c>
      <c r="L168" s="13">
        <v>0.90333422842821343</v>
      </c>
      <c r="M168" s="12">
        <v>16718</v>
      </c>
      <c r="N168" s="13">
        <v>0.90642243056490313</v>
      </c>
      <c r="O168" s="12">
        <v>12244</v>
      </c>
      <c r="P168" s="13">
        <v>0.90472041645477319</v>
      </c>
      <c r="Q168" s="12">
        <v>12007</v>
      </c>
      <c r="R168" s="13">
        <v>0.9072836462373739</v>
      </c>
      <c r="S168" s="12">
        <v>19052</v>
      </c>
      <c r="T168" s="13">
        <v>0.89918575659507616</v>
      </c>
      <c r="U168" s="12">
        <v>11507</v>
      </c>
      <c r="V168" s="13">
        <v>0.90329149673727083</v>
      </c>
      <c r="W168" s="12">
        <v>14000</v>
      </c>
      <c r="X168" s="13">
        <v>0.91057978827670327</v>
      </c>
      <c r="Y168" s="12">
        <v>117826</v>
      </c>
      <c r="Z168" s="13">
        <v>0.90540193785030909</v>
      </c>
    </row>
    <row r="169" spans="1:26">
      <c r="A169" t="s">
        <v>7</v>
      </c>
      <c r="B169" t="s">
        <v>194</v>
      </c>
      <c r="C169" s="8">
        <v>46040</v>
      </c>
      <c r="D169" s="9">
        <v>23641</v>
      </c>
      <c r="E169">
        <f>MONTH(C169)</f>
        <v>1</v>
      </c>
      <c r="H169" s="11" t="s">
        <v>128</v>
      </c>
      <c r="I169" s="12">
        <v>5200</v>
      </c>
      <c r="J169" s="13">
        <v>0.90884546116445386</v>
      </c>
      <c r="K169" s="12">
        <v>20726</v>
      </c>
      <c r="L169" s="13">
        <v>0.90559663531651424</v>
      </c>
      <c r="M169" s="12">
        <v>11582</v>
      </c>
      <c r="N169" s="13">
        <v>0.90763944996439416</v>
      </c>
      <c r="O169" s="12">
        <v>9371</v>
      </c>
      <c r="P169" s="13">
        <v>0.90575416239662265</v>
      </c>
      <c r="Q169" s="12">
        <v>9448</v>
      </c>
      <c r="R169" s="13">
        <v>0.90826866946382123</v>
      </c>
      <c r="S169" s="12">
        <v>26665</v>
      </c>
      <c r="T169" s="13">
        <v>0.90208213081031785</v>
      </c>
      <c r="U169" s="12">
        <v>25159</v>
      </c>
      <c r="V169" s="13">
        <v>0.90595631306947355</v>
      </c>
      <c r="W169" s="12">
        <v>5200</v>
      </c>
      <c r="X169" s="13">
        <v>0.91113800574234016</v>
      </c>
      <c r="Y169" s="12">
        <v>113351</v>
      </c>
      <c r="Z169" s="13">
        <v>0.90692467288991185</v>
      </c>
    </row>
    <row r="170" spans="1:26">
      <c r="A170" t="s">
        <v>9</v>
      </c>
      <c r="B170" t="s">
        <v>195</v>
      </c>
      <c r="C170" s="8">
        <v>46040</v>
      </c>
      <c r="D170" s="9">
        <v>29919</v>
      </c>
      <c r="E170">
        <f>MONTH(C170)</f>
        <v>1</v>
      </c>
      <c r="H170" s="11" t="s">
        <v>184</v>
      </c>
      <c r="I170" s="12">
        <v>7140</v>
      </c>
      <c r="J170" s="13">
        <v>0.90962649512214755</v>
      </c>
      <c r="K170" s="12">
        <v>21598</v>
      </c>
      <c r="L170" s="13">
        <v>0.9079542279042554</v>
      </c>
      <c r="M170" s="12">
        <v>25132</v>
      </c>
      <c r="N170" s="13">
        <v>0.91028028328748234</v>
      </c>
      <c r="O170" s="12">
        <v>19948</v>
      </c>
      <c r="P170" s="13">
        <v>0.90795469212109314</v>
      </c>
      <c r="Q170" s="12">
        <v>5200</v>
      </c>
      <c r="R170" s="13">
        <v>0.90881080756474486</v>
      </c>
      <c r="S170" s="12">
        <v>23862</v>
      </c>
      <c r="T170" s="13">
        <v>0.90467404086184977</v>
      </c>
      <c r="U170" s="12">
        <v>5200</v>
      </c>
      <c r="V170" s="13">
        <v>0.90650709191312606</v>
      </c>
      <c r="W170" s="12">
        <v>5200</v>
      </c>
      <c r="X170" s="13">
        <v>0.91169622320797705</v>
      </c>
      <c r="Y170" s="12">
        <v>113280</v>
      </c>
      <c r="Z170" s="13">
        <v>0.90844645412947922</v>
      </c>
    </row>
    <row r="171" spans="1:26">
      <c r="A171" t="s">
        <v>5</v>
      </c>
      <c r="B171" t="s">
        <v>99</v>
      </c>
      <c r="C171" s="8">
        <v>46040</v>
      </c>
      <c r="D171" s="9">
        <v>34005</v>
      </c>
      <c r="E171">
        <f>MONTH(C171)</f>
        <v>1</v>
      </c>
      <c r="H171" s="11" t="s">
        <v>281</v>
      </c>
      <c r="I171" s="12">
        <v>20238</v>
      </c>
      <c r="J171" s="13">
        <v>0.91184029977702241</v>
      </c>
      <c r="K171" s="12">
        <v>10095</v>
      </c>
      <c r="L171" s="13">
        <v>0.90905617702793573</v>
      </c>
      <c r="M171" s="12">
        <v>5911</v>
      </c>
      <c r="N171" s="13">
        <v>0.91090140240942941</v>
      </c>
      <c r="O171" s="12">
        <v>5200</v>
      </c>
      <c r="P171" s="13">
        <v>0.90852832128528238</v>
      </c>
      <c r="Q171" s="12">
        <v>7641</v>
      </c>
      <c r="R171" s="13">
        <v>0.90960743780112119</v>
      </c>
      <c r="S171" s="12">
        <v>27731</v>
      </c>
      <c r="T171" s="13">
        <v>0.90768620487320795</v>
      </c>
      <c r="U171" s="12">
        <v>23637</v>
      </c>
      <c r="V171" s="13">
        <v>0.90901069951455205</v>
      </c>
      <c r="W171" s="12">
        <v>12460</v>
      </c>
      <c r="X171" s="13">
        <v>0.91303379813525309</v>
      </c>
      <c r="Y171" s="12">
        <v>112913</v>
      </c>
      <c r="Z171" s="13">
        <v>0.90996330516322987</v>
      </c>
    </row>
    <row r="172" spans="1:26">
      <c r="A172" t="s">
        <v>5</v>
      </c>
      <c r="B172" t="s">
        <v>134</v>
      </c>
      <c r="C172" s="8">
        <v>46040</v>
      </c>
      <c r="D172" s="9">
        <v>40078</v>
      </c>
      <c r="E172">
        <f>MONTH(C172)</f>
        <v>1</v>
      </c>
      <c r="H172" s="11" t="s">
        <v>64</v>
      </c>
      <c r="I172" s="12">
        <v>14687</v>
      </c>
      <c r="J172" s="13">
        <v>0.91344688881576874</v>
      </c>
      <c r="K172" s="12">
        <v>13627</v>
      </c>
      <c r="L172" s="13">
        <v>0.91054367189751384</v>
      </c>
      <c r="M172" s="12">
        <v>14426</v>
      </c>
      <c r="N172" s="13">
        <v>0.91241726511509824</v>
      </c>
      <c r="O172" s="12">
        <v>14042</v>
      </c>
      <c r="P172" s="13">
        <v>0.91007734065519486</v>
      </c>
      <c r="Q172" s="12">
        <v>13658</v>
      </c>
      <c r="R172" s="13">
        <v>0.91103138437466247</v>
      </c>
      <c r="S172" s="12">
        <v>14814</v>
      </c>
      <c r="T172" s="13">
        <v>0.90929531372843364</v>
      </c>
      <c r="U172" s="12">
        <v>14019</v>
      </c>
      <c r="V172" s="13">
        <v>0.91049557809323756</v>
      </c>
      <c r="W172" s="12">
        <v>13621</v>
      </c>
      <c r="X172" s="13">
        <v>0.91449600584668389</v>
      </c>
      <c r="Y172" s="12">
        <v>112894</v>
      </c>
      <c r="Z172" s="13">
        <v>0.91147990095471754</v>
      </c>
    </row>
    <row r="173" spans="1:26">
      <c r="A173" t="s">
        <v>27</v>
      </c>
      <c r="B173" t="s">
        <v>196</v>
      </c>
      <c r="C173" s="8">
        <v>46041</v>
      </c>
      <c r="D173" s="9">
        <v>10184</v>
      </c>
      <c r="E173">
        <f>MONTH(C173)</f>
        <v>1</v>
      </c>
      <c r="H173" s="11" t="s">
        <v>102</v>
      </c>
      <c r="I173" s="12">
        <v>15522</v>
      </c>
      <c r="J173" s="13">
        <v>0.91514481725993158</v>
      </c>
      <c r="K173" s="12">
        <v>14877</v>
      </c>
      <c r="L173" s="13">
        <v>0.9121676141573446</v>
      </c>
      <c r="M173" s="12">
        <v>14726</v>
      </c>
      <c r="N173" s="13">
        <v>0.91396465137627114</v>
      </c>
      <c r="O173" s="12">
        <v>12696</v>
      </c>
      <c r="P173" s="13">
        <v>0.91147787832222293</v>
      </c>
      <c r="Q173" s="12">
        <v>10224</v>
      </c>
      <c r="R173" s="13">
        <v>0.91209731128693994</v>
      </c>
      <c r="S173" s="12">
        <v>14498</v>
      </c>
      <c r="T173" s="13">
        <v>0.91087009840394739</v>
      </c>
      <c r="U173" s="12">
        <v>18372</v>
      </c>
      <c r="V173" s="13">
        <v>0.91244152211546525</v>
      </c>
      <c r="W173" s="12">
        <v>11714</v>
      </c>
      <c r="X173" s="13">
        <v>0.91575349803754358</v>
      </c>
      <c r="Y173" s="12">
        <v>112629</v>
      </c>
      <c r="Z173" s="13">
        <v>0.9129929367883266</v>
      </c>
    </row>
    <row r="174" spans="1:26">
      <c r="A174" t="s">
        <v>4</v>
      </c>
      <c r="B174" t="s">
        <v>197</v>
      </c>
      <c r="C174" s="8">
        <v>46041</v>
      </c>
      <c r="D174" s="9">
        <v>26597</v>
      </c>
      <c r="E174">
        <f>MONTH(C174)</f>
        <v>1</v>
      </c>
      <c r="H174" s="11" t="s">
        <v>242</v>
      </c>
      <c r="I174" s="12">
        <v>22620</v>
      </c>
      <c r="J174" s="13">
        <v>0.91761918534439002</v>
      </c>
      <c r="K174" s="12">
        <v>6191</v>
      </c>
      <c r="L174" s="13">
        <v>0.91284341079178788</v>
      </c>
      <c r="M174" s="12">
        <v>15729</v>
      </c>
      <c r="N174" s="13">
        <v>0.91561743139134566</v>
      </c>
      <c r="O174" s="12">
        <v>17610</v>
      </c>
      <c r="P174" s="13">
        <v>0.91342049554940985</v>
      </c>
      <c r="Q174" s="12">
        <v>23081</v>
      </c>
      <c r="R174" s="13">
        <v>0.91450367465375104</v>
      </c>
      <c r="S174" s="12">
        <v>16888</v>
      </c>
      <c r="T174" s="13">
        <v>0.91270448684373739</v>
      </c>
      <c r="U174" s="12">
        <v>5200</v>
      </c>
      <c r="V174" s="13">
        <v>0.91299230095911776</v>
      </c>
      <c r="W174" s="12">
        <v>5200</v>
      </c>
      <c r="X174" s="13">
        <v>0.91631171550318047</v>
      </c>
      <c r="Y174" s="12">
        <v>112519</v>
      </c>
      <c r="Z174" s="13">
        <v>0.914504494903571</v>
      </c>
    </row>
    <row r="175" spans="1:26">
      <c r="A175" t="s">
        <v>4</v>
      </c>
      <c r="B175" t="s">
        <v>190</v>
      </c>
      <c r="C175" s="8">
        <v>46041</v>
      </c>
      <c r="D175" s="9">
        <v>21531</v>
      </c>
      <c r="E175">
        <f>MONTH(C175)</f>
        <v>1</v>
      </c>
      <c r="H175" s="11" t="s">
        <v>196</v>
      </c>
      <c r="I175" s="12">
        <v>10184</v>
      </c>
      <c r="J175" s="13">
        <v>0.91873319792494368</v>
      </c>
      <c r="K175" s="12">
        <v>13198</v>
      </c>
      <c r="L175" s="13">
        <v>0.91428407691703129</v>
      </c>
      <c r="M175" s="12">
        <v>14332</v>
      </c>
      <c r="N175" s="13">
        <v>0.91712341671629005</v>
      </c>
      <c r="O175" s="12">
        <v>15077</v>
      </c>
      <c r="P175" s="13">
        <v>0.91508368918565619</v>
      </c>
      <c r="Q175" s="12">
        <v>12930</v>
      </c>
      <c r="R175" s="13">
        <v>0.91585172189316288</v>
      </c>
      <c r="S175" s="12">
        <v>15272</v>
      </c>
      <c r="T175" s="13">
        <v>0.91436334403538089</v>
      </c>
      <c r="U175" s="12">
        <v>14797</v>
      </c>
      <c r="V175" s="13">
        <v>0.91455958452633446</v>
      </c>
      <c r="W175" s="12">
        <v>15137</v>
      </c>
      <c r="X175" s="13">
        <v>0.91793666507574689</v>
      </c>
      <c r="Y175" s="12">
        <v>110927</v>
      </c>
      <c r="Z175" s="13">
        <v>0.91599466640393734</v>
      </c>
    </row>
    <row r="176" spans="1:26">
      <c r="A176" t="s">
        <v>4</v>
      </c>
      <c r="B176" t="s">
        <v>198</v>
      </c>
      <c r="C176" s="8">
        <v>46041</v>
      </c>
      <c r="D176" s="9">
        <v>28977</v>
      </c>
      <c r="E176">
        <f>MONTH(C176)</f>
        <v>1</v>
      </c>
      <c r="H176" s="11" t="s">
        <v>280</v>
      </c>
      <c r="I176" s="12">
        <v>13158</v>
      </c>
      <c r="J176" s="13">
        <v>0.92017253193269366</v>
      </c>
      <c r="K176" s="12">
        <v>14258</v>
      </c>
      <c r="L176" s="13">
        <v>0.91584045042920892</v>
      </c>
      <c r="M176" s="12">
        <v>13699</v>
      </c>
      <c r="N176" s="13">
        <v>0.91856288733912084</v>
      </c>
      <c r="O176" s="12">
        <v>13142</v>
      </c>
      <c r="P176" s="13">
        <v>0.9165334265848436</v>
      </c>
      <c r="Q176" s="12">
        <v>13924</v>
      </c>
      <c r="R176" s="13">
        <v>0.91730340091571294</v>
      </c>
      <c r="S176" s="12">
        <v>13125</v>
      </c>
      <c r="T176" s="13">
        <v>0.91578899232246302</v>
      </c>
      <c r="U176" s="12">
        <v>14220</v>
      </c>
      <c r="V176" s="13">
        <v>0.91606575282570735</v>
      </c>
      <c r="W176" s="12">
        <v>14206</v>
      </c>
      <c r="X176" s="13">
        <v>0.91946167225206177</v>
      </c>
      <c r="Y176" s="12">
        <v>109732</v>
      </c>
      <c r="Z176" s="13">
        <v>0.91746878450934166</v>
      </c>
    </row>
    <row r="177" spans="1:26">
      <c r="A177" t="s">
        <v>31</v>
      </c>
      <c r="B177" t="s">
        <v>199</v>
      </c>
      <c r="C177" s="8">
        <v>46041</v>
      </c>
      <c r="D177" s="9">
        <v>18739</v>
      </c>
      <c r="E177">
        <f>MONTH(C177)</f>
        <v>1</v>
      </c>
      <c r="H177" s="11" t="s">
        <v>135</v>
      </c>
      <c r="I177" s="12">
        <v>13700</v>
      </c>
      <c r="J177" s="13">
        <v>0.9216711545125823</v>
      </c>
      <c r="K177" s="12">
        <v>13569</v>
      </c>
      <c r="L177" s="13">
        <v>0.91732161413987934</v>
      </c>
      <c r="M177" s="12">
        <v>13942</v>
      </c>
      <c r="N177" s="13">
        <v>0.92002789204190993</v>
      </c>
      <c r="O177" s="12">
        <v>13238</v>
      </c>
      <c r="P177" s="13">
        <v>0.91799375406090844</v>
      </c>
      <c r="Q177" s="12">
        <v>14218</v>
      </c>
      <c r="R177" s="13">
        <v>0.9187857315924306</v>
      </c>
      <c r="S177" s="12">
        <v>13571</v>
      </c>
      <c r="T177" s="13">
        <v>0.91726308549610058</v>
      </c>
      <c r="U177" s="12">
        <v>13706</v>
      </c>
      <c r="V177" s="13">
        <v>0.9175174787547653</v>
      </c>
      <c r="W177" s="12">
        <v>13276</v>
      </c>
      <c r="X177" s="13">
        <v>0.92088684438163781</v>
      </c>
      <c r="Y177" s="12">
        <v>109220</v>
      </c>
      <c r="Z177" s="13">
        <v>0.9189360245074486</v>
      </c>
    </row>
    <row r="178" spans="1:26">
      <c r="A178" t="s">
        <v>25</v>
      </c>
      <c r="B178" t="s">
        <v>200</v>
      </c>
      <c r="C178" s="8">
        <v>46041</v>
      </c>
      <c r="D178" s="9">
        <v>17497</v>
      </c>
      <c r="E178">
        <f>MONTH(C178)</f>
        <v>1</v>
      </c>
      <c r="H178" s="11" t="s">
        <v>117</v>
      </c>
      <c r="I178" s="12">
        <v>13737</v>
      </c>
      <c r="J178" s="13">
        <v>0.92317382446732177</v>
      </c>
      <c r="K178" s="12">
        <v>10434</v>
      </c>
      <c r="L178" s="13">
        <v>0.9184605677957961</v>
      </c>
      <c r="M178" s="12">
        <v>12135</v>
      </c>
      <c r="N178" s="13">
        <v>0.92130301986204666</v>
      </c>
      <c r="O178" s="12">
        <v>11576</v>
      </c>
      <c r="P178" s="13">
        <v>0.91927074083103422</v>
      </c>
      <c r="Q178" s="12">
        <v>18495</v>
      </c>
      <c r="R178" s="13">
        <v>0.92071397085715789</v>
      </c>
      <c r="S178" s="12">
        <v>16692</v>
      </c>
      <c r="T178" s="13">
        <v>0.91907618425480364</v>
      </c>
      <c r="U178" s="12">
        <v>11290</v>
      </c>
      <c r="V178" s="13">
        <v>0.91871330435954168</v>
      </c>
      <c r="W178" s="12">
        <v>14643</v>
      </c>
      <c r="X178" s="13">
        <v>0.92245876329496879</v>
      </c>
      <c r="Y178" s="12">
        <v>109002</v>
      </c>
      <c r="Z178" s="13">
        <v>0.92040033593643278</v>
      </c>
    </row>
    <row r="179" spans="1:26">
      <c r="A179" t="s">
        <v>7</v>
      </c>
      <c r="B179" t="s">
        <v>201</v>
      </c>
      <c r="C179" s="8">
        <v>46041</v>
      </c>
      <c r="D179" s="9">
        <v>18278</v>
      </c>
      <c r="E179">
        <f>MONTH(C179)</f>
        <v>1</v>
      </c>
      <c r="H179" s="11" t="s">
        <v>155</v>
      </c>
      <c r="I179" s="12">
        <v>11842</v>
      </c>
      <c r="J179" s="13">
        <v>0.92446920319659476</v>
      </c>
      <c r="K179" s="12">
        <v>15788</v>
      </c>
      <c r="L179" s="13">
        <v>0.92018395291364297</v>
      </c>
      <c r="M179" s="12">
        <v>13220</v>
      </c>
      <c r="N179" s="13">
        <v>0.92269215787458947</v>
      </c>
      <c r="O179" s="12">
        <v>16717</v>
      </c>
      <c r="P179" s="13">
        <v>0.92111484828060175</v>
      </c>
      <c r="Q179" s="12">
        <v>11211</v>
      </c>
      <c r="R179" s="13">
        <v>0.92188279975128373</v>
      </c>
      <c r="S179" s="12">
        <v>11873</v>
      </c>
      <c r="T179" s="13">
        <v>0.92036583927290094</v>
      </c>
      <c r="U179" s="12">
        <v>12324</v>
      </c>
      <c r="V179" s="13">
        <v>0.92001865021899809</v>
      </c>
      <c r="W179" s="12">
        <v>15963</v>
      </c>
      <c r="X179" s="13">
        <v>0.92417238356496134</v>
      </c>
      <c r="Y179" s="12">
        <v>108938</v>
      </c>
      <c r="Z179" s="13">
        <v>0.92186378760200471</v>
      </c>
    </row>
    <row r="180" spans="1:26">
      <c r="A180" t="s">
        <v>7</v>
      </c>
      <c r="B180" t="s">
        <v>202</v>
      </c>
      <c r="C180" s="8">
        <v>46041</v>
      </c>
      <c r="D180" s="9">
        <v>22658</v>
      </c>
      <c r="E180">
        <f>MONTH(C180)</f>
        <v>1</v>
      </c>
      <c r="H180" s="11" t="s">
        <v>152</v>
      </c>
      <c r="I180" s="12">
        <v>13424</v>
      </c>
      <c r="J180" s="13">
        <v>0.92593763454786671</v>
      </c>
      <c r="K180" s="12">
        <v>15742</v>
      </c>
      <c r="L180" s="13">
        <v>0.92190231676752854</v>
      </c>
      <c r="M180" s="12">
        <v>15435</v>
      </c>
      <c r="N180" s="13">
        <v>0.92431404480527002</v>
      </c>
      <c r="O180" s="12">
        <v>14255</v>
      </c>
      <c r="P180" s="13">
        <v>0.92268736438358578</v>
      </c>
      <c r="Q180" s="12">
        <v>13370</v>
      </c>
      <c r="R180" s="13">
        <v>0.92327672021461993</v>
      </c>
      <c r="S180" s="12">
        <v>15088</v>
      </c>
      <c r="T180" s="13">
        <v>0.92200471023331965</v>
      </c>
      <c r="U180" s="12">
        <v>9201</v>
      </c>
      <c r="V180" s="13">
        <v>0.9209932110152379</v>
      </c>
      <c r="W180" s="12">
        <v>11510</v>
      </c>
      <c r="X180" s="13">
        <v>0.92540797645524608</v>
      </c>
      <c r="Y180" s="12">
        <v>108025</v>
      </c>
      <c r="Z180" s="13">
        <v>0.92331497420514974</v>
      </c>
    </row>
    <row r="181" spans="1:26">
      <c r="A181" t="s">
        <v>7</v>
      </c>
      <c r="B181" t="s">
        <v>137</v>
      </c>
      <c r="C181" s="8">
        <v>46041</v>
      </c>
      <c r="D181" s="9">
        <v>45135</v>
      </c>
      <c r="E181">
        <f>MONTH(C181)</f>
        <v>1</v>
      </c>
      <c r="H181" s="11" t="s">
        <v>94</v>
      </c>
      <c r="I181" s="12">
        <v>8917</v>
      </c>
      <c r="J181" s="13">
        <v>0.92691305188690798</v>
      </c>
      <c r="K181" s="12">
        <v>5239</v>
      </c>
      <c r="L181" s="13">
        <v>0.92247419506955541</v>
      </c>
      <c r="M181" s="12">
        <v>5200</v>
      </c>
      <c r="N181" s="13">
        <v>0.92486045310067266</v>
      </c>
      <c r="O181" s="12">
        <v>23785</v>
      </c>
      <c r="P181" s="13">
        <v>0.9253111662432475</v>
      </c>
      <c r="Q181" s="12">
        <v>25653</v>
      </c>
      <c r="R181" s="13">
        <v>0.92595123342673402</v>
      </c>
      <c r="S181" s="12">
        <v>11181</v>
      </c>
      <c r="T181" s="13">
        <v>0.92321919964268095</v>
      </c>
      <c r="U181" s="12">
        <v>5200</v>
      </c>
      <c r="V181" s="13">
        <v>0.92154398985889041</v>
      </c>
      <c r="W181" s="12">
        <v>22577</v>
      </c>
      <c r="X181" s="13">
        <v>0.9278316064017238</v>
      </c>
      <c r="Y181" s="12">
        <v>107752</v>
      </c>
      <c r="Z181" s="13">
        <v>0.92476249337998961</v>
      </c>
    </row>
    <row r="182" spans="1:26">
      <c r="A182" t="s">
        <v>7</v>
      </c>
      <c r="B182" t="s">
        <v>47</v>
      </c>
      <c r="C182" s="8">
        <v>46041</v>
      </c>
      <c r="D182" s="9">
        <v>22141</v>
      </c>
      <c r="E182">
        <f>MONTH(C182)</f>
        <v>1</v>
      </c>
      <c r="H182" s="11" t="s">
        <v>272</v>
      </c>
      <c r="I182" s="12">
        <v>13234</v>
      </c>
      <c r="J182" s="13">
        <v>0.92836069942137855</v>
      </c>
      <c r="K182" s="12">
        <v>13924</v>
      </c>
      <c r="L182" s="13">
        <v>0.92399410983905761</v>
      </c>
      <c r="M182" s="12">
        <v>13313</v>
      </c>
      <c r="N182" s="13">
        <v>0.9262593634154217</v>
      </c>
      <c r="O182" s="12">
        <v>13846</v>
      </c>
      <c r="P182" s="13">
        <v>0.92683856420620203</v>
      </c>
      <c r="Q182" s="12">
        <v>13219</v>
      </c>
      <c r="R182" s="13">
        <v>0.92732941103367805</v>
      </c>
      <c r="S182" s="12">
        <v>12950</v>
      </c>
      <c r="T182" s="13">
        <v>0.92462583928593545</v>
      </c>
      <c r="U182" s="12">
        <v>13840</v>
      </c>
      <c r="V182" s="13">
        <v>0.9230099089350734</v>
      </c>
      <c r="W182" s="12">
        <v>12843</v>
      </c>
      <c r="X182" s="13">
        <v>0.92921029619233431</v>
      </c>
      <c r="Y182" s="12">
        <v>107169</v>
      </c>
      <c r="Z182" s="13">
        <v>0.92620218064749671</v>
      </c>
    </row>
    <row r="183" spans="1:26">
      <c r="A183" t="s">
        <v>9</v>
      </c>
      <c r="B183" t="s">
        <v>203</v>
      </c>
      <c r="C183" s="8">
        <v>46041</v>
      </c>
      <c r="D183" s="9">
        <v>27527</v>
      </c>
      <c r="E183">
        <f>MONTH(C183)</f>
        <v>1</v>
      </c>
      <c r="H183" s="11" t="s">
        <v>139</v>
      </c>
      <c r="I183" s="12">
        <v>10633</v>
      </c>
      <c r="J183" s="13">
        <v>0.92952382744268913</v>
      </c>
      <c r="K183" s="12">
        <v>10779</v>
      </c>
      <c r="L183" s="13">
        <v>0.92517072297468406</v>
      </c>
      <c r="M183" s="12">
        <v>15556</v>
      </c>
      <c r="N183" s="13">
        <v>0.92789396484682229</v>
      </c>
      <c r="O183" s="12">
        <v>14837</v>
      </c>
      <c r="P183" s="13">
        <v>0.92847528265025503</v>
      </c>
      <c r="Q183" s="12">
        <v>13841</v>
      </c>
      <c r="R183" s="13">
        <v>0.92877243669807874</v>
      </c>
      <c r="S183" s="12">
        <v>15701</v>
      </c>
      <c r="T183" s="13">
        <v>0.9263312948101623</v>
      </c>
      <c r="U183" s="12">
        <v>11902</v>
      </c>
      <c r="V183" s="13">
        <v>0.92427055697298721</v>
      </c>
      <c r="W183" s="12">
        <v>13919</v>
      </c>
      <c r="X183" s="13">
        <v>0.93070449405852651</v>
      </c>
      <c r="Y183" s="12">
        <v>107168</v>
      </c>
      <c r="Z183" s="13">
        <v>0.9276418544812004</v>
      </c>
    </row>
    <row r="184" spans="1:26">
      <c r="A184" t="s">
        <v>9</v>
      </c>
      <c r="B184" t="s">
        <v>84</v>
      </c>
      <c r="C184" s="8">
        <v>46041</v>
      </c>
      <c r="D184" s="9">
        <v>48009</v>
      </c>
      <c r="E184">
        <f>MONTH(C184)</f>
        <v>1</v>
      </c>
      <c r="H184" s="11" t="s">
        <v>55</v>
      </c>
      <c r="I184" s="12">
        <v>17182</v>
      </c>
      <c r="J184" s="13">
        <v>0.93140334081259035</v>
      </c>
      <c r="K184" s="12">
        <v>12909</v>
      </c>
      <c r="L184" s="13">
        <v>0.92657984246330116</v>
      </c>
      <c r="M184" s="12">
        <v>10467</v>
      </c>
      <c r="N184" s="13">
        <v>0.92899382169835676</v>
      </c>
      <c r="O184" s="12">
        <v>15295</v>
      </c>
      <c r="P184" s="13">
        <v>0.93016252458607696</v>
      </c>
      <c r="Q184" s="12">
        <v>16988</v>
      </c>
      <c r="R184" s="13">
        <v>0.93054356017086526</v>
      </c>
      <c r="S184" s="12">
        <v>9834</v>
      </c>
      <c r="T184" s="13">
        <v>0.92739947197246075</v>
      </c>
      <c r="U184" s="12">
        <v>11182</v>
      </c>
      <c r="V184" s="13">
        <v>0.925454943324857</v>
      </c>
      <c r="W184" s="12">
        <v>13081</v>
      </c>
      <c r="X184" s="13">
        <v>0.93210873303314112</v>
      </c>
      <c r="Y184" s="12">
        <v>106938</v>
      </c>
      <c r="Z184" s="13">
        <v>0.9290784385401416</v>
      </c>
    </row>
    <row r="185" spans="1:26">
      <c r="A185" t="s">
        <v>9</v>
      </c>
      <c r="B185" t="s">
        <v>82</v>
      </c>
      <c r="C185" s="8">
        <v>46041</v>
      </c>
      <c r="D185" s="9">
        <v>27978</v>
      </c>
      <c r="E185">
        <f>MONTH(C185)</f>
        <v>1</v>
      </c>
      <c r="H185" s="11" t="s">
        <v>256</v>
      </c>
      <c r="I185" s="12">
        <v>14014</v>
      </c>
      <c r="J185" s="13">
        <v>0.93293631138445599</v>
      </c>
      <c r="K185" s="12">
        <v>13324</v>
      </c>
      <c r="L185" s="13">
        <v>0.92803426248548204</v>
      </c>
      <c r="M185" s="12">
        <v>12879</v>
      </c>
      <c r="N185" s="13">
        <v>0.93034712793614338</v>
      </c>
      <c r="O185" s="12">
        <v>13464</v>
      </c>
      <c r="P185" s="13">
        <v>0.93164778286812377</v>
      </c>
      <c r="Q185" s="12">
        <v>13081</v>
      </c>
      <c r="R185" s="13">
        <v>0.93190735026666938</v>
      </c>
      <c r="S185" s="12">
        <v>14025</v>
      </c>
      <c r="T185" s="13">
        <v>0.92892287899922854</v>
      </c>
      <c r="U185" s="12">
        <v>13015</v>
      </c>
      <c r="V185" s="13">
        <v>0.92683347921911419</v>
      </c>
      <c r="W185" s="12">
        <v>12890</v>
      </c>
      <c r="X185" s="13">
        <v>0.93349246825084486</v>
      </c>
      <c r="Y185" s="12">
        <v>106692</v>
      </c>
      <c r="Z185" s="13">
        <v>0.9305117178834672</v>
      </c>
    </row>
    <row r="186" spans="1:26">
      <c r="A186" t="s">
        <v>5</v>
      </c>
      <c r="B186" t="s">
        <v>84</v>
      </c>
      <c r="C186" s="8">
        <v>46041</v>
      </c>
      <c r="D186" s="9">
        <v>43764</v>
      </c>
      <c r="E186">
        <f>MONTH(C186)</f>
        <v>1</v>
      </c>
      <c r="H186" s="11" t="s">
        <v>205</v>
      </c>
      <c r="I186" s="12">
        <v>15435</v>
      </c>
      <c r="J186" s="13">
        <v>0.93462472302829402</v>
      </c>
      <c r="K186" s="12">
        <v>13953</v>
      </c>
      <c r="L186" s="13">
        <v>0.92955734283443803</v>
      </c>
      <c r="M186" s="12">
        <v>15068</v>
      </c>
      <c r="N186" s="13">
        <v>0.9319304510505908</v>
      </c>
      <c r="O186" s="12">
        <v>14865</v>
      </c>
      <c r="P186" s="13">
        <v>0.93328759008459927</v>
      </c>
      <c r="Q186" s="12">
        <v>11927</v>
      </c>
      <c r="R186" s="13">
        <v>0.93315082740699928</v>
      </c>
      <c r="S186" s="12">
        <v>12804</v>
      </c>
      <c r="T186" s="13">
        <v>0.93031366000248961</v>
      </c>
      <c r="U186" s="12">
        <v>11077</v>
      </c>
      <c r="V186" s="13">
        <v>0.92800674407510253</v>
      </c>
      <c r="W186" s="12">
        <v>11562</v>
      </c>
      <c r="X186" s="13">
        <v>0.93473364331578601</v>
      </c>
      <c r="Y186" s="12">
        <v>106691</v>
      </c>
      <c r="Z186" s="13">
        <v>0.93194498379298951</v>
      </c>
    </row>
    <row r="187" spans="1:26">
      <c r="A187" t="s">
        <v>5</v>
      </c>
      <c r="B187" t="s">
        <v>204</v>
      </c>
      <c r="C187" s="8">
        <v>46041</v>
      </c>
      <c r="D187" s="9">
        <v>46918</v>
      </c>
      <c r="E187">
        <f>MONTH(C187)</f>
        <v>1</v>
      </c>
      <c r="H187" s="11" t="s">
        <v>186</v>
      </c>
      <c r="I187" s="12">
        <v>13261</v>
      </c>
      <c r="J187" s="13">
        <v>0.93607532405252047</v>
      </c>
      <c r="K187" s="12">
        <v>13573</v>
      </c>
      <c r="L187" s="13">
        <v>0.93103894317675717</v>
      </c>
      <c r="M187" s="12">
        <v>12761</v>
      </c>
      <c r="N187" s="13">
        <v>0.93327135802321248</v>
      </c>
      <c r="O187" s="12">
        <v>12819</v>
      </c>
      <c r="P187" s="13">
        <v>0.93470169628762645</v>
      </c>
      <c r="Q187" s="12">
        <v>13708</v>
      </c>
      <c r="R187" s="13">
        <v>0.93457998684689558</v>
      </c>
      <c r="S187" s="12">
        <v>13264</v>
      </c>
      <c r="T187" s="13">
        <v>0.93175440658381214</v>
      </c>
      <c r="U187" s="12">
        <v>13560</v>
      </c>
      <c r="V187" s="13">
        <v>0.92944300582893491</v>
      </c>
      <c r="W187" s="12">
        <v>13233</v>
      </c>
      <c r="X187" s="13">
        <v>0.93615419941631928</v>
      </c>
      <c r="Y187" s="12">
        <v>106179</v>
      </c>
      <c r="Z187" s="13">
        <v>0.93337137159521433</v>
      </c>
    </row>
    <row r="188" spans="1:26">
      <c r="A188" t="s">
        <v>26</v>
      </c>
      <c r="B188" t="s">
        <v>205</v>
      </c>
      <c r="C188" s="8">
        <v>46042</v>
      </c>
      <c r="D188" s="9">
        <v>15435</v>
      </c>
      <c r="E188">
        <f>MONTH(C188)</f>
        <v>1</v>
      </c>
      <c r="H188" s="11" t="s">
        <v>138</v>
      </c>
      <c r="I188" s="12">
        <v>13392</v>
      </c>
      <c r="J188" s="13">
        <v>0.93754025497148896</v>
      </c>
      <c r="K188" s="12">
        <v>13671</v>
      </c>
      <c r="L188" s="13">
        <v>0.93253124099447227</v>
      </c>
      <c r="M188" s="12">
        <v>12976</v>
      </c>
      <c r="N188" s="13">
        <v>0.93463485687727865</v>
      </c>
      <c r="O188" s="12">
        <v>12645</v>
      </c>
      <c r="P188" s="13">
        <v>0.93609660797631355</v>
      </c>
      <c r="Q188" s="12">
        <v>13351</v>
      </c>
      <c r="R188" s="13">
        <v>0.9359719264210169</v>
      </c>
      <c r="S188" s="12">
        <v>13176</v>
      </c>
      <c r="T188" s="13">
        <v>0.93318559453280991</v>
      </c>
      <c r="U188" s="12">
        <v>13503</v>
      </c>
      <c r="V188" s="13">
        <v>0.93087323019928869</v>
      </c>
      <c r="W188" s="12">
        <v>12728</v>
      </c>
      <c r="X188" s="13">
        <v>0.93752054401297813</v>
      </c>
      <c r="Y188" s="12">
        <v>105442</v>
      </c>
      <c r="Z188" s="13">
        <v>0.93478785868439562</v>
      </c>
    </row>
    <row r="189" spans="1:26">
      <c r="A189" t="s">
        <v>30</v>
      </c>
      <c r="B189" t="s">
        <v>206</v>
      </c>
      <c r="C189" s="8">
        <v>46042</v>
      </c>
      <c r="D189" s="9">
        <v>11591</v>
      </c>
      <c r="E189">
        <f>MONTH(C189)</f>
        <v>1</v>
      </c>
      <c r="H189" s="11" t="s">
        <v>237</v>
      </c>
      <c r="I189" s="12">
        <v>5200</v>
      </c>
      <c r="J189" s="13">
        <v>0.93810907522078979</v>
      </c>
      <c r="K189" s="12">
        <v>5200</v>
      </c>
      <c r="L189" s="13">
        <v>0.93309886213792326</v>
      </c>
      <c r="M189" s="12">
        <v>23429</v>
      </c>
      <c r="N189" s="13">
        <v>0.93709674148362254</v>
      </c>
      <c r="O189" s="12">
        <v>8094</v>
      </c>
      <c r="P189" s="13">
        <v>0.93698948383303415</v>
      </c>
      <c r="Q189" s="12">
        <v>5200</v>
      </c>
      <c r="R189" s="13">
        <v>0.93651406452194053</v>
      </c>
      <c r="S189" s="12">
        <v>27576</v>
      </c>
      <c r="T189" s="13">
        <v>0.93618092231677785</v>
      </c>
      <c r="U189" s="12">
        <v>24914</v>
      </c>
      <c r="V189" s="13">
        <v>0.93351209637443466</v>
      </c>
      <c r="W189" s="12">
        <v>5200</v>
      </c>
      <c r="X189" s="13">
        <v>0.93807876147861502</v>
      </c>
      <c r="Y189" s="12">
        <v>104813</v>
      </c>
      <c r="Z189" s="13">
        <v>0.9361958959112916</v>
      </c>
    </row>
    <row r="190" spans="1:26">
      <c r="A190" t="s">
        <v>8</v>
      </c>
      <c r="B190" t="s">
        <v>207</v>
      </c>
      <c r="C190" s="8">
        <v>46042</v>
      </c>
      <c r="D190" s="9">
        <v>9389</v>
      </c>
      <c r="E190">
        <f>MONTH(C190)</f>
        <v>1</v>
      </c>
      <c r="H190" s="11" t="s">
        <v>282</v>
      </c>
      <c r="I190" s="12">
        <v>12784</v>
      </c>
      <c r="J190" s="13">
        <v>0.93950749792599386</v>
      </c>
      <c r="K190" s="12">
        <v>13341</v>
      </c>
      <c r="L190" s="13">
        <v>0.93455513784461153</v>
      </c>
      <c r="M190" s="12">
        <v>12808</v>
      </c>
      <c r="N190" s="13">
        <v>0.93844258714660644</v>
      </c>
      <c r="O190" s="12">
        <v>12640</v>
      </c>
      <c r="P190" s="13">
        <v>0.93838384395521723</v>
      </c>
      <c r="Q190" s="12">
        <v>13406</v>
      </c>
      <c r="R190" s="13">
        <v>0.93791173824905238</v>
      </c>
      <c r="S190" s="12">
        <v>13379</v>
      </c>
      <c r="T190" s="13">
        <v>0.93763416029261581</v>
      </c>
      <c r="U190" s="12">
        <v>12703</v>
      </c>
      <c r="V190" s="13">
        <v>0.93485758553807274</v>
      </c>
      <c r="W190" s="12">
        <v>13142</v>
      </c>
      <c r="X190" s="13">
        <v>0.93948954877349966</v>
      </c>
      <c r="Y190" s="12">
        <v>104203</v>
      </c>
      <c r="Z190" s="13">
        <v>0.93759573851816524</v>
      </c>
    </row>
    <row r="191" spans="1:26">
      <c r="A191" t="s">
        <v>6</v>
      </c>
      <c r="B191" t="s">
        <v>208</v>
      </c>
      <c r="C191" s="8">
        <v>46042</v>
      </c>
      <c r="D191" s="9">
        <v>19004</v>
      </c>
      <c r="E191">
        <f>MONTH(C191)</f>
        <v>1</v>
      </c>
      <c r="H191" s="11" t="s">
        <v>81</v>
      </c>
      <c r="I191" s="12">
        <v>14801</v>
      </c>
      <c r="J191" s="13">
        <v>0.94112655725482097</v>
      </c>
      <c r="K191" s="12">
        <v>10441</v>
      </c>
      <c r="L191" s="13">
        <v>0.9356948556059137</v>
      </c>
      <c r="M191" s="12">
        <v>16001</v>
      </c>
      <c r="N191" s="13">
        <v>0.94012394851867132</v>
      </c>
      <c r="O191" s="12">
        <v>9682</v>
      </c>
      <c r="P191" s="13">
        <v>0.93945189733361723</v>
      </c>
      <c r="Q191" s="12">
        <v>11804</v>
      </c>
      <c r="R191" s="13">
        <v>0.93914239173814895</v>
      </c>
      <c r="S191" s="12">
        <v>13060</v>
      </c>
      <c r="T191" s="13">
        <v>0.93905274822627627</v>
      </c>
      <c r="U191" s="12">
        <v>15424</v>
      </c>
      <c r="V191" s="13">
        <v>0.93649128032355289</v>
      </c>
      <c r="W191" s="12">
        <v>12973</v>
      </c>
      <c r="X191" s="13">
        <v>0.94088219400075102</v>
      </c>
      <c r="Y191" s="12">
        <v>104186</v>
      </c>
      <c r="Z191" s="13">
        <v>0.93899535275038248</v>
      </c>
    </row>
    <row r="192" spans="1:26">
      <c r="A192" t="s">
        <v>29</v>
      </c>
      <c r="B192" t="s">
        <v>57</v>
      </c>
      <c r="C192" s="8">
        <v>46042</v>
      </c>
      <c r="D192" s="9">
        <v>11857</v>
      </c>
      <c r="E192">
        <f>MONTH(C192)</f>
        <v>1</v>
      </c>
      <c r="H192" s="11" t="s">
        <v>213</v>
      </c>
      <c r="I192" s="12">
        <v>12229</v>
      </c>
      <c r="J192" s="13">
        <v>0.94246426933726313</v>
      </c>
      <c r="K192" s="12">
        <v>13282</v>
      </c>
      <c r="L192" s="13">
        <v>0.93714469099578213</v>
      </c>
      <c r="M192" s="12">
        <v>13160</v>
      </c>
      <c r="N192" s="13">
        <v>0.94150678182011338</v>
      </c>
      <c r="O192" s="12">
        <v>13078</v>
      </c>
      <c r="P192" s="13">
        <v>0.94089457468155313</v>
      </c>
      <c r="Q192" s="12">
        <v>13237</v>
      </c>
      <c r="R192" s="13">
        <v>0.94052244597698087</v>
      </c>
      <c r="S192" s="12">
        <v>12841</v>
      </c>
      <c r="T192" s="13">
        <v>0.94044754819994658</v>
      </c>
      <c r="U192" s="12">
        <v>13328</v>
      </c>
      <c r="V192" s="13">
        <v>0.93790296886743774</v>
      </c>
      <c r="W192" s="12">
        <v>12723</v>
      </c>
      <c r="X192" s="13">
        <v>0.94224800184984681</v>
      </c>
      <c r="Y192" s="12">
        <v>103878</v>
      </c>
      <c r="Z192" s="13">
        <v>0.94039082937117857</v>
      </c>
    </row>
    <row r="193" spans="1:26">
      <c r="A193" t="s">
        <v>9</v>
      </c>
      <c r="B193" t="s">
        <v>96</v>
      </c>
      <c r="C193" s="8">
        <v>46042</v>
      </c>
      <c r="D193" s="9">
        <v>32415</v>
      </c>
      <c r="E193">
        <f>MONTH(C193)</f>
        <v>1</v>
      </c>
      <c r="H193" s="11" t="s">
        <v>257</v>
      </c>
      <c r="I193" s="12">
        <v>19996</v>
      </c>
      <c r="J193" s="13">
        <v>0.94465160197284359</v>
      </c>
      <c r="K193" s="12">
        <v>5200</v>
      </c>
      <c r="L193" s="13">
        <v>0.93771231213923312</v>
      </c>
      <c r="M193" s="12">
        <v>5200</v>
      </c>
      <c r="N193" s="13">
        <v>0.94205319011551591</v>
      </c>
      <c r="O193" s="12">
        <v>11238</v>
      </c>
      <c r="P193" s="13">
        <v>0.9421342755560066</v>
      </c>
      <c r="Q193" s="12">
        <v>24303</v>
      </c>
      <c r="R193" s="13">
        <v>0.94305621179750887</v>
      </c>
      <c r="S193" s="12">
        <v>8010</v>
      </c>
      <c r="T193" s="13">
        <v>0.94131760098314876</v>
      </c>
      <c r="U193" s="12">
        <v>21847</v>
      </c>
      <c r="V193" s="13">
        <v>0.94021698144383703</v>
      </c>
      <c r="W193" s="12">
        <v>7645</v>
      </c>
      <c r="X193" s="13">
        <v>0.94306868887384565</v>
      </c>
      <c r="Y193" s="12">
        <v>103439</v>
      </c>
      <c r="Z193" s="13">
        <v>0.94178040855231926</v>
      </c>
    </row>
    <row r="194" spans="1:26">
      <c r="A194" t="s">
        <v>5</v>
      </c>
      <c r="B194" t="s">
        <v>133</v>
      </c>
      <c r="C194" s="8">
        <v>46042</v>
      </c>
      <c r="D194" s="9">
        <v>50350</v>
      </c>
      <c r="E194">
        <f>MONTH(C194)</f>
        <v>1</v>
      </c>
      <c r="H194" s="11" t="s">
        <v>228</v>
      </c>
      <c r="I194" s="12">
        <v>13370</v>
      </c>
      <c r="J194" s="13">
        <v>0.94611412634460357</v>
      </c>
      <c r="K194" s="12">
        <v>12716</v>
      </c>
      <c r="L194" s="13">
        <v>0.93910036415079512</v>
      </c>
      <c r="M194" s="12">
        <v>12950</v>
      </c>
      <c r="N194" s="13">
        <v>0.94341395692810515</v>
      </c>
      <c r="O194" s="12">
        <v>13244</v>
      </c>
      <c r="P194" s="13">
        <v>0.94359526491187617</v>
      </c>
      <c r="Q194" s="12">
        <v>12759</v>
      </c>
      <c r="R194" s="13">
        <v>0.94438643103398667</v>
      </c>
      <c r="S194" s="12">
        <v>12609</v>
      </c>
      <c r="T194" s="13">
        <v>0.94268720092614455</v>
      </c>
      <c r="U194" s="12">
        <v>12720</v>
      </c>
      <c r="V194" s="13">
        <v>0.94156427123061792</v>
      </c>
      <c r="W194" s="12">
        <v>12816</v>
      </c>
      <c r="X194" s="13">
        <v>0.94444448022761529</v>
      </c>
      <c r="Y194" s="12">
        <v>103184</v>
      </c>
      <c r="Z194" s="13">
        <v>0.94316656211361438</v>
      </c>
    </row>
    <row r="195" spans="1:26">
      <c r="A195" t="s">
        <v>5</v>
      </c>
      <c r="B195" t="s">
        <v>209</v>
      </c>
      <c r="C195" s="8">
        <v>46042</v>
      </c>
      <c r="D195" s="9">
        <v>46255</v>
      </c>
      <c r="E195">
        <f>MONTH(C195)</f>
        <v>1</v>
      </c>
      <c r="H195" s="11" t="s">
        <v>78</v>
      </c>
      <c r="I195" s="12">
        <v>9697</v>
      </c>
      <c r="J195" s="13">
        <v>0.94717486672104001</v>
      </c>
      <c r="K195" s="12">
        <v>13382</v>
      </c>
      <c r="L195" s="13">
        <v>0.94056111533188369</v>
      </c>
      <c r="M195" s="12">
        <v>12999</v>
      </c>
      <c r="N195" s="13">
        <v>0.94477987258809337</v>
      </c>
      <c r="O195" s="12">
        <v>9698</v>
      </c>
      <c r="P195" s="13">
        <v>0.94466508330308907</v>
      </c>
      <c r="Q195" s="12">
        <v>12106</v>
      </c>
      <c r="R195" s="13">
        <v>0.94564857023586757</v>
      </c>
      <c r="S195" s="12">
        <v>14759</v>
      </c>
      <c r="T195" s="13">
        <v>0.94429033563616716</v>
      </c>
      <c r="U195" s="12">
        <v>16576</v>
      </c>
      <c r="V195" s="13">
        <v>0.94331998471376866</v>
      </c>
      <c r="W195" s="12">
        <v>13920</v>
      </c>
      <c r="X195" s="13">
        <v>0.94593878544332022</v>
      </c>
      <c r="Y195" s="12">
        <v>103137</v>
      </c>
      <c r="Z195" s="13">
        <v>0.94455208428615378</v>
      </c>
    </row>
    <row r="196" spans="1:26">
      <c r="A196" t="s">
        <v>5</v>
      </c>
      <c r="B196" t="s">
        <v>210</v>
      </c>
      <c r="C196" s="8">
        <v>46042</v>
      </c>
      <c r="D196" s="9">
        <v>36569</v>
      </c>
      <c r="E196">
        <f>MONTH(C196)</f>
        <v>1</v>
      </c>
      <c r="H196" s="11" t="s">
        <v>59</v>
      </c>
      <c r="I196" s="12">
        <v>12745</v>
      </c>
      <c r="J196" s="13">
        <v>0.94856902327437442</v>
      </c>
      <c r="K196" s="12">
        <v>13104</v>
      </c>
      <c r="L196" s="13">
        <v>0.9419915206133801</v>
      </c>
      <c r="M196" s="12">
        <v>12450</v>
      </c>
      <c r="N196" s="13">
        <v>0.94608810014150924</v>
      </c>
      <c r="O196" s="12">
        <v>13130</v>
      </c>
      <c r="P196" s="13">
        <v>0.94611349694266689</v>
      </c>
      <c r="Q196" s="12">
        <v>13107</v>
      </c>
      <c r="R196" s="13">
        <v>0.94701507102217641</v>
      </c>
      <c r="S196" s="12">
        <v>13044</v>
      </c>
      <c r="T196" s="13">
        <v>0.94570718563667766</v>
      </c>
      <c r="U196" s="12">
        <v>12567</v>
      </c>
      <c r="V196" s="13">
        <v>0.94465106889226513</v>
      </c>
      <c r="W196" s="12">
        <v>12793</v>
      </c>
      <c r="X196" s="13">
        <v>0.94731210775829955</v>
      </c>
      <c r="Y196" s="12">
        <v>102940</v>
      </c>
      <c r="Z196" s="13">
        <v>0.94593495999944011</v>
      </c>
    </row>
    <row r="197" spans="1:26">
      <c r="A197" t="s">
        <v>5</v>
      </c>
      <c r="B197" t="s">
        <v>211</v>
      </c>
      <c r="C197" s="8">
        <v>46042</v>
      </c>
      <c r="D197" s="9">
        <v>23196</v>
      </c>
      <c r="E197">
        <f>MONTH(C197)</f>
        <v>1</v>
      </c>
      <c r="H197" s="11" t="s">
        <v>278</v>
      </c>
      <c r="I197" s="12">
        <v>14357</v>
      </c>
      <c r="J197" s="13">
        <v>0.95013951410499198</v>
      </c>
      <c r="K197" s="12">
        <v>12075</v>
      </c>
      <c r="L197" s="13">
        <v>0.94330960240322059</v>
      </c>
      <c r="M197" s="12">
        <v>15426</v>
      </c>
      <c r="N197" s="13">
        <v>0.94770904136552481</v>
      </c>
      <c r="O197" s="12">
        <v>13275</v>
      </c>
      <c r="P197" s="13">
        <v>0.94757790601086145</v>
      </c>
      <c r="Q197" s="12">
        <v>12612</v>
      </c>
      <c r="R197" s="13">
        <v>0.94832996443157025</v>
      </c>
      <c r="S197" s="12">
        <v>9426</v>
      </c>
      <c r="T197" s="13">
        <v>0.94673104550365195</v>
      </c>
      <c r="U197" s="12">
        <v>10126</v>
      </c>
      <c r="V197" s="13">
        <v>0.94572360477127004</v>
      </c>
      <c r="W197" s="12">
        <v>15211</v>
      </c>
      <c r="X197" s="13">
        <v>0.94894500119480008</v>
      </c>
      <c r="Y197" s="12">
        <v>102508</v>
      </c>
      <c r="Z197" s="13">
        <v>0.94731203230969407</v>
      </c>
    </row>
    <row r="198" spans="1:26">
      <c r="A198" t="s">
        <v>5</v>
      </c>
      <c r="B198" t="s">
        <v>212</v>
      </c>
      <c r="C198" s="8">
        <v>46042</v>
      </c>
      <c r="D198" s="9">
        <v>32525</v>
      </c>
      <c r="E198">
        <f>MONTH(C198)</f>
        <v>1</v>
      </c>
      <c r="H198" s="11" t="s">
        <v>161</v>
      </c>
      <c r="I198" s="12">
        <v>10607</v>
      </c>
      <c r="J198" s="13">
        <v>0.95129979802505604</v>
      </c>
      <c r="K198" s="12">
        <v>10986</v>
      </c>
      <c r="L198" s="13">
        <v>0.94450881122667296</v>
      </c>
      <c r="M198" s="12">
        <v>15912</v>
      </c>
      <c r="N198" s="13">
        <v>0.94938105074945678</v>
      </c>
      <c r="O198" s="12">
        <v>14482</v>
      </c>
      <c r="P198" s="13">
        <v>0.9491754632331284</v>
      </c>
      <c r="Q198" s="12">
        <v>15363</v>
      </c>
      <c r="R198" s="13">
        <v>0.94993166974781817</v>
      </c>
      <c r="S198" s="12">
        <v>9540</v>
      </c>
      <c r="T198" s="13">
        <v>0.94776728814431965</v>
      </c>
      <c r="U198" s="12">
        <v>15560</v>
      </c>
      <c r="V198" s="13">
        <v>0.94737170454189179</v>
      </c>
      <c r="W198" s="12">
        <v>9272</v>
      </c>
      <c r="X198" s="13">
        <v>0.94994034587583565</v>
      </c>
      <c r="Y198" s="12">
        <v>101722</v>
      </c>
      <c r="Z198" s="13">
        <v>0.94867854565054222</v>
      </c>
    </row>
    <row r="199" spans="1:26">
      <c r="A199" t="s">
        <v>5</v>
      </c>
      <c r="B199" t="s">
        <v>204</v>
      </c>
      <c r="C199" s="8">
        <v>46042</v>
      </c>
      <c r="D199" s="9">
        <v>36055</v>
      </c>
      <c r="E199">
        <f>MONTH(C199)</f>
        <v>1</v>
      </c>
      <c r="H199" s="11" t="s">
        <v>149</v>
      </c>
      <c r="I199" s="12">
        <v>12316</v>
      </c>
      <c r="J199" s="13">
        <v>0.9526470269078231</v>
      </c>
      <c r="K199" s="12">
        <v>12072</v>
      </c>
      <c r="L199" s="13">
        <v>0.94582656554277678</v>
      </c>
      <c r="M199" s="12">
        <v>13197</v>
      </c>
      <c r="N199" s="13">
        <v>0.95076777195607765</v>
      </c>
      <c r="O199" s="12">
        <v>12365</v>
      </c>
      <c r="P199" s="13">
        <v>0.95053948719758985</v>
      </c>
      <c r="Q199" s="12">
        <v>12604</v>
      </c>
      <c r="R199" s="13">
        <v>0.95124572909859528</v>
      </c>
      <c r="S199" s="12">
        <v>12626</v>
      </c>
      <c r="T199" s="13">
        <v>0.94913873464128728</v>
      </c>
      <c r="U199" s="12">
        <v>12695</v>
      </c>
      <c r="V199" s="13">
        <v>0.94871634635346269</v>
      </c>
      <c r="W199" s="12">
        <v>12318</v>
      </c>
      <c r="X199" s="13">
        <v>0.95126267717231938</v>
      </c>
      <c r="Y199" s="12">
        <v>100193</v>
      </c>
      <c r="Z199" s="13">
        <v>0.95002451870612104</v>
      </c>
    </row>
    <row r="200" spans="1:26">
      <c r="A200" t="s">
        <v>27</v>
      </c>
      <c r="B200" t="s">
        <v>213</v>
      </c>
      <c r="C200" s="8">
        <v>46043</v>
      </c>
      <c r="D200" s="9">
        <v>12229</v>
      </c>
      <c r="E200">
        <f>MONTH(C200)</f>
        <v>1</v>
      </c>
      <c r="H200" s="11" t="s">
        <v>224</v>
      </c>
      <c r="I200" s="12">
        <v>12139</v>
      </c>
      <c r="J200" s="13">
        <v>0.95397489402441205</v>
      </c>
      <c r="K200" s="12">
        <v>12253</v>
      </c>
      <c r="L200" s="13">
        <v>0.94716407744098918</v>
      </c>
      <c r="M200" s="12">
        <v>12414</v>
      </c>
      <c r="N200" s="13">
        <v>0.95207221668283304</v>
      </c>
      <c r="O200" s="12">
        <v>12205</v>
      </c>
      <c r="P200" s="13">
        <v>0.95188586103392248</v>
      </c>
      <c r="Q200" s="12">
        <v>13032</v>
      </c>
      <c r="R200" s="13">
        <v>0.95260441058537149</v>
      </c>
      <c r="S200" s="12">
        <v>12805</v>
      </c>
      <c r="T200" s="13">
        <v>0.95052962426537024</v>
      </c>
      <c r="U200" s="12">
        <v>12553</v>
      </c>
      <c r="V200" s="13">
        <v>0.95004594766584161</v>
      </c>
      <c r="W200" s="12">
        <v>12669</v>
      </c>
      <c r="X200" s="13">
        <v>0.95262268814773354</v>
      </c>
      <c r="Y200" s="12">
        <v>100070</v>
      </c>
      <c r="Z200" s="13">
        <v>0.95136883940389216</v>
      </c>
    </row>
    <row r="201" spans="1:26">
      <c r="A201" t="s">
        <v>25</v>
      </c>
      <c r="B201" t="s">
        <v>214</v>
      </c>
      <c r="C201" s="8">
        <v>46043</v>
      </c>
      <c r="D201" s="9">
        <v>14539</v>
      </c>
      <c r="E201">
        <f>MONTH(C201)</f>
        <v>1</v>
      </c>
      <c r="H201" s="11" t="s">
        <v>255</v>
      </c>
      <c r="I201" s="12">
        <v>8621</v>
      </c>
      <c r="J201" s="13">
        <v>0.95491793236464706</v>
      </c>
      <c r="K201" s="12">
        <v>22924</v>
      </c>
      <c r="L201" s="13">
        <v>0.94966641342031033</v>
      </c>
      <c r="M201" s="12">
        <v>17639</v>
      </c>
      <c r="N201" s="13">
        <v>0.95392569666794969</v>
      </c>
      <c r="O201" s="12">
        <v>5200</v>
      </c>
      <c r="P201" s="13">
        <v>0.9524594901981116</v>
      </c>
      <c r="Q201" s="12">
        <v>5200</v>
      </c>
      <c r="R201" s="13">
        <v>0.95314654868629511</v>
      </c>
      <c r="S201" s="12">
        <v>25547</v>
      </c>
      <c r="T201" s="13">
        <v>0.95330456040175804</v>
      </c>
      <c r="U201" s="12">
        <v>5200</v>
      </c>
      <c r="V201" s="13">
        <v>0.95059672650949412</v>
      </c>
      <c r="W201" s="12">
        <v>9648</v>
      </c>
      <c r="X201" s="13">
        <v>0.95365839624551518</v>
      </c>
      <c r="Y201" s="12">
        <v>99979</v>
      </c>
      <c r="Z201" s="13">
        <v>0.95271193762556161</v>
      </c>
    </row>
    <row r="202" spans="1:26">
      <c r="A202" t="s">
        <v>25</v>
      </c>
      <c r="B202" t="s">
        <v>215</v>
      </c>
      <c r="C202" s="8">
        <v>46043</v>
      </c>
      <c r="D202" s="9">
        <v>12898</v>
      </c>
      <c r="E202">
        <f>MONTH(C202)</f>
        <v>1</v>
      </c>
      <c r="H202" s="11" t="s">
        <v>191</v>
      </c>
      <c r="I202" s="12">
        <v>11913</v>
      </c>
      <c r="J202" s="13">
        <v>0.95622107767809328</v>
      </c>
      <c r="K202" s="12">
        <v>12823</v>
      </c>
      <c r="L202" s="13">
        <v>0.951066145328478</v>
      </c>
      <c r="M202" s="12">
        <v>12046</v>
      </c>
      <c r="N202" s="13">
        <v>0.95519147249995351</v>
      </c>
      <c r="O202" s="12">
        <v>12438</v>
      </c>
      <c r="P202" s="13">
        <v>0.95383156703353189</v>
      </c>
      <c r="Q202" s="12">
        <v>12396</v>
      </c>
      <c r="R202" s="13">
        <v>0.9544389225130353</v>
      </c>
      <c r="S202" s="12">
        <v>12164</v>
      </c>
      <c r="T202" s="13">
        <v>0.9546258240790203</v>
      </c>
      <c r="U202" s="12">
        <v>12702</v>
      </c>
      <c r="V202" s="13">
        <v>0.95194210975412386</v>
      </c>
      <c r="W202" s="12">
        <v>12949</v>
      </c>
      <c r="X202" s="13">
        <v>0.95504846508446362</v>
      </c>
      <c r="Y202" s="12">
        <v>99431</v>
      </c>
      <c r="Z202" s="13">
        <v>0.95404767412301417</v>
      </c>
    </row>
    <row r="203" spans="1:26">
      <c r="A203" t="s">
        <v>26</v>
      </c>
      <c r="B203" t="s">
        <v>216</v>
      </c>
      <c r="C203" s="8">
        <v>46043</v>
      </c>
      <c r="D203" s="9">
        <v>12199</v>
      </c>
      <c r="E203">
        <f>MONTH(C203)</f>
        <v>1</v>
      </c>
      <c r="H203" s="11" t="s">
        <v>104</v>
      </c>
      <c r="I203" s="12">
        <v>12631</v>
      </c>
      <c r="J203" s="13">
        <v>0.9576027639413468</v>
      </c>
      <c r="K203" s="12">
        <v>12838</v>
      </c>
      <c r="L203" s="13">
        <v>0.95246751460532864</v>
      </c>
      <c r="M203" s="12">
        <v>12136</v>
      </c>
      <c r="N203" s="13">
        <v>0.95646670539860856</v>
      </c>
      <c r="O203" s="12">
        <v>12453</v>
      </c>
      <c r="P203" s="13">
        <v>0.95520529856846426</v>
      </c>
      <c r="Q203" s="12">
        <v>12037</v>
      </c>
      <c r="R203" s="13">
        <v>0.9556938679593463</v>
      </c>
      <c r="S203" s="12">
        <v>12218</v>
      </c>
      <c r="T203" s="13">
        <v>0.95595295328066388</v>
      </c>
      <c r="U203" s="12">
        <v>12425</v>
      </c>
      <c r="V203" s="13">
        <v>0.95325815343342823</v>
      </c>
      <c r="W203" s="12">
        <v>12468</v>
      </c>
      <c r="X203" s="13">
        <v>0.95638689880784067</v>
      </c>
      <c r="Y203" s="12">
        <v>99206</v>
      </c>
      <c r="Z203" s="13">
        <v>0.95538038801472069</v>
      </c>
    </row>
    <row r="204" spans="1:26">
      <c r="A204" t="s">
        <v>6</v>
      </c>
      <c r="B204" t="s">
        <v>217</v>
      </c>
      <c r="C204" s="8">
        <v>46043</v>
      </c>
      <c r="D204" s="9">
        <v>21865</v>
      </c>
      <c r="E204">
        <f>MONTH(C204)</f>
        <v>1</v>
      </c>
      <c r="H204" s="11" t="s">
        <v>48</v>
      </c>
      <c r="I204" s="12">
        <v>11887</v>
      </c>
      <c r="J204" s="13">
        <v>0.95890306515354651</v>
      </c>
      <c r="K204" s="12">
        <v>12867</v>
      </c>
      <c r="L204" s="13">
        <v>0.95387204946163318</v>
      </c>
      <c r="M204" s="12">
        <v>12889</v>
      </c>
      <c r="N204" s="13">
        <v>0.95782106242157861</v>
      </c>
      <c r="O204" s="12">
        <v>12041</v>
      </c>
      <c r="P204" s="13">
        <v>0.95653358102346475</v>
      </c>
      <c r="Q204" s="12">
        <v>11879</v>
      </c>
      <c r="R204" s="13">
        <v>0.9569323407479754</v>
      </c>
      <c r="S204" s="12">
        <v>12671</v>
      </c>
      <c r="T204" s="13">
        <v>0.95732928771461578</v>
      </c>
      <c r="U204" s="12">
        <v>12140</v>
      </c>
      <c r="V204" s="13">
        <v>0.95454401019534008</v>
      </c>
      <c r="W204" s="12">
        <v>12806</v>
      </c>
      <c r="X204" s="13">
        <v>0.95776161666648418</v>
      </c>
      <c r="Y204" s="12">
        <v>99180</v>
      </c>
      <c r="Z204" s="13">
        <v>0.95671275262754107</v>
      </c>
    </row>
    <row r="205" spans="1:26">
      <c r="A205" t="s">
        <v>6</v>
      </c>
      <c r="B205" t="s">
        <v>218</v>
      </c>
      <c r="C205" s="8">
        <v>46043</v>
      </c>
      <c r="D205" s="9">
        <v>13217</v>
      </c>
      <c r="E205">
        <f>MONTH(C205)</f>
        <v>1</v>
      </c>
      <c r="H205" s="11" t="s">
        <v>168</v>
      </c>
      <c r="I205" s="12">
        <v>12119</v>
      </c>
      <c r="J205" s="13">
        <v>0.96022874449994577</v>
      </c>
      <c r="K205" s="12">
        <v>12045</v>
      </c>
      <c r="L205" s="13">
        <v>0.95518685651410762</v>
      </c>
      <c r="M205" s="12">
        <v>12006</v>
      </c>
      <c r="N205" s="13">
        <v>0.95908263511284852</v>
      </c>
      <c r="O205" s="12">
        <v>12195</v>
      </c>
      <c r="P205" s="13">
        <v>0.95787885172678922</v>
      </c>
      <c r="Q205" s="12">
        <v>12889</v>
      </c>
      <c r="R205" s="13">
        <v>0.95827611343697627</v>
      </c>
      <c r="S205" s="12">
        <v>12046</v>
      </c>
      <c r="T205" s="13">
        <v>0.95863773413489706</v>
      </c>
      <c r="U205" s="12">
        <v>12617</v>
      </c>
      <c r="V205" s="13">
        <v>0.9558803903242562</v>
      </c>
      <c r="W205" s="12">
        <v>12533</v>
      </c>
      <c r="X205" s="13">
        <v>0.95910702810818171</v>
      </c>
      <c r="Y205" s="12">
        <v>98450</v>
      </c>
      <c r="Z205" s="13">
        <v>0.95803531056394131</v>
      </c>
    </row>
    <row r="206" spans="1:26">
      <c r="A206" t="s">
        <v>9</v>
      </c>
      <c r="B206" t="s">
        <v>219</v>
      </c>
      <c r="C206" s="8">
        <v>46043</v>
      </c>
      <c r="D206" s="9">
        <v>43488</v>
      </c>
      <c r="E206">
        <f>MONTH(C206)</f>
        <v>1</v>
      </c>
      <c r="H206" s="11" t="s">
        <v>247</v>
      </c>
      <c r="I206" s="12">
        <v>11930</v>
      </c>
      <c r="J206" s="13">
        <v>0.96153374941805314</v>
      </c>
      <c r="K206" s="12">
        <v>12897</v>
      </c>
      <c r="L206" s="13">
        <v>0.9565946661077781</v>
      </c>
      <c r="M206" s="12">
        <v>11858</v>
      </c>
      <c r="N206" s="13">
        <v>0.96032865618340324</v>
      </c>
      <c r="O206" s="12">
        <v>12154</v>
      </c>
      <c r="P206" s="13">
        <v>0.95921959958478076</v>
      </c>
      <c r="Q206" s="12">
        <v>12630</v>
      </c>
      <c r="R206" s="13">
        <v>0.959592883478258</v>
      </c>
      <c r="S206" s="12">
        <v>12520</v>
      </c>
      <c r="T206" s="13">
        <v>0.95999766682474619</v>
      </c>
      <c r="U206" s="12">
        <v>12027</v>
      </c>
      <c r="V206" s="13">
        <v>0.95715427823821952</v>
      </c>
      <c r="W206" s="12">
        <v>12268</v>
      </c>
      <c r="X206" s="13">
        <v>0.96042399192903427</v>
      </c>
      <c r="Y206" s="12">
        <v>98284</v>
      </c>
      <c r="Z206" s="13">
        <v>0.95935563848899108</v>
      </c>
    </row>
    <row r="207" spans="1:26">
      <c r="A207" t="s">
        <v>9</v>
      </c>
      <c r="B207" t="s">
        <v>220</v>
      </c>
      <c r="C207" s="8">
        <v>46043</v>
      </c>
      <c r="D207" s="9">
        <v>35008</v>
      </c>
      <c r="E207">
        <f>MONTH(C207)</f>
        <v>1</v>
      </c>
      <c r="H207" s="11" t="s">
        <v>248</v>
      </c>
      <c r="I207" s="12">
        <v>9766</v>
      </c>
      <c r="J207" s="13">
        <v>0.96260203760164376</v>
      </c>
      <c r="K207" s="12">
        <v>14815</v>
      </c>
      <c r="L207" s="13">
        <v>0.95821184057705233</v>
      </c>
      <c r="M207" s="12">
        <v>12972</v>
      </c>
      <c r="N207" s="13">
        <v>0.96169173472339609</v>
      </c>
      <c r="O207" s="12">
        <v>12894</v>
      </c>
      <c r="P207" s="13">
        <v>0.96064197928536832</v>
      </c>
      <c r="Q207" s="12">
        <v>11634</v>
      </c>
      <c r="R207" s="13">
        <v>0.96080581322174741</v>
      </c>
      <c r="S207" s="12">
        <v>9535</v>
      </c>
      <c r="T207" s="13">
        <v>0.96103336636130454</v>
      </c>
      <c r="U207" s="12">
        <v>10768</v>
      </c>
      <c r="V207" s="13">
        <v>0.95829481412061379</v>
      </c>
      <c r="W207" s="12">
        <v>15487</v>
      </c>
      <c r="X207" s="13">
        <v>0.96208651383101851</v>
      </c>
      <c r="Y207" s="12">
        <v>97871</v>
      </c>
      <c r="Z207" s="13">
        <v>0.9606704182532716</v>
      </c>
    </row>
    <row r="208" spans="1:26">
      <c r="A208" t="s">
        <v>5</v>
      </c>
      <c r="B208" t="s">
        <v>221</v>
      </c>
      <c r="C208" s="8">
        <v>46043</v>
      </c>
      <c r="D208" s="9">
        <v>49366</v>
      </c>
      <c r="E208">
        <f>MONTH(C208)</f>
        <v>1</v>
      </c>
      <c r="H208" s="11" t="s">
        <v>57</v>
      </c>
      <c r="I208" s="12">
        <v>11857</v>
      </c>
      <c r="J208" s="13">
        <v>0.96389905715855906</v>
      </c>
      <c r="K208" s="12">
        <v>14624</v>
      </c>
      <c r="L208" s="13">
        <v>0.95980816588509599</v>
      </c>
      <c r="M208" s="12">
        <v>11379</v>
      </c>
      <c r="N208" s="13">
        <v>0.96288742318366261</v>
      </c>
      <c r="O208" s="12">
        <v>9486</v>
      </c>
      <c r="P208" s="13">
        <v>0.96168841125681048</v>
      </c>
      <c r="Q208" s="12">
        <v>14812</v>
      </c>
      <c r="R208" s="13">
        <v>0.9623500727507629</v>
      </c>
      <c r="S208" s="12">
        <v>14050</v>
      </c>
      <c r="T208" s="13">
        <v>0.96255948890861931</v>
      </c>
      <c r="U208" s="12">
        <v>11643</v>
      </c>
      <c r="V208" s="13">
        <v>0.95952802913535351</v>
      </c>
      <c r="W208" s="12">
        <v>9998</v>
      </c>
      <c r="X208" s="13">
        <v>0.96315979425821807</v>
      </c>
      <c r="Y208" s="12">
        <v>97849</v>
      </c>
      <c r="Z208" s="13">
        <v>0.96198490247387924</v>
      </c>
    </row>
    <row r="209" spans="1:26">
      <c r="A209" t="s">
        <v>5</v>
      </c>
      <c r="B209" t="s">
        <v>49</v>
      </c>
      <c r="C209" s="8">
        <v>46043</v>
      </c>
      <c r="D209" s="9">
        <v>41238</v>
      </c>
      <c r="E209">
        <f>MONTH(C209)</f>
        <v>1</v>
      </c>
      <c r="H209" s="11" t="s">
        <v>216</v>
      </c>
      <c r="I209" s="12">
        <v>12199</v>
      </c>
      <c r="J209" s="13">
        <v>0.96523348758571681</v>
      </c>
      <c r="K209" s="12">
        <v>12282</v>
      </c>
      <c r="L209" s="13">
        <v>0.9611488433627623</v>
      </c>
      <c r="M209" s="12">
        <v>12237</v>
      </c>
      <c r="N209" s="13">
        <v>0.96417326901267064</v>
      </c>
      <c r="O209" s="12">
        <v>12139</v>
      </c>
      <c r="P209" s="13">
        <v>0.96302750441528984</v>
      </c>
      <c r="Q209" s="12">
        <v>11766</v>
      </c>
      <c r="R209" s="13">
        <v>0.96357676446142959</v>
      </c>
      <c r="S209" s="12">
        <v>12727</v>
      </c>
      <c r="T209" s="13">
        <v>0.96394190610859609</v>
      </c>
      <c r="U209" s="12">
        <v>11776</v>
      </c>
      <c r="V209" s="13">
        <v>0.9607753313782097</v>
      </c>
      <c r="W209" s="12">
        <v>12502</v>
      </c>
      <c r="X209" s="13">
        <v>0.96450187786502428</v>
      </c>
      <c r="Y209" s="12">
        <v>97628</v>
      </c>
      <c r="Z209" s="13">
        <v>0.96329641782395414</v>
      </c>
    </row>
    <row r="210" spans="1:26">
      <c r="A210" t="s">
        <v>5</v>
      </c>
      <c r="B210" t="s">
        <v>84</v>
      </c>
      <c r="C210" s="8">
        <v>46043</v>
      </c>
      <c r="D210" s="9">
        <v>41259</v>
      </c>
      <c r="E210">
        <f>MONTH(C210)</f>
        <v>1</v>
      </c>
      <c r="H210" s="11" t="s">
        <v>225</v>
      </c>
      <c r="I210" s="12">
        <v>23917</v>
      </c>
      <c r="J210" s="13">
        <v>0.96784973256697204</v>
      </c>
      <c r="K210" s="12">
        <v>5200</v>
      </c>
      <c r="L210" s="13">
        <v>0.96171646450621329</v>
      </c>
      <c r="M210" s="12">
        <v>9385</v>
      </c>
      <c r="N210" s="13">
        <v>0.96515943090735401</v>
      </c>
      <c r="O210" s="12">
        <v>28304</v>
      </c>
      <c r="P210" s="13">
        <v>0.96614981208129203</v>
      </c>
      <c r="Q210" s="12">
        <v>11460</v>
      </c>
      <c r="R210" s="13">
        <v>0.96477155343000354</v>
      </c>
      <c r="S210" s="12">
        <v>5200</v>
      </c>
      <c r="T210" s="13">
        <v>0.96450673438233525</v>
      </c>
      <c r="U210" s="12">
        <v>5200</v>
      </c>
      <c r="V210" s="13">
        <v>0.96132611022186221</v>
      </c>
      <c r="W210" s="12">
        <v>8147</v>
      </c>
      <c r="X210" s="13">
        <v>0.96537645434435959</v>
      </c>
      <c r="Y210" s="12">
        <v>96813</v>
      </c>
      <c r="Z210" s="13">
        <v>0.96459698462432697</v>
      </c>
    </row>
    <row r="211" spans="1:26">
      <c r="A211" t="s">
        <v>5</v>
      </c>
      <c r="B211" t="s">
        <v>124</v>
      </c>
      <c r="C211" s="8">
        <v>46043</v>
      </c>
      <c r="D211" s="9">
        <v>27927</v>
      </c>
      <c r="E211">
        <f>MONTH(C211)</f>
        <v>1</v>
      </c>
      <c r="H211" s="11" t="s">
        <v>95</v>
      </c>
      <c r="I211" s="12">
        <v>19694</v>
      </c>
      <c r="J211" s="13">
        <v>0.9700040298726893</v>
      </c>
      <c r="K211" s="12">
        <v>5200</v>
      </c>
      <c r="L211" s="13">
        <v>0.96228408564966428</v>
      </c>
      <c r="M211" s="12">
        <v>5200</v>
      </c>
      <c r="N211" s="13">
        <v>0.96570583920275666</v>
      </c>
      <c r="O211" s="12">
        <v>5200</v>
      </c>
      <c r="P211" s="13">
        <v>0.96672344124548126</v>
      </c>
      <c r="Q211" s="12">
        <v>22220</v>
      </c>
      <c r="R211" s="13">
        <v>0.96708815123818082</v>
      </c>
      <c r="S211" s="12">
        <v>22910</v>
      </c>
      <c r="T211" s="13">
        <v>0.96699523741144411</v>
      </c>
      <c r="U211" s="12">
        <v>5200</v>
      </c>
      <c r="V211" s="13">
        <v>0.96187688906551472</v>
      </c>
      <c r="W211" s="12">
        <v>10815</v>
      </c>
      <c r="X211" s="13">
        <v>0.96653743932337177</v>
      </c>
      <c r="Y211" s="12">
        <v>96439</v>
      </c>
      <c r="Z211" s="13">
        <v>0.96589252718225993</v>
      </c>
    </row>
    <row r="212" spans="1:26">
      <c r="A212" t="s">
        <v>4</v>
      </c>
      <c r="B212" t="s">
        <v>222</v>
      </c>
      <c r="C212" s="8">
        <v>46044</v>
      </c>
      <c r="D212" s="9">
        <v>34493</v>
      </c>
      <c r="E212">
        <f>MONTH(C212)</f>
        <v>1</v>
      </c>
      <c r="H212" s="11" t="s">
        <v>206</v>
      </c>
      <c r="I212" s="12">
        <v>11591</v>
      </c>
      <c r="J212" s="13">
        <v>0.97127195208608263</v>
      </c>
      <c r="K212" s="12">
        <v>8603</v>
      </c>
      <c r="L212" s="13">
        <v>0.963223171168339</v>
      </c>
      <c r="M212" s="12">
        <v>13333</v>
      </c>
      <c r="N212" s="13">
        <v>0.96710685108787264</v>
      </c>
      <c r="O212" s="12">
        <v>13971</v>
      </c>
      <c r="P212" s="13">
        <v>0.96826462837103655</v>
      </c>
      <c r="Q212" s="12">
        <v>15745</v>
      </c>
      <c r="R212" s="13">
        <v>0.96872968285338124</v>
      </c>
      <c r="S212" s="12">
        <v>11168</v>
      </c>
      <c r="T212" s="13">
        <v>0.96820831475012104</v>
      </c>
      <c r="U212" s="12">
        <v>10303</v>
      </c>
      <c r="V212" s="13">
        <v>0.96296817260900547</v>
      </c>
      <c r="W212" s="12">
        <v>9953</v>
      </c>
      <c r="X212" s="13">
        <v>0.96760588902250322</v>
      </c>
      <c r="Y212" s="12">
        <v>94667</v>
      </c>
      <c r="Z212" s="13">
        <v>0.96716426504071795</v>
      </c>
    </row>
    <row r="213" spans="1:26">
      <c r="A213" t="s">
        <v>4</v>
      </c>
      <c r="B213" t="s">
        <v>223</v>
      </c>
      <c r="C213" s="8">
        <v>46044</v>
      </c>
      <c r="D213" s="9">
        <v>53529</v>
      </c>
      <c r="E213">
        <f>MONTH(C213)</f>
        <v>1</v>
      </c>
      <c r="H213" s="11" t="s">
        <v>110</v>
      </c>
      <c r="I213" s="12">
        <v>12199</v>
      </c>
      <c r="J213" s="13">
        <v>0.97260638251324039</v>
      </c>
      <c r="K213" s="12">
        <v>11841</v>
      </c>
      <c r="L213" s="13">
        <v>0.96451571000672409</v>
      </c>
      <c r="M213" s="12">
        <v>11661</v>
      </c>
      <c r="N213" s="13">
        <v>0.96833217169031305</v>
      </c>
      <c r="O213" s="12">
        <v>11331</v>
      </c>
      <c r="P213" s="13">
        <v>0.96951458838246507</v>
      </c>
      <c r="Q213" s="12">
        <v>11501</v>
      </c>
      <c r="R213" s="13">
        <v>0.96992874637236626</v>
      </c>
      <c r="S213" s="12">
        <v>11863</v>
      </c>
      <c r="T213" s="13">
        <v>0.96949688355999963</v>
      </c>
      <c r="U213" s="12">
        <v>11920</v>
      </c>
      <c r="V213" s="13">
        <v>0.96423072718907055</v>
      </c>
      <c r="W213" s="12">
        <v>12155</v>
      </c>
      <c r="X213" s="13">
        <v>0.96891072234842945</v>
      </c>
      <c r="Y213" s="12">
        <v>94471</v>
      </c>
      <c r="Z213" s="13">
        <v>0.96843336987372619</v>
      </c>
    </row>
    <row r="214" spans="1:26">
      <c r="A214" t="s">
        <v>30</v>
      </c>
      <c r="B214" t="s">
        <v>224</v>
      </c>
      <c r="C214" s="8">
        <v>46044</v>
      </c>
      <c r="D214" s="9">
        <v>12139</v>
      </c>
      <c r="E214">
        <f>MONTH(C214)</f>
        <v>1</v>
      </c>
      <c r="H214" s="11" t="s">
        <v>63</v>
      </c>
      <c r="I214" s="12">
        <v>11664</v>
      </c>
      <c r="J214" s="13">
        <v>0.9738822900878259</v>
      </c>
      <c r="K214" s="12">
        <v>12235</v>
      </c>
      <c r="L214" s="13">
        <v>0.96585125706251695</v>
      </c>
      <c r="M214" s="12">
        <v>11787</v>
      </c>
      <c r="N214" s="13">
        <v>0.96957073218606504</v>
      </c>
      <c r="O214" s="12">
        <v>11309</v>
      </c>
      <c r="P214" s="13">
        <v>0.97076212150127572</v>
      </c>
      <c r="Q214" s="12">
        <v>11692</v>
      </c>
      <c r="R214" s="13">
        <v>0.97114772304082764</v>
      </c>
      <c r="S214" s="12">
        <v>12067</v>
      </c>
      <c r="T214" s="13">
        <v>0.97080761101754032</v>
      </c>
      <c r="U214" s="12">
        <v>11538</v>
      </c>
      <c r="V214" s="13">
        <v>0.9654528207079287</v>
      </c>
      <c r="W214" s="12">
        <v>11936</v>
      </c>
      <c r="X214" s="13">
        <v>0.97019204613109133</v>
      </c>
      <c r="Y214" s="12">
        <v>94228</v>
      </c>
      <c r="Z214" s="13">
        <v>0.9696992102925287</v>
      </c>
    </row>
    <row r="215" spans="1:26">
      <c r="A215" t="s">
        <v>8</v>
      </c>
      <c r="B215" t="s">
        <v>225</v>
      </c>
      <c r="C215" s="8">
        <v>46044</v>
      </c>
      <c r="D215" s="9">
        <v>23917</v>
      </c>
      <c r="E215">
        <f>MONTH(C215)</f>
        <v>1</v>
      </c>
      <c r="H215" s="11" t="s">
        <v>230</v>
      </c>
      <c r="I215" s="12">
        <v>11883</v>
      </c>
      <c r="J215" s="13">
        <v>0.9751821537459876</v>
      </c>
      <c r="K215" s="12">
        <v>12097</v>
      </c>
      <c r="L215" s="13">
        <v>0.96717174032642583</v>
      </c>
      <c r="M215" s="12">
        <v>11284</v>
      </c>
      <c r="N215" s="13">
        <v>0.97075643818708868</v>
      </c>
      <c r="O215" s="12">
        <v>11451</v>
      </c>
      <c r="P215" s="13">
        <v>0.97202531910880086</v>
      </c>
      <c r="Q215" s="12">
        <v>11671</v>
      </c>
      <c r="R215" s="13">
        <v>0.9723645103054197</v>
      </c>
      <c r="S215" s="12">
        <v>11596</v>
      </c>
      <c r="T215" s="13">
        <v>0.97206717806797882</v>
      </c>
      <c r="U215" s="12">
        <v>12242</v>
      </c>
      <c r="V215" s="13">
        <v>0.96674948120869686</v>
      </c>
      <c r="W215" s="12">
        <v>11654</v>
      </c>
      <c r="X215" s="13">
        <v>0.97144309735119372</v>
      </c>
      <c r="Y215" s="12">
        <v>93878</v>
      </c>
      <c r="Z215" s="13">
        <v>0.97096034888017091</v>
      </c>
    </row>
    <row r="216" spans="1:26">
      <c r="A216" t="s">
        <v>29</v>
      </c>
      <c r="B216" t="s">
        <v>51</v>
      </c>
      <c r="C216" s="8">
        <v>46044</v>
      </c>
      <c r="D216" s="9">
        <v>5200</v>
      </c>
      <c r="E216">
        <f>MONTH(C216)</f>
        <v>1</v>
      </c>
      <c r="H216" s="11" t="s">
        <v>87</v>
      </c>
      <c r="I216" s="12">
        <v>11165</v>
      </c>
      <c r="J216" s="13">
        <v>0.97640347645434211</v>
      </c>
      <c r="K216" s="12">
        <v>11322</v>
      </c>
      <c r="L216" s="13">
        <v>0.96840762620837806</v>
      </c>
      <c r="M216" s="12">
        <v>10163</v>
      </c>
      <c r="N216" s="13">
        <v>0.97182435116904575</v>
      </c>
      <c r="O216" s="12">
        <v>12839</v>
      </c>
      <c r="P216" s="13">
        <v>0.97344163157784425</v>
      </c>
      <c r="Q216" s="12">
        <v>10315</v>
      </c>
      <c r="R216" s="13">
        <v>0.97343992463446338</v>
      </c>
      <c r="S216" s="12">
        <v>12160</v>
      </c>
      <c r="T216" s="13">
        <v>0.97338800726195363</v>
      </c>
      <c r="U216" s="12">
        <v>15636</v>
      </c>
      <c r="V216" s="13">
        <v>0.9684056308239567</v>
      </c>
      <c r="W216" s="12">
        <v>10226</v>
      </c>
      <c r="X216" s="13">
        <v>0.97254085346727115</v>
      </c>
      <c r="Y216" s="12">
        <v>93826</v>
      </c>
      <c r="Z216" s="13">
        <v>0.97222078891004071</v>
      </c>
    </row>
    <row r="217" spans="1:26">
      <c r="A217" t="s">
        <v>7</v>
      </c>
      <c r="B217" t="s">
        <v>226</v>
      </c>
      <c r="C217" s="8">
        <v>46044</v>
      </c>
      <c r="D217" s="9">
        <v>21523</v>
      </c>
      <c r="E217">
        <f>MONTH(C217)</f>
        <v>1</v>
      </c>
      <c r="H217" s="11" t="s">
        <v>125</v>
      </c>
      <c r="I217" s="12">
        <v>10652</v>
      </c>
      <c r="J217" s="13">
        <v>0.97756868285733289</v>
      </c>
      <c r="K217" s="12">
        <v>14732</v>
      </c>
      <c r="L217" s="13">
        <v>0.97001574057093953</v>
      </c>
      <c r="M217" s="12">
        <v>13131</v>
      </c>
      <c r="N217" s="13">
        <v>0.97320413719345578</v>
      </c>
      <c r="O217" s="12">
        <v>11091</v>
      </c>
      <c r="P217" s="13">
        <v>0.97466511639707931</v>
      </c>
      <c r="Q217" s="12">
        <v>10062</v>
      </c>
      <c r="R217" s="13">
        <v>0.97448896185975054</v>
      </c>
      <c r="S217" s="12">
        <v>10814</v>
      </c>
      <c r="T217" s="13">
        <v>0.97456263282968758</v>
      </c>
      <c r="U217" s="12">
        <v>12257</v>
      </c>
      <c r="V217" s="13">
        <v>0.96970388010985076</v>
      </c>
      <c r="W217" s="12">
        <v>10986</v>
      </c>
      <c r="X217" s="13">
        <v>0.97372019521294173</v>
      </c>
      <c r="Y217" s="12">
        <v>93725</v>
      </c>
      <c r="Z217" s="13">
        <v>0.97347987212577569</v>
      </c>
    </row>
    <row r="218" spans="1:26">
      <c r="A218" t="s">
        <v>5</v>
      </c>
      <c r="B218" t="s">
        <v>159</v>
      </c>
      <c r="C218" s="8">
        <v>46044</v>
      </c>
      <c r="D218" s="9">
        <v>58623</v>
      </c>
      <c r="E218">
        <f>MONTH(C218)</f>
        <v>1</v>
      </c>
      <c r="H218" s="11" t="s">
        <v>118</v>
      </c>
      <c r="I218" s="12">
        <v>11899</v>
      </c>
      <c r="J218" s="13">
        <v>0.97887029673164638</v>
      </c>
      <c r="K218" s="12">
        <v>11858</v>
      </c>
      <c r="L218" s="13">
        <v>0.97131013509383213</v>
      </c>
      <c r="M218" s="12">
        <v>12194</v>
      </c>
      <c r="N218" s="13">
        <v>0.97448546464617491</v>
      </c>
      <c r="O218" s="12">
        <v>11698</v>
      </c>
      <c r="P218" s="13">
        <v>0.97595556138990347</v>
      </c>
      <c r="Q218" s="12">
        <v>11562</v>
      </c>
      <c r="R218" s="13">
        <v>0.97569438507568873</v>
      </c>
      <c r="S218" s="12">
        <v>11180</v>
      </c>
      <c r="T218" s="13">
        <v>0.97577701361822688</v>
      </c>
      <c r="U218" s="12">
        <v>11978</v>
      </c>
      <c r="V218" s="13">
        <v>0.97097257799240266</v>
      </c>
      <c r="W218" s="12">
        <v>11312</v>
      </c>
      <c r="X218" s="13">
        <v>0.9749345328997272</v>
      </c>
      <c r="Y218" s="12">
        <v>93681</v>
      </c>
      <c r="Z218" s="13">
        <v>0.97473836425416471</v>
      </c>
    </row>
    <row r="219" spans="1:26">
      <c r="A219" t="s">
        <v>5</v>
      </c>
      <c r="B219" t="s">
        <v>54</v>
      </c>
      <c r="C219" s="8">
        <v>46044</v>
      </c>
      <c r="D219" s="9">
        <v>53424</v>
      </c>
      <c r="E219">
        <f>MONTH(C219)</f>
        <v>1</v>
      </c>
      <c r="H219" s="11" t="s">
        <v>265</v>
      </c>
      <c r="I219" s="12">
        <v>11760</v>
      </c>
      <c r="J219" s="13">
        <v>0.98015670560314194</v>
      </c>
      <c r="K219" s="12">
        <v>11188</v>
      </c>
      <c r="L219" s="13">
        <v>0.97253139381554932</v>
      </c>
      <c r="M219" s="12">
        <v>11796</v>
      </c>
      <c r="N219" s="13">
        <v>0.975724970848592</v>
      </c>
      <c r="O219" s="12">
        <v>11163</v>
      </c>
      <c r="P219" s="13">
        <v>0.97718698876679655</v>
      </c>
      <c r="Q219" s="12">
        <v>11934</v>
      </c>
      <c r="R219" s="13">
        <v>0.97693859201730837</v>
      </c>
      <c r="S219" s="12">
        <v>11657</v>
      </c>
      <c r="T219" s="13">
        <v>0.97704320653879972</v>
      </c>
      <c r="U219" s="12">
        <v>11808</v>
      </c>
      <c r="V219" s="13">
        <v>0.97222326964352745</v>
      </c>
      <c r="W219" s="12">
        <v>11738</v>
      </c>
      <c r="X219" s="13">
        <v>0.97619460147888981</v>
      </c>
      <c r="Y219" s="12">
        <v>93044</v>
      </c>
      <c r="Z219" s="13">
        <v>0.97598829904984186</v>
      </c>
    </row>
    <row r="220" spans="1:26">
      <c r="A220" t="s">
        <v>5</v>
      </c>
      <c r="B220" t="s">
        <v>189</v>
      </c>
      <c r="C220" s="8">
        <v>46044</v>
      </c>
      <c r="D220" s="9">
        <v>39216</v>
      </c>
      <c r="E220">
        <f>MONTH(C220)</f>
        <v>1</v>
      </c>
      <c r="H220" s="11" t="s">
        <v>162</v>
      </c>
      <c r="I220" s="12">
        <v>11234</v>
      </c>
      <c r="J220" s="13">
        <v>0.98138557611865063</v>
      </c>
      <c r="K220" s="12">
        <v>12075</v>
      </c>
      <c r="L220" s="13">
        <v>0.97384947560538981</v>
      </c>
      <c r="M220" s="12">
        <v>11703</v>
      </c>
      <c r="N220" s="13">
        <v>0.97695470474880297</v>
      </c>
      <c r="O220" s="12">
        <v>11846</v>
      </c>
      <c r="P220" s="13">
        <v>0.97849376012813993</v>
      </c>
      <c r="Q220" s="12">
        <v>11518</v>
      </c>
      <c r="R220" s="13">
        <v>0.97813942791085418</v>
      </c>
      <c r="S220" s="12">
        <v>11450</v>
      </c>
      <c r="T220" s="13">
        <v>0.9782869149492448</v>
      </c>
      <c r="U220" s="12">
        <v>11482</v>
      </c>
      <c r="V220" s="13">
        <v>0.97343943169791558</v>
      </c>
      <c r="W220" s="12">
        <v>11545</v>
      </c>
      <c r="X220" s="13">
        <v>0.97743395160211632</v>
      </c>
      <c r="Y220" s="12">
        <v>92853</v>
      </c>
      <c r="Z220" s="13">
        <v>0.97723566798908579</v>
      </c>
    </row>
    <row r="221" spans="1:26">
      <c r="A221" t="s">
        <v>4</v>
      </c>
      <c r="B221" t="s">
        <v>227</v>
      </c>
      <c r="C221" s="8">
        <v>46045</v>
      </c>
      <c r="D221" s="9">
        <v>13407</v>
      </c>
      <c r="E221">
        <f>MONTH(C221)</f>
        <v>1</v>
      </c>
      <c r="H221" s="11" t="s">
        <v>173</v>
      </c>
      <c r="I221" s="12">
        <v>5200</v>
      </c>
      <c r="J221" s="13">
        <v>0.98195439636795145</v>
      </c>
      <c r="K221" s="12">
        <v>5200</v>
      </c>
      <c r="L221" s="13">
        <v>0.97441709674884069</v>
      </c>
      <c r="M221" s="12">
        <v>6582</v>
      </c>
      <c r="N221" s="13">
        <v>0.97764633155656067</v>
      </c>
      <c r="O221" s="12">
        <v>21578</v>
      </c>
      <c r="P221" s="13">
        <v>0.98087410053292357</v>
      </c>
      <c r="Q221" s="12">
        <v>20319</v>
      </c>
      <c r="R221" s="13">
        <v>0.98025783254021315</v>
      </c>
      <c r="S221" s="12">
        <v>5200</v>
      </c>
      <c r="T221" s="13">
        <v>0.97885174322298396</v>
      </c>
      <c r="U221" s="12">
        <v>22978</v>
      </c>
      <c r="V221" s="13">
        <v>0.9758732386728094</v>
      </c>
      <c r="W221" s="12">
        <v>5200</v>
      </c>
      <c r="X221" s="13">
        <v>0.97799216906775321</v>
      </c>
      <c r="Y221" s="12">
        <v>92257</v>
      </c>
      <c r="Z221" s="13">
        <v>0.9784750303815537</v>
      </c>
    </row>
    <row r="222" spans="1:26">
      <c r="A222" t="s">
        <v>25</v>
      </c>
      <c r="B222" t="s">
        <v>228</v>
      </c>
      <c r="C222" s="8">
        <v>46045</v>
      </c>
      <c r="D222" s="9">
        <v>13370</v>
      </c>
      <c r="E222">
        <f>MONTH(C222)</f>
        <v>1</v>
      </c>
      <c r="H222" s="11" t="s">
        <v>122</v>
      </c>
      <c r="I222" s="12">
        <v>6843</v>
      </c>
      <c r="J222" s="13">
        <v>0.98270294193832941</v>
      </c>
      <c r="K222" s="12">
        <v>11759</v>
      </c>
      <c r="L222" s="13">
        <v>0.9757006846384253</v>
      </c>
      <c r="M222" s="12">
        <v>36169</v>
      </c>
      <c r="N222" s="13">
        <v>0.98144691648664084</v>
      </c>
      <c r="O222" s="12">
        <v>7178</v>
      </c>
      <c r="P222" s="13">
        <v>0.98166592940610631</v>
      </c>
      <c r="Q222" s="12">
        <v>5821</v>
      </c>
      <c r="R222" s="13">
        <v>0.98086471444126622</v>
      </c>
      <c r="S222" s="12">
        <v>7310</v>
      </c>
      <c r="T222" s="13">
        <v>0.97964576143087512</v>
      </c>
      <c r="U222" s="12">
        <v>11160</v>
      </c>
      <c r="V222" s="13">
        <v>0.97705529480649445</v>
      </c>
      <c r="W222" s="12">
        <v>5200</v>
      </c>
      <c r="X222" s="13">
        <v>0.9785503865333901</v>
      </c>
      <c r="Y222" s="12">
        <v>91440</v>
      </c>
      <c r="Z222" s="13">
        <v>0.97970341735671296</v>
      </c>
    </row>
    <row r="223" spans="1:26">
      <c r="A223" t="s">
        <v>36</v>
      </c>
      <c r="B223" t="s">
        <v>229</v>
      </c>
      <c r="C223" s="8">
        <v>46045</v>
      </c>
      <c r="D223" s="9">
        <v>10783</v>
      </c>
      <c r="E223">
        <f>MONTH(C223)</f>
        <v>1</v>
      </c>
      <c r="H223" s="11" t="s">
        <v>154</v>
      </c>
      <c r="I223" s="12">
        <v>10903</v>
      </c>
      <c r="J223" s="13">
        <v>0.98389560485719985</v>
      </c>
      <c r="K223" s="12">
        <v>11226</v>
      </c>
      <c r="L223" s="13">
        <v>0.97692609136080621</v>
      </c>
      <c r="M223" s="12">
        <v>11092</v>
      </c>
      <c r="N223" s="13">
        <v>0.98261244741214204</v>
      </c>
      <c r="O223" s="12">
        <v>10932</v>
      </c>
      <c r="P223" s="13">
        <v>0.98287187441051327</v>
      </c>
      <c r="Q223" s="12">
        <v>11866</v>
      </c>
      <c r="R223" s="13">
        <v>0.98210183188464306</v>
      </c>
      <c r="S223" s="12">
        <v>11627</v>
      </c>
      <c r="T223" s="13">
        <v>0.98090869572679174</v>
      </c>
      <c r="U223" s="12">
        <v>11873</v>
      </c>
      <c r="V223" s="13">
        <v>0.9783128711931649</v>
      </c>
      <c r="W223" s="12">
        <v>11595</v>
      </c>
      <c r="X223" s="13">
        <v>0.97979510413224769</v>
      </c>
      <c r="Y223" s="12">
        <v>91114</v>
      </c>
      <c r="Z223" s="13">
        <v>0.98092742491199147</v>
      </c>
    </row>
    <row r="224" spans="1:26">
      <c r="A224" t="s">
        <v>32</v>
      </c>
      <c r="B224" t="s">
        <v>230</v>
      </c>
      <c r="C224" s="8">
        <v>46045</v>
      </c>
      <c r="D224" s="9">
        <v>11883</v>
      </c>
      <c r="E224">
        <f>MONTH(C224)</f>
        <v>1</v>
      </c>
      <c r="H224" s="11" t="s">
        <v>62</v>
      </c>
      <c r="I224" s="12">
        <v>11340</v>
      </c>
      <c r="J224" s="13">
        <v>0.98513607055471353</v>
      </c>
      <c r="K224" s="12">
        <v>9281</v>
      </c>
      <c r="L224" s="13">
        <v>0.97793918594395401</v>
      </c>
      <c r="M224" s="12">
        <v>8734</v>
      </c>
      <c r="N224" s="13">
        <v>0.98353020319138174</v>
      </c>
      <c r="O224" s="12">
        <v>12208</v>
      </c>
      <c r="P224" s="13">
        <v>0.98421857918674827</v>
      </c>
      <c r="Q224" s="12">
        <v>13841</v>
      </c>
      <c r="R224" s="13">
        <v>0.98354485754904364</v>
      </c>
      <c r="S224" s="12">
        <v>13253</v>
      </c>
      <c r="T224" s="13">
        <v>0.98234824747907368</v>
      </c>
      <c r="U224" s="12">
        <v>9808</v>
      </c>
      <c r="V224" s="13">
        <v>0.97935172482750033</v>
      </c>
      <c r="W224" s="12">
        <v>12446</v>
      </c>
      <c r="X224" s="13">
        <v>0.98113117616634704</v>
      </c>
      <c r="Y224" s="12">
        <v>90911</v>
      </c>
      <c r="Z224" s="13">
        <v>0.98214870540519694</v>
      </c>
    </row>
    <row r="225" spans="1:26">
      <c r="A225" t="s">
        <v>6</v>
      </c>
      <c r="B225" t="s">
        <v>231</v>
      </c>
      <c r="C225" s="8">
        <v>46045</v>
      </c>
      <c r="D225" s="9">
        <v>20762</v>
      </c>
      <c r="E225">
        <f>MONTH(C225)</f>
        <v>1</v>
      </c>
      <c r="H225" s="11" t="s">
        <v>68</v>
      </c>
      <c r="I225" s="12">
        <v>8474</v>
      </c>
      <c r="J225" s="13">
        <v>0.98606302878405483</v>
      </c>
      <c r="K225" s="12">
        <v>9880</v>
      </c>
      <c r="L225" s="13">
        <v>0.97901766611651075</v>
      </c>
      <c r="M225" s="12">
        <v>5200</v>
      </c>
      <c r="N225" s="13">
        <v>0.98407661148678438</v>
      </c>
      <c r="O225" s="12">
        <v>5200</v>
      </c>
      <c r="P225" s="13">
        <v>0.9847922083509375</v>
      </c>
      <c r="Q225" s="12">
        <v>24100</v>
      </c>
      <c r="R225" s="13">
        <v>0.98605745913217036</v>
      </c>
      <c r="S225" s="12">
        <v>5200</v>
      </c>
      <c r="T225" s="13">
        <v>0.98291307575281295</v>
      </c>
      <c r="U225" s="12">
        <v>9170</v>
      </c>
      <c r="V225" s="13">
        <v>0.98032300213447987</v>
      </c>
      <c r="W225" s="12">
        <v>23365</v>
      </c>
      <c r="X225" s="13">
        <v>0.98363939752877128</v>
      </c>
      <c r="Y225" s="12">
        <v>90589</v>
      </c>
      <c r="Z225" s="13">
        <v>0.98336566021373473</v>
      </c>
    </row>
    <row r="226" spans="1:26">
      <c r="A226" t="s">
        <v>33</v>
      </c>
      <c r="B226" t="s">
        <v>232</v>
      </c>
      <c r="C226" s="8">
        <v>46045</v>
      </c>
      <c r="D226" s="9">
        <v>10033</v>
      </c>
      <c r="E226">
        <f>MONTH(C226)</f>
        <v>1</v>
      </c>
      <c r="H226" s="11" t="s">
        <v>119</v>
      </c>
      <c r="I226" s="12">
        <v>5200</v>
      </c>
      <c r="J226" s="13">
        <v>0.98663184903335566</v>
      </c>
      <c r="K226" s="12">
        <v>9339</v>
      </c>
      <c r="L226" s="13">
        <v>0.98003709185856624</v>
      </c>
      <c r="M226" s="12">
        <v>5200</v>
      </c>
      <c r="N226" s="13">
        <v>0.98462301978218691</v>
      </c>
      <c r="O226" s="12">
        <v>5200</v>
      </c>
      <c r="P226" s="13">
        <v>0.98536583751512674</v>
      </c>
      <c r="Q226" s="12">
        <v>11110</v>
      </c>
      <c r="R226" s="13">
        <v>0.98721575803625905</v>
      </c>
      <c r="S226" s="12">
        <v>23606</v>
      </c>
      <c r="T226" s="13">
        <v>0.98547717887394537</v>
      </c>
      <c r="U226" s="12">
        <v>8524</v>
      </c>
      <c r="V226" s="13">
        <v>0.98122585576203647</v>
      </c>
      <c r="W226" s="12">
        <v>21589</v>
      </c>
      <c r="X226" s="13">
        <v>0.98595696615677797</v>
      </c>
      <c r="Y226" s="12">
        <v>89768</v>
      </c>
      <c r="Z226" s="13">
        <v>0.98457158586975069</v>
      </c>
    </row>
    <row r="227" spans="1:26">
      <c r="A227" t="s">
        <v>7</v>
      </c>
      <c r="B227" t="s">
        <v>233</v>
      </c>
      <c r="C227" s="8">
        <v>46045</v>
      </c>
      <c r="D227" s="9">
        <v>24947</v>
      </c>
      <c r="E227">
        <f>MONTH(C227)</f>
        <v>1</v>
      </c>
      <c r="H227" s="11" t="s">
        <v>253</v>
      </c>
      <c r="I227" s="12">
        <v>5200</v>
      </c>
      <c r="J227" s="13">
        <v>0.98720066928265637</v>
      </c>
      <c r="K227" s="12">
        <v>21602</v>
      </c>
      <c r="L227" s="13">
        <v>0.98239512107795623</v>
      </c>
      <c r="M227" s="12">
        <v>7664</v>
      </c>
      <c r="N227" s="13">
        <v>0.98542834154679571</v>
      </c>
      <c r="O227" s="12">
        <v>5200</v>
      </c>
      <c r="P227" s="13">
        <v>0.98593946667931598</v>
      </c>
      <c r="Q227" s="12">
        <v>17021</v>
      </c>
      <c r="R227" s="13">
        <v>0.98899032200083992</v>
      </c>
      <c r="S227" s="12">
        <v>5200</v>
      </c>
      <c r="T227" s="13">
        <v>0.98604200714768453</v>
      </c>
      <c r="U227" s="12">
        <v>22400</v>
      </c>
      <c r="V227" s="13">
        <v>0.98359844155007803</v>
      </c>
      <c r="W227" s="12">
        <v>5200</v>
      </c>
      <c r="X227" s="13">
        <v>0.98651518362241486</v>
      </c>
      <c r="Y227" s="12">
        <v>89487</v>
      </c>
      <c r="Z227" s="13">
        <v>0.98577373662703505</v>
      </c>
    </row>
    <row r="228" spans="1:26">
      <c r="A228" t="s">
        <v>7</v>
      </c>
      <c r="B228" t="s">
        <v>234</v>
      </c>
      <c r="C228" s="8">
        <v>46045</v>
      </c>
      <c r="D228" s="9">
        <v>10025</v>
      </c>
      <c r="E228">
        <f>MONTH(C228)</f>
        <v>1</v>
      </c>
      <c r="H228" s="11" t="s">
        <v>229</v>
      </c>
      <c r="I228" s="12">
        <v>10783</v>
      </c>
      <c r="J228" s="13">
        <v>0.98838020558038919</v>
      </c>
      <c r="K228" s="12">
        <v>11194</v>
      </c>
      <c r="L228" s="13">
        <v>0.98361703474714657</v>
      </c>
      <c r="M228" s="12">
        <v>11414</v>
      </c>
      <c r="N228" s="13">
        <v>0.98662770775520447</v>
      </c>
      <c r="O228" s="12">
        <v>11597</v>
      </c>
      <c r="P228" s="13">
        <v>0.98721877002875869</v>
      </c>
      <c r="Q228" s="12">
        <v>10837</v>
      </c>
      <c r="R228" s="13">
        <v>0.9901201586546301</v>
      </c>
      <c r="S228" s="12">
        <v>10789</v>
      </c>
      <c r="T228" s="13">
        <v>0.98721391719487162</v>
      </c>
      <c r="U228" s="12">
        <v>11472</v>
      </c>
      <c r="V228" s="13">
        <v>0.98481354441438229</v>
      </c>
      <c r="W228" s="12">
        <v>11291</v>
      </c>
      <c r="X228" s="13">
        <v>0.98772726696943525</v>
      </c>
      <c r="Y228" s="12">
        <v>89377</v>
      </c>
      <c r="Z228" s="13">
        <v>0.98697440966595462</v>
      </c>
    </row>
    <row r="229" spans="1:26">
      <c r="A229" t="s">
        <v>9</v>
      </c>
      <c r="B229" t="s">
        <v>235</v>
      </c>
      <c r="C229" s="8">
        <v>46045</v>
      </c>
      <c r="D229" s="9">
        <v>45757</v>
      </c>
      <c r="E229">
        <f>MONTH(C229)</f>
        <v>1</v>
      </c>
      <c r="H229" s="11" t="s">
        <v>112</v>
      </c>
      <c r="I229" s="12">
        <v>11328</v>
      </c>
      <c r="J229" s="13">
        <v>0.98961935861578909</v>
      </c>
      <c r="K229" s="12">
        <v>10983</v>
      </c>
      <c r="L229" s="13">
        <v>0.98481591609686236</v>
      </c>
      <c r="M229" s="12">
        <v>11113</v>
      </c>
      <c r="N229" s="13">
        <v>0.98779544532959085</v>
      </c>
      <c r="O229" s="12">
        <v>11371</v>
      </c>
      <c r="P229" s="13">
        <v>0.98847314257221941</v>
      </c>
      <c r="Q229" s="12">
        <v>11250</v>
      </c>
      <c r="R229" s="13">
        <v>0.99129305358451292</v>
      </c>
      <c r="S229" s="12">
        <v>11033</v>
      </c>
      <c r="T229" s="13">
        <v>0.98841233072259571</v>
      </c>
      <c r="U229" s="12">
        <v>10763</v>
      </c>
      <c r="V229" s="13">
        <v>0.98595355070173463</v>
      </c>
      <c r="W229" s="12">
        <v>11010</v>
      </c>
      <c r="X229" s="13">
        <v>0.98890918510340875</v>
      </c>
      <c r="Y229" s="12">
        <v>88851</v>
      </c>
      <c r="Z229" s="13">
        <v>0.98816801652433039</v>
      </c>
    </row>
    <row r="230" spans="1:26">
      <c r="A230" t="s">
        <v>5</v>
      </c>
      <c r="B230" t="s">
        <v>183</v>
      </c>
      <c r="C230" s="8">
        <v>46045</v>
      </c>
      <c r="D230" s="9">
        <v>51374</v>
      </c>
      <c r="E230">
        <f>MONTH(C230)</f>
        <v>1</v>
      </c>
      <c r="H230" s="11" t="s">
        <v>169</v>
      </c>
      <c r="I230" s="12">
        <v>11063</v>
      </c>
      <c r="J230" s="13">
        <v>0.9908295236961765</v>
      </c>
      <c r="K230" s="12">
        <v>10479</v>
      </c>
      <c r="L230" s="13">
        <v>0.98595978185882827</v>
      </c>
      <c r="M230" s="12">
        <v>10519</v>
      </c>
      <c r="N230" s="13">
        <v>0.9889007662640793</v>
      </c>
      <c r="O230" s="12">
        <v>10560</v>
      </c>
      <c r="P230" s="13">
        <v>0.98963805102872671</v>
      </c>
      <c r="Q230" s="12">
        <v>10622</v>
      </c>
      <c r="R230" s="13">
        <v>0.99240047491297645</v>
      </c>
      <c r="S230" s="12">
        <v>10996</v>
      </c>
      <c r="T230" s="13">
        <v>0.98960672527991045</v>
      </c>
      <c r="U230" s="12">
        <v>10501</v>
      </c>
      <c r="V230" s="13">
        <v>0.98706580620888751</v>
      </c>
      <c r="W230" s="12">
        <v>11198</v>
      </c>
      <c r="X230" s="13">
        <v>0.99011128494575518</v>
      </c>
      <c r="Y230" s="12">
        <v>85938</v>
      </c>
      <c r="Z230" s="13">
        <v>0.98932249071364842</v>
      </c>
    </row>
    <row r="231" spans="1:26">
      <c r="A231" t="s">
        <v>26</v>
      </c>
      <c r="B231" t="s">
        <v>236</v>
      </c>
      <c r="C231" s="8">
        <v>46046</v>
      </c>
      <c r="D231" s="9">
        <v>8679</v>
      </c>
      <c r="E231">
        <f>MONTH(C231)</f>
        <v>1</v>
      </c>
      <c r="H231" s="11" t="s">
        <v>271</v>
      </c>
      <c r="I231" s="12">
        <v>5200</v>
      </c>
      <c r="J231" s="13">
        <v>0.99139834394547721</v>
      </c>
      <c r="K231" s="12">
        <v>23790</v>
      </c>
      <c r="L231" s="13">
        <v>0.98855664859011638</v>
      </c>
      <c r="M231" s="12">
        <v>10955</v>
      </c>
      <c r="N231" s="13">
        <v>0.99005190143256694</v>
      </c>
      <c r="O231" s="12">
        <v>5200</v>
      </c>
      <c r="P231" s="13">
        <v>0.99021168019291594</v>
      </c>
      <c r="Q231" s="12">
        <v>9922</v>
      </c>
      <c r="R231" s="13">
        <v>0.99343491611246948</v>
      </c>
      <c r="S231" s="12">
        <v>5200</v>
      </c>
      <c r="T231" s="13">
        <v>0.99017155355364972</v>
      </c>
      <c r="U231" s="12">
        <v>19649</v>
      </c>
      <c r="V231" s="13">
        <v>0.9891470088048353</v>
      </c>
      <c r="W231" s="12">
        <v>5200</v>
      </c>
      <c r="X231" s="13">
        <v>0.99066950241139207</v>
      </c>
      <c r="Y231" s="12">
        <v>85116</v>
      </c>
      <c r="Z231" s="13">
        <v>0.9904659223166411</v>
      </c>
    </row>
    <row r="232" spans="1:26">
      <c r="A232" t="s">
        <v>8</v>
      </c>
      <c r="B232" t="s">
        <v>237</v>
      </c>
      <c r="C232" s="8">
        <v>46046</v>
      </c>
      <c r="D232" s="9">
        <v>5200</v>
      </c>
      <c r="E232">
        <f>MONTH(C232)</f>
        <v>1</v>
      </c>
      <c r="H232" s="11" t="s">
        <v>51</v>
      </c>
      <c r="I232" s="12">
        <v>5200</v>
      </c>
      <c r="J232" s="13">
        <v>0.99196716419477804</v>
      </c>
      <c r="K232" s="12">
        <v>20654</v>
      </c>
      <c r="L232" s="13">
        <v>0.9908111961087388</v>
      </c>
      <c r="M232" s="12">
        <v>8019</v>
      </c>
      <c r="N232" s="13">
        <v>0.99089452607118877</v>
      </c>
      <c r="O232" s="12">
        <v>20525</v>
      </c>
      <c r="P232" s="13">
        <v>0.99247586069195126</v>
      </c>
      <c r="Q232" s="12">
        <v>9752</v>
      </c>
      <c r="R232" s="13">
        <v>0.99445163356635546</v>
      </c>
      <c r="S232" s="12">
        <v>6043</v>
      </c>
      <c r="T232" s="13">
        <v>0.99082794918022776</v>
      </c>
      <c r="U232" s="12">
        <v>7671</v>
      </c>
      <c r="V232" s="13">
        <v>0.98995951351823119</v>
      </c>
      <c r="W232" s="12">
        <v>7196</v>
      </c>
      <c r="X232" s="13">
        <v>0.99144198950422346</v>
      </c>
      <c r="Y232" s="12">
        <v>85060</v>
      </c>
      <c r="Z232" s="13">
        <v>0.99160860162664821</v>
      </c>
    </row>
    <row r="233" spans="1:26">
      <c r="A233" t="s">
        <v>7</v>
      </c>
      <c r="B233" t="s">
        <v>238</v>
      </c>
      <c r="C233" s="8">
        <v>46046</v>
      </c>
      <c r="D233" s="9">
        <v>22811</v>
      </c>
      <c r="E233">
        <f>MONTH(C233)</f>
        <v>1</v>
      </c>
      <c r="H233" s="11" t="s">
        <v>236</v>
      </c>
      <c r="I233" s="12">
        <v>8679</v>
      </c>
      <c r="J233" s="13">
        <v>0.99291654706856292</v>
      </c>
      <c r="K233" s="12">
        <v>9286</v>
      </c>
      <c r="L233" s="13">
        <v>0.99182483648144748</v>
      </c>
      <c r="M233" s="12">
        <v>10662</v>
      </c>
      <c r="N233" s="13">
        <v>0.99201487323380089</v>
      </c>
      <c r="O233" s="12">
        <v>10815</v>
      </c>
      <c r="P233" s="13">
        <v>0.99366889904016398</v>
      </c>
      <c r="Q233" s="12">
        <v>10615</v>
      </c>
      <c r="R233" s="13">
        <v>0.99555832509352926</v>
      </c>
      <c r="S233" s="12">
        <v>12253</v>
      </c>
      <c r="T233" s="13">
        <v>0.9921588801106368</v>
      </c>
      <c r="U233" s="12">
        <v>10245</v>
      </c>
      <c r="V233" s="13">
        <v>0.99104465375923512</v>
      </c>
      <c r="W233" s="12">
        <v>12012</v>
      </c>
      <c r="X233" s="13">
        <v>0.99273147184984467</v>
      </c>
      <c r="Y233" s="12">
        <v>84567</v>
      </c>
      <c r="Z233" s="13">
        <v>0.99274465807162082</v>
      </c>
    </row>
    <row r="234" spans="1:26">
      <c r="A234" t="s">
        <v>9</v>
      </c>
      <c r="B234" t="s">
        <v>220</v>
      </c>
      <c r="C234" s="8">
        <v>46046</v>
      </c>
      <c r="D234" s="9">
        <v>40094</v>
      </c>
      <c r="E234">
        <f>MONTH(C234)</f>
        <v>1</v>
      </c>
      <c r="H234" s="11" t="s">
        <v>279</v>
      </c>
      <c r="I234" s="12">
        <v>8376</v>
      </c>
      <c r="J234" s="13">
        <v>0.99383278522397511</v>
      </c>
      <c r="K234" s="12">
        <v>10108</v>
      </c>
      <c r="L234" s="13">
        <v>0.99292820465798648</v>
      </c>
      <c r="M234" s="12">
        <v>13835</v>
      </c>
      <c r="N234" s="13">
        <v>0.9934686345351269</v>
      </c>
      <c r="O234" s="12">
        <v>11691</v>
      </c>
      <c r="P234" s="13">
        <v>0.99495857183988246</v>
      </c>
      <c r="Q234" s="12">
        <v>8044</v>
      </c>
      <c r="R234" s="13">
        <v>0.99639697103272717</v>
      </c>
      <c r="S234" s="12">
        <v>13729</v>
      </c>
      <c r="T234" s="13">
        <v>0.99365013537413027</v>
      </c>
      <c r="U234" s="12">
        <v>8850</v>
      </c>
      <c r="V234" s="13">
        <v>0.99198203698352827</v>
      </c>
      <c r="W234" s="12">
        <v>9411</v>
      </c>
      <c r="X234" s="13">
        <v>0.99374173811313482</v>
      </c>
      <c r="Y234" s="12">
        <v>84044</v>
      </c>
      <c r="Z234" s="13">
        <v>0.9938736886374594</v>
      </c>
    </row>
    <row r="235" spans="1:26">
      <c r="A235" t="s">
        <v>5</v>
      </c>
      <c r="B235" t="s">
        <v>239</v>
      </c>
      <c r="C235" s="8">
        <v>46046</v>
      </c>
      <c r="D235" s="9">
        <v>31960</v>
      </c>
      <c r="E235">
        <f>MONTH(C235)</f>
        <v>1</v>
      </c>
      <c r="H235" s="11" t="s">
        <v>232</v>
      </c>
      <c r="I235" s="12">
        <v>10033</v>
      </c>
      <c r="J235" s="13">
        <v>0.99493028013959728</v>
      </c>
      <c r="K235" s="12">
        <v>13345</v>
      </c>
      <c r="L235" s="13">
        <v>0.99438491699632359</v>
      </c>
      <c r="M235" s="12">
        <v>7858</v>
      </c>
      <c r="N235" s="13">
        <v>0.9942943415322949</v>
      </c>
      <c r="O235" s="12">
        <v>11221</v>
      </c>
      <c r="P235" s="13">
        <v>0.9961963973882223</v>
      </c>
      <c r="Q235" s="12">
        <v>7905</v>
      </c>
      <c r="R235" s="13">
        <v>0.99722112520345818</v>
      </c>
      <c r="S235" s="12">
        <v>11530</v>
      </c>
      <c r="T235" s="13">
        <v>0.9949025334503252</v>
      </c>
      <c r="U235" s="12">
        <v>13546</v>
      </c>
      <c r="V235" s="13">
        <v>0.9934168158712432</v>
      </c>
      <c r="W235" s="12">
        <v>8133</v>
      </c>
      <c r="X235" s="13">
        <v>0.99461481169929344</v>
      </c>
      <c r="Y235" s="12">
        <v>83571</v>
      </c>
      <c r="Z235" s="13">
        <v>0.99499636501432986</v>
      </c>
    </row>
    <row r="236" spans="1:26">
      <c r="A236" t="s">
        <v>5</v>
      </c>
      <c r="B236" t="s">
        <v>239</v>
      </c>
      <c r="C236" s="8">
        <v>46046</v>
      </c>
      <c r="D236" s="9">
        <v>37179</v>
      </c>
      <c r="E236">
        <f>MONTH(C236)</f>
        <v>1</v>
      </c>
      <c r="H236" s="11" t="s">
        <v>56</v>
      </c>
      <c r="I236" s="12">
        <v>6349</v>
      </c>
      <c r="J236" s="13">
        <v>0.9956247877862916</v>
      </c>
      <c r="K236" s="12">
        <v>28114</v>
      </c>
      <c r="L236" s="13">
        <v>0.99745378253997363</v>
      </c>
      <c r="M236" s="12">
        <v>13193</v>
      </c>
      <c r="N236" s="13">
        <v>0.99568064242484233</v>
      </c>
      <c r="O236" s="12">
        <v>5200</v>
      </c>
      <c r="P236" s="13">
        <v>0.99677002655241154</v>
      </c>
      <c r="Q236" s="12">
        <v>5854</v>
      </c>
      <c r="R236" s="13">
        <v>0.9978314475963056</v>
      </c>
      <c r="S236" s="12">
        <v>9601</v>
      </c>
      <c r="T236" s="13">
        <v>0.99594540196112724</v>
      </c>
      <c r="U236" s="12">
        <v>6034</v>
      </c>
      <c r="V236" s="13">
        <v>0.99405593116789692</v>
      </c>
      <c r="W236" s="12">
        <v>8213</v>
      </c>
      <c r="X236" s="13">
        <v>0.99549647324646184</v>
      </c>
      <c r="Y236" s="12">
        <v>82558</v>
      </c>
      <c r="Z236" s="13">
        <v>0.99610543294844189</v>
      </c>
    </row>
    <row r="237" spans="1:26">
      <c r="A237" t="s">
        <v>5</v>
      </c>
      <c r="B237" t="s">
        <v>72</v>
      </c>
      <c r="C237" s="8">
        <v>46046</v>
      </c>
      <c r="D237" s="9">
        <v>41291</v>
      </c>
      <c r="E237">
        <f>MONTH(C237)</f>
        <v>1</v>
      </c>
      <c r="H237" s="11" t="s">
        <v>258</v>
      </c>
      <c r="I237" s="12">
        <v>24397</v>
      </c>
      <c r="J237" s="13">
        <v>0.99829353925209763</v>
      </c>
      <c r="K237" s="12">
        <v>7726</v>
      </c>
      <c r="L237" s="13">
        <v>0.99829713656964714</v>
      </c>
      <c r="M237" s="12">
        <v>5200</v>
      </c>
      <c r="N237" s="13">
        <v>0.99622705072024498</v>
      </c>
      <c r="O237" s="12">
        <v>5200</v>
      </c>
      <c r="P237" s="13">
        <v>0.99734365571660066</v>
      </c>
      <c r="Q237" s="12">
        <v>5200</v>
      </c>
      <c r="R237" s="13">
        <v>0.99837358569722923</v>
      </c>
      <c r="S237" s="12">
        <v>21728</v>
      </c>
      <c r="T237" s="13">
        <v>0.9983055151787823</v>
      </c>
      <c r="U237" s="12">
        <v>5200</v>
      </c>
      <c r="V237" s="13">
        <v>0.99460671001154943</v>
      </c>
      <c r="W237" s="12">
        <v>5652</v>
      </c>
      <c r="X237" s="13">
        <v>0.99610321269180402</v>
      </c>
      <c r="Y237" s="12">
        <v>80303</v>
      </c>
      <c r="Z237" s="13">
        <v>0.99718420765607763</v>
      </c>
    </row>
    <row r="238" spans="1:26">
      <c r="A238" t="s">
        <v>5</v>
      </c>
      <c r="B238" t="s">
        <v>84</v>
      </c>
      <c r="C238" s="8">
        <v>46046</v>
      </c>
      <c r="D238" s="9">
        <v>34923</v>
      </c>
      <c r="E238">
        <f>MONTH(C238)</f>
        <v>1</v>
      </c>
      <c r="H238" s="11" t="s">
        <v>121</v>
      </c>
      <c r="I238" s="12">
        <v>5200</v>
      </c>
      <c r="J238" s="13">
        <v>0.99886235950139846</v>
      </c>
      <c r="K238" s="12">
        <v>5200</v>
      </c>
      <c r="L238" s="13">
        <v>0.99886475771309813</v>
      </c>
      <c r="M238" s="12">
        <v>25506</v>
      </c>
      <c r="N238" s="13">
        <v>0.99890718340919482</v>
      </c>
      <c r="O238" s="12">
        <v>9100</v>
      </c>
      <c r="P238" s="13">
        <v>0.9983475067539318</v>
      </c>
      <c r="Q238" s="12">
        <v>5200</v>
      </c>
      <c r="R238" s="13">
        <v>0.99891572379815285</v>
      </c>
      <c r="S238" s="12">
        <v>5200</v>
      </c>
      <c r="T238" s="13">
        <v>0.99887034345252146</v>
      </c>
      <c r="U238" s="12">
        <v>8752</v>
      </c>
      <c r="V238" s="13">
        <v>0.99553371317301997</v>
      </c>
      <c r="W238" s="12">
        <v>10903</v>
      </c>
      <c r="X238" s="13">
        <v>0.99727364442792699</v>
      </c>
      <c r="Y238" s="12">
        <v>75061</v>
      </c>
      <c r="Z238" s="13">
        <v>0.99819256236673415</v>
      </c>
    </row>
    <row r="239" spans="1:26">
      <c r="A239" t="s">
        <v>5</v>
      </c>
      <c r="B239" t="s">
        <v>108</v>
      </c>
      <c r="C239" s="8">
        <v>46046</v>
      </c>
      <c r="D239" s="9">
        <v>47945</v>
      </c>
      <c r="E239">
        <f>MONTH(C239)</f>
        <v>1</v>
      </c>
      <c r="H239" s="11" t="s">
        <v>163</v>
      </c>
      <c r="I239" s="12">
        <v>5200</v>
      </c>
      <c r="J239" s="13">
        <v>0.99943117975069917</v>
      </c>
      <c r="K239" s="12">
        <v>5200</v>
      </c>
      <c r="L239" s="13">
        <v>0.99943237885654901</v>
      </c>
      <c r="M239" s="12">
        <v>5200</v>
      </c>
      <c r="N239" s="13">
        <v>0.99945359170459735</v>
      </c>
      <c r="O239" s="12">
        <v>5200</v>
      </c>
      <c r="P239" s="13">
        <v>0.99892113591812104</v>
      </c>
      <c r="Q239" s="12">
        <v>5200</v>
      </c>
      <c r="R239" s="13">
        <v>0.99945786189907637</v>
      </c>
      <c r="S239" s="12">
        <v>5200</v>
      </c>
      <c r="T239" s="13">
        <v>0.99943517172626073</v>
      </c>
      <c r="U239" s="12">
        <v>22056</v>
      </c>
      <c r="V239" s="13">
        <v>0.99786986282217383</v>
      </c>
      <c r="W239" s="12">
        <v>19216</v>
      </c>
      <c r="X239" s="13">
        <v>0.99933647266248049</v>
      </c>
      <c r="Y239" s="12">
        <v>72472</v>
      </c>
      <c r="Z239" s="13">
        <v>0.99916613696060708</v>
      </c>
    </row>
    <row r="240" spans="1:26">
      <c r="A240" t="s">
        <v>4</v>
      </c>
      <c r="B240" t="s">
        <v>240</v>
      </c>
      <c r="C240" s="8">
        <v>46047</v>
      </c>
      <c r="D240" s="9">
        <v>27143</v>
      </c>
      <c r="E240">
        <f>MONTH(C240)</f>
        <v>1</v>
      </c>
      <c r="H240" s="11" t="s">
        <v>268</v>
      </c>
      <c r="I240" s="12">
        <v>5200</v>
      </c>
      <c r="J240" s="13">
        <v>1</v>
      </c>
      <c r="K240" s="12">
        <v>5200</v>
      </c>
      <c r="L240" s="13">
        <v>1</v>
      </c>
      <c r="M240" s="12">
        <v>5200</v>
      </c>
      <c r="N240" s="13">
        <v>1</v>
      </c>
      <c r="O240" s="12">
        <v>9780</v>
      </c>
      <c r="P240" s="13">
        <v>1</v>
      </c>
      <c r="Q240" s="12">
        <v>5200</v>
      </c>
      <c r="R240" s="13">
        <v>1</v>
      </c>
      <c r="S240" s="12">
        <v>5200</v>
      </c>
      <c r="T240" s="13">
        <v>1</v>
      </c>
      <c r="U240" s="12">
        <v>20111</v>
      </c>
      <c r="V240" s="13">
        <v>1</v>
      </c>
      <c r="W240" s="12">
        <v>6181</v>
      </c>
      <c r="X240" s="13">
        <v>1</v>
      </c>
      <c r="Y240" s="12">
        <v>62072</v>
      </c>
      <c r="Z240" s="13">
        <v>1</v>
      </c>
    </row>
    <row r="241" spans="1:5">
      <c r="A241" t="s">
        <v>4</v>
      </c>
      <c r="B241" t="s">
        <v>241</v>
      </c>
      <c r="C241" s="8">
        <v>46047</v>
      </c>
      <c r="D241" s="9">
        <v>20438</v>
      </c>
      <c r="E241">
        <f>MONTH(C241)</f>
        <v>1</v>
      </c>
    </row>
    <row r="242" spans="1:5">
      <c r="A242" t="s">
        <v>4</v>
      </c>
      <c r="B242" t="s">
        <v>70</v>
      </c>
      <c r="C242" s="8">
        <v>46047</v>
      </c>
      <c r="D242" s="9">
        <v>24266</v>
      </c>
      <c r="E242">
        <f>MONTH(C242)</f>
        <v>1</v>
      </c>
    </row>
    <row r="243" spans="1:5">
      <c r="A243" t="s">
        <v>28</v>
      </c>
      <c r="B243" t="s">
        <v>242</v>
      </c>
      <c r="C243" s="8">
        <v>46047</v>
      </c>
      <c r="D243" s="9">
        <v>22620</v>
      </c>
      <c r="E243">
        <f>MONTH(C243)</f>
        <v>1</v>
      </c>
    </row>
    <row r="244" spans="1:5">
      <c r="A244" t="s">
        <v>7</v>
      </c>
      <c r="B244" t="s">
        <v>243</v>
      </c>
      <c r="C244" s="8">
        <v>46047</v>
      </c>
      <c r="D244" s="9">
        <v>35201</v>
      </c>
      <c r="E244">
        <f>MONTH(C244)</f>
        <v>1</v>
      </c>
    </row>
    <row r="245" spans="1:5">
      <c r="A245" t="s">
        <v>9</v>
      </c>
      <c r="B245" t="s">
        <v>143</v>
      </c>
      <c r="C245" s="8">
        <v>46047</v>
      </c>
      <c r="D245" s="9">
        <v>31971</v>
      </c>
      <c r="E245">
        <f>MONTH(C245)</f>
        <v>1</v>
      </c>
    </row>
    <row r="246" spans="1:5">
      <c r="A246" t="s">
        <v>5</v>
      </c>
      <c r="B246" t="s">
        <v>209</v>
      </c>
      <c r="C246" s="8">
        <v>46047</v>
      </c>
      <c r="D246" s="9">
        <v>35615</v>
      </c>
      <c r="E246">
        <f>MONTH(C246)</f>
        <v>1</v>
      </c>
    </row>
    <row r="247" spans="1:5">
      <c r="A247" t="s">
        <v>5</v>
      </c>
      <c r="B247" t="s">
        <v>204</v>
      </c>
      <c r="C247" s="8">
        <v>46047</v>
      </c>
      <c r="D247" s="9">
        <v>44021</v>
      </c>
      <c r="E247">
        <f>MONTH(C247)</f>
        <v>1</v>
      </c>
    </row>
    <row r="248" spans="1:5">
      <c r="A248" t="s">
        <v>4</v>
      </c>
      <c r="B248" t="s">
        <v>244</v>
      </c>
      <c r="C248" s="8">
        <v>46048</v>
      </c>
      <c r="D248" s="9">
        <v>13846</v>
      </c>
      <c r="E248">
        <f>MONTH(C248)</f>
        <v>1</v>
      </c>
    </row>
    <row r="249" spans="1:5">
      <c r="A249" t="s">
        <v>8</v>
      </c>
      <c r="B249" t="s">
        <v>56</v>
      </c>
      <c r="C249" s="8">
        <v>46048</v>
      </c>
      <c r="D249" s="9">
        <v>6349</v>
      </c>
      <c r="E249">
        <f>MONTH(C249)</f>
        <v>1</v>
      </c>
    </row>
    <row r="250" spans="1:5">
      <c r="A250" t="s">
        <v>9</v>
      </c>
      <c r="B250" t="s">
        <v>245</v>
      </c>
      <c r="C250" s="8">
        <v>46048</v>
      </c>
      <c r="D250" s="9">
        <v>13010</v>
      </c>
      <c r="E250">
        <f>MONTH(C250)</f>
        <v>1</v>
      </c>
    </row>
    <row r="251" spans="1:5">
      <c r="A251" t="s">
        <v>9</v>
      </c>
      <c r="B251" t="s">
        <v>220</v>
      </c>
      <c r="C251" s="8">
        <v>46048</v>
      </c>
      <c r="D251" s="9">
        <v>34110</v>
      </c>
      <c r="E251">
        <f>MONTH(C251)</f>
        <v>1</v>
      </c>
    </row>
    <row r="252" spans="1:5">
      <c r="A252" t="s">
        <v>5</v>
      </c>
      <c r="B252" t="s">
        <v>114</v>
      </c>
      <c r="C252" s="8">
        <v>46048</v>
      </c>
      <c r="D252" s="9">
        <v>34185</v>
      </c>
      <c r="E252">
        <f>MONTH(C252)</f>
        <v>1</v>
      </c>
    </row>
    <row r="253" spans="1:5">
      <c r="A253" t="s">
        <v>5</v>
      </c>
      <c r="B253" t="s">
        <v>84</v>
      </c>
      <c r="C253" s="8">
        <v>46048</v>
      </c>
      <c r="D253" s="9">
        <v>45517</v>
      </c>
      <c r="E253">
        <f>MONTH(C253)</f>
        <v>1</v>
      </c>
    </row>
    <row r="254" spans="1:5">
      <c r="A254" t="s">
        <v>5</v>
      </c>
      <c r="B254" t="s">
        <v>210</v>
      </c>
      <c r="C254" s="8">
        <v>46048</v>
      </c>
      <c r="D254" s="9">
        <v>37059</v>
      </c>
      <c r="E254">
        <f>MONTH(C254)</f>
        <v>1</v>
      </c>
    </row>
    <row r="255" spans="1:5">
      <c r="A255" t="s">
        <v>5</v>
      </c>
      <c r="B255" t="s">
        <v>74</v>
      </c>
      <c r="C255" s="8">
        <v>46048</v>
      </c>
      <c r="D255" s="9">
        <v>47434</v>
      </c>
      <c r="E255">
        <f>MONTH(C255)</f>
        <v>1</v>
      </c>
    </row>
    <row r="256" spans="1:5">
      <c r="A256" t="s">
        <v>5</v>
      </c>
      <c r="B256" t="s">
        <v>99</v>
      </c>
      <c r="C256" s="8">
        <v>46048</v>
      </c>
      <c r="D256" s="9">
        <v>27486</v>
      </c>
      <c r="E256">
        <f>MONTH(C256)</f>
        <v>1</v>
      </c>
    </row>
    <row r="257" spans="1:5">
      <c r="A257" t="s">
        <v>5</v>
      </c>
      <c r="B257" t="s">
        <v>172</v>
      </c>
      <c r="C257" s="8">
        <v>46048</v>
      </c>
      <c r="D257" s="9">
        <v>38926</v>
      </c>
      <c r="E257">
        <f>MONTH(C257)</f>
        <v>1</v>
      </c>
    </row>
    <row r="258" spans="1:5">
      <c r="A258" t="s">
        <v>8</v>
      </c>
      <c r="B258" t="s">
        <v>246</v>
      </c>
      <c r="C258" s="8">
        <v>46049</v>
      </c>
      <c r="D258" s="9">
        <v>14912</v>
      </c>
      <c r="E258">
        <f>MONTH(C258)</f>
        <v>1</v>
      </c>
    </row>
    <row r="259" spans="1:5">
      <c r="A259" t="s">
        <v>32</v>
      </c>
      <c r="B259" t="s">
        <v>247</v>
      </c>
      <c r="C259" s="8">
        <v>46049</v>
      </c>
      <c r="D259" s="9">
        <v>11930</v>
      </c>
      <c r="E259">
        <f>MONTH(C259)</f>
        <v>1</v>
      </c>
    </row>
    <row r="260" spans="1:5">
      <c r="A260" t="s">
        <v>33</v>
      </c>
      <c r="B260" t="s">
        <v>248</v>
      </c>
      <c r="C260" s="8">
        <v>46049</v>
      </c>
      <c r="D260" s="9">
        <v>9766</v>
      </c>
      <c r="E260">
        <f>MONTH(C260)</f>
        <v>1</v>
      </c>
    </row>
    <row r="261" spans="1:5">
      <c r="A261" t="s">
        <v>7</v>
      </c>
      <c r="B261" t="s">
        <v>249</v>
      </c>
      <c r="C261" s="8">
        <v>46049</v>
      </c>
      <c r="D261" s="9">
        <v>23230</v>
      </c>
      <c r="E261">
        <f>MONTH(C261)</f>
        <v>1</v>
      </c>
    </row>
    <row r="262" spans="1:5">
      <c r="A262" t="s">
        <v>9</v>
      </c>
      <c r="B262" t="s">
        <v>250</v>
      </c>
      <c r="C262" s="8">
        <v>46049</v>
      </c>
      <c r="D262" s="9">
        <v>44255</v>
      </c>
      <c r="E262">
        <f>MONTH(C262)</f>
        <v>1</v>
      </c>
    </row>
    <row r="263" spans="1:5">
      <c r="A263" t="s">
        <v>5</v>
      </c>
      <c r="B263" t="s">
        <v>166</v>
      </c>
      <c r="C263" s="8">
        <v>46049</v>
      </c>
      <c r="D263" s="9">
        <v>32972</v>
      </c>
      <c r="E263">
        <f>MONTH(C263)</f>
        <v>1</v>
      </c>
    </row>
    <row r="264" spans="1:5">
      <c r="A264" t="s">
        <v>5</v>
      </c>
      <c r="B264" t="s">
        <v>251</v>
      </c>
      <c r="C264" s="8">
        <v>46049</v>
      </c>
      <c r="D264" s="9">
        <v>47216</v>
      </c>
      <c r="E264">
        <f>MONTH(C264)</f>
        <v>1</v>
      </c>
    </row>
    <row r="265" spans="1:5">
      <c r="A265" t="s">
        <v>5</v>
      </c>
      <c r="B265" t="s">
        <v>251</v>
      </c>
      <c r="C265" s="8">
        <v>46049</v>
      </c>
      <c r="D265" s="9">
        <v>39131</v>
      </c>
      <c r="E265">
        <f>MONTH(C265)</f>
        <v>1</v>
      </c>
    </row>
    <row r="266" spans="1:5">
      <c r="A266" t="s">
        <v>5</v>
      </c>
      <c r="B266" t="s">
        <v>252</v>
      </c>
      <c r="C266" s="8">
        <v>46049</v>
      </c>
      <c r="D266" s="9">
        <v>48239</v>
      </c>
      <c r="E266">
        <f>MONTH(C266)</f>
        <v>1</v>
      </c>
    </row>
    <row r="267" spans="1:5">
      <c r="A267" t="s">
        <v>5</v>
      </c>
      <c r="B267" t="s">
        <v>211</v>
      </c>
      <c r="C267" s="8">
        <v>46049</v>
      </c>
      <c r="D267" s="9">
        <v>30969</v>
      </c>
      <c r="E267">
        <f>MONTH(C267)</f>
        <v>1</v>
      </c>
    </row>
    <row r="268" spans="1:5">
      <c r="A268" t="s">
        <v>27</v>
      </c>
      <c r="B268" t="s">
        <v>253</v>
      </c>
      <c r="C268" s="8">
        <v>46050</v>
      </c>
      <c r="D268" s="9">
        <v>5200</v>
      </c>
      <c r="E268">
        <f>MONTH(C268)</f>
        <v>1</v>
      </c>
    </row>
    <row r="269" spans="1:5">
      <c r="A269" t="s">
        <v>4</v>
      </c>
      <c r="B269" t="s">
        <v>254</v>
      </c>
      <c r="C269" s="8">
        <v>46050</v>
      </c>
      <c r="D269" s="9">
        <v>30966</v>
      </c>
      <c r="E269">
        <f>MONTH(C269)</f>
        <v>1</v>
      </c>
    </row>
    <row r="270" spans="1:5">
      <c r="A270" t="s">
        <v>28</v>
      </c>
      <c r="B270" t="s">
        <v>255</v>
      </c>
      <c r="C270" s="8">
        <v>46050</v>
      </c>
      <c r="D270" s="9">
        <v>8621</v>
      </c>
      <c r="E270">
        <f>MONTH(C270)</f>
        <v>1</v>
      </c>
    </row>
    <row r="271" spans="1:5">
      <c r="A271" t="s">
        <v>26</v>
      </c>
      <c r="B271" t="s">
        <v>256</v>
      </c>
      <c r="C271" s="8">
        <v>46050</v>
      </c>
      <c r="D271" s="9">
        <v>14014</v>
      </c>
      <c r="E271">
        <f>MONTH(C271)</f>
        <v>1</v>
      </c>
    </row>
    <row r="272" spans="1:5">
      <c r="A272" t="s">
        <v>26</v>
      </c>
      <c r="B272" t="s">
        <v>257</v>
      </c>
      <c r="C272" s="8">
        <v>46050</v>
      </c>
      <c r="D272" s="9">
        <v>19996</v>
      </c>
      <c r="E272">
        <f>MONTH(C272)</f>
        <v>1</v>
      </c>
    </row>
    <row r="273" spans="1:5">
      <c r="A273" t="s">
        <v>8</v>
      </c>
      <c r="B273" t="s">
        <v>258</v>
      </c>
      <c r="C273" s="8">
        <v>46050</v>
      </c>
      <c r="D273" s="9">
        <v>24397</v>
      </c>
      <c r="E273">
        <f>MONTH(C273)</f>
        <v>1</v>
      </c>
    </row>
    <row r="274" spans="1:5">
      <c r="A274" t="s">
        <v>8</v>
      </c>
      <c r="B274" t="s">
        <v>259</v>
      </c>
      <c r="C274" s="8">
        <v>46050</v>
      </c>
      <c r="D274" s="9">
        <v>15943</v>
      </c>
      <c r="E274">
        <f>MONTH(C274)</f>
        <v>1</v>
      </c>
    </row>
    <row r="275" spans="1:5">
      <c r="A275" t="s">
        <v>6</v>
      </c>
      <c r="B275" t="s">
        <v>260</v>
      </c>
      <c r="C275" s="8">
        <v>46050</v>
      </c>
      <c r="D275" s="9">
        <v>28699</v>
      </c>
      <c r="E275">
        <f>MONTH(C275)</f>
        <v>1</v>
      </c>
    </row>
    <row r="276" spans="1:5">
      <c r="A276" t="s">
        <v>6</v>
      </c>
      <c r="B276" t="s">
        <v>261</v>
      </c>
      <c r="C276" s="8">
        <v>46050</v>
      </c>
      <c r="D276" s="9">
        <v>17970</v>
      </c>
      <c r="E276">
        <f>MONTH(C276)</f>
        <v>1</v>
      </c>
    </row>
    <row r="277" spans="1:5">
      <c r="A277" t="s">
        <v>6</v>
      </c>
      <c r="B277" t="s">
        <v>262</v>
      </c>
      <c r="C277" s="8">
        <v>46050</v>
      </c>
      <c r="D277" s="9">
        <v>16581</v>
      </c>
      <c r="E277">
        <f>MONTH(C277)</f>
        <v>1</v>
      </c>
    </row>
    <row r="278" spans="1:5">
      <c r="A278" t="s">
        <v>6</v>
      </c>
      <c r="B278" t="s">
        <v>263</v>
      </c>
      <c r="C278" s="8">
        <v>46050</v>
      </c>
      <c r="D278" s="9">
        <v>16679</v>
      </c>
      <c r="E278">
        <f>MONTH(C278)</f>
        <v>1</v>
      </c>
    </row>
    <row r="279" spans="1:5">
      <c r="A279" t="s">
        <v>9</v>
      </c>
      <c r="B279" t="s">
        <v>203</v>
      </c>
      <c r="C279" s="8">
        <v>46050</v>
      </c>
      <c r="D279" s="9">
        <v>33940</v>
      </c>
      <c r="E279">
        <f>MONTH(C279)</f>
        <v>1</v>
      </c>
    </row>
    <row r="280" spans="1:5">
      <c r="A280" t="s">
        <v>9</v>
      </c>
      <c r="B280" t="s">
        <v>264</v>
      </c>
      <c r="C280" s="8">
        <v>46050</v>
      </c>
      <c r="D280" s="9">
        <v>29931</v>
      </c>
      <c r="E280">
        <f>MONTH(C280)</f>
        <v>1</v>
      </c>
    </row>
    <row r="281" spans="1:5">
      <c r="A281" t="s">
        <v>5</v>
      </c>
      <c r="B281" t="s">
        <v>49</v>
      </c>
      <c r="C281" s="8">
        <v>46050</v>
      </c>
      <c r="D281" s="9">
        <v>34441</v>
      </c>
      <c r="E281">
        <f>MONTH(C281)</f>
        <v>1</v>
      </c>
    </row>
    <row r="282" spans="1:5">
      <c r="A282" t="s">
        <v>5</v>
      </c>
      <c r="B282" t="s">
        <v>53</v>
      </c>
      <c r="C282" s="8">
        <v>46050</v>
      </c>
      <c r="D282" s="9">
        <v>32147</v>
      </c>
      <c r="E282">
        <f>MONTH(C282)</f>
        <v>1</v>
      </c>
    </row>
    <row r="283" spans="1:5">
      <c r="A283" t="s">
        <v>5</v>
      </c>
      <c r="B283" t="s">
        <v>145</v>
      </c>
      <c r="C283" s="8">
        <v>46050</v>
      </c>
      <c r="D283" s="9">
        <v>41050</v>
      </c>
      <c r="E283">
        <f>MONTH(C283)</f>
        <v>1</v>
      </c>
    </row>
    <row r="284" spans="1:5">
      <c r="A284" t="s">
        <v>5</v>
      </c>
      <c r="B284" t="s">
        <v>144</v>
      </c>
      <c r="C284" s="8">
        <v>46050</v>
      </c>
      <c r="D284" s="9">
        <v>33183</v>
      </c>
      <c r="E284">
        <f>MONTH(C284)</f>
        <v>1</v>
      </c>
    </row>
    <row r="285" spans="1:5">
      <c r="A285" t="s">
        <v>5</v>
      </c>
      <c r="B285" t="s">
        <v>93</v>
      </c>
      <c r="C285" s="8">
        <v>46050</v>
      </c>
      <c r="D285" s="9">
        <v>38048</v>
      </c>
      <c r="E285">
        <f>MONTH(C285)</f>
        <v>1</v>
      </c>
    </row>
    <row r="286" spans="1:5">
      <c r="A286" t="s">
        <v>5</v>
      </c>
      <c r="B286" t="s">
        <v>124</v>
      </c>
      <c r="C286" s="8">
        <v>46050</v>
      </c>
      <c r="D286" s="9">
        <v>30958</v>
      </c>
      <c r="E286">
        <f>MONTH(C286)</f>
        <v>1</v>
      </c>
    </row>
    <row r="287" spans="1:5">
      <c r="A287" t="s">
        <v>5</v>
      </c>
      <c r="B287" t="s">
        <v>108</v>
      </c>
      <c r="C287" s="8">
        <v>46050</v>
      </c>
      <c r="D287" s="9">
        <v>47985</v>
      </c>
      <c r="E287">
        <f>MONTH(C287)</f>
        <v>1</v>
      </c>
    </row>
    <row r="288" spans="1:5">
      <c r="A288" t="s">
        <v>38</v>
      </c>
      <c r="B288" t="s">
        <v>265</v>
      </c>
      <c r="C288" s="8">
        <v>46051</v>
      </c>
      <c r="D288" s="9">
        <v>11760</v>
      </c>
      <c r="E288">
        <f>MONTH(C288)</f>
        <v>1</v>
      </c>
    </row>
    <row r="289" spans="1:5">
      <c r="A289" t="s">
        <v>4</v>
      </c>
      <c r="B289" t="s">
        <v>266</v>
      </c>
      <c r="C289" s="8">
        <v>46051</v>
      </c>
      <c r="D289" s="9">
        <v>51010</v>
      </c>
      <c r="E289">
        <f>MONTH(C289)</f>
        <v>1</v>
      </c>
    </row>
    <row r="290" spans="1:5">
      <c r="A290" t="s">
        <v>25</v>
      </c>
      <c r="B290" t="s">
        <v>267</v>
      </c>
      <c r="C290" s="8">
        <v>46051</v>
      </c>
      <c r="D290" s="9">
        <v>15868</v>
      </c>
      <c r="E290">
        <f>MONTH(C290)</f>
        <v>1</v>
      </c>
    </row>
    <row r="291" spans="1:5">
      <c r="A291" t="s">
        <v>8</v>
      </c>
      <c r="B291" t="s">
        <v>52</v>
      </c>
      <c r="C291" s="8">
        <v>46051</v>
      </c>
      <c r="D291" s="9">
        <v>15664</v>
      </c>
      <c r="E291">
        <f>MONTH(C291)</f>
        <v>1</v>
      </c>
    </row>
    <row r="292" spans="1:5">
      <c r="A292" t="s">
        <v>33</v>
      </c>
      <c r="B292" t="s">
        <v>268</v>
      </c>
      <c r="C292" s="8">
        <v>46051</v>
      </c>
      <c r="D292" s="9">
        <v>5200</v>
      </c>
      <c r="E292">
        <f>MONTH(C292)</f>
        <v>1</v>
      </c>
    </row>
    <row r="293" spans="1:5">
      <c r="A293" t="s">
        <v>9</v>
      </c>
      <c r="B293" t="s">
        <v>235</v>
      </c>
      <c r="C293" s="8">
        <v>46051</v>
      </c>
      <c r="D293" s="9">
        <v>33321</v>
      </c>
      <c r="E293">
        <f>MONTH(C293)</f>
        <v>1</v>
      </c>
    </row>
    <row r="294" spans="1:5">
      <c r="A294" t="s">
        <v>9</v>
      </c>
      <c r="B294" t="s">
        <v>91</v>
      </c>
      <c r="C294" s="8">
        <v>46051</v>
      </c>
      <c r="D294" s="9">
        <v>26585</v>
      </c>
      <c r="E294">
        <f>MONTH(C294)</f>
        <v>1</v>
      </c>
    </row>
    <row r="295" spans="1:5">
      <c r="A295" t="s">
        <v>9</v>
      </c>
      <c r="B295" t="s">
        <v>269</v>
      </c>
      <c r="C295" s="8">
        <v>46051</v>
      </c>
      <c r="D295" s="9">
        <v>40035</v>
      </c>
      <c r="E295">
        <f>MONTH(C295)</f>
        <v>1</v>
      </c>
    </row>
    <row r="296" spans="1:5">
      <c r="A296" t="s">
        <v>5</v>
      </c>
      <c r="B296" t="s">
        <v>98</v>
      </c>
      <c r="C296" s="8">
        <v>46051</v>
      </c>
      <c r="D296" s="9">
        <v>38177</v>
      </c>
      <c r="E296">
        <f>MONTH(C296)</f>
        <v>1</v>
      </c>
    </row>
    <row r="297" spans="1:5">
      <c r="A297" t="s">
        <v>5</v>
      </c>
      <c r="B297" t="s">
        <v>270</v>
      </c>
      <c r="C297" s="8">
        <v>46051</v>
      </c>
      <c r="D297" s="9">
        <v>52984</v>
      </c>
      <c r="E297">
        <f>MONTH(C297)</f>
        <v>1</v>
      </c>
    </row>
    <row r="298" spans="1:5">
      <c r="A298" t="s">
        <v>5</v>
      </c>
      <c r="B298" t="s">
        <v>195</v>
      </c>
      <c r="C298" s="8">
        <v>46051</v>
      </c>
      <c r="D298" s="9">
        <v>21569</v>
      </c>
      <c r="E298">
        <f>MONTH(C298)</f>
        <v>1</v>
      </c>
    </row>
    <row r="299" spans="1:5">
      <c r="A299" t="s">
        <v>5</v>
      </c>
      <c r="B299" t="s">
        <v>108</v>
      </c>
      <c r="C299" s="8">
        <v>46051</v>
      </c>
      <c r="D299" s="9">
        <v>40657</v>
      </c>
      <c r="E299">
        <f>MONTH(C299)</f>
        <v>1</v>
      </c>
    </row>
    <row r="300" spans="1:5">
      <c r="A300" t="s">
        <v>5</v>
      </c>
      <c r="B300" t="s">
        <v>58</v>
      </c>
      <c r="C300" s="8">
        <v>46051</v>
      </c>
      <c r="D300" s="9">
        <v>44739</v>
      </c>
      <c r="E300">
        <f>MONTH(C300)</f>
        <v>1</v>
      </c>
    </row>
    <row r="301" spans="1:5">
      <c r="A301" t="s">
        <v>35</v>
      </c>
      <c r="B301" t="s">
        <v>271</v>
      </c>
      <c r="C301" s="8">
        <v>46052</v>
      </c>
      <c r="D301" s="9">
        <v>5200</v>
      </c>
      <c r="E301">
        <f>MONTH(C301)</f>
        <v>1</v>
      </c>
    </row>
    <row r="302" spans="1:5">
      <c r="A302" t="s">
        <v>25</v>
      </c>
      <c r="B302" t="s">
        <v>272</v>
      </c>
      <c r="C302" s="8">
        <v>46052</v>
      </c>
      <c r="D302" s="9">
        <v>13234</v>
      </c>
      <c r="E302">
        <f>MONTH(C302)</f>
        <v>1</v>
      </c>
    </row>
    <row r="303" spans="1:5">
      <c r="A303" t="s">
        <v>8</v>
      </c>
      <c r="B303" t="s">
        <v>273</v>
      </c>
      <c r="C303" s="8">
        <v>46052</v>
      </c>
      <c r="D303" s="9">
        <v>15580</v>
      </c>
      <c r="E303">
        <f>MONTH(C303)</f>
        <v>1</v>
      </c>
    </row>
    <row r="304" spans="1:5">
      <c r="A304" t="s">
        <v>7</v>
      </c>
      <c r="B304" t="s">
        <v>274</v>
      </c>
      <c r="C304" s="8">
        <v>46052</v>
      </c>
      <c r="D304" s="9">
        <v>23141</v>
      </c>
      <c r="E304">
        <f>MONTH(C304)</f>
        <v>1</v>
      </c>
    </row>
    <row r="305" spans="1:5">
      <c r="A305" t="s">
        <v>7</v>
      </c>
      <c r="B305" t="s">
        <v>275</v>
      </c>
      <c r="C305" s="8">
        <v>46052</v>
      </c>
      <c r="D305" s="9">
        <v>20168</v>
      </c>
      <c r="E305">
        <f>MONTH(C305)</f>
        <v>1</v>
      </c>
    </row>
    <row r="306" spans="1:5">
      <c r="A306" t="s">
        <v>9</v>
      </c>
      <c r="B306" t="s">
        <v>276</v>
      </c>
      <c r="C306" s="8">
        <v>46052</v>
      </c>
      <c r="D306" s="9">
        <v>56331</v>
      </c>
      <c r="E306">
        <f>MONTH(C306)</f>
        <v>1</v>
      </c>
    </row>
    <row r="307" spans="1:5">
      <c r="A307" t="s">
        <v>5</v>
      </c>
      <c r="B307" t="s">
        <v>53</v>
      </c>
      <c r="C307" s="8">
        <v>46052</v>
      </c>
      <c r="D307" s="9">
        <v>39231</v>
      </c>
      <c r="E307">
        <f>MONTH(C307)</f>
        <v>1</v>
      </c>
    </row>
    <row r="308" spans="1:5">
      <c r="A308" t="s">
        <v>5</v>
      </c>
      <c r="B308" t="s">
        <v>251</v>
      </c>
      <c r="C308" s="8">
        <v>46052</v>
      </c>
      <c r="D308" s="9">
        <v>48028</v>
      </c>
      <c r="E308">
        <f>MONTH(C308)</f>
        <v>1</v>
      </c>
    </row>
    <row r="309" spans="1:5">
      <c r="A309" t="s">
        <v>5</v>
      </c>
      <c r="B309" t="s">
        <v>84</v>
      </c>
      <c r="C309" s="8">
        <v>46052</v>
      </c>
      <c r="D309" s="9">
        <v>40464</v>
      </c>
      <c r="E309">
        <f>MONTH(C309)</f>
        <v>1</v>
      </c>
    </row>
    <row r="310" spans="1:5">
      <c r="A310" t="s">
        <v>5</v>
      </c>
      <c r="B310" t="s">
        <v>252</v>
      </c>
      <c r="C310" s="8">
        <v>46052</v>
      </c>
      <c r="D310" s="9">
        <v>40426</v>
      </c>
      <c r="E310">
        <f>MONTH(C310)</f>
        <v>1</v>
      </c>
    </row>
    <row r="311" spans="1:5">
      <c r="A311" t="s">
        <v>5</v>
      </c>
      <c r="B311" t="s">
        <v>277</v>
      </c>
      <c r="C311" s="8">
        <v>46052</v>
      </c>
      <c r="D311" s="9">
        <v>23888</v>
      </c>
      <c r="E311">
        <f>MONTH(C311)</f>
        <v>1</v>
      </c>
    </row>
    <row r="312" spans="1:5">
      <c r="A312" t="s">
        <v>25</v>
      </c>
      <c r="B312" t="s">
        <v>278</v>
      </c>
      <c r="C312" s="8">
        <v>46053</v>
      </c>
      <c r="D312" s="9">
        <v>14357</v>
      </c>
      <c r="E312">
        <f>MONTH(C312)</f>
        <v>1</v>
      </c>
    </row>
    <row r="313" spans="1:5">
      <c r="A313" t="s">
        <v>28</v>
      </c>
      <c r="B313" t="s">
        <v>279</v>
      </c>
      <c r="C313" s="8">
        <v>46053</v>
      </c>
      <c r="D313" s="9">
        <v>8376</v>
      </c>
      <c r="E313">
        <f>MONTH(C313)</f>
        <v>1</v>
      </c>
    </row>
    <row r="314" spans="1:5">
      <c r="A314" t="s">
        <v>26</v>
      </c>
      <c r="B314" t="s">
        <v>280</v>
      </c>
      <c r="C314" s="8">
        <v>46053</v>
      </c>
      <c r="D314" s="9">
        <v>13158</v>
      </c>
      <c r="E314">
        <f>MONTH(C314)</f>
        <v>1</v>
      </c>
    </row>
    <row r="315" spans="1:5">
      <c r="A315" t="s">
        <v>8</v>
      </c>
      <c r="B315" t="s">
        <v>281</v>
      </c>
      <c r="C315" s="8">
        <v>46053</v>
      </c>
      <c r="D315" s="9">
        <v>20238</v>
      </c>
      <c r="E315">
        <f>MONTH(C315)</f>
        <v>1</v>
      </c>
    </row>
    <row r="316" spans="1:5">
      <c r="A316" t="s">
        <v>32</v>
      </c>
      <c r="B316" t="s">
        <v>282</v>
      </c>
      <c r="C316" s="8">
        <v>46053</v>
      </c>
      <c r="D316" s="9">
        <v>12784</v>
      </c>
      <c r="E316">
        <f>MONTH(C316)</f>
        <v>1</v>
      </c>
    </row>
    <row r="317" spans="1:5">
      <c r="A317" t="s">
        <v>9</v>
      </c>
      <c r="B317" t="s">
        <v>283</v>
      </c>
      <c r="C317" s="8">
        <v>46053</v>
      </c>
      <c r="D317" s="9">
        <v>46506</v>
      </c>
      <c r="E317">
        <f>MONTH(C317)</f>
        <v>1</v>
      </c>
    </row>
    <row r="318" spans="1:5">
      <c r="A318" t="s">
        <v>9</v>
      </c>
      <c r="B318" t="s">
        <v>270</v>
      </c>
      <c r="C318" s="8">
        <v>46053</v>
      </c>
      <c r="D318" s="9">
        <v>52413</v>
      </c>
      <c r="E318">
        <f>MONTH(C318)</f>
        <v>1</v>
      </c>
    </row>
    <row r="319" spans="1:5">
      <c r="A319" t="s">
        <v>5</v>
      </c>
      <c r="B319" t="s">
        <v>167</v>
      </c>
      <c r="C319" s="8">
        <v>46053</v>
      </c>
      <c r="D319" s="9">
        <v>36890</v>
      </c>
      <c r="E319">
        <f>MONTH(C319)</f>
        <v>1</v>
      </c>
    </row>
    <row r="320" spans="1:5">
      <c r="A320" t="s">
        <v>5</v>
      </c>
      <c r="B320" t="s">
        <v>123</v>
      </c>
      <c r="C320" s="8">
        <v>46053</v>
      </c>
      <c r="D320" s="9">
        <v>35835</v>
      </c>
      <c r="E320">
        <f>MONTH(C320)</f>
        <v>1</v>
      </c>
    </row>
    <row r="321" spans="1:5">
      <c r="A321" t="s">
        <v>5</v>
      </c>
      <c r="B321" t="s">
        <v>115</v>
      </c>
      <c r="C321" s="8">
        <v>46053</v>
      </c>
      <c r="D321" s="9">
        <v>39932</v>
      </c>
      <c r="E321">
        <f>MONTH(C321)</f>
        <v>1</v>
      </c>
    </row>
    <row r="322" spans="1:5">
      <c r="A322" t="s">
        <v>5</v>
      </c>
      <c r="B322" t="s">
        <v>54</v>
      </c>
      <c r="C322" s="8">
        <v>46053</v>
      </c>
      <c r="D322" s="9">
        <v>41675</v>
      </c>
      <c r="E322">
        <f>MONTH(C322)</f>
        <v>1</v>
      </c>
    </row>
    <row r="323" spans="1:5">
      <c r="A323" t="s">
        <v>27</v>
      </c>
      <c r="B323" t="s">
        <v>149</v>
      </c>
      <c r="C323" s="8">
        <v>46054</v>
      </c>
      <c r="D323" s="9">
        <v>12072</v>
      </c>
      <c r="E323">
        <f>MONTH(C323)</f>
        <v>2</v>
      </c>
    </row>
    <row r="324" spans="1:5">
      <c r="A324" t="s">
        <v>4</v>
      </c>
      <c r="B324" t="s">
        <v>126</v>
      </c>
      <c r="C324" s="8">
        <v>46054</v>
      </c>
      <c r="D324" s="9">
        <v>28021</v>
      </c>
      <c r="E324">
        <f>MONTH(C324)</f>
        <v>2</v>
      </c>
    </row>
    <row r="325" spans="1:5">
      <c r="A325" t="s">
        <v>31</v>
      </c>
      <c r="B325" t="s">
        <v>68</v>
      </c>
      <c r="C325" s="8">
        <v>46054</v>
      </c>
      <c r="D325" s="9">
        <v>9880</v>
      </c>
      <c r="E325">
        <f>MONTH(C325)</f>
        <v>2</v>
      </c>
    </row>
    <row r="326" spans="1:5">
      <c r="A326" t="s">
        <v>25</v>
      </c>
      <c r="B326" t="s">
        <v>153</v>
      </c>
      <c r="C326" s="8">
        <v>46054</v>
      </c>
      <c r="D326" s="9">
        <v>11603</v>
      </c>
      <c r="E326">
        <f>MONTH(C326)</f>
        <v>2</v>
      </c>
    </row>
    <row r="327" spans="1:5">
      <c r="A327" t="s">
        <v>32</v>
      </c>
      <c r="B327" t="s">
        <v>247</v>
      </c>
      <c r="C327" s="8">
        <v>46054</v>
      </c>
      <c r="D327" s="9">
        <v>12897</v>
      </c>
      <c r="E327">
        <f>MONTH(C327)</f>
        <v>2</v>
      </c>
    </row>
    <row r="328" spans="1:5">
      <c r="A328" t="s">
        <v>7</v>
      </c>
      <c r="B328" t="s">
        <v>69</v>
      </c>
      <c r="C328" s="8">
        <v>46054</v>
      </c>
      <c r="D328" s="9">
        <v>6273</v>
      </c>
      <c r="E328">
        <f>MONTH(C328)</f>
        <v>2</v>
      </c>
    </row>
    <row r="329" spans="1:5">
      <c r="A329" t="s">
        <v>9</v>
      </c>
      <c r="B329" t="s">
        <v>157</v>
      </c>
      <c r="C329" s="8">
        <v>46054</v>
      </c>
      <c r="D329" s="9">
        <v>37772</v>
      </c>
      <c r="E329">
        <f>MONTH(C329)</f>
        <v>2</v>
      </c>
    </row>
    <row r="330" spans="1:5">
      <c r="A330" t="s">
        <v>9</v>
      </c>
      <c r="B330" t="s">
        <v>158</v>
      </c>
      <c r="C330" s="8">
        <v>46054</v>
      </c>
      <c r="D330" s="9">
        <v>23615</v>
      </c>
      <c r="E330">
        <f>MONTH(C330)</f>
        <v>2</v>
      </c>
    </row>
    <row r="331" spans="1:5">
      <c r="A331" t="s">
        <v>5</v>
      </c>
      <c r="B331" t="s">
        <v>251</v>
      </c>
      <c r="C331" s="8">
        <v>46054</v>
      </c>
      <c r="D331" s="9">
        <v>55914</v>
      </c>
      <c r="E331">
        <f>MONTH(C331)</f>
        <v>2</v>
      </c>
    </row>
    <row r="332" spans="1:5">
      <c r="A332" t="s">
        <v>5</v>
      </c>
      <c r="B332" t="s">
        <v>107</v>
      </c>
      <c r="C332" s="8">
        <v>46054</v>
      </c>
      <c r="D332" s="9">
        <v>46246</v>
      </c>
      <c r="E332">
        <f>MONTH(C332)</f>
        <v>2</v>
      </c>
    </row>
    <row r="333" spans="1:5">
      <c r="A333" t="s">
        <v>5</v>
      </c>
      <c r="B333" t="s">
        <v>172</v>
      </c>
      <c r="C333" s="8">
        <v>46054</v>
      </c>
      <c r="D333" s="9">
        <v>42069</v>
      </c>
      <c r="E333">
        <f>MONTH(C333)</f>
        <v>2</v>
      </c>
    </row>
    <row r="334" spans="1:5">
      <c r="A334" t="s">
        <v>5</v>
      </c>
      <c r="B334" t="s">
        <v>58</v>
      </c>
      <c r="C334" s="8">
        <v>46054</v>
      </c>
      <c r="D334" s="9">
        <v>51919</v>
      </c>
      <c r="E334">
        <f>MONTH(C334)</f>
        <v>2</v>
      </c>
    </row>
    <row r="335" spans="1:5">
      <c r="A335" t="s">
        <v>4</v>
      </c>
      <c r="B335" t="s">
        <v>190</v>
      </c>
      <c r="C335" s="8">
        <v>46055</v>
      </c>
      <c r="D335" s="9">
        <v>29272</v>
      </c>
      <c r="E335">
        <f>MONTH(C335)</f>
        <v>2</v>
      </c>
    </row>
    <row r="336" spans="1:5">
      <c r="A336" t="s">
        <v>4</v>
      </c>
      <c r="B336" t="s">
        <v>266</v>
      </c>
      <c r="C336" s="8">
        <v>46055</v>
      </c>
      <c r="D336" s="9">
        <v>20853</v>
      </c>
      <c r="E336">
        <f>MONTH(C336)</f>
        <v>2</v>
      </c>
    </row>
    <row r="337" spans="1:5">
      <c r="A337" t="s">
        <v>4</v>
      </c>
      <c r="B337" t="s">
        <v>76</v>
      </c>
      <c r="C337" s="8">
        <v>46055</v>
      </c>
      <c r="D337" s="9">
        <v>30055</v>
      </c>
      <c r="E337">
        <f>MONTH(C337)</f>
        <v>2</v>
      </c>
    </row>
    <row r="338" spans="1:5">
      <c r="A338" t="s">
        <v>30</v>
      </c>
      <c r="B338" t="s">
        <v>224</v>
      </c>
      <c r="C338" s="8">
        <v>46055</v>
      </c>
      <c r="D338" s="9">
        <v>12253</v>
      </c>
      <c r="E338">
        <f>MONTH(C338)</f>
        <v>2</v>
      </c>
    </row>
    <row r="339" spans="1:5">
      <c r="A339" t="s">
        <v>29</v>
      </c>
      <c r="B339" t="s">
        <v>51</v>
      </c>
      <c r="C339" s="8">
        <v>46055</v>
      </c>
      <c r="D339" s="9">
        <v>20654</v>
      </c>
      <c r="E339">
        <f>MONTH(C339)</f>
        <v>2</v>
      </c>
    </row>
    <row r="340" spans="1:5">
      <c r="A340" t="s">
        <v>9</v>
      </c>
      <c r="B340" t="s">
        <v>235</v>
      </c>
      <c r="C340" s="8">
        <v>46055</v>
      </c>
      <c r="D340" s="9">
        <v>27065</v>
      </c>
      <c r="E340">
        <f>MONTH(C340)</f>
        <v>2</v>
      </c>
    </row>
    <row r="341" spans="1:5">
      <c r="A341" t="s">
        <v>9</v>
      </c>
      <c r="B341" t="s">
        <v>252</v>
      </c>
      <c r="C341" s="8">
        <v>46055</v>
      </c>
      <c r="D341" s="9">
        <v>40559</v>
      </c>
      <c r="E341">
        <f>MONTH(C341)</f>
        <v>2</v>
      </c>
    </row>
    <row r="342" spans="1:5">
      <c r="A342" t="s">
        <v>5</v>
      </c>
      <c r="B342" t="s">
        <v>239</v>
      </c>
      <c r="C342" s="8">
        <v>46055</v>
      </c>
      <c r="D342" s="9">
        <v>37171</v>
      </c>
      <c r="E342">
        <f>MONTH(C342)</f>
        <v>2</v>
      </c>
    </row>
    <row r="343" spans="1:5">
      <c r="A343" t="s">
        <v>5</v>
      </c>
      <c r="B343" t="s">
        <v>98</v>
      </c>
      <c r="C343" s="8">
        <v>46055</v>
      </c>
      <c r="D343" s="9">
        <v>53387</v>
      </c>
      <c r="E343">
        <f>MONTH(C343)</f>
        <v>2</v>
      </c>
    </row>
    <row r="344" spans="1:5">
      <c r="A344" t="s">
        <v>5</v>
      </c>
      <c r="B344" t="s">
        <v>73</v>
      </c>
      <c r="C344" s="8">
        <v>46055</v>
      </c>
      <c r="D344" s="9">
        <v>31077</v>
      </c>
      <c r="E344">
        <f>MONTH(C344)</f>
        <v>2</v>
      </c>
    </row>
    <row r="345" spans="1:5">
      <c r="A345" t="s">
        <v>5</v>
      </c>
      <c r="B345" t="s">
        <v>73</v>
      </c>
      <c r="C345" s="8">
        <v>46055</v>
      </c>
      <c r="D345" s="9">
        <v>39303</v>
      </c>
      <c r="E345">
        <f>MONTH(C345)</f>
        <v>2</v>
      </c>
    </row>
    <row r="346" spans="1:5">
      <c r="A346" t="s">
        <v>5</v>
      </c>
      <c r="B346" t="s">
        <v>183</v>
      </c>
      <c r="C346" s="8">
        <v>46055</v>
      </c>
      <c r="D346" s="9">
        <v>44684</v>
      </c>
      <c r="E346">
        <f>MONTH(C346)</f>
        <v>2</v>
      </c>
    </row>
    <row r="347" spans="1:5">
      <c r="A347" t="s">
        <v>5</v>
      </c>
      <c r="B347" t="s">
        <v>107</v>
      </c>
      <c r="C347" s="8">
        <v>46055</v>
      </c>
      <c r="D347" s="9">
        <v>50355</v>
      </c>
      <c r="E347">
        <f>MONTH(C347)</f>
        <v>2</v>
      </c>
    </row>
    <row r="348" spans="1:5">
      <c r="A348" t="s">
        <v>5</v>
      </c>
      <c r="B348" t="s">
        <v>108</v>
      </c>
      <c r="C348" s="8">
        <v>46055</v>
      </c>
      <c r="D348" s="9">
        <v>39642</v>
      </c>
      <c r="E348">
        <f>MONTH(C348)</f>
        <v>2</v>
      </c>
    </row>
    <row r="349" spans="1:5">
      <c r="A349" t="s">
        <v>5</v>
      </c>
      <c r="B349" t="s">
        <v>204</v>
      </c>
      <c r="C349" s="8">
        <v>46055</v>
      </c>
      <c r="D349" s="9">
        <v>44751</v>
      </c>
      <c r="E349">
        <f>MONTH(C349)</f>
        <v>2</v>
      </c>
    </row>
    <row r="350" spans="1:5">
      <c r="A350" t="s">
        <v>4</v>
      </c>
      <c r="B350" t="s">
        <v>84</v>
      </c>
      <c r="C350" s="8">
        <v>46056</v>
      </c>
      <c r="D350" s="9">
        <v>43950</v>
      </c>
      <c r="E350">
        <f>MONTH(C350)</f>
        <v>2</v>
      </c>
    </row>
    <row r="351" spans="1:5">
      <c r="A351" t="s">
        <v>28</v>
      </c>
      <c r="B351" t="s">
        <v>161</v>
      </c>
      <c r="C351" s="8">
        <v>46056</v>
      </c>
      <c r="D351" s="9">
        <v>10986</v>
      </c>
      <c r="E351">
        <f>MONTH(C351)</f>
        <v>2</v>
      </c>
    </row>
    <row r="352" spans="1:5">
      <c r="A352" t="s">
        <v>30</v>
      </c>
      <c r="B352" t="s">
        <v>162</v>
      </c>
      <c r="C352" s="8">
        <v>46056</v>
      </c>
      <c r="D352" s="9">
        <v>12075</v>
      </c>
      <c r="E352">
        <f>MONTH(C352)</f>
        <v>2</v>
      </c>
    </row>
    <row r="353" spans="1:5">
      <c r="A353" t="s">
        <v>7</v>
      </c>
      <c r="B353" t="s">
        <v>249</v>
      </c>
      <c r="C353" s="8">
        <v>46056</v>
      </c>
      <c r="D353" s="9">
        <v>24027</v>
      </c>
      <c r="E353">
        <f>MONTH(C353)</f>
        <v>2</v>
      </c>
    </row>
    <row r="354" spans="1:5">
      <c r="A354" t="s">
        <v>9</v>
      </c>
      <c r="B354" t="s">
        <v>269</v>
      </c>
      <c r="C354" s="8">
        <v>46056</v>
      </c>
      <c r="D354" s="9">
        <v>39468</v>
      </c>
      <c r="E354">
        <f>MONTH(C354)</f>
        <v>2</v>
      </c>
    </row>
    <row r="355" spans="1:5">
      <c r="A355" t="s">
        <v>9</v>
      </c>
      <c r="B355" t="s">
        <v>211</v>
      </c>
      <c r="C355" s="8">
        <v>46056</v>
      </c>
      <c r="D355" s="9">
        <v>33276</v>
      </c>
      <c r="E355">
        <f>MONTH(C355)</f>
        <v>2</v>
      </c>
    </row>
    <row r="356" spans="1:5">
      <c r="A356" t="s">
        <v>9</v>
      </c>
      <c r="B356" t="s">
        <v>132</v>
      </c>
      <c r="C356" s="8">
        <v>46056</v>
      </c>
      <c r="D356" s="9">
        <v>43125</v>
      </c>
      <c r="E356">
        <f>MONTH(C356)</f>
        <v>2</v>
      </c>
    </row>
    <row r="357" spans="1:5">
      <c r="A357" t="s">
        <v>5</v>
      </c>
      <c r="B357" t="s">
        <v>72</v>
      </c>
      <c r="C357" s="8">
        <v>46056</v>
      </c>
      <c r="D357" s="9">
        <v>39542</v>
      </c>
      <c r="E357">
        <f>MONTH(C357)</f>
        <v>2</v>
      </c>
    </row>
    <row r="358" spans="1:5">
      <c r="A358" t="s">
        <v>5</v>
      </c>
      <c r="B358" t="s">
        <v>123</v>
      </c>
      <c r="C358" s="8">
        <v>46056</v>
      </c>
      <c r="D358" s="9">
        <v>34889</v>
      </c>
      <c r="E358">
        <f>MONTH(C358)</f>
        <v>2</v>
      </c>
    </row>
    <row r="359" spans="1:5">
      <c r="A359" t="s">
        <v>5</v>
      </c>
      <c r="B359" t="s">
        <v>74</v>
      </c>
      <c r="C359" s="8">
        <v>46056</v>
      </c>
      <c r="D359" s="9">
        <v>43057</v>
      </c>
      <c r="E359">
        <f>MONTH(C359)</f>
        <v>2</v>
      </c>
    </row>
    <row r="360" spans="1:5">
      <c r="A360" t="s">
        <v>31</v>
      </c>
      <c r="B360" t="s">
        <v>152</v>
      </c>
      <c r="C360" s="8">
        <v>46057</v>
      </c>
      <c r="D360" s="9">
        <v>15742</v>
      </c>
      <c r="E360">
        <f>MONTH(C360)</f>
        <v>2</v>
      </c>
    </row>
    <row r="361" spans="1:5">
      <c r="A361" t="s">
        <v>26</v>
      </c>
      <c r="B361" t="s">
        <v>216</v>
      </c>
      <c r="C361" s="8">
        <v>46057</v>
      </c>
      <c r="D361" s="9">
        <v>12282</v>
      </c>
      <c r="E361">
        <f>MONTH(C361)</f>
        <v>2</v>
      </c>
    </row>
    <row r="362" spans="1:5">
      <c r="A362" t="s">
        <v>6</v>
      </c>
      <c r="B362" t="s">
        <v>208</v>
      </c>
      <c r="C362" s="8">
        <v>46057</v>
      </c>
      <c r="D362" s="9">
        <v>17346</v>
      </c>
      <c r="E362">
        <f>MONTH(C362)</f>
        <v>2</v>
      </c>
    </row>
    <row r="363" spans="1:5">
      <c r="A363" t="s">
        <v>29</v>
      </c>
      <c r="B363" t="s">
        <v>163</v>
      </c>
      <c r="C363" s="8">
        <v>46057</v>
      </c>
      <c r="D363" s="9">
        <v>5200</v>
      </c>
      <c r="E363">
        <f>MONTH(C363)</f>
        <v>2</v>
      </c>
    </row>
    <row r="364" spans="1:5">
      <c r="A364" t="s">
        <v>9</v>
      </c>
      <c r="B364" t="s">
        <v>176</v>
      </c>
      <c r="C364" s="8">
        <v>46057</v>
      </c>
      <c r="D364" s="9">
        <v>29519</v>
      </c>
      <c r="E364">
        <f>MONTH(C364)</f>
        <v>2</v>
      </c>
    </row>
    <row r="365" spans="1:5">
      <c r="A365" t="s">
        <v>9</v>
      </c>
      <c r="B365" t="s">
        <v>92</v>
      </c>
      <c r="C365" s="8">
        <v>46057</v>
      </c>
      <c r="D365" s="9">
        <v>48358</v>
      </c>
      <c r="E365">
        <f>MONTH(C365)</f>
        <v>2</v>
      </c>
    </row>
    <row r="366" spans="1:5">
      <c r="A366" t="s">
        <v>9</v>
      </c>
      <c r="B366" t="s">
        <v>210</v>
      </c>
      <c r="C366" s="8">
        <v>46057</v>
      </c>
      <c r="D366" s="9">
        <v>37502</v>
      </c>
      <c r="E366">
        <f>MONTH(C366)</f>
        <v>2</v>
      </c>
    </row>
    <row r="367" spans="1:5">
      <c r="A367" t="s">
        <v>5</v>
      </c>
      <c r="B367" t="s">
        <v>183</v>
      </c>
      <c r="C367" s="8">
        <v>46057</v>
      </c>
      <c r="D367" s="9">
        <v>33031</v>
      </c>
      <c r="E367">
        <f>MONTH(C367)</f>
        <v>2</v>
      </c>
    </row>
    <row r="368" spans="1:5">
      <c r="A368" t="s">
        <v>5</v>
      </c>
      <c r="B368" t="s">
        <v>74</v>
      </c>
      <c r="C368" s="8">
        <v>46057</v>
      </c>
      <c r="D368" s="9">
        <v>48084</v>
      </c>
      <c r="E368">
        <f>MONTH(C368)</f>
        <v>2</v>
      </c>
    </row>
    <row r="369" spans="1:5">
      <c r="A369" t="s">
        <v>5</v>
      </c>
      <c r="B369" t="s">
        <v>74</v>
      </c>
      <c r="C369" s="8">
        <v>46057</v>
      </c>
      <c r="D369" s="9">
        <v>35911</v>
      </c>
      <c r="E369">
        <f>MONTH(C369)</f>
        <v>2</v>
      </c>
    </row>
    <row r="370" spans="1:5">
      <c r="A370" t="s">
        <v>5</v>
      </c>
      <c r="B370" t="s">
        <v>115</v>
      </c>
      <c r="C370" s="8">
        <v>46057</v>
      </c>
      <c r="D370" s="9">
        <v>35499</v>
      </c>
      <c r="E370">
        <f>MONTH(C370)</f>
        <v>2</v>
      </c>
    </row>
    <row r="371" spans="1:5">
      <c r="A371" t="s">
        <v>5</v>
      </c>
      <c r="B371" t="s">
        <v>93</v>
      </c>
      <c r="C371" s="8">
        <v>46057</v>
      </c>
      <c r="D371" s="9">
        <v>55279</v>
      </c>
      <c r="E371">
        <f>MONTH(C371)</f>
        <v>2</v>
      </c>
    </row>
    <row r="372" spans="1:5">
      <c r="A372" t="s">
        <v>5</v>
      </c>
      <c r="B372" t="s">
        <v>108</v>
      </c>
      <c r="C372" s="8">
        <v>46057</v>
      </c>
      <c r="D372" s="9">
        <v>42868</v>
      </c>
      <c r="E372">
        <f>MONTH(C372)</f>
        <v>2</v>
      </c>
    </row>
    <row r="373" spans="1:5">
      <c r="A373" t="s">
        <v>35</v>
      </c>
      <c r="B373" t="s">
        <v>271</v>
      </c>
      <c r="C373" s="8">
        <v>46058</v>
      </c>
      <c r="D373" s="9">
        <v>23790</v>
      </c>
      <c r="E373">
        <f>MONTH(C373)</f>
        <v>2</v>
      </c>
    </row>
    <row r="374" spans="1:5">
      <c r="A374" t="s">
        <v>31</v>
      </c>
      <c r="B374" t="s">
        <v>48</v>
      </c>
      <c r="C374" s="8">
        <v>46058</v>
      </c>
      <c r="D374" s="9">
        <v>12867</v>
      </c>
      <c r="E374">
        <f>MONTH(C374)</f>
        <v>2</v>
      </c>
    </row>
    <row r="375" spans="1:5">
      <c r="A375" t="s">
        <v>28</v>
      </c>
      <c r="B375" t="s">
        <v>118</v>
      </c>
      <c r="C375" s="8">
        <v>46058</v>
      </c>
      <c r="D375" s="9">
        <v>11858</v>
      </c>
      <c r="E375">
        <f>MONTH(C375)</f>
        <v>2</v>
      </c>
    </row>
    <row r="376" spans="1:5">
      <c r="A376" t="s">
        <v>26</v>
      </c>
      <c r="B376" t="s">
        <v>236</v>
      </c>
      <c r="C376" s="8">
        <v>46058</v>
      </c>
      <c r="D376" s="9">
        <v>9286</v>
      </c>
      <c r="E376">
        <f>MONTH(C376)</f>
        <v>2</v>
      </c>
    </row>
    <row r="377" spans="1:5">
      <c r="A377" t="s">
        <v>8</v>
      </c>
      <c r="B377" t="s">
        <v>140</v>
      </c>
      <c r="C377" s="8">
        <v>46058</v>
      </c>
      <c r="D377" s="9">
        <v>15460</v>
      </c>
      <c r="E377">
        <f>MONTH(C377)</f>
        <v>2</v>
      </c>
    </row>
    <row r="378" spans="1:5">
      <c r="A378" t="s">
        <v>8</v>
      </c>
      <c r="B378" t="s">
        <v>147</v>
      </c>
      <c r="C378" s="8">
        <v>46058</v>
      </c>
      <c r="D378" s="9">
        <v>16035</v>
      </c>
      <c r="E378">
        <f>MONTH(C378)</f>
        <v>2</v>
      </c>
    </row>
    <row r="379" spans="1:5">
      <c r="A379" t="s">
        <v>9</v>
      </c>
      <c r="B379" t="s">
        <v>283</v>
      </c>
      <c r="C379" s="8">
        <v>46058</v>
      </c>
      <c r="D379" s="9">
        <v>25450</v>
      </c>
      <c r="E379">
        <f>MONTH(C379)</f>
        <v>2</v>
      </c>
    </row>
    <row r="380" spans="1:5">
      <c r="A380" t="s">
        <v>9</v>
      </c>
      <c r="B380" t="s">
        <v>111</v>
      </c>
      <c r="C380" s="8">
        <v>46058</v>
      </c>
      <c r="D380" s="9">
        <v>47917</v>
      </c>
      <c r="E380">
        <f>MONTH(C380)</f>
        <v>2</v>
      </c>
    </row>
    <row r="381" spans="1:5">
      <c r="A381" t="s">
        <v>5</v>
      </c>
      <c r="B381" t="s">
        <v>182</v>
      </c>
      <c r="C381" s="8">
        <v>46058</v>
      </c>
      <c r="D381" s="9">
        <v>41581</v>
      </c>
      <c r="E381">
        <f>MONTH(C381)</f>
        <v>2</v>
      </c>
    </row>
    <row r="382" spans="1:5">
      <c r="A382" t="s">
        <v>5</v>
      </c>
      <c r="B382" t="s">
        <v>183</v>
      </c>
      <c r="C382" s="8">
        <v>46058</v>
      </c>
      <c r="D382" s="9">
        <v>37425</v>
      </c>
      <c r="E382">
        <f>MONTH(C382)</f>
        <v>2</v>
      </c>
    </row>
    <row r="383" spans="1:5">
      <c r="A383" t="s">
        <v>5</v>
      </c>
      <c r="B383" t="s">
        <v>160</v>
      </c>
      <c r="C383" s="8">
        <v>46058</v>
      </c>
      <c r="D383" s="9">
        <v>30131</v>
      </c>
      <c r="E383">
        <f>MONTH(C383)</f>
        <v>2</v>
      </c>
    </row>
    <row r="384" spans="1:5">
      <c r="A384" t="s">
        <v>5</v>
      </c>
      <c r="B384" t="s">
        <v>134</v>
      </c>
      <c r="C384" s="8">
        <v>46058</v>
      </c>
      <c r="D384" s="9">
        <v>33375</v>
      </c>
      <c r="E384">
        <f>MONTH(C384)</f>
        <v>2</v>
      </c>
    </row>
    <row r="385" spans="1:5">
      <c r="A385" t="s">
        <v>35</v>
      </c>
      <c r="B385" t="s">
        <v>94</v>
      </c>
      <c r="C385" s="8">
        <v>46059</v>
      </c>
      <c r="D385" s="9">
        <v>5239</v>
      </c>
      <c r="E385">
        <f>MONTH(C385)</f>
        <v>2</v>
      </c>
    </row>
    <row r="386" spans="1:5">
      <c r="A386" t="s">
        <v>4</v>
      </c>
      <c r="B386" t="s">
        <v>85</v>
      </c>
      <c r="C386" s="8">
        <v>46059</v>
      </c>
      <c r="D386" s="9">
        <v>27783</v>
      </c>
      <c r="E386">
        <f>MONTH(C386)</f>
        <v>2</v>
      </c>
    </row>
    <row r="387" spans="1:5">
      <c r="A387" t="s">
        <v>6</v>
      </c>
      <c r="B387" t="s">
        <v>218</v>
      </c>
      <c r="C387" s="8">
        <v>46059</v>
      </c>
      <c r="D387" s="9">
        <v>11859</v>
      </c>
      <c r="E387">
        <f>MONTH(C387)</f>
        <v>2</v>
      </c>
    </row>
    <row r="388" spans="1:5">
      <c r="A388" t="s">
        <v>9</v>
      </c>
      <c r="B388" t="s">
        <v>159</v>
      </c>
      <c r="C388" s="8">
        <v>46059</v>
      </c>
      <c r="D388" s="9">
        <v>46522</v>
      </c>
      <c r="E388">
        <f>MONTH(C388)</f>
        <v>2</v>
      </c>
    </row>
    <row r="389" spans="1:5">
      <c r="A389" t="s">
        <v>9</v>
      </c>
      <c r="B389" t="s">
        <v>264</v>
      </c>
      <c r="C389" s="8">
        <v>46059</v>
      </c>
      <c r="D389" s="9">
        <v>34706</v>
      </c>
      <c r="E389">
        <f>MONTH(C389)</f>
        <v>2</v>
      </c>
    </row>
    <row r="390" spans="1:5">
      <c r="A390" t="s">
        <v>5</v>
      </c>
      <c r="B390" t="s">
        <v>100</v>
      </c>
      <c r="C390" s="8">
        <v>46059</v>
      </c>
      <c r="D390" s="9">
        <v>62167</v>
      </c>
      <c r="E390">
        <f>MONTH(C390)</f>
        <v>2</v>
      </c>
    </row>
    <row r="391" spans="1:5">
      <c r="A391" t="s">
        <v>4</v>
      </c>
      <c r="B391" t="s">
        <v>146</v>
      </c>
      <c r="C391" s="8">
        <v>46060</v>
      </c>
      <c r="D391" s="9">
        <v>23629</v>
      </c>
      <c r="E391">
        <f>MONTH(C391)</f>
        <v>2</v>
      </c>
    </row>
    <row r="392" spans="1:5">
      <c r="A392" t="s">
        <v>25</v>
      </c>
      <c r="B392" t="s">
        <v>272</v>
      </c>
      <c r="C392" s="8">
        <v>46060</v>
      </c>
      <c r="D392" s="9">
        <v>13924</v>
      </c>
      <c r="E392">
        <f>MONTH(C392)</f>
        <v>2</v>
      </c>
    </row>
    <row r="393" spans="1:5">
      <c r="A393" t="s">
        <v>28</v>
      </c>
      <c r="B393" t="s">
        <v>62</v>
      </c>
      <c r="C393" s="8">
        <v>46060</v>
      </c>
      <c r="D393" s="9">
        <v>9281</v>
      </c>
      <c r="E393">
        <f>MONTH(C393)</f>
        <v>2</v>
      </c>
    </row>
    <row r="394" spans="1:5">
      <c r="A394" t="s">
        <v>8</v>
      </c>
      <c r="B394" t="s">
        <v>79</v>
      </c>
      <c r="C394" s="8">
        <v>46060</v>
      </c>
      <c r="D394" s="9">
        <v>12386</v>
      </c>
      <c r="E394">
        <f>MONTH(C394)</f>
        <v>2</v>
      </c>
    </row>
    <row r="395" spans="1:5">
      <c r="A395" t="s">
        <v>32</v>
      </c>
      <c r="B395" t="s">
        <v>230</v>
      </c>
      <c r="C395" s="8">
        <v>46060</v>
      </c>
      <c r="D395" s="9">
        <v>12097</v>
      </c>
      <c r="E395">
        <f>MONTH(C395)</f>
        <v>2</v>
      </c>
    </row>
    <row r="396" spans="1:5">
      <c r="A396" t="s">
        <v>6</v>
      </c>
      <c r="B396" t="s">
        <v>260</v>
      </c>
      <c r="C396" s="8">
        <v>46060</v>
      </c>
      <c r="D396" s="9">
        <v>5676</v>
      </c>
      <c r="E396">
        <f>MONTH(C396)</f>
        <v>2</v>
      </c>
    </row>
    <row r="397" spans="1:5">
      <c r="A397" t="s">
        <v>6</v>
      </c>
      <c r="B397" t="s">
        <v>103</v>
      </c>
      <c r="C397" s="8">
        <v>46060</v>
      </c>
      <c r="D397" s="9">
        <v>29969</v>
      </c>
      <c r="E397">
        <f>MONTH(C397)</f>
        <v>2</v>
      </c>
    </row>
    <row r="398" spans="1:5">
      <c r="A398" t="s">
        <v>7</v>
      </c>
      <c r="B398" t="s">
        <v>142</v>
      </c>
      <c r="C398" s="8">
        <v>46060</v>
      </c>
      <c r="D398" s="9">
        <v>35641</v>
      </c>
      <c r="E398">
        <f>MONTH(C398)</f>
        <v>2</v>
      </c>
    </row>
    <row r="399" spans="1:5">
      <c r="A399" t="s">
        <v>7</v>
      </c>
      <c r="B399" t="s">
        <v>105</v>
      </c>
      <c r="C399" s="8">
        <v>46060</v>
      </c>
      <c r="D399" s="9">
        <v>20683</v>
      </c>
      <c r="E399">
        <f>MONTH(C399)</f>
        <v>2</v>
      </c>
    </row>
    <row r="400" spans="1:5">
      <c r="A400" t="s">
        <v>9</v>
      </c>
      <c r="B400" t="s">
        <v>148</v>
      </c>
      <c r="C400" s="8">
        <v>46060</v>
      </c>
      <c r="D400" s="9">
        <v>29857</v>
      </c>
      <c r="E400">
        <f>MONTH(C400)</f>
        <v>2</v>
      </c>
    </row>
    <row r="401" spans="1:5">
      <c r="A401" t="s">
        <v>9</v>
      </c>
      <c r="B401" t="s">
        <v>93</v>
      </c>
      <c r="C401" s="8">
        <v>46060</v>
      </c>
      <c r="D401" s="9">
        <v>53267</v>
      </c>
      <c r="E401">
        <f>MONTH(C401)</f>
        <v>2</v>
      </c>
    </row>
    <row r="402" spans="1:5">
      <c r="A402" t="s">
        <v>9</v>
      </c>
      <c r="B402" t="s">
        <v>137</v>
      </c>
      <c r="C402" s="8">
        <v>46060</v>
      </c>
      <c r="D402" s="9">
        <v>12378</v>
      </c>
      <c r="E402">
        <f>MONTH(C402)</f>
        <v>2</v>
      </c>
    </row>
    <row r="403" spans="1:5">
      <c r="A403" t="s">
        <v>5</v>
      </c>
      <c r="B403" t="s">
        <v>74</v>
      </c>
      <c r="C403" s="8">
        <v>46060</v>
      </c>
      <c r="D403" s="9">
        <v>34604</v>
      </c>
      <c r="E403">
        <f>MONTH(C403)</f>
        <v>2</v>
      </c>
    </row>
    <row r="404" spans="1:5">
      <c r="A404" t="s">
        <v>5</v>
      </c>
      <c r="B404" t="s">
        <v>252</v>
      </c>
      <c r="C404" s="8">
        <v>46060</v>
      </c>
      <c r="D404" s="9">
        <v>53740</v>
      </c>
      <c r="E404">
        <f>MONTH(C404)</f>
        <v>2</v>
      </c>
    </row>
    <row r="405" spans="1:5">
      <c r="A405" t="s">
        <v>5</v>
      </c>
      <c r="B405" t="s">
        <v>124</v>
      </c>
      <c r="C405" s="8">
        <v>46060</v>
      </c>
      <c r="D405" s="9">
        <v>33065</v>
      </c>
      <c r="E405">
        <f>MONTH(C405)</f>
        <v>2</v>
      </c>
    </row>
    <row r="406" spans="1:5">
      <c r="A406" t="s">
        <v>5</v>
      </c>
      <c r="B406" t="s">
        <v>109</v>
      </c>
      <c r="C406" s="8">
        <v>46060</v>
      </c>
      <c r="D406" s="9">
        <v>60289</v>
      </c>
      <c r="E406">
        <f>MONTH(C406)</f>
        <v>2</v>
      </c>
    </row>
    <row r="407" spans="1:5">
      <c r="A407" t="s">
        <v>5</v>
      </c>
      <c r="B407" t="s">
        <v>58</v>
      </c>
      <c r="C407" s="8">
        <v>46060</v>
      </c>
      <c r="D407" s="9">
        <v>43293</v>
      </c>
      <c r="E407">
        <f>MONTH(C407)</f>
        <v>2</v>
      </c>
    </row>
    <row r="408" spans="1:5">
      <c r="A408" t="s">
        <v>27</v>
      </c>
      <c r="B408" t="s">
        <v>213</v>
      </c>
      <c r="C408" s="8">
        <v>46061</v>
      </c>
      <c r="D408" s="9">
        <v>13282</v>
      </c>
      <c r="E408">
        <f>MONTH(C408)</f>
        <v>2</v>
      </c>
    </row>
    <row r="409" spans="1:5">
      <c r="A409" t="s">
        <v>4</v>
      </c>
      <c r="B409" t="s">
        <v>240</v>
      </c>
      <c r="C409" s="8">
        <v>46061</v>
      </c>
      <c r="D409" s="9">
        <v>19102</v>
      </c>
      <c r="E409">
        <f>MONTH(C409)</f>
        <v>2</v>
      </c>
    </row>
    <row r="410" spans="1:5">
      <c r="A410" t="s">
        <v>36</v>
      </c>
      <c r="B410" t="s">
        <v>229</v>
      </c>
      <c r="C410" s="8">
        <v>46061</v>
      </c>
      <c r="D410" s="9">
        <v>11194</v>
      </c>
      <c r="E410">
        <f>MONTH(C410)</f>
        <v>2</v>
      </c>
    </row>
    <row r="411" spans="1:5">
      <c r="A411" t="s">
        <v>9</v>
      </c>
      <c r="B411" t="s">
        <v>82</v>
      </c>
      <c r="C411" s="8">
        <v>46061</v>
      </c>
      <c r="D411" s="9">
        <v>39570</v>
      </c>
      <c r="E411">
        <f>MONTH(C411)</f>
        <v>2</v>
      </c>
    </row>
    <row r="412" spans="1:5">
      <c r="A412" t="s">
        <v>9</v>
      </c>
      <c r="B412" t="s">
        <v>220</v>
      </c>
      <c r="C412" s="8">
        <v>46061</v>
      </c>
      <c r="D412" s="9">
        <v>29607</v>
      </c>
      <c r="E412">
        <f>MONTH(C412)</f>
        <v>2</v>
      </c>
    </row>
    <row r="413" spans="1:5">
      <c r="A413" t="s">
        <v>5</v>
      </c>
      <c r="B413" t="s">
        <v>251</v>
      </c>
      <c r="C413" s="8">
        <v>46061</v>
      </c>
      <c r="D413" s="9">
        <v>48202</v>
      </c>
      <c r="E413">
        <f>MONTH(C413)</f>
        <v>2</v>
      </c>
    </row>
    <row r="414" spans="1:5">
      <c r="A414" t="s">
        <v>5</v>
      </c>
      <c r="B414" t="s">
        <v>92</v>
      </c>
      <c r="C414" s="8">
        <v>46061</v>
      </c>
      <c r="D414" s="9">
        <v>40170</v>
      </c>
      <c r="E414">
        <f>MONTH(C414)</f>
        <v>2</v>
      </c>
    </row>
    <row r="415" spans="1:5">
      <c r="A415" t="s">
        <v>5</v>
      </c>
      <c r="B415" t="s">
        <v>74</v>
      </c>
      <c r="C415" s="8">
        <v>46061</v>
      </c>
      <c r="D415" s="9">
        <v>39947</v>
      </c>
      <c r="E415">
        <f>MONTH(C415)</f>
        <v>2</v>
      </c>
    </row>
    <row r="416" spans="1:5">
      <c r="A416" t="s">
        <v>5</v>
      </c>
      <c r="B416" t="s">
        <v>108</v>
      </c>
      <c r="C416" s="8">
        <v>46061</v>
      </c>
      <c r="D416" s="9">
        <v>42641</v>
      </c>
      <c r="E416">
        <f>MONTH(C416)</f>
        <v>2</v>
      </c>
    </row>
    <row r="417" spans="1:5">
      <c r="A417" t="s">
        <v>25</v>
      </c>
      <c r="B417" t="s">
        <v>128</v>
      </c>
      <c r="C417" s="8">
        <v>46062</v>
      </c>
      <c r="D417" s="9">
        <v>20726</v>
      </c>
      <c r="E417">
        <f>MONTH(C417)</f>
        <v>2</v>
      </c>
    </row>
    <row r="418" spans="1:5">
      <c r="A418" t="s">
        <v>25</v>
      </c>
      <c r="B418" t="s">
        <v>278</v>
      </c>
      <c r="C418" s="8">
        <v>46062</v>
      </c>
      <c r="D418" s="9">
        <v>12075</v>
      </c>
      <c r="E418">
        <f>MONTH(C418)</f>
        <v>2</v>
      </c>
    </row>
    <row r="419" spans="1:5">
      <c r="A419" t="s">
        <v>6</v>
      </c>
      <c r="B419" t="s">
        <v>261</v>
      </c>
      <c r="C419" s="8">
        <v>46062</v>
      </c>
      <c r="D419" s="9">
        <v>16684</v>
      </c>
      <c r="E419">
        <f>MONTH(C419)</f>
        <v>2</v>
      </c>
    </row>
    <row r="420" spans="1:5">
      <c r="A420" t="s">
        <v>33</v>
      </c>
      <c r="B420" t="s">
        <v>268</v>
      </c>
      <c r="C420" s="8">
        <v>46062</v>
      </c>
      <c r="D420" s="9">
        <v>5200</v>
      </c>
      <c r="E420">
        <f>MONTH(C420)</f>
        <v>2</v>
      </c>
    </row>
    <row r="421" spans="1:5">
      <c r="A421" t="s">
        <v>7</v>
      </c>
      <c r="B421" t="s">
        <v>244</v>
      </c>
      <c r="C421" s="8">
        <v>46062</v>
      </c>
      <c r="D421" s="9">
        <v>19012</v>
      </c>
      <c r="E421">
        <f>MONTH(C421)</f>
        <v>2</v>
      </c>
    </row>
    <row r="422" spans="1:5">
      <c r="A422" t="s">
        <v>7</v>
      </c>
      <c r="B422" t="s">
        <v>193</v>
      </c>
      <c r="C422" s="8">
        <v>46062</v>
      </c>
      <c r="D422" s="9">
        <v>15538</v>
      </c>
      <c r="E422">
        <f>MONTH(C422)</f>
        <v>2</v>
      </c>
    </row>
    <row r="423" spans="1:5">
      <c r="A423" t="s">
        <v>9</v>
      </c>
      <c r="B423" t="s">
        <v>177</v>
      </c>
      <c r="C423" s="8">
        <v>46062</v>
      </c>
      <c r="D423" s="9">
        <v>38550</v>
      </c>
      <c r="E423">
        <f>MONTH(C423)</f>
        <v>2</v>
      </c>
    </row>
    <row r="424" spans="1:5">
      <c r="A424" t="s">
        <v>9</v>
      </c>
      <c r="B424" t="s">
        <v>145</v>
      </c>
      <c r="C424" s="8">
        <v>46062</v>
      </c>
      <c r="D424" s="9">
        <v>51561</v>
      </c>
      <c r="E424">
        <f>MONTH(C424)</f>
        <v>2</v>
      </c>
    </row>
    <row r="425" spans="1:5">
      <c r="A425" t="s">
        <v>9</v>
      </c>
      <c r="B425" t="s">
        <v>157</v>
      </c>
      <c r="C425" s="8">
        <v>46062</v>
      </c>
      <c r="D425" s="9">
        <v>42462</v>
      </c>
      <c r="E425">
        <f>MONTH(C425)</f>
        <v>2</v>
      </c>
    </row>
    <row r="426" spans="1:5">
      <c r="A426" t="s">
        <v>5</v>
      </c>
      <c r="B426" t="s">
        <v>72</v>
      </c>
      <c r="C426" s="8">
        <v>46062</v>
      </c>
      <c r="D426" s="9">
        <v>43207</v>
      </c>
      <c r="E426">
        <f>MONTH(C426)</f>
        <v>2</v>
      </c>
    </row>
    <row r="427" spans="1:5">
      <c r="A427" t="s">
        <v>5</v>
      </c>
      <c r="B427" t="s">
        <v>101</v>
      </c>
      <c r="C427" s="8">
        <v>46062</v>
      </c>
      <c r="D427" s="9">
        <v>34349</v>
      </c>
      <c r="E427">
        <f>MONTH(C427)</f>
        <v>2</v>
      </c>
    </row>
    <row r="428" spans="1:5">
      <c r="A428" t="s">
        <v>27</v>
      </c>
      <c r="B428" t="s">
        <v>168</v>
      </c>
      <c r="C428" s="8">
        <v>46063</v>
      </c>
      <c r="D428" s="9">
        <v>12045</v>
      </c>
      <c r="E428">
        <f>MONTH(C428)</f>
        <v>2</v>
      </c>
    </row>
    <row r="429" spans="1:5">
      <c r="A429" t="s">
        <v>4</v>
      </c>
      <c r="B429" t="s">
        <v>227</v>
      </c>
      <c r="C429" s="8">
        <v>46063</v>
      </c>
      <c r="D429" s="9">
        <v>24765</v>
      </c>
      <c r="E429">
        <f>MONTH(C429)</f>
        <v>2</v>
      </c>
    </row>
    <row r="430" spans="1:5">
      <c r="A430" t="s">
        <v>4</v>
      </c>
      <c r="B430" t="s">
        <v>114</v>
      </c>
      <c r="C430" s="8">
        <v>46063</v>
      </c>
      <c r="D430" s="9">
        <v>29125</v>
      </c>
      <c r="E430">
        <f>MONTH(C430)</f>
        <v>2</v>
      </c>
    </row>
    <row r="431" spans="1:5">
      <c r="A431" t="s">
        <v>26</v>
      </c>
      <c r="B431" t="s">
        <v>78</v>
      </c>
      <c r="C431" s="8">
        <v>46063</v>
      </c>
      <c r="D431" s="9">
        <v>13382</v>
      </c>
      <c r="E431">
        <f>MONTH(C431)</f>
        <v>2</v>
      </c>
    </row>
    <row r="432" spans="1:5">
      <c r="A432" t="s">
        <v>8</v>
      </c>
      <c r="B432" t="s">
        <v>237</v>
      </c>
      <c r="C432" s="8">
        <v>46063</v>
      </c>
      <c r="D432" s="9">
        <v>5200</v>
      </c>
      <c r="E432">
        <f>MONTH(C432)</f>
        <v>2</v>
      </c>
    </row>
    <row r="433" spans="1:5">
      <c r="A433" t="s">
        <v>6</v>
      </c>
      <c r="B433" t="s">
        <v>217</v>
      </c>
      <c r="C433" s="8">
        <v>46063</v>
      </c>
      <c r="D433" s="9">
        <v>17117</v>
      </c>
      <c r="E433">
        <f>MONTH(C433)</f>
        <v>2</v>
      </c>
    </row>
    <row r="434" spans="1:5">
      <c r="A434" t="s">
        <v>7</v>
      </c>
      <c r="B434" t="s">
        <v>238</v>
      </c>
      <c r="C434" s="8">
        <v>46063</v>
      </c>
      <c r="D434" s="9">
        <v>15605</v>
      </c>
      <c r="E434">
        <f>MONTH(C434)</f>
        <v>2</v>
      </c>
    </row>
    <row r="435" spans="1:5">
      <c r="A435" t="s">
        <v>9</v>
      </c>
      <c r="B435" t="s">
        <v>113</v>
      </c>
      <c r="C435" s="8">
        <v>46063</v>
      </c>
      <c r="D435" s="9">
        <v>25065</v>
      </c>
      <c r="E435">
        <f>MONTH(C435)</f>
        <v>2</v>
      </c>
    </row>
    <row r="436" spans="1:5">
      <c r="A436" t="s">
        <v>5</v>
      </c>
      <c r="B436" t="s">
        <v>53</v>
      </c>
      <c r="C436" s="8">
        <v>46063</v>
      </c>
      <c r="D436" s="9">
        <v>46272</v>
      </c>
      <c r="E436">
        <f>MONTH(C436)</f>
        <v>2</v>
      </c>
    </row>
    <row r="437" spans="1:5">
      <c r="A437" t="s">
        <v>5</v>
      </c>
      <c r="B437" t="s">
        <v>97</v>
      </c>
      <c r="C437" s="8">
        <v>46063</v>
      </c>
      <c r="D437" s="9">
        <v>53443</v>
      </c>
      <c r="E437">
        <f>MONTH(C437)</f>
        <v>2</v>
      </c>
    </row>
    <row r="438" spans="1:5">
      <c r="A438" t="s">
        <v>5</v>
      </c>
      <c r="B438" t="s">
        <v>99</v>
      </c>
      <c r="C438" s="8">
        <v>46063</v>
      </c>
      <c r="D438" s="9">
        <v>35576</v>
      </c>
      <c r="E438">
        <f>MONTH(C438)</f>
        <v>2</v>
      </c>
    </row>
    <row r="439" spans="1:5">
      <c r="A439" t="s">
        <v>5</v>
      </c>
      <c r="B439" t="s">
        <v>124</v>
      </c>
      <c r="C439" s="8">
        <v>46063</v>
      </c>
      <c r="D439" s="9">
        <v>33710</v>
      </c>
      <c r="E439">
        <f>MONTH(C439)</f>
        <v>2</v>
      </c>
    </row>
    <row r="440" spans="1:5">
      <c r="A440" t="s">
        <v>5</v>
      </c>
      <c r="B440" t="s">
        <v>212</v>
      </c>
      <c r="C440" s="8">
        <v>46063</v>
      </c>
      <c r="D440" s="9">
        <v>37928</v>
      </c>
      <c r="E440">
        <f>MONTH(C440)</f>
        <v>2</v>
      </c>
    </row>
    <row r="441" spans="1:5">
      <c r="A441" t="s">
        <v>27</v>
      </c>
      <c r="B441" t="s">
        <v>135</v>
      </c>
      <c r="C441" s="8">
        <v>46064</v>
      </c>
      <c r="D441" s="9">
        <v>13569</v>
      </c>
      <c r="E441">
        <f>MONTH(C441)</f>
        <v>2</v>
      </c>
    </row>
    <row r="442" spans="1:5">
      <c r="A442" t="s">
        <v>8</v>
      </c>
      <c r="B442" t="s">
        <v>246</v>
      </c>
      <c r="C442" s="8">
        <v>46064</v>
      </c>
      <c r="D442" s="9">
        <v>15947</v>
      </c>
      <c r="E442">
        <f>MONTH(C442)</f>
        <v>2</v>
      </c>
    </row>
    <row r="443" spans="1:5">
      <c r="A443" t="s">
        <v>29</v>
      </c>
      <c r="B443" t="s">
        <v>57</v>
      </c>
      <c r="C443" s="8">
        <v>46064</v>
      </c>
      <c r="D443" s="9">
        <v>14624</v>
      </c>
      <c r="E443">
        <f>MONTH(C443)</f>
        <v>2</v>
      </c>
    </row>
    <row r="444" spans="1:5">
      <c r="A444" t="s">
        <v>7</v>
      </c>
      <c r="B444" t="s">
        <v>243</v>
      </c>
      <c r="C444" s="8">
        <v>46064</v>
      </c>
      <c r="D444" s="9">
        <v>11403</v>
      </c>
      <c r="E444">
        <f>MONTH(C444)</f>
        <v>2</v>
      </c>
    </row>
    <row r="445" spans="1:5">
      <c r="A445" t="s">
        <v>9</v>
      </c>
      <c r="B445" t="s">
        <v>148</v>
      </c>
      <c r="C445" s="8">
        <v>46064</v>
      </c>
      <c r="D445" s="9">
        <v>28210</v>
      </c>
      <c r="E445">
        <f>MONTH(C445)</f>
        <v>2</v>
      </c>
    </row>
    <row r="446" spans="1:5">
      <c r="A446" t="s">
        <v>9</v>
      </c>
      <c r="B446" t="s">
        <v>122</v>
      </c>
      <c r="C446" s="8">
        <v>46064</v>
      </c>
      <c r="D446" s="9">
        <v>11759</v>
      </c>
      <c r="E446">
        <f>MONTH(C446)</f>
        <v>2</v>
      </c>
    </row>
    <row r="447" spans="1:5">
      <c r="A447" t="s">
        <v>5</v>
      </c>
      <c r="B447" t="s">
        <v>98</v>
      </c>
      <c r="C447" s="8">
        <v>46064</v>
      </c>
      <c r="D447" s="9">
        <v>48777</v>
      </c>
      <c r="E447">
        <f>MONTH(C447)</f>
        <v>2</v>
      </c>
    </row>
    <row r="448" spans="1:5">
      <c r="A448" t="s">
        <v>5</v>
      </c>
      <c r="B448" t="s">
        <v>92</v>
      </c>
      <c r="C448" s="8">
        <v>46064</v>
      </c>
      <c r="D448" s="9">
        <v>36724</v>
      </c>
      <c r="E448">
        <f>MONTH(C448)</f>
        <v>2</v>
      </c>
    </row>
    <row r="449" spans="1:5">
      <c r="A449" t="s">
        <v>4</v>
      </c>
      <c r="B449" t="s">
        <v>75</v>
      </c>
      <c r="C449" s="8">
        <v>46065</v>
      </c>
      <c r="D449" s="9">
        <v>27410</v>
      </c>
      <c r="E449">
        <f>MONTH(C449)</f>
        <v>2</v>
      </c>
    </row>
    <row r="450" spans="1:5">
      <c r="A450" t="s">
        <v>25</v>
      </c>
      <c r="B450" t="s">
        <v>86</v>
      </c>
      <c r="C450" s="8">
        <v>46065</v>
      </c>
      <c r="D450" s="9">
        <v>14908</v>
      </c>
      <c r="E450">
        <f>MONTH(C450)</f>
        <v>2</v>
      </c>
    </row>
    <row r="451" spans="1:5">
      <c r="A451" t="s">
        <v>28</v>
      </c>
      <c r="B451" t="s">
        <v>279</v>
      </c>
      <c r="C451" s="8">
        <v>46065</v>
      </c>
      <c r="D451" s="9">
        <v>10108</v>
      </c>
      <c r="E451">
        <f>MONTH(C451)</f>
        <v>2</v>
      </c>
    </row>
    <row r="452" spans="1:5">
      <c r="A452" t="s">
        <v>26</v>
      </c>
      <c r="B452" t="s">
        <v>257</v>
      </c>
      <c r="C452" s="8">
        <v>46065</v>
      </c>
      <c r="D452" s="9">
        <v>5200</v>
      </c>
      <c r="E452">
        <f>MONTH(C452)</f>
        <v>2</v>
      </c>
    </row>
    <row r="453" spans="1:5">
      <c r="A453" t="s">
        <v>32</v>
      </c>
      <c r="B453" t="s">
        <v>282</v>
      </c>
      <c r="C453" s="8">
        <v>46065</v>
      </c>
      <c r="D453" s="9">
        <v>13341</v>
      </c>
      <c r="E453">
        <f>MONTH(C453)</f>
        <v>2</v>
      </c>
    </row>
    <row r="454" spans="1:5">
      <c r="A454" t="s">
        <v>34</v>
      </c>
      <c r="B454" t="s">
        <v>169</v>
      </c>
      <c r="C454" s="8">
        <v>46065</v>
      </c>
      <c r="D454" s="9">
        <v>10479</v>
      </c>
      <c r="E454">
        <f>MONTH(C454)</f>
        <v>2</v>
      </c>
    </row>
    <row r="455" spans="1:5">
      <c r="A455" t="s">
        <v>7</v>
      </c>
      <c r="B455" t="s">
        <v>156</v>
      </c>
      <c r="C455" s="8">
        <v>46065</v>
      </c>
      <c r="D455" s="9">
        <v>15568</v>
      </c>
      <c r="E455">
        <f>MONTH(C455)</f>
        <v>2</v>
      </c>
    </row>
    <row r="456" spans="1:5">
      <c r="A456" t="s">
        <v>9</v>
      </c>
      <c r="B456" t="s">
        <v>97</v>
      </c>
      <c r="C456" s="8">
        <v>46065</v>
      </c>
      <c r="D456" s="9">
        <v>51506</v>
      </c>
      <c r="E456">
        <f>MONTH(C456)</f>
        <v>2</v>
      </c>
    </row>
    <row r="457" spans="1:5">
      <c r="A457" t="s">
        <v>9</v>
      </c>
      <c r="B457" t="s">
        <v>83</v>
      </c>
      <c r="C457" s="8">
        <v>46065</v>
      </c>
      <c r="D457" s="9">
        <v>9947</v>
      </c>
      <c r="E457">
        <f>MONTH(C457)</f>
        <v>2</v>
      </c>
    </row>
    <row r="458" spans="1:5">
      <c r="A458" t="s">
        <v>5</v>
      </c>
      <c r="B458" t="s">
        <v>210</v>
      </c>
      <c r="C458" s="8">
        <v>46065</v>
      </c>
      <c r="D458" s="9">
        <v>35268</v>
      </c>
      <c r="E458">
        <f>MONTH(C458)</f>
        <v>2</v>
      </c>
    </row>
    <row r="459" spans="1:5">
      <c r="A459" t="s">
        <v>5</v>
      </c>
      <c r="B459" t="s">
        <v>159</v>
      </c>
      <c r="C459" s="8">
        <v>46065</v>
      </c>
      <c r="D459" s="9">
        <v>51674</v>
      </c>
      <c r="E459">
        <f>MONTH(C459)</f>
        <v>2</v>
      </c>
    </row>
    <row r="460" spans="1:5">
      <c r="A460" t="s">
        <v>5</v>
      </c>
      <c r="B460" t="s">
        <v>277</v>
      </c>
      <c r="C460" s="8">
        <v>46065</v>
      </c>
      <c r="D460" s="9">
        <v>41947</v>
      </c>
      <c r="E460">
        <f>MONTH(C460)</f>
        <v>2</v>
      </c>
    </row>
    <row r="461" spans="1:5">
      <c r="A461" t="s">
        <v>4</v>
      </c>
      <c r="B461" t="s">
        <v>116</v>
      </c>
      <c r="C461" s="8">
        <v>46066</v>
      </c>
      <c r="D461" s="9">
        <v>28681</v>
      </c>
      <c r="E461">
        <f>MONTH(C461)</f>
        <v>2</v>
      </c>
    </row>
    <row r="462" spans="1:5">
      <c r="A462" t="s">
        <v>26</v>
      </c>
      <c r="B462" t="s">
        <v>280</v>
      </c>
      <c r="C462" s="8">
        <v>46066</v>
      </c>
      <c r="D462" s="9">
        <v>14258</v>
      </c>
      <c r="E462">
        <f>MONTH(C462)</f>
        <v>2</v>
      </c>
    </row>
    <row r="463" spans="1:5">
      <c r="A463" t="s">
        <v>9</v>
      </c>
      <c r="B463" t="s">
        <v>143</v>
      </c>
      <c r="C463" s="8">
        <v>46066</v>
      </c>
      <c r="D463" s="9">
        <v>33667</v>
      </c>
      <c r="E463">
        <f>MONTH(C463)</f>
        <v>2</v>
      </c>
    </row>
    <row r="464" spans="1:5">
      <c r="A464" t="s">
        <v>9</v>
      </c>
      <c r="B464" t="s">
        <v>82</v>
      </c>
      <c r="C464" s="8">
        <v>46066</v>
      </c>
      <c r="D464" s="9">
        <v>29422</v>
      </c>
      <c r="E464">
        <f>MONTH(C464)</f>
        <v>2</v>
      </c>
    </row>
    <row r="465" spans="1:5">
      <c r="A465" t="s">
        <v>9</v>
      </c>
      <c r="B465" t="s">
        <v>195</v>
      </c>
      <c r="C465" s="8">
        <v>46066</v>
      </c>
      <c r="D465" s="9">
        <v>49734</v>
      </c>
      <c r="E465">
        <f>MONTH(C465)</f>
        <v>2</v>
      </c>
    </row>
    <row r="466" spans="1:5">
      <c r="A466" t="s">
        <v>9</v>
      </c>
      <c r="B466" t="s">
        <v>70</v>
      </c>
      <c r="C466" s="8">
        <v>46066</v>
      </c>
      <c r="D466" s="9">
        <v>30891</v>
      </c>
      <c r="E466">
        <f>MONTH(C466)</f>
        <v>2</v>
      </c>
    </row>
    <row r="467" spans="1:5">
      <c r="A467" t="s">
        <v>5</v>
      </c>
      <c r="B467" t="s">
        <v>101</v>
      </c>
      <c r="C467" s="8">
        <v>46066</v>
      </c>
      <c r="D467" s="9">
        <v>27994</v>
      </c>
      <c r="E467">
        <f>MONTH(C467)</f>
        <v>2</v>
      </c>
    </row>
    <row r="468" spans="1:5">
      <c r="A468" t="s">
        <v>5</v>
      </c>
      <c r="B468" t="s">
        <v>211</v>
      </c>
      <c r="C468" s="8">
        <v>46066</v>
      </c>
      <c r="D468" s="9">
        <v>31934</v>
      </c>
      <c r="E468">
        <f>MONTH(C468)</f>
        <v>2</v>
      </c>
    </row>
    <row r="469" spans="1:5">
      <c r="A469" t="s">
        <v>5</v>
      </c>
      <c r="B469" t="s">
        <v>277</v>
      </c>
      <c r="C469" s="8">
        <v>46066</v>
      </c>
      <c r="D469" s="9">
        <v>47067</v>
      </c>
      <c r="E469">
        <f>MONTH(C469)</f>
        <v>2</v>
      </c>
    </row>
    <row r="470" spans="1:5">
      <c r="A470" t="s">
        <v>5</v>
      </c>
      <c r="B470" t="s">
        <v>204</v>
      </c>
      <c r="C470" s="8">
        <v>46066</v>
      </c>
      <c r="D470" s="9">
        <v>48673</v>
      </c>
      <c r="E470">
        <f>MONTH(C470)</f>
        <v>2</v>
      </c>
    </row>
    <row r="471" spans="1:5">
      <c r="A471" t="s">
        <v>27</v>
      </c>
      <c r="B471" t="s">
        <v>196</v>
      </c>
      <c r="C471" s="8">
        <v>46067</v>
      </c>
      <c r="D471" s="9">
        <v>13198</v>
      </c>
      <c r="E471">
        <f>MONTH(C471)</f>
        <v>2</v>
      </c>
    </row>
    <row r="472" spans="1:5">
      <c r="A472" t="s">
        <v>4</v>
      </c>
      <c r="B472" t="s">
        <v>130</v>
      </c>
      <c r="C472" s="8">
        <v>46067</v>
      </c>
      <c r="D472" s="9">
        <v>18924</v>
      </c>
      <c r="E472">
        <f>MONTH(C472)</f>
        <v>2</v>
      </c>
    </row>
    <row r="473" spans="1:5">
      <c r="A473" t="s">
        <v>4</v>
      </c>
      <c r="B473" t="s">
        <v>165</v>
      </c>
      <c r="C473" s="8">
        <v>46067</v>
      </c>
      <c r="D473" s="9">
        <v>41648</v>
      </c>
      <c r="E473">
        <f>MONTH(C473)</f>
        <v>2</v>
      </c>
    </row>
    <row r="474" spans="1:5">
      <c r="A474" t="s">
        <v>25</v>
      </c>
      <c r="B474" t="s">
        <v>59</v>
      </c>
      <c r="C474" s="8">
        <v>46067</v>
      </c>
      <c r="D474" s="9">
        <v>13104</v>
      </c>
      <c r="E474">
        <f>MONTH(C474)</f>
        <v>2</v>
      </c>
    </row>
    <row r="475" spans="1:5">
      <c r="A475" t="s">
        <v>25</v>
      </c>
      <c r="B475" t="s">
        <v>200</v>
      </c>
      <c r="C475" s="8">
        <v>46067</v>
      </c>
      <c r="D475" s="9">
        <v>16643</v>
      </c>
      <c r="E475">
        <f>MONTH(C475)</f>
        <v>2</v>
      </c>
    </row>
    <row r="476" spans="1:5">
      <c r="A476" t="s">
        <v>6</v>
      </c>
      <c r="B476" t="s">
        <v>80</v>
      </c>
      <c r="C476" s="8">
        <v>46067</v>
      </c>
      <c r="D476" s="9">
        <v>6329</v>
      </c>
      <c r="E476">
        <f>MONTH(C476)</f>
        <v>2</v>
      </c>
    </row>
    <row r="477" spans="1:5">
      <c r="A477" t="s">
        <v>7</v>
      </c>
      <c r="B477" t="s">
        <v>170</v>
      </c>
      <c r="C477" s="8">
        <v>46067</v>
      </c>
      <c r="D477" s="9">
        <v>19276</v>
      </c>
      <c r="E477">
        <f>MONTH(C477)</f>
        <v>2</v>
      </c>
    </row>
    <row r="478" spans="1:5">
      <c r="A478" t="s">
        <v>7</v>
      </c>
      <c r="B478" t="s">
        <v>275</v>
      </c>
      <c r="C478" s="8">
        <v>46067</v>
      </c>
      <c r="D478" s="9">
        <v>20881</v>
      </c>
      <c r="E478">
        <f>MONTH(C478)</f>
        <v>2</v>
      </c>
    </row>
    <row r="479" spans="1:5">
      <c r="A479" t="s">
        <v>9</v>
      </c>
      <c r="B479" t="s">
        <v>276</v>
      </c>
      <c r="C479" s="8">
        <v>46067</v>
      </c>
      <c r="D479" s="9">
        <v>34492</v>
      </c>
      <c r="E479">
        <f>MONTH(C479)</f>
        <v>2</v>
      </c>
    </row>
    <row r="480" spans="1:5">
      <c r="A480" t="s">
        <v>9</v>
      </c>
      <c r="B480" t="s">
        <v>187</v>
      </c>
      <c r="C480" s="8">
        <v>46067</v>
      </c>
      <c r="D480" s="9">
        <v>44695</v>
      </c>
      <c r="E480">
        <f>MONTH(C480)</f>
        <v>2</v>
      </c>
    </row>
    <row r="481" spans="1:5">
      <c r="A481" t="s">
        <v>9</v>
      </c>
      <c r="B481" t="s">
        <v>96</v>
      </c>
      <c r="C481" s="8">
        <v>46067</v>
      </c>
      <c r="D481" s="9">
        <v>25043</v>
      </c>
      <c r="E481">
        <f>MONTH(C481)</f>
        <v>2</v>
      </c>
    </row>
    <row r="482" spans="1:5">
      <c r="A482" t="s">
        <v>5</v>
      </c>
      <c r="B482" t="s">
        <v>166</v>
      </c>
      <c r="C482" s="8">
        <v>46067</v>
      </c>
      <c r="D482" s="9">
        <v>34627</v>
      </c>
      <c r="E482">
        <f>MONTH(C482)</f>
        <v>2</v>
      </c>
    </row>
    <row r="483" spans="1:5">
      <c r="A483" t="s">
        <v>5</v>
      </c>
      <c r="B483" t="s">
        <v>239</v>
      </c>
      <c r="C483" s="8">
        <v>46067</v>
      </c>
      <c r="D483" s="9">
        <v>41157</v>
      </c>
      <c r="E483">
        <f>MONTH(C483)</f>
        <v>2</v>
      </c>
    </row>
    <row r="484" spans="1:5">
      <c r="A484" t="s">
        <v>5</v>
      </c>
      <c r="B484" t="s">
        <v>189</v>
      </c>
      <c r="C484" s="8">
        <v>46067</v>
      </c>
      <c r="D484" s="9">
        <v>40626</v>
      </c>
      <c r="E484">
        <f>MONTH(C484)</f>
        <v>2</v>
      </c>
    </row>
    <row r="485" spans="1:5">
      <c r="A485" t="s">
        <v>4</v>
      </c>
      <c r="B485" t="s">
        <v>88</v>
      </c>
      <c r="C485" s="8">
        <v>46068</v>
      </c>
      <c r="D485" s="9">
        <v>17865</v>
      </c>
      <c r="E485">
        <f>MONTH(C485)</f>
        <v>2</v>
      </c>
    </row>
    <row r="486" spans="1:5">
      <c r="A486" t="s">
        <v>4</v>
      </c>
      <c r="B486" t="s">
        <v>151</v>
      </c>
      <c r="C486" s="8">
        <v>46068</v>
      </c>
      <c r="D486" s="9">
        <v>16491</v>
      </c>
      <c r="E486">
        <f>MONTH(C486)</f>
        <v>2</v>
      </c>
    </row>
    <row r="487" spans="1:5">
      <c r="A487" t="s">
        <v>25</v>
      </c>
      <c r="B487" t="s">
        <v>267</v>
      </c>
      <c r="C487" s="8">
        <v>46068</v>
      </c>
      <c r="D487" s="9">
        <v>14844</v>
      </c>
      <c r="E487">
        <f>MONTH(C487)</f>
        <v>2</v>
      </c>
    </row>
    <row r="488" spans="1:5">
      <c r="A488" t="s">
        <v>30</v>
      </c>
      <c r="B488" t="s">
        <v>154</v>
      </c>
      <c r="C488" s="8">
        <v>46068</v>
      </c>
      <c r="D488" s="9">
        <v>11226</v>
      </c>
      <c r="E488">
        <f>MONTH(C488)</f>
        <v>2</v>
      </c>
    </row>
    <row r="489" spans="1:5">
      <c r="A489" t="s">
        <v>8</v>
      </c>
      <c r="B489" t="s">
        <v>64</v>
      </c>
      <c r="C489" s="8">
        <v>46068</v>
      </c>
      <c r="D489" s="9">
        <v>13627</v>
      </c>
      <c r="E489">
        <f>MONTH(C489)</f>
        <v>2</v>
      </c>
    </row>
    <row r="490" spans="1:5">
      <c r="A490" t="s">
        <v>6</v>
      </c>
      <c r="B490" t="s">
        <v>141</v>
      </c>
      <c r="C490" s="8">
        <v>46068</v>
      </c>
      <c r="D490" s="9">
        <v>17951</v>
      </c>
      <c r="E490">
        <f>MONTH(C490)</f>
        <v>2</v>
      </c>
    </row>
    <row r="491" spans="1:5">
      <c r="A491" t="s">
        <v>6</v>
      </c>
      <c r="B491" t="s">
        <v>131</v>
      </c>
      <c r="C491" s="8">
        <v>46068</v>
      </c>
      <c r="D491" s="9">
        <v>17280</v>
      </c>
      <c r="E491">
        <f>MONTH(C491)</f>
        <v>2</v>
      </c>
    </row>
    <row r="492" spans="1:5">
      <c r="A492" t="s">
        <v>7</v>
      </c>
      <c r="B492" t="s">
        <v>201</v>
      </c>
      <c r="C492" s="8">
        <v>46068</v>
      </c>
      <c r="D492" s="9">
        <v>19227</v>
      </c>
      <c r="E492">
        <f>MONTH(C492)</f>
        <v>2</v>
      </c>
    </row>
    <row r="493" spans="1:5">
      <c r="A493" t="s">
        <v>7</v>
      </c>
      <c r="B493" t="s">
        <v>90</v>
      </c>
      <c r="C493" s="8">
        <v>46068</v>
      </c>
      <c r="D493" s="9">
        <v>35400</v>
      </c>
      <c r="E493">
        <f>MONTH(C493)</f>
        <v>2</v>
      </c>
    </row>
    <row r="494" spans="1:5">
      <c r="A494" t="s">
        <v>9</v>
      </c>
      <c r="B494" t="s">
        <v>179</v>
      </c>
      <c r="C494" s="8">
        <v>46068</v>
      </c>
      <c r="D494" s="9">
        <v>41105</v>
      </c>
      <c r="E494">
        <f>MONTH(C494)</f>
        <v>2</v>
      </c>
    </row>
    <row r="495" spans="1:5">
      <c r="A495" t="s">
        <v>5</v>
      </c>
      <c r="B495" t="s">
        <v>188</v>
      </c>
      <c r="C495" s="8">
        <v>46068</v>
      </c>
      <c r="D495" s="9">
        <v>20114</v>
      </c>
      <c r="E495">
        <f>MONTH(C495)</f>
        <v>2</v>
      </c>
    </row>
    <row r="496" spans="1:5">
      <c r="A496" t="s">
        <v>5</v>
      </c>
      <c r="B496" t="s">
        <v>167</v>
      </c>
      <c r="C496" s="8">
        <v>46068</v>
      </c>
      <c r="D496" s="9">
        <v>26628</v>
      </c>
      <c r="E496">
        <f>MONTH(C496)</f>
        <v>2</v>
      </c>
    </row>
    <row r="497" spans="1:5">
      <c r="A497" t="s">
        <v>5</v>
      </c>
      <c r="B497" t="s">
        <v>159</v>
      </c>
      <c r="C497" s="8">
        <v>46068</v>
      </c>
      <c r="D497" s="9">
        <v>58785</v>
      </c>
      <c r="E497">
        <f>MONTH(C497)</f>
        <v>2</v>
      </c>
    </row>
    <row r="498" spans="1:5">
      <c r="A498" t="s">
        <v>5</v>
      </c>
      <c r="B498" t="s">
        <v>108</v>
      </c>
      <c r="C498" s="8">
        <v>46068</v>
      </c>
      <c r="D498" s="9">
        <v>35936</v>
      </c>
      <c r="E498">
        <f>MONTH(C498)</f>
        <v>2</v>
      </c>
    </row>
    <row r="499" spans="1:5">
      <c r="A499" t="s">
        <v>5</v>
      </c>
      <c r="B499" t="s">
        <v>108</v>
      </c>
      <c r="C499" s="8">
        <v>46068</v>
      </c>
      <c r="D499" s="9">
        <v>35879</v>
      </c>
      <c r="E499">
        <f>MONTH(C499)</f>
        <v>2</v>
      </c>
    </row>
    <row r="500" spans="1:5">
      <c r="A500" t="s">
        <v>6</v>
      </c>
      <c r="B500" t="s">
        <v>273</v>
      </c>
      <c r="C500" s="8">
        <v>46069</v>
      </c>
      <c r="D500" s="9">
        <v>15373</v>
      </c>
      <c r="E500">
        <f>MONTH(C500)</f>
        <v>2</v>
      </c>
    </row>
    <row r="501" spans="1:5">
      <c r="A501" t="s">
        <v>6</v>
      </c>
      <c r="B501" t="s">
        <v>231</v>
      </c>
      <c r="C501" s="8">
        <v>46069</v>
      </c>
      <c r="D501" s="9">
        <v>14776</v>
      </c>
      <c r="E501">
        <f>MONTH(C501)</f>
        <v>2</v>
      </c>
    </row>
    <row r="502" spans="1:5">
      <c r="A502" t="s">
        <v>7</v>
      </c>
      <c r="B502" t="s">
        <v>226</v>
      </c>
      <c r="C502" s="8">
        <v>46069</v>
      </c>
      <c r="D502" s="9">
        <v>22166</v>
      </c>
      <c r="E502">
        <f>MONTH(C502)</f>
        <v>2</v>
      </c>
    </row>
    <row r="503" spans="1:5">
      <c r="A503" t="s">
        <v>9</v>
      </c>
      <c r="B503" t="s">
        <v>221</v>
      </c>
      <c r="C503" s="8">
        <v>46069</v>
      </c>
      <c r="D503" s="9">
        <v>45316</v>
      </c>
      <c r="E503">
        <f>MONTH(C503)</f>
        <v>2</v>
      </c>
    </row>
    <row r="504" spans="1:5">
      <c r="A504" t="s">
        <v>9</v>
      </c>
      <c r="B504" t="s">
        <v>144</v>
      </c>
      <c r="C504" s="8">
        <v>46069</v>
      </c>
      <c r="D504" s="9">
        <v>26781</v>
      </c>
      <c r="E504">
        <f>MONTH(C504)</f>
        <v>2</v>
      </c>
    </row>
    <row r="505" spans="1:5">
      <c r="A505" t="s">
        <v>9</v>
      </c>
      <c r="B505" t="s">
        <v>172</v>
      </c>
      <c r="C505" s="8">
        <v>46069</v>
      </c>
      <c r="D505" s="9">
        <v>41089</v>
      </c>
      <c r="E505">
        <f>MONTH(C505)</f>
        <v>2</v>
      </c>
    </row>
    <row r="506" spans="1:5">
      <c r="A506" t="s">
        <v>9</v>
      </c>
      <c r="B506" t="s">
        <v>61</v>
      </c>
      <c r="C506" s="8">
        <v>46069</v>
      </c>
      <c r="D506" s="9">
        <v>24092</v>
      </c>
      <c r="E506">
        <f>MONTH(C506)</f>
        <v>2</v>
      </c>
    </row>
    <row r="507" spans="1:5">
      <c r="A507" t="s">
        <v>5</v>
      </c>
      <c r="B507" t="s">
        <v>134</v>
      </c>
      <c r="C507" s="8">
        <v>46069</v>
      </c>
      <c r="D507" s="9">
        <v>37477</v>
      </c>
      <c r="E507">
        <f>MONTH(C507)</f>
        <v>2</v>
      </c>
    </row>
    <row r="508" spans="1:5">
      <c r="A508" t="s">
        <v>5</v>
      </c>
      <c r="B508" t="s">
        <v>204</v>
      </c>
      <c r="C508" s="8">
        <v>46069</v>
      </c>
      <c r="D508" s="9">
        <v>33845</v>
      </c>
      <c r="E508">
        <f>MONTH(C508)</f>
        <v>2</v>
      </c>
    </row>
    <row r="509" spans="1:5">
      <c r="A509" t="s">
        <v>27</v>
      </c>
      <c r="B509" t="s">
        <v>125</v>
      </c>
      <c r="C509" s="8">
        <v>46070</v>
      </c>
      <c r="D509" s="9">
        <v>14732</v>
      </c>
      <c r="E509">
        <f>MONTH(C509)</f>
        <v>2</v>
      </c>
    </row>
    <row r="510" spans="1:5">
      <c r="A510" t="s">
        <v>4</v>
      </c>
      <c r="B510" t="s">
        <v>241</v>
      </c>
      <c r="C510" s="8">
        <v>46070</v>
      </c>
      <c r="D510" s="9">
        <v>19118</v>
      </c>
      <c r="E510">
        <f>MONTH(C510)</f>
        <v>2</v>
      </c>
    </row>
    <row r="511" spans="1:5">
      <c r="A511" t="s">
        <v>25</v>
      </c>
      <c r="B511" t="s">
        <v>215</v>
      </c>
      <c r="C511" s="8">
        <v>46070</v>
      </c>
      <c r="D511" s="9">
        <v>9759</v>
      </c>
      <c r="E511">
        <f>MONTH(C511)</f>
        <v>2</v>
      </c>
    </row>
    <row r="512" spans="1:5">
      <c r="A512" t="s">
        <v>26</v>
      </c>
      <c r="B512" t="s">
        <v>256</v>
      </c>
      <c r="C512" s="8">
        <v>46070</v>
      </c>
      <c r="D512" s="9">
        <v>13324</v>
      </c>
      <c r="E512">
        <f>MONTH(C512)</f>
        <v>2</v>
      </c>
    </row>
    <row r="513" spans="1:5">
      <c r="A513" t="s">
        <v>30</v>
      </c>
      <c r="B513" t="s">
        <v>139</v>
      </c>
      <c r="C513" s="8">
        <v>46070</v>
      </c>
      <c r="D513" s="9">
        <v>10779</v>
      </c>
      <c r="E513">
        <f>MONTH(C513)</f>
        <v>2</v>
      </c>
    </row>
    <row r="514" spans="1:5">
      <c r="A514" t="s">
        <v>30</v>
      </c>
      <c r="B514" t="s">
        <v>206</v>
      </c>
      <c r="C514" s="8">
        <v>46070</v>
      </c>
      <c r="D514" s="9">
        <v>8603</v>
      </c>
      <c r="E514">
        <f>MONTH(C514)</f>
        <v>2</v>
      </c>
    </row>
    <row r="515" spans="1:5">
      <c r="A515" t="s">
        <v>6</v>
      </c>
      <c r="B515" t="s">
        <v>263</v>
      </c>
      <c r="C515" s="8">
        <v>46070</v>
      </c>
      <c r="D515" s="9">
        <v>15619</v>
      </c>
      <c r="E515">
        <f>MONTH(C515)</f>
        <v>2</v>
      </c>
    </row>
    <row r="516" spans="1:5">
      <c r="A516" t="s">
        <v>33</v>
      </c>
      <c r="B516" t="s">
        <v>248</v>
      </c>
      <c r="C516" s="8">
        <v>46070</v>
      </c>
      <c r="D516" s="9">
        <v>14815</v>
      </c>
      <c r="E516">
        <f>MONTH(C516)</f>
        <v>2</v>
      </c>
    </row>
    <row r="517" spans="1:5">
      <c r="A517" t="s">
        <v>29</v>
      </c>
      <c r="B517" t="s">
        <v>155</v>
      </c>
      <c r="C517" s="8">
        <v>46070</v>
      </c>
      <c r="D517" s="9">
        <v>15788</v>
      </c>
      <c r="E517">
        <f>MONTH(C517)</f>
        <v>2</v>
      </c>
    </row>
    <row r="518" spans="1:5">
      <c r="A518" t="s">
        <v>7</v>
      </c>
      <c r="B518" t="s">
        <v>65</v>
      </c>
      <c r="C518" s="8">
        <v>46070</v>
      </c>
      <c r="D518" s="9">
        <v>35955</v>
      </c>
      <c r="E518">
        <f>MONTH(C518)</f>
        <v>2</v>
      </c>
    </row>
    <row r="519" spans="1:5">
      <c r="A519" t="s">
        <v>7</v>
      </c>
      <c r="B519" t="s">
        <v>194</v>
      </c>
      <c r="C519" s="8">
        <v>46070</v>
      </c>
      <c r="D519" s="9">
        <v>24364</v>
      </c>
      <c r="E519">
        <f>MONTH(C519)</f>
        <v>2</v>
      </c>
    </row>
    <row r="520" spans="1:5">
      <c r="A520" t="s">
        <v>9</v>
      </c>
      <c r="B520" t="s">
        <v>245</v>
      </c>
      <c r="C520" s="8">
        <v>46070</v>
      </c>
      <c r="D520" s="9">
        <v>33493</v>
      </c>
      <c r="E520">
        <f>MONTH(C520)</f>
        <v>2</v>
      </c>
    </row>
    <row r="521" spans="1:5">
      <c r="A521" t="s">
        <v>9</v>
      </c>
      <c r="B521" t="s">
        <v>70</v>
      </c>
      <c r="C521" s="8">
        <v>46070</v>
      </c>
      <c r="D521" s="9">
        <v>27139</v>
      </c>
      <c r="E521">
        <f>MONTH(C521)</f>
        <v>2</v>
      </c>
    </row>
    <row r="522" spans="1:5">
      <c r="A522" t="s">
        <v>5</v>
      </c>
      <c r="B522" t="s">
        <v>209</v>
      </c>
      <c r="C522" s="8">
        <v>46070</v>
      </c>
      <c r="D522" s="9">
        <v>48753</v>
      </c>
      <c r="E522">
        <f>MONTH(C522)</f>
        <v>2</v>
      </c>
    </row>
    <row r="523" spans="1:5">
      <c r="A523" t="s">
        <v>5</v>
      </c>
      <c r="B523" t="s">
        <v>53</v>
      </c>
      <c r="C523" s="8">
        <v>46070</v>
      </c>
      <c r="D523" s="9">
        <v>41215</v>
      </c>
      <c r="E523">
        <f>MONTH(C523)</f>
        <v>2</v>
      </c>
    </row>
    <row r="524" spans="1:5">
      <c r="A524" t="s">
        <v>27</v>
      </c>
      <c r="B524" t="s">
        <v>173</v>
      </c>
      <c r="C524" s="8">
        <v>46071</v>
      </c>
      <c r="D524" s="9">
        <v>5200</v>
      </c>
      <c r="E524">
        <f>MONTH(C524)</f>
        <v>2</v>
      </c>
    </row>
    <row r="525" spans="1:5">
      <c r="A525" t="s">
        <v>27</v>
      </c>
      <c r="B525" t="s">
        <v>104</v>
      </c>
      <c r="C525" s="8">
        <v>46071</v>
      </c>
      <c r="D525" s="9">
        <v>12838</v>
      </c>
      <c r="E525">
        <f>MONTH(C525)</f>
        <v>2</v>
      </c>
    </row>
    <row r="526" spans="1:5">
      <c r="A526" t="s">
        <v>4</v>
      </c>
      <c r="B526" t="s">
        <v>127</v>
      </c>
      <c r="C526" s="8">
        <v>46071</v>
      </c>
      <c r="D526" s="9">
        <v>26163</v>
      </c>
      <c r="E526">
        <f>MONTH(C526)</f>
        <v>2</v>
      </c>
    </row>
    <row r="527" spans="1:5">
      <c r="A527" t="s">
        <v>25</v>
      </c>
      <c r="B527" t="s">
        <v>55</v>
      </c>
      <c r="C527" s="8">
        <v>46071</v>
      </c>
      <c r="D527" s="9">
        <v>12909</v>
      </c>
      <c r="E527">
        <f>MONTH(C527)</f>
        <v>2</v>
      </c>
    </row>
    <row r="528" spans="1:5">
      <c r="A528" t="s">
        <v>28</v>
      </c>
      <c r="B528" t="s">
        <v>174</v>
      </c>
      <c r="C528" s="8">
        <v>46071</v>
      </c>
      <c r="D528" s="9">
        <v>24732</v>
      </c>
      <c r="E528">
        <f>MONTH(C528)</f>
        <v>2</v>
      </c>
    </row>
    <row r="529" spans="1:5">
      <c r="A529" t="s">
        <v>8</v>
      </c>
      <c r="B529" t="s">
        <v>56</v>
      </c>
      <c r="C529" s="8">
        <v>46071</v>
      </c>
      <c r="D529" s="9">
        <v>28114</v>
      </c>
      <c r="E529">
        <f>MONTH(C529)</f>
        <v>2</v>
      </c>
    </row>
    <row r="530" spans="1:5">
      <c r="A530" t="s">
        <v>32</v>
      </c>
      <c r="B530" t="s">
        <v>87</v>
      </c>
      <c r="C530" s="8">
        <v>46071</v>
      </c>
      <c r="D530" s="9">
        <v>11322</v>
      </c>
      <c r="E530">
        <f>MONTH(C530)</f>
        <v>2</v>
      </c>
    </row>
    <row r="531" spans="1:5">
      <c r="A531" t="s">
        <v>6</v>
      </c>
      <c r="B531" t="s">
        <v>262</v>
      </c>
      <c r="C531" s="8">
        <v>46071</v>
      </c>
      <c r="D531" s="9">
        <v>16778</v>
      </c>
      <c r="E531">
        <f>MONTH(C531)</f>
        <v>2</v>
      </c>
    </row>
    <row r="532" spans="1:5">
      <c r="A532" t="s">
        <v>5</v>
      </c>
      <c r="B532" t="s">
        <v>145</v>
      </c>
      <c r="C532" s="8">
        <v>46071</v>
      </c>
      <c r="D532" s="9">
        <v>47158</v>
      </c>
      <c r="E532">
        <f>MONTH(C532)</f>
        <v>2</v>
      </c>
    </row>
    <row r="533" spans="1:5">
      <c r="A533" t="s">
        <v>5</v>
      </c>
      <c r="B533" t="s">
        <v>159</v>
      </c>
      <c r="C533" s="8">
        <v>46071</v>
      </c>
      <c r="D533" s="9">
        <v>47700</v>
      </c>
      <c r="E533">
        <f>MONTH(C533)</f>
        <v>2</v>
      </c>
    </row>
    <row r="534" spans="1:5">
      <c r="A534" t="s">
        <v>5</v>
      </c>
      <c r="B534" t="s">
        <v>159</v>
      </c>
      <c r="C534" s="8">
        <v>46071</v>
      </c>
      <c r="D534" s="9">
        <v>59172</v>
      </c>
      <c r="E534">
        <f>MONTH(C534)</f>
        <v>2</v>
      </c>
    </row>
    <row r="535" spans="1:5">
      <c r="A535" t="s">
        <v>5</v>
      </c>
      <c r="B535" t="s">
        <v>159</v>
      </c>
      <c r="C535" s="8">
        <v>46071</v>
      </c>
      <c r="D535" s="9">
        <v>38227</v>
      </c>
      <c r="E535">
        <f>MONTH(C535)</f>
        <v>2</v>
      </c>
    </row>
    <row r="536" spans="1:5">
      <c r="A536" t="s">
        <v>31</v>
      </c>
      <c r="B536" t="s">
        <v>199</v>
      </c>
      <c r="C536" s="8">
        <v>46072</v>
      </c>
      <c r="D536" s="9">
        <v>19654</v>
      </c>
      <c r="E536">
        <f>MONTH(C536)</f>
        <v>2</v>
      </c>
    </row>
    <row r="537" spans="1:5">
      <c r="A537" t="s">
        <v>28</v>
      </c>
      <c r="B537" t="s">
        <v>242</v>
      </c>
      <c r="C537" s="8">
        <v>46072</v>
      </c>
      <c r="D537" s="9">
        <v>6191</v>
      </c>
      <c r="E537">
        <f>MONTH(C537)</f>
        <v>2</v>
      </c>
    </row>
    <row r="538" spans="1:5">
      <c r="A538" t="s">
        <v>8</v>
      </c>
      <c r="B538" t="s">
        <v>52</v>
      </c>
      <c r="C538" s="8">
        <v>46072</v>
      </c>
      <c r="D538" s="9">
        <v>15441</v>
      </c>
      <c r="E538">
        <f>MONTH(C538)</f>
        <v>2</v>
      </c>
    </row>
    <row r="539" spans="1:5">
      <c r="A539" t="s">
        <v>7</v>
      </c>
      <c r="B539" t="s">
        <v>47</v>
      </c>
      <c r="C539" s="8">
        <v>46072</v>
      </c>
      <c r="D539" s="9">
        <v>20664</v>
      </c>
      <c r="E539">
        <f>MONTH(C539)</f>
        <v>2</v>
      </c>
    </row>
    <row r="540" spans="1:5">
      <c r="A540" t="s">
        <v>9</v>
      </c>
      <c r="B540" t="s">
        <v>158</v>
      </c>
      <c r="C540" s="8">
        <v>46072</v>
      </c>
      <c r="D540" s="9">
        <v>32578</v>
      </c>
      <c r="E540">
        <f>MONTH(C540)</f>
        <v>2</v>
      </c>
    </row>
    <row r="541" spans="1:5">
      <c r="A541" t="s">
        <v>5</v>
      </c>
      <c r="B541" t="s">
        <v>74</v>
      </c>
      <c r="C541" s="8">
        <v>46072</v>
      </c>
      <c r="D541" s="9">
        <v>34860</v>
      </c>
      <c r="E541">
        <f>MONTH(C541)</f>
        <v>2</v>
      </c>
    </row>
    <row r="542" spans="1:5">
      <c r="A542" t="s">
        <v>5</v>
      </c>
      <c r="B542" t="s">
        <v>54</v>
      </c>
      <c r="C542" s="8">
        <v>46072</v>
      </c>
      <c r="D542" s="9">
        <v>47634</v>
      </c>
      <c r="E542">
        <f>MONTH(C542)</f>
        <v>2</v>
      </c>
    </row>
    <row r="543" spans="1:5">
      <c r="A543" t="s">
        <v>5</v>
      </c>
      <c r="B543" t="s">
        <v>211</v>
      </c>
      <c r="C543" s="8">
        <v>46072</v>
      </c>
      <c r="D543" s="9">
        <v>35594</v>
      </c>
      <c r="E543">
        <f>MONTH(C543)</f>
        <v>2</v>
      </c>
    </row>
    <row r="544" spans="1:5">
      <c r="A544" t="s">
        <v>5</v>
      </c>
      <c r="B544" t="s">
        <v>109</v>
      </c>
      <c r="C544" s="8">
        <v>46072</v>
      </c>
      <c r="D544" s="9">
        <v>43002</v>
      </c>
      <c r="E544">
        <f>MONTH(C544)</f>
        <v>2</v>
      </c>
    </row>
    <row r="545" spans="1:5">
      <c r="A545" t="s">
        <v>4</v>
      </c>
      <c r="B545" t="s">
        <v>181</v>
      </c>
      <c r="C545" s="8">
        <v>46073</v>
      </c>
      <c r="D545" s="9">
        <v>27330</v>
      </c>
      <c r="E545">
        <f>MONTH(C545)</f>
        <v>2</v>
      </c>
    </row>
    <row r="546" spans="1:5">
      <c r="A546" t="s">
        <v>4</v>
      </c>
      <c r="B546" t="s">
        <v>150</v>
      </c>
      <c r="C546" s="8">
        <v>46073</v>
      </c>
      <c r="D546" s="9">
        <v>37378</v>
      </c>
      <c r="E546">
        <f>MONTH(C546)</f>
        <v>2</v>
      </c>
    </row>
    <row r="547" spans="1:5">
      <c r="A547" t="s">
        <v>4</v>
      </c>
      <c r="B547" t="s">
        <v>222</v>
      </c>
      <c r="C547" s="8">
        <v>46073</v>
      </c>
      <c r="D547" s="9">
        <v>35320</v>
      </c>
      <c r="E547">
        <f>MONTH(C547)</f>
        <v>2</v>
      </c>
    </row>
    <row r="548" spans="1:5">
      <c r="A548" t="s">
        <v>4</v>
      </c>
      <c r="B548" t="s">
        <v>85</v>
      </c>
      <c r="C548" s="8">
        <v>46073</v>
      </c>
      <c r="D548" s="9">
        <v>19501</v>
      </c>
      <c r="E548">
        <f>MONTH(C548)</f>
        <v>2</v>
      </c>
    </row>
    <row r="549" spans="1:5">
      <c r="A549" t="s">
        <v>26</v>
      </c>
      <c r="B549" t="s">
        <v>95</v>
      </c>
      <c r="C549" s="8">
        <v>46073</v>
      </c>
      <c r="D549" s="9">
        <v>5200</v>
      </c>
      <c r="E549">
        <f>MONTH(C549)</f>
        <v>2</v>
      </c>
    </row>
    <row r="550" spans="1:5">
      <c r="A550" t="s">
        <v>8</v>
      </c>
      <c r="B550" t="s">
        <v>259</v>
      </c>
      <c r="C550" s="8">
        <v>46073</v>
      </c>
      <c r="D550" s="9">
        <v>16002</v>
      </c>
      <c r="E550">
        <f>MONTH(C550)</f>
        <v>2</v>
      </c>
    </row>
    <row r="551" spans="1:5">
      <c r="A551" t="s">
        <v>9</v>
      </c>
      <c r="B551" t="s">
        <v>144</v>
      </c>
      <c r="C551" s="8">
        <v>46073</v>
      </c>
      <c r="D551" s="9">
        <v>25517</v>
      </c>
      <c r="E551">
        <f>MONTH(C551)</f>
        <v>2</v>
      </c>
    </row>
    <row r="552" spans="1:5">
      <c r="A552" t="s">
        <v>5</v>
      </c>
      <c r="B552" t="s">
        <v>251</v>
      </c>
      <c r="C552" s="8">
        <v>46073</v>
      </c>
      <c r="D552" s="9">
        <v>37547</v>
      </c>
      <c r="E552">
        <f>MONTH(C552)</f>
        <v>2</v>
      </c>
    </row>
    <row r="553" spans="1:5">
      <c r="A553" t="s">
        <v>5</v>
      </c>
      <c r="B553" t="s">
        <v>211</v>
      </c>
      <c r="C553" s="8">
        <v>46073</v>
      </c>
      <c r="D553" s="9">
        <v>35804</v>
      </c>
      <c r="E553">
        <f>MONTH(C553)</f>
        <v>2</v>
      </c>
    </row>
    <row r="554" spans="1:5">
      <c r="A554" t="s">
        <v>5</v>
      </c>
      <c r="B554" t="s">
        <v>172</v>
      </c>
      <c r="C554" s="8">
        <v>46073</v>
      </c>
      <c r="D554" s="9">
        <v>41721</v>
      </c>
      <c r="E554">
        <f>MONTH(C554)</f>
        <v>2</v>
      </c>
    </row>
    <row r="555" spans="1:5">
      <c r="A555" t="s">
        <v>35</v>
      </c>
      <c r="B555" t="s">
        <v>232</v>
      </c>
      <c r="C555" s="8">
        <v>46074</v>
      </c>
      <c r="D555" s="9">
        <v>13345</v>
      </c>
      <c r="E555">
        <f>MONTH(C555)</f>
        <v>2</v>
      </c>
    </row>
    <row r="556" spans="1:5">
      <c r="A556" t="s">
        <v>4</v>
      </c>
      <c r="B556" t="s">
        <v>136</v>
      </c>
      <c r="C556" s="8">
        <v>46074</v>
      </c>
      <c r="D556" s="9">
        <v>6600</v>
      </c>
      <c r="E556">
        <f>MONTH(C556)</f>
        <v>2</v>
      </c>
    </row>
    <row r="557" spans="1:5">
      <c r="A557" t="s">
        <v>25</v>
      </c>
      <c r="B557" t="s">
        <v>228</v>
      </c>
      <c r="C557" s="8">
        <v>46074</v>
      </c>
      <c r="D557" s="9">
        <v>12716</v>
      </c>
      <c r="E557">
        <f>MONTH(C557)</f>
        <v>2</v>
      </c>
    </row>
    <row r="558" spans="1:5">
      <c r="A558" t="s">
        <v>8</v>
      </c>
      <c r="B558" t="s">
        <v>258</v>
      </c>
      <c r="C558" s="8">
        <v>46074</v>
      </c>
      <c r="D558" s="9">
        <v>7726</v>
      </c>
      <c r="E558">
        <f>MONTH(C558)</f>
        <v>2</v>
      </c>
    </row>
    <row r="559" spans="1:5">
      <c r="A559" t="s">
        <v>7</v>
      </c>
      <c r="B559" t="s">
        <v>175</v>
      </c>
      <c r="C559" s="8">
        <v>46074</v>
      </c>
      <c r="D559" s="9">
        <v>17822</v>
      </c>
      <c r="E559">
        <f>MONTH(C559)</f>
        <v>2</v>
      </c>
    </row>
    <row r="560" spans="1:5">
      <c r="A560" t="s">
        <v>9</v>
      </c>
      <c r="B560" t="s">
        <v>91</v>
      </c>
      <c r="C560" s="8">
        <v>46074</v>
      </c>
      <c r="D560" s="9">
        <v>30861</v>
      </c>
      <c r="E560">
        <f>MONTH(C560)</f>
        <v>2</v>
      </c>
    </row>
    <row r="561" spans="1:5">
      <c r="A561" t="s">
        <v>5</v>
      </c>
      <c r="B561" t="s">
        <v>133</v>
      </c>
      <c r="C561" s="8">
        <v>46074</v>
      </c>
      <c r="D561" s="9">
        <v>30490</v>
      </c>
      <c r="E561">
        <f>MONTH(C561)</f>
        <v>2</v>
      </c>
    </row>
    <row r="562" spans="1:5">
      <c r="A562" t="s">
        <v>5</v>
      </c>
      <c r="B562" t="s">
        <v>49</v>
      </c>
      <c r="C562" s="8">
        <v>46074</v>
      </c>
      <c r="D562" s="9">
        <v>42923</v>
      </c>
      <c r="E562">
        <f>MONTH(C562)</f>
        <v>2</v>
      </c>
    </row>
    <row r="563" spans="1:5">
      <c r="A563" t="s">
        <v>5</v>
      </c>
      <c r="B563" t="s">
        <v>251</v>
      </c>
      <c r="C563" s="8">
        <v>46074</v>
      </c>
      <c r="D563" s="9">
        <v>41814</v>
      </c>
      <c r="E563">
        <f>MONTH(C563)</f>
        <v>2</v>
      </c>
    </row>
    <row r="564" spans="1:5">
      <c r="A564" t="s">
        <v>31</v>
      </c>
      <c r="B564" t="s">
        <v>77</v>
      </c>
      <c r="C564" s="8">
        <v>46075</v>
      </c>
      <c r="D564" s="9">
        <v>7928</v>
      </c>
      <c r="E564">
        <f>MONTH(C564)</f>
        <v>2</v>
      </c>
    </row>
    <row r="565" spans="1:5">
      <c r="A565" t="s">
        <v>26</v>
      </c>
      <c r="B565" t="s">
        <v>138</v>
      </c>
      <c r="C565" s="8">
        <v>46075</v>
      </c>
      <c r="D565" s="9">
        <v>13671</v>
      </c>
      <c r="E565">
        <f>MONTH(C565)</f>
        <v>2</v>
      </c>
    </row>
    <row r="566" spans="1:5">
      <c r="A566" t="s">
        <v>26</v>
      </c>
      <c r="B566" t="s">
        <v>205</v>
      </c>
      <c r="C566" s="8">
        <v>46075</v>
      </c>
      <c r="D566" s="9">
        <v>13953</v>
      </c>
      <c r="E566">
        <f>MONTH(C566)</f>
        <v>2</v>
      </c>
    </row>
    <row r="567" spans="1:5">
      <c r="A567" t="s">
        <v>34</v>
      </c>
      <c r="B567" t="s">
        <v>265</v>
      </c>
      <c r="C567" s="8">
        <v>46075</v>
      </c>
      <c r="D567" s="9">
        <v>11188</v>
      </c>
      <c r="E567">
        <f>MONTH(C567)</f>
        <v>2</v>
      </c>
    </row>
    <row r="568" spans="1:5">
      <c r="A568" t="s">
        <v>6</v>
      </c>
      <c r="B568" t="s">
        <v>192</v>
      </c>
      <c r="C568" s="8">
        <v>46075</v>
      </c>
      <c r="D568" s="9">
        <v>18752</v>
      </c>
      <c r="E568">
        <f>MONTH(C568)</f>
        <v>2</v>
      </c>
    </row>
    <row r="569" spans="1:5">
      <c r="A569" t="s">
        <v>7</v>
      </c>
      <c r="B569" t="s">
        <v>233</v>
      </c>
      <c r="C569" s="8">
        <v>46075</v>
      </c>
      <c r="D569" s="9">
        <v>18158</v>
      </c>
      <c r="E569">
        <f>MONTH(C569)</f>
        <v>2</v>
      </c>
    </row>
    <row r="570" spans="1:5">
      <c r="A570" t="s">
        <v>7</v>
      </c>
      <c r="B570" t="s">
        <v>190</v>
      </c>
      <c r="C570" s="8">
        <v>46075</v>
      </c>
      <c r="D570" s="9">
        <v>26787</v>
      </c>
      <c r="E570">
        <f>MONTH(C570)</f>
        <v>2</v>
      </c>
    </row>
    <row r="571" spans="1:5">
      <c r="A571" t="s">
        <v>9</v>
      </c>
      <c r="B571" t="s">
        <v>164</v>
      </c>
      <c r="C571" s="8">
        <v>46075</v>
      </c>
      <c r="D571" s="9">
        <v>28833</v>
      </c>
      <c r="E571">
        <f>MONTH(C571)</f>
        <v>2</v>
      </c>
    </row>
    <row r="572" spans="1:5">
      <c r="A572" t="s">
        <v>9</v>
      </c>
      <c r="B572" t="s">
        <v>97</v>
      </c>
      <c r="C572" s="8">
        <v>46075</v>
      </c>
      <c r="D572" s="9">
        <v>34576</v>
      </c>
      <c r="E572">
        <f>MONTH(C572)</f>
        <v>2</v>
      </c>
    </row>
    <row r="573" spans="1:5">
      <c r="A573" t="s">
        <v>9</v>
      </c>
      <c r="B573" t="s">
        <v>250</v>
      </c>
      <c r="C573" s="8">
        <v>46075</v>
      </c>
      <c r="D573" s="9">
        <v>42649</v>
      </c>
      <c r="E573">
        <f>MONTH(C573)</f>
        <v>2</v>
      </c>
    </row>
    <row r="574" spans="1:5">
      <c r="A574" t="s">
        <v>9</v>
      </c>
      <c r="B574" t="s">
        <v>219</v>
      </c>
      <c r="C574" s="8">
        <v>46075</v>
      </c>
      <c r="D574" s="9">
        <v>43113</v>
      </c>
      <c r="E574">
        <f>MONTH(C574)</f>
        <v>2</v>
      </c>
    </row>
    <row r="575" spans="1:5">
      <c r="A575" t="s">
        <v>9</v>
      </c>
      <c r="B575" t="s">
        <v>178</v>
      </c>
      <c r="C575" s="8">
        <v>46075</v>
      </c>
      <c r="D575" s="9">
        <v>57844</v>
      </c>
      <c r="E575">
        <f>MONTH(C575)</f>
        <v>2</v>
      </c>
    </row>
    <row r="576" spans="1:5">
      <c r="A576" t="s">
        <v>9</v>
      </c>
      <c r="B576" t="s">
        <v>189</v>
      </c>
      <c r="C576" s="8">
        <v>46075</v>
      </c>
      <c r="D576" s="9">
        <v>42759</v>
      </c>
      <c r="E576">
        <f>MONTH(C576)</f>
        <v>2</v>
      </c>
    </row>
    <row r="577" spans="1:5">
      <c r="A577" t="s">
        <v>5</v>
      </c>
      <c r="B577" t="s">
        <v>203</v>
      </c>
      <c r="C577" s="8">
        <v>46075</v>
      </c>
      <c r="D577" s="9">
        <v>34228</v>
      </c>
      <c r="E577">
        <f>MONTH(C577)</f>
        <v>2</v>
      </c>
    </row>
    <row r="578" spans="1:5">
      <c r="A578" t="s">
        <v>5</v>
      </c>
      <c r="B578" t="s">
        <v>72</v>
      </c>
      <c r="C578" s="8">
        <v>46075</v>
      </c>
      <c r="D578" s="9">
        <v>64339</v>
      </c>
      <c r="E578">
        <f>MONTH(C578)</f>
        <v>2</v>
      </c>
    </row>
    <row r="579" spans="1:5">
      <c r="A579" t="s">
        <v>5</v>
      </c>
      <c r="B579" t="s">
        <v>134</v>
      </c>
      <c r="C579" s="8">
        <v>46075</v>
      </c>
      <c r="D579" s="9">
        <v>28083</v>
      </c>
      <c r="E579">
        <f>MONTH(C579)</f>
        <v>2</v>
      </c>
    </row>
    <row r="580" spans="1:5">
      <c r="A580" t="s">
        <v>27</v>
      </c>
      <c r="B580" t="s">
        <v>253</v>
      </c>
      <c r="C580" s="8">
        <v>46076</v>
      </c>
      <c r="D580" s="9">
        <v>21602</v>
      </c>
      <c r="E580">
        <f>MONTH(C580)</f>
        <v>2</v>
      </c>
    </row>
    <row r="581" spans="1:5">
      <c r="A581" t="s">
        <v>27</v>
      </c>
      <c r="B581" t="s">
        <v>102</v>
      </c>
      <c r="C581" s="8">
        <v>46076</v>
      </c>
      <c r="D581" s="9">
        <v>14877</v>
      </c>
      <c r="E581">
        <f>MONTH(C581)</f>
        <v>2</v>
      </c>
    </row>
    <row r="582" spans="1:5">
      <c r="A582" t="s">
        <v>26</v>
      </c>
      <c r="B582" t="s">
        <v>119</v>
      </c>
      <c r="C582" s="8">
        <v>46076</v>
      </c>
      <c r="D582" s="9">
        <v>9339</v>
      </c>
      <c r="E582">
        <f>MONTH(C582)</f>
        <v>2</v>
      </c>
    </row>
    <row r="583" spans="1:5">
      <c r="A583" t="s">
        <v>8</v>
      </c>
      <c r="B583" t="s">
        <v>214</v>
      </c>
      <c r="C583" s="8">
        <v>46076</v>
      </c>
      <c r="D583" s="9">
        <v>17598</v>
      </c>
      <c r="E583">
        <f>MONTH(C583)</f>
        <v>2</v>
      </c>
    </row>
    <row r="584" spans="1:5">
      <c r="A584" t="s">
        <v>9</v>
      </c>
      <c r="B584" t="s">
        <v>220</v>
      </c>
      <c r="C584" s="8">
        <v>46076</v>
      </c>
      <c r="D584" s="9">
        <v>36979</v>
      </c>
      <c r="E584">
        <f>MONTH(C584)</f>
        <v>2</v>
      </c>
    </row>
    <row r="585" spans="1:5">
      <c r="A585" t="s">
        <v>9</v>
      </c>
      <c r="B585" t="s">
        <v>66</v>
      </c>
      <c r="C585" s="8">
        <v>46076</v>
      </c>
      <c r="D585" s="9">
        <v>20194</v>
      </c>
      <c r="E585">
        <f>MONTH(C585)</f>
        <v>2</v>
      </c>
    </row>
    <row r="586" spans="1:5">
      <c r="A586" t="s">
        <v>5</v>
      </c>
      <c r="B586" t="s">
        <v>167</v>
      </c>
      <c r="C586" s="8">
        <v>46076</v>
      </c>
      <c r="D586" s="9">
        <v>35703</v>
      </c>
      <c r="E586">
        <f>MONTH(C586)</f>
        <v>2</v>
      </c>
    </row>
    <row r="587" spans="1:5">
      <c r="A587" t="s">
        <v>5</v>
      </c>
      <c r="B587" t="s">
        <v>123</v>
      </c>
      <c r="C587" s="8">
        <v>46076</v>
      </c>
      <c r="D587" s="9">
        <v>43828</v>
      </c>
      <c r="E587">
        <f>MONTH(C587)</f>
        <v>2</v>
      </c>
    </row>
    <row r="588" spans="1:5">
      <c r="A588" t="s">
        <v>5</v>
      </c>
      <c r="B588" t="s">
        <v>159</v>
      </c>
      <c r="C588" s="8">
        <v>46076</v>
      </c>
      <c r="D588" s="9">
        <v>53645</v>
      </c>
      <c r="E588">
        <f>MONTH(C588)</f>
        <v>2</v>
      </c>
    </row>
    <row r="589" spans="1:5">
      <c r="A589" t="s">
        <v>5</v>
      </c>
      <c r="B589" t="s">
        <v>54</v>
      </c>
      <c r="C589" s="8">
        <v>46076</v>
      </c>
      <c r="D589" s="9">
        <v>51944</v>
      </c>
      <c r="E589">
        <f>MONTH(C589)</f>
        <v>2</v>
      </c>
    </row>
    <row r="590" spans="1:5">
      <c r="A590" t="s">
        <v>5</v>
      </c>
      <c r="B590" t="s">
        <v>109</v>
      </c>
      <c r="C590" s="8">
        <v>46076</v>
      </c>
      <c r="D590" s="9">
        <v>52278</v>
      </c>
      <c r="E590">
        <f>MONTH(C590)</f>
        <v>2</v>
      </c>
    </row>
    <row r="591" spans="1:5">
      <c r="A591" t="s">
        <v>4</v>
      </c>
      <c r="B591" t="s">
        <v>106</v>
      </c>
      <c r="C591" s="8">
        <v>46077</v>
      </c>
      <c r="D591" s="9">
        <v>48284</v>
      </c>
      <c r="E591">
        <f>MONTH(C591)</f>
        <v>2</v>
      </c>
    </row>
    <row r="592" spans="1:5">
      <c r="A592" t="s">
        <v>4</v>
      </c>
      <c r="B592" t="s">
        <v>180</v>
      </c>
      <c r="C592" s="8">
        <v>46077</v>
      </c>
      <c r="D592" s="9">
        <v>30676</v>
      </c>
      <c r="E592">
        <f>MONTH(C592)</f>
        <v>2</v>
      </c>
    </row>
    <row r="593" spans="1:5">
      <c r="A593" t="s">
        <v>4</v>
      </c>
      <c r="B593" t="s">
        <v>223</v>
      </c>
      <c r="C593" s="8">
        <v>46077</v>
      </c>
      <c r="D593" s="9">
        <v>13498</v>
      </c>
      <c r="E593">
        <f>MONTH(C593)</f>
        <v>2</v>
      </c>
    </row>
    <row r="594" spans="1:5">
      <c r="A594" t="s">
        <v>30</v>
      </c>
      <c r="B594" t="s">
        <v>63</v>
      </c>
      <c r="C594" s="8">
        <v>46077</v>
      </c>
      <c r="D594" s="9">
        <v>12235</v>
      </c>
      <c r="E594">
        <f>MONTH(C594)</f>
        <v>2</v>
      </c>
    </row>
    <row r="595" spans="1:5">
      <c r="A595" t="s">
        <v>8</v>
      </c>
      <c r="B595" t="s">
        <v>129</v>
      </c>
      <c r="C595" s="8">
        <v>46077</v>
      </c>
      <c r="D595" s="9">
        <v>16416</v>
      </c>
      <c r="E595">
        <f>MONTH(C595)</f>
        <v>2</v>
      </c>
    </row>
    <row r="596" spans="1:5">
      <c r="A596" t="s">
        <v>29</v>
      </c>
      <c r="B596" t="s">
        <v>121</v>
      </c>
      <c r="C596" s="8">
        <v>46077</v>
      </c>
      <c r="D596" s="9">
        <v>5200</v>
      </c>
      <c r="E596">
        <f>MONTH(C596)</f>
        <v>2</v>
      </c>
    </row>
    <row r="597" spans="1:5">
      <c r="A597" t="s">
        <v>29</v>
      </c>
      <c r="B597" t="s">
        <v>112</v>
      </c>
      <c r="C597" s="8">
        <v>46077</v>
      </c>
      <c r="D597" s="9">
        <v>10983</v>
      </c>
      <c r="E597">
        <f>MONTH(C597)</f>
        <v>2</v>
      </c>
    </row>
    <row r="598" spans="1:5">
      <c r="A598" t="s">
        <v>37</v>
      </c>
      <c r="B598" t="s">
        <v>81</v>
      </c>
      <c r="C598" s="8">
        <v>46077</v>
      </c>
      <c r="D598" s="9">
        <v>10441</v>
      </c>
      <c r="E598">
        <f>MONTH(C598)</f>
        <v>2</v>
      </c>
    </row>
    <row r="599" spans="1:5">
      <c r="A599" t="s">
        <v>9</v>
      </c>
      <c r="B599" t="s">
        <v>235</v>
      </c>
      <c r="C599" s="8">
        <v>46077</v>
      </c>
      <c r="D599" s="9">
        <v>30461</v>
      </c>
      <c r="E599">
        <f>MONTH(C599)</f>
        <v>2</v>
      </c>
    </row>
    <row r="600" spans="1:5">
      <c r="A600" t="s">
        <v>9</v>
      </c>
      <c r="B600" t="s">
        <v>71</v>
      </c>
      <c r="C600" s="8">
        <v>46077</v>
      </c>
      <c r="D600" s="9">
        <v>49256</v>
      </c>
      <c r="E600">
        <f>MONTH(C600)</f>
        <v>2</v>
      </c>
    </row>
    <row r="601" spans="1:5">
      <c r="A601" t="s">
        <v>5</v>
      </c>
      <c r="B601" t="s">
        <v>54</v>
      </c>
      <c r="C601" s="8">
        <v>46077</v>
      </c>
      <c r="D601" s="9">
        <v>39395</v>
      </c>
      <c r="E601">
        <f>MONTH(C601)</f>
        <v>2</v>
      </c>
    </row>
    <row r="602" spans="1:5">
      <c r="A602" t="s">
        <v>27</v>
      </c>
      <c r="B602" t="s">
        <v>184</v>
      </c>
      <c r="C602" s="8">
        <v>46078</v>
      </c>
      <c r="D602" s="9">
        <v>21598</v>
      </c>
      <c r="E602">
        <f>MONTH(C602)</f>
        <v>2</v>
      </c>
    </row>
    <row r="603" spans="1:5">
      <c r="A603" t="s">
        <v>4</v>
      </c>
      <c r="B603" t="s">
        <v>75</v>
      </c>
      <c r="C603" s="8">
        <v>46078</v>
      </c>
      <c r="D603" s="9">
        <v>31232</v>
      </c>
      <c r="E603">
        <f>MONTH(C603)</f>
        <v>2</v>
      </c>
    </row>
    <row r="604" spans="1:5">
      <c r="A604" t="s">
        <v>4</v>
      </c>
      <c r="B604" t="s">
        <v>50</v>
      </c>
      <c r="C604" s="8">
        <v>46078</v>
      </c>
      <c r="D604" s="9">
        <v>24336</v>
      </c>
      <c r="E604">
        <f>MONTH(C604)</f>
        <v>2</v>
      </c>
    </row>
    <row r="605" spans="1:5">
      <c r="A605" t="s">
        <v>25</v>
      </c>
      <c r="B605" t="s">
        <v>117</v>
      </c>
      <c r="C605" s="8">
        <v>46078</v>
      </c>
      <c r="D605" s="9">
        <v>10434</v>
      </c>
      <c r="E605">
        <f>MONTH(C605)</f>
        <v>2</v>
      </c>
    </row>
    <row r="606" spans="1:5">
      <c r="A606" t="s">
        <v>25</v>
      </c>
      <c r="B606" t="s">
        <v>186</v>
      </c>
      <c r="C606" s="8">
        <v>46078</v>
      </c>
      <c r="D606" s="9">
        <v>13573</v>
      </c>
      <c r="E606">
        <f>MONTH(C606)</f>
        <v>2</v>
      </c>
    </row>
    <row r="607" spans="1:5">
      <c r="A607" t="s">
        <v>9</v>
      </c>
      <c r="B607" t="s">
        <v>276</v>
      </c>
      <c r="C607" s="8">
        <v>46078</v>
      </c>
      <c r="D607" s="9">
        <v>42961</v>
      </c>
      <c r="E607">
        <f>MONTH(C607)</f>
        <v>2</v>
      </c>
    </row>
    <row r="608" spans="1:5">
      <c r="A608" t="s">
        <v>9</v>
      </c>
      <c r="B608" t="s">
        <v>245</v>
      </c>
      <c r="C608" s="8">
        <v>46078</v>
      </c>
      <c r="D608" s="9">
        <v>37085</v>
      </c>
      <c r="E608">
        <f>MONTH(C608)</f>
        <v>2</v>
      </c>
    </row>
    <row r="609" spans="1:5">
      <c r="A609" t="s">
        <v>5</v>
      </c>
      <c r="B609" t="s">
        <v>209</v>
      </c>
      <c r="C609" s="8">
        <v>46078</v>
      </c>
      <c r="D609" s="9">
        <v>33980</v>
      </c>
      <c r="E609">
        <f>MONTH(C609)</f>
        <v>2</v>
      </c>
    </row>
    <row r="610" spans="1:5">
      <c r="A610" t="s">
        <v>5</v>
      </c>
      <c r="B610" t="s">
        <v>107</v>
      </c>
      <c r="C610" s="8">
        <v>46078</v>
      </c>
      <c r="D610" s="9">
        <v>38354</v>
      </c>
      <c r="E610">
        <f>MONTH(C610)</f>
        <v>2</v>
      </c>
    </row>
    <row r="611" spans="1:5">
      <c r="A611" t="s">
        <v>5</v>
      </c>
      <c r="B611" t="s">
        <v>270</v>
      </c>
      <c r="C611" s="8">
        <v>46078</v>
      </c>
      <c r="D611" s="9">
        <v>54191</v>
      </c>
      <c r="E611">
        <f>MONTH(C611)</f>
        <v>2</v>
      </c>
    </row>
    <row r="612" spans="1:5">
      <c r="A612" t="s">
        <v>4</v>
      </c>
      <c r="B612" t="s">
        <v>60</v>
      </c>
      <c r="C612" s="8">
        <v>46079</v>
      </c>
      <c r="D612" s="9">
        <v>27169</v>
      </c>
      <c r="E612">
        <f>MONTH(C612)</f>
        <v>2</v>
      </c>
    </row>
    <row r="613" spans="1:5">
      <c r="A613" t="s">
        <v>4</v>
      </c>
      <c r="B613" t="s">
        <v>67</v>
      </c>
      <c r="C613" s="8">
        <v>46079</v>
      </c>
      <c r="D613" s="9">
        <v>30502</v>
      </c>
      <c r="E613">
        <f>MONTH(C613)</f>
        <v>2</v>
      </c>
    </row>
    <row r="614" spans="1:5">
      <c r="A614" t="s">
        <v>4</v>
      </c>
      <c r="B614" t="s">
        <v>220</v>
      </c>
      <c r="C614" s="8">
        <v>46079</v>
      </c>
      <c r="D614" s="9">
        <v>29229</v>
      </c>
      <c r="E614">
        <f>MONTH(C614)</f>
        <v>2</v>
      </c>
    </row>
    <row r="615" spans="1:5">
      <c r="A615" t="s">
        <v>8</v>
      </c>
      <c r="B615" t="s">
        <v>207</v>
      </c>
      <c r="C615" s="8">
        <v>46079</v>
      </c>
      <c r="D615" s="9">
        <v>33492</v>
      </c>
      <c r="E615">
        <f>MONTH(C615)</f>
        <v>2</v>
      </c>
    </row>
    <row r="616" spans="1:5">
      <c r="A616" t="s">
        <v>8</v>
      </c>
      <c r="B616" t="s">
        <v>225</v>
      </c>
      <c r="C616" s="8">
        <v>46079</v>
      </c>
      <c r="D616" s="9">
        <v>5200</v>
      </c>
      <c r="E616">
        <f>MONTH(C616)</f>
        <v>2</v>
      </c>
    </row>
    <row r="617" spans="1:5">
      <c r="A617" t="s">
        <v>29</v>
      </c>
      <c r="B617" t="s">
        <v>191</v>
      </c>
      <c r="C617" s="8">
        <v>46079</v>
      </c>
      <c r="D617" s="9">
        <v>12823</v>
      </c>
      <c r="E617">
        <f>MONTH(C617)</f>
        <v>2</v>
      </c>
    </row>
    <row r="618" spans="1:5">
      <c r="A618" t="s">
        <v>7</v>
      </c>
      <c r="B618" t="s">
        <v>274</v>
      </c>
      <c r="C618" s="8">
        <v>46079</v>
      </c>
      <c r="D618" s="9">
        <v>22804</v>
      </c>
      <c r="E618">
        <f>MONTH(C618)</f>
        <v>2</v>
      </c>
    </row>
    <row r="619" spans="1:5">
      <c r="A619" t="s">
        <v>9</v>
      </c>
      <c r="B619" t="s">
        <v>203</v>
      </c>
      <c r="C619" s="8">
        <v>46079</v>
      </c>
      <c r="D619" s="9">
        <v>27217</v>
      </c>
      <c r="E619">
        <f>MONTH(C619)</f>
        <v>2</v>
      </c>
    </row>
    <row r="620" spans="1:5">
      <c r="A620" t="s">
        <v>5</v>
      </c>
      <c r="B620" t="s">
        <v>114</v>
      </c>
      <c r="C620" s="8">
        <v>46079</v>
      </c>
      <c r="D620" s="9">
        <v>40363</v>
      </c>
      <c r="E620">
        <f>MONTH(C620)</f>
        <v>2</v>
      </c>
    </row>
    <row r="621" spans="1:5">
      <c r="A621" t="s">
        <v>5</v>
      </c>
      <c r="B621" t="s">
        <v>123</v>
      </c>
      <c r="C621" s="8">
        <v>46079</v>
      </c>
      <c r="D621" s="9">
        <v>33480</v>
      </c>
      <c r="E621">
        <f>MONTH(C621)</f>
        <v>2</v>
      </c>
    </row>
    <row r="622" spans="1:5">
      <c r="A622" t="s">
        <v>5</v>
      </c>
      <c r="B622" t="s">
        <v>99</v>
      </c>
      <c r="C622" s="8">
        <v>46079</v>
      </c>
      <c r="D622" s="9">
        <v>34972</v>
      </c>
      <c r="E622">
        <f>MONTH(C622)</f>
        <v>2</v>
      </c>
    </row>
    <row r="623" spans="1:5">
      <c r="A623" t="s">
        <v>5</v>
      </c>
      <c r="B623" t="s">
        <v>115</v>
      </c>
      <c r="C623" s="8">
        <v>46079</v>
      </c>
      <c r="D623" s="9">
        <v>32906</v>
      </c>
      <c r="E623">
        <f>MONTH(C623)</f>
        <v>2</v>
      </c>
    </row>
    <row r="624" spans="1:5">
      <c r="A624" t="s">
        <v>5</v>
      </c>
      <c r="B624" t="s">
        <v>107</v>
      </c>
      <c r="C624" s="8">
        <v>46079</v>
      </c>
      <c r="D624" s="9">
        <v>39873</v>
      </c>
      <c r="E624">
        <f>MONTH(C624)</f>
        <v>2</v>
      </c>
    </row>
    <row r="625" spans="1:5">
      <c r="A625" t="s">
        <v>5</v>
      </c>
      <c r="B625" t="s">
        <v>270</v>
      </c>
      <c r="C625" s="8">
        <v>46079</v>
      </c>
      <c r="D625" s="9">
        <v>43369</v>
      </c>
      <c r="E625">
        <f>MONTH(C625)</f>
        <v>2</v>
      </c>
    </row>
    <row r="626" spans="1:5">
      <c r="A626" t="s">
        <v>5</v>
      </c>
      <c r="B626" t="s">
        <v>212</v>
      </c>
      <c r="C626" s="8">
        <v>46079</v>
      </c>
      <c r="D626" s="9">
        <v>27569</v>
      </c>
      <c r="E626">
        <f>MONTH(C626)</f>
        <v>2</v>
      </c>
    </row>
    <row r="627" spans="1:5">
      <c r="A627" t="s">
        <v>4</v>
      </c>
      <c r="B627" t="s">
        <v>60</v>
      </c>
      <c r="C627" s="8">
        <v>46080</v>
      </c>
      <c r="D627" s="9">
        <v>20062</v>
      </c>
      <c r="E627">
        <f>MONTH(C627)</f>
        <v>2</v>
      </c>
    </row>
    <row r="628" spans="1:5">
      <c r="A628" t="s">
        <v>4</v>
      </c>
      <c r="B628" t="s">
        <v>185</v>
      </c>
      <c r="C628" s="8">
        <v>46080</v>
      </c>
      <c r="D628" s="9">
        <v>20580</v>
      </c>
      <c r="E628">
        <f>MONTH(C628)</f>
        <v>2</v>
      </c>
    </row>
    <row r="629" spans="1:5">
      <c r="A629" t="s">
        <v>4</v>
      </c>
      <c r="B629" t="s">
        <v>254</v>
      </c>
      <c r="C629" s="8">
        <v>46080</v>
      </c>
      <c r="D629" s="9">
        <v>29260</v>
      </c>
      <c r="E629">
        <f>MONTH(C629)</f>
        <v>2</v>
      </c>
    </row>
    <row r="630" spans="1:5">
      <c r="A630" t="s">
        <v>28</v>
      </c>
      <c r="B630" t="s">
        <v>255</v>
      </c>
      <c r="C630" s="8">
        <v>46080</v>
      </c>
      <c r="D630" s="9">
        <v>22924</v>
      </c>
      <c r="E630">
        <f>MONTH(C630)</f>
        <v>2</v>
      </c>
    </row>
    <row r="631" spans="1:5">
      <c r="A631" t="s">
        <v>8</v>
      </c>
      <c r="B631" t="s">
        <v>281</v>
      </c>
      <c r="C631" s="8">
        <v>46080</v>
      </c>
      <c r="D631" s="9">
        <v>10095</v>
      </c>
      <c r="E631">
        <f>MONTH(C631)</f>
        <v>2</v>
      </c>
    </row>
    <row r="632" spans="1:5">
      <c r="A632" t="s">
        <v>7</v>
      </c>
      <c r="B632" t="s">
        <v>197</v>
      </c>
      <c r="C632" s="8">
        <v>46080</v>
      </c>
      <c r="D632" s="9">
        <v>25290</v>
      </c>
      <c r="E632">
        <f>MONTH(C632)</f>
        <v>2</v>
      </c>
    </row>
    <row r="633" spans="1:5">
      <c r="A633" t="s">
        <v>7</v>
      </c>
      <c r="B633" t="s">
        <v>89</v>
      </c>
      <c r="C633" s="8">
        <v>46080</v>
      </c>
      <c r="D633" s="9">
        <v>19651</v>
      </c>
      <c r="E633">
        <f>MONTH(C633)</f>
        <v>2</v>
      </c>
    </row>
    <row r="634" spans="1:5">
      <c r="A634" t="s">
        <v>9</v>
      </c>
      <c r="B634" t="s">
        <v>283</v>
      </c>
      <c r="C634" s="8">
        <v>46080</v>
      </c>
      <c r="D634" s="9">
        <v>35825</v>
      </c>
      <c r="E634">
        <f>MONTH(C634)</f>
        <v>2</v>
      </c>
    </row>
    <row r="635" spans="1:5">
      <c r="A635" t="s">
        <v>9</v>
      </c>
      <c r="B635" t="s">
        <v>91</v>
      </c>
      <c r="C635" s="8">
        <v>46080</v>
      </c>
      <c r="D635" s="9">
        <v>28612</v>
      </c>
      <c r="E635">
        <f>MONTH(C635)</f>
        <v>2</v>
      </c>
    </row>
    <row r="636" spans="1:5">
      <c r="A636" t="s">
        <v>9</v>
      </c>
      <c r="B636" t="s">
        <v>96</v>
      </c>
      <c r="C636" s="8">
        <v>46080</v>
      </c>
      <c r="D636" s="9">
        <v>34279</v>
      </c>
      <c r="E636">
        <f>MONTH(C636)</f>
        <v>2</v>
      </c>
    </row>
    <row r="637" spans="1:5">
      <c r="A637" t="s">
        <v>9</v>
      </c>
      <c r="B637" t="s">
        <v>234</v>
      </c>
      <c r="C637" s="8">
        <v>46080</v>
      </c>
      <c r="D637" s="9">
        <v>8097</v>
      </c>
      <c r="E637">
        <f>MONTH(C637)</f>
        <v>2</v>
      </c>
    </row>
    <row r="638" spans="1:5">
      <c r="A638" t="s">
        <v>5</v>
      </c>
      <c r="B638" t="s">
        <v>166</v>
      </c>
      <c r="C638" s="8">
        <v>46080</v>
      </c>
      <c r="D638" s="9">
        <v>43903</v>
      </c>
      <c r="E638">
        <f>MONTH(C638)</f>
        <v>2</v>
      </c>
    </row>
    <row r="639" spans="1:5">
      <c r="A639" t="s">
        <v>5</v>
      </c>
      <c r="B639" t="s">
        <v>277</v>
      </c>
      <c r="C639" s="8">
        <v>46080</v>
      </c>
      <c r="D639" s="9">
        <v>37242</v>
      </c>
      <c r="E639">
        <f>MONTH(C639)</f>
        <v>2</v>
      </c>
    </row>
    <row r="640" spans="1:5">
      <c r="A640" t="s">
        <v>5</v>
      </c>
      <c r="B640" t="s">
        <v>277</v>
      </c>
      <c r="C640" s="8">
        <v>46080</v>
      </c>
      <c r="D640" s="9">
        <v>38780</v>
      </c>
      <c r="E640">
        <f>MONTH(C640)</f>
        <v>2</v>
      </c>
    </row>
    <row r="641" spans="1:5">
      <c r="A641" t="s">
        <v>38</v>
      </c>
      <c r="B641" t="s">
        <v>110</v>
      </c>
      <c r="C641" s="8">
        <v>46081</v>
      </c>
      <c r="D641" s="9">
        <v>11841</v>
      </c>
      <c r="E641">
        <f>MONTH(C641)</f>
        <v>2</v>
      </c>
    </row>
    <row r="642" spans="1:5">
      <c r="A642" t="s">
        <v>4</v>
      </c>
      <c r="B642" t="s">
        <v>198</v>
      </c>
      <c r="C642" s="8">
        <v>46081</v>
      </c>
      <c r="D642" s="9">
        <v>28677</v>
      </c>
      <c r="E642">
        <f>MONTH(C642)</f>
        <v>2</v>
      </c>
    </row>
    <row r="643" spans="1:5">
      <c r="A643" t="s">
        <v>6</v>
      </c>
      <c r="B643" t="s">
        <v>120</v>
      </c>
      <c r="C643" s="8">
        <v>46081</v>
      </c>
      <c r="D643" s="9">
        <v>18140</v>
      </c>
      <c r="E643">
        <f>MONTH(C643)</f>
        <v>2</v>
      </c>
    </row>
    <row r="644" spans="1:5">
      <c r="A644" t="s">
        <v>7</v>
      </c>
      <c r="B644" t="s">
        <v>202</v>
      </c>
      <c r="C644" s="8">
        <v>46081</v>
      </c>
      <c r="D644" s="9">
        <v>21715</v>
      </c>
      <c r="E644">
        <f>MONTH(C644)</f>
        <v>2</v>
      </c>
    </row>
    <row r="645" spans="1:5">
      <c r="A645" t="s">
        <v>9</v>
      </c>
      <c r="B645" t="s">
        <v>171</v>
      </c>
      <c r="C645" s="8">
        <v>46081</v>
      </c>
      <c r="D645" s="9">
        <v>42191</v>
      </c>
      <c r="E645">
        <f>MONTH(C645)</f>
        <v>2</v>
      </c>
    </row>
    <row r="646" spans="1:5">
      <c r="A646" t="s">
        <v>5</v>
      </c>
      <c r="B646" t="s">
        <v>49</v>
      </c>
      <c r="C646" s="8">
        <v>46081</v>
      </c>
      <c r="D646" s="9">
        <v>31268</v>
      </c>
      <c r="E646">
        <f>MONTH(C646)</f>
        <v>2</v>
      </c>
    </row>
    <row r="647" spans="1:5">
      <c r="A647" t="s">
        <v>5</v>
      </c>
      <c r="B647" t="s">
        <v>124</v>
      </c>
      <c r="C647" s="8">
        <v>46081</v>
      </c>
      <c r="D647" s="9">
        <v>32673</v>
      </c>
      <c r="E647">
        <f>MONTH(C647)</f>
        <v>2</v>
      </c>
    </row>
    <row r="648" spans="1:5">
      <c r="A648" t="s">
        <v>25</v>
      </c>
      <c r="B648" t="s">
        <v>59</v>
      </c>
      <c r="C648" s="8">
        <v>46082</v>
      </c>
      <c r="D648" s="9">
        <v>12450</v>
      </c>
      <c r="E648">
        <f>MONTH(C648)</f>
        <v>3</v>
      </c>
    </row>
    <row r="649" spans="1:5">
      <c r="A649" t="s">
        <v>30</v>
      </c>
      <c r="B649" t="s">
        <v>154</v>
      </c>
      <c r="C649" s="8">
        <v>46082</v>
      </c>
      <c r="D649" s="9">
        <v>11092</v>
      </c>
      <c r="E649">
        <f>MONTH(C649)</f>
        <v>3</v>
      </c>
    </row>
    <row r="650" spans="1:5">
      <c r="A650" t="s">
        <v>30</v>
      </c>
      <c r="B650" t="s">
        <v>162</v>
      </c>
      <c r="C650" s="8">
        <v>46082</v>
      </c>
      <c r="D650" s="9">
        <v>11703</v>
      </c>
      <c r="E650">
        <f>MONTH(C650)</f>
        <v>3</v>
      </c>
    </row>
    <row r="651" spans="1:5">
      <c r="A651" t="s">
        <v>6</v>
      </c>
      <c r="B651" t="s">
        <v>208</v>
      </c>
      <c r="C651" s="8">
        <v>46082</v>
      </c>
      <c r="D651" s="9">
        <v>17504</v>
      </c>
      <c r="E651">
        <f>MONTH(C651)</f>
        <v>3</v>
      </c>
    </row>
    <row r="652" spans="1:5">
      <c r="A652" t="s">
        <v>9</v>
      </c>
      <c r="B652" t="s">
        <v>221</v>
      </c>
      <c r="C652" s="8">
        <v>46082</v>
      </c>
      <c r="D652" s="9">
        <v>48873</v>
      </c>
      <c r="E652">
        <f>MONTH(C652)</f>
        <v>3</v>
      </c>
    </row>
    <row r="653" spans="1:5">
      <c r="A653" t="s">
        <v>9</v>
      </c>
      <c r="B653" t="s">
        <v>148</v>
      </c>
      <c r="C653" s="8">
        <v>46082</v>
      </c>
      <c r="D653" s="9">
        <v>30971</v>
      </c>
      <c r="E653">
        <f>MONTH(C653)</f>
        <v>3</v>
      </c>
    </row>
    <row r="654" spans="1:5">
      <c r="A654" t="s">
        <v>9</v>
      </c>
      <c r="B654" t="s">
        <v>144</v>
      </c>
      <c r="C654" s="8">
        <v>46082</v>
      </c>
      <c r="D654" s="9">
        <v>28929</v>
      </c>
      <c r="E654">
        <f>MONTH(C654)</f>
        <v>3</v>
      </c>
    </row>
    <row r="655" spans="1:5">
      <c r="A655" t="s">
        <v>5</v>
      </c>
      <c r="B655" t="s">
        <v>252</v>
      </c>
      <c r="C655" s="8">
        <v>46082</v>
      </c>
      <c r="D655" s="9">
        <v>43008</v>
      </c>
      <c r="E655">
        <f>MONTH(C655)</f>
        <v>3</v>
      </c>
    </row>
    <row r="656" spans="1:5">
      <c r="A656" t="s">
        <v>5</v>
      </c>
      <c r="B656" t="s">
        <v>211</v>
      </c>
      <c r="C656" s="8">
        <v>46082</v>
      </c>
      <c r="D656" s="9">
        <v>28158</v>
      </c>
      <c r="E656">
        <f>MONTH(C656)</f>
        <v>3</v>
      </c>
    </row>
    <row r="657" spans="1:5">
      <c r="A657" t="s">
        <v>5</v>
      </c>
      <c r="B657" t="s">
        <v>96</v>
      </c>
      <c r="C657" s="8">
        <v>46082</v>
      </c>
      <c r="D657" s="9">
        <v>32989</v>
      </c>
      <c r="E657">
        <f>MONTH(C657)</f>
        <v>3</v>
      </c>
    </row>
    <row r="658" spans="1:5">
      <c r="A658" t="s">
        <v>5</v>
      </c>
      <c r="B658" t="s">
        <v>204</v>
      </c>
      <c r="C658" s="8">
        <v>46082</v>
      </c>
      <c r="D658" s="9">
        <v>53703</v>
      </c>
      <c r="E658">
        <f>MONTH(C658)</f>
        <v>3</v>
      </c>
    </row>
    <row r="659" spans="1:5">
      <c r="A659" t="s">
        <v>4</v>
      </c>
      <c r="B659" t="s">
        <v>67</v>
      </c>
      <c r="C659" s="8">
        <v>46083</v>
      </c>
      <c r="D659" s="9">
        <v>29110</v>
      </c>
      <c r="E659">
        <f>MONTH(C659)</f>
        <v>3</v>
      </c>
    </row>
    <row r="660" spans="1:5">
      <c r="A660" t="s">
        <v>29</v>
      </c>
      <c r="B660" t="s">
        <v>163</v>
      </c>
      <c r="C660" s="8">
        <v>46083</v>
      </c>
      <c r="D660" s="9">
        <v>5200</v>
      </c>
      <c r="E660">
        <f>MONTH(C660)</f>
        <v>3</v>
      </c>
    </row>
    <row r="661" spans="1:5">
      <c r="A661" t="s">
        <v>7</v>
      </c>
      <c r="B661" t="s">
        <v>65</v>
      </c>
      <c r="C661" s="8">
        <v>46083</v>
      </c>
      <c r="D661" s="9">
        <v>40142</v>
      </c>
      <c r="E661">
        <f>MONTH(C661)</f>
        <v>3</v>
      </c>
    </row>
    <row r="662" spans="1:5">
      <c r="A662" t="s">
        <v>5</v>
      </c>
      <c r="B662" t="s">
        <v>114</v>
      </c>
      <c r="C662" s="8">
        <v>46083</v>
      </c>
      <c r="D662" s="9">
        <v>41540</v>
      </c>
      <c r="E662">
        <f>MONTH(C662)</f>
        <v>3</v>
      </c>
    </row>
    <row r="663" spans="1:5">
      <c r="A663" t="s">
        <v>5</v>
      </c>
      <c r="B663" t="s">
        <v>53</v>
      </c>
      <c r="C663" s="8">
        <v>46083</v>
      </c>
      <c r="D663" s="9">
        <v>38014</v>
      </c>
      <c r="E663">
        <f>MONTH(C663)</f>
        <v>3</v>
      </c>
    </row>
    <row r="664" spans="1:5">
      <c r="A664" t="s">
        <v>5</v>
      </c>
      <c r="B664" t="s">
        <v>212</v>
      </c>
      <c r="C664" s="8">
        <v>46083</v>
      </c>
      <c r="D664" s="9">
        <v>36305</v>
      </c>
      <c r="E664">
        <f>MONTH(C664)</f>
        <v>3</v>
      </c>
    </row>
    <row r="665" spans="1:5">
      <c r="A665" t="s">
        <v>29</v>
      </c>
      <c r="B665" t="s">
        <v>51</v>
      </c>
      <c r="C665" s="8">
        <v>46084</v>
      </c>
      <c r="D665" s="9">
        <v>8019</v>
      </c>
      <c r="E665">
        <f>MONTH(C665)</f>
        <v>3</v>
      </c>
    </row>
    <row r="666" spans="1:5">
      <c r="A666" t="s">
        <v>29</v>
      </c>
      <c r="B666" t="s">
        <v>104</v>
      </c>
      <c r="C666" s="8">
        <v>46084</v>
      </c>
      <c r="D666" s="9">
        <v>12136</v>
      </c>
      <c r="E666">
        <f>MONTH(C666)</f>
        <v>3</v>
      </c>
    </row>
    <row r="667" spans="1:5">
      <c r="A667" t="s">
        <v>9</v>
      </c>
      <c r="B667" t="s">
        <v>203</v>
      </c>
      <c r="C667" s="8">
        <v>46084</v>
      </c>
      <c r="D667" s="9">
        <v>33791</v>
      </c>
      <c r="E667">
        <f>MONTH(C667)</f>
        <v>3</v>
      </c>
    </row>
    <row r="668" spans="1:5">
      <c r="A668" t="s">
        <v>5</v>
      </c>
      <c r="B668" t="s">
        <v>251</v>
      </c>
      <c r="C668" s="8">
        <v>46084</v>
      </c>
      <c r="D668" s="9">
        <v>38396</v>
      </c>
      <c r="E668">
        <f>MONTH(C668)</f>
        <v>3</v>
      </c>
    </row>
    <row r="669" spans="1:5">
      <c r="A669" t="s">
        <v>5</v>
      </c>
      <c r="B669" t="s">
        <v>74</v>
      </c>
      <c r="C669" s="8">
        <v>46084</v>
      </c>
      <c r="D669" s="9">
        <v>34890</v>
      </c>
      <c r="E669">
        <f>MONTH(C669)</f>
        <v>3</v>
      </c>
    </row>
    <row r="670" spans="1:5">
      <c r="A670" t="s">
        <v>5</v>
      </c>
      <c r="B670" t="s">
        <v>270</v>
      </c>
      <c r="C670" s="8">
        <v>46084</v>
      </c>
      <c r="D670" s="9">
        <v>50885</v>
      </c>
      <c r="E670">
        <f>MONTH(C670)</f>
        <v>3</v>
      </c>
    </row>
    <row r="671" spans="1:5">
      <c r="A671" t="s">
        <v>5</v>
      </c>
      <c r="B671" t="s">
        <v>172</v>
      </c>
      <c r="C671" s="8">
        <v>46084</v>
      </c>
      <c r="D671" s="9">
        <v>30855</v>
      </c>
      <c r="E671">
        <f>MONTH(C671)</f>
        <v>3</v>
      </c>
    </row>
    <row r="672" spans="1:5">
      <c r="A672" t="s">
        <v>27</v>
      </c>
      <c r="B672" t="s">
        <v>253</v>
      </c>
      <c r="C672" s="8">
        <v>46085</v>
      </c>
      <c r="D672" s="9">
        <v>7664</v>
      </c>
      <c r="E672">
        <f>MONTH(C672)</f>
        <v>3</v>
      </c>
    </row>
    <row r="673" spans="1:5">
      <c r="A673" t="s">
        <v>4</v>
      </c>
      <c r="B673" t="s">
        <v>223</v>
      </c>
      <c r="C673" s="8">
        <v>46085</v>
      </c>
      <c r="D673" s="9">
        <v>35072</v>
      </c>
      <c r="E673">
        <f>MONTH(C673)</f>
        <v>3</v>
      </c>
    </row>
    <row r="674" spans="1:5">
      <c r="A674" t="s">
        <v>26</v>
      </c>
      <c r="B674" t="s">
        <v>102</v>
      </c>
      <c r="C674" s="8">
        <v>46085</v>
      </c>
      <c r="D674" s="9">
        <v>14726</v>
      </c>
      <c r="E674">
        <f>MONTH(C674)</f>
        <v>3</v>
      </c>
    </row>
    <row r="675" spans="1:5">
      <c r="A675" t="s">
        <v>30</v>
      </c>
      <c r="B675" t="s">
        <v>139</v>
      </c>
      <c r="C675" s="8">
        <v>46085</v>
      </c>
      <c r="D675" s="9">
        <v>15556</v>
      </c>
      <c r="E675">
        <f>MONTH(C675)</f>
        <v>3</v>
      </c>
    </row>
    <row r="676" spans="1:5">
      <c r="A676" t="s">
        <v>32</v>
      </c>
      <c r="B676" t="s">
        <v>230</v>
      </c>
      <c r="C676" s="8">
        <v>46085</v>
      </c>
      <c r="D676" s="9">
        <v>11284</v>
      </c>
      <c r="E676">
        <f>MONTH(C676)</f>
        <v>3</v>
      </c>
    </row>
    <row r="677" spans="1:5">
      <c r="A677" t="s">
        <v>6</v>
      </c>
      <c r="B677" t="s">
        <v>88</v>
      </c>
      <c r="C677" s="8">
        <v>46085</v>
      </c>
      <c r="D677" s="9">
        <v>17024</v>
      </c>
      <c r="E677">
        <f>MONTH(C677)</f>
        <v>3</v>
      </c>
    </row>
    <row r="678" spans="1:5">
      <c r="A678" t="s">
        <v>7</v>
      </c>
      <c r="B678" t="s">
        <v>243</v>
      </c>
      <c r="C678" s="8">
        <v>46085</v>
      </c>
      <c r="D678" s="9">
        <v>42285</v>
      </c>
      <c r="E678">
        <f>MONTH(C678)</f>
        <v>3</v>
      </c>
    </row>
    <row r="679" spans="1:5">
      <c r="A679" t="s">
        <v>7</v>
      </c>
      <c r="B679" t="s">
        <v>202</v>
      </c>
      <c r="C679" s="8">
        <v>46085</v>
      </c>
      <c r="D679" s="9">
        <v>22110</v>
      </c>
      <c r="E679">
        <f>MONTH(C679)</f>
        <v>3</v>
      </c>
    </row>
    <row r="680" spans="1:5">
      <c r="A680" t="s">
        <v>7</v>
      </c>
      <c r="B680" t="s">
        <v>238</v>
      </c>
      <c r="C680" s="8">
        <v>46085</v>
      </c>
      <c r="D680" s="9">
        <v>19038</v>
      </c>
      <c r="E680">
        <f>MONTH(C680)</f>
        <v>3</v>
      </c>
    </row>
    <row r="681" spans="1:5">
      <c r="A681" t="s">
        <v>9</v>
      </c>
      <c r="B681" t="s">
        <v>176</v>
      </c>
      <c r="C681" s="8">
        <v>46085</v>
      </c>
      <c r="D681" s="9">
        <v>24144</v>
      </c>
      <c r="E681">
        <f>MONTH(C681)</f>
        <v>3</v>
      </c>
    </row>
    <row r="682" spans="1:5">
      <c r="A682" t="s">
        <v>9</v>
      </c>
      <c r="B682" t="s">
        <v>70</v>
      </c>
      <c r="C682" s="8">
        <v>46085</v>
      </c>
      <c r="D682" s="9">
        <v>28625</v>
      </c>
      <c r="E682">
        <f>MONTH(C682)</f>
        <v>3</v>
      </c>
    </row>
    <row r="683" spans="1:5">
      <c r="A683" t="s">
        <v>5</v>
      </c>
      <c r="B683" t="s">
        <v>133</v>
      </c>
      <c r="C683" s="8">
        <v>46085</v>
      </c>
      <c r="D683" s="9">
        <v>30867</v>
      </c>
      <c r="E683">
        <f>MONTH(C683)</f>
        <v>3</v>
      </c>
    </row>
    <row r="684" spans="1:5">
      <c r="A684" t="s">
        <v>5</v>
      </c>
      <c r="B684" t="s">
        <v>92</v>
      </c>
      <c r="C684" s="8">
        <v>46085</v>
      </c>
      <c r="D684" s="9">
        <v>50221</v>
      </c>
      <c r="E684">
        <f>MONTH(C684)</f>
        <v>3</v>
      </c>
    </row>
    <row r="685" spans="1:5">
      <c r="A685" t="s">
        <v>5</v>
      </c>
      <c r="B685" t="s">
        <v>145</v>
      </c>
      <c r="C685" s="8">
        <v>46085</v>
      </c>
      <c r="D685" s="9">
        <v>50913</v>
      </c>
      <c r="E685">
        <f>MONTH(C685)</f>
        <v>3</v>
      </c>
    </row>
    <row r="686" spans="1:5">
      <c r="A686" t="s">
        <v>5</v>
      </c>
      <c r="B686" t="s">
        <v>54</v>
      </c>
      <c r="C686" s="8">
        <v>46085</v>
      </c>
      <c r="D686" s="9">
        <v>49174</v>
      </c>
      <c r="E686">
        <f>MONTH(C686)</f>
        <v>3</v>
      </c>
    </row>
    <row r="687" spans="1:5">
      <c r="A687" t="s">
        <v>5</v>
      </c>
      <c r="B687" t="s">
        <v>212</v>
      </c>
      <c r="C687" s="8">
        <v>46085</v>
      </c>
      <c r="D687" s="9">
        <v>36582</v>
      </c>
      <c r="E687">
        <f>MONTH(C687)</f>
        <v>3</v>
      </c>
    </row>
    <row r="688" spans="1:5">
      <c r="A688" t="s">
        <v>25</v>
      </c>
      <c r="B688" t="s">
        <v>272</v>
      </c>
      <c r="C688" s="8">
        <v>46086</v>
      </c>
      <c r="D688" s="9">
        <v>13313</v>
      </c>
      <c r="E688">
        <f>MONTH(C688)</f>
        <v>3</v>
      </c>
    </row>
    <row r="689" spans="1:5">
      <c r="A689" t="s">
        <v>25</v>
      </c>
      <c r="B689" t="s">
        <v>200</v>
      </c>
      <c r="C689" s="8">
        <v>46086</v>
      </c>
      <c r="D689" s="9">
        <v>14375</v>
      </c>
      <c r="E689">
        <f>MONTH(C689)</f>
        <v>3</v>
      </c>
    </row>
    <row r="690" spans="1:5">
      <c r="A690" t="s">
        <v>8</v>
      </c>
      <c r="B690" t="s">
        <v>225</v>
      </c>
      <c r="C690" s="8">
        <v>46086</v>
      </c>
      <c r="D690" s="9">
        <v>9385</v>
      </c>
      <c r="E690">
        <f>MONTH(C690)</f>
        <v>3</v>
      </c>
    </row>
    <row r="691" spans="1:5">
      <c r="A691" t="s">
        <v>8</v>
      </c>
      <c r="B691" t="s">
        <v>237</v>
      </c>
      <c r="C691" s="8">
        <v>46086</v>
      </c>
      <c r="D691" s="9">
        <v>23429</v>
      </c>
      <c r="E691">
        <f>MONTH(C691)</f>
        <v>3</v>
      </c>
    </row>
    <row r="692" spans="1:5">
      <c r="A692" t="s">
        <v>6</v>
      </c>
      <c r="B692" t="s">
        <v>80</v>
      </c>
      <c r="C692" s="8">
        <v>46086</v>
      </c>
      <c r="D692" s="9">
        <v>14342</v>
      </c>
      <c r="E692">
        <f>MONTH(C692)</f>
        <v>3</v>
      </c>
    </row>
    <row r="693" spans="1:5">
      <c r="A693" t="s">
        <v>29</v>
      </c>
      <c r="B693" t="s">
        <v>121</v>
      </c>
      <c r="C693" s="8">
        <v>46086</v>
      </c>
      <c r="D693" s="9">
        <v>25506</v>
      </c>
      <c r="E693">
        <f>MONTH(C693)</f>
        <v>3</v>
      </c>
    </row>
    <row r="694" spans="1:5">
      <c r="A694" t="s">
        <v>5</v>
      </c>
      <c r="B694" t="s">
        <v>239</v>
      </c>
      <c r="C694" s="8">
        <v>46086</v>
      </c>
      <c r="D694" s="9">
        <v>25573</v>
      </c>
      <c r="E694">
        <f>MONTH(C694)</f>
        <v>3</v>
      </c>
    </row>
    <row r="695" spans="1:5">
      <c r="A695" t="s">
        <v>5</v>
      </c>
      <c r="B695" t="s">
        <v>97</v>
      </c>
      <c r="C695" s="8">
        <v>46086</v>
      </c>
      <c r="D695" s="9">
        <v>46634</v>
      </c>
      <c r="E695">
        <f>MONTH(C695)</f>
        <v>3</v>
      </c>
    </row>
    <row r="696" spans="1:5">
      <c r="A696" t="s">
        <v>25</v>
      </c>
      <c r="B696" t="s">
        <v>228</v>
      </c>
      <c r="C696" s="8">
        <v>46087</v>
      </c>
      <c r="D696" s="9">
        <v>12950</v>
      </c>
      <c r="E696">
        <f>MONTH(C696)</f>
        <v>3</v>
      </c>
    </row>
    <row r="697" spans="1:5">
      <c r="A697" t="s">
        <v>34</v>
      </c>
      <c r="B697" t="s">
        <v>265</v>
      </c>
      <c r="C697" s="8">
        <v>46087</v>
      </c>
      <c r="D697" s="9">
        <v>11796</v>
      </c>
      <c r="E697">
        <f>MONTH(C697)</f>
        <v>3</v>
      </c>
    </row>
    <row r="698" spans="1:5">
      <c r="A698" t="s">
        <v>6</v>
      </c>
      <c r="B698" t="s">
        <v>227</v>
      </c>
      <c r="C698" s="8">
        <v>46087</v>
      </c>
      <c r="D698" s="9">
        <v>14559</v>
      </c>
      <c r="E698">
        <f>MONTH(C698)</f>
        <v>3</v>
      </c>
    </row>
    <row r="699" spans="1:5">
      <c r="A699" t="s">
        <v>6</v>
      </c>
      <c r="B699" t="s">
        <v>120</v>
      </c>
      <c r="C699" s="8">
        <v>46087</v>
      </c>
      <c r="D699" s="9">
        <v>18671</v>
      </c>
      <c r="E699">
        <f>MONTH(C699)</f>
        <v>3</v>
      </c>
    </row>
    <row r="700" spans="1:5">
      <c r="A700" t="s">
        <v>6</v>
      </c>
      <c r="B700" t="s">
        <v>103</v>
      </c>
      <c r="C700" s="8">
        <v>46087</v>
      </c>
      <c r="D700" s="9">
        <v>29297</v>
      </c>
      <c r="E700">
        <f>MONTH(C700)</f>
        <v>3</v>
      </c>
    </row>
    <row r="701" spans="1:5">
      <c r="A701" t="s">
        <v>6</v>
      </c>
      <c r="B701" t="s">
        <v>263</v>
      </c>
      <c r="C701" s="8">
        <v>46087</v>
      </c>
      <c r="D701" s="9">
        <v>16718</v>
      </c>
      <c r="E701">
        <f>MONTH(C701)</f>
        <v>3</v>
      </c>
    </row>
    <row r="702" spans="1:5">
      <c r="A702" t="s">
        <v>7</v>
      </c>
      <c r="B702" t="s">
        <v>156</v>
      </c>
      <c r="C702" s="8">
        <v>46087</v>
      </c>
      <c r="D702" s="9">
        <v>14086</v>
      </c>
      <c r="E702">
        <f>MONTH(C702)</f>
        <v>3</v>
      </c>
    </row>
    <row r="703" spans="1:5">
      <c r="A703" t="s">
        <v>7</v>
      </c>
      <c r="B703" t="s">
        <v>226</v>
      </c>
      <c r="C703" s="8">
        <v>46087</v>
      </c>
      <c r="D703" s="9">
        <v>20510</v>
      </c>
      <c r="E703">
        <f>MONTH(C703)</f>
        <v>3</v>
      </c>
    </row>
    <row r="704" spans="1:5">
      <c r="A704" t="s">
        <v>37</v>
      </c>
      <c r="B704" t="s">
        <v>81</v>
      </c>
      <c r="C704" s="8">
        <v>46087</v>
      </c>
      <c r="D704" s="9">
        <v>16001</v>
      </c>
      <c r="E704">
        <f>MONTH(C704)</f>
        <v>3</v>
      </c>
    </row>
    <row r="705" spans="1:5">
      <c r="A705" t="s">
        <v>9</v>
      </c>
      <c r="B705" t="s">
        <v>178</v>
      </c>
      <c r="C705" s="8">
        <v>46087</v>
      </c>
      <c r="D705" s="9">
        <v>56994</v>
      </c>
      <c r="E705">
        <f>MONTH(C705)</f>
        <v>3</v>
      </c>
    </row>
    <row r="706" spans="1:5">
      <c r="A706" t="s">
        <v>9</v>
      </c>
      <c r="B706" t="s">
        <v>158</v>
      </c>
      <c r="C706" s="8">
        <v>46087</v>
      </c>
      <c r="D706" s="9">
        <v>48933</v>
      </c>
      <c r="E706">
        <f>MONTH(C706)</f>
        <v>3</v>
      </c>
    </row>
    <row r="707" spans="1:5">
      <c r="A707" t="s">
        <v>5</v>
      </c>
      <c r="B707" t="s">
        <v>188</v>
      </c>
      <c r="C707" s="8">
        <v>46087</v>
      </c>
      <c r="D707" s="9">
        <v>35822</v>
      </c>
      <c r="E707">
        <f>MONTH(C707)</f>
        <v>3</v>
      </c>
    </row>
    <row r="708" spans="1:5">
      <c r="A708" t="s">
        <v>5</v>
      </c>
      <c r="B708" t="s">
        <v>98</v>
      </c>
      <c r="C708" s="8">
        <v>46087</v>
      </c>
      <c r="D708" s="9">
        <v>42456</v>
      </c>
      <c r="E708">
        <f>MONTH(C708)</f>
        <v>3</v>
      </c>
    </row>
    <row r="709" spans="1:5">
      <c r="A709" t="s">
        <v>5</v>
      </c>
      <c r="B709" t="s">
        <v>183</v>
      </c>
      <c r="C709" s="8">
        <v>46087</v>
      </c>
      <c r="D709" s="9">
        <v>40410</v>
      </c>
      <c r="E709">
        <f>MONTH(C709)</f>
        <v>3</v>
      </c>
    </row>
    <row r="710" spans="1:5">
      <c r="A710" t="s">
        <v>27</v>
      </c>
      <c r="B710" t="s">
        <v>213</v>
      </c>
      <c r="C710" s="8">
        <v>46088</v>
      </c>
      <c r="D710" s="9">
        <v>13160</v>
      </c>
      <c r="E710">
        <f>MONTH(C710)</f>
        <v>3</v>
      </c>
    </row>
    <row r="711" spans="1:5">
      <c r="A711" t="s">
        <v>31</v>
      </c>
      <c r="B711" t="s">
        <v>77</v>
      </c>
      <c r="C711" s="8">
        <v>46088</v>
      </c>
      <c r="D711" s="9">
        <v>26683</v>
      </c>
      <c r="E711">
        <f>MONTH(C711)</f>
        <v>3</v>
      </c>
    </row>
    <row r="712" spans="1:5">
      <c r="A712" t="s">
        <v>8</v>
      </c>
      <c r="B712" t="s">
        <v>129</v>
      </c>
      <c r="C712" s="8">
        <v>46088</v>
      </c>
      <c r="D712" s="9">
        <v>18321</v>
      </c>
      <c r="E712">
        <f>MONTH(C712)</f>
        <v>3</v>
      </c>
    </row>
    <row r="713" spans="1:5">
      <c r="A713" t="s">
        <v>7</v>
      </c>
      <c r="B713" t="s">
        <v>90</v>
      </c>
      <c r="C713" s="8">
        <v>46088</v>
      </c>
      <c r="D713" s="9">
        <v>28867</v>
      </c>
      <c r="E713">
        <f>MONTH(C713)</f>
        <v>3</v>
      </c>
    </row>
    <row r="714" spans="1:5">
      <c r="A714" t="s">
        <v>5</v>
      </c>
      <c r="B714" t="s">
        <v>49</v>
      </c>
      <c r="C714" s="8">
        <v>46088</v>
      </c>
      <c r="D714" s="9">
        <v>42166</v>
      </c>
      <c r="E714">
        <f>MONTH(C714)</f>
        <v>3</v>
      </c>
    </row>
    <row r="715" spans="1:5">
      <c r="A715" t="s">
        <v>4</v>
      </c>
      <c r="B715" t="s">
        <v>180</v>
      </c>
      <c r="C715" s="8">
        <v>46089</v>
      </c>
      <c r="D715" s="9">
        <v>31793</v>
      </c>
      <c r="E715">
        <f>MONTH(C715)</f>
        <v>3</v>
      </c>
    </row>
    <row r="716" spans="1:5">
      <c r="A716" t="s">
        <v>25</v>
      </c>
      <c r="B716" t="s">
        <v>128</v>
      </c>
      <c r="C716" s="8">
        <v>46089</v>
      </c>
      <c r="D716" s="9">
        <v>11582</v>
      </c>
      <c r="E716">
        <f>MONTH(C716)</f>
        <v>3</v>
      </c>
    </row>
    <row r="717" spans="1:5">
      <c r="A717" t="s">
        <v>34</v>
      </c>
      <c r="B717" t="s">
        <v>169</v>
      </c>
      <c r="C717" s="8">
        <v>46089</v>
      </c>
      <c r="D717" s="9">
        <v>10519</v>
      </c>
      <c r="E717">
        <f>MONTH(C717)</f>
        <v>3</v>
      </c>
    </row>
    <row r="718" spans="1:5">
      <c r="A718" t="s">
        <v>7</v>
      </c>
      <c r="B718" t="s">
        <v>132</v>
      </c>
      <c r="C718" s="8">
        <v>46089</v>
      </c>
      <c r="D718" s="9">
        <v>45077</v>
      </c>
      <c r="E718">
        <f>MONTH(C718)</f>
        <v>3</v>
      </c>
    </row>
    <row r="719" spans="1:5">
      <c r="A719" t="s">
        <v>5</v>
      </c>
      <c r="B719" t="s">
        <v>97</v>
      </c>
      <c r="C719" s="8">
        <v>46089</v>
      </c>
      <c r="D719" s="9">
        <v>57210</v>
      </c>
      <c r="E719">
        <f>MONTH(C719)</f>
        <v>3</v>
      </c>
    </row>
    <row r="720" spans="1:5">
      <c r="A720" t="s">
        <v>5</v>
      </c>
      <c r="B720" t="s">
        <v>123</v>
      </c>
      <c r="C720" s="8">
        <v>46089</v>
      </c>
      <c r="D720" s="9">
        <v>44936</v>
      </c>
      <c r="E720">
        <f>MONTH(C720)</f>
        <v>3</v>
      </c>
    </row>
    <row r="721" spans="1:5">
      <c r="A721" t="s">
        <v>5</v>
      </c>
      <c r="B721" t="s">
        <v>99</v>
      </c>
      <c r="C721" s="8">
        <v>46089</v>
      </c>
      <c r="D721" s="9">
        <v>29031</v>
      </c>
      <c r="E721">
        <f>MONTH(C721)</f>
        <v>3</v>
      </c>
    </row>
    <row r="722" spans="1:5">
      <c r="A722" t="s">
        <v>5</v>
      </c>
      <c r="B722" t="s">
        <v>54</v>
      </c>
      <c r="C722" s="8">
        <v>46089</v>
      </c>
      <c r="D722" s="9">
        <v>51678</v>
      </c>
      <c r="E722">
        <f>MONTH(C722)</f>
        <v>3</v>
      </c>
    </row>
    <row r="723" spans="1:5">
      <c r="A723" t="s">
        <v>5</v>
      </c>
      <c r="B723" t="s">
        <v>134</v>
      </c>
      <c r="C723" s="8">
        <v>46089</v>
      </c>
      <c r="D723" s="9">
        <v>27357</v>
      </c>
      <c r="E723">
        <f>MONTH(C723)</f>
        <v>3</v>
      </c>
    </row>
    <row r="724" spans="1:5">
      <c r="A724" t="s">
        <v>4</v>
      </c>
      <c r="B724" t="s">
        <v>76</v>
      </c>
      <c r="C724" s="8">
        <v>46090</v>
      </c>
      <c r="D724" s="9">
        <v>21814</v>
      </c>
      <c r="E724">
        <f>MONTH(C724)</f>
        <v>3</v>
      </c>
    </row>
    <row r="725" spans="1:5">
      <c r="A725" t="s">
        <v>28</v>
      </c>
      <c r="B725" t="s">
        <v>242</v>
      </c>
      <c r="C725" s="8">
        <v>46090</v>
      </c>
      <c r="D725" s="9">
        <v>15729</v>
      </c>
      <c r="E725">
        <f>MONTH(C725)</f>
        <v>3</v>
      </c>
    </row>
    <row r="726" spans="1:5">
      <c r="A726" t="s">
        <v>36</v>
      </c>
      <c r="B726" t="s">
        <v>229</v>
      </c>
      <c r="C726" s="8">
        <v>46090</v>
      </c>
      <c r="D726" s="9">
        <v>11414</v>
      </c>
      <c r="E726">
        <f>MONTH(C726)</f>
        <v>3</v>
      </c>
    </row>
    <row r="727" spans="1:5">
      <c r="A727" t="s">
        <v>8</v>
      </c>
      <c r="B727" t="s">
        <v>246</v>
      </c>
      <c r="C727" s="8">
        <v>46090</v>
      </c>
      <c r="D727" s="9">
        <v>15926</v>
      </c>
      <c r="E727">
        <f>MONTH(C727)</f>
        <v>3</v>
      </c>
    </row>
    <row r="728" spans="1:5">
      <c r="A728" t="s">
        <v>8</v>
      </c>
      <c r="B728" t="s">
        <v>56</v>
      </c>
      <c r="C728" s="8">
        <v>46090</v>
      </c>
      <c r="D728" s="9">
        <v>13193</v>
      </c>
      <c r="E728">
        <f>MONTH(C728)</f>
        <v>3</v>
      </c>
    </row>
    <row r="729" spans="1:5">
      <c r="A729" t="s">
        <v>32</v>
      </c>
      <c r="B729" t="s">
        <v>282</v>
      </c>
      <c r="C729" s="8">
        <v>46090</v>
      </c>
      <c r="D729" s="9">
        <v>12808</v>
      </c>
      <c r="E729">
        <f>MONTH(C729)</f>
        <v>3</v>
      </c>
    </row>
    <row r="730" spans="1:5">
      <c r="A730" t="s">
        <v>29</v>
      </c>
      <c r="B730" t="s">
        <v>155</v>
      </c>
      <c r="C730" s="8">
        <v>46090</v>
      </c>
      <c r="D730" s="9">
        <v>13220</v>
      </c>
      <c r="E730">
        <f>MONTH(C730)</f>
        <v>3</v>
      </c>
    </row>
    <row r="731" spans="1:5">
      <c r="A731" t="s">
        <v>7</v>
      </c>
      <c r="B731" t="s">
        <v>201</v>
      </c>
      <c r="C731" s="8">
        <v>46090</v>
      </c>
      <c r="D731" s="9">
        <v>19244</v>
      </c>
      <c r="E731">
        <f>MONTH(C731)</f>
        <v>3</v>
      </c>
    </row>
    <row r="732" spans="1:5">
      <c r="A732" t="s">
        <v>9</v>
      </c>
      <c r="B732" t="s">
        <v>183</v>
      </c>
      <c r="C732" s="8">
        <v>46090</v>
      </c>
      <c r="D732" s="9">
        <v>33604</v>
      </c>
      <c r="E732">
        <f>MONTH(C732)</f>
        <v>3</v>
      </c>
    </row>
    <row r="733" spans="1:5">
      <c r="A733" t="s">
        <v>5</v>
      </c>
      <c r="B733" t="s">
        <v>182</v>
      </c>
      <c r="C733" s="8">
        <v>46090</v>
      </c>
      <c r="D733" s="9">
        <v>47084</v>
      </c>
      <c r="E733">
        <f>MONTH(C733)</f>
        <v>3</v>
      </c>
    </row>
    <row r="734" spans="1:5">
      <c r="A734" t="s">
        <v>5</v>
      </c>
      <c r="B734" t="s">
        <v>235</v>
      </c>
      <c r="C734" s="8">
        <v>46090</v>
      </c>
      <c r="D734" s="9">
        <v>28436</v>
      </c>
      <c r="E734">
        <f>MONTH(C734)</f>
        <v>3</v>
      </c>
    </row>
    <row r="735" spans="1:5">
      <c r="A735" t="s">
        <v>5</v>
      </c>
      <c r="B735" t="s">
        <v>145</v>
      </c>
      <c r="C735" s="8">
        <v>46090</v>
      </c>
      <c r="D735" s="9">
        <v>51322</v>
      </c>
      <c r="E735">
        <f>MONTH(C735)</f>
        <v>3</v>
      </c>
    </row>
    <row r="736" spans="1:5">
      <c r="A736" t="s">
        <v>27</v>
      </c>
      <c r="B736" t="s">
        <v>149</v>
      </c>
      <c r="C736" s="8">
        <v>46091</v>
      </c>
      <c r="D736" s="9">
        <v>13197</v>
      </c>
      <c r="E736">
        <f>MONTH(C736)</f>
        <v>3</v>
      </c>
    </row>
    <row r="737" spans="1:5">
      <c r="A737" t="s">
        <v>4</v>
      </c>
      <c r="B737" t="s">
        <v>185</v>
      </c>
      <c r="C737" s="8">
        <v>46091</v>
      </c>
      <c r="D737" s="9">
        <v>31402</v>
      </c>
      <c r="E737">
        <f>MONTH(C737)</f>
        <v>3</v>
      </c>
    </row>
    <row r="738" spans="1:5">
      <c r="A738" t="s">
        <v>4</v>
      </c>
      <c r="B738" t="s">
        <v>223</v>
      </c>
      <c r="C738" s="8">
        <v>46091</v>
      </c>
      <c r="D738" s="9">
        <v>22767</v>
      </c>
      <c r="E738">
        <f>MONTH(C738)</f>
        <v>3</v>
      </c>
    </row>
    <row r="739" spans="1:5">
      <c r="A739" t="s">
        <v>28</v>
      </c>
      <c r="B739" t="s">
        <v>255</v>
      </c>
      <c r="C739" s="8">
        <v>46091</v>
      </c>
      <c r="D739" s="9">
        <v>17639</v>
      </c>
      <c r="E739">
        <f>MONTH(C739)</f>
        <v>3</v>
      </c>
    </row>
    <row r="740" spans="1:5">
      <c r="A740" t="s">
        <v>30</v>
      </c>
      <c r="B740" t="s">
        <v>206</v>
      </c>
      <c r="C740" s="8">
        <v>46091</v>
      </c>
      <c r="D740" s="9">
        <v>13333</v>
      </c>
      <c r="E740">
        <f>MONTH(C740)</f>
        <v>3</v>
      </c>
    </row>
    <row r="741" spans="1:5">
      <c r="A741" t="s">
        <v>8</v>
      </c>
      <c r="B741" t="s">
        <v>258</v>
      </c>
      <c r="C741" s="8">
        <v>46091</v>
      </c>
      <c r="D741" s="9">
        <v>5200</v>
      </c>
      <c r="E741">
        <f>MONTH(C741)</f>
        <v>3</v>
      </c>
    </row>
    <row r="742" spans="1:5">
      <c r="A742" t="s">
        <v>32</v>
      </c>
      <c r="B742" t="s">
        <v>87</v>
      </c>
      <c r="C742" s="8">
        <v>46091</v>
      </c>
      <c r="D742" s="9">
        <v>10163</v>
      </c>
      <c r="E742">
        <f>MONTH(C742)</f>
        <v>3</v>
      </c>
    </row>
    <row r="743" spans="1:5">
      <c r="A743" t="s">
        <v>32</v>
      </c>
      <c r="B743" t="s">
        <v>247</v>
      </c>
      <c r="C743" s="8">
        <v>46091</v>
      </c>
      <c r="D743" s="9">
        <v>11858</v>
      </c>
      <c r="E743">
        <f>MONTH(C743)</f>
        <v>3</v>
      </c>
    </row>
    <row r="744" spans="1:5">
      <c r="A744" t="s">
        <v>5</v>
      </c>
      <c r="B744" t="s">
        <v>239</v>
      </c>
      <c r="C744" s="8">
        <v>46091</v>
      </c>
      <c r="D744" s="9">
        <v>29092</v>
      </c>
      <c r="E744">
        <f>MONTH(C744)</f>
        <v>3</v>
      </c>
    </row>
    <row r="745" spans="1:5">
      <c r="A745" t="s">
        <v>5</v>
      </c>
      <c r="B745" t="s">
        <v>159</v>
      </c>
      <c r="C745" s="8">
        <v>46091</v>
      </c>
      <c r="D745" s="9">
        <v>50942</v>
      </c>
      <c r="E745">
        <f>MONTH(C745)</f>
        <v>3</v>
      </c>
    </row>
    <row r="746" spans="1:5">
      <c r="A746" t="s">
        <v>5</v>
      </c>
      <c r="B746" t="s">
        <v>172</v>
      </c>
      <c r="C746" s="8">
        <v>46091</v>
      </c>
      <c r="D746" s="9">
        <v>38157</v>
      </c>
      <c r="E746">
        <f>MONTH(C746)</f>
        <v>3</v>
      </c>
    </row>
    <row r="747" spans="1:5">
      <c r="A747" t="s">
        <v>5</v>
      </c>
      <c r="B747" t="s">
        <v>100</v>
      </c>
      <c r="C747" s="8">
        <v>46091</v>
      </c>
      <c r="D747" s="9">
        <v>42675</v>
      </c>
      <c r="E747">
        <f>MONTH(C747)</f>
        <v>3</v>
      </c>
    </row>
    <row r="748" spans="1:5">
      <c r="A748" t="s">
        <v>4</v>
      </c>
      <c r="B748" t="s">
        <v>197</v>
      </c>
      <c r="C748" s="8">
        <v>46092</v>
      </c>
      <c r="D748" s="9">
        <v>26575</v>
      </c>
      <c r="E748">
        <f>MONTH(C748)</f>
        <v>3</v>
      </c>
    </row>
    <row r="749" spans="1:5">
      <c r="A749" t="s">
        <v>4</v>
      </c>
      <c r="B749" t="s">
        <v>241</v>
      </c>
      <c r="C749" s="8">
        <v>46092</v>
      </c>
      <c r="D749" s="9">
        <v>17476</v>
      </c>
      <c r="E749">
        <f>MONTH(C749)</f>
        <v>3</v>
      </c>
    </row>
    <row r="750" spans="1:5">
      <c r="A750" t="s">
        <v>28</v>
      </c>
      <c r="B750" t="s">
        <v>118</v>
      </c>
      <c r="C750" s="8">
        <v>46092</v>
      </c>
      <c r="D750" s="9">
        <v>12194</v>
      </c>
      <c r="E750">
        <f>MONTH(C750)</f>
        <v>3</v>
      </c>
    </row>
    <row r="751" spans="1:5">
      <c r="A751" t="s">
        <v>9</v>
      </c>
      <c r="B751" t="s">
        <v>245</v>
      </c>
      <c r="C751" s="8">
        <v>46092</v>
      </c>
      <c r="D751" s="9">
        <v>34251</v>
      </c>
      <c r="E751">
        <f>MONTH(C751)</f>
        <v>3</v>
      </c>
    </row>
    <row r="752" spans="1:5">
      <c r="A752" t="s">
        <v>5</v>
      </c>
      <c r="B752" t="s">
        <v>106</v>
      </c>
      <c r="C752" s="8">
        <v>46092</v>
      </c>
      <c r="D752" s="9">
        <v>49683</v>
      </c>
      <c r="E752">
        <f>MONTH(C752)</f>
        <v>3</v>
      </c>
    </row>
    <row r="753" spans="1:5">
      <c r="A753" t="s">
        <v>5</v>
      </c>
      <c r="B753" t="s">
        <v>251</v>
      </c>
      <c r="C753" s="8">
        <v>46092</v>
      </c>
      <c r="D753" s="9">
        <v>51969</v>
      </c>
      <c r="E753">
        <f>MONTH(C753)</f>
        <v>3</v>
      </c>
    </row>
    <row r="754" spans="1:5">
      <c r="A754" t="s">
        <v>4</v>
      </c>
      <c r="B754" t="s">
        <v>240</v>
      </c>
      <c r="C754" s="8">
        <v>46093</v>
      </c>
      <c r="D754" s="9">
        <v>27320</v>
      </c>
      <c r="E754">
        <f>MONTH(C754)</f>
        <v>3</v>
      </c>
    </row>
    <row r="755" spans="1:5">
      <c r="A755" t="s">
        <v>4</v>
      </c>
      <c r="B755" t="s">
        <v>190</v>
      </c>
      <c r="C755" s="8">
        <v>46093</v>
      </c>
      <c r="D755" s="9">
        <v>27508</v>
      </c>
      <c r="E755">
        <f>MONTH(C755)</f>
        <v>3</v>
      </c>
    </row>
    <row r="756" spans="1:5">
      <c r="A756" t="s">
        <v>4</v>
      </c>
      <c r="B756" t="s">
        <v>254</v>
      </c>
      <c r="C756" s="8">
        <v>46093</v>
      </c>
      <c r="D756" s="9">
        <v>28964</v>
      </c>
      <c r="E756">
        <f>MONTH(C756)</f>
        <v>3</v>
      </c>
    </row>
    <row r="757" spans="1:5">
      <c r="A757" t="s">
        <v>28</v>
      </c>
      <c r="B757" t="s">
        <v>279</v>
      </c>
      <c r="C757" s="8">
        <v>46093</v>
      </c>
      <c r="D757" s="9">
        <v>13835</v>
      </c>
      <c r="E757">
        <f>MONTH(C757)</f>
        <v>3</v>
      </c>
    </row>
    <row r="758" spans="1:5">
      <c r="A758" t="s">
        <v>5</v>
      </c>
      <c r="B758" t="s">
        <v>74</v>
      </c>
      <c r="C758" s="8">
        <v>46093</v>
      </c>
      <c r="D758" s="9">
        <v>39440</v>
      </c>
      <c r="E758">
        <f>MONTH(C758)</f>
        <v>3</v>
      </c>
    </row>
    <row r="759" spans="1:5">
      <c r="A759" t="s">
        <v>5</v>
      </c>
      <c r="B759" t="s">
        <v>270</v>
      </c>
      <c r="C759" s="8">
        <v>46093</v>
      </c>
      <c r="D759" s="9">
        <v>46145</v>
      </c>
      <c r="E759">
        <f>MONTH(C759)</f>
        <v>3</v>
      </c>
    </row>
    <row r="760" spans="1:5">
      <c r="A760" t="s">
        <v>5</v>
      </c>
      <c r="B760" t="s">
        <v>124</v>
      </c>
      <c r="C760" s="8">
        <v>46093</v>
      </c>
      <c r="D760" s="9">
        <v>37562</v>
      </c>
      <c r="E760">
        <f>MONTH(C760)</f>
        <v>3</v>
      </c>
    </row>
    <row r="761" spans="1:5">
      <c r="A761" t="s">
        <v>5</v>
      </c>
      <c r="B761" t="s">
        <v>108</v>
      </c>
      <c r="C761" s="8">
        <v>46093</v>
      </c>
      <c r="D761" s="9">
        <v>39492</v>
      </c>
      <c r="E761">
        <f>MONTH(C761)</f>
        <v>3</v>
      </c>
    </row>
    <row r="762" spans="1:5">
      <c r="A762" t="s">
        <v>5</v>
      </c>
      <c r="B762" t="s">
        <v>109</v>
      </c>
      <c r="C762" s="8">
        <v>46093</v>
      </c>
      <c r="D762" s="9">
        <v>43382</v>
      </c>
      <c r="E762">
        <f>MONTH(C762)</f>
        <v>3</v>
      </c>
    </row>
    <row r="763" spans="1:5">
      <c r="A763" t="s">
        <v>25</v>
      </c>
      <c r="B763" t="s">
        <v>86</v>
      </c>
      <c r="C763" s="8">
        <v>46094</v>
      </c>
      <c r="D763" s="9">
        <v>15287</v>
      </c>
      <c r="E763">
        <f>MONTH(C763)</f>
        <v>3</v>
      </c>
    </row>
    <row r="764" spans="1:5">
      <c r="A764" t="s">
        <v>9</v>
      </c>
      <c r="B764" t="s">
        <v>164</v>
      </c>
      <c r="C764" s="8">
        <v>46094</v>
      </c>
      <c r="D764" s="9">
        <v>29182</v>
      </c>
      <c r="E764">
        <f>MONTH(C764)</f>
        <v>3</v>
      </c>
    </row>
    <row r="765" spans="1:5">
      <c r="A765" t="s">
        <v>5</v>
      </c>
      <c r="B765" t="s">
        <v>49</v>
      </c>
      <c r="C765" s="8">
        <v>46094</v>
      </c>
      <c r="D765" s="9">
        <v>31268</v>
      </c>
      <c r="E765">
        <f>MONTH(C765)</f>
        <v>3</v>
      </c>
    </row>
    <row r="766" spans="1:5">
      <c r="A766" t="s">
        <v>5</v>
      </c>
      <c r="B766" t="s">
        <v>182</v>
      </c>
      <c r="C766" s="8">
        <v>46094</v>
      </c>
      <c r="D766" s="9">
        <v>35369</v>
      </c>
      <c r="E766">
        <f>MONTH(C766)</f>
        <v>3</v>
      </c>
    </row>
    <row r="767" spans="1:5">
      <c r="A767" t="s">
        <v>5</v>
      </c>
      <c r="B767" t="s">
        <v>209</v>
      </c>
      <c r="C767" s="8">
        <v>46094</v>
      </c>
      <c r="D767" s="9">
        <v>44247</v>
      </c>
      <c r="E767">
        <f>MONTH(C767)</f>
        <v>3</v>
      </c>
    </row>
    <row r="768" spans="1:5">
      <c r="A768" t="s">
        <v>5</v>
      </c>
      <c r="B768" t="s">
        <v>74</v>
      </c>
      <c r="C768" s="8">
        <v>46094</v>
      </c>
      <c r="D768" s="9">
        <v>49716</v>
      </c>
      <c r="E768">
        <f>MONTH(C768)</f>
        <v>3</v>
      </c>
    </row>
    <row r="769" spans="1:5">
      <c r="A769" t="s">
        <v>5</v>
      </c>
      <c r="B769" t="s">
        <v>159</v>
      </c>
      <c r="C769" s="8">
        <v>46094</v>
      </c>
      <c r="D769" s="9">
        <v>59639</v>
      </c>
      <c r="E769">
        <f>MONTH(C769)</f>
        <v>3</v>
      </c>
    </row>
    <row r="770" spans="1:5">
      <c r="A770" t="s">
        <v>5</v>
      </c>
      <c r="B770" t="s">
        <v>252</v>
      </c>
      <c r="C770" s="8">
        <v>46094</v>
      </c>
      <c r="D770" s="9">
        <v>46539</v>
      </c>
      <c r="E770">
        <f>MONTH(C770)</f>
        <v>3</v>
      </c>
    </row>
    <row r="771" spans="1:5">
      <c r="A771" t="s">
        <v>5</v>
      </c>
      <c r="B771" t="s">
        <v>107</v>
      </c>
      <c r="C771" s="8">
        <v>46094</v>
      </c>
      <c r="D771" s="9">
        <v>25666</v>
      </c>
      <c r="E771">
        <f>MONTH(C771)</f>
        <v>3</v>
      </c>
    </row>
    <row r="772" spans="1:5">
      <c r="A772" t="s">
        <v>5</v>
      </c>
      <c r="B772" t="s">
        <v>270</v>
      </c>
      <c r="C772" s="8">
        <v>46094</v>
      </c>
      <c r="D772" s="9">
        <v>38085</v>
      </c>
      <c r="E772">
        <f>MONTH(C772)</f>
        <v>3</v>
      </c>
    </row>
    <row r="773" spans="1:5">
      <c r="A773" t="s">
        <v>5</v>
      </c>
      <c r="B773" t="s">
        <v>172</v>
      </c>
      <c r="C773" s="8">
        <v>46094</v>
      </c>
      <c r="D773" s="9">
        <v>35693</v>
      </c>
      <c r="E773">
        <f>MONTH(C773)</f>
        <v>3</v>
      </c>
    </row>
    <row r="774" spans="1:5">
      <c r="A774" t="s">
        <v>5</v>
      </c>
      <c r="B774" t="s">
        <v>100</v>
      </c>
      <c r="C774" s="8">
        <v>46094</v>
      </c>
      <c r="D774" s="9">
        <v>43517</v>
      </c>
      <c r="E774">
        <f>MONTH(C774)</f>
        <v>3</v>
      </c>
    </row>
    <row r="775" spans="1:5">
      <c r="A775" t="s">
        <v>27</v>
      </c>
      <c r="B775" t="s">
        <v>168</v>
      </c>
      <c r="C775" s="8">
        <v>46095</v>
      </c>
      <c r="D775" s="9">
        <v>12006</v>
      </c>
      <c r="E775">
        <f>MONTH(C775)</f>
        <v>3</v>
      </c>
    </row>
    <row r="776" spans="1:5">
      <c r="A776" t="s">
        <v>8</v>
      </c>
      <c r="B776" t="s">
        <v>147</v>
      </c>
      <c r="C776" s="8">
        <v>46095</v>
      </c>
      <c r="D776" s="9">
        <v>15252</v>
      </c>
      <c r="E776">
        <f>MONTH(C776)</f>
        <v>3</v>
      </c>
    </row>
    <row r="777" spans="1:5">
      <c r="A777" t="s">
        <v>6</v>
      </c>
      <c r="B777" t="s">
        <v>130</v>
      </c>
      <c r="C777" s="8">
        <v>46095</v>
      </c>
      <c r="D777" s="9">
        <v>19618</v>
      </c>
      <c r="E777">
        <f>MONTH(C777)</f>
        <v>3</v>
      </c>
    </row>
    <row r="778" spans="1:5">
      <c r="A778" t="s">
        <v>6</v>
      </c>
      <c r="B778" t="s">
        <v>262</v>
      </c>
      <c r="C778" s="8">
        <v>46095</v>
      </c>
      <c r="D778" s="9">
        <v>16635</v>
      </c>
      <c r="E778">
        <f>MONTH(C778)</f>
        <v>3</v>
      </c>
    </row>
    <row r="779" spans="1:5">
      <c r="A779" t="s">
        <v>7</v>
      </c>
      <c r="B779" t="s">
        <v>157</v>
      </c>
      <c r="C779" s="8">
        <v>46095</v>
      </c>
      <c r="D779" s="9">
        <v>12547</v>
      </c>
      <c r="E779">
        <f>MONTH(C779)</f>
        <v>3</v>
      </c>
    </row>
    <row r="780" spans="1:5">
      <c r="A780" t="s">
        <v>9</v>
      </c>
      <c r="B780" t="s">
        <v>283</v>
      </c>
      <c r="C780" s="8">
        <v>46095</v>
      </c>
      <c r="D780" s="9">
        <v>51139</v>
      </c>
      <c r="E780">
        <f>MONTH(C780)</f>
        <v>3</v>
      </c>
    </row>
    <row r="781" spans="1:5">
      <c r="A781" t="s">
        <v>9</v>
      </c>
      <c r="B781" t="s">
        <v>179</v>
      </c>
      <c r="C781" s="8">
        <v>46095</v>
      </c>
      <c r="D781" s="9">
        <v>43258</v>
      </c>
      <c r="E781">
        <f>MONTH(C781)</f>
        <v>3</v>
      </c>
    </row>
    <row r="782" spans="1:5">
      <c r="A782" t="s">
        <v>5</v>
      </c>
      <c r="B782" t="s">
        <v>74</v>
      </c>
      <c r="C782" s="8">
        <v>46095</v>
      </c>
      <c r="D782" s="9">
        <v>44585</v>
      </c>
      <c r="E782">
        <f>MONTH(C782)</f>
        <v>3</v>
      </c>
    </row>
    <row r="783" spans="1:5">
      <c r="A783" t="s">
        <v>5</v>
      </c>
      <c r="B783" t="s">
        <v>93</v>
      </c>
      <c r="C783" s="8">
        <v>46095</v>
      </c>
      <c r="D783" s="9">
        <v>40254</v>
      </c>
      <c r="E783">
        <f>MONTH(C783)</f>
        <v>3</v>
      </c>
    </row>
    <row r="784" spans="1:5">
      <c r="A784" t="s">
        <v>5</v>
      </c>
      <c r="B784" t="s">
        <v>108</v>
      </c>
      <c r="C784" s="8">
        <v>46095</v>
      </c>
      <c r="D784" s="9">
        <v>29179</v>
      </c>
      <c r="E784">
        <f>MONTH(C784)</f>
        <v>3</v>
      </c>
    </row>
    <row r="785" spans="1:5">
      <c r="A785" t="s">
        <v>5</v>
      </c>
      <c r="B785" t="s">
        <v>108</v>
      </c>
      <c r="C785" s="8">
        <v>46095</v>
      </c>
      <c r="D785" s="9">
        <v>38552</v>
      </c>
      <c r="E785">
        <f>MONTH(C785)</f>
        <v>3</v>
      </c>
    </row>
    <row r="786" spans="1:5">
      <c r="A786" t="s">
        <v>4</v>
      </c>
      <c r="B786" t="s">
        <v>165</v>
      </c>
      <c r="C786" s="8">
        <v>46096</v>
      </c>
      <c r="D786" s="9">
        <v>37715</v>
      </c>
      <c r="E786">
        <f>MONTH(C786)</f>
        <v>3</v>
      </c>
    </row>
    <row r="787" spans="1:5">
      <c r="A787" t="s">
        <v>28</v>
      </c>
      <c r="B787" t="s">
        <v>161</v>
      </c>
      <c r="C787" s="8">
        <v>46096</v>
      </c>
      <c r="D787" s="9">
        <v>15912</v>
      </c>
      <c r="E787">
        <f>MONTH(C787)</f>
        <v>3</v>
      </c>
    </row>
    <row r="788" spans="1:5">
      <c r="A788" t="s">
        <v>8</v>
      </c>
      <c r="B788" t="s">
        <v>207</v>
      </c>
      <c r="C788" s="8">
        <v>46096</v>
      </c>
      <c r="D788" s="9">
        <v>13124</v>
      </c>
      <c r="E788">
        <f>MONTH(C788)</f>
        <v>3</v>
      </c>
    </row>
    <row r="789" spans="1:5">
      <c r="A789" t="s">
        <v>5</v>
      </c>
      <c r="B789" t="s">
        <v>188</v>
      </c>
      <c r="C789" s="8">
        <v>46096</v>
      </c>
      <c r="D789" s="9">
        <v>38137</v>
      </c>
      <c r="E789">
        <f>MONTH(C789)</f>
        <v>3</v>
      </c>
    </row>
    <row r="790" spans="1:5">
      <c r="A790" t="s">
        <v>5</v>
      </c>
      <c r="B790" t="s">
        <v>114</v>
      </c>
      <c r="C790" s="8">
        <v>46096</v>
      </c>
      <c r="D790" s="9">
        <v>28271</v>
      </c>
      <c r="E790">
        <f>MONTH(C790)</f>
        <v>3</v>
      </c>
    </row>
    <row r="791" spans="1:5">
      <c r="A791" t="s">
        <v>5</v>
      </c>
      <c r="B791" t="s">
        <v>74</v>
      </c>
      <c r="C791" s="8">
        <v>46096</v>
      </c>
      <c r="D791" s="9">
        <v>35441</v>
      </c>
      <c r="E791">
        <f>MONTH(C791)</f>
        <v>3</v>
      </c>
    </row>
    <row r="792" spans="1:5">
      <c r="A792" t="s">
        <v>5</v>
      </c>
      <c r="B792" t="s">
        <v>109</v>
      </c>
      <c r="C792" s="8">
        <v>46096</v>
      </c>
      <c r="D792" s="9">
        <v>52739</v>
      </c>
      <c r="E792">
        <f>MONTH(C792)</f>
        <v>3</v>
      </c>
    </row>
    <row r="793" spans="1:5">
      <c r="A793" t="s">
        <v>27</v>
      </c>
      <c r="B793" t="s">
        <v>184</v>
      </c>
      <c r="C793" s="8">
        <v>46097</v>
      </c>
      <c r="D793" s="9">
        <v>25132</v>
      </c>
      <c r="E793">
        <f>MONTH(C793)</f>
        <v>3</v>
      </c>
    </row>
    <row r="794" spans="1:5">
      <c r="A794" t="s">
        <v>4</v>
      </c>
      <c r="B794" t="s">
        <v>126</v>
      </c>
      <c r="C794" s="8">
        <v>46097</v>
      </c>
      <c r="D794" s="9">
        <v>27217</v>
      </c>
      <c r="E794">
        <f>MONTH(C794)</f>
        <v>3</v>
      </c>
    </row>
    <row r="795" spans="1:5">
      <c r="A795" t="s">
        <v>4</v>
      </c>
      <c r="B795" t="s">
        <v>159</v>
      </c>
      <c r="C795" s="8">
        <v>46097</v>
      </c>
      <c r="D795" s="9">
        <v>47898</v>
      </c>
      <c r="E795">
        <f>MONTH(C795)</f>
        <v>3</v>
      </c>
    </row>
    <row r="796" spans="1:5">
      <c r="A796" t="s">
        <v>4</v>
      </c>
      <c r="B796" t="s">
        <v>198</v>
      </c>
      <c r="C796" s="8">
        <v>46097</v>
      </c>
      <c r="D796" s="9">
        <v>29855</v>
      </c>
      <c r="E796">
        <f>MONTH(C796)</f>
        <v>3</v>
      </c>
    </row>
    <row r="797" spans="1:5">
      <c r="A797" t="s">
        <v>4</v>
      </c>
      <c r="B797" t="s">
        <v>234</v>
      </c>
      <c r="C797" s="8">
        <v>46097</v>
      </c>
      <c r="D797" s="9">
        <v>20081</v>
      </c>
      <c r="E797">
        <f>MONTH(C797)</f>
        <v>3</v>
      </c>
    </row>
    <row r="798" spans="1:5">
      <c r="A798" t="s">
        <v>6</v>
      </c>
      <c r="B798" t="s">
        <v>231</v>
      </c>
      <c r="C798" s="8">
        <v>46097</v>
      </c>
      <c r="D798" s="9">
        <v>12501</v>
      </c>
      <c r="E798">
        <f>MONTH(C798)</f>
        <v>3</v>
      </c>
    </row>
    <row r="799" spans="1:5">
      <c r="A799" t="s">
        <v>33</v>
      </c>
      <c r="B799" t="s">
        <v>232</v>
      </c>
      <c r="C799" s="8">
        <v>46097</v>
      </c>
      <c r="D799" s="9">
        <v>7858</v>
      </c>
      <c r="E799">
        <f>MONTH(C799)</f>
        <v>3</v>
      </c>
    </row>
    <row r="800" spans="1:5">
      <c r="A800" t="s">
        <v>7</v>
      </c>
      <c r="B800" t="s">
        <v>244</v>
      </c>
      <c r="C800" s="8">
        <v>46097</v>
      </c>
      <c r="D800" s="9">
        <v>16975</v>
      </c>
      <c r="E800">
        <f>MONTH(C800)</f>
        <v>3</v>
      </c>
    </row>
    <row r="801" spans="1:5">
      <c r="A801" t="s">
        <v>9</v>
      </c>
      <c r="B801" t="s">
        <v>203</v>
      </c>
      <c r="C801" s="8">
        <v>46097</v>
      </c>
      <c r="D801" s="9">
        <v>29209</v>
      </c>
      <c r="E801">
        <f>MONTH(C801)</f>
        <v>3</v>
      </c>
    </row>
    <row r="802" spans="1:5">
      <c r="A802" t="s">
        <v>9</v>
      </c>
      <c r="B802" t="s">
        <v>195</v>
      </c>
      <c r="C802" s="8">
        <v>46097</v>
      </c>
      <c r="D802" s="9">
        <v>49021</v>
      </c>
      <c r="E802">
        <f>MONTH(C802)</f>
        <v>3</v>
      </c>
    </row>
    <row r="803" spans="1:5">
      <c r="A803" t="s">
        <v>5</v>
      </c>
      <c r="B803" t="s">
        <v>166</v>
      </c>
      <c r="C803" s="8">
        <v>46097</v>
      </c>
      <c r="D803" s="9">
        <v>41721</v>
      </c>
      <c r="E803">
        <f>MONTH(C803)</f>
        <v>3</v>
      </c>
    </row>
    <row r="804" spans="1:5">
      <c r="A804" t="s">
        <v>5</v>
      </c>
      <c r="B804" t="s">
        <v>251</v>
      </c>
      <c r="C804" s="8">
        <v>46097</v>
      </c>
      <c r="D804" s="9">
        <v>38905</v>
      </c>
      <c r="E804">
        <f>MONTH(C804)</f>
        <v>3</v>
      </c>
    </row>
    <row r="805" spans="1:5">
      <c r="A805" t="s">
        <v>5</v>
      </c>
      <c r="B805" t="s">
        <v>210</v>
      </c>
      <c r="C805" s="8">
        <v>46097</v>
      </c>
      <c r="D805" s="9">
        <v>37242</v>
      </c>
      <c r="E805">
        <f>MONTH(C805)</f>
        <v>3</v>
      </c>
    </row>
    <row r="806" spans="1:5">
      <c r="A806" t="s">
        <v>5</v>
      </c>
      <c r="B806" t="s">
        <v>99</v>
      </c>
      <c r="C806" s="8">
        <v>46097</v>
      </c>
      <c r="D806" s="9">
        <v>34593</v>
      </c>
      <c r="E806">
        <f>MONTH(C806)</f>
        <v>3</v>
      </c>
    </row>
    <row r="807" spans="1:5">
      <c r="A807" t="s">
        <v>5</v>
      </c>
      <c r="B807" t="s">
        <v>99</v>
      </c>
      <c r="C807" s="8">
        <v>46097</v>
      </c>
      <c r="D807" s="9">
        <v>32489</v>
      </c>
      <c r="E807">
        <f>MONTH(C807)</f>
        <v>3</v>
      </c>
    </row>
    <row r="808" spans="1:5">
      <c r="A808" t="s">
        <v>27</v>
      </c>
      <c r="B808" t="s">
        <v>196</v>
      </c>
      <c r="C808" s="8">
        <v>46098</v>
      </c>
      <c r="D808" s="9">
        <v>14332</v>
      </c>
      <c r="E808">
        <f>MONTH(C808)</f>
        <v>3</v>
      </c>
    </row>
    <row r="809" spans="1:5">
      <c r="A809" t="s">
        <v>38</v>
      </c>
      <c r="B809" t="s">
        <v>110</v>
      </c>
      <c r="C809" s="8">
        <v>46098</v>
      </c>
      <c r="D809" s="9">
        <v>11661</v>
      </c>
      <c r="E809">
        <f>MONTH(C809)</f>
        <v>3</v>
      </c>
    </row>
    <row r="810" spans="1:5">
      <c r="A810" t="s">
        <v>4</v>
      </c>
      <c r="B810" t="s">
        <v>60</v>
      </c>
      <c r="C810" s="8">
        <v>46098</v>
      </c>
      <c r="D810" s="9">
        <v>20674</v>
      </c>
      <c r="E810">
        <f>MONTH(C810)</f>
        <v>3</v>
      </c>
    </row>
    <row r="811" spans="1:5">
      <c r="A811" t="s">
        <v>25</v>
      </c>
      <c r="B811" t="s">
        <v>117</v>
      </c>
      <c r="C811" s="8">
        <v>46098</v>
      </c>
      <c r="D811" s="9">
        <v>12135</v>
      </c>
      <c r="E811">
        <f>MONTH(C811)</f>
        <v>3</v>
      </c>
    </row>
    <row r="812" spans="1:5">
      <c r="A812" t="s">
        <v>25</v>
      </c>
      <c r="B812" t="s">
        <v>55</v>
      </c>
      <c r="C812" s="8">
        <v>46098</v>
      </c>
      <c r="D812" s="9">
        <v>10467</v>
      </c>
      <c r="E812">
        <f>MONTH(C812)</f>
        <v>3</v>
      </c>
    </row>
    <row r="813" spans="1:5">
      <c r="A813" t="s">
        <v>26</v>
      </c>
      <c r="B813" t="s">
        <v>153</v>
      </c>
      <c r="C813" s="8">
        <v>46098</v>
      </c>
      <c r="D813" s="9">
        <v>23001</v>
      </c>
      <c r="E813">
        <f>MONTH(C813)</f>
        <v>3</v>
      </c>
    </row>
    <row r="814" spans="1:5">
      <c r="A814" t="s">
        <v>30</v>
      </c>
      <c r="B814" t="s">
        <v>63</v>
      </c>
      <c r="C814" s="8">
        <v>46098</v>
      </c>
      <c r="D814" s="9">
        <v>11787</v>
      </c>
      <c r="E814">
        <f>MONTH(C814)</f>
        <v>3</v>
      </c>
    </row>
    <row r="815" spans="1:5">
      <c r="A815" t="s">
        <v>8</v>
      </c>
      <c r="B815" t="s">
        <v>281</v>
      </c>
      <c r="C815" s="8">
        <v>46098</v>
      </c>
      <c r="D815" s="9">
        <v>5911</v>
      </c>
      <c r="E815">
        <f>MONTH(C815)</f>
        <v>3</v>
      </c>
    </row>
    <row r="816" spans="1:5">
      <c r="A816" t="s">
        <v>7</v>
      </c>
      <c r="B816" t="s">
        <v>274</v>
      </c>
      <c r="C816" s="8">
        <v>46098</v>
      </c>
      <c r="D816" s="9">
        <v>22240</v>
      </c>
      <c r="E816">
        <f>MONTH(C816)</f>
        <v>3</v>
      </c>
    </row>
    <row r="817" spans="1:5">
      <c r="A817" t="s">
        <v>7</v>
      </c>
      <c r="B817" t="s">
        <v>105</v>
      </c>
      <c r="C817" s="8">
        <v>46098</v>
      </c>
      <c r="D817" s="9">
        <v>18749</v>
      </c>
      <c r="E817">
        <f>MONTH(C817)</f>
        <v>3</v>
      </c>
    </row>
    <row r="818" spans="1:5">
      <c r="A818" t="s">
        <v>9</v>
      </c>
      <c r="B818" t="s">
        <v>111</v>
      </c>
      <c r="C818" s="8">
        <v>46098</v>
      </c>
      <c r="D818" s="9">
        <v>36259</v>
      </c>
      <c r="E818">
        <f>MONTH(C818)</f>
        <v>3</v>
      </c>
    </row>
    <row r="819" spans="1:5">
      <c r="A819" t="s">
        <v>9</v>
      </c>
      <c r="B819" t="s">
        <v>235</v>
      </c>
      <c r="C819" s="8">
        <v>46098</v>
      </c>
      <c r="D819" s="9">
        <v>27113</v>
      </c>
      <c r="E819">
        <f>MONTH(C819)</f>
        <v>3</v>
      </c>
    </row>
    <row r="820" spans="1:5">
      <c r="A820" t="s">
        <v>9</v>
      </c>
      <c r="B820" t="s">
        <v>177</v>
      </c>
      <c r="C820" s="8">
        <v>46098</v>
      </c>
      <c r="D820" s="9">
        <v>32691</v>
      </c>
      <c r="E820">
        <f>MONTH(C820)</f>
        <v>3</v>
      </c>
    </row>
    <row r="821" spans="1:5">
      <c r="A821" t="s">
        <v>9</v>
      </c>
      <c r="B821" t="s">
        <v>71</v>
      </c>
      <c r="C821" s="8">
        <v>46098</v>
      </c>
      <c r="D821" s="9">
        <v>45913</v>
      </c>
      <c r="E821">
        <f>MONTH(C821)</f>
        <v>3</v>
      </c>
    </row>
    <row r="822" spans="1:5">
      <c r="A822" t="s">
        <v>5</v>
      </c>
      <c r="B822" t="s">
        <v>188</v>
      </c>
      <c r="C822" s="8">
        <v>46098</v>
      </c>
      <c r="D822" s="9">
        <v>30759</v>
      </c>
      <c r="E822">
        <f>MONTH(C822)</f>
        <v>3</v>
      </c>
    </row>
    <row r="823" spans="1:5">
      <c r="A823" t="s">
        <v>5</v>
      </c>
      <c r="B823" t="s">
        <v>239</v>
      </c>
      <c r="C823" s="8">
        <v>46098</v>
      </c>
      <c r="D823" s="9">
        <v>36888</v>
      </c>
      <c r="E823">
        <f>MONTH(C823)</f>
        <v>3</v>
      </c>
    </row>
    <row r="824" spans="1:5">
      <c r="A824" t="s">
        <v>5</v>
      </c>
      <c r="B824" t="s">
        <v>74</v>
      </c>
      <c r="C824" s="8">
        <v>46098</v>
      </c>
      <c r="D824" s="9">
        <v>33175</v>
      </c>
      <c r="E824">
        <f>MONTH(C824)</f>
        <v>3</v>
      </c>
    </row>
    <row r="825" spans="1:5">
      <c r="A825" t="s">
        <v>5</v>
      </c>
      <c r="B825" t="s">
        <v>211</v>
      </c>
      <c r="C825" s="8">
        <v>46098</v>
      </c>
      <c r="D825" s="9">
        <v>35215</v>
      </c>
      <c r="E825">
        <f>MONTH(C825)</f>
        <v>3</v>
      </c>
    </row>
    <row r="826" spans="1:5">
      <c r="A826" t="s">
        <v>35</v>
      </c>
      <c r="B826" t="s">
        <v>94</v>
      </c>
      <c r="C826" s="8">
        <v>46099</v>
      </c>
      <c r="D826" s="9">
        <v>5200</v>
      </c>
      <c r="E826">
        <f>MONTH(C826)</f>
        <v>3</v>
      </c>
    </row>
    <row r="827" spans="1:5">
      <c r="A827" t="s">
        <v>27</v>
      </c>
      <c r="B827" t="s">
        <v>135</v>
      </c>
      <c r="C827" s="8">
        <v>46099</v>
      </c>
      <c r="D827" s="9">
        <v>13942</v>
      </c>
      <c r="E827">
        <f>MONTH(C827)</f>
        <v>3</v>
      </c>
    </row>
    <row r="828" spans="1:5">
      <c r="A828" t="s">
        <v>4</v>
      </c>
      <c r="B828" t="s">
        <v>150</v>
      </c>
      <c r="C828" s="8">
        <v>46099</v>
      </c>
      <c r="D828" s="9">
        <v>38450</v>
      </c>
      <c r="E828">
        <f>MONTH(C828)</f>
        <v>3</v>
      </c>
    </row>
    <row r="829" spans="1:5">
      <c r="A829" t="s">
        <v>26</v>
      </c>
      <c r="B829" t="s">
        <v>138</v>
      </c>
      <c r="C829" s="8">
        <v>46099</v>
      </c>
      <c r="D829" s="9">
        <v>12976</v>
      </c>
      <c r="E829">
        <f>MONTH(C829)</f>
        <v>3</v>
      </c>
    </row>
    <row r="830" spans="1:5">
      <c r="A830" t="s">
        <v>30</v>
      </c>
      <c r="B830" t="s">
        <v>68</v>
      </c>
      <c r="C830" s="8">
        <v>46099</v>
      </c>
      <c r="D830" s="9">
        <v>5200</v>
      </c>
      <c r="E830">
        <f>MONTH(C830)</f>
        <v>3</v>
      </c>
    </row>
    <row r="831" spans="1:5">
      <c r="A831" t="s">
        <v>8</v>
      </c>
      <c r="B831" t="s">
        <v>140</v>
      </c>
      <c r="C831" s="8">
        <v>46099</v>
      </c>
      <c r="D831" s="9">
        <v>14826</v>
      </c>
      <c r="E831">
        <f>MONTH(C831)</f>
        <v>3</v>
      </c>
    </row>
    <row r="832" spans="1:5">
      <c r="A832" t="s">
        <v>33</v>
      </c>
      <c r="B832" t="s">
        <v>268</v>
      </c>
      <c r="C832" s="8">
        <v>46099</v>
      </c>
      <c r="D832" s="9">
        <v>5200</v>
      </c>
      <c r="E832">
        <f>MONTH(C832)</f>
        <v>3</v>
      </c>
    </row>
    <row r="833" spans="1:5">
      <c r="A833" t="s">
        <v>29</v>
      </c>
      <c r="B833" t="s">
        <v>57</v>
      </c>
      <c r="C833" s="8">
        <v>46099</v>
      </c>
      <c r="D833" s="9">
        <v>11379</v>
      </c>
      <c r="E833">
        <f>MONTH(C833)</f>
        <v>3</v>
      </c>
    </row>
    <row r="834" spans="1:5">
      <c r="A834" t="s">
        <v>7</v>
      </c>
      <c r="B834" t="s">
        <v>142</v>
      </c>
      <c r="C834" s="8">
        <v>46099</v>
      </c>
      <c r="D834" s="9">
        <v>39134</v>
      </c>
      <c r="E834">
        <f>MONTH(C834)</f>
        <v>3</v>
      </c>
    </row>
    <row r="835" spans="1:5">
      <c r="A835" t="s">
        <v>9</v>
      </c>
      <c r="B835" t="s">
        <v>82</v>
      </c>
      <c r="C835" s="8">
        <v>46099</v>
      </c>
      <c r="D835" s="9">
        <v>19728</v>
      </c>
      <c r="E835">
        <f>MONTH(C835)</f>
        <v>3</v>
      </c>
    </row>
    <row r="836" spans="1:5">
      <c r="A836" t="s">
        <v>5</v>
      </c>
      <c r="B836" t="s">
        <v>133</v>
      </c>
      <c r="C836" s="8">
        <v>46099</v>
      </c>
      <c r="D836" s="9">
        <v>46831</v>
      </c>
      <c r="E836">
        <f>MONTH(C836)</f>
        <v>3</v>
      </c>
    </row>
    <row r="837" spans="1:5">
      <c r="A837" t="s">
        <v>5</v>
      </c>
      <c r="B837" t="s">
        <v>209</v>
      </c>
      <c r="C837" s="8">
        <v>46099</v>
      </c>
      <c r="D837" s="9">
        <v>39089</v>
      </c>
      <c r="E837">
        <f>MONTH(C837)</f>
        <v>3</v>
      </c>
    </row>
    <row r="838" spans="1:5">
      <c r="A838" t="s">
        <v>5</v>
      </c>
      <c r="B838" t="s">
        <v>98</v>
      </c>
      <c r="C838" s="8">
        <v>46099</v>
      </c>
      <c r="D838" s="9">
        <v>47860</v>
      </c>
      <c r="E838">
        <f>MONTH(C838)</f>
        <v>3</v>
      </c>
    </row>
    <row r="839" spans="1:5">
      <c r="A839" t="s">
        <v>4</v>
      </c>
      <c r="B839" t="s">
        <v>160</v>
      </c>
      <c r="C839" s="8">
        <v>46100</v>
      </c>
      <c r="D839" s="9">
        <v>29783</v>
      </c>
      <c r="E839">
        <f>MONTH(C839)</f>
        <v>3</v>
      </c>
    </row>
    <row r="840" spans="1:5">
      <c r="A840" t="s">
        <v>26</v>
      </c>
      <c r="B840" t="s">
        <v>78</v>
      </c>
      <c r="C840" s="8">
        <v>46100</v>
      </c>
      <c r="D840" s="9">
        <v>12999</v>
      </c>
      <c r="E840">
        <f>MONTH(C840)</f>
        <v>3</v>
      </c>
    </row>
    <row r="841" spans="1:5">
      <c r="A841" t="s">
        <v>8</v>
      </c>
      <c r="B841" t="s">
        <v>52</v>
      </c>
      <c r="C841" s="8">
        <v>46100</v>
      </c>
      <c r="D841" s="9">
        <v>14982</v>
      </c>
      <c r="E841">
        <f>MONTH(C841)</f>
        <v>3</v>
      </c>
    </row>
    <row r="842" spans="1:5">
      <c r="A842" t="s">
        <v>6</v>
      </c>
      <c r="B842" t="s">
        <v>217</v>
      </c>
      <c r="C842" s="8">
        <v>46100</v>
      </c>
      <c r="D842" s="9">
        <v>17662</v>
      </c>
      <c r="E842">
        <f>MONTH(C842)</f>
        <v>3</v>
      </c>
    </row>
    <row r="843" spans="1:5">
      <c r="A843" t="s">
        <v>7</v>
      </c>
      <c r="B843" t="s">
        <v>193</v>
      </c>
      <c r="C843" s="8">
        <v>46100</v>
      </c>
      <c r="D843" s="9">
        <v>17812</v>
      </c>
      <c r="E843">
        <f>MONTH(C843)</f>
        <v>3</v>
      </c>
    </row>
    <row r="844" spans="1:5">
      <c r="A844" t="s">
        <v>9</v>
      </c>
      <c r="B844" t="s">
        <v>143</v>
      </c>
      <c r="C844" s="8">
        <v>46100</v>
      </c>
      <c r="D844" s="9">
        <v>14718</v>
      </c>
      <c r="E844">
        <f>MONTH(C844)</f>
        <v>3</v>
      </c>
    </row>
    <row r="845" spans="1:5">
      <c r="A845" t="s">
        <v>9</v>
      </c>
      <c r="B845" t="s">
        <v>269</v>
      </c>
      <c r="C845" s="8">
        <v>46100</v>
      </c>
      <c r="D845" s="9">
        <v>41101</v>
      </c>
      <c r="E845">
        <f>MONTH(C845)</f>
        <v>3</v>
      </c>
    </row>
    <row r="846" spans="1:5">
      <c r="A846" t="s">
        <v>9</v>
      </c>
      <c r="B846" t="s">
        <v>187</v>
      </c>
      <c r="C846" s="8">
        <v>46100</v>
      </c>
      <c r="D846" s="9">
        <v>44115</v>
      </c>
      <c r="E846">
        <f>MONTH(C846)</f>
        <v>3</v>
      </c>
    </row>
    <row r="847" spans="1:5">
      <c r="A847" t="s">
        <v>9</v>
      </c>
      <c r="B847" t="s">
        <v>66</v>
      </c>
      <c r="C847" s="8">
        <v>46100</v>
      </c>
      <c r="D847" s="9">
        <v>35315</v>
      </c>
      <c r="E847">
        <f>MONTH(C847)</f>
        <v>3</v>
      </c>
    </row>
    <row r="848" spans="1:5">
      <c r="A848" t="s">
        <v>5</v>
      </c>
      <c r="B848" t="s">
        <v>182</v>
      </c>
      <c r="C848" s="8">
        <v>46100</v>
      </c>
      <c r="D848" s="9">
        <v>49070</v>
      </c>
      <c r="E848">
        <f>MONTH(C848)</f>
        <v>3</v>
      </c>
    </row>
    <row r="849" spans="1:5">
      <c r="A849" t="s">
        <v>5</v>
      </c>
      <c r="B849" t="s">
        <v>101</v>
      </c>
      <c r="C849" s="8">
        <v>46100</v>
      </c>
      <c r="D849" s="9">
        <v>30230</v>
      </c>
      <c r="E849">
        <f>MONTH(C849)</f>
        <v>3</v>
      </c>
    </row>
    <row r="850" spans="1:5">
      <c r="A850" t="s">
        <v>5</v>
      </c>
      <c r="B850" t="s">
        <v>212</v>
      </c>
      <c r="C850" s="8">
        <v>46100</v>
      </c>
      <c r="D850" s="9">
        <v>30845</v>
      </c>
      <c r="E850">
        <f>MONTH(C850)</f>
        <v>3</v>
      </c>
    </row>
    <row r="851" spans="1:5">
      <c r="A851" t="s">
        <v>5</v>
      </c>
      <c r="B851" t="s">
        <v>134</v>
      </c>
      <c r="C851" s="8">
        <v>46100</v>
      </c>
      <c r="D851" s="9">
        <v>32350</v>
      </c>
      <c r="E851">
        <f>MONTH(C851)</f>
        <v>3</v>
      </c>
    </row>
    <row r="852" spans="1:5">
      <c r="A852" t="s">
        <v>27</v>
      </c>
      <c r="B852" t="s">
        <v>125</v>
      </c>
      <c r="C852" s="8">
        <v>46101</v>
      </c>
      <c r="D852" s="9">
        <v>13131</v>
      </c>
      <c r="E852">
        <f>MONTH(C852)</f>
        <v>3</v>
      </c>
    </row>
    <row r="853" spans="1:5">
      <c r="A853" t="s">
        <v>4</v>
      </c>
      <c r="B853" t="s">
        <v>222</v>
      </c>
      <c r="C853" s="8">
        <v>46101</v>
      </c>
      <c r="D853" s="9">
        <v>35880</v>
      </c>
      <c r="E853">
        <f>MONTH(C853)</f>
        <v>3</v>
      </c>
    </row>
    <row r="854" spans="1:5">
      <c r="A854" t="s">
        <v>26</v>
      </c>
      <c r="B854" t="s">
        <v>119</v>
      </c>
      <c r="C854" s="8">
        <v>46101</v>
      </c>
      <c r="D854" s="9">
        <v>5200</v>
      </c>
      <c r="E854">
        <f>MONTH(C854)</f>
        <v>3</v>
      </c>
    </row>
    <row r="855" spans="1:5">
      <c r="A855" t="s">
        <v>26</v>
      </c>
      <c r="B855" t="s">
        <v>205</v>
      </c>
      <c r="C855" s="8">
        <v>46101</v>
      </c>
      <c r="D855" s="9">
        <v>15068</v>
      </c>
      <c r="E855">
        <f>MONTH(C855)</f>
        <v>3</v>
      </c>
    </row>
    <row r="856" spans="1:5">
      <c r="A856" t="s">
        <v>8</v>
      </c>
      <c r="B856" t="s">
        <v>79</v>
      </c>
      <c r="C856" s="8">
        <v>46101</v>
      </c>
      <c r="D856" s="9">
        <v>13871</v>
      </c>
      <c r="E856">
        <f>MONTH(C856)</f>
        <v>3</v>
      </c>
    </row>
    <row r="857" spans="1:5">
      <c r="A857" t="s">
        <v>6</v>
      </c>
      <c r="B857" t="s">
        <v>273</v>
      </c>
      <c r="C857" s="8">
        <v>46101</v>
      </c>
      <c r="D857" s="9">
        <v>15883</v>
      </c>
      <c r="E857">
        <f>MONTH(C857)</f>
        <v>3</v>
      </c>
    </row>
    <row r="858" spans="1:5">
      <c r="A858" t="s">
        <v>9</v>
      </c>
      <c r="B858" t="s">
        <v>220</v>
      </c>
      <c r="C858" s="8">
        <v>46101</v>
      </c>
      <c r="D858" s="9">
        <v>11766</v>
      </c>
      <c r="E858">
        <f>MONTH(C858)</f>
        <v>3</v>
      </c>
    </row>
    <row r="859" spans="1:5">
      <c r="A859" t="s">
        <v>9</v>
      </c>
      <c r="B859" t="s">
        <v>264</v>
      </c>
      <c r="C859" s="8">
        <v>46101</v>
      </c>
      <c r="D859" s="9">
        <v>40542</v>
      </c>
      <c r="E859">
        <f>MONTH(C859)</f>
        <v>3</v>
      </c>
    </row>
    <row r="860" spans="1:5">
      <c r="A860" t="s">
        <v>9</v>
      </c>
      <c r="B860" t="s">
        <v>83</v>
      </c>
      <c r="C860" s="8">
        <v>46101</v>
      </c>
      <c r="D860" s="9">
        <v>30469</v>
      </c>
      <c r="E860">
        <f>MONTH(C860)</f>
        <v>3</v>
      </c>
    </row>
    <row r="861" spans="1:5">
      <c r="A861" t="s">
        <v>5</v>
      </c>
      <c r="B861" t="s">
        <v>97</v>
      </c>
      <c r="C861" s="8">
        <v>46101</v>
      </c>
      <c r="D861" s="9">
        <v>41317</v>
      </c>
      <c r="E861">
        <f>MONTH(C861)</f>
        <v>3</v>
      </c>
    </row>
    <row r="862" spans="1:5">
      <c r="A862" t="s">
        <v>5</v>
      </c>
      <c r="B862" t="s">
        <v>210</v>
      </c>
      <c r="C862" s="8">
        <v>46101</v>
      </c>
      <c r="D862" s="9">
        <v>32861</v>
      </c>
      <c r="E862">
        <f>MONTH(C862)</f>
        <v>3</v>
      </c>
    </row>
    <row r="863" spans="1:5">
      <c r="A863" t="s">
        <v>4</v>
      </c>
      <c r="B863" t="s">
        <v>116</v>
      </c>
      <c r="C863" s="8">
        <v>46102</v>
      </c>
      <c r="D863" s="9">
        <v>29069</v>
      </c>
      <c r="E863">
        <f>MONTH(C863)</f>
        <v>3</v>
      </c>
    </row>
    <row r="864" spans="1:5">
      <c r="A864" t="s">
        <v>4</v>
      </c>
      <c r="B864" t="s">
        <v>127</v>
      </c>
      <c r="C864" s="8">
        <v>46102</v>
      </c>
      <c r="D864" s="9">
        <v>33186</v>
      </c>
      <c r="E864">
        <f>MONTH(C864)</f>
        <v>3</v>
      </c>
    </row>
    <row r="865" spans="1:5">
      <c r="A865" t="s">
        <v>4</v>
      </c>
      <c r="B865" t="s">
        <v>85</v>
      </c>
      <c r="C865" s="8">
        <v>46102</v>
      </c>
      <c r="D865" s="9">
        <v>13989</v>
      </c>
      <c r="E865">
        <f>MONTH(C865)</f>
        <v>3</v>
      </c>
    </row>
    <row r="866" spans="1:5">
      <c r="A866" t="s">
        <v>4</v>
      </c>
      <c r="B866" t="s">
        <v>100</v>
      </c>
      <c r="C866" s="8">
        <v>46102</v>
      </c>
      <c r="D866" s="9">
        <v>47321</v>
      </c>
      <c r="E866">
        <f>MONTH(C866)</f>
        <v>3</v>
      </c>
    </row>
    <row r="867" spans="1:5">
      <c r="A867" t="s">
        <v>25</v>
      </c>
      <c r="B867" t="s">
        <v>278</v>
      </c>
      <c r="C867" s="8">
        <v>46102</v>
      </c>
      <c r="D867" s="9">
        <v>15426</v>
      </c>
      <c r="E867">
        <f>MONTH(C867)</f>
        <v>3</v>
      </c>
    </row>
    <row r="868" spans="1:5">
      <c r="A868" t="s">
        <v>6</v>
      </c>
      <c r="B868" t="s">
        <v>260</v>
      </c>
      <c r="C868" s="8">
        <v>46102</v>
      </c>
      <c r="D868" s="9">
        <v>31283</v>
      </c>
      <c r="E868">
        <f>MONTH(C868)</f>
        <v>3</v>
      </c>
    </row>
    <row r="869" spans="1:5">
      <c r="A869" t="s">
        <v>7</v>
      </c>
      <c r="B869" t="s">
        <v>266</v>
      </c>
      <c r="C869" s="8">
        <v>46102</v>
      </c>
      <c r="D869" s="9">
        <v>24351</v>
      </c>
      <c r="E869">
        <f>MONTH(C869)</f>
        <v>3</v>
      </c>
    </row>
    <row r="870" spans="1:5">
      <c r="A870" t="s">
        <v>9</v>
      </c>
      <c r="B870" t="s">
        <v>276</v>
      </c>
      <c r="C870" s="8">
        <v>46102</v>
      </c>
      <c r="D870" s="9">
        <v>49464</v>
      </c>
      <c r="E870">
        <f>MONTH(C870)</f>
        <v>3</v>
      </c>
    </row>
    <row r="871" spans="1:5">
      <c r="A871" t="s">
        <v>9</v>
      </c>
      <c r="B871" t="s">
        <v>91</v>
      </c>
      <c r="C871" s="8">
        <v>46102</v>
      </c>
      <c r="D871" s="9">
        <v>31813</v>
      </c>
      <c r="E871">
        <f>MONTH(C871)</f>
        <v>3</v>
      </c>
    </row>
    <row r="872" spans="1:5">
      <c r="A872" t="s">
        <v>9</v>
      </c>
      <c r="B872" t="s">
        <v>159</v>
      </c>
      <c r="C872" s="8">
        <v>46102</v>
      </c>
      <c r="D872" s="9">
        <v>43123</v>
      </c>
      <c r="E872">
        <f>MONTH(C872)</f>
        <v>3</v>
      </c>
    </row>
    <row r="873" spans="1:5">
      <c r="A873" t="s">
        <v>9</v>
      </c>
      <c r="B873" t="s">
        <v>148</v>
      </c>
      <c r="C873" s="8">
        <v>46102</v>
      </c>
      <c r="D873" s="9">
        <v>27205</v>
      </c>
      <c r="E873">
        <f>MONTH(C873)</f>
        <v>3</v>
      </c>
    </row>
    <row r="874" spans="1:5">
      <c r="A874" t="s">
        <v>5</v>
      </c>
      <c r="B874" t="s">
        <v>251</v>
      </c>
      <c r="C874" s="8">
        <v>46102</v>
      </c>
      <c r="D874" s="9">
        <v>48647</v>
      </c>
      <c r="E874">
        <f>MONTH(C874)</f>
        <v>3</v>
      </c>
    </row>
    <row r="875" spans="1:5">
      <c r="A875" t="s">
        <v>5</v>
      </c>
      <c r="B875" t="s">
        <v>84</v>
      </c>
      <c r="C875" s="8">
        <v>46102</v>
      </c>
      <c r="D875" s="9">
        <v>36063</v>
      </c>
      <c r="E875">
        <f>MONTH(C875)</f>
        <v>3</v>
      </c>
    </row>
    <row r="876" spans="1:5">
      <c r="A876" t="s">
        <v>5</v>
      </c>
      <c r="B876" t="s">
        <v>99</v>
      </c>
      <c r="C876" s="8">
        <v>46102</v>
      </c>
      <c r="D876" s="9">
        <v>33621</v>
      </c>
      <c r="E876">
        <f>MONTH(C876)</f>
        <v>3</v>
      </c>
    </row>
    <row r="877" spans="1:5">
      <c r="A877" t="s">
        <v>8</v>
      </c>
      <c r="B877" t="s">
        <v>259</v>
      </c>
      <c r="C877" s="8">
        <v>46103</v>
      </c>
      <c r="D877" s="9">
        <v>16288</v>
      </c>
      <c r="E877">
        <f>MONTH(C877)</f>
        <v>3</v>
      </c>
    </row>
    <row r="878" spans="1:5">
      <c r="A878" t="s">
        <v>29</v>
      </c>
      <c r="B878" t="s">
        <v>95</v>
      </c>
      <c r="C878" s="8">
        <v>46103</v>
      </c>
      <c r="D878" s="9">
        <v>5200</v>
      </c>
      <c r="E878">
        <f>MONTH(C878)</f>
        <v>3</v>
      </c>
    </row>
    <row r="879" spans="1:5">
      <c r="A879" t="s">
        <v>7</v>
      </c>
      <c r="B879" t="s">
        <v>249</v>
      </c>
      <c r="C879" s="8">
        <v>46103</v>
      </c>
      <c r="D879" s="9">
        <v>16065</v>
      </c>
      <c r="E879">
        <f>MONTH(C879)</f>
        <v>3</v>
      </c>
    </row>
    <row r="880" spans="1:5">
      <c r="A880" t="s">
        <v>9</v>
      </c>
      <c r="B880" t="s">
        <v>175</v>
      </c>
      <c r="C880" s="8">
        <v>46103</v>
      </c>
      <c r="D880" s="9">
        <v>29109</v>
      </c>
      <c r="E880">
        <f>MONTH(C880)</f>
        <v>3</v>
      </c>
    </row>
    <row r="881" spans="1:5">
      <c r="A881" t="s">
        <v>5</v>
      </c>
      <c r="B881" t="s">
        <v>166</v>
      </c>
      <c r="C881" s="8">
        <v>46103</v>
      </c>
      <c r="D881" s="9">
        <v>42305</v>
      </c>
      <c r="E881">
        <f>MONTH(C881)</f>
        <v>3</v>
      </c>
    </row>
    <row r="882" spans="1:5">
      <c r="A882" t="s">
        <v>5</v>
      </c>
      <c r="B882" t="s">
        <v>133</v>
      </c>
      <c r="C882" s="8">
        <v>46103</v>
      </c>
      <c r="D882" s="9">
        <v>48274</v>
      </c>
      <c r="E882">
        <f>MONTH(C882)</f>
        <v>3</v>
      </c>
    </row>
    <row r="883" spans="1:5">
      <c r="A883" t="s">
        <v>5</v>
      </c>
      <c r="B883" t="s">
        <v>167</v>
      </c>
      <c r="C883" s="8">
        <v>46103</v>
      </c>
      <c r="D883" s="9">
        <v>30976</v>
      </c>
      <c r="E883">
        <f>MONTH(C883)</f>
        <v>3</v>
      </c>
    </row>
    <row r="884" spans="1:5">
      <c r="A884" t="s">
        <v>5</v>
      </c>
      <c r="B884" t="s">
        <v>101</v>
      </c>
      <c r="C884" s="8">
        <v>46103</v>
      </c>
      <c r="D884" s="9">
        <v>32230</v>
      </c>
      <c r="E884">
        <f>MONTH(C884)</f>
        <v>3</v>
      </c>
    </row>
    <row r="885" spans="1:5">
      <c r="A885" t="s">
        <v>5</v>
      </c>
      <c r="B885" t="s">
        <v>219</v>
      </c>
      <c r="C885" s="8">
        <v>46103</v>
      </c>
      <c r="D885" s="9">
        <v>48418</v>
      </c>
      <c r="E885">
        <f>MONTH(C885)</f>
        <v>3</v>
      </c>
    </row>
    <row r="886" spans="1:5">
      <c r="A886" t="s">
        <v>5</v>
      </c>
      <c r="B886" t="s">
        <v>61</v>
      </c>
      <c r="C886" s="8">
        <v>46103</v>
      </c>
      <c r="D886" s="9">
        <v>32444</v>
      </c>
      <c r="E886">
        <f>MONTH(C886)</f>
        <v>3</v>
      </c>
    </row>
    <row r="887" spans="1:5">
      <c r="A887" t="s">
        <v>5</v>
      </c>
      <c r="B887" t="s">
        <v>100</v>
      </c>
      <c r="C887" s="8">
        <v>46103</v>
      </c>
      <c r="D887" s="9">
        <v>41649</v>
      </c>
      <c r="E887">
        <f>MONTH(C887)</f>
        <v>3</v>
      </c>
    </row>
    <row r="888" spans="1:5">
      <c r="A888" t="s">
        <v>31</v>
      </c>
      <c r="B888" t="s">
        <v>152</v>
      </c>
      <c r="C888" s="8">
        <v>46104</v>
      </c>
      <c r="D888" s="9">
        <v>15435</v>
      </c>
      <c r="E888">
        <f>MONTH(C888)</f>
        <v>3</v>
      </c>
    </row>
    <row r="889" spans="1:5">
      <c r="A889" t="s">
        <v>26</v>
      </c>
      <c r="B889" t="s">
        <v>216</v>
      </c>
      <c r="C889" s="8">
        <v>46104</v>
      </c>
      <c r="D889" s="9">
        <v>12237</v>
      </c>
      <c r="E889">
        <f>MONTH(C889)</f>
        <v>3</v>
      </c>
    </row>
    <row r="890" spans="1:5">
      <c r="A890" t="s">
        <v>26</v>
      </c>
      <c r="B890" t="s">
        <v>236</v>
      </c>
      <c r="C890" s="8">
        <v>46104</v>
      </c>
      <c r="D890" s="9">
        <v>10662</v>
      </c>
      <c r="E890">
        <f>MONTH(C890)</f>
        <v>3</v>
      </c>
    </row>
    <row r="891" spans="1:5">
      <c r="A891" t="s">
        <v>6</v>
      </c>
      <c r="B891" t="s">
        <v>261</v>
      </c>
      <c r="C891" s="8">
        <v>46104</v>
      </c>
      <c r="D891" s="9">
        <v>17372</v>
      </c>
      <c r="E891">
        <f>MONTH(C891)</f>
        <v>3</v>
      </c>
    </row>
    <row r="892" spans="1:5">
      <c r="A892" t="s">
        <v>33</v>
      </c>
      <c r="B892" t="s">
        <v>248</v>
      </c>
      <c r="C892" s="8">
        <v>46104</v>
      </c>
      <c r="D892" s="9">
        <v>12972</v>
      </c>
      <c r="E892">
        <f>MONTH(C892)</f>
        <v>3</v>
      </c>
    </row>
    <row r="893" spans="1:5">
      <c r="A893" t="s">
        <v>7</v>
      </c>
      <c r="B893" t="s">
        <v>89</v>
      </c>
      <c r="C893" s="8">
        <v>46104</v>
      </c>
      <c r="D893" s="9">
        <v>28199</v>
      </c>
      <c r="E893">
        <f>MONTH(C893)</f>
        <v>3</v>
      </c>
    </row>
    <row r="894" spans="1:5">
      <c r="A894" t="s">
        <v>9</v>
      </c>
      <c r="B894" t="s">
        <v>235</v>
      </c>
      <c r="C894" s="8">
        <v>46104</v>
      </c>
      <c r="D894" s="9">
        <v>34339</v>
      </c>
      <c r="E894">
        <f>MONTH(C894)</f>
        <v>3</v>
      </c>
    </row>
    <row r="895" spans="1:5">
      <c r="A895" t="s">
        <v>9</v>
      </c>
      <c r="B895" t="s">
        <v>171</v>
      </c>
      <c r="C895" s="8">
        <v>46104</v>
      </c>
      <c r="D895" s="9">
        <v>42202</v>
      </c>
      <c r="E895">
        <f>MONTH(C895)</f>
        <v>3</v>
      </c>
    </row>
    <row r="896" spans="1:5">
      <c r="A896" t="s">
        <v>9</v>
      </c>
      <c r="B896" t="s">
        <v>96</v>
      </c>
      <c r="C896" s="8">
        <v>46104</v>
      </c>
      <c r="D896" s="9">
        <v>27396</v>
      </c>
      <c r="E896">
        <f>MONTH(C896)</f>
        <v>3</v>
      </c>
    </row>
    <row r="897" spans="1:5">
      <c r="A897" t="s">
        <v>9</v>
      </c>
      <c r="B897" t="s">
        <v>146</v>
      </c>
      <c r="C897" s="8">
        <v>46104</v>
      </c>
      <c r="D897" s="9">
        <v>22459</v>
      </c>
      <c r="E897">
        <f>MONTH(C897)</f>
        <v>3</v>
      </c>
    </row>
    <row r="898" spans="1:5">
      <c r="A898" t="s">
        <v>5</v>
      </c>
      <c r="B898" t="s">
        <v>72</v>
      </c>
      <c r="C898" s="8">
        <v>46104</v>
      </c>
      <c r="D898" s="9">
        <v>36338</v>
      </c>
      <c r="E898">
        <f>MONTH(C898)</f>
        <v>3</v>
      </c>
    </row>
    <row r="899" spans="1:5">
      <c r="A899" t="s">
        <v>5</v>
      </c>
      <c r="B899" t="s">
        <v>183</v>
      </c>
      <c r="C899" s="8">
        <v>46104</v>
      </c>
      <c r="D899" s="9">
        <v>40056</v>
      </c>
      <c r="E899">
        <f>MONTH(C899)</f>
        <v>3</v>
      </c>
    </row>
    <row r="900" spans="1:5">
      <c r="A900" t="s">
        <v>5</v>
      </c>
      <c r="B900" t="s">
        <v>159</v>
      </c>
      <c r="C900" s="8">
        <v>46104</v>
      </c>
      <c r="D900" s="9">
        <v>46272</v>
      </c>
      <c r="E900">
        <f>MONTH(C900)</f>
        <v>3</v>
      </c>
    </row>
    <row r="901" spans="1:5">
      <c r="A901" t="s">
        <v>5</v>
      </c>
      <c r="B901" t="s">
        <v>124</v>
      </c>
      <c r="C901" s="8">
        <v>46104</v>
      </c>
      <c r="D901" s="9">
        <v>31394</v>
      </c>
      <c r="E901">
        <f>MONTH(C901)</f>
        <v>3</v>
      </c>
    </row>
    <row r="902" spans="1:5">
      <c r="A902" t="s">
        <v>5</v>
      </c>
      <c r="B902" t="s">
        <v>58</v>
      </c>
      <c r="C902" s="8">
        <v>46104</v>
      </c>
      <c r="D902" s="9">
        <v>48222</v>
      </c>
      <c r="E902">
        <f>MONTH(C902)</f>
        <v>3</v>
      </c>
    </row>
    <row r="903" spans="1:5">
      <c r="A903" t="s">
        <v>31</v>
      </c>
      <c r="B903" t="s">
        <v>199</v>
      </c>
      <c r="C903" s="8">
        <v>46105</v>
      </c>
      <c r="D903" s="9">
        <v>20306</v>
      </c>
      <c r="E903">
        <f>MONTH(C903)</f>
        <v>3</v>
      </c>
    </row>
    <row r="904" spans="1:5">
      <c r="A904" t="s">
        <v>25</v>
      </c>
      <c r="B904" t="s">
        <v>215</v>
      </c>
      <c r="C904" s="8">
        <v>46105</v>
      </c>
      <c r="D904" s="9">
        <v>6233</v>
      </c>
      <c r="E904">
        <f>MONTH(C904)</f>
        <v>3</v>
      </c>
    </row>
    <row r="905" spans="1:5">
      <c r="A905" t="s">
        <v>28</v>
      </c>
      <c r="B905" t="s">
        <v>62</v>
      </c>
      <c r="C905" s="8">
        <v>46105</v>
      </c>
      <c r="D905" s="9">
        <v>8734</v>
      </c>
      <c r="E905">
        <f>MONTH(C905)</f>
        <v>3</v>
      </c>
    </row>
    <row r="906" spans="1:5">
      <c r="A906" t="s">
        <v>30</v>
      </c>
      <c r="B906" t="s">
        <v>224</v>
      </c>
      <c r="C906" s="8">
        <v>46105</v>
      </c>
      <c r="D906" s="9">
        <v>12414</v>
      </c>
      <c r="E906">
        <f>MONTH(C906)</f>
        <v>3</v>
      </c>
    </row>
    <row r="907" spans="1:5">
      <c r="A907" t="s">
        <v>7</v>
      </c>
      <c r="B907" t="s">
        <v>122</v>
      </c>
      <c r="C907" s="8">
        <v>46105</v>
      </c>
      <c r="D907" s="9">
        <v>36169</v>
      </c>
      <c r="E907">
        <f>MONTH(C907)</f>
        <v>3</v>
      </c>
    </row>
    <row r="908" spans="1:5">
      <c r="A908" t="s">
        <v>7</v>
      </c>
      <c r="B908" t="s">
        <v>170</v>
      </c>
      <c r="C908" s="8">
        <v>46105</v>
      </c>
      <c r="D908" s="9">
        <v>19420</v>
      </c>
      <c r="E908">
        <f>MONTH(C908)</f>
        <v>3</v>
      </c>
    </row>
    <row r="909" spans="1:5">
      <c r="A909" t="s">
        <v>7</v>
      </c>
      <c r="B909" t="s">
        <v>275</v>
      </c>
      <c r="C909" s="8">
        <v>46105</v>
      </c>
      <c r="D909" s="9">
        <v>20801</v>
      </c>
      <c r="E909">
        <f>MONTH(C909)</f>
        <v>3</v>
      </c>
    </row>
    <row r="910" spans="1:5">
      <c r="A910" t="s">
        <v>9</v>
      </c>
      <c r="B910" t="s">
        <v>113</v>
      </c>
      <c r="C910" s="8">
        <v>46105</v>
      </c>
      <c r="D910" s="9">
        <v>30798</v>
      </c>
      <c r="E910">
        <f>MONTH(C910)</f>
        <v>3</v>
      </c>
    </row>
    <row r="911" spans="1:5">
      <c r="A911" t="s">
        <v>5</v>
      </c>
      <c r="B911" t="s">
        <v>92</v>
      </c>
      <c r="C911" s="8">
        <v>46105</v>
      </c>
      <c r="D911" s="9">
        <v>44536</v>
      </c>
      <c r="E911">
        <f>MONTH(C911)</f>
        <v>3</v>
      </c>
    </row>
    <row r="912" spans="1:5">
      <c r="A912" t="s">
        <v>5</v>
      </c>
      <c r="B912" t="s">
        <v>54</v>
      </c>
      <c r="C912" s="8">
        <v>46105</v>
      </c>
      <c r="D912" s="9">
        <v>39141</v>
      </c>
      <c r="E912">
        <f>MONTH(C912)</f>
        <v>3</v>
      </c>
    </row>
    <row r="913" spans="1:5">
      <c r="A913" t="s">
        <v>5</v>
      </c>
      <c r="B913" t="s">
        <v>93</v>
      </c>
      <c r="C913" s="8">
        <v>46105</v>
      </c>
      <c r="D913" s="9">
        <v>36240</v>
      </c>
      <c r="E913">
        <f>MONTH(C913)</f>
        <v>3</v>
      </c>
    </row>
    <row r="914" spans="1:5">
      <c r="A914" t="s">
        <v>5</v>
      </c>
      <c r="B914" t="s">
        <v>277</v>
      </c>
      <c r="C914" s="8">
        <v>46105</v>
      </c>
      <c r="D914" s="9">
        <v>32906</v>
      </c>
      <c r="E914">
        <f>MONTH(C914)</f>
        <v>3</v>
      </c>
    </row>
    <row r="915" spans="1:5">
      <c r="A915" t="s">
        <v>4</v>
      </c>
      <c r="B915" t="s">
        <v>151</v>
      </c>
      <c r="C915" s="8">
        <v>46106</v>
      </c>
      <c r="D915" s="9">
        <v>28947</v>
      </c>
      <c r="E915">
        <f>MONTH(C915)</f>
        <v>3</v>
      </c>
    </row>
    <row r="916" spans="1:5">
      <c r="A916" t="s">
        <v>8</v>
      </c>
      <c r="B916" t="s">
        <v>64</v>
      </c>
      <c r="C916" s="8">
        <v>46106</v>
      </c>
      <c r="D916" s="9">
        <v>14426</v>
      </c>
      <c r="E916">
        <f>MONTH(C916)</f>
        <v>3</v>
      </c>
    </row>
    <row r="917" spans="1:5">
      <c r="A917" t="s">
        <v>29</v>
      </c>
      <c r="B917" t="s">
        <v>191</v>
      </c>
      <c r="C917" s="8">
        <v>46106</v>
      </c>
      <c r="D917" s="9">
        <v>12046</v>
      </c>
      <c r="E917">
        <f>MONTH(C917)</f>
        <v>3</v>
      </c>
    </row>
    <row r="918" spans="1:5">
      <c r="A918" t="s">
        <v>7</v>
      </c>
      <c r="B918" t="s">
        <v>47</v>
      </c>
      <c r="C918" s="8">
        <v>46106</v>
      </c>
      <c r="D918" s="9">
        <v>21213</v>
      </c>
      <c r="E918">
        <f>MONTH(C918)</f>
        <v>3</v>
      </c>
    </row>
    <row r="919" spans="1:5">
      <c r="A919" t="s">
        <v>5</v>
      </c>
      <c r="B919" t="s">
        <v>74</v>
      </c>
      <c r="C919" s="8">
        <v>46106</v>
      </c>
      <c r="D919" s="9">
        <v>48856</v>
      </c>
      <c r="E919">
        <f>MONTH(C919)</f>
        <v>3</v>
      </c>
    </row>
    <row r="920" spans="1:5">
      <c r="A920" t="s">
        <v>5</v>
      </c>
      <c r="B920" t="s">
        <v>124</v>
      </c>
      <c r="C920" s="8">
        <v>46106</v>
      </c>
      <c r="D920" s="9">
        <v>28228</v>
      </c>
      <c r="E920">
        <f>MONTH(C920)</f>
        <v>3</v>
      </c>
    </row>
    <row r="921" spans="1:5">
      <c r="A921" t="s">
        <v>26</v>
      </c>
      <c r="B921" t="s">
        <v>257</v>
      </c>
      <c r="C921" s="8">
        <v>46107</v>
      </c>
      <c r="D921" s="9">
        <v>5200</v>
      </c>
      <c r="E921">
        <f>MONTH(C921)</f>
        <v>3</v>
      </c>
    </row>
    <row r="922" spans="1:5">
      <c r="A922" t="s">
        <v>7</v>
      </c>
      <c r="B922" t="s">
        <v>233</v>
      </c>
      <c r="C922" s="8">
        <v>46107</v>
      </c>
      <c r="D922" s="9">
        <v>23681</v>
      </c>
      <c r="E922">
        <f>MONTH(C922)</f>
        <v>3</v>
      </c>
    </row>
    <row r="923" spans="1:5">
      <c r="A923" t="s">
        <v>7</v>
      </c>
      <c r="B923" t="s">
        <v>69</v>
      </c>
      <c r="C923" s="8">
        <v>46107</v>
      </c>
      <c r="D923" s="9">
        <v>37823</v>
      </c>
      <c r="E923">
        <f>MONTH(C923)</f>
        <v>3</v>
      </c>
    </row>
    <row r="924" spans="1:5">
      <c r="A924" t="s">
        <v>9</v>
      </c>
      <c r="B924" t="s">
        <v>83</v>
      </c>
      <c r="C924" s="8">
        <v>46107</v>
      </c>
      <c r="D924" s="9">
        <v>38911</v>
      </c>
      <c r="E924">
        <f>MONTH(C924)</f>
        <v>3</v>
      </c>
    </row>
    <row r="925" spans="1:5">
      <c r="A925" t="s">
        <v>9</v>
      </c>
      <c r="B925" t="s">
        <v>70</v>
      </c>
      <c r="C925" s="8">
        <v>46107</v>
      </c>
      <c r="D925" s="9">
        <v>28519</v>
      </c>
      <c r="E925">
        <f>MONTH(C925)</f>
        <v>3</v>
      </c>
    </row>
    <row r="926" spans="1:5">
      <c r="A926" t="s">
        <v>5</v>
      </c>
      <c r="B926" t="s">
        <v>167</v>
      </c>
      <c r="C926" s="8">
        <v>46107</v>
      </c>
      <c r="D926" s="9">
        <v>31797</v>
      </c>
      <c r="E926">
        <f>MONTH(C926)</f>
        <v>3</v>
      </c>
    </row>
    <row r="927" spans="1:5">
      <c r="A927" t="s">
        <v>5</v>
      </c>
      <c r="B927" t="s">
        <v>211</v>
      </c>
      <c r="C927" s="8">
        <v>46107</v>
      </c>
      <c r="D927" s="9">
        <v>39366</v>
      </c>
      <c r="E927">
        <f>MONTH(C927)</f>
        <v>3</v>
      </c>
    </row>
    <row r="928" spans="1:5">
      <c r="A928" t="s">
        <v>5</v>
      </c>
      <c r="B928" t="s">
        <v>204</v>
      </c>
      <c r="C928" s="8">
        <v>46107</v>
      </c>
      <c r="D928" s="9">
        <v>64289</v>
      </c>
      <c r="E928">
        <f>MONTH(C928)</f>
        <v>3</v>
      </c>
    </row>
    <row r="929" spans="1:5">
      <c r="A929" t="s">
        <v>4</v>
      </c>
      <c r="B929" t="s">
        <v>190</v>
      </c>
      <c r="C929" s="8">
        <v>46108</v>
      </c>
      <c r="D929" s="9">
        <v>24467</v>
      </c>
      <c r="E929">
        <f>MONTH(C929)</f>
        <v>3</v>
      </c>
    </row>
    <row r="930" spans="1:5">
      <c r="A930" t="s">
        <v>4</v>
      </c>
      <c r="B930" t="s">
        <v>115</v>
      </c>
      <c r="C930" s="8">
        <v>46108</v>
      </c>
      <c r="D930" s="9">
        <v>31790</v>
      </c>
      <c r="E930">
        <f>MONTH(C930)</f>
        <v>3</v>
      </c>
    </row>
    <row r="931" spans="1:5">
      <c r="A931" t="s">
        <v>4</v>
      </c>
      <c r="B931" t="s">
        <v>50</v>
      </c>
      <c r="C931" s="8">
        <v>46108</v>
      </c>
      <c r="D931" s="9">
        <v>24068</v>
      </c>
      <c r="E931">
        <f>MONTH(C931)</f>
        <v>3</v>
      </c>
    </row>
    <row r="932" spans="1:5">
      <c r="A932" t="s">
        <v>5</v>
      </c>
      <c r="B932" t="s">
        <v>53</v>
      </c>
      <c r="C932" s="8">
        <v>46108</v>
      </c>
      <c r="D932" s="9">
        <v>53577</v>
      </c>
      <c r="E932">
        <f>MONTH(C932)</f>
        <v>3</v>
      </c>
    </row>
    <row r="933" spans="1:5">
      <c r="A933" t="s">
        <v>5</v>
      </c>
      <c r="B933" t="s">
        <v>98</v>
      </c>
      <c r="C933" s="8">
        <v>46108</v>
      </c>
      <c r="D933" s="9">
        <v>65651</v>
      </c>
      <c r="E933">
        <f>MONTH(C933)</f>
        <v>3</v>
      </c>
    </row>
    <row r="934" spans="1:5">
      <c r="A934" t="s">
        <v>5</v>
      </c>
      <c r="B934" t="s">
        <v>108</v>
      </c>
      <c r="C934" s="8">
        <v>46108</v>
      </c>
      <c r="D934" s="9">
        <v>32236</v>
      </c>
      <c r="E934">
        <f>MONTH(C934)</f>
        <v>3</v>
      </c>
    </row>
    <row r="935" spans="1:5">
      <c r="A935" t="s">
        <v>25</v>
      </c>
      <c r="B935" t="s">
        <v>186</v>
      </c>
      <c r="C935" s="8">
        <v>46109</v>
      </c>
      <c r="D935" s="9">
        <v>12761</v>
      </c>
      <c r="E935">
        <f>MONTH(C935)</f>
        <v>3</v>
      </c>
    </row>
    <row r="936" spans="1:5">
      <c r="A936" t="s">
        <v>28</v>
      </c>
      <c r="B936" t="s">
        <v>174</v>
      </c>
      <c r="C936" s="8">
        <v>46109</v>
      </c>
      <c r="D936" s="9">
        <v>16582</v>
      </c>
      <c r="E936">
        <f>MONTH(C936)</f>
        <v>3</v>
      </c>
    </row>
    <row r="937" spans="1:5">
      <c r="A937" t="s">
        <v>6</v>
      </c>
      <c r="B937" t="s">
        <v>131</v>
      </c>
      <c r="C937" s="8">
        <v>46109</v>
      </c>
      <c r="D937" s="9">
        <v>16794</v>
      </c>
      <c r="E937">
        <f>MONTH(C937)</f>
        <v>3</v>
      </c>
    </row>
    <row r="938" spans="1:5">
      <c r="A938" t="s">
        <v>29</v>
      </c>
      <c r="B938" t="s">
        <v>112</v>
      </c>
      <c r="C938" s="8">
        <v>46109</v>
      </c>
      <c r="D938" s="9">
        <v>11113</v>
      </c>
      <c r="E938">
        <f>MONTH(C938)</f>
        <v>3</v>
      </c>
    </row>
    <row r="939" spans="1:5">
      <c r="A939" t="s">
        <v>7</v>
      </c>
      <c r="B939" t="s">
        <v>194</v>
      </c>
      <c r="C939" s="8">
        <v>46109</v>
      </c>
      <c r="D939" s="9">
        <v>24658</v>
      </c>
      <c r="E939">
        <f>MONTH(C939)</f>
        <v>3</v>
      </c>
    </row>
    <row r="940" spans="1:5">
      <c r="A940" t="s">
        <v>9</v>
      </c>
      <c r="B940" t="s">
        <v>250</v>
      </c>
      <c r="C940" s="8">
        <v>46109</v>
      </c>
      <c r="D940" s="9">
        <v>44932</v>
      </c>
      <c r="E940">
        <f>MONTH(C940)</f>
        <v>3</v>
      </c>
    </row>
    <row r="941" spans="1:5">
      <c r="A941" t="s">
        <v>9</v>
      </c>
      <c r="B941" t="s">
        <v>144</v>
      </c>
      <c r="C941" s="8">
        <v>46109</v>
      </c>
      <c r="D941" s="9">
        <v>27454</v>
      </c>
      <c r="E941">
        <f>MONTH(C941)</f>
        <v>3</v>
      </c>
    </row>
    <row r="942" spans="1:5">
      <c r="A942" t="s">
        <v>9</v>
      </c>
      <c r="B942" t="s">
        <v>83</v>
      </c>
      <c r="C942" s="8">
        <v>46109</v>
      </c>
      <c r="D942" s="9">
        <v>35143</v>
      </c>
      <c r="E942">
        <f>MONTH(C942)</f>
        <v>3</v>
      </c>
    </row>
    <row r="943" spans="1:5">
      <c r="A943" t="s">
        <v>5</v>
      </c>
      <c r="B943" t="s">
        <v>188</v>
      </c>
      <c r="C943" s="8">
        <v>46109</v>
      </c>
      <c r="D943" s="9">
        <v>37407</v>
      </c>
      <c r="E943">
        <f>MONTH(C943)</f>
        <v>3</v>
      </c>
    </row>
    <row r="944" spans="1:5">
      <c r="A944" t="s">
        <v>5</v>
      </c>
      <c r="B944" t="s">
        <v>72</v>
      </c>
      <c r="C944" s="8">
        <v>46109</v>
      </c>
      <c r="D944" s="9">
        <v>54184</v>
      </c>
      <c r="E944">
        <f>MONTH(C944)</f>
        <v>3</v>
      </c>
    </row>
    <row r="945" spans="1:5">
      <c r="A945" t="s">
        <v>5</v>
      </c>
      <c r="B945" t="s">
        <v>212</v>
      </c>
      <c r="C945" s="8">
        <v>46109</v>
      </c>
      <c r="D945" s="9">
        <v>30162</v>
      </c>
      <c r="E945">
        <f>MONTH(C945)</f>
        <v>3</v>
      </c>
    </row>
    <row r="946" spans="1:5">
      <c r="A946" t="s">
        <v>25</v>
      </c>
      <c r="B946" t="s">
        <v>173</v>
      </c>
      <c r="C946" s="8">
        <v>46110</v>
      </c>
      <c r="D946" s="9">
        <v>6582</v>
      </c>
      <c r="E946">
        <f>MONTH(C946)</f>
        <v>3</v>
      </c>
    </row>
    <row r="947" spans="1:5">
      <c r="A947" t="s">
        <v>6</v>
      </c>
      <c r="B947" t="s">
        <v>192</v>
      </c>
      <c r="C947" s="8">
        <v>46110</v>
      </c>
      <c r="D947" s="9">
        <v>17879</v>
      </c>
      <c r="E947">
        <f>MONTH(C947)</f>
        <v>3</v>
      </c>
    </row>
    <row r="948" spans="1:5">
      <c r="A948" t="s">
        <v>9</v>
      </c>
      <c r="B948" t="s">
        <v>176</v>
      </c>
      <c r="C948" s="8">
        <v>46110</v>
      </c>
      <c r="D948" s="9">
        <v>24807</v>
      </c>
      <c r="E948">
        <f>MONTH(C948)</f>
        <v>3</v>
      </c>
    </row>
    <row r="949" spans="1:5">
      <c r="A949" t="s">
        <v>5</v>
      </c>
      <c r="B949" t="s">
        <v>72</v>
      </c>
      <c r="C949" s="8">
        <v>46110</v>
      </c>
      <c r="D949" s="9">
        <v>54147</v>
      </c>
      <c r="E949">
        <f>MONTH(C949)</f>
        <v>3</v>
      </c>
    </row>
    <row r="950" spans="1:5">
      <c r="A950" t="s">
        <v>4</v>
      </c>
      <c r="B950" t="s">
        <v>75</v>
      </c>
      <c r="C950" s="8">
        <v>46111</v>
      </c>
      <c r="D950" s="9">
        <v>18565</v>
      </c>
      <c r="E950">
        <f>MONTH(C950)</f>
        <v>3</v>
      </c>
    </row>
    <row r="951" spans="1:5">
      <c r="A951" t="s">
        <v>4</v>
      </c>
      <c r="B951" t="s">
        <v>73</v>
      </c>
      <c r="C951" s="8">
        <v>46111</v>
      </c>
      <c r="D951" s="9">
        <v>35521</v>
      </c>
      <c r="E951">
        <f>MONTH(C951)</f>
        <v>3</v>
      </c>
    </row>
    <row r="952" spans="1:5">
      <c r="A952" t="s">
        <v>31</v>
      </c>
      <c r="B952" t="s">
        <v>48</v>
      </c>
      <c r="C952" s="8">
        <v>46111</v>
      </c>
      <c r="D952" s="9">
        <v>12889</v>
      </c>
      <c r="E952">
        <f>MONTH(C952)</f>
        <v>3</v>
      </c>
    </row>
    <row r="953" spans="1:5">
      <c r="A953" t="s">
        <v>26</v>
      </c>
      <c r="B953" t="s">
        <v>280</v>
      </c>
      <c r="C953" s="8">
        <v>46111</v>
      </c>
      <c r="D953" s="9">
        <v>13699</v>
      </c>
      <c r="E953">
        <f>MONTH(C953)</f>
        <v>3</v>
      </c>
    </row>
    <row r="954" spans="1:5">
      <c r="A954" t="s">
        <v>26</v>
      </c>
      <c r="B954" t="s">
        <v>256</v>
      </c>
      <c r="C954" s="8">
        <v>46111</v>
      </c>
      <c r="D954" s="9">
        <v>12879</v>
      </c>
      <c r="E954">
        <f>MONTH(C954)</f>
        <v>3</v>
      </c>
    </row>
    <row r="955" spans="1:5">
      <c r="A955" t="s">
        <v>6</v>
      </c>
      <c r="B955" t="s">
        <v>141</v>
      </c>
      <c r="C955" s="8">
        <v>46111</v>
      </c>
      <c r="D955" s="9">
        <v>17268</v>
      </c>
      <c r="E955">
        <f>MONTH(C955)</f>
        <v>3</v>
      </c>
    </row>
    <row r="956" spans="1:5">
      <c r="A956" t="s">
        <v>6</v>
      </c>
      <c r="B956" t="s">
        <v>218</v>
      </c>
      <c r="C956" s="8">
        <v>46111</v>
      </c>
      <c r="D956" s="9">
        <v>14223</v>
      </c>
      <c r="E956">
        <f>MONTH(C956)</f>
        <v>3</v>
      </c>
    </row>
    <row r="957" spans="1:5">
      <c r="A957" t="s">
        <v>9</v>
      </c>
      <c r="B957" t="s">
        <v>137</v>
      </c>
      <c r="C957" s="8">
        <v>46111</v>
      </c>
      <c r="D957" s="9">
        <v>18578</v>
      </c>
      <c r="E957">
        <f>MONTH(C957)</f>
        <v>3</v>
      </c>
    </row>
    <row r="958" spans="1:5">
      <c r="A958" t="s">
        <v>5</v>
      </c>
      <c r="B958" t="s">
        <v>133</v>
      </c>
      <c r="C958" s="8">
        <v>46111</v>
      </c>
      <c r="D958" s="9">
        <v>39425</v>
      </c>
      <c r="E958">
        <f>MONTH(C958)</f>
        <v>3</v>
      </c>
    </row>
    <row r="959" spans="1:5">
      <c r="A959" t="s">
        <v>5</v>
      </c>
      <c r="B959" t="s">
        <v>92</v>
      </c>
      <c r="C959" s="8">
        <v>46111</v>
      </c>
      <c r="D959" s="9">
        <v>37086</v>
      </c>
      <c r="E959">
        <f>MONTH(C959)</f>
        <v>3</v>
      </c>
    </row>
    <row r="960" spans="1:5">
      <c r="A960" t="s">
        <v>5</v>
      </c>
      <c r="B960" t="s">
        <v>123</v>
      </c>
      <c r="C960" s="8">
        <v>46111</v>
      </c>
      <c r="D960" s="9">
        <v>41742</v>
      </c>
      <c r="E960">
        <f>MONTH(C960)</f>
        <v>3</v>
      </c>
    </row>
    <row r="961" spans="1:5">
      <c r="A961" t="s">
        <v>5</v>
      </c>
      <c r="B961" t="s">
        <v>189</v>
      </c>
      <c r="C961" s="8">
        <v>46111</v>
      </c>
      <c r="D961" s="9">
        <v>30420</v>
      </c>
      <c r="E961">
        <f>MONTH(C961)</f>
        <v>3</v>
      </c>
    </row>
    <row r="962" spans="1:5">
      <c r="A962" t="s">
        <v>35</v>
      </c>
      <c r="B962" t="s">
        <v>271</v>
      </c>
      <c r="C962" s="8">
        <v>46112</v>
      </c>
      <c r="D962" s="9">
        <v>10955</v>
      </c>
      <c r="E962">
        <f>MONTH(C962)</f>
        <v>3</v>
      </c>
    </row>
    <row r="963" spans="1:5">
      <c r="A963" t="s">
        <v>4</v>
      </c>
      <c r="B963" t="s">
        <v>181</v>
      </c>
      <c r="C963" s="8">
        <v>46112</v>
      </c>
      <c r="D963" s="9">
        <v>28572</v>
      </c>
      <c r="E963">
        <f>MONTH(C963)</f>
        <v>3</v>
      </c>
    </row>
    <row r="964" spans="1:5">
      <c r="A964" t="s">
        <v>4</v>
      </c>
      <c r="B964" t="s">
        <v>136</v>
      </c>
      <c r="C964" s="8">
        <v>46112</v>
      </c>
      <c r="D964" s="9">
        <v>21713</v>
      </c>
      <c r="E964">
        <f>MONTH(C964)</f>
        <v>3</v>
      </c>
    </row>
    <row r="965" spans="1:5">
      <c r="A965" t="s">
        <v>4</v>
      </c>
      <c r="B965" t="s">
        <v>53</v>
      </c>
      <c r="C965" s="8">
        <v>46112</v>
      </c>
      <c r="D965" s="9">
        <v>41763</v>
      </c>
      <c r="E965">
        <f>MONTH(C965)</f>
        <v>3</v>
      </c>
    </row>
    <row r="966" spans="1:5">
      <c r="A966" t="s">
        <v>25</v>
      </c>
      <c r="B966" t="s">
        <v>267</v>
      </c>
      <c r="C966" s="8">
        <v>46112</v>
      </c>
      <c r="D966" s="9">
        <v>15959</v>
      </c>
      <c r="E966">
        <f>MONTH(C966)</f>
        <v>3</v>
      </c>
    </row>
    <row r="967" spans="1:5">
      <c r="A967" t="s">
        <v>8</v>
      </c>
      <c r="B967" t="s">
        <v>214</v>
      </c>
      <c r="C967" s="8">
        <v>46112</v>
      </c>
      <c r="D967" s="9">
        <v>18210</v>
      </c>
      <c r="E967">
        <f>MONTH(C967)</f>
        <v>3</v>
      </c>
    </row>
    <row r="968" spans="1:5">
      <c r="A968" t="s">
        <v>9</v>
      </c>
      <c r="B968" t="s">
        <v>91</v>
      </c>
      <c r="C968" s="8">
        <v>46112</v>
      </c>
      <c r="D968" s="9">
        <v>28075</v>
      </c>
      <c r="E968">
        <f>MONTH(C968)</f>
        <v>3</v>
      </c>
    </row>
    <row r="969" spans="1:5">
      <c r="A969" t="s">
        <v>9</v>
      </c>
      <c r="B969" t="s">
        <v>113</v>
      </c>
      <c r="C969" s="8">
        <v>46112</v>
      </c>
      <c r="D969" s="9">
        <v>38744</v>
      </c>
      <c r="E969">
        <f>MONTH(C969)</f>
        <v>3</v>
      </c>
    </row>
    <row r="970" spans="1:5">
      <c r="A970" t="s">
        <v>9</v>
      </c>
      <c r="B970" t="s">
        <v>58</v>
      </c>
      <c r="C970" s="8">
        <v>46112</v>
      </c>
      <c r="D970" s="9">
        <v>42950</v>
      </c>
      <c r="E970">
        <f>MONTH(C970)</f>
        <v>3</v>
      </c>
    </row>
    <row r="971" spans="1:5">
      <c r="A971" t="s">
        <v>5</v>
      </c>
      <c r="B971" t="s">
        <v>133</v>
      </c>
      <c r="C971" s="8">
        <v>46112</v>
      </c>
      <c r="D971" s="9">
        <v>32079</v>
      </c>
      <c r="E971">
        <f>MONTH(C971)</f>
        <v>3</v>
      </c>
    </row>
    <row r="972" spans="1:5">
      <c r="A972" t="s">
        <v>5</v>
      </c>
      <c r="B972" t="s">
        <v>123</v>
      </c>
      <c r="C972" s="8">
        <v>46112</v>
      </c>
      <c r="D972" s="9">
        <v>32918</v>
      </c>
      <c r="E972">
        <f>MONTH(C972)</f>
        <v>3</v>
      </c>
    </row>
    <row r="973" spans="1:5">
      <c r="A973" t="s">
        <v>5</v>
      </c>
      <c r="B973" t="s">
        <v>73</v>
      </c>
      <c r="C973" s="8">
        <v>46112</v>
      </c>
      <c r="D973" s="9">
        <v>36405</v>
      </c>
      <c r="E973">
        <f>MONTH(C973)</f>
        <v>3</v>
      </c>
    </row>
    <row r="974" spans="1:5">
      <c r="A974" t="s">
        <v>5</v>
      </c>
      <c r="B974" t="s">
        <v>115</v>
      </c>
      <c r="C974" s="8">
        <v>46112</v>
      </c>
      <c r="D974" s="9">
        <v>38418</v>
      </c>
      <c r="E974">
        <f>MONTH(C974)</f>
        <v>3</v>
      </c>
    </row>
    <row r="975" spans="1:5">
      <c r="A975" t="s">
        <v>5</v>
      </c>
      <c r="B975" t="s">
        <v>159</v>
      </c>
      <c r="C975" s="8">
        <v>46112</v>
      </c>
      <c r="D975" s="9">
        <v>47529</v>
      </c>
      <c r="E975">
        <f>MONTH(C975)</f>
        <v>3</v>
      </c>
    </row>
    <row r="976" spans="1:5">
      <c r="A976" t="s">
        <v>5</v>
      </c>
      <c r="B976" t="s">
        <v>109</v>
      </c>
      <c r="C976" s="8">
        <v>46112</v>
      </c>
      <c r="D976" s="9">
        <v>56195</v>
      </c>
      <c r="E976">
        <f>MONTH(C976)</f>
        <v>3</v>
      </c>
    </row>
    <row r="977" spans="1:5">
      <c r="A977" t="s">
        <v>5</v>
      </c>
      <c r="B977" t="s">
        <v>189</v>
      </c>
      <c r="C977" s="8">
        <v>46112</v>
      </c>
      <c r="D977" s="9">
        <v>42276</v>
      </c>
      <c r="E977">
        <f>MONTH(C977)</f>
        <v>3</v>
      </c>
    </row>
    <row r="978" spans="1:5">
      <c r="A978" t="s">
        <v>5</v>
      </c>
      <c r="B978" t="s">
        <v>100</v>
      </c>
      <c r="C978" s="8">
        <v>46112</v>
      </c>
      <c r="D978" s="9">
        <v>46042</v>
      </c>
      <c r="E978">
        <f>MONTH(C978)</f>
        <v>3</v>
      </c>
    </row>
    <row r="979" spans="1:5">
      <c r="A979" t="s">
        <v>31</v>
      </c>
      <c r="B979" t="s">
        <v>68</v>
      </c>
      <c r="C979" s="8">
        <v>46113</v>
      </c>
      <c r="D979" s="9">
        <v>5200</v>
      </c>
      <c r="E979">
        <f>MONTH(C979)</f>
        <v>4</v>
      </c>
    </row>
    <row r="980" spans="1:5">
      <c r="A980" t="s">
        <v>7</v>
      </c>
      <c r="B980" t="s">
        <v>90</v>
      </c>
      <c r="C980" s="8">
        <v>46113</v>
      </c>
      <c r="D980" s="9">
        <v>10045</v>
      </c>
      <c r="E980">
        <f>MONTH(C980)</f>
        <v>4</v>
      </c>
    </row>
    <row r="981" spans="1:5">
      <c r="A981" t="s">
        <v>9</v>
      </c>
      <c r="B981" t="s">
        <v>203</v>
      </c>
      <c r="C981" s="8">
        <v>46113</v>
      </c>
      <c r="D981" s="9">
        <v>29836</v>
      </c>
      <c r="E981">
        <f>MONTH(C981)</f>
        <v>4</v>
      </c>
    </row>
    <row r="982" spans="1:5">
      <c r="A982" t="s">
        <v>9</v>
      </c>
      <c r="B982" t="s">
        <v>250</v>
      </c>
      <c r="C982" s="8">
        <v>46113</v>
      </c>
      <c r="D982" s="9">
        <v>44423</v>
      </c>
      <c r="E982">
        <f>MONTH(C982)</f>
        <v>4</v>
      </c>
    </row>
    <row r="983" spans="1:5">
      <c r="A983" t="s">
        <v>9</v>
      </c>
      <c r="B983" t="s">
        <v>132</v>
      </c>
      <c r="C983" s="8">
        <v>46113</v>
      </c>
      <c r="D983" s="9">
        <v>43826</v>
      </c>
      <c r="E983">
        <f>MONTH(C983)</f>
        <v>4</v>
      </c>
    </row>
    <row r="984" spans="1:5">
      <c r="A984" t="s">
        <v>9</v>
      </c>
      <c r="B984" t="s">
        <v>66</v>
      </c>
      <c r="C984" s="8">
        <v>46113</v>
      </c>
      <c r="D984" s="9">
        <v>34273</v>
      </c>
      <c r="E984">
        <f>MONTH(C984)</f>
        <v>4</v>
      </c>
    </row>
    <row r="985" spans="1:5">
      <c r="A985" t="s">
        <v>9</v>
      </c>
      <c r="B985" t="s">
        <v>223</v>
      </c>
      <c r="C985" s="8">
        <v>46113</v>
      </c>
      <c r="D985" s="9">
        <v>8592</v>
      </c>
      <c r="E985">
        <f>MONTH(C985)</f>
        <v>4</v>
      </c>
    </row>
    <row r="986" spans="1:5">
      <c r="A986" t="s">
        <v>5</v>
      </c>
      <c r="B986" t="s">
        <v>172</v>
      </c>
      <c r="C986" s="8">
        <v>46113</v>
      </c>
      <c r="D986" s="9">
        <v>32009</v>
      </c>
      <c r="E986">
        <f>MONTH(C986)</f>
        <v>4</v>
      </c>
    </row>
    <row r="987" spans="1:5">
      <c r="A987" t="s">
        <v>4</v>
      </c>
      <c r="B987" t="s">
        <v>75</v>
      </c>
      <c r="C987" s="8">
        <v>46114</v>
      </c>
      <c r="D987" s="9">
        <v>9987</v>
      </c>
      <c r="E987">
        <f>MONTH(C987)</f>
        <v>4</v>
      </c>
    </row>
    <row r="988" spans="1:5">
      <c r="A988" t="s">
        <v>30</v>
      </c>
      <c r="B988" t="s">
        <v>224</v>
      </c>
      <c r="C988" s="8">
        <v>46114</v>
      </c>
      <c r="D988" s="9">
        <v>12205</v>
      </c>
      <c r="E988">
        <f>MONTH(C988)</f>
        <v>4</v>
      </c>
    </row>
    <row r="989" spans="1:5">
      <c r="A989" t="s">
        <v>6</v>
      </c>
      <c r="B989" t="s">
        <v>120</v>
      </c>
      <c r="C989" s="8">
        <v>46114</v>
      </c>
      <c r="D989" s="9">
        <v>15226</v>
      </c>
      <c r="E989">
        <f>MONTH(C989)</f>
        <v>4</v>
      </c>
    </row>
    <row r="990" spans="1:5">
      <c r="A990" t="s">
        <v>6</v>
      </c>
      <c r="B990" t="s">
        <v>262</v>
      </c>
      <c r="C990" s="8">
        <v>46114</v>
      </c>
      <c r="D990" s="9">
        <v>16117</v>
      </c>
      <c r="E990">
        <f>MONTH(C990)</f>
        <v>4</v>
      </c>
    </row>
    <row r="991" spans="1:5">
      <c r="A991" t="s">
        <v>29</v>
      </c>
      <c r="B991" t="s">
        <v>51</v>
      </c>
      <c r="C991" s="8">
        <v>46114</v>
      </c>
      <c r="D991" s="9">
        <v>20525</v>
      </c>
      <c r="E991">
        <f>MONTH(C991)</f>
        <v>4</v>
      </c>
    </row>
    <row r="992" spans="1:5">
      <c r="A992" t="s">
        <v>9</v>
      </c>
      <c r="B992" t="s">
        <v>177</v>
      </c>
      <c r="C992" s="8">
        <v>46114</v>
      </c>
      <c r="D992" s="9">
        <v>28136</v>
      </c>
      <c r="E992">
        <f>MONTH(C992)</f>
        <v>4</v>
      </c>
    </row>
    <row r="993" spans="1:5">
      <c r="A993" t="s">
        <v>9</v>
      </c>
      <c r="B993" t="s">
        <v>70</v>
      </c>
      <c r="C993" s="8">
        <v>46114</v>
      </c>
      <c r="D993" s="9">
        <v>25014</v>
      </c>
      <c r="E993">
        <f>MONTH(C993)</f>
        <v>4</v>
      </c>
    </row>
    <row r="994" spans="1:5">
      <c r="A994" t="s">
        <v>5</v>
      </c>
      <c r="B994" t="s">
        <v>188</v>
      </c>
      <c r="C994" s="8">
        <v>46114</v>
      </c>
      <c r="D994" s="9">
        <v>26323</v>
      </c>
      <c r="E994">
        <f>MONTH(C994)</f>
        <v>4</v>
      </c>
    </row>
    <row r="995" spans="1:5">
      <c r="A995" t="s">
        <v>5</v>
      </c>
      <c r="B995" t="s">
        <v>72</v>
      </c>
      <c r="C995" s="8">
        <v>46114</v>
      </c>
      <c r="D995" s="9">
        <v>45914</v>
      </c>
      <c r="E995">
        <f>MONTH(C995)</f>
        <v>4</v>
      </c>
    </row>
    <row r="996" spans="1:5">
      <c r="A996" t="s">
        <v>5</v>
      </c>
      <c r="B996" t="s">
        <v>209</v>
      </c>
      <c r="C996" s="8">
        <v>46114</v>
      </c>
      <c r="D996" s="9">
        <v>38895</v>
      </c>
      <c r="E996">
        <f>MONTH(C996)</f>
        <v>4</v>
      </c>
    </row>
    <row r="997" spans="1:5">
      <c r="A997" t="s">
        <v>5</v>
      </c>
      <c r="B997" t="s">
        <v>74</v>
      </c>
      <c r="C997" s="8">
        <v>46114</v>
      </c>
      <c r="D997" s="9">
        <v>46547</v>
      </c>
      <c r="E997">
        <f>MONTH(C997)</f>
        <v>4</v>
      </c>
    </row>
    <row r="998" spans="1:5">
      <c r="A998" t="s">
        <v>27</v>
      </c>
      <c r="B998" t="s">
        <v>168</v>
      </c>
      <c r="C998" s="8">
        <v>46115</v>
      </c>
      <c r="D998" s="9">
        <v>12195</v>
      </c>
      <c r="E998">
        <f>MONTH(C998)</f>
        <v>4</v>
      </c>
    </row>
    <row r="999" spans="1:5">
      <c r="A999" t="s">
        <v>4</v>
      </c>
      <c r="B999" t="s">
        <v>240</v>
      </c>
      <c r="C999" s="8">
        <v>46115</v>
      </c>
      <c r="D999" s="9">
        <v>18959</v>
      </c>
      <c r="E999">
        <f>MONTH(C999)</f>
        <v>4</v>
      </c>
    </row>
    <row r="1000" spans="1:5">
      <c r="A1000" t="s">
        <v>28</v>
      </c>
      <c r="B1000" t="s">
        <v>174</v>
      </c>
      <c r="C1000" s="8">
        <v>46115</v>
      </c>
      <c r="D1000" s="9">
        <v>5200</v>
      </c>
      <c r="E1000">
        <f>MONTH(C1000)</f>
        <v>4</v>
      </c>
    </row>
    <row r="1001" spans="1:5">
      <c r="A1001" t="s">
        <v>26</v>
      </c>
      <c r="B1001" t="s">
        <v>138</v>
      </c>
      <c r="C1001" s="8">
        <v>46115</v>
      </c>
      <c r="D1001" s="9">
        <v>12645</v>
      </c>
      <c r="E1001">
        <f>MONTH(C1001)</f>
        <v>4</v>
      </c>
    </row>
    <row r="1002" spans="1:5">
      <c r="A1002" t="s">
        <v>26</v>
      </c>
      <c r="B1002" t="s">
        <v>102</v>
      </c>
      <c r="C1002" s="8">
        <v>46115</v>
      </c>
      <c r="D1002" s="9">
        <v>12696</v>
      </c>
      <c r="E1002">
        <f>MONTH(C1002)</f>
        <v>4</v>
      </c>
    </row>
    <row r="1003" spans="1:5">
      <c r="A1003" t="s">
        <v>7</v>
      </c>
      <c r="B1003" t="s">
        <v>275</v>
      </c>
      <c r="C1003" s="8">
        <v>46115</v>
      </c>
      <c r="D1003" s="9">
        <v>21382</v>
      </c>
      <c r="E1003">
        <f>MONTH(C1003)</f>
        <v>4</v>
      </c>
    </row>
    <row r="1004" spans="1:5">
      <c r="A1004" t="s">
        <v>5</v>
      </c>
      <c r="B1004" t="s">
        <v>134</v>
      </c>
      <c r="C1004" s="8">
        <v>46115</v>
      </c>
      <c r="D1004" s="9">
        <v>25573</v>
      </c>
      <c r="E1004">
        <f>MONTH(C1004)</f>
        <v>4</v>
      </c>
    </row>
    <row r="1005" spans="1:5">
      <c r="A1005" t="s">
        <v>27</v>
      </c>
      <c r="B1005" t="s">
        <v>135</v>
      </c>
      <c r="C1005" s="8">
        <v>46116</v>
      </c>
      <c r="D1005" s="9">
        <v>13238</v>
      </c>
      <c r="E1005">
        <f>MONTH(C1005)</f>
        <v>4</v>
      </c>
    </row>
    <row r="1006" spans="1:5">
      <c r="A1006" t="s">
        <v>4</v>
      </c>
      <c r="B1006" t="s">
        <v>235</v>
      </c>
      <c r="C1006" s="8">
        <v>46116</v>
      </c>
      <c r="D1006" s="9">
        <v>38933</v>
      </c>
      <c r="E1006">
        <f>MONTH(C1006)</f>
        <v>4</v>
      </c>
    </row>
    <row r="1007" spans="1:5">
      <c r="A1007" t="s">
        <v>4</v>
      </c>
      <c r="B1007" t="s">
        <v>190</v>
      </c>
      <c r="C1007" s="8">
        <v>46116</v>
      </c>
      <c r="D1007" s="9">
        <v>14061</v>
      </c>
      <c r="E1007">
        <f>MONTH(C1007)</f>
        <v>4</v>
      </c>
    </row>
    <row r="1008" spans="1:5">
      <c r="A1008" t="s">
        <v>4</v>
      </c>
      <c r="B1008" t="s">
        <v>146</v>
      </c>
      <c r="C1008" s="8">
        <v>46116</v>
      </c>
      <c r="D1008" s="9">
        <v>22927</v>
      </c>
      <c r="E1008">
        <f>MONTH(C1008)</f>
        <v>4</v>
      </c>
    </row>
    <row r="1009" spans="1:5">
      <c r="A1009" t="s">
        <v>4</v>
      </c>
      <c r="B1009" t="s">
        <v>50</v>
      </c>
      <c r="C1009" s="8">
        <v>46116</v>
      </c>
      <c r="D1009" s="9">
        <v>24363</v>
      </c>
      <c r="E1009">
        <f>MONTH(C1009)</f>
        <v>4</v>
      </c>
    </row>
    <row r="1010" spans="1:5">
      <c r="A1010" t="s">
        <v>26</v>
      </c>
      <c r="B1010" t="s">
        <v>280</v>
      </c>
      <c r="C1010" s="8">
        <v>46116</v>
      </c>
      <c r="D1010" s="9">
        <v>13142</v>
      </c>
      <c r="E1010">
        <f>MONTH(C1010)</f>
        <v>4</v>
      </c>
    </row>
    <row r="1011" spans="1:5">
      <c r="A1011" t="s">
        <v>30</v>
      </c>
      <c r="B1011" t="s">
        <v>206</v>
      </c>
      <c r="C1011" s="8">
        <v>46116</v>
      </c>
      <c r="D1011" s="9">
        <v>13971</v>
      </c>
      <c r="E1011">
        <f>MONTH(C1011)</f>
        <v>4</v>
      </c>
    </row>
    <row r="1012" spans="1:5">
      <c r="A1012" t="s">
        <v>8</v>
      </c>
      <c r="B1012" t="s">
        <v>281</v>
      </c>
      <c r="C1012" s="8">
        <v>46116</v>
      </c>
      <c r="D1012" s="9">
        <v>5200</v>
      </c>
      <c r="E1012">
        <f>MONTH(C1012)</f>
        <v>4</v>
      </c>
    </row>
    <row r="1013" spans="1:5">
      <c r="A1013" t="s">
        <v>6</v>
      </c>
      <c r="B1013" t="s">
        <v>263</v>
      </c>
      <c r="C1013" s="8">
        <v>46116</v>
      </c>
      <c r="D1013" s="9">
        <v>12244</v>
      </c>
      <c r="E1013">
        <f>MONTH(C1013)</f>
        <v>4</v>
      </c>
    </row>
    <row r="1014" spans="1:5">
      <c r="A1014" t="s">
        <v>9</v>
      </c>
      <c r="B1014" t="s">
        <v>283</v>
      </c>
      <c r="C1014" s="8">
        <v>46116</v>
      </c>
      <c r="D1014" s="9">
        <v>49120</v>
      </c>
      <c r="E1014">
        <f>MONTH(C1014)</f>
        <v>4</v>
      </c>
    </row>
    <row r="1015" spans="1:5">
      <c r="A1015" t="s">
        <v>5</v>
      </c>
      <c r="B1015" t="s">
        <v>72</v>
      </c>
      <c r="C1015" s="8">
        <v>46116</v>
      </c>
      <c r="D1015" s="9">
        <v>46639</v>
      </c>
      <c r="E1015">
        <f>MONTH(C1015)</f>
        <v>4</v>
      </c>
    </row>
    <row r="1016" spans="1:5">
      <c r="A1016" t="s">
        <v>5</v>
      </c>
      <c r="B1016" t="s">
        <v>84</v>
      </c>
      <c r="C1016" s="8">
        <v>46116</v>
      </c>
      <c r="D1016" s="9">
        <v>42541</v>
      </c>
      <c r="E1016">
        <f>MONTH(C1016)</f>
        <v>4</v>
      </c>
    </row>
    <row r="1017" spans="1:5">
      <c r="A1017" t="s">
        <v>5</v>
      </c>
      <c r="B1017" t="s">
        <v>115</v>
      </c>
      <c r="C1017" s="8">
        <v>46116</v>
      </c>
      <c r="D1017" s="9">
        <v>33638</v>
      </c>
      <c r="E1017">
        <f>MONTH(C1017)</f>
        <v>4</v>
      </c>
    </row>
    <row r="1018" spans="1:5">
      <c r="A1018" t="s">
        <v>5</v>
      </c>
      <c r="B1018" t="s">
        <v>54</v>
      </c>
      <c r="C1018" s="8">
        <v>46116</v>
      </c>
      <c r="D1018" s="9">
        <v>42976</v>
      </c>
      <c r="E1018">
        <f>MONTH(C1018)</f>
        <v>4</v>
      </c>
    </row>
    <row r="1019" spans="1:5">
      <c r="A1019" t="s">
        <v>5</v>
      </c>
      <c r="B1019" t="s">
        <v>124</v>
      </c>
      <c r="C1019" s="8">
        <v>46116</v>
      </c>
      <c r="D1019" s="9">
        <v>35233</v>
      </c>
      <c r="E1019">
        <f>MONTH(C1019)</f>
        <v>4</v>
      </c>
    </row>
    <row r="1020" spans="1:5">
      <c r="A1020" t="s">
        <v>5</v>
      </c>
      <c r="B1020" t="s">
        <v>277</v>
      </c>
      <c r="C1020" s="8">
        <v>46116</v>
      </c>
      <c r="D1020" s="9">
        <v>49735</v>
      </c>
      <c r="E1020">
        <f>MONTH(C1020)</f>
        <v>4</v>
      </c>
    </row>
    <row r="1021" spans="1:5">
      <c r="A1021" t="s">
        <v>31</v>
      </c>
      <c r="B1021" t="s">
        <v>77</v>
      </c>
      <c r="C1021" s="8">
        <v>46117</v>
      </c>
      <c r="D1021" s="9">
        <v>21491</v>
      </c>
      <c r="E1021">
        <f>MONTH(C1021)</f>
        <v>4</v>
      </c>
    </row>
    <row r="1022" spans="1:5">
      <c r="A1022" t="s">
        <v>8</v>
      </c>
      <c r="B1022" t="s">
        <v>258</v>
      </c>
      <c r="C1022" s="8">
        <v>46117</v>
      </c>
      <c r="D1022" s="9">
        <v>5200</v>
      </c>
      <c r="E1022">
        <f>MONTH(C1022)</f>
        <v>4</v>
      </c>
    </row>
    <row r="1023" spans="1:5">
      <c r="A1023" t="s">
        <v>33</v>
      </c>
      <c r="B1023" t="s">
        <v>248</v>
      </c>
      <c r="C1023" s="8">
        <v>46117</v>
      </c>
      <c r="D1023" s="9">
        <v>12894</v>
      </c>
      <c r="E1023">
        <f>MONTH(C1023)</f>
        <v>4</v>
      </c>
    </row>
    <row r="1024" spans="1:5">
      <c r="A1024" t="s">
        <v>9</v>
      </c>
      <c r="B1024" t="s">
        <v>221</v>
      </c>
      <c r="C1024" s="8">
        <v>46117</v>
      </c>
      <c r="D1024" s="9">
        <v>25209</v>
      </c>
      <c r="E1024">
        <f>MONTH(C1024)</f>
        <v>4</v>
      </c>
    </row>
    <row r="1025" spans="1:5">
      <c r="A1025" t="s">
        <v>9</v>
      </c>
      <c r="B1025" t="s">
        <v>71</v>
      </c>
      <c r="C1025" s="8">
        <v>46117</v>
      </c>
      <c r="D1025" s="9">
        <v>47903</v>
      </c>
      <c r="E1025">
        <f>MONTH(C1025)</f>
        <v>4</v>
      </c>
    </row>
    <row r="1026" spans="1:5">
      <c r="A1026" t="s">
        <v>5</v>
      </c>
      <c r="B1026" t="s">
        <v>72</v>
      </c>
      <c r="C1026" s="8">
        <v>46117</v>
      </c>
      <c r="D1026" s="9">
        <v>46331</v>
      </c>
      <c r="E1026">
        <f>MONTH(C1026)</f>
        <v>4</v>
      </c>
    </row>
    <row r="1027" spans="1:5">
      <c r="A1027" t="s">
        <v>5</v>
      </c>
      <c r="B1027" t="s">
        <v>91</v>
      </c>
      <c r="C1027" s="8">
        <v>46117</v>
      </c>
      <c r="D1027" s="9">
        <v>36824</v>
      </c>
      <c r="E1027">
        <f>MONTH(C1027)</f>
        <v>4</v>
      </c>
    </row>
    <row r="1028" spans="1:5">
      <c r="A1028" t="s">
        <v>5</v>
      </c>
      <c r="B1028" t="s">
        <v>270</v>
      </c>
      <c r="C1028" s="8">
        <v>46117</v>
      </c>
      <c r="D1028" s="9">
        <v>50823</v>
      </c>
      <c r="E1028">
        <f>MONTH(C1028)</f>
        <v>4</v>
      </c>
    </row>
    <row r="1029" spans="1:5">
      <c r="A1029" t="s">
        <v>5</v>
      </c>
      <c r="B1029" t="s">
        <v>204</v>
      </c>
      <c r="C1029" s="8">
        <v>46117</v>
      </c>
      <c r="D1029" s="9">
        <v>60027</v>
      </c>
      <c r="E1029">
        <f>MONTH(C1029)</f>
        <v>4</v>
      </c>
    </row>
    <row r="1030" spans="1:5">
      <c r="A1030" t="s">
        <v>27</v>
      </c>
      <c r="B1030" t="s">
        <v>125</v>
      </c>
      <c r="C1030" s="8">
        <v>46118</v>
      </c>
      <c r="D1030" s="9">
        <v>11091</v>
      </c>
      <c r="E1030">
        <f>MONTH(C1030)</f>
        <v>4</v>
      </c>
    </row>
    <row r="1031" spans="1:5">
      <c r="A1031" t="s">
        <v>26</v>
      </c>
      <c r="B1031" t="s">
        <v>59</v>
      </c>
      <c r="C1031" s="8">
        <v>46118</v>
      </c>
      <c r="D1031" s="9">
        <v>13130</v>
      </c>
      <c r="E1031">
        <f>MONTH(C1031)</f>
        <v>4</v>
      </c>
    </row>
    <row r="1032" spans="1:5">
      <c r="A1032" t="s">
        <v>26</v>
      </c>
      <c r="B1032" t="s">
        <v>119</v>
      </c>
      <c r="C1032" s="8">
        <v>46118</v>
      </c>
      <c r="D1032" s="9">
        <v>5200</v>
      </c>
      <c r="E1032">
        <f>MONTH(C1032)</f>
        <v>4</v>
      </c>
    </row>
    <row r="1033" spans="1:5">
      <c r="A1033" t="s">
        <v>8</v>
      </c>
      <c r="B1033" t="s">
        <v>147</v>
      </c>
      <c r="C1033" s="8">
        <v>46118</v>
      </c>
      <c r="D1033" s="9">
        <v>15267</v>
      </c>
      <c r="E1033">
        <f>MONTH(C1033)</f>
        <v>4</v>
      </c>
    </row>
    <row r="1034" spans="1:5">
      <c r="A1034" t="s">
        <v>7</v>
      </c>
      <c r="B1034" t="s">
        <v>142</v>
      </c>
      <c r="C1034" s="8">
        <v>46118</v>
      </c>
      <c r="D1034" s="9">
        <v>6568</v>
      </c>
      <c r="E1034">
        <f>MONTH(C1034)</f>
        <v>4</v>
      </c>
    </row>
    <row r="1035" spans="1:5">
      <c r="A1035" t="s">
        <v>7</v>
      </c>
      <c r="B1035" t="s">
        <v>175</v>
      </c>
      <c r="C1035" s="8">
        <v>46118</v>
      </c>
      <c r="D1035" s="9">
        <v>28398</v>
      </c>
      <c r="E1035">
        <f>MONTH(C1035)</f>
        <v>4</v>
      </c>
    </row>
    <row r="1036" spans="1:5">
      <c r="A1036" t="s">
        <v>9</v>
      </c>
      <c r="B1036" t="s">
        <v>113</v>
      </c>
      <c r="C1036" s="8">
        <v>46118</v>
      </c>
      <c r="D1036" s="9">
        <v>23946</v>
      </c>
      <c r="E1036">
        <f>MONTH(C1036)</f>
        <v>4</v>
      </c>
    </row>
    <row r="1037" spans="1:5">
      <c r="A1037" t="s">
        <v>5</v>
      </c>
      <c r="B1037" t="s">
        <v>101</v>
      </c>
      <c r="C1037" s="8">
        <v>46118</v>
      </c>
      <c r="D1037" s="9">
        <v>39036</v>
      </c>
      <c r="E1037">
        <f>MONTH(C1037)</f>
        <v>4</v>
      </c>
    </row>
    <row r="1038" spans="1:5">
      <c r="A1038" t="s">
        <v>5</v>
      </c>
      <c r="B1038" t="s">
        <v>270</v>
      </c>
      <c r="C1038" s="8">
        <v>46118</v>
      </c>
      <c r="D1038" s="9">
        <v>43262</v>
      </c>
      <c r="E1038">
        <f>MONTH(C1038)</f>
        <v>4</v>
      </c>
    </row>
    <row r="1039" spans="1:5">
      <c r="A1039" t="s">
        <v>5</v>
      </c>
      <c r="B1039" t="s">
        <v>100</v>
      </c>
      <c r="C1039" s="8">
        <v>46118</v>
      </c>
      <c r="D1039" s="9">
        <v>41138</v>
      </c>
      <c r="E1039">
        <f>MONTH(C1039)</f>
        <v>4</v>
      </c>
    </row>
    <row r="1040" spans="1:5">
      <c r="A1040" t="s">
        <v>4</v>
      </c>
      <c r="B1040" t="s">
        <v>106</v>
      </c>
      <c r="C1040" s="8">
        <v>46119</v>
      </c>
      <c r="D1040" s="9">
        <v>35190</v>
      </c>
      <c r="E1040">
        <f>MONTH(C1040)</f>
        <v>4</v>
      </c>
    </row>
    <row r="1041" spans="1:5">
      <c r="A1041" t="s">
        <v>4</v>
      </c>
      <c r="B1041" t="s">
        <v>136</v>
      </c>
      <c r="C1041" s="8">
        <v>46119</v>
      </c>
      <c r="D1041" s="9">
        <v>19286</v>
      </c>
      <c r="E1041">
        <f>MONTH(C1041)</f>
        <v>4</v>
      </c>
    </row>
    <row r="1042" spans="1:5">
      <c r="A1042" t="s">
        <v>4</v>
      </c>
      <c r="B1042" t="s">
        <v>165</v>
      </c>
      <c r="C1042" s="8">
        <v>46119</v>
      </c>
      <c r="D1042" s="9">
        <v>24105</v>
      </c>
      <c r="E1042">
        <f>MONTH(C1042)</f>
        <v>4</v>
      </c>
    </row>
    <row r="1043" spans="1:5">
      <c r="A1043" t="s">
        <v>25</v>
      </c>
      <c r="B1043" t="s">
        <v>278</v>
      </c>
      <c r="C1043" s="8">
        <v>46119</v>
      </c>
      <c r="D1043" s="9">
        <v>13275</v>
      </c>
      <c r="E1043">
        <f>MONTH(C1043)</f>
        <v>4</v>
      </c>
    </row>
    <row r="1044" spans="1:5">
      <c r="A1044" t="s">
        <v>6</v>
      </c>
      <c r="B1044" t="s">
        <v>130</v>
      </c>
      <c r="C1044" s="8">
        <v>46119</v>
      </c>
      <c r="D1044" s="9">
        <v>19425</v>
      </c>
      <c r="E1044">
        <f>MONTH(C1044)</f>
        <v>4</v>
      </c>
    </row>
    <row r="1045" spans="1:5">
      <c r="A1045" t="s">
        <v>7</v>
      </c>
      <c r="B1045" t="s">
        <v>201</v>
      </c>
      <c r="C1045" s="8">
        <v>46119</v>
      </c>
      <c r="D1045" s="9">
        <v>18102</v>
      </c>
      <c r="E1045">
        <f>MONTH(C1045)</f>
        <v>4</v>
      </c>
    </row>
    <row r="1046" spans="1:5">
      <c r="A1046" t="s">
        <v>9</v>
      </c>
      <c r="B1046" t="s">
        <v>269</v>
      </c>
      <c r="C1046" s="8">
        <v>46119</v>
      </c>
      <c r="D1046" s="9">
        <v>41783</v>
      </c>
      <c r="E1046">
        <f>MONTH(C1046)</f>
        <v>4</v>
      </c>
    </row>
    <row r="1047" spans="1:5">
      <c r="A1047" t="s">
        <v>9</v>
      </c>
      <c r="B1047" t="s">
        <v>73</v>
      </c>
      <c r="C1047" s="8">
        <v>46119</v>
      </c>
      <c r="D1047" s="9">
        <v>35808</v>
      </c>
      <c r="E1047">
        <f>MONTH(C1047)</f>
        <v>4</v>
      </c>
    </row>
    <row r="1048" spans="1:5">
      <c r="A1048" t="s">
        <v>9</v>
      </c>
      <c r="B1048" t="s">
        <v>157</v>
      </c>
      <c r="C1048" s="8">
        <v>46119</v>
      </c>
      <c r="D1048" s="9">
        <v>27129</v>
      </c>
      <c r="E1048">
        <f>MONTH(C1048)</f>
        <v>4</v>
      </c>
    </row>
    <row r="1049" spans="1:5">
      <c r="A1049" t="s">
        <v>4</v>
      </c>
      <c r="B1049" t="s">
        <v>60</v>
      </c>
      <c r="C1049" s="8">
        <v>46120</v>
      </c>
      <c r="D1049" s="9">
        <v>26491</v>
      </c>
      <c r="E1049">
        <f>MONTH(C1049)</f>
        <v>4</v>
      </c>
    </row>
    <row r="1050" spans="1:5">
      <c r="A1050" t="s">
        <v>4</v>
      </c>
      <c r="B1050" t="s">
        <v>195</v>
      </c>
      <c r="C1050" s="8">
        <v>46120</v>
      </c>
      <c r="D1050" s="9">
        <v>49561</v>
      </c>
      <c r="E1050">
        <f>MONTH(C1050)</f>
        <v>4</v>
      </c>
    </row>
    <row r="1051" spans="1:5">
      <c r="A1051" t="s">
        <v>36</v>
      </c>
      <c r="B1051" t="s">
        <v>229</v>
      </c>
      <c r="C1051" s="8">
        <v>46120</v>
      </c>
      <c r="D1051" s="9">
        <v>11597</v>
      </c>
      <c r="E1051">
        <f>MONTH(C1051)</f>
        <v>4</v>
      </c>
    </row>
    <row r="1052" spans="1:5">
      <c r="A1052" t="s">
        <v>26</v>
      </c>
      <c r="B1052" t="s">
        <v>205</v>
      </c>
      <c r="C1052" s="8">
        <v>46120</v>
      </c>
      <c r="D1052" s="9">
        <v>14865</v>
      </c>
      <c r="E1052">
        <f>MONTH(C1052)</f>
        <v>4</v>
      </c>
    </row>
    <row r="1053" spans="1:5">
      <c r="A1053" t="s">
        <v>8</v>
      </c>
      <c r="B1053" t="s">
        <v>225</v>
      </c>
      <c r="C1053" s="8">
        <v>46120</v>
      </c>
      <c r="D1053" s="9">
        <v>28304</v>
      </c>
      <c r="E1053">
        <f>MONTH(C1053)</f>
        <v>4</v>
      </c>
    </row>
    <row r="1054" spans="1:5">
      <c r="A1054" t="s">
        <v>7</v>
      </c>
      <c r="B1054" t="s">
        <v>193</v>
      </c>
      <c r="C1054" s="8">
        <v>46120</v>
      </c>
      <c r="D1054" s="9">
        <v>21297</v>
      </c>
      <c r="E1054">
        <f>MONTH(C1054)</f>
        <v>4</v>
      </c>
    </row>
    <row r="1055" spans="1:5">
      <c r="A1055" t="s">
        <v>9</v>
      </c>
      <c r="B1055" t="s">
        <v>233</v>
      </c>
      <c r="C1055" s="8">
        <v>46120</v>
      </c>
      <c r="D1055" s="9">
        <v>16970</v>
      </c>
      <c r="E1055">
        <f>MONTH(C1055)</f>
        <v>4</v>
      </c>
    </row>
    <row r="1056" spans="1:5">
      <c r="A1056" t="s">
        <v>9</v>
      </c>
      <c r="B1056" t="s">
        <v>164</v>
      </c>
      <c r="C1056" s="8">
        <v>46120</v>
      </c>
      <c r="D1056" s="9">
        <v>27855</v>
      </c>
      <c r="E1056">
        <f>MONTH(C1056)</f>
        <v>4</v>
      </c>
    </row>
    <row r="1057" spans="1:5">
      <c r="A1057" t="s">
        <v>9</v>
      </c>
      <c r="B1057" t="s">
        <v>91</v>
      </c>
      <c r="C1057" s="8">
        <v>46120</v>
      </c>
      <c r="D1057" s="9">
        <v>23161</v>
      </c>
      <c r="E1057">
        <f>MONTH(C1057)</f>
        <v>4</v>
      </c>
    </row>
    <row r="1058" spans="1:5">
      <c r="A1058" t="s">
        <v>9</v>
      </c>
      <c r="B1058" t="s">
        <v>82</v>
      </c>
      <c r="C1058" s="8">
        <v>46120</v>
      </c>
      <c r="D1058" s="9">
        <v>32582</v>
      </c>
      <c r="E1058">
        <f>MONTH(C1058)</f>
        <v>4</v>
      </c>
    </row>
    <row r="1059" spans="1:5">
      <c r="A1059" t="s">
        <v>9</v>
      </c>
      <c r="B1059" t="s">
        <v>220</v>
      </c>
      <c r="C1059" s="8">
        <v>46120</v>
      </c>
      <c r="D1059" s="9">
        <v>32302</v>
      </c>
      <c r="E1059">
        <f>MONTH(C1059)</f>
        <v>4</v>
      </c>
    </row>
    <row r="1060" spans="1:5">
      <c r="A1060" t="s">
        <v>5</v>
      </c>
      <c r="B1060" t="s">
        <v>49</v>
      </c>
      <c r="C1060" s="8">
        <v>46120</v>
      </c>
      <c r="D1060" s="9">
        <v>30657</v>
      </c>
      <c r="E1060">
        <f>MONTH(C1060)</f>
        <v>4</v>
      </c>
    </row>
    <row r="1061" spans="1:5">
      <c r="A1061" t="s">
        <v>5</v>
      </c>
      <c r="B1061" t="s">
        <v>97</v>
      </c>
      <c r="C1061" s="8">
        <v>46120</v>
      </c>
      <c r="D1061" s="9">
        <v>53699</v>
      </c>
      <c r="E1061">
        <f>MONTH(C1061)</f>
        <v>4</v>
      </c>
    </row>
    <row r="1062" spans="1:5">
      <c r="A1062" t="s">
        <v>5</v>
      </c>
      <c r="B1062" t="s">
        <v>101</v>
      </c>
      <c r="C1062" s="8">
        <v>46120</v>
      </c>
      <c r="D1062" s="9">
        <v>25660</v>
      </c>
      <c r="E1062">
        <f>MONTH(C1062)</f>
        <v>4</v>
      </c>
    </row>
    <row r="1063" spans="1:5">
      <c r="A1063" t="s">
        <v>5</v>
      </c>
      <c r="B1063" t="s">
        <v>252</v>
      </c>
      <c r="C1063" s="8">
        <v>46120</v>
      </c>
      <c r="D1063" s="9">
        <v>36975</v>
      </c>
      <c r="E1063">
        <f>MONTH(C1063)</f>
        <v>4</v>
      </c>
    </row>
    <row r="1064" spans="1:5">
      <c r="A1064" t="s">
        <v>27</v>
      </c>
      <c r="B1064" t="s">
        <v>149</v>
      </c>
      <c r="C1064" s="8">
        <v>46121</v>
      </c>
      <c r="D1064" s="9">
        <v>12365</v>
      </c>
      <c r="E1064">
        <f>MONTH(C1064)</f>
        <v>4</v>
      </c>
    </row>
    <row r="1065" spans="1:5">
      <c r="A1065" t="s">
        <v>27</v>
      </c>
      <c r="B1065" t="s">
        <v>253</v>
      </c>
      <c r="C1065" s="8">
        <v>46121</v>
      </c>
      <c r="D1065" s="9">
        <v>5200</v>
      </c>
      <c r="E1065">
        <f>MONTH(C1065)</f>
        <v>4</v>
      </c>
    </row>
    <row r="1066" spans="1:5">
      <c r="A1066" t="s">
        <v>4</v>
      </c>
      <c r="B1066" t="s">
        <v>84</v>
      </c>
      <c r="C1066" s="8">
        <v>46121</v>
      </c>
      <c r="D1066" s="9">
        <v>41562</v>
      </c>
      <c r="E1066">
        <f>MONTH(C1066)</f>
        <v>4</v>
      </c>
    </row>
    <row r="1067" spans="1:5">
      <c r="A1067" t="s">
        <v>25</v>
      </c>
      <c r="B1067" t="s">
        <v>153</v>
      </c>
      <c r="C1067" s="8">
        <v>46121</v>
      </c>
      <c r="D1067" s="9">
        <v>9281</v>
      </c>
      <c r="E1067">
        <f>MONTH(C1067)</f>
        <v>4</v>
      </c>
    </row>
    <row r="1068" spans="1:5">
      <c r="A1068" t="s">
        <v>26</v>
      </c>
      <c r="B1068" t="s">
        <v>78</v>
      </c>
      <c r="C1068" s="8">
        <v>46121</v>
      </c>
      <c r="D1068" s="9">
        <v>9698</v>
      </c>
      <c r="E1068">
        <f>MONTH(C1068)</f>
        <v>4</v>
      </c>
    </row>
    <row r="1069" spans="1:5">
      <c r="A1069" t="s">
        <v>26</v>
      </c>
      <c r="B1069" t="s">
        <v>95</v>
      </c>
      <c r="C1069" s="8">
        <v>46121</v>
      </c>
      <c r="D1069" s="9">
        <v>5200</v>
      </c>
      <c r="E1069">
        <f>MONTH(C1069)</f>
        <v>4</v>
      </c>
    </row>
    <row r="1070" spans="1:5">
      <c r="A1070" t="s">
        <v>26</v>
      </c>
      <c r="B1070" t="s">
        <v>257</v>
      </c>
      <c r="C1070" s="8">
        <v>46121</v>
      </c>
      <c r="D1070" s="9">
        <v>11238</v>
      </c>
      <c r="E1070">
        <f>MONTH(C1070)</f>
        <v>4</v>
      </c>
    </row>
    <row r="1071" spans="1:5">
      <c r="A1071" t="s">
        <v>6</v>
      </c>
      <c r="B1071" t="s">
        <v>80</v>
      </c>
      <c r="C1071" s="8">
        <v>46121</v>
      </c>
      <c r="D1071" s="9">
        <v>36441</v>
      </c>
      <c r="E1071">
        <f>MONTH(C1071)</f>
        <v>4</v>
      </c>
    </row>
    <row r="1072" spans="1:5">
      <c r="A1072" t="s">
        <v>7</v>
      </c>
      <c r="B1072" t="s">
        <v>226</v>
      </c>
      <c r="C1072" s="8">
        <v>46121</v>
      </c>
      <c r="D1072" s="9">
        <v>20651</v>
      </c>
      <c r="E1072">
        <f>MONTH(C1072)</f>
        <v>4</v>
      </c>
    </row>
    <row r="1073" spans="1:5">
      <c r="A1073" t="s">
        <v>9</v>
      </c>
      <c r="B1073" t="s">
        <v>92</v>
      </c>
      <c r="C1073" s="8">
        <v>46121</v>
      </c>
      <c r="D1073" s="9">
        <v>38470</v>
      </c>
      <c r="E1073">
        <f>MONTH(C1073)</f>
        <v>4</v>
      </c>
    </row>
    <row r="1074" spans="1:5">
      <c r="A1074" t="s">
        <v>9</v>
      </c>
      <c r="B1074" t="s">
        <v>219</v>
      </c>
      <c r="C1074" s="8">
        <v>46121</v>
      </c>
      <c r="D1074" s="9">
        <v>25734</v>
      </c>
      <c r="E1074">
        <f>MONTH(C1074)</f>
        <v>4</v>
      </c>
    </row>
    <row r="1075" spans="1:5">
      <c r="A1075" t="s">
        <v>9</v>
      </c>
      <c r="B1075" t="s">
        <v>107</v>
      </c>
      <c r="C1075" s="8">
        <v>46121</v>
      </c>
      <c r="D1075" s="9">
        <v>38260</v>
      </c>
      <c r="E1075">
        <f>MONTH(C1075)</f>
        <v>4</v>
      </c>
    </row>
    <row r="1076" spans="1:5">
      <c r="A1076" t="s">
        <v>9</v>
      </c>
      <c r="B1076" t="s">
        <v>264</v>
      </c>
      <c r="C1076" s="8">
        <v>46121</v>
      </c>
      <c r="D1076" s="9">
        <v>43369</v>
      </c>
      <c r="E1076">
        <f>MONTH(C1076)</f>
        <v>4</v>
      </c>
    </row>
    <row r="1077" spans="1:5">
      <c r="A1077" t="s">
        <v>9</v>
      </c>
      <c r="B1077" t="s">
        <v>179</v>
      </c>
      <c r="C1077" s="8">
        <v>46121</v>
      </c>
      <c r="D1077" s="9">
        <v>43067</v>
      </c>
      <c r="E1077">
        <f>MONTH(C1077)</f>
        <v>4</v>
      </c>
    </row>
    <row r="1078" spans="1:5">
      <c r="A1078" t="s">
        <v>5</v>
      </c>
      <c r="B1078" t="s">
        <v>133</v>
      </c>
      <c r="C1078" s="8">
        <v>46121</v>
      </c>
      <c r="D1078" s="9">
        <v>40061</v>
      </c>
      <c r="E1078">
        <f>MONTH(C1078)</f>
        <v>4</v>
      </c>
    </row>
    <row r="1079" spans="1:5">
      <c r="A1079" t="s">
        <v>5</v>
      </c>
      <c r="B1079" t="s">
        <v>167</v>
      </c>
      <c r="C1079" s="8">
        <v>46121</v>
      </c>
      <c r="D1079" s="9">
        <v>28208</v>
      </c>
      <c r="E1079">
        <f>MONTH(C1079)</f>
        <v>4</v>
      </c>
    </row>
    <row r="1080" spans="1:5">
      <c r="A1080" t="s">
        <v>5</v>
      </c>
      <c r="B1080" t="s">
        <v>98</v>
      </c>
      <c r="C1080" s="8">
        <v>46121</v>
      </c>
      <c r="D1080" s="9">
        <v>42578</v>
      </c>
      <c r="E1080">
        <f>MONTH(C1080)</f>
        <v>4</v>
      </c>
    </row>
    <row r="1081" spans="1:5">
      <c r="A1081" t="s">
        <v>5</v>
      </c>
      <c r="B1081" t="s">
        <v>277</v>
      </c>
      <c r="C1081" s="8">
        <v>46121</v>
      </c>
      <c r="D1081" s="9">
        <v>46404</v>
      </c>
      <c r="E1081">
        <f>MONTH(C1081)</f>
        <v>4</v>
      </c>
    </row>
    <row r="1082" spans="1:5">
      <c r="A1082" t="s">
        <v>5</v>
      </c>
      <c r="B1082" t="s">
        <v>61</v>
      </c>
      <c r="C1082" s="8">
        <v>46121</v>
      </c>
      <c r="D1082" s="9">
        <v>39740</v>
      </c>
      <c r="E1082">
        <f>MONTH(C1082)</f>
        <v>4</v>
      </c>
    </row>
    <row r="1083" spans="1:5">
      <c r="A1083" t="s">
        <v>5</v>
      </c>
      <c r="B1083" t="s">
        <v>58</v>
      </c>
      <c r="C1083" s="8">
        <v>46121</v>
      </c>
      <c r="D1083" s="9">
        <v>53697</v>
      </c>
      <c r="E1083">
        <f>MONTH(C1083)</f>
        <v>4</v>
      </c>
    </row>
    <row r="1084" spans="1:5">
      <c r="A1084" t="s">
        <v>9</v>
      </c>
      <c r="B1084" t="s">
        <v>109</v>
      </c>
      <c r="C1084" s="8">
        <v>46122</v>
      </c>
      <c r="D1084" s="9">
        <v>50362</v>
      </c>
      <c r="E1084">
        <f>MONTH(C1084)</f>
        <v>4</v>
      </c>
    </row>
    <row r="1085" spans="1:5">
      <c r="A1085" t="s">
        <v>5</v>
      </c>
      <c r="B1085" t="s">
        <v>159</v>
      </c>
      <c r="C1085" s="8">
        <v>46122</v>
      </c>
      <c r="D1085" s="9">
        <v>39970</v>
      </c>
      <c r="E1085">
        <f>MONTH(C1085)</f>
        <v>4</v>
      </c>
    </row>
    <row r="1086" spans="1:5">
      <c r="A1086" t="s">
        <v>5</v>
      </c>
      <c r="B1086" t="s">
        <v>252</v>
      </c>
      <c r="C1086" s="8">
        <v>46122</v>
      </c>
      <c r="D1086" s="9">
        <v>52150</v>
      </c>
      <c r="E1086">
        <f>MONTH(C1086)</f>
        <v>4</v>
      </c>
    </row>
    <row r="1087" spans="1:5">
      <c r="A1087" t="s">
        <v>5</v>
      </c>
      <c r="B1087" t="s">
        <v>277</v>
      </c>
      <c r="C1087" s="8">
        <v>46122</v>
      </c>
      <c r="D1087" s="9">
        <v>46795</v>
      </c>
      <c r="E1087">
        <f>MONTH(C1087)</f>
        <v>4</v>
      </c>
    </row>
    <row r="1088" spans="1:5">
      <c r="A1088" t="s">
        <v>26</v>
      </c>
      <c r="B1088" t="s">
        <v>216</v>
      </c>
      <c r="C1088" s="8">
        <v>46123</v>
      </c>
      <c r="D1088" s="9">
        <v>12139</v>
      </c>
      <c r="E1088">
        <f>MONTH(C1088)</f>
        <v>4</v>
      </c>
    </row>
    <row r="1089" spans="1:5">
      <c r="A1089" t="s">
        <v>8</v>
      </c>
      <c r="B1089" t="s">
        <v>246</v>
      </c>
      <c r="C1089" s="8">
        <v>46123</v>
      </c>
      <c r="D1089" s="9">
        <v>15440</v>
      </c>
      <c r="E1089">
        <f>MONTH(C1089)</f>
        <v>4</v>
      </c>
    </row>
    <row r="1090" spans="1:5">
      <c r="A1090" t="s">
        <v>6</v>
      </c>
      <c r="B1090" t="s">
        <v>237</v>
      </c>
      <c r="C1090" s="8">
        <v>46123</v>
      </c>
      <c r="D1090" s="9">
        <v>8094</v>
      </c>
      <c r="E1090">
        <f>MONTH(C1090)</f>
        <v>4</v>
      </c>
    </row>
    <row r="1091" spans="1:5">
      <c r="A1091" t="s">
        <v>6</v>
      </c>
      <c r="B1091" t="s">
        <v>131</v>
      </c>
      <c r="C1091" s="8">
        <v>46123</v>
      </c>
      <c r="D1091" s="9">
        <v>17049</v>
      </c>
      <c r="E1091">
        <f>MONTH(C1091)</f>
        <v>4</v>
      </c>
    </row>
    <row r="1092" spans="1:5">
      <c r="A1092" t="s">
        <v>7</v>
      </c>
      <c r="B1092" t="s">
        <v>65</v>
      </c>
      <c r="C1092" s="8">
        <v>46123</v>
      </c>
      <c r="D1092" s="9">
        <v>5200</v>
      </c>
      <c r="E1092">
        <f>MONTH(C1092)</f>
        <v>4</v>
      </c>
    </row>
    <row r="1093" spans="1:5">
      <c r="A1093" t="s">
        <v>7</v>
      </c>
      <c r="B1093" t="s">
        <v>148</v>
      </c>
      <c r="C1093" s="8">
        <v>46123</v>
      </c>
      <c r="D1093" s="9">
        <v>43216</v>
      </c>
      <c r="E1093">
        <f>MONTH(C1093)</f>
        <v>4</v>
      </c>
    </row>
    <row r="1094" spans="1:5">
      <c r="A1094" t="s">
        <v>9</v>
      </c>
      <c r="B1094" t="s">
        <v>111</v>
      </c>
      <c r="C1094" s="8">
        <v>46123</v>
      </c>
      <c r="D1094" s="9">
        <v>31414</v>
      </c>
      <c r="E1094">
        <f>MONTH(C1094)</f>
        <v>4</v>
      </c>
    </row>
    <row r="1095" spans="1:5">
      <c r="A1095" t="s">
        <v>5</v>
      </c>
      <c r="B1095" t="s">
        <v>99</v>
      </c>
      <c r="C1095" s="8">
        <v>46123</v>
      </c>
      <c r="D1095" s="9">
        <v>33612</v>
      </c>
      <c r="E1095">
        <f>MONTH(C1095)</f>
        <v>4</v>
      </c>
    </row>
    <row r="1096" spans="1:5">
      <c r="A1096" t="s">
        <v>4</v>
      </c>
      <c r="B1096" t="s">
        <v>116</v>
      </c>
      <c r="C1096" s="8">
        <v>46124</v>
      </c>
      <c r="D1096" s="9">
        <v>29243</v>
      </c>
      <c r="E1096">
        <f>MONTH(C1096)</f>
        <v>4</v>
      </c>
    </row>
    <row r="1097" spans="1:5">
      <c r="A1097" t="s">
        <v>30</v>
      </c>
      <c r="B1097" t="s">
        <v>63</v>
      </c>
      <c r="C1097" s="8">
        <v>46124</v>
      </c>
      <c r="D1097" s="9">
        <v>11309</v>
      </c>
      <c r="E1097">
        <f>MONTH(C1097)</f>
        <v>4</v>
      </c>
    </row>
    <row r="1098" spans="1:5">
      <c r="A1098" t="s">
        <v>6</v>
      </c>
      <c r="B1098" t="s">
        <v>231</v>
      </c>
      <c r="C1098" s="8">
        <v>46124</v>
      </c>
      <c r="D1098" s="9">
        <v>21434</v>
      </c>
      <c r="E1098">
        <f>MONTH(C1098)</f>
        <v>4</v>
      </c>
    </row>
    <row r="1099" spans="1:5">
      <c r="A1099" t="s">
        <v>29</v>
      </c>
      <c r="B1099" t="s">
        <v>163</v>
      </c>
      <c r="C1099" s="8">
        <v>46124</v>
      </c>
      <c r="D1099" s="9">
        <v>5200</v>
      </c>
      <c r="E1099">
        <f>MONTH(C1099)</f>
        <v>4</v>
      </c>
    </row>
    <row r="1100" spans="1:5">
      <c r="A1100" t="s">
        <v>9</v>
      </c>
      <c r="B1100" t="s">
        <v>97</v>
      </c>
      <c r="C1100" s="8">
        <v>46124</v>
      </c>
      <c r="D1100" s="9">
        <v>52130</v>
      </c>
      <c r="E1100">
        <f>MONTH(C1100)</f>
        <v>4</v>
      </c>
    </row>
    <row r="1101" spans="1:5">
      <c r="A1101" t="s">
        <v>9</v>
      </c>
      <c r="B1101" t="s">
        <v>220</v>
      </c>
      <c r="C1101" s="8">
        <v>46124</v>
      </c>
      <c r="D1101" s="9">
        <v>29881</v>
      </c>
      <c r="E1101">
        <f>MONTH(C1101)</f>
        <v>4</v>
      </c>
    </row>
    <row r="1102" spans="1:5">
      <c r="A1102" t="s">
        <v>9</v>
      </c>
      <c r="B1102" t="s">
        <v>66</v>
      </c>
      <c r="C1102" s="8">
        <v>46124</v>
      </c>
      <c r="D1102" s="9">
        <v>39667</v>
      </c>
      <c r="E1102">
        <f>MONTH(C1102)</f>
        <v>4</v>
      </c>
    </row>
    <row r="1103" spans="1:5">
      <c r="A1103" t="s">
        <v>5</v>
      </c>
      <c r="B1103" t="s">
        <v>239</v>
      </c>
      <c r="C1103" s="8">
        <v>46124</v>
      </c>
      <c r="D1103" s="9">
        <v>45811</v>
      </c>
      <c r="E1103">
        <f>MONTH(C1103)</f>
        <v>4</v>
      </c>
    </row>
    <row r="1104" spans="1:5">
      <c r="A1104" t="s">
        <v>5</v>
      </c>
      <c r="B1104" t="s">
        <v>84</v>
      </c>
      <c r="C1104" s="8">
        <v>46124</v>
      </c>
      <c r="D1104" s="9">
        <v>38055</v>
      </c>
      <c r="E1104">
        <f>MONTH(C1104)</f>
        <v>4</v>
      </c>
    </row>
    <row r="1105" spans="1:5">
      <c r="A1105" t="s">
        <v>5</v>
      </c>
      <c r="B1105" t="s">
        <v>241</v>
      </c>
      <c r="C1105" s="8">
        <v>46124</v>
      </c>
      <c r="D1105" s="9">
        <v>22066</v>
      </c>
      <c r="E1105">
        <f>MONTH(C1105)</f>
        <v>4</v>
      </c>
    </row>
    <row r="1106" spans="1:5">
      <c r="A1106" t="s">
        <v>5</v>
      </c>
      <c r="B1106" t="s">
        <v>54</v>
      </c>
      <c r="C1106" s="8">
        <v>46124</v>
      </c>
      <c r="D1106" s="9">
        <v>44398</v>
      </c>
      <c r="E1106">
        <f>MONTH(C1106)</f>
        <v>4</v>
      </c>
    </row>
    <row r="1107" spans="1:5">
      <c r="A1107" t="s">
        <v>5</v>
      </c>
      <c r="B1107" t="s">
        <v>134</v>
      </c>
      <c r="C1107" s="8">
        <v>46124</v>
      </c>
      <c r="D1107" s="9">
        <v>31843</v>
      </c>
      <c r="E1107">
        <f>MONTH(C1107)</f>
        <v>4</v>
      </c>
    </row>
    <row r="1108" spans="1:5">
      <c r="A1108" t="s">
        <v>5</v>
      </c>
      <c r="B1108" t="s">
        <v>189</v>
      </c>
      <c r="C1108" s="8">
        <v>46124</v>
      </c>
      <c r="D1108" s="9">
        <v>36593</v>
      </c>
      <c r="E1108">
        <f>MONTH(C1108)</f>
        <v>4</v>
      </c>
    </row>
    <row r="1109" spans="1:5">
      <c r="A1109" t="s">
        <v>38</v>
      </c>
      <c r="B1109" t="s">
        <v>81</v>
      </c>
      <c r="C1109" s="8">
        <v>46125</v>
      </c>
      <c r="D1109" s="9">
        <v>9682</v>
      </c>
      <c r="E1109">
        <f>MONTH(C1109)</f>
        <v>4</v>
      </c>
    </row>
    <row r="1110" spans="1:5">
      <c r="A1110" t="s">
        <v>4</v>
      </c>
      <c r="B1110" t="s">
        <v>185</v>
      </c>
      <c r="C1110" s="8">
        <v>46125</v>
      </c>
      <c r="D1110" s="9">
        <v>24970</v>
      </c>
      <c r="E1110">
        <f>MONTH(C1110)</f>
        <v>4</v>
      </c>
    </row>
    <row r="1111" spans="1:5">
      <c r="A1111" t="s">
        <v>4</v>
      </c>
      <c r="B1111" t="s">
        <v>189</v>
      </c>
      <c r="C1111" s="8">
        <v>46125</v>
      </c>
      <c r="D1111" s="9">
        <v>42094</v>
      </c>
      <c r="E1111">
        <f>MONTH(C1111)</f>
        <v>4</v>
      </c>
    </row>
    <row r="1112" spans="1:5">
      <c r="A1112" t="s">
        <v>25</v>
      </c>
      <c r="B1112" t="s">
        <v>200</v>
      </c>
      <c r="C1112" s="8">
        <v>46125</v>
      </c>
      <c r="D1112" s="9">
        <v>16236</v>
      </c>
      <c r="E1112">
        <f>MONTH(C1112)</f>
        <v>4</v>
      </c>
    </row>
    <row r="1113" spans="1:5">
      <c r="A1113" t="s">
        <v>28</v>
      </c>
      <c r="B1113" t="s">
        <v>161</v>
      </c>
      <c r="C1113" s="8">
        <v>46125</v>
      </c>
      <c r="D1113" s="9">
        <v>14482</v>
      </c>
      <c r="E1113">
        <f>MONTH(C1113)</f>
        <v>4</v>
      </c>
    </row>
    <row r="1114" spans="1:5">
      <c r="A1114" t="s">
        <v>29</v>
      </c>
      <c r="B1114" t="s">
        <v>57</v>
      </c>
      <c r="C1114" s="8">
        <v>46125</v>
      </c>
      <c r="D1114" s="9">
        <v>9486</v>
      </c>
      <c r="E1114">
        <f>MONTH(C1114)</f>
        <v>4</v>
      </c>
    </row>
    <row r="1115" spans="1:5">
      <c r="A1115" t="s">
        <v>29</v>
      </c>
      <c r="B1115" t="s">
        <v>155</v>
      </c>
      <c r="C1115" s="8">
        <v>46125</v>
      </c>
      <c r="D1115" s="9">
        <v>16717</v>
      </c>
      <c r="E1115">
        <f>MONTH(C1115)</f>
        <v>4</v>
      </c>
    </row>
    <row r="1116" spans="1:5">
      <c r="A1116" t="s">
        <v>7</v>
      </c>
      <c r="B1116" t="s">
        <v>274</v>
      </c>
      <c r="C1116" s="8">
        <v>46125</v>
      </c>
      <c r="D1116" s="9">
        <v>23285</v>
      </c>
      <c r="E1116">
        <f>MONTH(C1116)</f>
        <v>4</v>
      </c>
    </row>
    <row r="1117" spans="1:5">
      <c r="A1117" t="s">
        <v>7</v>
      </c>
      <c r="B1117" t="s">
        <v>208</v>
      </c>
      <c r="C1117" s="8">
        <v>46125</v>
      </c>
      <c r="D1117" s="9">
        <v>14275</v>
      </c>
      <c r="E1117">
        <f>MONTH(C1117)</f>
        <v>4</v>
      </c>
    </row>
    <row r="1118" spans="1:5">
      <c r="A1118" t="s">
        <v>9</v>
      </c>
      <c r="B1118" t="s">
        <v>176</v>
      </c>
      <c r="C1118" s="8">
        <v>46125</v>
      </c>
      <c r="D1118" s="9">
        <v>33257</v>
      </c>
      <c r="E1118">
        <f>MONTH(C1118)</f>
        <v>4</v>
      </c>
    </row>
    <row r="1119" spans="1:5">
      <c r="A1119" t="s">
        <v>9</v>
      </c>
      <c r="B1119" t="s">
        <v>245</v>
      </c>
      <c r="C1119" s="8">
        <v>46125</v>
      </c>
      <c r="D1119" s="9">
        <v>22727</v>
      </c>
      <c r="E1119">
        <f>MONTH(C1119)</f>
        <v>4</v>
      </c>
    </row>
    <row r="1120" spans="1:5">
      <c r="A1120" t="s">
        <v>5</v>
      </c>
      <c r="B1120" t="s">
        <v>167</v>
      </c>
      <c r="C1120" s="8">
        <v>46125</v>
      </c>
      <c r="D1120" s="9">
        <v>32282</v>
      </c>
      <c r="E1120">
        <f>MONTH(C1120)</f>
        <v>4</v>
      </c>
    </row>
    <row r="1121" spans="1:5">
      <c r="A1121" t="s">
        <v>5</v>
      </c>
      <c r="B1121" t="s">
        <v>159</v>
      </c>
      <c r="C1121" s="8">
        <v>46125</v>
      </c>
      <c r="D1121" s="9">
        <v>49269</v>
      </c>
      <c r="E1121">
        <f>MONTH(C1121)</f>
        <v>4</v>
      </c>
    </row>
    <row r="1122" spans="1:5">
      <c r="A1122" t="s">
        <v>5</v>
      </c>
      <c r="B1122" t="s">
        <v>61</v>
      </c>
      <c r="C1122" s="8">
        <v>46125</v>
      </c>
      <c r="D1122" s="9">
        <v>41405</v>
      </c>
      <c r="E1122">
        <f>MONTH(C1122)</f>
        <v>4</v>
      </c>
    </row>
    <row r="1123" spans="1:5">
      <c r="A1123" t="s">
        <v>4</v>
      </c>
      <c r="B1123" t="s">
        <v>222</v>
      </c>
      <c r="C1123" s="8">
        <v>46126</v>
      </c>
      <c r="D1123" s="9">
        <v>36188</v>
      </c>
      <c r="E1123">
        <f>MONTH(C1123)</f>
        <v>4</v>
      </c>
    </row>
    <row r="1124" spans="1:5">
      <c r="A1124" t="s">
        <v>31</v>
      </c>
      <c r="B1124" t="s">
        <v>152</v>
      </c>
      <c r="C1124" s="8">
        <v>46126</v>
      </c>
      <c r="D1124" s="9">
        <v>14255</v>
      </c>
      <c r="E1124">
        <f>MONTH(C1124)</f>
        <v>4</v>
      </c>
    </row>
    <row r="1125" spans="1:5">
      <c r="A1125" t="s">
        <v>25</v>
      </c>
      <c r="B1125" t="s">
        <v>184</v>
      </c>
      <c r="C1125" s="8">
        <v>46126</v>
      </c>
      <c r="D1125" s="9">
        <v>19948</v>
      </c>
      <c r="E1125">
        <f>MONTH(C1125)</f>
        <v>4</v>
      </c>
    </row>
    <row r="1126" spans="1:5">
      <c r="A1126" t="s">
        <v>28</v>
      </c>
      <c r="B1126" t="s">
        <v>242</v>
      </c>
      <c r="C1126" s="8">
        <v>46126</v>
      </c>
      <c r="D1126" s="9">
        <v>17610</v>
      </c>
      <c r="E1126">
        <f>MONTH(C1126)</f>
        <v>4</v>
      </c>
    </row>
    <row r="1127" spans="1:5">
      <c r="A1127" t="s">
        <v>32</v>
      </c>
      <c r="B1127" t="s">
        <v>230</v>
      </c>
      <c r="C1127" s="8">
        <v>46126</v>
      </c>
      <c r="D1127" s="9">
        <v>11451</v>
      </c>
      <c r="E1127">
        <f>MONTH(C1127)</f>
        <v>4</v>
      </c>
    </row>
    <row r="1128" spans="1:5">
      <c r="A1128" t="s">
        <v>6</v>
      </c>
      <c r="B1128" t="s">
        <v>273</v>
      </c>
      <c r="C1128" s="8">
        <v>46126</v>
      </c>
      <c r="D1128" s="9">
        <v>15766</v>
      </c>
      <c r="E1128">
        <f>MONTH(C1128)</f>
        <v>4</v>
      </c>
    </row>
    <row r="1129" spans="1:5">
      <c r="A1129" t="s">
        <v>9</v>
      </c>
      <c r="B1129" t="s">
        <v>203</v>
      </c>
      <c r="C1129" s="8">
        <v>46126</v>
      </c>
      <c r="D1129" s="9">
        <v>34370</v>
      </c>
      <c r="E1129">
        <f>MONTH(C1129)</f>
        <v>4</v>
      </c>
    </row>
    <row r="1130" spans="1:5">
      <c r="A1130" t="s">
        <v>9</v>
      </c>
      <c r="B1130" t="s">
        <v>276</v>
      </c>
      <c r="C1130" s="8">
        <v>46126</v>
      </c>
      <c r="D1130" s="9">
        <v>47693</v>
      </c>
      <c r="E1130">
        <f>MONTH(C1130)</f>
        <v>4</v>
      </c>
    </row>
    <row r="1131" spans="1:5">
      <c r="A1131" t="s">
        <v>9</v>
      </c>
      <c r="B1131" t="s">
        <v>158</v>
      </c>
      <c r="C1131" s="8">
        <v>46126</v>
      </c>
      <c r="D1131" s="9">
        <v>33453</v>
      </c>
      <c r="E1131">
        <f>MONTH(C1131)</f>
        <v>4</v>
      </c>
    </row>
    <row r="1132" spans="1:5">
      <c r="A1132" t="s">
        <v>5</v>
      </c>
      <c r="B1132" t="s">
        <v>107</v>
      </c>
      <c r="C1132" s="8">
        <v>46126</v>
      </c>
      <c r="D1132" s="9">
        <v>44116</v>
      </c>
      <c r="E1132">
        <f>MONTH(C1132)</f>
        <v>4</v>
      </c>
    </row>
    <row r="1133" spans="1:5">
      <c r="A1133" t="s">
        <v>5</v>
      </c>
      <c r="B1133" t="s">
        <v>109</v>
      </c>
      <c r="C1133" s="8">
        <v>46126</v>
      </c>
      <c r="D1133" s="9">
        <v>44906</v>
      </c>
      <c r="E1133">
        <f>MONTH(C1133)</f>
        <v>4</v>
      </c>
    </row>
    <row r="1134" spans="1:5">
      <c r="A1134" t="s">
        <v>5</v>
      </c>
      <c r="B1134" t="s">
        <v>204</v>
      </c>
      <c r="C1134" s="8">
        <v>46126</v>
      </c>
      <c r="D1134" s="9">
        <v>59276</v>
      </c>
      <c r="E1134">
        <f>MONTH(C1134)</f>
        <v>4</v>
      </c>
    </row>
    <row r="1135" spans="1:5">
      <c r="A1135" t="s">
        <v>35</v>
      </c>
      <c r="B1135" t="s">
        <v>94</v>
      </c>
      <c r="C1135" s="8">
        <v>46127</v>
      </c>
      <c r="D1135" s="9">
        <v>23785</v>
      </c>
      <c r="E1135">
        <f>MONTH(C1135)</f>
        <v>4</v>
      </c>
    </row>
    <row r="1136" spans="1:5">
      <c r="A1136" t="s">
        <v>25</v>
      </c>
      <c r="B1136" t="s">
        <v>55</v>
      </c>
      <c r="C1136" s="8">
        <v>46127</v>
      </c>
      <c r="D1136" s="9">
        <v>15295</v>
      </c>
      <c r="E1136">
        <f>MONTH(C1136)</f>
        <v>4</v>
      </c>
    </row>
    <row r="1137" spans="1:5">
      <c r="A1137" t="s">
        <v>30</v>
      </c>
      <c r="B1137" t="s">
        <v>154</v>
      </c>
      <c r="C1137" s="8">
        <v>46127</v>
      </c>
      <c r="D1137" s="9">
        <v>10932</v>
      </c>
      <c r="E1137">
        <f>MONTH(C1137)</f>
        <v>4</v>
      </c>
    </row>
    <row r="1138" spans="1:5">
      <c r="A1138" t="s">
        <v>8</v>
      </c>
      <c r="B1138" t="s">
        <v>207</v>
      </c>
      <c r="C1138" s="8">
        <v>46127</v>
      </c>
      <c r="D1138" s="9">
        <v>5200</v>
      </c>
      <c r="E1138">
        <f>MONTH(C1138)</f>
        <v>4</v>
      </c>
    </row>
    <row r="1139" spans="1:5">
      <c r="A1139" t="s">
        <v>6</v>
      </c>
      <c r="B1139" t="s">
        <v>217</v>
      </c>
      <c r="C1139" s="8">
        <v>46127</v>
      </c>
      <c r="D1139" s="9">
        <v>17742</v>
      </c>
      <c r="E1139">
        <f>MONTH(C1139)</f>
        <v>4</v>
      </c>
    </row>
    <row r="1140" spans="1:5">
      <c r="A1140" t="s">
        <v>29</v>
      </c>
      <c r="B1140" t="s">
        <v>104</v>
      </c>
      <c r="C1140" s="8">
        <v>46127</v>
      </c>
      <c r="D1140" s="9">
        <v>12453</v>
      </c>
      <c r="E1140">
        <f>MONTH(C1140)</f>
        <v>4</v>
      </c>
    </row>
    <row r="1141" spans="1:5">
      <c r="A1141" t="s">
        <v>9</v>
      </c>
      <c r="B1141" t="s">
        <v>82</v>
      </c>
      <c r="C1141" s="8">
        <v>46127</v>
      </c>
      <c r="D1141" s="9">
        <v>24224</v>
      </c>
      <c r="E1141">
        <f>MONTH(C1141)</f>
        <v>4</v>
      </c>
    </row>
    <row r="1142" spans="1:5">
      <c r="A1142" t="s">
        <v>9</v>
      </c>
      <c r="B1142" t="s">
        <v>96</v>
      </c>
      <c r="C1142" s="8">
        <v>46127</v>
      </c>
      <c r="D1142" s="9">
        <v>33967</v>
      </c>
      <c r="E1142">
        <f>MONTH(C1142)</f>
        <v>4</v>
      </c>
    </row>
    <row r="1143" spans="1:5">
      <c r="A1143" t="s">
        <v>9</v>
      </c>
      <c r="B1143" t="s">
        <v>137</v>
      </c>
      <c r="C1143" s="8">
        <v>46127</v>
      </c>
      <c r="D1143" s="9">
        <v>27500</v>
      </c>
      <c r="E1143">
        <f>MONTH(C1143)</f>
        <v>4</v>
      </c>
    </row>
    <row r="1144" spans="1:5">
      <c r="A1144" t="s">
        <v>5</v>
      </c>
      <c r="B1144" t="s">
        <v>106</v>
      </c>
      <c r="C1144" s="8">
        <v>46127</v>
      </c>
      <c r="D1144" s="9">
        <v>37873</v>
      </c>
      <c r="E1144">
        <f>MONTH(C1144)</f>
        <v>4</v>
      </c>
    </row>
    <row r="1145" spans="1:5">
      <c r="A1145" t="s">
        <v>5</v>
      </c>
      <c r="B1145" t="s">
        <v>182</v>
      </c>
      <c r="C1145" s="8">
        <v>46127</v>
      </c>
      <c r="D1145" s="9">
        <v>42565</v>
      </c>
      <c r="E1145">
        <f>MONTH(C1145)</f>
        <v>4</v>
      </c>
    </row>
    <row r="1146" spans="1:5">
      <c r="A1146" t="s">
        <v>5</v>
      </c>
      <c r="B1146" t="s">
        <v>251</v>
      </c>
      <c r="C1146" s="8">
        <v>46127</v>
      </c>
      <c r="D1146" s="9">
        <v>42161</v>
      </c>
      <c r="E1146">
        <f>MONTH(C1146)</f>
        <v>4</v>
      </c>
    </row>
    <row r="1147" spans="1:5">
      <c r="A1147" t="s">
        <v>5</v>
      </c>
      <c r="B1147" t="s">
        <v>159</v>
      </c>
      <c r="C1147" s="8">
        <v>46127</v>
      </c>
      <c r="D1147" s="9">
        <v>47247</v>
      </c>
      <c r="E1147">
        <f>MONTH(C1147)</f>
        <v>4</v>
      </c>
    </row>
    <row r="1148" spans="1:5">
      <c r="A1148" t="s">
        <v>5</v>
      </c>
      <c r="B1148" t="s">
        <v>108</v>
      </c>
      <c r="C1148" s="8">
        <v>46127</v>
      </c>
      <c r="D1148" s="9">
        <v>43860</v>
      </c>
      <c r="E1148">
        <f>MONTH(C1148)</f>
        <v>4</v>
      </c>
    </row>
    <row r="1149" spans="1:5">
      <c r="A1149" t="s">
        <v>5</v>
      </c>
      <c r="B1149" t="s">
        <v>108</v>
      </c>
      <c r="C1149" s="8">
        <v>46127</v>
      </c>
      <c r="D1149" s="9">
        <v>46878</v>
      </c>
      <c r="E1149">
        <f>MONTH(C1149)</f>
        <v>4</v>
      </c>
    </row>
    <row r="1150" spans="1:5">
      <c r="A1150" t="s">
        <v>5</v>
      </c>
      <c r="B1150" t="s">
        <v>109</v>
      </c>
      <c r="C1150" s="8">
        <v>46127</v>
      </c>
      <c r="D1150" s="9">
        <v>57838</v>
      </c>
      <c r="E1150">
        <f>MONTH(C1150)</f>
        <v>4</v>
      </c>
    </row>
    <row r="1151" spans="1:5">
      <c r="A1151" t="s">
        <v>5</v>
      </c>
      <c r="B1151" t="s">
        <v>61</v>
      </c>
      <c r="C1151" s="8">
        <v>46127</v>
      </c>
      <c r="D1151" s="9">
        <v>29765</v>
      </c>
      <c r="E1151">
        <f>MONTH(C1151)</f>
        <v>4</v>
      </c>
    </row>
    <row r="1152" spans="1:5">
      <c r="A1152" t="s">
        <v>5</v>
      </c>
      <c r="B1152" t="s">
        <v>189</v>
      </c>
      <c r="C1152" s="8">
        <v>46127</v>
      </c>
      <c r="D1152" s="9">
        <v>35640</v>
      </c>
      <c r="E1152">
        <f>MONTH(C1152)</f>
        <v>4</v>
      </c>
    </row>
    <row r="1153" spans="1:5">
      <c r="A1153" t="s">
        <v>27</v>
      </c>
      <c r="B1153" t="s">
        <v>196</v>
      </c>
      <c r="C1153" s="8">
        <v>46128</v>
      </c>
      <c r="D1153" s="9">
        <v>15077</v>
      </c>
      <c r="E1153">
        <f>MONTH(C1153)</f>
        <v>4</v>
      </c>
    </row>
    <row r="1154" spans="1:5">
      <c r="A1154" t="s">
        <v>4</v>
      </c>
      <c r="B1154" t="s">
        <v>254</v>
      </c>
      <c r="C1154" s="8">
        <v>46128</v>
      </c>
      <c r="D1154" s="9">
        <v>27338</v>
      </c>
      <c r="E1154">
        <f>MONTH(C1154)</f>
        <v>4</v>
      </c>
    </row>
    <row r="1155" spans="1:5">
      <c r="A1155" t="s">
        <v>25</v>
      </c>
      <c r="B1155" t="s">
        <v>215</v>
      </c>
      <c r="C1155" s="8">
        <v>46128</v>
      </c>
      <c r="D1155" s="9">
        <v>8157</v>
      </c>
      <c r="E1155">
        <f>MONTH(C1155)</f>
        <v>4</v>
      </c>
    </row>
    <row r="1156" spans="1:5">
      <c r="A1156" t="s">
        <v>32</v>
      </c>
      <c r="B1156" t="s">
        <v>282</v>
      </c>
      <c r="C1156" s="8">
        <v>46128</v>
      </c>
      <c r="D1156" s="9">
        <v>12640</v>
      </c>
      <c r="E1156">
        <f>MONTH(C1156)</f>
        <v>4</v>
      </c>
    </row>
    <row r="1157" spans="1:5">
      <c r="A1157" t="s">
        <v>32</v>
      </c>
      <c r="B1157" t="s">
        <v>247</v>
      </c>
      <c r="C1157" s="8">
        <v>46128</v>
      </c>
      <c r="D1157" s="9">
        <v>12154</v>
      </c>
      <c r="E1157">
        <f>MONTH(C1157)</f>
        <v>4</v>
      </c>
    </row>
    <row r="1158" spans="1:5">
      <c r="A1158" t="s">
        <v>6</v>
      </c>
      <c r="B1158" t="s">
        <v>192</v>
      </c>
      <c r="C1158" s="8">
        <v>46128</v>
      </c>
      <c r="D1158" s="9">
        <v>18354</v>
      </c>
      <c r="E1158">
        <f>MONTH(C1158)</f>
        <v>4</v>
      </c>
    </row>
    <row r="1159" spans="1:5">
      <c r="A1159" t="s">
        <v>6</v>
      </c>
      <c r="B1159" t="s">
        <v>103</v>
      </c>
      <c r="C1159" s="8">
        <v>46128</v>
      </c>
      <c r="D1159" s="9">
        <v>30819</v>
      </c>
      <c r="E1159">
        <f>MONTH(C1159)</f>
        <v>4</v>
      </c>
    </row>
    <row r="1160" spans="1:5">
      <c r="A1160" t="s">
        <v>9</v>
      </c>
      <c r="B1160" t="s">
        <v>96</v>
      </c>
      <c r="C1160" s="8">
        <v>46128</v>
      </c>
      <c r="D1160" s="9">
        <v>27076</v>
      </c>
      <c r="E1160">
        <f>MONTH(C1160)</f>
        <v>4</v>
      </c>
    </row>
    <row r="1161" spans="1:5">
      <c r="A1161" t="s">
        <v>5</v>
      </c>
      <c r="B1161" t="s">
        <v>145</v>
      </c>
      <c r="C1161" s="8">
        <v>46128</v>
      </c>
      <c r="D1161" s="9">
        <v>49163</v>
      </c>
      <c r="E1161">
        <f>MONTH(C1161)</f>
        <v>4</v>
      </c>
    </row>
    <row r="1162" spans="1:5">
      <c r="A1162" t="s">
        <v>5</v>
      </c>
      <c r="B1162" t="s">
        <v>124</v>
      </c>
      <c r="C1162" s="8">
        <v>46128</v>
      </c>
      <c r="D1162" s="9">
        <v>33395</v>
      </c>
      <c r="E1162">
        <f>MONTH(C1162)</f>
        <v>4</v>
      </c>
    </row>
    <row r="1163" spans="1:5">
      <c r="A1163" t="s">
        <v>5</v>
      </c>
      <c r="B1163" t="s">
        <v>212</v>
      </c>
      <c r="C1163" s="8">
        <v>46128</v>
      </c>
      <c r="D1163" s="9">
        <v>26936</v>
      </c>
      <c r="E1163">
        <f>MONTH(C1163)</f>
        <v>4</v>
      </c>
    </row>
    <row r="1164" spans="1:5">
      <c r="A1164" t="s">
        <v>31</v>
      </c>
      <c r="B1164" t="s">
        <v>199</v>
      </c>
      <c r="C1164" s="8">
        <v>46129</v>
      </c>
      <c r="D1164" s="9">
        <v>22426</v>
      </c>
      <c r="E1164">
        <f>MONTH(C1164)</f>
        <v>4</v>
      </c>
    </row>
    <row r="1165" spans="1:5">
      <c r="A1165" t="s">
        <v>25</v>
      </c>
      <c r="B1165" t="s">
        <v>128</v>
      </c>
      <c r="C1165" s="8">
        <v>46129</v>
      </c>
      <c r="D1165" s="9">
        <v>9371</v>
      </c>
      <c r="E1165">
        <f>MONTH(C1165)</f>
        <v>4</v>
      </c>
    </row>
    <row r="1166" spans="1:5">
      <c r="A1166" t="s">
        <v>28</v>
      </c>
      <c r="B1166" t="s">
        <v>118</v>
      </c>
      <c r="C1166" s="8">
        <v>46129</v>
      </c>
      <c r="D1166" s="9">
        <v>11698</v>
      </c>
      <c r="E1166">
        <f>MONTH(C1166)</f>
        <v>4</v>
      </c>
    </row>
    <row r="1167" spans="1:5">
      <c r="A1167" t="s">
        <v>7</v>
      </c>
      <c r="B1167" t="s">
        <v>243</v>
      </c>
      <c r="C1167" s="8">
        <v>46129</v>
      </c>
      <c r="D1167" s="9">
        <v>41842</v>
      </c>
      <c r="E1167">
        <f>MONTH(C1167)</f>
        <v>4</v>
      </c>
    </row>
    <row r="1168" spans="1:5">
      <c r="A1168" t="s">
        <v>7</v>
      </c>
      <c r="B1168" t="s">
        <v>238</v>
      </c>
      <c r="C1168" s="8">
        <v>46129</v>
      </c>
      <c r="D1168" s="9">
        <v>26044</v>
      </c>
      <c r="E1168">
        <f>MONTH(C1168)</f>
        <v>4</v>
      </c>
    </row>
    <row r="1169" spans="1:5">
      <c r="A1169" t="s">
        <v>7</v>
      </c>
      <c r="B1169" t="s">
        <v>47</v>
      </c>
      <c r="C1169" s="8">
        <v>46129</v>
      </c>
      <c r="D1169" s="9">
        <v>20992</v>
      </c>
      <c r="E1169">
        <f>MONTH(C1169)</f>
        <v>4</v>
      </c>
    </row>
    <row r="1170" spans="1:5">
      <c r="A1170" t="s">
        <v>9</v>
      </c>
      <c r="B1170" t="s">
        <v>92</v>
      </c>
      <c r="C1170" s="8">
        <v>46129</v>
      </c>
      <c r="D1170" s="9">
        <v>37303</v>
      </c>
      <c r="E1170">
        <f>MONTH(C1170)</f>
        <v>4</v>
      </c>
    </row>
    <row r="1171" spans="1:5">
      <c r="A1171" t="s">
        <v>9</v>
      </c>
      <c r="B1171" t="s">
        <v>144</v>
      </c>
      <c r="C1171" s="8">
        <v>46129</v>
      </c>
      <c r="D1171" s="9">
        <v>27448</v>
      </c>
      <c r="E1171">
        <f>MONTH(C1171)</f>
        <v>4</v>
      </c>
    </row>
    <row r="1172" spans="1:5">
      <c r="A1172" t="s">
        <v>5</v>
      </c>
      <c r="B1172" t="s">
        <v>106</v>
      </c>
      <c r="C1172" s="8">
        <v>46129</v>
      </c>
      <c r="D1172" s="9">
        <v>33827</v>
      </c>
      <c r="E1172">
        <f>MONTH(C1172)</f>
        <v>4</v>
      </c>
    </row>
    <row r="1173" spans="1:5">
      <c r="A1173" t="s">
        <v>5</v>
      </c>
      <c r="B1173" t="s">
        <v>183</v>
      </c>
      <c r="C1173" s="8">
        <v>46129</v>
      </c>
      <c r="D1173" s="9">
        <v>55775</v>
      </c>
      <c r="E1173">
        <f>MONTH(C1173)</f>
        <v>4</v>
      </c>
    </row>
    <row r="1174" spans="1:5">
      <c r="A1174" t="s">
        <v>5</v>
      </c>
      <c r="B1174" t="s">
        <v>211</v>
      </c>
      <c r="C1174" s="8">
        <v>46129</v>
      </c>
      <c r="D1174" s="9">
        <v>17201</v>
      </c>
      <c r="E1174">
        <f>MONTH(C1174)</f>
        <v>4</v>
      </c>
    </row>
    <row r="1175" spans="1:5">
      <c r="A1175" t="s">
        <v>5</v>
      </c>
      <c r="B1175" t="s">
        <v>107</v>
      </c>
      <c r="C1175" s="8">
        <v>46129</v>
      </c>
      <c r="D1175" s="9">
        <v>50527</v>
      </c>
      <c r="E1175">
        <f>MONTH(C1175)</f>
        <v>4</v>
      </c>
    </row>
    <row r="1176" spans="1:5">
      <c r="A1176" t="s">
        <v>5</v>
      </c>
      <c r="B1176" t="s">
        <v>76</v>
      </c>
      <c r="C1176" s="8">
        <v>46129</v>
      </c>
      <c r="D1176" s="9">
        <v>20468</v>
      </c>
      <c r="E1176">
        <f>MONTH(C1176)</f>
        <v>4</v>
      </c>
    </row>
    <row r="1177" spans="1:5">
      <c r="A1177" t="s">
        <v>4</v>
      </c>
      <c r="B1177" t="s">
        <v>127</v>
      </c>
      <c r="C1177" s="8">
        <v>46130</v>
      </c>
      <c r="D1177" s="9">
        <v>28178</v>
      </c>
      <c r="E1177">
        <f>MONTH(C1177)</f>
        <v>4</v>
      </c>
    </row>
    <row r="1178" spans="1:5">
      <c r="A1178" t="s">
        <v>29</v>
      </c>
      <c r="B1178" t="s">
        <v>112</v>
      </c>
      <c r="C1178" s="8">
        <v>46130</v>
      </c>
      <c r="D1178" s="9">
        <v>11371</v>
      </c>
      <c r="E1178">
        <f>MONTH(C1178)</f>
        <v>4</v>
      </c>
    </row>
    <row r="1179" spans="1:5">
      <c r="A1179" t="s">
        <v>7</v>
      </c>
      <c r="B1179" t="s">
        <v>52</v>
      </c>
      <c r="C1179" s="8">
        <v>46130</v>
      </c>
      <c r="D1179" s="9">
        <v>14822</v>
      </c>
      <c r="E1179">
        <f>MONTH(C1179)</f>
        <v>4</v>
      </c>
    </row>
    <row r="1180" spans="1:5">
      <c r="A1180" t="s">
        <v>9</v>
      </c>
      <c r="B1180" t="s">
        <v>172</v>
      </c>
      <c r="C1180" s="8">
        <v>46130</v>
      </c>
      <c r="D1180" s="9">
        <v>45409</v>
      </c>
      <c r="E1180">
        <f>MONTH(C1180)</f>
        <v>4</v>
      </c>
    </row>
    <row r="1181" spans="1:5">
      <c r="A1181" t="s">
        <v>5</v>
      </c>
      <c r="B1181" t="s">
        <v>53</v>
      </c>
      <c r="C1181" s="8">
        <v>46130</v>
      </c>
      <c r="D1181" s="9">
        <v>43448</v>
      </c>
      <c r="E1181">
        <f>MONTH(C1181)</f>
        <v>4</v>
      </c>
    </row>
    <row r="1182" spans="1:5">
      <c r="A1182" t="s">
        <v>5</v>
      </c>
      <c r="B1182" t="s">
        <v>123</v>
      </c>
      <c r="C1182" s="8">
        <v>46130</v>
      </c>
      <c r="D1182" s="9">
        <v>44780</v>
      </c>
      <c r="E1182">
        <f>MONTH(C1182)</f>
        <v>4</v>
      </c>
    </row>
    <row r="1183" spans="1:5">
      <c r="A1183" t="s">
        <v>5</v>
      </c>
      <c r="B1183" t="s">
        <v>172</v>
      </c>
      <c r="C1183" s="8">
        <v>46130</v>
      </c>
      <c r="D1183" s="9">
        <v>46107</v>
      </c>
      <c r="E1183">
        <f>MONTH(C1183)</f>
        <v>4</v>
      </c>
    </row>
    <row r="1184" spans="1:5">
      <c r="A1184" t="s">
        <v>4</v>
      </c>
      <c r="B1184" t="s">
        <v>151</v>
      </c>
      <c r="C1184" s="8">
        <v>46131</v>
      </c>
      <c r="D1184" s="9">
        <v>28098</v>
      </c>
      <c r="E1184">
        <f>MONTH(C1184)</f>
        <v>4</v>
      </c>
    </row>
    <row r="1185" spans="1:5">
      <c r="A1185" t="s">
        <v>4</v>
      </c>
      <c r="B1185" t="s">
        <v>266</v>
      </c>
      <c r="C1185" s="8">
        <v>46131</v>
      </c>
      <c r="D1185" s="9">
        <v>14050</v>
      </c>
      <c r="E1185">
        <f>MONTH(C1185)</f>
        <v>4</v>
      </c>
    </row>
    <row r="1186" spans="1:5">
      <c r="A1186" t="s">
        <v>30</v>
      </c>
      <c r="B1186" t="s">
        <v>162</v>
      </c>
      <c r="C1186" s="8">
        <v>46131</v>
      </c>
      <c r="D1186" s="9">
        <v>11846</v>
      </c>
      <c r="E1186">
        <f>MONTH(C1186)</f>
        <v>4</v>
      </c>
    </row>
    <row r="1187" spans="1:5">
      <c r="A1187" t="s">
        <v>8</v>
      </c>
      <c r="B1187" t="s">
        <v>214</v>
      </c>
      <c r="C1187" s="8">
        <v>46131</v>
      </c>
      <c r="D1187" s="9">
        <v>19637</v>
      </c>
      <c r="E1187">
        <f>MONTH(C1187)</f>
        <v>4</v>
      </c>
    </row>
    <row r="1188" spans="1:5">
      <c r="A1188" t="s">
        <v>34</v>
      </c>
      <c r="B1188" t="s">
        <v>169</v>
      </c>
      <c r="C1188" s="8">
        <v>46131</v>
      </c>
      <c r="D1188" s="9">
        <v>10560</v>
      </c>
      <c r="E1188">
        <f>MONTH(C1188)</f>
        <v>4</v>
      </c>
    </row>
    <row r="1189" spans="1:5">
      <c r="A1189" t="s">
        <v>34</v>
      </c>
      <c r="B1189" t="s">
        <v>271</v>
      </c>
      <c r="C1189" s="8">
        <v>46131</v>
      </c>
      <c r="D1189" s="9">
        <v>5200</v>
      </c>
      <c r="E1189">
        <f>MONTH(C1189)</f>
        <v>4</v>
      </c>
    </row>
    <row r="1190" spans="1:5">
      <c r="A1190" t="s">
        <v>6</v>
      </c>
      <c r="B1190" t="s">
        <v>261</v>
      </c>
      <c r="C1190" s="8">
        <v>46131</v>
      </c>
      <c r="D1190" s="9">
        <v>17566</v>
      </c>
      <c r="E1190">
        <f>MONTH(C1190)</f>
        <v>4</v>
      </c>
    </row>
    <row r="1191" spans="1:5">
      <c r="A1191" t="s">
        <v>9</v>
      </c>
      <c r="B1191" t="s">
        <v>70</v>
      </c>
      <c r="C1191" s="8">
        <v>46131</v>
      </c>
      <c r="D1191" s="9">
        <v>31544</v>
      </c>
      <c r="E1191">
        <f>MONTH(C1191)</f>
        <v>4</v>
      </c>
    </row>
    <row r="1192" spans="1:5">
      <c r="A1192" t="s">
        <v>5</v>
      </c>
      <c r="B1192" t="s">
        <v>114</v>
      </c>
      <c r="C1192" s="8">
        <v>46131</v>
      </c>
      <c r="D1192" s="9">
        <v>35347</v>
      </c>
      <c r="E1192">
        <f>MONTH(C1192)</f>
        <v>4</v>
      </c>
    </row>
    <row r="1193" spans="1:5">
      <c r="A1193" t="s">
        <v>5</v>
      </c>
      <c r="B1193" t="s">
        <v>98</v>
      </c>
      <c r="C1193" s="8">
        <v>46131</v>
      </c>
      <c r="D1193" s="9">
        <v>35046</v>
      </c>
      <c r="E1193">
        <f>MONTH(C1193)</f>
        <v>4</v>
      </c>
    </row>
    <row r="1194" spans="1:5">
      <c r="A1194" t="s">
        <v>5</v>
      </c>
      <c r="B1194" t="s">
        <v>123</v>
      </c>
      <c r="C1194" s="8">
        <v>46131</v>
      </c>
      <c r="D1194" s="9">
        <v>34524</v>
      </c>
      <c r="E1194">
        <f>MONTH(C1194)</f>
        <v>4</v>
      </c>
    </row>
    <row r="1195" spans="1:5">
      <c r="A1195" t="s">
        <v>5</v>
      </c>
      <c r="B1195" t="s">
        <v>210</v>
      </c>
      <c r="C1195" s="8">
        <v>46131</v>
      </c>
      <c r="D1195" s="9">
        <v>41588</v>
      </c>
      <c r="E1195">
        <f>MONTH(C1195)</f>
        <v>4</v>
      </c>
    </row>
    <row r="1196" spans="1:5">
      <c r="A1196" t="s">
        <v>5</v>
      </c>
      <c r="B1196" t="s">
        <v>54</v>
      </c>
      <c r="C1196" s="8">
        <v>46131</v>
      </c>
      <c r="D1196" s="9">
        <v>47686</v>
      </c>
      <c r="E1196">
        <f>MONTH(C1196)</f>
        <v>4</v>
      </c>
    </row>
    <row r="1197" spans="1:5">
      <c r="A1197" t="s">
        <v>5</v>
      </c>
      <c r="B1197" t="s">
        <v>93</v>
      </c>
      <c r="C1197" s="8">
        <v>46131</v>
      </c>
      <c r="D1197" s="9">
        <v>34902</v>
      </c>
      <c r="E1197">
        <f>MONTH(C1197)</f>
        <v>4</v>
      </c>
    </row>
    <row r="1198" spans="1:5">
      <c r="A1198" t="s">
        <v>4</v>
      </c>
      <c r="B1198" t="s">
        <v>85</v>
      </c>
      <c r="C1198" s="8">
        <v>46132</v>
      </c>
      <c r="D1198" s="9">
        <v>16052</v>
      </c>
      <c r="E1198">
        <f>MONTH(C1198)</f>
        <v>4</v>
      </c>
    </row>
    <row r="1199" spans="1:5">
      <c r="A1199" t="s">
        <v>28</v>
      </c>
      <c r="B1199" t="s">
        <v>255</v>
      </c>
      <c r="C1199" s="8">
        <v>46132</v>
      </c>
      <c r="D1199" s="9">
        <v>5200</v>
      </c>
      <c r="E1199">
        <f>MONTH(C1199)</f>
        <v>4</v>
      </c>
    </row>
    <row r="1200" spans="1:5">
      <c r="A1200" t="s">
        <v>30</v>
      </c>
      <c r="B1200" t="s">
        <v>139</v>
      </c>
      <c r="C1200" s="8">
        <v>46132</v>
      </c>
      <c r="D1200" s="9">
        <v>14837</v>
      </c>
      <c r="E1200">
        <f>MONTH(C1200)</f>
        <v>4</v>
      </c>
    </row>
    <row r="1201" spans="1:5">
      <c r="A1201" t="s">
        <v>8</v>
      </c>
      <c r="B1201" t="s">
        <v>259</v>
      </c>
      <c r="C1201" s="8">
        <v>46132</v>
      </c>
      <c r="D1201" s="9">
        <v>17019</v>
      </c>
      <c r="E1201">
        <f>MONTH(C1201)</f>
        <v>4</v>
      </c>
    </row>
    <row r="1202" spans="1:5">
      <c r="A1202" t="s">
        <v>8</v>
      </c>
      <c r="B1202" t="s">
        <v>140</v>
      </c>
      <c r="C1202" s="8">
        <v>46132</v>
      </c>
      <c r="D1202" s="9">
        <v>14327</v>
      </c>
      <c r="E1202">
        <f>MONTH(C1202)</f>
        <v>4</v>
      </c>
    </row>
    <row r="1203" spans="1:5">
      <c r="A1203" t="s">
        <v>6</v>
      </c>
      <c r="B1203" t="s">
        <v>64</v>
      </c>
      <c r="C1203" s="8">
        <v>46132</v>
      </c>
      <c r="D1203" s="9">
        <v>14042</v>
      </c>
      <c r="E1203">
        <f>MONTH(C1203)</f>
        <v>4</v>
      </c>
    </row>
    <row r="1204" spans="1:5">
      <c r="A1204" t="s">
        <v>33</v>
      </c>
      <c r="B1204" t="s">
        <v>268</v>
      </c>
      <c r="C1204" s="8">
        <v>46132</v>
      </c>
      <c r="D1204" s="9">
        <v>9780</v>
      </c>
      <c r="E1204">
        <f>MONTH(C1204)</f>
        <v>4</v>
      </c>
    </row>
    <row r="1205" spans="1:5">
      <c r="A1205" t="s">
        <v>29</v>
      </c>
      <c r="B1205" t="s">
        <v>191</v>
      </c>
      <c r="C1205" s="8">
        <v>46132</v>
      </c>
      <c r="D1205" s="9">
        <v>12438</v>
      </c>
      <c r="E1205">
        <f>MONTH(C1205)</f>
        <v>4</v>
      </c>
    </row>
    <row r="1206" spans="1:5">
      <c r="A1206" t="s">
        <v>29</v>
      </c>
      <c r="B1206" t="s">
        <v>279</v>
      </c>
      <c r="C1206" s="8">
        <v>46132</v>
      </c>
      <c r="D1206" s="9">
        <v>11691</v>
      </c>
      <c r="E1206">
        <f>MONTH(C1206)</f>
        <v>4</v>
      </c>
    </row>
    <row r="1207" spans="1:5">
      <c r="A1207" t="s">
        <v>7</v>
      </c>
      <c r="B1207" t="s">
        <v>67</v>
      </c>
      <c r="C1207" s="8">
        <v>46132</v>
      </c>
      <c r="D1207" s="9">
        <v>29250</v>
      </c>
      <c r="E1207">
        <f>MONTH(C1207)</f>
        <v>4</v>
      </c>
    </row>
    <row r="1208" spans="1:5">
      <c r="A1208" t="s">
        <v>9</v>
      </c>
      <c r="B1208" t="s">
        <v>276</v>
      </c>
      <c r="C1208" s="8">
        <v>46132</v>
      </c>
      <c r="D1208" s="9">
        <v>32114</v>
      </c>
      <c r="E1208">
        <f>MONTH(C1208)</f>
        <v>4</v>
      </c>
    </row>
    <row r="1209" spans="1:5">
      <c r="A1209" t="s">
        <v>5</v>
      </c>
      <c r="B1209" t="s">
        <v>53</v>
      </c>
      <c r="C1209" s="8">
        <v>46132</v>
      </c>
      <c r="D1209" s="9">
        <v>53807</v>
      </c>
      <c r="E1209">
        <f>MONTH(C1209)</f>
        <v>4</v>
      </c>
    </row>
    <row r="1210" spans="1:5">
      <c r="A1210" t="s">
        <v>5</v>
      </c>
      <c r="B1210" t="s">
        <v>58</v>
      </c>
      <c r="C1210" s="8">
        <v>46132</v>
      </c>
      <c r="D1210" s="9">
        <v>42690</v>
      </c>
      <c r="E1210">
        <f>MONTH(C1210)</f>
        <v>4</v>
      </c>
    </row>
    <row r="1211" spans="1:5">
      <c r="A1211" t="s">
        <v>27</v>
      </c>
      <c r="B1211" t="s">
        <v>213</v>
      </c>
      <c r="C1211" s="8">
        <v>46133</v>
      </c>
      <c r="D1211" s="9">
        <v>13078</v>
      </c>
      <c r="E1211">
        <f>MONTH(C1211)</f>
        <v>4</v>
      </c>
    </row>
    <row r="1212" spans="1:5">
      <c r="A1212" t="s">
        <v>4</v>
      </c>
      <c r="B1212" t="s">
        <v>194</v>
      </c>
      <c r="C1212" s="8">
        <v>46133</v>
      </c>
      <c r="D1212" s="9">
        <v>23459</v>
      </c>
      <c r="E1212">
        <f>MONTH(C1212)</f>
        <v>4</v>
      </c>
    </row>
    <row r="1213" spans="1:5">
      <c r="A1213" t="s">
        <v>25</v>
      </c>
      <c r="B1213" t="s">
        <v>186</v>
      </c>
      <c r="C1213" s="8">
        <v>46133</v>
      </c>
      <c r="D1213" s="9">
        <v>12819</v>
      </c>
      <c r="E1213">
        <f>MONTH(C1213)</f>
        <v>4</v>
      </c>
    </row>
    <row r="1214" spans="1:5">
      <c r="A1214" t="s">
        <v>26</v>
      </c>
      <c r="B1214" t="s">
        <v>236</v>
      </c>
      <c r="C1214" s="8">
        <v>46133</v>
      </c>
      <c r="D1214" s="9">
        <v>10815</v>
      </c>
      <c r="E1214">
        <f>MONTH(C1214)</f>
        <v>4</v>
      </c>
    </row>
    <row r="1215" spans="1:5">
      <c r="A1215" t="s">
        <v>6</v>
      </c>
      <c r="B1215" t="s">
        <v>260</v>
      </c>
      <c r="C1215" s="8">
        <v>46133</v>
      </c>
      <c r="D1215" s="9">
        <v>29406</v>
      </c>
      <c r="E1215">
        <f>MONTH(C1215)</f>
        <v>4</v>
      </c>
    </row>
    <row r="1216" spans="1:5">
      <c r="A1216" t="s">
        <v>33</v>
      </c>
      <c r="B1216" t="s">
        <v>232</v>
      </c>
      <c r="C1216" s="8">
        <v>46133</v>
      </c>
      <c r="D1216" s="9">
        <v>11221</v>
      </c>
      <c r="E1216">
        <f>MONTH(C1216)</f>
        <v>4</v>
      </c>
    </row>
    <row r="1217" spans="1:5">
      <c r="A1217" t="s">
        <v>9</v>
      </c>
      <c r="B1217" t="s">
        <v>158</v>
      </c>
      <c r="C1217" s="8">
        <v>46133</v>
      </c>
      <c r="D1217" s="9">
        <v>28114</v>
      </c>
      <c r="E1217">
        <f>MONTH(C1217)</f>
        <v>4</v>
      </c>
    </row>
    <row r="1218" spans="1:5">
      <c r="A1218" t="s">
        <v>5</v>
      </c>
      <c r="B1218" t="s">
        <v>251</v>
      </c>
      <c r="C1218" s="8">
        <v>46133</v>
      </c>
      <c r="D1218" s="9">
        <v>36244</v>
      </c>
      <c r="E1218">
        <f>MONTH(C1218)</f>
        <v>4</v>
      </c>
    </row>
    <row r="1219" spans="1:5">
      <c r="A1219" t="s">
        <v>5</v>
      </c>
      <c r="B1219" t="s">
        <v>84</v>
      </c>
      <c r="C1219" s="8">
        <v>46133</v>
      </c>
      <c r="D1219" s="9">
        <v>58522</v>
      </c>
      <c r="E1219">
        <f>MONTH(C1219)</f>
        <v>4</v>
      </c>
    </row>
    <row r="1220" spans="1:5">
      <c r="A1220" t="s">
        <v>5</v>
      </c>
      <c r="B1220" t="s">
        <v>93</v>
      </c>
      <c r="C1220" s="8">
        <v>46133</v>
      </c>
      <c r="D1220" s="9">
        <v>39857</v>
      </c>
      <c r="E1220">
        <f>MONTH(C1220)</f>
        <v>4</v>
      </c>
    </row>
    <row r="1221" spans="1:5">
      <c r="A1221" t="s">
        <v>4</v>
      </c>
      <c r="B1221" t="s">
        <v>181</v>
      </c>
      <c r="C1221" s="8">
        <v>46134</v>
      </c>
      <c r="D1221" s="9">
        <v>27462</v>
      </c>
      <c r="E1221">
        <f>MONTH(C1221)</f>
        <v>4</v>
      </c>
    </row>
    <row r="1222" spans="1:5">
      <c r="A1222" t="s">
        <v>4</v>
      </c>
      <c r="B1222" t="s">
        <v>180</v>
      </c>
      <c r="C1222" s="8">
        <v>46134</v>
      </c>
      <c r="D1222" s="9">
        <v>30810</v>
      </c>
      <c r="E1222">
        <f>MONTH(C1222)</f>
        <v>4</v>
      </c>
    </row>
    <row r="1223" spans="1:5">
      <c r="A1223" t="s">
        <v>9</v>
      </c>
      <c r="B1223" t="s">
        <v>83</v>
      </c>
      <c r="C1223" s="8">
        <v>46134</v>
      </c>
      <c r="D1223" s="9">
        <v>41111</v>
      </c>
      <c r="E1223">
        <f>MONTH(C1223)</f>
        <v>4</v>
      </c>
    </row>
    <row r="1224" spans="1:5">
      <c r="A1224" t="s">
        <v>5</v>
      </c>
      <c r="B1224" t="s">
        <v>239</v>
      </c>
      <c r="C1224" s="8">
        <v>46134</v>
      </c>
      <c r="D1224" s="9">
        <v>43335</v>
      </c>
      <c r="E1224">
        <f>MONTH(C1224)</f>
        <v>4</v>
      </c>
    </row>
    <row r="1225" spans="1:5">
      <c r="A1225" t="s">
        <v>5</v>
      </c>
      <c r="B1225" t="s">
        <v>251</v>
      </c>
      <c r="C1225" s="8">
        <v>46134</v>
      </c>
      <c r="D1225" s="9">
        <v>43023</v>
      </c>
      <c r="E1225">
        <f>MONTH(C1225)</f>
        <v>4</v>
      </c>
    </row>
    <row r="1226" spans="1:5">
      <c r="A1226" t="s">
        <v>5</v>
      </c>
      <c r="B1226" t="s">
        <v>97</v>
      </c>
      <c r="C1226" s="8">
        <v>46134</v>
      </c>
      <c r="D1226" s="9">
        <v>39338</v>
      </c>
      <c r="E1226">
        <f>MONTH(C1226)</f>
        <v>4</v>
      </c>
    </row>
    <row r="1227" spans="1:5">
      <c r="A1227" t="s">
        <v>5</v>
      </c>
      <c r="B1227" t="s">
        <v>98</v>
      </c>
      <c r="C1227" s="8">
        <v>46134</v>
      </c>
      <c r="D1227" s="9">
        <v>43028</v>
      </c>
      <c r="E1227">
        <f>MONTH(C1227)</f>
        <v>4</v>
      </c>
    </row>
    <row r="1228" spans="1:5">
      <c r="A1228" t="s">
        <v>5</v>
      </c>
      <c r="B1228" t="s">
        <v>84</v>
      </c>
      <c r="C1228" s="8">
        <v>46134</v>
      </c>
      <c r="D1228" s="9">
        <v>56697</v>
      </c>
      <c r="E1228">
        <f>MONTH(C1228)</f>
        <v>4</v>
      </c>
    </row>
    <row r="1229" spans="1:5">
      <c r="A1229" t="s">
        <v>5</v>
      </c>
      <c r="B1229" t="s">
        <v>210</v>
      </c>
      <c r="C1229" s="8">
        <v>46134</v>
      </c>
      <c r="D1229" s="9">
        <v>30423</v>
      </c>
      <c r="E1229">
        <f>MONTH(C1229)</f>
        <v>4</v>
      </c>
    </row>
    <row r="1230" spans="1:5">
      <c r="A1230" t="s">
        <v>38</v>
      </c>
      <c r="B1230" t="s">
        <v>110</v>
      </c>
      <c r="C1230" s="8">
        <v>46135</v>
      </c>
      <c r="D1230" s="9">
        <v>11331</v>
      </c>
      <c r="E1230">
        <f>MONTH(C1230)</f>
        <v>4</v>
      </c>
    </row>
    <row r="1231" spans="1:5">
      <c r="A1231" t="s">
        <v>31</v>
      </c>
      <c r="B1231" t="s">
        <v>48</v>
      </c>
      <c r="C1231" s="8">
        <v>46135</v>
      </c>
      <c r="D1231" s="9">
        <v>12041</v>
      </c>
      <c r="E1231">
        <f>MONTH(C1231)</f>
        <v>4</v>
      </c>
    </row>
    <row r="1232" spans="1:5">
      <c r="A1232" t="s">
        <v>25</v>
      </c>
      <c r="B1232" t="s">
        <v>117</v>
      </c>
      <c r="C1232" s="8">
        <v>46135</v>
      </c>
      <c r="D1232" s="9">
        <v>11576</v>
      </c>
      <c r="E1232">
        <f>MONTH(C1232)</f>
        <v>4</v>
      </c>
    </row>
    <row r="1233" spans="1:5">
      <c r="A1233" t="s">
        <v>26</v>
      </c>
      <c r="B1233" t="s">
        <v>256</v>
      </c>
      <c r="C1233" s="8">
        <v>46135</v>
      </c>
      <c r="D1233" s="9">
        <v>13464</v>
      </c>
      <c r="E1233">
        <f>MONTH(C1233)</f>
        <v>4</v>
      </c>
    </row>
    <row r="1234" spans="1:5">
      <c r="A1234" t="s">
        <v>6</v>
      </c>
      <c r="B1234" t="s">
        <v>218</v>
      </c>
      <c r="C1234" s="8">
        <v>46135</v>
      </c>
      <c r="D1234" s="9">
        <v>18071</v>
      </c>
      <c r="E1234">
        <f>MONTH(C1234)</f>
        <v>4</v>
      </c>
    </row>
    <row r="1235" spans="1:5">
      <c r="A1235" t="s">
        <v>7</v>
      </c>
      <c r="B1235" t="s">
        <v>122</v>
      </c>
      <c r="C1235" s="8">
        <v>46135</v>
      </c>
      <c r="D1235" s="9">
        <v>7178</v>
      </c>
      <c r="E1235">
        <f>MONTH(C1235)</f>
        <v>4</v>
      </c>
    </row>
    <row r="1236" spans="1:5">
      <c r="A1236" t="s">
        <v>9</v>
      </c>
      <c r="B1236" t="s">
        <v>137</v>
      </c>
      <c r="C1236" s="8">
        <v>46135</v>
      </c>
      <c r="D1236" s="9">
        <v>38676</v>
      </c>
      <c r="E1236">
        <f>MONTH(C1236)</f>
        <v>4</v>
      </c>
    </row>
    <row r="1237" spans="1:5">
      <c r="A1237" t="s">
        <v>5</v>
      </c>
      <c r="B1237" t="s">
        <v>106</v>
      </c>
      <c r="C1237" s="8">
        <v>46135</v>
      </c>
      <c r="D1237" s="9">
        <v>24116</v>
      </c>
      <c r="E1237">
        <f>MONTH(C1237)</f>
        <v>4</v>
      </c>
    </row>
    <row r="1238" spans="1:5">
      <c r="A1238" t="s">
        <v>5</v>
      </c>
      <c r="B1238" t="s">
        <v>107</v>
      </c>
      <c r="C1238" s="8">
        <v>46135</v>
      </c>
      <c r="D1238" s="9">
        <v>40009</v>
      </c>
      <c r="E1238">
        <f>MONTH(C1238)</f>
        <v>4</v>
      </c>
    </row>
    <row r="1239" spans="1:5">
      <c r="A1239" t="s">
        <v>5</v>
      </c>
      <c r="B1239" t="s">
        <v>108</v>
      </c>
      <c r="C1239" s="8">
        <v>46135</v>
      </c>
      <c r="D1239" s="9">
        <v>40691</v>
      </c>
      <c r="E1239">
        <f>MONTH(C1239)</f>
        <v>4</v>
      </c>
    </row>
    <row r="1240" spans="1:5">
      <c r="A1240" t="s">
        <v>5</v>
      </c>
      <c r="B1240" t="s">
        <v>61</v>
      </c>
      <c r="C1240" s="8">
        <v>46135</v>
      </c>
      <c r="D1240" s="9">
        <v>32173</v>
      </c>
      <c r="E1240">
        <f>MONTH(C1240)</f>
        <v>4</v>
      </c>
    </row>
    <row r="1241" spans="1:5">
      <c r="A1241" t="s">
        <v>4</v>
      </c>
      <c r="B1241" t="s">
        <v>88</v>
      </c>
      <c r="C1241" s="8">
        <v>46136</v>
      </c>
      <c r="D1241" s="9">
        <v>17261</v>
      </c>
      <c r="E1241">
        <f>MONTH(C1241)</f>
        <v>4</v>
      </c>
    </row>
    <row r="1242" spans="1:5">
      <c r="A1242" t="s">
        <v>28</v>
      </c>
      <c r="B1242" t="s">
        <v>62</v>
      </c>
      <c r="C1242" s="8">
        <v>46136</v>
      </c>
      <c r="D1242" s="9">
        <v>12208</v>
      </c>
      <c r="E1242">
        <f>MONTH(C1242)</f>
        <v>4</v>
      </c>
    </row>
    <row r="1243" spans="1:5">
      <c r="A1243" t="s">
        <v>8</v>
      </c>
      <c r="B1243" t="s">
        <v>79</v>
      </c>
      <c r="C1243" s="8">
        <v>46136</v>
      </c>
      <c r="D1243" s="9">
        <v>13567</v>
      </c>
      <c r="E1243">
        <f>MONTH(C1243)</f>
        <v>4</v>
      </c>
    </row>
    <row r="1244" spans="1:5">
      <c r="A1244" t="s">
        <v>8</v>
      </c>
      <c r="B1244" t="s">
        <v>56</v>
      </c>
      <c r="C1244" s="8">
        <v>46136</v>
      </c>
      <c r="D1244" s="9">
        <v>5200</v>
      </c>
      <c r="E1244">
        <f>MONTH(C1244)</f>
        <v>4</v>
      </c>
    </row>
    <row r="1245" spans="1:5">
      <c r="A1245" t="s">
        <v>9</v>
      </c>
      <c r="B1245" t="s">
        <v>235</v>
      </c>
      <c r="C1245" s="8">
        <v>46136</v>
      </c>
      <c r="D1245" s="9">
        <v>39031</v>
      </c>
      <c r="E1245">
        <f>MONTH(C1245)</f>
        <v>4</v>
      </c>
    </row>
    <row r="1246" spans="1:5">
      <c r="A1246" t="s">
        <v>9</v>
      </c>
      <c r="B1246" t="s">
        <v>53</v>
      </c>
      <c r="C1246" s="8">
        <v>46136</v>
      </c>
      <c r="D1246" s="9">
        <v>39020</v>
      </c>
      <c r="E1246">
        <f>MONTH(C1246)</f>
        <v>4</v>
      </c>
    </row>
    <row r="1247" spans="1:5">
      <c r="A1247" t="s">
        <v>9</v>
      </c>
      <c r="B1247" t="s">
        <v>219</v>
      </c>
      <c r="C1247" s="8">
        <v>46136</v>
      </c>
      <c r="D1247" s="9">
        <v>35840</v>
      </c>
      <c r="E1247">
        <f>MONTH(C1247)</f>
        <v>4</v>
      </c>
    </row>
    <row r="1248" spans="1:5">
      <c r="A1248" t="s">
        <v>5</v>
      </c>
      <c r="B1248" t="s">
        <v>166</v>
      </c>
      <c r="C1248" s="8">
        <v>46136</v>
      </c>
      <c r="D1248" s="9">
        <v>42868</v>
      </c>
      <c r="E1248">
        <f>MONTH(C1248)</f>
        <v>4</v>
      </c>
    </row>
    <row r="1249" spans="1:5">
      <c r="A1249" t="s">
        <v>5</v>
      </c>
      <c r="B1249" t="s">
        <v>49</v>
      </c>
      <c r="C1249" s="8">
        <v>46136</v>
      </c>
      <c r="D1249" s="9">
        <v>46436</v>
      </c>
      <c r="E1249">
        <f>MONTH(C1249)</f>
        <v>4</v>
      </c>
    </row>
    <row r="1250" spans="1:5">
      <c r="A1250" t="s">
        <v>5</v>
      </c>
      <c r="B1250" t="s">
        <v>92</v>
      </c>
      <c r="C1250" s="8">
        <v>46136</v>
      </c>
      <c r="D1250" s="9">
        <v>56184</v>
      </c>
      <c r="E1250">
        <f>MONTH(C1250)</f>
        <v>4</v>
      </c>
    </row>
    <row r="1251" spans="1:5">
      <c r="A1251" t="s">
        <v>5</v>
      </c>
      <c r="B1251" t="s">
        <v>74</v>
      </c>
      <c r="C1251" s="8">
        <v>46136</v>
      </c>
      <c r="D1251" s="9">
        <v>49412</v>
      </c>
      <c r="E1251">
        <f>MONTH(C1251)</f>
        <v>4</v>
      </c>
    </row>
    <row r="1252" spans="1:5">
      <c r="A1252" t="s">
        <v>5</v>
      </c>
      <c r="B1252" t="s">
        <v>124</v>
      </c>
      <c r="C1252" s="8">
        <v>46136</v>
      </c>
      <c r="D1252" s="9">
        <v>32081</v>
      </c>
      <c r="E1252">
        <f>MONTH(C1252)</f>
        <v>4</v>
      </c>
    </row>
    <row r="1253" spans="1:5">
      <c r="A1253" t="s">
        <v>4</v>
      </c>
      <c r="B1253" t="s">
        <v>227</v>
      </c>
      <c r="C1253" s="8">
        <v>46137</v>
      </c>
      <c r="D1253" s="9">
        <v>5200</v>
      </c>
      <c r="E1253">
        <f>MONTH(C1253)</f>
        <v>4</v>
      </c>
    </row>
    <row r="1254" spans="1:5">
      <c r="A1254" t="s">
        <v>4</v>
      </c>
      <c r="B1254" t="s">
        <v>198</v>
      </c>
      <c r="C1254" s="8">
        <v>46137</v>
      </c>
      <c r="D1254" s="9">
        <v>28303</v>
      </c>
      <c r="E1254">
        <f>MONTH(C1254)</f>
        <v>4</v>
      </c>
    </row>
    <row r="1255" spans="1:5">
      <c r="A1255" t="s">
        <v>25</v>
      </c>
      <c r="B1255" t="s">
        <v>86</v>
      </c>
      <c r="C1255" s="8">
        <v>46137</v>
      </c>
      <c r="D1255" s="9">
        <v>14305</v>
      </c>
      <c r="E1255">
        <f>MONTH(C1255)</f>
        <v>4</v>
      </c>
    </row>
    <row r="1256" spans="1:5">
      <c r="A1256" t="s">
        <v>9</v>
      </c>
      <c r="B1256" t="s">
        <v>143</v>
      </c>
      <c r="C1256" s="8">
        <v>46137</v>
      </c>
      <c r="D1256" s="9">
        <v>9758</v>
      </c>
      <c r="E1256">
        <f>MONTH(C1256)</f>
        <v>4</v>
      </c>
    </row>
    <row r="1257" spans="1:5">
      <c r="A1257" t="s">
        <v>9</v>
      </c>
      <c r="B1257" t="s">
        <v>221</v>
      </c>
      <c r="C1257" s="8">
        <v>46137</v>
      </c>
      <c r="D1257" s="9">
        <v>34594</v>
      </c>
      <c r="E1257">
        <f>MONTH(C1257)</f>
        <v>4</v>
      </c>
    </row>
    <row r="1258" spans="1:5">
      <c r="A1258" t="s">
        <v>5</v>
      </c>
      <c r="B1258" t="s">
        <v>106</v>
      </c>
      <c r="C1258" s="8">
        <v>46137</v>
      </c>
      <c r="D1258" s="9">
        <v>35013</v>
      </c>
      <c r="E1258">
        <f>MONTH(C1258)</f>
        <v>4</v>
      </c>
    </row>
    <row r="1259" spans="1:5">
      <c r="A1259" t="s">
        <v>5</v>
      </c>
      <c r="B1259" t="s">
        <v>209</v>
      </c>
      <c r="C1259" s="8">
        <v>46137</v>
      </c>
      <c r="D1259" s="9">
        <v>47374</v>
      </c>
      <c r="E1259">
        <f>MONTH(C1259)</f>
        <v>4</v>
      </c>
    </row>
    <row r="1260" spans="1:5">
      <c r="A1260" t="s">
        <v>5</v>
      </c>
      <c r="B1260" t="s">
        <v>183</v>
      </c>
      <c r="C1260" s="8">
        <v>46137</v>
      </c>
      <c r="D1260" s="9">
        <v>55736</v>
      </c>
      <c r="E1260">
        <f>MONTH(C1260)</f>
        <v>4</v>
      </c>
    </row>
    <row r="1261" spans="1:5">
      <c r="A1261" t="s">
        <v>5</v>
      </c>
      <c r="B1261" t="s">
        <v>99</v>
      </c>
      <c r="C1261" s="8">
        <v>46137</v>
      </c>
      <c r="D1261" s="9">
        <v>43355</v>
      </c>
      <c r="E1261">
        <f>MONTH(C1261)</f>
        <v>4</v>
      </c>
    </row>
    <row r="1262" spans="1:5">
      <c r="A1262" t="s">
        <v>5</v>
      </c>
      <c r="B1262" t="s">
        <v>145</v>
      </c>
      <c r="C1262" s="8">
        <v>46137</v>
      </c>
      <c r="D1262" s="9">
        <v>49363</v>
      </c>
      <c r="E1262">
        <f>MONTH(C1262)</f>
        <v>4</v>
      </c>
    </row>
    <row r="1263" spans="1:5">
      <c r="A1263" t="s">
        <v>27</v>
      </c>
      <c r="B1263" t="s">
        <v>173</v>
      </c>
      <c r="C1263" s="8">
        <v>46138</v>
      </c>
      <c r="D1263" s="9">
        <v>21578</v>
      </c>
      <c r="E1263">
        <f>MONTH(C1263)</f>
        <v>4</v>
      </c>
    </row>
    <row r="1264" spans="1:5">
      <c r="A1264" t="s">
        <v>6</v>
      </c>
      <c r="B1264" t="s">
        <v>141</v>
      </c>
      <c r="C1264" s="8">
        <v>46138</v>
      </c>
      <c r="D1264" s="9">
        <v>17161</v>
      </c>
      <c r="E1264">
        <f>MONTH(C1264)</f>
        <v>4</v>
      </c>
    </row>
    <row r="1265" spans="1:5">
      <c r="A1265" t="s">
        <v>7</v>
      </c>
      <c r="B1265" t="s">
        <v>105</v>
      </c>
      <c r="C1265" s="8">
        <v>46138</v>
      </c>
      <c r="D1265" s="9">
        <v>23043</v>
      </c>
      <c r="E1265">
        <f>MONTH(C1265)</f>
        <v>4</v>
      </c>
    </row>
    <row r="1266" spans="1:5">
      <c r="A1266" t="s">
        <v>9</v>
      </c>
      <c r="B1266" t="s">
        <v>123</v>
      </c>
      <c r="C1266" s="8">
        <v>46138</v>
      </c>
      <c r="D1266" s="9">
        <v>33334</v>
      </c>
      <c r="E1266">
        <f>MONTH(C1266)</f>
        <v>4</v>
      </c>
    </row>
    <row r="1267" spans="1:5">
      <c r="A1267" t="s">
        <v>9</v>
      </c>
      <c r="B1267" t="s">
        <v>144</v>
      </c>
      <c r="C1267" s="8">
        <v>46138</v>
      </c>
      <c r="D1267" s="9">
        <v>24857</v>
      </c>
      <c r="E1267">
        <f>MONTH(C1267)</f>
        <v>4</v>
      </c>
    </row>
    <row r="1268" spans="1:5">
      <c r="A1268" t="s">
        <v>9</v>
      </c>
      <c r="B1268" t="s">
        <v>137</v>
      </c>
      <c r="C1268" s="8">
        <v>46138</v>
      </c>
      <c r="D1268" s="9">
        <v>36443</v>
      </c>
      <c r="E1268">
        <f>MONTH(C1268)</f>
        <v>4</v>
      </c>
    </row>
    <row r="1269" spans="1:5">
      <c r="A1269" t="s">
        <v>5</v>
      </c>
      <c r="B1269" t="s">
        <v>61</v>
      </c>
      <c r="C1269" s="8">
        <v>46138</v>
      </c>
      <c r="D1269" s="9">
        <v>32611</v>
      </c>
      <c r="E1269">
        <f>MONTH(C1269)</f>
        <v>4</v>
      </c>
    </row>
    <row r="1270" spans="1:5">
      <c r="A1270" t="s">
        <v>4</v>
      </c>
      <c r="B1270" t="s">
        <v>234</v>
      </c>
      <c r="C1270" s="8">
        <v>46139</v>
      </c>
      <c r="D1270" s="9">
        <v>9882</v>
      </c>
      <c r="E1270">
        <f>MONTH(C1270)</f>
        <v>4</v>
      </c>
    </row>
    <row r="1271" spans="1:5">
      <c r="A1271" t="s">
        <v>29</v>
      </c>
      <c r="B1271" t="s">
        <v>121</v>
      </c>
      <c r="C1271" s="8">
        <v>46139</v>
      </c>
      <c r="D1271" s="9">
        <v>9100</v>
      </c>
      <c r="E1271">
        <f>MONTH(C1271)</f>
        <v>4</v>
      </c>
    </row>
    <row r="1272" spans="1:5">
      <c r="A1272" t="s">
        <v>7</v>
      </c>
      <c r="B1272" t="s">
        <v>69</v>
      </c>
      <c r="C1272" s="8">
        <v>46139</v>
      </c>
      <c r="D1272" s="9">
        <v>11912</v>
      </c>
      <c r="E1272">
        <f>MONTH(C1272)</f>
        <v>4</v>
      </c>
    </row>
    <row r="1273" spans="1:5">
      <c r="A1273" t="s">
        <v>7</v>
      </c>
      <c r="B1273" t="s">
        <v>202</v>
      </c>
      <c r="C1273" s="8">
        <v>46139</v>
      </c>
      <c r="D1273" s="9">
        <v>22302</v>
      </c>
      <c r="E1273">
        <f>MONTH(C1273)</f>
        <v>4</v>
      </c>
    </row>
    <row r="1274" spans="1:5">
      <c r="A1274" t="s">
        <v>7</v>
      </c>
      <c r="B1274" t="s">
        <v>249</v>
      </c>
      <c r="C1274" s="8">
        <v>46139</v>
      </c>
      <c r="D1274" s="9">
        <v>21302</v>
      </c>
      <c r="E1274">
        <f>MONTH(C1274)</f>
        <v>4</v>
      </c>
    </row>
    <row r="1275" spans="1:5">
      <c r="A1275" t="s">
        <v>7</v>
      </c>
      <c r="B1275" t="s">
        <v>89</v>
      </c>
      <c r="C1275" s="8">
        <v>46139</v>
      </c>
      <c r="D1275" s="9">
        <v>25972</v>
      </c>
      <c r="E1275">
        <f>MONTH(C1275)</f>
        <v>4</v>
      </c>
    </row>
    <row r="1276" spans="1:5">
      <c r="A1276" t="s">
        <v>9</v>
      </c>
      <c r="B1276" t="s">
        <v>178</v>
      </c>
      <c r="C1276" s="8">
        <v>46139</v>
      </c>
      <c r="D1276" s="9">
        <v>41926</v>
      </c>
      <c r="E1276">
        <f>MONTH(C1276)</f>
        <v>4</v>
      </c>
    </row>
    <row r="1277" spans="1:5">
      <c r="A1277" t="s">
        <v>4</v>
      </c>
      <c r="B1277" t="s">
        <v>126</v>
      </c>
      <c r="C1277" s="8">
        <v>46140</v>
      </c>
      <c r="D1277" s="9">
        <v>28992</v>
      </c>
      <c r="E1277">
        <f>MONTH(C1277)</f>
        <v>4</v>
      </c>
    </row>
    <row r="1278" spans="1:5">
      <c r="A1278" t="s">
        <v>25</v>
      </c>
      <c r="B1278" t="s">
        <v>228</v>
      </c>
      <c r="C1278" s="8">
        <v>46140</v>
      </c>
      <c r="D1278" s="9">
        <v>13244</v>
      </c>
      <c r="E1278">
        <f>MONTH(C1278)</f>
        <v>4</v>
      </c>
    </row>
    <row r="1279" spans="1:5">
      <c r="A1279" t="s">
        <v>8</v>
      </c>
      <c r="B1279" t="s">
        <v>129</v>
      </c>
      <c r="C1279" s="8">
        <v>46140</v>
      </c>
      <c r="D1279" s="9">
        <v>14683</v>
      </c>
      <c r="E1279">
        <f>MONTH(C1279)</f>
        <v>4</v>
      </c>
    </row>
    <row r="1280" spans="1:5">
      <c r="A1280" t="s">
        <v>34</v>
      </c>
      <c r="B1280" t="s">
        <v>265</v>
      </c>
      <c r="C1280" s="8">
        <v>46140</v>
      </c>
      <c r="D1280" s="9">
        <v>11163</v>
      </c>
      <c r="E1280">
        <f>MONTH(C1280)</f>
        <v>4</v>
      </c>
    </row>
    <row r="1281" spans="1:5">
      <c r="A1281" t="s">
        <v>7</v>
      </c>
      <c r="B1281" t="s">
        <v>244</v>
      </c>
      <c r="C1281" s="8">
        <v>46140</v>
      </c>
      <c r="D1281" s="9">
        <v>19591</v>
      </c>
      <c r="E1281">
        <f>MONTH(C1281)</f>
        <v>4</v>
      </c>
    </row>
    <row r="1282" spans="1:5">
      <c r="A1282" t="s">
        <v>9</v>
      </c>
      <c r="B1282" t="s">
        <v>171</v>
      </c>
      <c r="C1282" s="8">
        <v>46140</v>
      </c>
      <c r="D1282" s="9">
        <v>42542</v>
      </c>
      <c r="E1282">
        <f>MONTH(C1282)</f>
        <v>4</v>
      </c>
    </row>
    <row r="1283" spans="1:5">
      <c r="A1283" t="s">
        <v>5</v>
      </c>
      <c r="B1283" t="s">
        <v>114</v>
      </c>
      <c r="C1283" s="8">
        <v>46140</v>
      </c>
      <c r="D1283" s="9">
        <v>26272</v>
      </c>
      <c r="E1283">
        <f>MONTH(C1283)</f>
        <v>4</v>
      </c>
    </row>
    <row r="1284" spans="1:5">
      <c r="A1284" t="s">
        <v>4</v>
      </c>
      <c r="B1284" t="s">
        <v>197</v>
      </c>
      <c r="C1284" s="8">
        <v>46141</v>
      </c>
      <c r="D1284" s="9">
        <v>26962</v>
      </c>
      <c r="E1284">
        <f>MONTH(C1284)</f>
        <v>4</v>
      </c>
    </row>
    <row r="1285" spans="1:5">
      <c r="A1285" t="s">
        <v>4</v>
      </c>
      <c r="B1285" t="s">
        <v>160</v>
      </c>
      <c r="C1285" s="8">
        <v>46141</v>
      </c>
      <c r="D1285" s="9">
        <v>28272</v>
      </c>
      <c r="E1285">
        <f>MONTH(C1285)</f>
        <v>4</v>
      </c>
    </row>
    <row r="1286" spans="1:5">
      <c r="A1286" t="s">
        <v>25</v>
      </c>
      <c r="B1286" t="s">
        <v>272</v>
      </c>
      <c r="C1286" s="8">
        <v>46141</v>
      </c>
      <c r="D1286" s="9">
        <v>13846</v>
      </c>
      <c r="E1286">
        <f>MONTH(C1286)</f>
        <v>4</v>
      </c>
    </row>
    <row r="1287" spans="1:5">
      <c r="A1287" t="s">
        <v>25</v>
      </c>
      <c r="B1287" t="s">
        <v>267</v>
      </c>
      <c r="C1287" s="8">
        <v>46141</v>
      </c>
      <c r="D1287" s="9">
        <v>15364</v>
      </c>
      <c r="E1287">
        <f>MONTH(C1287)</f>
        <v>4</v>
      </c>
    </row>
    <row r="1288" spans="1:5">
      <c r="A1288" t="s">
        <v>7</v>
      </c>
      <c r="B1288" t="s">
        <v>156</v>
      </c>
      <c r="C1288" s="8">
        <v>46141</v>
      </c>
      <c r="D1288" s="9">
        <v>15698</v>
      </c>
      <c r="E1288">
        <f>MONTH(C1288)</f>
        <v>4</v>
      </c>
    </row>
    <row r="1289" spans="1:5">
      <c r="A1289" t="s">
        <v>7</v>
      </c>
      <c r="B1289" t="s">
        <v>82</v>
      </c>
      <c r="C1289" s="8">
        <v>46141</v>
      </c>
      <c r="D1289" s="9">
        <v>23699</v>
      </c>
      <c r="E1289">
        <f>MONTH(C1289)</f>
        <v>4</v>
      </c>
    </row>
    <row r="1290" spans="1:5">
      <c r="A1290" t="s">
        <v>9</v>
      </c>
      <c r="B1290" t="s">
        <v>221</v>
      </c>
      <c r="C1290" s="8">
        <v>46141</v>
      </c>
      <c r="D1290" s="9">
        <v>35685</v>
      </c>
      <c r="E1290">
        <f>MONTH(C1290)</f>
        <v>4</v>
      </c>
    </row>
    <row r="1291" spans="1:5">
      <c r="A1291" t="s">
        <v>9</v>
      </c>
      <c r="B1291" t="s">
        <v>187</v>
      </c>
      <c r="C1291" s="8">
        <v>46141</v>
      </c>
      <c r="D1291" s="9">
        <v>41889</v>
      </c>
      <c r="E1291">
        <f>MONTH(C1291)</f>
        <v>4</v>
      </c>
    </row>
    <row r="1292" spans="1:5">
      <c r="A1292" t="s">
        <v>5</v>
      </c>
      <c r="B1292" t="s">
        <v>166</v>
      </c>
      <c r="C1292" s="8">
        <v>46141</v>
      </c>
      <c r="D1292" s="9">
        <v>40851</v>
      </c>
      <c r="E1292">
        <f>MONTH(C1292)</f>
        <v>4</v>
      </c>
    </row>
    <row r="1293" spans="1:5">
      <c r="A1293" t="s">
        <v>5</v>
      </c>
      <c r="B1293" t="s">
        <v>133</v>
      </c>
      <c r="C1293" s="8">
        <v>46141</v>
      </c>
      <c r="D1293" s="9">
        <v>42424</v>
      </c>
      <c r="E1293">
        <f>MONTH(C1293)</f>
        <v>4</v>
      </c>
    </row>
    <row r="1294" spans="1:5">
      <c r="A1294" t="s">
        <v>5</v>
      </c>
      <c r="B1294" t="s">
        <v>73</v>
      </c>
      <c r="C1294" s="8">
        <v>46141</v>
      </c>
      <c r="D1294" s="9">
        <v>37095</v>
      </c>
      <c r="E1294">
        <f>MONTH(C1294)</f>
        <v>4</v>
      </c>
    </row>
    <row r="1295" spans="1:5">
      <c r="A1295" t="s">
        <v>5</v>
      </c>
      <c r="B1295" t="s">
        <v>115</v>
      </c>
      <c r="C1295" s="8">
        <v>46141</v>
      </c>
      <c r="D1295" s="9">
        <v>34927</v>
      </c>
      <c r="E1295">
        <f>MONTH(C1295)</f>
        <v>4</v>
      </c>
    </row>
    <row r="1296" spans="1:5">
      <c r="A1296" t="s">
        <v>5</v>
      </c>
      <c r="B1296" t="s">
        <v>134</v>
      </c>
      <c r="C1296" s="8">
        <v>46141</v>
      </c>
      <c r="D1296" s="9">
        <v>32740</v>
      </c>
      <c r="E1296">
        <f>MONTH(C1296)</f>
        <v>4</v>
      </c>
    </row>
    <row r="1297" spans="1:5">
      <c r="A1297" t="s">
        <v>4</v>
      </c>
      <c r="B1297" t="s">
        <v>150</v>
      </c>
      <c r="C1297" s="8">
        <v>46142</v>
      </c>
      <c r="D1297" s="9">
        <v>36074</v>
      </c>
      <c r="E1297">
        <f>MONTH(C1297)</f>
        <v>4</v>
      </c>
    </row>
    <row r="1298" spans="1:5">
      <c r="A1298" t="s">
        <v>32</v>
      </c>
      <c r="B1298" t="s">
        <v>87</v>
      </c>
      <c r="C1298" s="8">
        <v>46142</v>
      </c>
      <c r="D1298" s="9">
        <v>12839</v>
      </c>
      <c r="E1298">
        <f>MONTH(C1298)</f>
        <v>4</v>
      </c>
    </row>
    <row r="1299" spans="1:5">
      <c r="A1299" t="s">
        <v>7</v>
      </c>
      <c r="B1299" t="s">
        <v>170</v>
      </c>
      <c r="C1299" s="8">
        <v>46142</v>
      </c>
      <c r="D1299" s="9">
        <v>18191</v>
      </c>
      <c r="E1299">
        <f>MONTH(C1299)</f>
        <v>4</v>
      </c>
    </row>
    <row r="1300" spans="1:5">
      <c r="A1300" t="s">
        <v>5</v>
      </c>
      <c r="B1300" t="s">
        <v>220</v>
      </c>
      <c r="C1300" s="8">
        <v>46142</v>
      </c>
      <c r="D1300" s="9">
        <v>30424</v>
      </c>
      <c r="E1300">
        <f>MONTH(C1300)</f>
        <v>4</v>
      </c>
    </row>
    <row r="1301" spans="1:5">
      <c r="A1301" t="s">
        <v>5</v>
      </c>
      <c r="B1301" t="s">
        <v>277</v>
      </c>
      <c r="C1301" s="8">
        <v>46142</v>
      </c>
      <c r="D1301" s="9">
        <v>55385</v>
      </c>
      <c r="E1301">
        <f>MONTH(C1301)</f>
        <v>4</v>
      </c>
    </row>
    <row r="1302" spans="1:5">
      <c r="A1302" t="s">
        <v>5</v>
      </c>
      <c r="B1302" t="s">
        <v>108</v>
      </c>
      <c r="C1302" s="8">
        <v>46142</v>
      </c>
      <c r="D1302" s="9">
        <v>45691</v>
      </c>
      <c r="E1302">
        <f>MONTH(C1302)</f>
        <v>4</v>
      </c>
    </row>
    <row r="1303" spans="1:5">
      <c r="A1303" t="s">
        <v>7</v>
      </c>
      <c r="B1303" t="s">
        <v>233</v>
      </c>
      <c r="C1303" s="8">
        <v>46143</v>
      </c>
      <c r="D1303" s="9">
        <v>23760</v>
      </c>
      <c r="E1303">
        <f>MONTH(C1303)</f>
        <v>5</v>
      </c>
    </row>
    <row r="1304" spans="1:5">
      <c r="A1304" t="s">
        <v>9</v>
      </c>
      <c r="B1304" t="s">
        <v>245</v>
      </c>
      <c r="C1304" s="8">
        <v>46143</v>
      </c>
      <c r="D1304" s="9">
        <v>28218</v>
      </c>
      <c r="E1304">
        <f>MONTH(C1304)</f>
        <v>5</v>
      </c>
    </row>
    <row r="1305" spans="1:5">
      <c r="A1305" t="s">
        <v>9</v>
      </c>
      <c r="B1305" t="s">
        <v>70</v>
      </c>
      <c r="C1305" s="8">
        <v>46143</v>
      </c>
      <c r="D1305" s="9">
        <v>26372</v>
      </c>
      <c r="E1305">
        <f>MONTH(C1305)</f>
        <v>5</v>
      </c>
    </row>
    <row r="1306" spans="1:5">
      <c r="A1306" t="s">
        <v>9</v>
      </c>
      <c r="B1306" t="s">
        <v>66</v>
      </c>
      <c r="C1306" s="8">
        <v>46143</v>
      </c>
      <c r="D1306" s="9">
        <v>43757</v>
      </c>
      <c r="E1306">
        <f>MONTH(C1306)</f>
        <v>5</v>
      </c>
    </row>
    <row r="1307" spans="1:5">
      <c r="A1307" t="s">
        <v>5</v>
      </c>
      <c r="B1307" t="s">
        <v>123</v>
      </c>
      <c r="C1307" s="8">
        <v>46143</v>
      </c>
      <c r="D1307" s="9">
        <v>40775</v>
      </c>
      <c r="E1307">
        <f>MONTH(C1307)</f>
        <v>5</v>
      </c>
    </row>
    <row r="1308" spans="1:5">
      <c r="A1308" t="s">
        <v>5</v>
      </c>
      <c r="B1308" t="s">
        <v>54</v>
      </c>
      <c r="C1308" s="8">
        <v>46143</v>
      </c>
      <c r="D1308" s="9">
        <v>38654</v>
      </c>
      <c r="E1308">
        <f>MONTH(C1308)</f>
        <v>5</v>
      </c>
    </row>
    <row r="1309" spans="1:5">
      <c r="A1309" t="s">
        <v>5</v>
      </c>
      <c r="B1309" t="s">
        <v>108</v>
      </c>
      <c r="C1309" s="8">
        <v>46143</v>
      </c>
      <c r="D1309" s="9">
        <v>35185</v>
      </c>
      <c r="E1309">
        <f>MONTH(C1309)</f>
        <v>5</v>
      </c>
    </row>
    <row r="1310" spans="1:5">
      <c r="A1310" t="s">
        <v>4</v>
      </c>
      <c r="B1310" t="s">
        <v>126</v>
      </c>
      <c r="C1310" s="8">
        <v>46144</v>
      </c>
      <c r="D1310" s="9">
        <v>26957</v>
      </c>
      <c r="E1310">
        <f>MONTH(C1310)</f>
        <v>5</v>
      </c>
    </row>
    <row r="1311" spans="1:5">
      <c r="A1311" t="s">
        <v>4</v>
      </c>
      <c r="B1311" t="s">
        <v>85</v>
      </c>
      <c r="C1311" s="8">
        <v>46144</v>
      </c>
      <c r="D1311" s="9">
        <v>40433</v>
      </c>
      <c r="E1311">
        <f>MONTH(C1311)</f>
        <v>5</v>
      </c>
    </row>
    <row r="1312" spans="1:5">
      <c r="A1312" t="s">
        <v>4</v>
      </c>
      <c r="B1312" t="s">
        <v>76</v>
      </c>
      <c r="C1312" s="8">
        <v>46144</v>
      </c>
      <c r="D1312" s="9">
        <v>33119</v>
      </c>
      <c r="E1312">
        <f>MONTH(C1312)</f>
        <v>5</v>
      </c>
    </row>
    <row r="1313" spans="1:5">
      <c r="A1313" t="s">
        <v>6</v>
      </c>
      <c r="B1313" t="s">
        <v>218</v>
      </c>
      <c r="C1313" s="8">
        <v>46144</v>
      </c>
      <c r="D1313" s="9">
        <v>19511</v>
      </c>
      <c r="E1313">
        <f>MONTH(C1313)</f>
        <v>5</v>
      </c>
    </row>
    <row r="1314" spans="1:5">
      <c r="A1314" t="s">
        <v>9</v>
      </c>
      <c r="B1314" t="s">
        <v>283</v>
      </c>
      <c r="C1314" s="8">
        <v>46144</v>
      </c>
      <c r="D1314" s="9">
        <v>33484</v>
      </c>
      <c r="E1314">
        <f>MONTH(C1314)</f>
        <v>5</v>
      </c>
    </row>
    <row r="1315" spans="1:5">
      <c r="A1315" t="s">
        <v>9</v>
      </c>
      <c r="B1315" t="s">
        <v>113</v>
      </c>
      <c r="C1315" s="8">
        <v>46144</v>
      </c>
      <c r="D1315" s="9">
        <v>27972</v>
      </c>
      <c r="E1315">
        <f>MONTH(C1315)</f>
        <v>5</v>
      </c>
    </row>
    <row r="1316" spans="1:5">
      <c r="A1316" t="s">
        <v>5</v>
      </c>
      <c r="B1316" t="s">
        <v>165</v>
      </c>
      <c r="C1316" s="8">
        <v>46144</v>
      </c>
      <c r="D1316" s="9">
        <v>27900</v>
      </c>
      <c r="E1316">
        <f>MONTH(C1316)</f>
        <v>5</v>
      </c>
    </row>
    <row r="1317" spans="1:5">
      <c r="A1317" t="s">
        <v>5</v>
      </c>
      <c r="B1317" t="s">
        <v>100</v>
      </c>
      <c r="C1317" s="8">
        <v>46144</v>
      </c>
      <c r="D1317" s="9">
        <v>51386</v>
      </c>
      <c r="E1317">
        <f>MONTH(C1317)</f>
        <v>5</v>
      </c>
    </row>
    <row r="1318" spans="1:5">
      <c r="A1318" t="s">
        <v>27</v>
      </c>
      <c r="B1318" t="s">
        <v>196</v>
      </c>
      <c r="C1318" s="8">
        <v>46145</v>
      </c>
      <c r="D1318" s="9">
        <v>12930</v>
      </c>
      <c r="E1318">
        <f>MONTH(C1318)</f>
        <v>5</v>
      </c>
    </row>
    <row r="1319" spans="1:5">
      <c r="A1319" t="s">
        <v>4</v>
      </c>
      <c r="B1319" t="s">
        <v>136</v>
      </c>
      <c r="C1319" s="8">
        <v>46145</v>
      </c>
      <c r="D1319" s="9">
        <v>42018</v>
      </c>
      <c r="E1319">
        <f>MONTH(C1319)</f>
        <v>5</v>
      </c>
    </row>
    <row r="1320" spans="1:5">
      <c r="A1320" t="s">
        <v>4</v>
      </c>
      <c r="B1320" t="s">
        <v>96</v>
      </c>
      <c r="C1320" s="8">
        <v>46145</v>
      </c>
      <c r="D1320" s="9">
        <v>58484</v>
      </c>
      <c r="E1320">
        <f>MONTH(C1320)</f>
        <v>5</v>
      </c>
    </row>
    <row r="1321" spans="1:5">
      <c r="A1321" t="s">
        <v>25</v>
      </c>
      <c r="B1321" t="s">
        <v>173</v>
      </c>
      <c r="C1321" s="8">
        <v>46145</v>
      </c>
      <c r="D1321" s="9">
        <v>20319</v>
      </c>
      <c r="E1321">
        <f>MONTH(C1321)</f>
        <v>5</v>
      </c>
    </row>
    <row r="1322" spans="1:5">
      <c r="A1322" t="s">
        <v>26</v>
      </c>
      <c r="B1322" t="s">
        <v>280</v>
      </c>
      <c r="C1322" s="8">
        <v>46145</v>
      </c>
      <c r="D1322" s="9">
        <v>13924</v>
      </c>
      <c r="E1322">
        <f>MONTH(C1322)</f>
        <v>5</v>
      </c>
    </row>
    <row r="1323" spans="1:5">
      <c r="A1323" t="s">
        <v>8</v>
      </c>
      <c r="B1323" t="s">
        <v>147</v>
      </c>
      <c r="C1323" s="8">
        <v>46145</v>
      </c>
      <c r="D1323" s="9">
        <v>14952</v>
      </c>
      <c r="E1323">
        <f>MONTH(C1323)</f>
        <v>5</v>
      </c>
    </row>
    <row r="1324" spans="1:5">
      <c r="A1324" t="s">
        <v>5</v>
      </c>
      <c r="B1324" t="s">
        <v>189</v>
      </c>
      <c r="C1324" s="8">
        <v>46145</v>
      </c>
      <c r="D1324" s="9">
        <v>45656</v>
      </c>
      <c r="E1324">
        <f>MONTH(C1324)</f>
        <v>5</v>
      </c>
    </row>
    <row r="1325" spans="1:5">
      <c r="A1325" t="s">
        <v>4</v>
      </c>
      <c r="B1325" t="s">
        <v>254</v>
      </c>
      <c r="C1325" s="8">
        <v>46146</v>
      </c>
      <c r="D1325" s="9">
        <v>24481</v>
      </c>
      <c r="E1325">
        <f>MONTH(C1325)</f>
        <v>5</v>
      </c>
    </row>
    <row r="1326" spans="1:5">
      <c r="A1326" t="s">
        <v>8</v>
      </c>
      <c r="B1326" t="s">
        <v>246</v>
      </c>
      <c r="C1326" s="8">
        <v>46146</v>
      </c>
      <c r="D1326" s="9">
        <v>14716</v>
      </c>
      <c r="E1326">
        <f>MONTH(C1326)</f>
        <v>5</v>
      </c>
    </row>
    <row r="1327" spans="1:5">
      <c r="A1327" t="s">
        <v>29</v>
      </c>
      <c r="B1327" t="s">
        <v>121</v>
      </c>
      <c r="C1327" s="8">
        <v>46146</v>
      </c>
      <c r="D1327" s="9">
        <v>5200</v>
      </c>
      <c r="E1327">
        <f>MONTH(C1327)</f>
        <v>5</v>
      </c>
    </row>
    <row r="1328" spans="1:5">
      <c r="A1328" t="s">
        <v>9</v>
      </c>
      <c r="B1328" t="s">
        <v>203</v>
      </c>
      <c r="C1328" s="8">
        <v>46146</v>
      </c>
      <c r="D1328" s="9">
        <v>37673</v>
      </c>
      <c r="E1328">
        <f>MONTH(C1328)</f>
        <v>5</v>
      </c>
    </row>
    <row r="1329" spans="1:5">
      <c r="A1329" t="s">
        <v>9</v>
      </c>
      <c r="B1329" t="s">
        <v>219</v>
      </c>
      <c r="C1329" s="8">
        <v>46146</v>
      </c>
      <c r="D1329" s="9">
        <v>39499</v>
      </c>
      <c r="E1329">
        <f>MONTH(C1329)</f>
        <v>5</v>
      </c>
    </row>
    <row r="1330" spans="1:5">
      <c r="A1330" t="s">
        <v>9</v>
      </c>
      <c r="B1330" t="s">
        <v>144</v>
      </c>
      <c r="C1330" s="8">
        <v>46146</v>
      </c>
      <c r="D1330" s="9">
        <v>27333</v>
      </c>
      <c r="E1330">
        <f>MONTH(C1330)</f>
        <v>5</v>
      </c>
    </row>
    <row r="1331" spans="1:5">
      <c r="A1331" t="s">
        <v>5</v>
      </c>
      <c r="B1331" t="s">
        <v>97</v>
      </c>
      <c r="C1331" s="8">
        <v>46146</v>
      </c>
      <c r="D1331" s="9">
        <v>47152</v>
      </c>
      <c r="E1331">
        <f>MONTH(C1331)</f>
        <v>5</v>
      </c>
    </row>
    <row r="1332" spans="1:5">
      <c r="A1332" t="s">
        <v>5</v>
      </c>
      <c r="B1332" t="s">
        <v>210</v>
      </c>
      <c r="C1332" s="8">
        <v>46146</v>
      </c>
      <c r="D1332" s="9">
        <v>39966</v>
      </c>
      <c r="E1332">
        <f>MONTH(C1332)</f>
        <v>5</v>
      </c>
    </row>
    <row r="1333" spans="1:5">
      <c r="A1333" t="s">
        <v>5</v>
      </c>
      <c r="B1333" t="s">
        <v>108</v>
      </c>
      <c r="C1333" s="8">
        <v>46146</v>
      </c>
      <c r="D1333" s="9">
        <v>32015</v>
      </c>
      <c r="E1333">
        <f>MONTH(C1333)</f>
        <v>5</v>
      </c>
    </row>
    <row r="1334" spans="1:5">
      <c r="A1334" t="s">
        <v>5</v>
      </c>
      <c r="B1334" t="s">
        <v>204</v>
      </c>
      <c r="C1334" s="8">
        <v>46146</v>
      </c>
      <c r="D1334" s="9">
        <v>39707</v>
      </c>
      <c r="E1334">
        <f>MONTH(C1334)</f>
        <v>5</v>
      </c>
    </row>
    <row r="1335" spans="1:5">
      <c r="A1335" t="s">
        <v>4</v>
      </c>
      <c r="B1335" t="s">
        <v>198</v>
      </c>
      <c r="C1335" s="8">
        <v>46147</v>
      </c>
      <c r="D1335" s="9">
        <v>29824</v>
      </c>
      <c r="E1335">
        <f>MONTH(C1335)</f>
        <v>5</v>
      </c>
    </row>
    <row r="1336" spans="1:5">
      <c r="A1336" t="s">
        <v>8</v>
      </c>
      <c r="B1336" t="s">
        <v>207</v>
      </c>
      <c r="C1336" s="8">
        <v>46147</v>
      </c>
      <c r="D1336" s="9">
        <v>8371</v>
      </c>
      <c r="E1336">
        <f>MONTH(C1336)</f>
        <v>5</v>
      </c>
    </row>
    <row r="1337" spans="1:5">
      <c r="A1337" t="s">
        <v>8</v>
      </c>
      <c r="B1337" t="s">
        <v>281</v>
      </c>
      <c r="C1337" s="8">
        <v>46147</v>
      </c>
      <c r="D1337" s="9">
        <v>7641</v>
      </c>
      <c r="E1337">
        <f>MONTH(C1337)</f>
        <v>5</v>
      </c>
    </row>
    <row r="1338" spans="1:5">
      <c r="A1338" t="s">
        <v>7</v>
      </c>
      <c r="B1338" t="s">
        <v>105</v>
      </c>
      <c r="C1338" s="8">
        <v>46147</v>
      </c>
      <c r="D1338" s="9">
        <v>26891</v>
      </c>
      <c r="E1338">
        <f>MONTH(C1338)</f>
        <v>5</v>
      </c>
    </row>
    <row r="1339" spans="1:5">
      <c r="A1339" t="s">
        <v>9</v>
      </c>
      <c r="B1339" t="s">
        <v>203</v>
      </c>
      <c r="C1339" s="8">
        <v>46147</v>
      </c>
      <c r="D1339" s="9">
        <v>24678</v>
      </c>
      <c r="E1339">
        <f>MONTH(C1339)</f>
        <v>5</v>
      </c>
    </row>
    <row r="1340" spans="1:5">
      <c r="A1340" t="s">
        <v>9</v>
      </c>
      <c r="B1340" t="s">
        <v>176</v>
      </c>
      <c r="C1340" s="8">
        <v>46147</v>
      </c>
      <c r="D1340" s="9">
        <v>41302</v>
      </c>
      <c r="E1340">
        <f>MONTH(C1340)</f>
        <v>5</v>
      </c>
    </row>
    <row r="1341" spans="1:5">
      <c r="A1341" t="s">
        <v>9</v>
      </c>
      <c r="B1341" t="s">
        <v>250</v>
      </c>
      <c r="C1341" s="8">
        <v>46147</v>
      </c>
      <c r="D1341" s="9">
        <v>42970</v>
      </c>
      <c r="E1341">
        <f>MONTH(C1341)</f>
        <v>5</v>
      </c>
    </row>
    <row r="1342" spans="1:5">
      <c r="A1342" t="s">
        <v>9</v>
      </c>
      <c r="B1342" t="s">
        <v>220</v>
      </c>
      <c r="C1342" s="8">
        <v>46147</v>
      </c>
      <c r="D1342" s="9">
        <v>22646</v>
      </c>
      <c r="E1342">
        <f>MONTH(C1342)</f>
        <v>5</v>
      </c>
    </row>
    <row r="1343" spans="1:5">
      <c r="A1343" t="s">
        <v>5</v>
      </c>
      <c r="B1343" t="s">
        <v>106</v>
      </c>
      <c r="C1343" s="8">
        <v>46147</v>
      </c>
      <c r="D1343" s="9">
        <v>32441</v>
      </c>
      <c r="E1343">
        <f>MONTH(C1343)</f>
        <v>5</v>
      </c>
    </row>
    <row r="1344" spans="1:5">
      <c r="A1344" t="s">
        <v>5</v>
      </c>
      <c r="B1344" t="s">
        <v>54</v>
      </c>
      <c r="C1344" s="8">
        <v>46147</v>
      </c>
      <c r="D1344" s="9">
        <v>45330</v>
      </c>
      <c r="E1344">
        <f>MONTH(C1344)</f>
        <v>5</v>
      </c>
    </row>
    <row r="1345" spans="1:5">
      <c r="A1345" t="s">
        <v>5</v>
      </c>
      <c r="B1345" t="s">
        <v>93</v>
      </c>
      <c r="C1345" s="8">
        <v>46147</v>
      </c>
      <c r="D1345" s="9">
        <v>40989</v>
      </c>
      <c r="E1345">
        <f>MONTH(C1345)</f>
        <v>5</v>
      </c>
    </row>
    <row r="1346" spans="1:5">
      <c r="A1346" t="s">
        <v>25</v>
      </c>
      <c r="B1346" t="s">
        <v>200</v>
      </c>
      <c r="C1346" s="8">
        <v>46148</v>
      </c>
      <c r="D1346" s="9">
        <v>13874</v>
      </c>
      <c r="E1346">
        <f>MONTH(C1346)</f>
        <v>5</v>
      </c>
    </row>
    <row r="1347" spans="1:5">
      <c r="A1347" t="s">
        <v>8</v>
      </c>
      <c r="B1347" t="s">
        <v>140</v>
      </c>
      <c r="C1347" s="8">
        <v>46148</v>
      </c>
      <c r="D1347" s="9">
        <v>14788</v>
      </c>
      <c r="E1347">
        <f>MONTH(C1347)</f>
        <v>5</v>
      </c>
    </row>
    <row r="1348" spans="1:5">
      <c r="A1348" t="s">
        <v>34</v>
      </c>
      <c r="B1348" t="s">
        <v>268</v>
      </c>
      <c r="C1348" s="8">
        <v>46148</v>
      </c>
      <c r="D1348" s="9">
        <v>5200</v>
      </c>
      <c r="E1348">
        <f>MONTH(C1348)</f>
        <v>5</v>
      </c>
    </row>
    <row r="1349" spans="1:5">
      <c r="A1349" t="s">
        <v>6</v>
      </c>
      <c r="B1349" t="s">
        <v>120</v>
      </c>
      <c r="C1349" s="8">
        <v>46148</v>
      </c>
      <c r="D1349" s="9">
        <v>19303</v>
      </c>
      <c r="E1349">
        <f>MONTH(C1349)</f>
        <v>5</v>
      </c>
    </row>
    <row r="1350" spans="1:5">
      <c r="A1350" t="s">
        <v>7</v>
      </c>
      <c r="B1350" t="s">
        <v>201</v>
      </c>
      <c r="C1350" s="8">
        <v>46148</v>
      </c>
      <c r="D1350" s="9">
        <v>19500</v>
      </c>
      <c r="E1350">
        <f>MONTH(C1350)</f>
        <v>5</v>
      </c>
    </row>
    <row r="1351" spans="1:5">
      <c r="A1351" t="s">
        <v>9</v>
      </c>
      <c r="B1351" t="s">
        <v>276</v>
      </c>
      <c r="C1351" s="8">
        <v>46148</v>
      </c>
      <c r="D1351" s="9">
        <v>39332</v>
      </c>
      <c r="E1351">
        <f>MONTH(C1351)</f>
        <v>5</v>
      </c>
    </row>
    <row r="1352" spans="1:5">
      <c r="A1352" t="s">
        <v>5</v>
      </c>
      <c r="B1352" t="s">
        <v>114</v>
      </c>
      <c r="C1352" s="8">
        <v>46148</v>
      </c>
      <c r="D1352" s="9">
        <v>33611</v>
      </c>
      <c r="E1352">
        <f>MONTH(C1352)</f>
        <v>5</v>
      </c>
    </row>
    <row r="1353" spans="1:5">
      <c r="A1353" t="s">
        <v>5</v>
      </c>
      <c r="B1353" t="s">
        <v>97</v>
      </c>
      <c r="C1353" s="8">
        <v>46148</v>
      </c>
      <c r="D1353" s="9">
        <v>39351</v>
      </c>
      <c r="E1353">
        <f>MONTH(C1353)</f>
        <v>5</v>
      </c>
    </row>
    <row r="1354" spans="1:5">
      <c r="A1354" t="s">
        <v>5</v>
      </c>
      <c r="B1354" t="s">
        <v>73</v>
      </c>
      <c r="C1354" s="8">
        <v>46148</v>
      </c>
      <c r="D1354" s="9">
        <v>33052</v>
      </c>
      <c r="E1354">
        <f>MONTH(C1354)</f>
        <v>5</v>
      </c>
    </row>
    <row r="1355" spans="1:5">
      <c r="A1355" t="s">
        <v>5</v>
      </c>
      <c r="B1355" t="s">
        <v>211</v>
      </c>
      <c r="C1355" s="8">
        <v>46148</v>
      </c>
      <c r="D1355" s="9">
        <v>17215</v>
      </c>
      <c r="E1355">
        <f>MONTH(C1355)</f>
        <v>5</v>
      </c>
    </row>
    <row r="1356" spans="1:5">
      <c r="A1356" t="s">
        <v>5</v>
      </c>
      <c r="B1356" t="s">
        <v>93</v>
      </c>
      <c r="C1356" s="8">
        <v>46148</v>
      </c>
      <c r="D1356" s="9">
        <v>49667</v>
      </c>
      <c r="E1356">
        <f>MONTH(C1356)</f>
        <v>5</v>
      </c>
    </row>
    <row r="1357" spans="1:5">
      <c r="A1357" t="s">
        <v>27</v>
      </c>
      <c r="B1357" t="s">
        <v>149</v>
      </c>
      <c r="C1357" s="8">
        <v>46149</v>
      </c>
      <c r="D1357" s="9">
        <v>12604</v>
      </c>
      <c r="E1357">
        <f>MONTH(C1357)</f>
        <v>5</v>
      </c>
    </row>
    <row r="1358" spans="1:5">
      <c r="A1358" t="s">
        <v>7</v>
      </c>
      <c r="B1358" t="s">
        <v>238</v>
      </c>
      <c r="C1358" s="8">
        <v>46149</v>
      </c>
      <c r="D1358" s="9">
        <v>17675</v>
      </c>
      <c r="E1358">
        <f>MONTH(C1358)</f>
        <v>5</v>
      </c>
    </row>
    <row r="1359" spans="1:5">
      <c r="A1359" t="s">
        <v>9</v>
      </c>
      <c r="B1359" t="s">
        <v>82</v>
      </c>
      <c r="C1359" s="8">
        <v>46149</v>
      </c>
      <c r="D1359" s="9">
        <v>18382</v>
      </c>
      <c r="E1359">
        <f>MONTH(C1359)</f>
        <v>5</v>
      </c>
    </row>
    <row r="1360" spans="1:5">
      <c r="A1360" t="s">
        <v>9</v>
      </c>
      <c r="B1360" t="s">
        <v>71</v>
      </c>
      <c r="C1360" s="8">
        <v>46149</v>
      </c>
      <c r="D1360" s="9">
        <v>48456</v>
      </c>
      <c r="E1360">
        <f>MONTH(C1360)</f>
        <v>5</v>
      </c>
    </row>
    <row r="1361" spans="1:5">
      <c r="A1361" t="s">
        <v>5</v>
      </c>
      <c r="B1361" t="s">
        <v>166</v>
      </c>
      <c r="C1361" s="8">
        <v>46149</v>
      </c>
      <c r="D1361" s="9">
        <v>41172</v>
      </c>
      <c r="E1361">
        <f>MONTH(C1361)</f>
        <v>5</v>
      </c>
    </row>
    <row r="1362" spans="1:5">
      <c r="A1362" t="s">
        <v>5</v>
      </c>
      <c r="B1362" t="s">
        <v>49</v>
      </c>
      <c r="C1362" s="8">
        <v>46149</v>
      </c>
      <c r="D1362" s="9">
        <v>29496</v>
      </c>
      <c r="E1362">
        <f>MONTH(C1362)</f>
        <v>5</v>
      </c>
    </row>
    <row r="1363" spans="1:5">
      <c r="A1363" t="s">
        <v>5</v>
      </c>
      <c r="B1363" t="s">
        <v>53</v>
      </c>
      <c r="C1363" s="8">
        <v>46149</v>
      </c>
      <c r="D1363" s="9">
        <v>40192</v>
      </c>
      <c r="E1363">
        <f>MONTH(C1363)</f>
        <v>5</v>
      </c>
    </row>
    <row r="1364" spans="1:5">
      <c r="A1364" t="s">
        <v>5</v>
      </c>
      <c r="B1364" t="s">
        <v>189</v>
      </c>
      <c r="C1364" s="8">
        <v>46149</v>
      </c>
      <c r="D1364" s="9">
        <v>45506</v>
      </c>
      <c r="E1364">
        <f>MONTH(C1364)</f>
        <v>5</v>
      </c>
    </row>
    <row r="1365" spans="1:5">
      <c r="A1365" t="s">
        <v>4</v>
      </c>
      <c r="B1365" t="s">
        <v>241</v>
      </c>
      <c r="C1365" s="8">
        <v>46150</v>
      </c>
      <c r="D1365" s="9">
        <v>19567</v>
      </c>
      <c r="E1365">
        <f>MONTH(C1365)</f>
        <v>5</v>
      </c>
    </row>
    <row r="1366" spans="1:5">
      <c r="A1366" t="s">
        <v>8</v>
      </c>
      <c r="B1366" t="s">
        <v>258</v>
      </c>
      <c r="C1366" s="8">
        <v>46150</v>
      </c>
      <c r="D1366" s="9">
        <v>5200</v>
      </c>
      <c r="E1366">
        <f>MONTH(C1366)</f>
        <v>5</v>
      </c>
    </row>
    <row r="1367" spans="1:5">
      <c r="A1367" t="s">
        <v>33</v>
      </c>
      <c r="B1367" t="s">
        <v>248</v>
      </c>
      <c r="C1367" s="8">
        <v>46150</v>
      </c>
      <c r="D1367" s="9">
        <v>11634</v>
      </c>
      <c r="E1367">
        <f>MONTH(C1367)</f>
        <v>5</v>
      </c>
    </row>
    <row r="1368" spans="1:5">
      <c r="A1368" t="s">
        <v>7</v>
      </c>
      <c r="B1368" t="s">
        <v>170</v>
      </c>
      <c r="C1368" s="8">
        <v>46150</v>
      </c>
      <c r="D1368" s="9">
        <v>18299</v>
      </c>
      <c r="E1368">
        <f>MONTH(C1368)</f>
        <v>5</v>
      </c>
    </row>
    <row r="1369" spans="1:5">
      <c r="A1369" t="s">
        <v>9</v>
      </c>
      <c r="B1369" t="s">
        <v>137</v>
      </c>
      <c r="C1369" s="8">
        <v>46150</v>
      </c>
      <c r="D1369" s="9">
        <v>15826</v>
      </c>
      <c r="E1369">
        <f>MONTH(C1369)</f>
        <v>5</v>
      </c>
    </row>
    <row r="1370" spans="1:5">
      <c r="A1370" t="s">
        <v>9</v>
      </c>
      <c r="B1370" t="s">
        <v>83</v>
      </c>
      <c r="C1370" s="8">
        <v>46150</v>
      </c>
      <c r="D1370" s="9">
        <v>16925</v>
      </c>
      <c r="E1370">
        <f>MONTH(C1370)</f>
        <v>5</v>
      </c>
    </row>
    <row r="1371" spans="1:5">
      <c r="A1371" t="s">
        <v>5</v>
      </c>
      <c r="B1371" t="s">
        <v>106</v>
      </c>
      <c r="C1371" s="8">
        <v>46150</v>
      </c>
      <c r="D1371" s="9">
        <v>31259</v>
      </c>
      <c r="E1371">
        <f>MONTH(C1371)</f>
        <v>5</v>
      </c>
    </row>
    <row r="1372" spans="1:5">
      <c r="A1372" t="s">
        <v>5</v>
      </c>
      <c r="B1372" t="s">
        <v>209</v>
      </c>
      <c r="C1372" s="8">
        <v>46150</v>
      </c>
      <c r="D1372" s="9">
        <v>39770</v>
      </c>
      <c r="E1372">
        <f>MONTH(C1372)</f>
        <v>5</v>
      </c>
    </row>
    <row r="1373" spans="1:5">
      <c r="A1373" t="s">
        <v>5</v>
      </c>
      <c r="B1373" t="s">
        <v>84</v>
      </c>
      <c r="C1373" s="8">
        <v>46150</v>
      </c>
      <c r="D1373" s="9">
        <v>41929</v>
      </c>
      <c r="E1373">
        <f>MONTH(C1373)</f>
        <v>5</v>
      </c>
    </row>
    <row r="1374" spans="1:5">
      <c r="A1374" t="s">
        <v>5</v>
      </c>
      <c r="B1374" t="s">
        <v>115</v>
      </c>
      <c r="C1374" s="8">
        <v>46150</v>
      </c>
      <c r="D1374" s="9">
        <v>31173</v>
      </c>
      <c r="E1374">
        <f>MONTH(C1374)</f>
        <v>5</v>
      </c>
    </row>
    <row r="1375" spans="1:5">
      <c r="A1375" t="s">
        <v>5</v>
      </c>
      <c r="B1375" t="s">
        <v>109</v>
      </c>
      <c r="C1375" s="8">
        <v>46150</v>
      </c>
      <c r="D1375" s="9">
        <v>55366</v>
      </c>
      <c r="E1375">
        <f>MONTH(C1375)</f>
        <v>5</v>
      </c>
    </row>
    <row r="1376" spans="1:5">
      <c r="A1376" t="s">
        <v>4</v>
      </c>
      <c r="B1376" t="s">
        <v>190</v>
      </c>
      <c r="C1376" s="8">
        <v>46151</v>
      </c>
      <c r="D1376" s="9">
        <v>7541</v>
      </c>
      <c r="E1376">
        <f>MONTH(C1376)</f>
        <v>5</v>
      </c>
    </row>
    <row r="1377" spans="1:5">
      <c r="A1377" t="s">
        <v>4</v>
      </c>
      <c r="B1377" t="s">
        <v>146</v>
      </c>
      <c r="C1377" s="8">
        <v>46151</v>
      </c>
      <c r="D1377" s="9">
        <v>23774</v>
      </c>
      <c r="E1377">
        <f>MONTH(C1377)</f>
        <v>5</v>
      </c>
    </row>
    <row r="1378" spans="1:5">
      <c r="A1378" t="s">
        <v>28</v>
      </c>
      <c r="B1378" t="s">
        <v>62</v>
      </c>
      <c r="C1378" s="8">
        <v>46151</v>
      </c>
      <c r="D1378" s="9">
        <v>13841</v>
      </c>
      <c r="E1378">
        <f>MONTH(C1378)</f>
        <v>5</v>
      </c>
    </row>
    <row r="1379" spans="1:5">
      <c r="A1379" t="s">
        <v>26</v>
      </c>
      <c r="B1379" t="s">
        <v>78</v>
      </c>
      <c r="C1379" s="8">
        <v>46151</v>
      </c>
      <c r="D1379" s="9">
        <v>12106</v>
      </c>
      <c r="E1379">
        <f>MONTH(C1379)</f>
        <v>5</v>
      </c>
    </row>
    <row r="1380" spans="1:5">
      <c r="A1380" t="s">
        <v>26</v>
      </c>
      <c r="B1380" t="s">
        <v>205</v>
      </c>
      <c r="C1380" s="8">
        <v>46151</v>
      </c>
      <c r="D1380" s="9">
        <v>11927</v>
      </c>
      <c r="E1380">
        <f>MONTH(C1380)</f>
        <v>5</v>
      </c>
    </row>
    <row r="1381" spans="1:5">
      <c r="A1381" t="s">
        <v>6</v>
      </c>
      <c r="B1381" t="s">
        <v>80</v>
      </c>
      <c r="C1381" s="8">
        <v>46151</v>
      </c>
      <c r="D1381" s="9">
        <v>35262</v>
      </c>
      <c r="E1381">
        <f>MONTH(C1381)</f>
        <v>5</v>
      </c>
    </row>
    <row r="1382" spans="1:5">
      <c r="A1382" t="s">
        <v>29</v>
      </c>
      <c r="B1382" t="s">
        <v>51</v>
      </c>
      <c r="C1382" s="8">
        <v>46151</v>
      </c>
      <c r="D1382" s="9">
        <v>9752</v>
      </c>
      <c r="E1382">
        <f>MONTH(C1382)</f>
        <v>5</v>
      </c>
    </row>
    <row r="1383" spans="1:5">
      <c r="A1383" t="s">
        <v>7</v>
      </c>
      <c r="B1383" t="s">
        <v>226</v>
      </c>
      <c r="C1383" s="8">
        <v>46151</v>
      </c>
      <c r="D1383" s="9">
        <v>21149</v>
      </c>
      <c r="E1383">
        <f>MONTH(C1383)</f>
        <v>5</v>
      </c>
    </row>
    <row r="1384" spans="1:5">
      <c r="A1384" t="s">
        <v>9</v>
      </c>
      <c r="B1384" t="s">
        <v>143</v>
      </c>
      <c r="C1384" s="8">
        <v>46151</v>
      </c>
      <c r="D1384" s="9">
        <v>36253</v>
      </c>
      <c r="E1384">
        <f>MONTH(C1384)</f>
        <v>5</v>
      </c>
    </row>
    <row r="1385" spans="1:5">
      <c r="A1385" t="s">
        <v>9</v>
      </c>
      <c r="B1385" t="s">
        <v>195</v>
      </c>
      <c r="C1385" s="8">
        <v>46151</v>
      </c>
      <c r="D1385" s="9">
        <v>50126</v>
      </c>
      <c r="E1385">
        <f>MONTH(C1385)</f>
        <v>5</v>
      </c>
    </row>
    <row r="1386" spans="1:5">
      <c r="A1386" t="s">
        <v>5</v>
      </c>
      <c r="B1386" t="s">
        <v>239</v>
      </c>
      <c r="C1386" s="8">
        <v>46151</v>
      </c>
      <c r="D1386" s="9">
        <v>32501</v>
      </c>
      <c r="E1386">
        <f>MONTH(C1386)</f>
        <v>5</v>
      </c>
    </row>
    <row r="1387" spans="1:5">
      <c r="A1387" t="s">
        <v>5</v>
      </c>
      <c r="B1387" t="s">
        <v>92</v>
      </c>
      <c r="C1387" s="8">
        <v>46151</v>
      </c>
      <c r="D1387" s="9">
        <v>40436</v>
      </c>
      <c r="E1387">
        <f>MONTH(C1387)</f>
        <v>5</v>
      </c>
    </row>
    <row r="1388" spans="1:5">
      <c r="A1388" t="s">
        <v>5</v>
      </c>
      <c r="B1388" t="s">
        <v>74</v>
      </c>
      <c r="C1388" s="8">
        <v>46151</v>
      </c>
      <c r="D1388" s="9">
        <v>36706</v>
      </c>
      <c r="E1388">
        <f>MONTH(C1388)</f>
        <v>5</v>
      </c>
    </row>
    <row r="1389" spans="1:5">
      <c r="A1389" t="s">
        <v>5</v>
      </c>
      <c r="B1389" t="s">
        <v>58</v>
      </c>
      <c r="C1389" s="8">
        <v>46151</v>
      </c>
      <c r="D1389" s="9">
        <v>36750</v>
      </c>
      <c r="E1389">
        <f>MONTH(C1389)</f>
        <v>5</v>
      </c>
    </row>
    <row r="1390" spans="1:5">
      <c r="A1390" t="s">
        <v>27</v>
      </c>
      <c r="B1390" t="s">
        <v>184</v>
      </c>
      <c r="C1390" s="8">
        <v>46152</v>
      </c>
      <c r="D1390" s="9">
        <v>5200</v>
      </c>
      <c r="E1390">
        <f>MONTH(C1390)</f>
        <v>5</v>
      </c>
    </row>
    <row r="1391" spans="1:5">
      <c r="A1391" t="s">
        <v>27</v>
      </c>
      <c r="B1391" t="s">
        <v>135</v>
      </c>
      <c r="C1391" s="8">
        <v>46152</v>
      </c>
      <c r="D1391" s="9">
        <v>14218</v>
      </c>
      <c r="E1391">
        <f>MONTH(C1391)</f>
        <v>5</v>
      </c>
    </row>
    <row r="1392" spans="1:5">
      <c r="A1392" t="s">
        <v>4</v>
      </c>
      <c r="B1392" t="s">
        <v>93</v>
      </c>
      <c r="C1392" s="8">
        <v>46152</v>
      </c>
      <c r="D1392" s="9">
        <v>57355</v>
      </c>
      <c r="E1392">
        <f>MONTH(C1392)</f>
        <v>5</v>
      </c>
    </row>
    <row r="1393" spans="1:5">
      <c r="A1393" t="s">
        <v>28</v>
      </c>
      <c r="B1393" t="s">
        <v>279</v>
      </c>
      <c r="C1393" s="8">
        <v>46152</v>
      </c>
      <c r="D1393" s="9">
        <v>8044</v>
      </c>
      <c r="E1393">
        <f>MONTH(C1393)</f>
        <v>5</v>
      </c>
    </row>
    <row r="1394" spans="1:5">
      <c r="A1394" t="s">
        <v>8</v>
      </c>
      <c r="B1394" t="s">
        <v>79</v>
      </c>
      <c r="C1394" s="8">
        <v>46152</v>
      </c>
      <c r="D1394" s="9">
        <v>20767</v>
      </c>
      <c r="E1394">
        <f>MONTH(C1394)</f>
        <v>5</v>
      </c>
    </row>
    <row r="1395" spans="1:5">
      <c r="A1395" t="s">
        <v>8</v>
      </c>
      <c r="B1395" t="s">
        <v>237</v>
      </c>
      <c r="C1395" s="8">
        <v>46152</v>
      </c>
      <c r="D1395" s="9">
        <v>5200</v>
      </c>
      <c r="E1395">
        <f>MONTH(C1395)</f>
        <v>5</v>
      </c>
    </row>
    <row r="1396" spans="1:5">
      <c r="A1396" t="s">
        <v>6</v>
      </c>
      <c r="B1396" t="s">
        <v>262</v>
      </c>
      <c r="C1396" s="8">
        <v>46152</v>
      </c>
      <c r="D1396" s="9">
        <v>15593</v>
      </c>
      <c r="E1396">
        <f>MONTH(C1396)</f>
        <v>5</v>
      </c>
    </row>
    <row r="1397" spans="1:5">
      <c r="A1397" t="s">
        <v>5</v>
      </c>
      <c r="B1397" t="s">
        <v>283</v>
      </c>
      <c r="C1397" s="8">
        <v>46152</v>
      </c>
      <c r="D1397" s="9">
        <v>24661</v>
      </c>
      <c r="E1397">
        <f>MONTH(C1397)</f>
        <v>5</v>
      </c>
    </row>
    <row r="1398" spans="1:5">
      <c r="A1398" t="s">
        <v>5</v>
      </c>
      <c r="B1398" t="s">
        <v>251</v>
      </c>
      <c r="C1398" s="8">
        <v>46152</v>
      </c>
      <c r="D1398" s="9">
        <v>42979</v>
      </c>
      <c r="E1398">
        <f>MONTH(C1398)</f>
        <v>5</v>
      </c>
    </row>
    <row r="1399" spans="1:5">
      <c r="A1399" t="s">
        <v>5</v>
      </c>
      <c r="B1399" t="s">
        <v>100</v>
      </c>
      <c r="C1399" s="8">
        <v>46152</v>
      </c>
      <c r="D1399" s="9">
        <v>54827</v>
      </c>
      <c r="E1399">
        <f>MONTH(C1399)</f>
        <v>5</v>
      </c>
    </row>
    <row r="1400" spans="1:5">
      <c r="A1400" t="s">
        <v>4</v>
      </c>
      <c r="B1400" t="s">
        <v>180</v>
      </c>
      <c r="C1400" s="8">
        <v>46153</v>
      </c>
      <c r="D1400" s="9">
        <v>31805</v>
      </c>
      <c r="E1400">
        <f>MONTH(C1400)</f>
        <v>5</v>
      </c>
    </row>
    <row r="1401" spans="1:5">
      <c r="A1401" t="s">
        <v>4</v>
      </c>
      <c r="B1401" t="s">
        <v>234</v>
      </c>
      <c r="C1401" s="8">
        <v>46153</v>
      </c>
      <c r="D1401" s="9">
        <v>19604</v>
      </c>
      <c r="E1401">
        <f>MONTH(C1401)</f>
        <v>5</v>
      </c>
    </row>
    <row r="1402" spans="1:5">
      <c r="A1402" t="s">
        <v>4</v>
      </c>
      <c r="B1402" t="s">
        <v>266</v>
      </c>
      <c r="C1402" s="8">
        <v>46153</v>
      </c>
      <c r="D1402" s="9">
        <v>30806</v>
      </c>
      <c r="E1402">
        <f>MONTH(C1402)</f>
        <v>5</v>
      </c>
    </row>
    <row r="1403" spans="1:5">
      <c r="A1403" t="s">
        <v>4</v>
      </c>
      <c r="B1403" t="s">
        <v>223</v>
      </c>
      <c r="C1403" s="8">
        <v>46153</v>
      </c>
      <c r="D1403" s="9">
        <v>38477</v>
      </c>
      <c r="E1403">
        <f>MONTH(C1403)</f>
        <v>5</v>
      </c>
    </row>
    <row r="1404" spans="1:5">
      <c r="A1404" t="s">
        <v>25</v>
      </c>
      <c r="B1404" t="s">
        <v>215</v>
      </c>
      <c r="C1404" s="8">
        <v>46153</v>
      </c>
      <c r="D1404" s="9">
        <v>27439</v>
      </c>
      <c r="E1404">
        <f>MONTH(C1404)</f>
        <v>5</v>
      </c>
    </row>
    <row r="1405" spans="1:5">
      <c r="A1405" t="s">
        <v>30</v>
      </c>
      <c r="B1405" t="s">
        <v>206</v>
      </c>
      <c r="C1405" s="8">
        <v>46153</v>
      </c>
      <c r="D1405" s="9">
        <v>15745</v>
      </c>
      <c r="E1405">
        <f>MONTH(C1405)</f>
        <v>5</v>
      </c>
    </row>
    <row r="1406" spans="1:5">
      <c r="A1406" t="s">
        <v>8</v>
      </c>
      <c r="B1406" t="s">
        <v>103</v>
      </c>
      <c r="C1406" s="8">
        <v>46153</v>
      </c>
      <c r="D1406" s="9">
        <v>28910</v>
      </c>
      <c r="E1406">
        <f>MONTH(C1406)</f>
        <v>5</v>
      </c>
    </row>
    <row r="1407" spans="1:5">
      <c r="A1407" t="s">
        <v>7</v>
      </c>
      <c r="B1407" t="s">
        <v>156</v>
      </c>
      <c r="C1407" s="8">
        <v>46153</v>
      </c>
      <c r="D1407" s="9">
        <v>6152</v>
      </c>
      <c r="E1407">
        <f>MONTH(C1407)</f>
        <v>5</v>
      </c>
    </row>
    <row r="1408" spans="1:5">
      <c r="A1408" t="s">
        <v>9</v>
      </c>
      <c r="B1408" t="s">
        <v>269</v>
      </c>
      <c r="C1408" s="8">
        <v>46153</v>
      </c>
      <c r="D1408" s="9">
        <v>39789</v>
      </c>
      <c r="E1408">
        <f>MONTH(C1408)</f>
        <v>5</v>
      </c>
    </row>
    <row r="1409" spans="1:5">
      <c r="A1409" t="s">
        <v>28</v>
      </c>
      <c r="B1409" t="s">
        <v>255</v>
      </c>
      <c r="C1409" s="8">
        <v>46154</v>
      </c>
      <c r="D1409" s="9">
        <v>5200</v>
      </c>
      <c r="E1409">
        <f>MONTH(C1409)</f>
        <v>5</v>
      </c>
    </row>
    <row r="1410" spans="1:5">
      <c r="A1410" t="s">
        <v>6</v>
      </c>
      <c r="B1410" t="s">
        <v>56</v>
      </c>
      <c r="C1410" s="8">
        <v>46154</v>
      </c>
      <c r="D1410" s="9">
        <v>5854</v>
      </c>
      <c r="E1410">
        <f>MONTH(C1410)</f>
        <v>5</v>
      </c>
    </row>
    <row r="1411" spans="1:5">
      <c r="A1411" t="s">
        <v>29</v>
      </c>
      <c r="B1411" t="s">
        <v>191</v>
      </c>
      <c r="C1411" s="8">
        <v>46154</v>
      </c>
      <c r="D1411" s="9">
        <v>12396</v>
      </c>
      <c r="E1411">
        <f>MONTH(C1411)</f>
        <v>5</v>
      </c>
    </row>
    <row r="1412" spans="1:5">
      <c r="A1412" t="s">
        <v>7</v>
      </c>
      <c r="B1412" t="s">
        <v>193</v>
      </c>
      <c r="C1412" s="8">
        <v>46154</v>
      </c>
      <c r="D1412" s="9">
        <v>23636</v>
      </c>
      <c r="E1412">
        <f>MONTH(C1412)</f>
        <v>5</v>
      </c>
    </row>
    <row r="1413" spans="1:5">
      <c r="A1413" t="s">
        <v>37</v>
      </c>
      <c r="B1413" t="s">
        <v>81</v>
      </c>
      <c r="C1413" s="8">
        <v>46154</v>
      </c>
      <c r="D1413" s="9">
        <v>11804</v>
      </c>
      <c r="E1413">
        <f>MONTH(C1413)</f>
        <v>5</v>
      </c>
    </row>
    <row r="1414" spans="1:5">
      <c r="A1414" t="s">
        <v>5</v>
      </c>
      <c r="B1414" t="s">
        <v>114</v>
      </c>
      <c r="C1414" s="8">
        <v>46154</v>
      </c>
      <c r="D1414" s="9">
        <v>34981</v>
      </c>
      <c r="E1414">
        <f>MONTH(C1414)</f>
        <v>5</v>
      </c>
    </row>
    <row r="1415" spans="1:5">
      <c r="A1415" t="s">
        <v>5</v>
      </c>
      <c r="B1415" t="s">
        <v>99</v>
      </c>
      <c r="C1415" s="8">
        <v>46154</v>
      </c>
      <c r="D1415" s="9">
        <v>44440</v>
      </c>
      <c r="E1415">
        <f>MONTH(C1415)</f>
        <v>5</v>
      </c>
    </row>
    <row r="1416" spans="1:5">
      <c r="A1416" t="s">
        <v>5</v>
      </c>
      <c r="B1416" t="s">
        <v>204</v>
      </c>
      <c r="C1416" s="8">
        <v>46154</v>
      </c>
      <c r="D1416" s="9">
        <v>35025</v>
      </c>
      <c r="E1416">
        <f>MONTH(C1416)</f>
        <v>5</v>
      </c>
    </row>
    <row r="1417" spans="1:5">
      <c r="A1417" t="s">
        <v>35</v>
      </c>
      <c r="B1417" t="s">
        <v>271</v>
      </c>
      <c r="C1417" s="8">
        <v>46155</v>
      </c>
      <c r="D1417" s="9">
        <v>9922</v>
      </c>
      <c r="E1417">
        <f>MONTH(C1417)</f>
        <v>5</v>
      </c>
    </row>
    <row r="1418" spans="1:5">
      <c r="A1418" t="s">
        <v>4</v>
      </c>
      <c r="B1418" t="s">
        <v>150</v>
      </c>
      <c r="C1418" s="8">
        <v>46155</v>
      </c>
      <c r="D1418" s="9">
        <v>35988</v>
      </c>
      <c r="E1418">
        <f>MONTH(C1418)</f>
        <v>5</v>
      </c>
    </row>
    <row r="1419" spans="1:5">
      <c r="A1419" t="s">
        <v>7</v>
      </c>
      <c r="B1419" t="s">
        <v>244</v>
      </c>
      <c r="C1419" s="8">
        <v>46155</v>
      </c>
      <c r="D1419" s="9">
        <v>13043</v>
      </c>
      <c r="E1419">
        <f>MONTH(C1419)</f>
        <v>5</v>
      </c>
    </row>
    <row r="1420" spans="1:5">
      <c r="A1420" t="s">
        <v>7</v>
      </c>
      <c r="B1420" t="s">
        <v>90</v>
      </c>
      <c r="C1420" s="8">
        <v>46155</v>
      </c>
      <c r="D1420" s="9">
        <v>27470</v>
      </c>
      <c r="E1420">
        <f>MONTH(C1420)</f>
        <v>5</v>
      </c>
    </row>
    <row r="1421" spans="1:5">
      <c r="A1421" t="s">
        <v>9</v>
      </c>
      <c r="B1421" t="s">
        <v>210</v>
      </c>
      <c r="C1421" s="8">
        <v>46155</v>
      </c>
      <c r="D1421" s="9">
        <v>35690</v>
      </c>
      <c r="E1421">
        <f>MONTH(C1421)</f>
        <v>5</v>
      </c>
    </row>
    <row r="1422" spans="1:5">
      <c r="A1422" t="s">
        <v>5</v>
      </c>
      <c r="B1422" t="s">
        <v>84</v>
      </c>
      <c r="C1422" s="8">
        <v>46155</v>
      </c>
      <c r="D1422" s="9">
        <v>47196</v>
      </c>
      <c r="E1422">
        <f>MONTH(C1422)</f>
        <v>5</v>
      </c>
    </row>
    <row r="1423" spans="1:5">
      <c r="A1423" t="s">
        <v>5</v>
      </c>
      <c r="B1423" t="s">
        <v>84</v>
      </c>
      <c r="C1423" s="8">
        <v>46155</v>
      </c>
      <c r="D1423" s="9">
        <v>48986</v>
      </c>
      <c r="E1423">
        <f>MONTH(C1423)</f>
        <v>5</v>
      </c>
    </row>
    <row r="1424" spans="1:5">
      <c r="A1424" t="s">
        <v>5</v>
      </c>
      <c r="B1424" t="s">
        <v>123</v>
      </c>
      <c r="C1424" s="8">
        <v>46155</v>
      </c>
      <c r="D1424" s="9">
        <v>33825</v>
      </c>
      <c r="E1424">
        <f>MONTH(C1424)</f>
        <v>5</v>
      </c>
    </row>
    <row r="1425" spans="1:5">
      <c r="A1425" t="s">
        <v>5</v>
      </c>
      <c r="B1425" t="s">
        <v>183</v>
      </c>
      <c r="C1425" s="8">
        <v>46155</v>
      </c>
      <c r="D1425" s="9">
        <v>46367</v>
      </c>
      <c r="E1425">
        <f>MONTH(C1425)</f>
        <v>5</v>
      </c>
    </row>
    <row r="1426" spans="1:5">
      <c r="A1426" t="s">
        <v>5</v>
      </c>
      <c r="B1426" t="s">
        <v>145</v>
      </c>
      <c r="C1426" s="8">
        <v>46155</v>
      </c>
      <c r="D1426" s="9">
        <v>48249</v>
      </c>
      <c r="E1426">
        <f>MONTH(C1426)</f>
        <v>5</v>
      </c>
    </row>
    <row r="1427" spans="1:5">
      <c r="A1427" t="s">
        <v>5</v>
      </c>
      <c r="B1427" t="s">
        <v>270</v>
      </c>
      <c r="C1427" s="8">
        <v>46155</v>
      </c>
      <c r="D1427" s="9">
        <v>53546</v>
      </c>
      <c r="E1427">
        <f>MONTH(C1427)</f>
        <v>5</v>
      </c>
    </row>
    <row r="1428" spans="1:5">
      <c r="A1428" t="s">
        <v>5</v>
      </c>
      <c r="B1428" t="s">
        <v>277</v>
      </c>
      <c r="C1428" s="8">
        <v>46155</v>
      </c>
      <c r="D1428" s="9">
        <v>34420</v>
      </c>
      <c r="E1428">
        <f>MONTH(C1428)</f>
        <v>5</v>
      </c>
    </row>
    <row r="1429" spans="1:5">
      <c r="A1429" t="s">
        <v>5</v>
      </c>
      <c r="B1429" t="s">
        <v>204</v>
      </c>
      <c r="C1429" s="8">
        <v>46155</v>
      </c>
      <c r="D1429" s="9">
        <v>50019</v>
      </c>
      <c r="E1429">
        <f>MONTH(C1429)</f>
        <v>5</v>
      </c>
    </row>
    <row r="1430" spans="1:5">
      <c r="A1430" t="s">
        <v>8</v>
      </c>
      <c r="B1430" t="s">
        <v>64</v>
      </c>
      <c r="C1430" s="8">
        <v>46156</v>
      </c>
      <c r="D1430" s="9">
        <v>13658</v>
      </c>
      <c r="E1430">
        <f>MONTH(C1430)</f>
        <v>5</v>
      </c>
    </row>
    <row r="1431" spans="1:5">
      <c r="A1431" t="s">
        <v>6</v>
      </c>
      <c r="B1431" t="s">
        <v>88</v>
      </c>
      <c r="C1431" s="8">
        <v>46156</v>
      </c>
      <c r="D1431" s="9">
        <v>17157</v>
      </c>
      <c r="E1431">
        <f>MONTH(C1431)</f>
        <v>5</v>
      </c>
    </row>
    <row r="1432" spans="1:5">
      <c r="A1432" t="s">
        <v>6</v>
      </c>
      <c r="B1432" t="s">
        <v>217</v>
      </c>
      <c r="C1432" s="8">
        <v>46156</v>
      </c>
      <c r="D1432" s="9">
        <v>16136</v>
      </c>
      <c r="E1432">
        <f>MONTH(C1432)</f>
        <v>5</v>
      </c>
    </row>
    <row r="1433" spans="1:5">
      <c r="A1433" t="s">
        <v>6</v>
      </c>
      <c r="B1433" t="s">
        <v>208</v>
      </c>
      <c r="C1433" s="8">
        <v>46156</v>
      </c>
      <c r="D1433" s="9">
        <v>18148</v>
      </c>
      <c r="E1433">
        <f>MONTH(C1433)</f>
        <v>5</v>
      </c>
    </row>
    <row r="1434" spans="1:5">
      <c r="A1434" t="s">
        <v>5</v>
      </c>
      <c r="B1434" t="s">
        <v>106</v>
      </c>
      <c r="C1434" s="8">
        <v>46156</v>
      </c>
      <c r="D1434" s="9">
        <v>32203</v>
      </c>
      <c r="E1434">
        <f>MONTH(C1434)</f>
        <v>5</v>
      </c>
    </row>
    <row r="1435" spans="1:5">
      <c r="A1435" t="s">
        <v>5</v>
      </c>
      <c r="B1435" t="s">
        <v>133</v>
      </c>
      <c r="C1435" s="8">
        <v>46156</v>
      </c>
      <c r="D1435" s="9">
        <v>44521</v>
      </c>
      <c r="E1435">
        <f>MONTH(C1435)</f>
        <v>5</v>
      </c>
    </row>
    <row r="1436" spans="1:5">
      <c r="A1436" t="s">
        <v>5</v>
      </c>
      <c r="B1436" t="s">
        <v>74</v>
      </c>
      <c r="C1436" s="8">
        <v>46156</v>
      </c>
      <c r="D1436" s="9">
        <v>35516</v>
      </c>
      <c r="E1436">
        <f>MONTH(C1436)</f>
        <v>5</v>
      </c>
    </row>
    <row r="1437" spans="1:5">
      <c r="A1437" t="s">
        <v>27</v>
      </c>
      <c r="B1437" t="s">
        <v>213</v>
      </c>
      <c r="C1437" s="8">
        <v>46157</v>
      </c>
      <c r="D1437" s="9">
        <v>13237</v>
      </c>
      <c r="E1437">
        <f>MONTH(C1437)</f>
        <v>5</v>
      </c>
    </row>
    <row r="1438" spans="1:5">
      <c r="A1438" t="s">
        <v>4</v>
      </c>
      <c r="B1438" t="s">
        <v>185</v>
      </c>
      <c r="C1438" s="8">
        <v>46157</v>
      </c>
      <c r="D1438" s="9">
        <v>35818</v>
      </c>
      <c r="E1438">
        <f>MONTH(C1438)</f>
        <v>5</v>
      </c>
    </row>
    <row r="1439" spans="1:5">
      <c r="A1439" t="s">
        <v>26</v>
      </c>
      <c r="B1439" t="s">
        <v>95</v>
      </c>
      <c r="C1439" s="8">
        <v>46157</v>
      </c>
      <c r="D1439" s="9">
        <v>22220</v>
      </c>
      <c r="E1439">
        <f>MONTH(C1439)</f>
        <v>5</v>
      </c>
    </row>
    <row r="1440" spans="1:5">
      <c r="A1440" t="s">
        <v>9</v>
      </c>
      <c r="B1440" t="s">
        <v>164</v>
      </c>
      <c r="C1440" s="8">
        <v>46157</v>
      </c>
      <c r="D1440" s="9">
        <v>31814</v>
      </c>
      <c r="E1440">
        <f>MONTH(C1440)</f>
        <v>5</v>
      </c>
    </row>
    <row r="1441" spans="1:5">
      <c r="A1441" t="s">
        <v>5</v>
      </c>
      <c r="B1441" t="s">
        <v>92</v>
      </c>
      <c r="C1441" s="8">
        <v>46157</v>
      </c>
      <c r="D1441" s="9">
        <v>44066</v>
      </c>
      <c r="E1441">
        <f>MONTH(C1441)</f>
        <v>5</v>
      </c>
    </row>
    <row r="1442" spans="1:5">
      <c r="A1442" t="s">
        <v>5</v>
      </c>
      <c r="B1442" t="s">
        <v>73</v>
      </c>
      <c r="C1442" s="8">
        <v>46157</v>
      </c>
      <c r="D1442" s="9">
        <v>39972</v>
      </c>
      <c r="E1442">
        <f>MONTH(C1442)</f>
        <v>5</v>
      </c>
    </row>
    <row r="1443" spans="1:5">
      <c r="A1443" t="s">
        <v>5</v>
      </c>
      <c r="B1443" t="s">
        <v>54</v>
      </c>
      <c r="C1443" s="8">
        <v>46157</v>
      </c>
      <c r="D1443" s="9">
        <v>56214</v>
      </c>
      <c r="E1443">
        <f>MONTH(C1443)</f>
        <v>5</v>
      </c>
    </row>
    <row r="1444" spans="1:5">
      <c r="A1444" t="s">
        <v>5</v>
      </c>
      <c r="B1444" t="s">
        <v>109</v>
      </c>
      <c r="C1444" s="8">
        <v>46157</v>
      </c>
      <c r="D1444" s="9">
        <v>40995</v>
      </c>
      <c r="E1444">
        <f>MONTH(C1444)</f>
        <v>5</v>
      </c>
    </row>
    <row r="1445" spans="1:5">
      <c r="A1445" t="s">
        <v>25</v>
      </c>
      <c r="B1445" t="s">
        <v>153</v>
      </c>
      <c r="C1445" s="8">
        <v>46158</v>
      </c>
      <c r="D1445" s="9">
        <v>6209</v>
      </c>
      <c r="E1445">
        <f>MONTH(C1445)</f>
        <v>5</v>
      </c>
    </row>
    <row r="1446" spans="1:5">
      <c r="A1446" t="s">
        <v>26</v>
      </c>
      <c r="B1446" t="s">
        <v>119</v>
      </c>
      <c r="C1446" s="8">
        <v>46158</v>
      </c>
      <c r="D1446" s="9">
        <v>11110</v>
      </c>
      <c r="E1446">
        <f>MONTH(C1446)</f>
        <v>5</v>
      </c>
    </row>
    <row r="1447" spans="1:5">
      <c r="A1447" t="s">
        <v>32</v>
      </c>
      <c r="B1447" t="s">
        <v>247</v>
      </c>
      <c r="C1447" s="8">
        <v>46158</v>
      </c>
      <c r="D1447" s="9">
        <v>12630</v>
      </c>
      <c r="E1447">
        <f>MONTH(C1447)</f>
        <v>5</v>
      </c>
    </row>
    <row r="1448" spans="1:5">
      <c r="A1448" t="s">
        <v>34</v>
      </c>
      <c r="B1448" t="s">
        <v>110</v>
      </c>
      <c r="C1448" s="8">
        <v>46158</v>
      </c>
      <c r="D1448" s="9">
        <v>11501</v>
      </c>
      <c r="E1448">
        <f>MONTH(C1448)</f>
        <v>5</v>
      </c>
    </row>
    <row r="1449" spans="1:5">
      <c r="A1449" t="s">
        <v>7</v>
      </c>
      <c r="B1449" t="s">
        <v>274</v>
      </c>
      <c r="C1449" s="8">
        <v>46158</v>
      </c>
      <c r="D1449" s="9">
        <v>23660</v>
      </c>
      <c r="E1449">
        <f>MONTH(C1449)</f>
        <v>5</v>
      </c>
    </row>
    <row r="1450" spans="1:5">
      <c r="A1450" t="s">
        <v>5</v>
      </c>
      <c r="B1450" t="s">
        <v>166</v>
      </c>
      <c r="C1450" s="8">
        <v>46158</v>
      </c>
      <c r="D1450" s="9">
        <v>36780</v>
      </c>
      <c r="E1450">
        <f>MONTH(C1450)</f>
        <v>5</v>
      </c>
    </row>
    <row r="1451" spans="1:5">
      <c r="A1451" t="s">
        <v>5</v>
      </c>
      <c r="B1451" t="s">
        <v>133</v>
      </c>
      <c r="C1451" s="8">
        <v>46158</v>
      </c>
      <c r="D1451" s="9">
        <v>31425</v>
      </c>
      <c r="E1451">
        <f>MONTH(C1451)</f>
        <v>5</v>
      </c>
    </row>
    <row r="1452" spans="1:5">
      <c r="A1452" t="s">
        <v>5</v>
      </c>
      <c r="B1452" t="s">
        <v>251</v>
      </c>
      <c r="C1452" s="8">
        <v>46158</v>
      </c>
      <c r="D1452" s="9">
        <v>43777</v>
      </c>
      <c r="E1452">
        <f>MONTH(C1452)</f>
        <v>5</v>
      </c>
    </row>
    <row r="1453" spans="1:5">
      <c r="A1453" t="s">
        <v>5</v>
      </c>
      <c r="B1453" t="s">
        <v>84</v>
      </c>
      <c r="C1453" s="8">
        <v>46158</v>
      </c>
      <c r="D1453" s="9">
        <v>40872</v>
      </c>
      <c r="E1453">
        <f>MONTH(C1453)</f>
        <v>5</v>
      </c>
    </row>
    <row r="1454" spans="1:5">
      <c r="A1454" t="s">
        <v>32</v>
      </c>
      <c r="B1454" t="s">
        <v>230</v>
      </c>
      <c r="C1454" s="8">
        <v>46159</v>
      </c>
      <c r="D1454" s="9">
        <v>11671</v>
      </c>
      <c r="E1454">
        <f>MONTH(C1454)</f>
        <v>5</v>
      </c>
    </row>
    <row r="1455" spans="1:5">
      <c r="A1455" t="s">
        <v>34</v>
      </c>
      <c r="B1455" t="s">
        <v>169</v>
      </c>
      <c r="C1455" s="8">
        <v>46159</v>
      </c>
      <c r="D1455" s="9">
        <v>10622</v>
      </c>
      <c r="E1455">
        <f>MONTH(C1455)</f>
        <v>5</v>
      </c>
    </row>
    <row r="1456" spans="1:5">
      <c r="A1456" t="s">
        <v>9</v>
      </c>
      <c r="B1456" t="s">
        <v>113</v>
      </c>
      <c r="C1456" s="8">
        <v>46159</v>
      </c>
      <c r="D1456" s="9">
        <v>28519</v>
      </c>
      <c r="E1456">
        <f>MONTH(C1456)</f>
        <v>5</v>
      </c>
    </row>
    <row r="1457" spans="1:5">
      <c r="A1457" t="s">
        <v>9</v>
      </c>
      <c r="B1457" t="s">
        <v>212</v>
      </c>
      <c r="C1457" s="8">
        <v>46159</v>
      </c>
      <c r="D1457" s="9">
        <v>30322</v>
      </c>
      <c r="E1457">
        <f>MONTH(C1457)</f>
        <v>5</v>
      </c>
    </row>
    <row r="1458" spans="1:5">
      <c r="A1458" t="s">
        <v>5</v>
      </c>
      <c r="B1458" t="s">
        <v>72</v>
      </c>
      <c r="C1458" s="8">
        <v>46159</v>
      </c>
      <c r="D1458" s="9">
        <v>52823</v>
      </c>
      <c r="E1458">
        <f>MONTH(C1458)</f>
        <v>5</v>
      </c>
    </row>
    <row r="1459" spans="1:5">
      <c r="A1459" t="s">
        <v>5</v>
      </c>
      <c r="B1459" t="s">
        <v>251</v>
      </c>
      <c r="C1459" s="8">
        <v>46159</v>
      </c>
      <c r="D1459" s="9">
        <v>38684</v>
      </c>
      <c r="E1459">
        <f>MONTH(C1459)</f>
        <v>5</v>
      </c>
    </row>
    <row r="1460" spans="1:5">
      <c r="A1460" t="s">
        <v>5</v>
      </c>
      <c r="B1460" t="s">
        <v>61</v>
      </c>
      <c r="C1460" s="8">
        <v>46159</v>
      </c>
      <c r="D1460" s="9">
        <v>20174</v>
      </c>
      <c r="E1460">
        <f>MONTH(C1460)</f>
        <v>5</v>
      </c>
    </row>
    <row r="1461" spans="1:5">
      <c r="A1461" t="s">
        <v>5</v>
      </c>
      <c r="B1461" t="s">
        <v>58</v>
      </c>
      <c r="C1461" s="8">
        <v>46159</v>
      </c>
      <c r="D1461" s="9">
        <v>57695</v>
      </c>
      <c r="E1461">
        <f>MONTH(C1461)</f>
        <v>5</v>
      </c>
    </row>
    <row r="1462" spans="1:5">
      <c r="A1462" t="s">
        <v>27</v>
      </c>
      <c r="B1462" t="s">
        <v>253</v>
      </c>
      <c r="C1462" s="8">
        <v>46160</v>
      </c>
      <c r="D1462" s="9">
        <v>17021</v>
      </c>
      <c r="E1462">
        <f>MONTH(C1462)</f>
        <v>5</v>
      </c>
    </row>
    <row r="1463" spans="1:5">
      <c r="A1463" t="s">
        <v>4</v>
      </c>
      <c r="B1463" t="s">
        <v>222</v>
      </c>
      <c r="C1463" s="8">
        <v>46160</v>
      </c>
      <c r="D1463" s="9">
        <v>35888</v>
      </c>
      <c r="E1463">
        <f>MONTH(C1463)</f>
        <v>5</v>
      </c>
    </row>
    <row r="1464" spans="1:5">
      <c r="A1464" t="s">
        <v>25</v>
      </c>
      <c r="B1464" t="s">
        <v>186</v>
      </c>
      <c r="C1464" s="8">
        <v>46160</v>
      </c>
      <c r="D1464" s="9">
        <v>13708</v>
      </c>
      <c r="E1464">
        <f>MONTH(C1464)</f>
        <v>5</v>
      </c>
    </row>
    <row r="1465" spans="1:5">
      <c r="A1465" t="s">
        <v>25</v>
      </c>
      <c r="B1465" t="s">
        <v>86</v>
      </c>
      <c r="C1465" s="8">
        <v>46160</v>
      </c>
      <c r="D1465" s="9">
        <v>15395</v>
      </c>
      <c r="E1465">
        <f>MONTH(C1465)</f>
        <v>5</v>
      </c>
    </row>
    <row r="1466" spans="1:5">
      <c r="A1466" t="s">
        <v>28</v>
      </c>
      <c r="B1466" t="s">
        <v>174</v>
      </c>
      <c r="C1466" s="8">
        <v>46160</v>
      </c>
      <c r="D1466" s="9">
        <v>18442</v>
      </c>
      <c r="E1466">
        <f>MONTH(C1466)</f>
        <v>5</v>
      </c>
    </row>
    <row r="1467" spans="1:5">
      <c r="A1467" t="s">
        <v>28</v>
      </c>
      <c r="B1467" t="s">
        <v>242</v>
      </c>
      <c r="C1467" s="8">
        <v>46160</v>
      </c>
      <c r="D1467" s="9">
        <v>23081</v>
      </c>
      <c r="E1467">
        <f>MONTH(C1467)</f>
        <v>5</v>
      </c>
    </row>
    <row r="1468" spans="1:5">
      <c r="A1468" t="s">
        <v>8</v>
      </c>
      <c r="B1468" t="s">
        <v>267</v>
      </c>
      <c r="C1468" s="8">
        <v>46160</v>
      </c>
      <c r="D1468" s="9">
        <v>15600</v>
      </c>
      <c r="E1468">
        <f>MONTH(C1468)</f>
        <v>5</v>
      </c>
    </row>
    <row r="1469" spans="1:5">
      <c r="A1469" t="s">
        <v>32</v>
      </c>
      <c r="B1469" t="s">
        <v>87</v>
      </c>
      <c r="C1469" s="8">
        <v>46160</v>
      </c>
      <c r="D1469" s="9">
        <v>10315</v>
      </c>
      <c r="E1469">
        <f>MONTH(C1469)</f>
        <v>5</v>
      </c>
    </row>
    <row r="1470" spans="1:5">
      <c r="A1470" t="s">
        <v>6</v>
      </c>
      <c r="B1470" t="s">
        <v>273</v>
      </c>
      <c r="C1470" s="8">
        <v>46160</v>
      </c>
      <c r="D1470" s="9">
        <v>15888</v>
      </c>
      <c r="E1470">
        <f>MONTH(C1470)</f>
        <v>5</v>
      </c>
    </row>
    <row r="1471" spans="1:5">
      <c r="A1471" t="s">
        <v>6</v>
      </c>
      <c r="B1471" t="s">
        <v>263</v>
      </c>
      <c r="C1471" s="8">
        <v>46160</v>
      </c>
      <c r="D1471" s="9">
        <v>12007</v>
      </c>
      <c r="E1471">
        <f>MONTH(C1471)</f>
        <v>5</v>
      </c>
    </row>
    <row r="1472" spans="1:5">
      <c r="A1472" t="s">
        <v>9</v>
      </c>
      <c r="B1472" t="s">
        <v>111</v>
      </c>
      <c r="C1472" s="8">
        <v>46160</v>
      </c>
      <c r="D1472" s="9">
        <v>35042</v>
      </c>
      <c r="E1472">
        <f>MONTH(C1472)</f>
        <v>5</v>
      </c>
    </row>
    <row r="1473" spans="1:5">
      <c r="A1473" t="s">
        <v>9</v>
      </c>
      <c r="B1473" t="s">
        <v>235</v>
      </c>
      <c r="C1473" s="8">
        <v>46160</v>
      </c>
      <c r="D1473" s="9">
        <v>35928</v>
      </c>
      <c r="E1473">
        <f>MONTH(C1473)</f>
        <v>5</v>
      </c>
    </row>
    <row r="1474" spans="1:5">
      <c r="A1474" t="s">
        <v>9</v>
      </c>
      <c r="B1474" t="s">
        <v>132</v>
      </c>
      <c r="C1474" s="8">
        <v>46160</v>
      </c>
      <c r="D1474" s="9">
        <v>43465</v>
      </c>
      <c r="E1474">
        <f>MONTH(C1474)</f>
        <v>5</v>
      </c>
    </row>
    <row r="1475" spans="1:5">
      <c r="A1475" t="s">
        <v>9</v>
      </c>
      <c r="B1475" t="s">
        <v>157</v>
      </c>
      <c r="C1475" s="8">
        <v>46160</v>
      </c>
      <c r="D1475" s="9">
        <v>9455</v>
      </c>
      <c r="E1475">
        <f>MONTH(C1475)</f>
        <v>5</v>
      </c>
    </row>
    <row r="1476" spans="1:5">
      <c r="A1476" t="s">
        <v>9</v>
      </c>
      <c r="B1476" t="s">
        <v>172</v>
      </c>
      <c r="C1476" s="8">
        <v>46160</v>
      </c>
      <c r="D1476" s="9">
        <v>37103</v>
      </c>
      <c r="E1476">
        <f>MONTH(C1476)</f>
        <v>5</v>
      </c>
    </row>
    <row r="1477" spans="1:5">
      <c r="A1477" t="s">
        <v>5</v>
      </c>
      <c r="B1477" t="s">
        <v>92</v>
      </c>
      <c r="C1477" s="8">
        <v>46160</v>
      </c>
      <c r="D1477" s="9">
        <v>45379</v>
      </c>
      <c r="E1477">
        <f>MONTH(C1477)</f>
        <v>5</v>
      </c>
    </row>
    <row r="1478" spans="1:5">
      <c r="A1478" t="s">
        <v>5</v>
      </c>
      <c r="B1478" t="s">
        <v>115</v>
      </c>
      <c r="C1478" s="8">
        <v>46160</v>
      </c>
      <c r="D1478" s="9">
        <v>40703</v>
      </c>
      <c r="E1478">
        <f>MONTH(C1478)</f>
        <v>5</v>
      </c>
    </row>
    <row r="1479" spans="1:5">
      <c r="A1479" t="s">
        <v>5</v>
      </c>
      <c r="B1479" t="s">
        <v>124</v>
      </c>
      <c r="C1479" s="8">
        <v>46160</v>
      </c>
      <c r="D1479" s="9">
        <v>36066</v>
      </c>
      <c r="E1479">
        <f>MONTH(C1479)</f>
        <v>5</v>
      </c>
    </row>
    <row r="1480" spans="1:5">
      <c r="A1480" t="s">
        <v>5</v>
      </c>
      <c r="B1480" t="s">
        <v>124</v>
      </c>
      <c r="C1480" s="8">
        <v>46160</v>
      </c>
      <c r="D1480" s="9">
        <v>40819</v>
      </c>
      <c r="E1480">
        <f>MONTH(C1480)</f>
        <v>5</v>
      </c>
    </row>
    <row r="1481" spans="1:5">
      <c r="A1481" t="s">
        <v>5</v>
      </c>
      <c r="B1481" t="s">
        <v>108</v>
      </c>
      <c r="C1481" s="8">
        <v>46160</v>
      </c>
      <c r="D1481" s="9">
        <v>44933</v>
      </c>
      <c r="E1481">
        <f>MONTH(C1481)</f>
        <v>5</v>
      </c>
    </row>
    <row r="1482" spans="1:5">
      <c r="A1482" t="s">
        <v>30</v>
      </c>
      <c r="B1482" t="s">
        <v>162</v>
      </c>
      <c r="C1482" s="8">
        <v>46161</v>
      </c>
      <c r="D1482" s="9">
        <v>11518</v>
      </c>
      <c r="E1482">
        <f>MONTH(C1482)</f>
        <v>5</v>
      </c>
    </row>
    <row r="1483" spans="1:5">
      <c r="A1483" t="s">
        <v>8</v>
      </c>
      <c r="B1483" t="s">
        <v>141</v>
      </c>
      <c r="C1483" s="8">
        <v>46161</v>
      </c>
      <c r="D1483" s="9">
        <v>18735</v>
      </c>
      <c r="E1483">
        <f>MONTH(C1483)</f>
        <v>5</v>
      </c>
    </row>
    <row r="1484" spans="1:5">
      <c r="A1484" t="s">
        <v>8</v>
      </c>
      <c r="B1484" t="s">
        <v>259</v>
      </c>
      <c r="C1484" s="8">
        <v>46161</v>
      </c>
      <c r="D1484" s="9">
        <v>16911</v>
      </c>
      <c r="E1484">
        <f>MONTH(C1484)</f>
        <v>5</v>
      </c>
    </row>
    <row r="1485" spans="1:5">
      <c r="A1485" t="s">
        <v>7</v>
      </c>
      <c r="B1485" t="s">
        <v>69</v>
      </c>
      <c r="C1485" s="8">
        <v>46161</v>
      </c>
      <c r="D1485" s="9">
        <v>7763</v>
      </c>
      <c r="E1485">
        <f>MONTH(C1485)</f>
        <v>5</v>
      </c>
    </row>
    <row r="1486" spans="1:5">
      <c r="A1486" t="s">
        <v>9</v>
      </c>
      <c r="B1486" t="s">
        <v>144</v>
      </c>
      <c r="C1486" s="8">
        <v>46161</v>
      </c>
      <c r="D1486" s="9">
        <v>26757</v>
      </c>
      <c r="E1486">
        <f>MONTH(C1486)</f>
        <v>5</v>
      </c>
    </row>
    <row r="1487" spans="1:5">
      <c r="A1487" t="s">
        <v>5</v>
      </c>
      <c r="B1487" t="s">
        <v>167</v>
      </c>
      <c r="C1487" s="8">
        <v>46161</v>
      </c>
      <c r="D1487" s="9">
        <v>26215</v>
      </c>
      <c r="E1487">
        <f>MONTH(C1487)</f>
        <v>5</v>
      </c>
    </row>
    <row r="1488" spans="1:5">
      <c r="A1488" t="s">
        <v>5</v>
      </c>
      <c r="B1488" t="s">
        <v>145</v>
      </c>
      <c r="C1488" s="8">
        <v>46161</v>
      </c>
      <c r="D1488" s="9">
        <v>48212</v>
      </c>
      <c r="E1488">
        <f>MONTH(C1488)</f>
        <v>5</v>
      </c>
    </row>
    <row r="1489" spans="1:5">
      <c r="A1489" t="s">
        <v>5</v>
      </c>
      <c r="B1489" t="s">
        <v>108</v>
      </c>
      <c r="C1489" s="8">
        <v>46161</v>
      </c>
      <c r="D1489" s="9">
        <v>42652</v>
      </c>
      <c r="E1489">
        <f>MONTH(C1489)</f>
        <v>5</v>
      </c>
    </row>
    <row r="1490" spans="1:5">
      <c r="A1490" t="s">
        <v>5</v>
      </c>
      <c r="B1490" t="s">
        <v>100</v>
      </c>
      <c r="C1490" s="8">
        <v>46161</v>
      </c>
      <c r="D1490" s="9">
        <v>40447</v>
      </c>
      <c r="E1490">
        <f>MONTH(C1490)</f>
        <v>5</v>
      </c>
    </row>
    <row r="1491" spans="1:5">
      <c r="A1491" t="s">
        <v>4</v>
      </c>
      <c r="B1491" t="s">
        <v>187</v>
      </c>
      <c r="C1491" s="8">
        <v>46162</v>
      </c>
      <c r="D1491" s="9">
        <v>44814</v>
      </c>
      <c r="E1491">
        <f>MONTH(C1491)</f>
        <v>5</v>
      </c>
    </row>
    <row r="1492" spans="1:5">
      <c r="A1492" t="s">
        <v>28</v>
      </c>
      <c r="B1492" t="s">
        <v>161</v>
      </c>
      <c r="C1492" s="8">
        <v>46162</v>
      </c>
      <c r="D1492" s="9">
        <v>15363</v>
      </c>
      <c r="E1492">
        <f>MONTH(C1492)</f>
        <v>5</v>
      </c>
    </row>
    <row r="1493" spans="1:5">
      <c r="A1493" t="s">
        <v>28</v>
      </c>
      <c r="B1493" t="s">
        <v>118</v>
      </c>
      <c r="C1493" s="8">
        <v>46162</v>
      </c>
      <c r="D1493" s="9">
        <v>11562</v>
      </c>
      <c r="E1493">
        <f>MONTH(C1493)</f>
        <v>5</v>
      </c>
    </row>
    <row r="1494" spans="1:5">
      <c r="A1494" t="s">
        <v>33</v>
      </c>
      <c r="B1494" t="s">
        <v>232</v>
      </c>
      <c r="C1494" s="8">
        <v>46162</v>
      </c>
      <c r="D1494" s="9">
        <v>7905</v>
      </c>
      <c r="E1494">
        <f>MONTH(C1494)</f>
        <v>5</v>
      </c>
    </row>
    <row r="1495" spans="1:5">
      <c r="A1495" t="s">
        <v>7</v>
      </c>
      <c r="B1495" t="s">
        <v>202</v>
      </c>
      <c r="C1495" s="8">
        <v>46162</v>
      </c>
      <c r="D1495" s="9">
        <v>21793</v>
      </c>
      <c r="E1495">
        <f>MONTH(C1495)</f>
        <v>5</v>
      </c>
    </row>
    <row r="1496" spans="1:5">
      <c r="A1496" t="s">
        <v>9</v>
      </c>
      <c r="B1496" t="s">
        <v>239</v>
      </c>
      <c r="C1496" s="8">
        <v>46162</v>
      </c>
      <c r="D1496" s="9">
        <v>38672</v>
      </c>
      <c r="E1496">
        <f>MONTH(C1496)</f>
        <v>5</v>
      </c>
    </row>
    <row r="1497" spans="1:5">
      <c r="A1497" t="s">
        <v>5</v>
      </c>
      <c r="B1497" t="s">
        <v>106</v>
      </c>
      <c r="C1497" s="8">
        <v>46162</v>
      </c>
      <c r="D1497" s="9">
        <v>40633</v>
      </c>
      <c r="E1497">
        <f>MONTH(C1497)</f>
        <v>5</v>
      </c>
    </row>
    <row r="1498" spans="1:5">
      <c r="A1498" t="s">
        <v>5</v>
      </c>
      <c r="B1498" t="s">
        <v>252</v>
      </c>
      <c r="C1498" s="8">
        <v>46162</v>
      </c>
      <c r="D1498" s="9">
        <v>40208</v>
      </c>
      <c r="E1498">
        <f>MONTH(C1498)</f>
        <v>5</v>
      </c>
    </row>
    <row r="1499" spans="1:5">
      <c r="A1499" t="s">
        <v>27</v>
      </c>
      <c r="B1499" t="s">
        <v>168</v>
      </c>
      <c r="C1499" s="8">
        <v>46163</v>
      </c>
      <c r="D1499" s="9">
        <v>12889</v>
      </c>
      <c r="E1499">
        <f>MONTH(C1499)</f>
        <v>5</v>
      </c>
    </row>
    <row r="1500" spans="1:5">
      <c r="A1500" t="s">
        <v>4</v>
      </c>
      <c r="B1500" t="s">
        <v>159</v>
      </c>
      <c r="C1500" s="8">
        <v>46163</v>
      </c>
      <c r="D1500" s="9">
        <v>50753</v>
      </c>
      <c r="E1500">
        <f>MONTH(C1500)</f>
        <v>5</v>
      </c>
    </row>
    <row r="1501" spans="1:5">
      <c r="A1501" t="s">
        <v>4</v>
      </c>
      <c r="B1501" t="s">
        <v>151</v>
      </c>
      <c r="C1501" s="8">
        <v>46163</v>
      </c>
      <c r="D1501" s="9">
        <v>24871</v>
      </c>
      <c r="E1501">
        <f>MONTH(C1501)</f>
        <v>5</v>
      </c>
    </row>
    <row r="1502" spans="1:5">
      <c r="A1502" t="s">
        <v>25</v>
      </c>
      <c r="B1502" t="s">
        <v>272</v>
      </c>
      <c r="C1502" s="8">
        <v>46163</v>
      </c>
      <c r="D1502" s="9">
        <v>13219</v>
      </c>
      <c r="E1502">
        <f>MONTH(C1502)</f>
        <v>5</v>
      </c>
    </row>
    <row r="1503" spans="1:5">
      <c r="A1503" t="s">
        <v>36</v>
      </c>
      <c r="B1503" t="s">
        <v>229</v>
      </c>
      <c r="C1503" s="8">
        <v>46163</v>
      </c>
      <c r="D1503" s="9">
        <v>10837</v>
      </c>
      <c r="E1503">
        <f>MONTH(C1503)</f>
        <v>5</v>
      </c>
    </row>
    <row r="1504" spans="1:5">
      <c r="A1504" t="s">
        <v>6</v>
      </c>
      <c r="B1504" t="s">
        <v>231</v>
      </c>
      <c r="C1504" s="8">
        <v>46163</v>
      </c>
      <c r="D1504" s="9">
        <v>21717</v>
      </c>
      <c r="E1504">
        <f>MONTH(C1504)</f>
        <v>5</v>
      </c>
    </row>
    <row r="1505" spans="1:5">
      <c r="A1505" t="s">
        <v>29</v>
      </c>
      <c r="B1505" t="s">
        <v>163</v>
      </c>
      <c r="C1505" s="8">
        <v>46163</v>
      </c>
      <c r="D1505" s="9">
        <v>5200</v>
      </c>
      <c r="E1505">
        <f>MONTH(C1505)</f>
        <v>5</v>
      </c>
    </row>
    <row r="1506" spans="1:5">
      <c r="A1506" t="s">
        <v>7</v>
      </c>
      <c r="B1506" t="s">
        <v>65</v>
      </c>
      <c r="C1506" s="8">
        <v>46163</v>
      </c>
      <c r="D1506" s="9">
        <v>9034</v>
      </c>
      <c r="E1506">
        <f>MONTH(C1506)</f>
        <v>5</v>
      </c>
    </row>
    <row r="1507" spans="1:5">
      <c r="A1507" t="s">
        <v>7</v>
      </c>
      <c r="B1507" t="s">
        <v>275</v>
      </c>
      <c r="C1507" s="8">
        <v>46163</v>
      </c>
      <c r="D1507" s="9">
        <v>20110</v>
      </c>
      <c r="E1507">
        <f>MONTH(C1507)</f>
        <v>5</v>
      </c>
    </row>
    <row r="1508" spans="1:5">
      <c r="A1508" t="s">
        <v>7</v>
      </c>
      <c r="B1508" t="s">
        <v>47</v>
      </c>
      <c r="C1508" s="8">
        <v>46163</v>
      </c>
      <c r="D1508" s="9">
        <v>22372</v>
      </c>
      <c r="E1508">
        <f>MONTH(C1508)</f>
        <v>5</v>
      </c>
    </row>
    <row r="1509" spans="1:5">
      <c r="A1509" t="s">
        <v>9</v>
      </c>
      <c r="B1509" t="s">
        <v>245</v>
      </c>
      <c r="C1509" s="8">
        <v>46163</v>
      </c>
      <c r="D1509" s="9">
        <v>20362</v>
      </c>
      <c r="E1509">
        <f>MONTH(C1509)</f>
        <v>5</v>
      </c>
    </row>
    <row r="1510" spans="1:5">
      <c r="A1510" t="s">
        <v>5</v>
      </c>
      <c r="B1510" t="s">
        <v>133</v>
      </c>
      <c r="C1510" s="8">
        <v>46163</v>
      </c>
      <c r="D1510" s="9">
        <v>45302</v>
      </c>
      <c r="E1510">
        <f>MONTH(C1510)</f>
        <v>5</v>
      </c>
    </row>
    <row r="1511" spans="1:5">
      <c r="A1511" t="s">
        <v>5</v>
      </c>
      <c r="B1511" t="s">
        <v>182</v>
      </c>
      <c r="C1511" s="8">
        <v>46163</v>
      </c>
      <c r="D1511" s="9">
        <v>50156</v>
      </c>
      <c r="E1511">
        <f>MONTH(C1511)</f>
        <v>5</v>
      </c>
    </row>
    <row r="1512" spans="1:5">
      <c r="A1512" t="s">
        <v>5</v>
      </c>
      <c r="B1512" t="s">
        <v>97</v>
      </c>
      <c r="C1512" s="8">
        <v>46163</v>
      </c>
      <c r="D1512" s="9">
        <v>54824</v>
      </c>
      <c r="E1512">
        <f>MONTH(C1512)</f>
        <v>5</v>
      </c>
    </row>
    <row r="1513" spans="1:5">
      <c r="A1513" t="s">
        <v>5</v>
      </c>
      <c r="B1513" t="s">
        <v>270</v>
      </c>
      <c r="C1513" s="8">
        <v>46163</v>
      </c>
      <c r="D1513" s="9">
        <v>46372</v>
      </c>
      <c r="E1513">
        <f>MONTH(C1513)</f>
        <v>5</v>
      </c>
    </row>
    <row r="1514" spans="1:5">
      <c r="A1514" t="s">
        <v>5</v>
      </c>
      <c r="B1514" t="s">
        <v>212</v>
      </c>
      <c r="C1514" s="8">
        <v>46163</v>
      </c>
      <c r="D1514" s="9">
        <v>34696</v>
      </c>
      <c r="E1514">
        <f>MONTH(C1514)</f>
        <v>5</v>
      </c>
    </row>
    <row r="1515" spans="1:5">
      <c r="A1515" t="s">
        <v>4</v>
      </c>
      <c r="B1515" t="s">
        <v>70</v>
      </c>
      <c r="C1515" s="8">
        <v>46164</v>
      </c>
      <c r="D1515" s="9">
        <v>29092</v>
      </c>
      <c r="E1515">
        <f>MONTH(C1515)</f>
        <v>5</v>
      </c>
    </row>
    <row r="1516" spans="1:5">
      <c r="A1516" t="s">
        <v>4</v>
      </c>
      <c r="B1516" t="s">
        <v>266</v>
      </c>
      <c r="C1516" s="8">
        <v>46164</v>
      </c>
      <c r="D1516" s="9">
        <v>25987</v>
      </c>
      <c r="E1516">
        <f>MONTH(C1516)</f>
        <v>5</v>
      </c>
    </row>
    <row r="1517" spans="1:5">
      <c r="A1517" t="s">
        <v>31</v>
      </c>
      <c r="B1517" t="s">
        <v>77</v>
      </c>
      <c r="C1517" s="8">
        <v>46164</v>
      </c>
      <c r="D1517" s="9">
        <v>23027</v>
      </c>
      <c r="E1517">
        <f>MONTH(C1517)</f>
        <v>5</v>
      </c>
    </row>
    <row r="1518" spans="1:5">
      <c r="A1518" t="s">
        <v>25</v>
      </c>
      <c r="B1518" t="s">
        <v>278</v>
      </c>
      <c r="C1518" s="8">
        <v>46164</v>
      </c>
      <c r="D1518" s="9">
        <v>12612</v>
      </c>
      <c r="E1518">
        <f>MONTH(C1518)</f>
        <v>5</v>
      </c>
    </row>
    <row r="1519" spans="1:5">
      <c r="A1519" t="s">
        <v>6</v>
      </c>
      <c r="B1519" t="s">
        <v>131</v>
      </c>
      <c r="C1519" s="8">
        <v>46164</v>
      </c>
      <c r="D1519" s="9">
        <v>16894</v>
      </c>
      <c r="E1519">
        <f>MONTH(C1519)</f>
        <v>5</v>
      </c>
    </row>
    <row r="1520" spans="1:5">
      <c r="A1520" t="s">
        <v>7</v>
      </c>
      <c r="B1520" t="s">
        <v>89</v>
      </c>
      <c r="C1520" s="8">
        <v>46164</v>
      </c>
      <c r="D1520" s="9">
        <v>19614</v>
      </c>
      <c r="E1520">
        <f>MONTH(C1520)</f>
        <v>5</v>
      </c>
    </row>
    <row r="1521" spans="1:5">
      <c r="A1521" t="s">
        <v>9</v>
      </c>
      <c r="B1521" t="s">
        <v>91</v>
      </c>
      <c r="C1521" s="8">
        <v>46164</v>
      </c>
      <c r="D1521" s="9">
        <v>34186</v>
      </c>
      <c r="E1521">
        <f>MONTH(C1521)</f>
        <v>5</v>
      </c>
    </row>
    <row r="1522" spans="1:5">
      <c r="A1522" t="s">
        <v>9</v>
      </c>
      <c r="B1522" t="s">
        <v>134</v>
      </c>
      <c r="C1522" s="8">
        <v>46164</v>
      </c>
      <c r="D1522" s="9">
        <v>30228</v>
      </c>
      <c r="E1522">
        <f>MONTH(C1522)</f>
        <v>5</v>
      </c>
    </row>
    <row r="1523" spans="1:5">
      <c r="A1523" t="s">
        <v>5</v>
      </c>
      <c r="B1523" t="s">
        <v>53</v>
      </c>
      <c r="C1523" s="8">
        <v>46164</v>
      </c>
      <c r="D1523" s="9">
        <v>56777</v>
      </c>
      <c r="E1523">
        <f>MONTH(C1523)</f>
        <v>5</v>
      </c>
    </row>
    <row r="1524" spans="1:5">
      <c r="A1524" t="s">
        <v>5</v>
      </c>
      <c r="B1524" t="s">
        <v>101</v>
      </c>
      <c r="C1524" s="8">
        <v>46164</v>
      </c>
      <c r="D1524" s="9">
        <v>34729</v>
      </c>
      <c r="E1524">
        <f>MONTH(C1524)</f>
        <v>5</v>
      </c>
    </row>
    <row r="1525" spans="1:5">
      <c r="A1525" t="s">
        <v>5</v>
      </c>
      <c r="B1525" t="s">
        <v>212</v>
      </c>
      <c r="C1525" s="8">
        <v>46164</v>
      </c>
      <c r="D1525" s="9">
        <v>31475</v>
      </c>
      <c r="E1525">
        <f>MONTH(C1525)</f>
        <v>5</v>
      </c>
    </row>
    <row r="1526" spans="1:5">
      <c r="A1526" t="s">
        <v>31</v>
      </c>
      <c r="B1526" t="s">
        <v>199</v>
      </c>
      <c r="C1526" s="8">
        <v>46165</v>
      </c>
      <c r="D1526" s="9">
        <v>6170</v>
      </c>
      <c r="E1526">
        <f>MONTH(C1526)</f>
        <v>5</v>
      </c>
    </row>
    <row r="1527" spans="1:5">
      <c r="A1527" t="s">
        <v>31</v>
      </c>
      <c r="B1527" t="s">
        <v>68</v>
      </c>
      <c r="C1527" s="8">
        <v>46165</v>
      </c>
      <c r="D1527" s="9">
        <v>24100</v>
      </c>
      <c r="E1527">
        <f>MONTH(C1527)</f>
        <v>5</v>
      </c>
    </row>
    <row r="1528" spans="1:5">
      <c r="A1528" t="s">
        <v>30</v>
      </c>
      <c r="B1528" t="s">
        <v>63</v>
      </c>
      <c r="C1528" s="8">
        <v>46165</v>
      </c>
      <c r="D1528" s="9">
        <v>11692</v>
      </c>
      <c r="E1528">
        <f>MONTH(C1528)</f>
        <v>5</v>
      </c>
    </row>
    <row r="1529" spans="1:5">
      <c r="A1529" t="s">
        <v>32</v>
      </c>
      <c r="B1529" t="s">
        <v>152</v>
      </c>
      <c r="C1529" s="8">
        <v>46165</v>
      </c>
      <c r="D1529" s="9">
        <v>13370</v>
      </c>
      <c r="E1529">
        <f>MONTH(C1529)</f>
        <v>5</v>
      </c>
    </row>
    <row r="1530" spans="1:5">
      <c r="A1530" t="s">
        <v>34</v>
      </c>
      <c r="B1530" t="s">
        <v>94</v>
      </c>
      <c r="C1530" s="8">
        <v>46165</v>
      </c>
      <c r="D1530" s="9">
        <v>25653</v>
      </c>
      <c r="E1530">
        <f>MONTH(C1530)</f>
        <v>5</v>
      </c>
    </row>
    <row r="1531" spans="1:5">
      <c r="A1531" t="s">
        <v>29</v>
      </c>
      <c r="B1531" t="s">
        <v>104</v>
      </c>
      <c r="C1531" s="8">
        <v>46165</v>
      </c>
      <c r="D1531" s="9">
        <v>12037</v>
      </c>
      <c r="E1531">
        <f>MONTH(C1531)</f>
        <v>5</v>
      </c>
    </row>
    <row r="1532" spans="1:5">
      <c r="A1532" t="s">
        <v>5</v>
      </c>
      <c r="B1532" t="s">
        <v>133</v>
      </c>
      <c r="C1532" s="8">
        <v>46165</v>
      </c>
      <c r="D1532" s="9">
        <v>46633</v>
      </c>
      <c r="E1532">
        <f>MONTH(C1532)</f>
        <v>5</v>
      </c>
    </row>
    <row r="1533" spans="1:5">
      <c r="A1533" t="s">
        <v>5</v>
      </c>
      <c r="B1533" t="s">
        <v>49</v>
      </c>
      <c r="C1533" s="8">
        <v>46165</v>
      </c>
      <c r="D1533" s="9">
        <v>44685</v>
      </c>
      <c r="E1533">
        <f>MONTH(C1533)</f>
        <v>5</v>
      </c>
    </row>
    <row r="1534" spans="1:5">
      <c r="A1534" t="s">
        <v>5</v>
      </c>
      <c r="B1534" t="s">
        <v>84</v>
      </c>
      <c r="C1534" s="8">
        <v>46165</v>
      </c>
      <c r="D1534" s="9">
        <v>36689</v>
      </c>
      <c r="E1534">
        <f>MONTH(C1534)</f>
        <v>5</v>
      </c>
    </row>
    <row r="1535" spans="1:5">
      <c r="A1535" t="s">
        <v>5</v>
      </c>
      <c r="B1535" t="s">
        <v>99</v>
      </c>
      <c r="C1535" s="8">
        <v>46165</v>
      </c>
      <c r="D1535" s="9">
        <v>29057</v>
      </c>
      <c r="E1535">
        <f>MONTH(C1535)</f>
        <v>5</v>
      </c>
    </row>
    <row r="1536" spans="1:5">
      <c r="A1536" t="s">
        <v>5</v>
      </c>
      <c r="B1536" t="s">
        <v>99</v>
      </c>
      <c r="C1536" s="8">
        <v>46165</v>
      </c>
      <c r="D1536" s="9">
        <v>34129</v>
      </c>
      <c r="E1536">
        <f>MONTH(C1536)</f>
        <v>5</v>
      </c>
    </row>
    <row r="1537" spans="1:5">
      <c r="A1537" t="s">
        <v>26</v>
      </c>
      <c r="B1537" t="s">
        <v>256</v>
      </c>
      <c r="C1537" s="8">
        <v>46166</v>
      </c>
      <c r="D1537" s="9">
        <v>13081</v>
      </c>
      <c r="E1537">
        <f>MONTH(C1537)</f>
        <v>5</v>
      </c>
    </row>
    <row r="1538" spans="1:5">
      <c r="A1538" t="s">
        <v>8</v>
      </c>
      <c r="B1538" t="s">
        <v>214</v>
      </c>
      <c r="C1538" s="8">
        <v>46166</v>
      </c>
      <c r="D1538" s="9">
        <v>15988</v>
      </c>
      <c r="E1538">
        <f>MONTH(C1538)</f>
        <v>5</v>
      </c>
    </row>
    <row r="1539" spans="1:5">
      <c r="A1539" t="s">
        <v>8</v>
      </c>
      <c r="B1539" t="s">
        <v>52</v>
      </c>
      <c r="C1539" s="8">
        <v>46166</v>
      </c>
      <c r="D1539" s="9">
        <v>15760</v>
      </c>
      <c r="E1539">
        <f>MONTH(C1539)</f>
        <v>5</v>
      </c>
    </row>
    <row r="1540" spans="1:5">
      <c r="A1540" t="s">
        <v>32</v>
      </c>
      <c r="B1540" t="s">
        <v>282</v>
      </c>
      <c r="C1540" s="8">
        <v>46166</v>
      </c>
      <c r="D1540" s="9">
        <v>13406</v>
      </c>
      <c r="E1540">
        <f>MONTH(C1540)</f>
        <v>5</v>
      </c>
    </row>
    <row r="1541" spans="1:5">
      <c r="A1541" t="s">
        <v>34</v>
      </c>
      <c r="B1541" t="s">
        <v>265</v>
      </c>
      <c r="C1541" s="8">
        <v>46166</v>
      </c>
      <c r="D1541" s="9">
        <v>11934</v>
      </c>
      <c r="E1541">
        <f>MONTH(C1541)</f>
        <v>5</v>
      </c>
    </row>
    <row r="1542" spans="1:5">
      <c r="A1542" t="s">
        <v>6</v>
      </c>
      <c r="B1542" t="s">
        <v>234</v>
      </c>
      <c r="C1542" s="8">
        <v>46166</v>
      </c>
      <c r="D1542" s="9">
        <v>29893</v>
      </c>
      <c r="E1542">
        <f>MONTH(C1542)</f>
        <v>5</v>
      </c>
    </row>
    <row r="1543" spans="1:5">
      <c r="A1543" t="s">
        <v>7</v>
      </c>
      <c r="B1543" t="s">
        <v>175</v>
      </c>
      <c r="C1543" s="8">
        <v>46166</v>
      </c>
      <c r="D1543" s="9">
        <v>25871</v>
      </c>
      <c r="E1543">
        <f>MONTH(C1543)</f>
        <v>5</v>
      </c>
    </row>
    <row r="1544" spans="1:5">
      <c r="A1544" t="s">
        <v>9</v>
      </c>
      <c r="B1544" t="s">
        <v>221</v>
      </c>
      <c r="C1544" s="8">
        <v>46166</v>
      </c>
      <c r="D1544" s="9">
        <v>19964</v>
      </c>
      <c r="E1544">
        <f>MONTH(C1544)</f>
        <v>5</v>
      </c>
    </row>
    <row r="1545" spans="1:5">
      <c r="A1545" t="s">
        <v>5</v>
      </c>
      <c r="B1545" t="s">
        <v>133</v>
      </c>
      <c r="C1545" s="8">
        <v>46166</v>
      </c>
      <c r="D1545" s="9">
        <v>36731</v>
      </c>
      <c r="E1545">
        <f>MONTH(C1545)</f>
        <v>5</v>
      </c>
    </row>
    <row r="1546" spans="1:5">
      <c r="A1546" t="s">
        <v>5</v>
      </c>
      <c r="B1546" t="s">
        <v>74</v>
      </c>
      <c r="C1546" s="8">
        <v>46166</v>
      </c>
      <c r="D1546" s="9">
        <v>34548</v>
      </c>
      <c r="E1546">
        <f>MONTH(C1546)</f>
        <v>5</v>
      </c>
    </row>
    <row r="1547" spans="1:5">
      <c r="A1547" t="s">
        <v>5</v>
      </c>
      <c r="B1547" t="s">
        <v>172</v>
      </c>
      <c r="C1547" s="8">
        <v>46166</v>
      </c>
      <c r="D1547" s="9">
        <v>31180</v>
      </c>
      <c r="E1547">
        <f>MONTH(C1547)</f>
        <v>5</v>
      </c>
    </row>
    <row r="1548" spans="1:5">
      <c r="A1548" t="s">
        <v>4</v>
      </c>
      <c r="B1548" t="s">
        <v>50</v>
      </c>
      <c r="C1548" s="8">
        <v>46167</v>
      </c>
      <c r="D1548" s="9">
        <v>23753</v>
      </c>
      <c r="E1548">
        <f>MONTH(C1548)</f>
        <v>5</v>
      </c>
    </row>
    <row r="1549" spans="1:5">
      <c r="A1549" t="s">
        <v>31</v>
      </c>
      <c r="B1549" t="s">
        <v>224</v>
      </c>
      <c r="C1549" s="8">
        <v>46167</v>
      </c>
      <c r="D1549" s="9">
        <v>13032</v>
      </c>
      <c r="E1549">
        <f>MONTH(C1549)</f>
        <v>5</v>
      </c>
    </row>
    <row r="1550" spans="1:5">
      <c r="A1550" t="s">
        <v>30</v>
      </c>
      <c r="B1550" t="s">
        <v>154</v>
      </c>
      <c r="C1550" s="8">
        <v>46167</v>
      </c>
      <c r="D1550" s="9">
        <v>11866</v>
      </c>
      <c r="E1550">
        <f>MONTH(C1550)</f>
        <v>5</v>
      </c>
    </row>
    <row r="1551" spans="1:5">
      <c r="A1551" t="s">
        <v>7</v>
      </c>
      <c r="B1551" t="s">
        <v>194</v>
      </c>
      <c r="C1551" s="8">
        <v>46167</v>
      </c>
      <c r="D1551" s="9">
        <v>24295</v>
      </c>
      <c r="E1551">
        <f>MONTH(C1551)</f>
        <v>5</v>
      </c>
    </row>
    <row r="1552" spans="1:5">
      <c r="A1552" t="s">
        <v>9</v>
      </c>
      <c r="B1552" t="s">
        <v>177</v>
      </c>
      <c r="C1552" s="8">
        <v>46167</v>
      </c>
      <c r="D1552" s="9">
        <v>40001</v>
      </c>
      <c r="E1552">
        <f>MONTH(C1552)</f>
        <v>5</v>
      </c>
    </row>
    <row r="1553" spans="1:5">
      <c r="A1553" t="s">
        <v>9</v>
      </c>
      <c r="B1553" t="s">
        <v>245</v>
      </c>
      <c r="C1553" s="8">
        <v>46167</v>
      </c>
      <c r="D1553" s="9">
        <v>28576</v>
      </c>
      <c r="E1553">
        <f>MONTH(C1553)</f>
        <v>5</v>
      </c>
    </row>
    <row r="1554" spans="1:5">
      <c r="A1554" t="s">
        <v>5</v>
      </c>
      <c r="B1554" t="s">
        <v>188</v>
      </c>
      <c r="C1554" s="8">
        <v>46167</v>
      </c>
      <c r="D1554" s="9">
        <v>42693</v>
      </c>
      <c r="E1554">
        <f>MONTH(C1554)</f>
        <v>5</v>
      </c>
    </row>
    <row r="1555" spans="1:5">
      <c r="A1555" t="s">
        <v>5</v>
      </c>
      <c r="B1555" t="s">
        <v>133</v>
      </c>
      <c r="C1555" s="8">
        <v>46167</v>
      </c>
      <c r="D1555" s="9">
        <v>38064</v>
      </c>
      <c r="E1555">
        <f>MONTH(C1555)</f>
        <v>5</v>
      </c>
    </row>
    <row r="1556" spans="1:5">
      <c r="A1556" t="s">
        <v>5</v>
      </c>
      <c r="B1556" t="s">
        <v>124</v>
      </c>
      <c r="C1556" s="8">
        <v>46167</v>
      </c>
      <c r="D1556" s="9">
        <v>26294</v>
      </c>
      <c r="E1556">
        <f>MONTH(C1556)</f>
        <v>5</v>
      </c>
    </row>
    <row r="1557" spans="1:5">
      <c r="A1557" t="s">
        <v>5</v>
      </c>
      <c r="B1557" t="s">
        <v>212</v>
      </c>
      <c r="C1557" s="8">
        <v>46167</v>
      </c>
      <c r="D1557" s="9">
        <v>37321</v>
      </c>
      <c r="E1557">
        <f>MONTH(C1557)</f>
        <v>5</v>
      </c>
    </row>
    <row r="1558" spans="1:5">
      <c r="A1558" t="s">
        <v>5</v>
      </c>
      <c r="B1558" t="s">
        <v>108</v>
      </c>
      <c r="C1558" s="8">
        <v>46167</v>
      </c>
      <c r="D1558" s="9">
        <v>30051</v>
      </c>
      <c r="E1558">
        <f>MONTH(C1558)</f>
        <v>5</v>
      </c>
    </row>
    <row r="1559" spans="1:5">
      <c r="A1559" t="s">
        <v>5</v>
      </c>
      <c r="B1559" t="s">
        <v>100</v>
      </c>
      <c r="C1559" s="8">
        <v>46167</v>
      </c>
      <c r="D1559" s="9">
        <v>40217</v>
      </c>
      <c r="E1559">
        <f>MONTH(C1559)</f>
        <v>5</v>
      </c>
    </row>
    <row r="1560" spans="1:5">
      <c r="A1560" t="s">
        <v>4</v>
      </c>
      <c r="B1560" t="s">
        <v>116</v>
      </c>
      <c r="C1560" s="8">
        <v>46168</v>
      </c>
      <c r="D1560" s="9">
        <v>29630</v>
      </c>
      <c r="E1560">
        <f>MONTH(C1560)</f>
        <v>5</v>
      </c>
    </row>
    <row r="1561" spans="1:5">
      <c r="A1561" t="s">
        <v>25</v>
      </c>
      <c r="B1561" t="s">
        <v>102</v>
      </c>
      <c r="C1561" s="8">
        <v>46168</v>
      </c>
      <c r="D1561" s="9">
        <v>10224</v>
      </c>
      <c r="E1561">
        <f>MONTH(C1561)</f>
        <v>5</v>
      </c>
    </row>
    <row r="1562" spans="1:5">
      <c r="A1562" t="s">
        <v>6</v>
      </c>
      <c r="B1562" t="s">
        <v>260</v>
      </c>
      <c r="C1562" s="8">
        <v>46168</v>
      </c>
      <c r="D1562" s="9">
        <v>25560</v>
      </c>
      <c r="E1562">
        <f>MONTH(C1562)</f>
        <v>5</v>
      </c>
    </row>
    <row r="1563" spans="1:5">
      <c r="A1563" t="s">
        <v>6</v>
      </c>
      <c r="B1563" t="s">
        <v>261</v>
      </c>
      <c r="C1563" s="8">
        <v>46168</v>
      </c>
      <c r="D1563" s="9">
        <v>18039</v>
      </c>
      <c r="E1563">
        <f>MONTH(C1563)</f>
        <v>5</v>
      </c>
    </row>
    <row r="1564" spans="1:5">
      <c r="A1564" t="s">
        <v>9</v>
      </c>
      <c r="B1564" t="s">
        <v>209</v>
      </c>
      <c r="C1564" s="8">
        <v>46168</v>
      </c>
      <c r="D1564" s="9">
        <v>43078</v>
      </c>
      <c r="E1564">
        <f>MONTH(C1564)</f>
        <v>5</v>
      </c>
    </row>
    <row r="1565" spans="1:5">
      <c r="A1565" t="s">
        <v>9</v>
      </c>
      <c r="B1565" t="s">
        <v>277</v>
      </c>
      <c r="C1565" s="8">
        <v>46168</v>
      </c>
      <c r="D1565" s="9">
        <v>55709</v>
      </c>
      <c r="E1565">
        <f>MONTH(C1565)</f>
        <v>5</v>
      </c>
    </row>
    <row r="1566" spans="1:5">
      <c r="A1566" t="s">
        <v>5</v>
      </c>
      <c r="B1566" t="s">
        <v>84</v>
      </c>
      <c r="C1566" s="8">
        <v>46168</v>
      </c>
      <c r="D1566" s="9">
        <v>40267</v>
      </c>
      <c r="E1566">
        <f>MONTH(C1566)</f>
        <v>5</v>
      </c>
    </row>
    <row r="1567" spans="1:5">
      <c r="A1567" t="s">
        <v>5</v>
      </c>
      <c r="B1567" t="s">
        <v>277</v>
      </c>
      <c r="C1567" s="8">
        <v>46168</v>
      </c>
      <c r="D1567" s="9">
        <v>48433</v>
      </c>
      <c r="E1567">
        <f>MONTH(C1567)</f>
        <v>5</v>
      </c>
    </row>
    <row r="1568" spans="1:5">
      <c r="A1568" t="s">
        <v>5</v>
      </c>
      <c r="B1568" t="s">
        <v>109</v>
      </c>
      <c r="C1568" s="8">
        <v>46168</v>
      </c>
      <c r="D1568" s="9">
        <v>57626</v>
      </c>
      <c r="E1568">
        <f>MONTH(C1568)</f>
        <v>5</v>
      </c>
    </row>
    <row r="1569" spans="1:5">
      <c r="A1569" t="s">
        <v>4</v>
      </c>
      <c r="B1569" t="s">
        <v>252</v>
      </c>
      <c r="C1569" s="8">
        <v>46169</v>
      </c>
      <c r="D1569" s="9">
        <v>52802</v>
      </c>
      <c r="E1569">
        <f>MONTH(C1569)</f>
        <v>5</v>
      </c>
    </row>
    <row r="1570" spans="1:5">
      <c r="A1570" t="s">
        <v>4</v>
      </c>
      <c r="B1570" t="s">
        <v>127</v>
      </c>
      <c r="C1570" s="8">
        <v>46169</v>
      </c>
      <c r="D1570" s="9">
        <v>38498</v>
      </c>
      <c r="E1570">
        <f>MONTH(C1570)</f>
        <v>5</v>
      </c>
    </row>
    <row r="1571" spans="1:5">
      <c r="A1571" t="s">
        <v>4</v>
      </c>
      <c r="B1571" t="s">
        <v>67</v>
      </c>
      <c r="C1571" s="8">
        <v>46169</v>
      </c>
      <c r="D1571" s="9">
        <v>30987</v>
      </c>
      <c r="E1571">
        <f>MONTH(C1571)</f>
        <v>5</v>
      </c>
    </row>
    <row r="1572" spans="1:5">
      <c r="A1572" t="s">
        <v>25</v>
      </c>
      <c r="B1572" t="s">
        <v>128</v>
      </c>
      <c r="C1572" s="8">
        <v>46169</v>
      </c>
      <c r="D1572" s="9">
        <v>9448</v>
      </c>
      <c r="E1572">
        <f>MONTH(C1572)</f>
        <v>5</v>
      </c>
    </row>
    <row r="1573" spans="1:5">
      <c r="A1573" t="s">
        <v>6</v>
      </c>
      <c r="B1573" t="s">
        <v>227</v>
      </c>
      <c r="C1573" s="8">
        <v>46169</v>
      </c>
      <c r="D1573" s="9">
        <v>33664</v>
      </c>
      <c r="E1573">
        <f>MONTH(C1573)</f>
        <v>5</v>
      </c>
    </row>
    <row r="1574" spans="1:5">
      <c r="A1574" t="s">
        <v>6</v>
      </c>
      <c r="B1574" t="s">
        <v>130</v>
      </c>
      <c r="C1574" s="8">
        <v>46169</v>
      </c>
      <c r="D1574" s="9">
        <v>19631</v>
      </c>
      <c r="E1574">
        <f>MONTH(C1574)</f>
        <v>5</v>
      </c>
    </row>
    <row r="1575" spans="1:5">
      <c r="A1575" t="s">
        <v>29</v>
      </c>
      <c r="B1575" t="s">
        <v>57</v>
      </c>
      <c r="C1575" s="8">
        <v>46169</v>
      </c>
      <c r="D1575" s="9">
        <v>14812</v>
      </c>
      <c r="E1575">
        <f>MONTH(C1575)</f>
        <v>5</v>
      </c>
    </row>
    <row r="1576" spans="1:5">
      <c r="A1576" t="s">
        <v>9</v>
      </c>
      <c r="B1576" t="s">
        <v>197</v>
      </c>
      <c r="C1576" s="8">
        <v>46169</v>
      </c>
      <c r="D1576" s="9">
        <v>27248</v>
      </c>
      <c r="E1576">
        <f>MONTH(C1576)</f>
        <v>5</v>
      </c>
    </row>
    <row r="1577" spans="1:5">
      <c r="A1577" t="s">
        <v>9</v>
      </c>
      <c r="B1577" t="s">
        <v>171</v>
      </c>
      <c r="C1577" s="8">
        <v>46169</v>
      </c>
      <c r="D1577" s="9">
        <v>42021</v>
      </c>
      <c r="E1577">
        <f>MONTH(C1577)</f>
        <v>5</v>
      </c>
    </row>
    <row r="1578" spans="1:5">
      <c r="A1578" t="s">
        <v>9</v>
      </c>
      <c r="B1578" t="s">
        <v>264</v>
      </c>
      <c r="C1578" s="8">
        <v>46169</v>
      </c>
      <c r="D1578" s="9">
        <v>35015</v>
      </c>
      <c r="E1578">
        <f>MONTH(C1578)</f>
        <v>5</v>
      </c>
    </row>
    <row r="1579" spans="1:5">
      <c r="A1579" t="s">
        <v>9</v>
      </c>
      <c r="B1579" t="s">
        <v>172</v>
      </c>
      <c r="C1579" s="8">
        <v>46169</v>
      </c>
      <c r="D1579" s="9">
        <v>43164</v>
      </c>
      <c r="E1579">
        <f>MONTH(C1579)</f>
        <v>5</v>
      </c>
    </row>
    <row r="1580" spans="1:5">
      <c r="A1580" t="s">
        <v>9</v>
      </c>
      <c r="B1580" t="s">
        <v>178</v>
      </c>
      <c r="C1580" s="8">
        <v>46169</v>
      </c>
      <c r="D1580" s="9">
        <v>53313</v>
      </c>
      <c r="E1580">
        <f>MONTH(C1580)</f>
        <v>5</v>
      </c>
    </row>
    <row r="1581" spans="1:5">
      <c r="A1581" t="s">
        <v>9</v>
      </c>
      <c r="B1581" t="s">
        <v>179</v>
      </c>
      <c r="C1581" s="8">
        <v>46169</v>
      </c>
      <c r="D1581" s="9">
        <v>42733</v>
      </c>
      <c r="E1581">
        <f>MONTH(C1581)</f>
        <v>5</v>
      </c>
    </row>
    <row r="1582" spans="1:5">
      <c r="A1582" t="s">
        <v>5</v>
      </c>
      <c r="B1582" t="s">
        <v>72</v>
      </c>
      <c r="C1582" s="8">
        <v>46169</v>
      </c>
      <c r="D1582" s="9">
        <v>54440</v>
      </c>
      <c r="E1582">
        <f>MONTH(C1582)</f>
        <v>5</v>
      </c>
    </row>
    <row r="1583" spans="1:5">
      <c r="A1583" t="s">
        <v>5</v>
      </c>
      <c r="B1583" t="s">
        <v>98</v>
      </c>
      <c r="C1583" s="8">
        <v>46169</v>
      </c>
      <c r="D1583" s="9">
        <v>58523</v>
      </c>
      <c r="E1583">
        <f>MONTH(C1583)</f>
        <v>5</v>
      </c>
    </row>
    <row r="1584" spans="1:5">
      <c r="A1584" t="s">
        <v>5</v>
      </c>
      <c r="B1584" t="s">
        <v>74</v>
      </c>
      <c r="C1584" s="8">
        <v>46169</v>
      </c>
      <c r="D1584" s="9">
        <v>38070</v>
      </c>
      <c r="E1584">
        <f>MONTH(C1584)</f>
        <v>5</v>
      </c>
    </row>
    <row r="1585" spans="1:5">
      <c r="A1585" t="s">
        <v>27</v>
      </c>
      <c r="B1585" t="s">
        <v>125</v>
      </c>
      <c r="C1585" s="8">
        <v>46170</v>
      </c>
      <c r="D1585" s="9">
        <v>10062</v>
      </c>
      <c r="E1585">
        <f>MONTH(C1585)</f>
        <v>5</v>
      </c>
    </row>
    <row r="1586" spans="1:5">
      <c r="A1586" t="s">
        <v>4</v>
      </c>
      <c r="B1586" t="s">
        <v>60</v>
      </c>
      <c r="C1586" s="8">
        <v>46170</v>
      </c>
      <c r="D1586" s="9">
        <v>19442</v>
      </c>
      <c r="E1586">
        <f>MONTH(C1586)</f>
        <v>5</v>
      </c>
    </row>
    <row r="1587" spans="1:5">
      <c r="A1587" t="s">
        <v>4</v>
      </c>
      <c r="B1587" t="s">
        <v>240</v>
      </c>
      <c r="C1587" s="8">
        <v>46170</v>
      </c>
      <c r="D1587" s="9">
        <v>26504</v>
      </c>
      <c r="E1587">
        <f>MONTH(C1587)</f>
        <v>5</v>
      </c>
    </row>
    <row r="1588" spans="1:5">
      <c r="A1588" t="s">
        <v>4</v>
      </c>
      <c r="B1588" t="s">
        <v>160</v>
      </c>
      <c r="C1588" s="8">
        <v>46170</v>
      </c>
      <c r="D1588" s="9">
        <v>28253</v>
      </c>
      <c r="E1588">
        <f>MONTH(C1588)</f>
        <v>5</v>
      </c>
    </row>
    <row r="1589" spans="1:5">
      <c r="A1589" t="s">
        <v>31</v>
      </c>
      <c r="B1589" t="s">
        <v>48</v>
      </c>
      <c r="C1589" s="8">
        <v>46170</v>
      </c>
      <c r="D1589" s="9">
        <v>11879</v>
      </c>
      <c r="E1589">
        <f>MONTH(C1589)</f>
        <v>5</v>
      </c>
    </row>
    <row r="1590" spans="1:5">
      <c r="A1590" t="s">
        <v>25</v>
      </c>
      <c r="B1590" t="s">
        <v>117</v>
      </c>
      <c r="C1590" s="8">
        <v>46170</v>
      </c>
      <c r="D1590" s="9">
        <v>18495</v>
      </c>
      <c r="E1590">
        <f>MONTH(C1590)</f>
        <v>5</v>
      </c>
    </row>
    <row r="1591" spans="1:5">
      <c r="A1591" t="s">
        <v>25</v>
      </c>
      <c r="B1591" t="s">
        <v>228</v>
      </c>
      <c r="C1591" s="8">
        <v>46170</v>
      </c>
      <c r="D1591" s="9">
        <v>12759</v>
      </c>
      <c r="E1591">
        <f>MONTH(C1591)</f>
        <v>5</v>
      </c>
    </row>
    <row r="1592" spans="1:5">
      <c r="A1592" t="s">
        <v>8</v>
      </c>
      <c r="B1592" t="s">
        <v>216</v>
      </c>
      <c r="C1592" s="8">
        <v>46170</v>
      </c>
      <c r="D1592" s="9">
        <v>11766</v>
      </c>
      <c r="E1592">
        <f>MONTH(C1592)</f>
        <v>5</v>
      </c>
    </row>
    <row r="1593" spans="1:5">
      <c r="A1593" t="s">
        <v>8</v>
      </c>
      <c r="B1593" t="s">
        <v>225</v>
      </c>
      <c r="C1593" s="8">
        <v>46170</v>
      </c>
      <c r="D1593" s="9">
        <v>11460</v>
      </c>
      <c r="E1593">
        <f>MONTH(C1593)</f>
        <v>5</v>
      </c>
    </row>
    <row r="1594" spans="1:5">
      <c r="A1594" t="s">
        <v>6</v>
      </c>
      <c r="B1594" t="s">
        <v>192</v>
      </c>
      <c r="C1594" s="8">
        <v>46170</v>
      </c>
      <c r="D1594" s="9">
        <v>18707</v>
      </c>
      <c r="E1594">
        <f>MONTH(C1594)</f>
        <v>5</v>
      </c>
    </row>
    <row r="1595" spans="1:5">
      <c r="A1595" t="s">
        <v>29</v>
      </c>
      <c r="B1595" t="s">
        <v>155</v>
      </c>
      <c r="C1595" s="8">
        <v>46170</v>
      </c>
      <c r="D1595" s="9">
        <v>11211</v>
      </c>
      <c r="E1595">
        <f>MONTH(C1595)</f>
        <v>5</v>
      </c>
    </row>
    <row r="1596" spans="1:5">
      <c r="A1596" t="s">
        <v>7</v>
      </c>
      <c r="B1596" t="s">
        <v>249</v>
      </c>
      <c r="C1596" s="8">
        <v>46170</v>
      </c>
      <c r="D1596" s="9">
        <v>18180</v>
      </c>
      <c r="E1596">
        <f>MONTH(C1596)</f>
        <v>5</v>
      </c>
    </row>
    <row r="1597" spans="1:5">
      <c r="A1597" t="s">
        <v>5</v>
      </c>
      <c r="B1597" t="s">
        <v>183</v>
      </c>
      <c r="C1597" s="8">
        <v>46170</v>
      </c>
      <c r="D1597" s="9">
        <v>66138</v>
      </c>
      <c r="E1597">
        <f>MONTH(C1597)</f>
        <v>5</v>
      </c>
    </row>
    <row r="1598" spans="1:5">
      <c r="A1598" t="s">
        <v>4</v>
      </c>
      <c r="B1598" t="s">
        <v>75</v>
      </c>
      <c r="C1598" s="8">
        <v>46171</v>
      </c>
      <c r="D1598" s="9">
        <v>18942</v>
      </c>
      <c r="E1598">
        <f>MONTH(C1598)</f>
        <v>5</v>
      </c>
    </row>
    <row r="1599" spans="1:5">
      <c r="A1599" t="s">
        <v>4</v>
      </c>
      <c r="B1599" t="s">
        <v>181</v>
      </c>
      <c r="C1599" s="8">
        <v>46171</v>
      </c>
      <c r="D1599" s="9">
        <v>27127</v>
      </c>
      <c r="E1599">
        <f>MONTH(C1599)</f>
        <v>5</v>
      </c>
    </row>
    <row r="1600" spans="1:5">
      <c r="A1600" t="s">
        <v>4</v>
      </c>
      <c r="B1600" t="s">
        <v>223</v>
      </c>
      <c r="C1600" s="8">
        <v>46171</v>
      </c>
      <c r="D1600" s="9">
        <v>33932</v>
      </c>
      <c r="E1600">
        <f>MONTH(C1600)</f>
        <v>5</v>
      </c>
    </row>
    <row r="1601" spans="1:5">
      <c r="A1601" t="s">
        <v>25</v>
      </c>
      <c r="B1601" t="s">
        <v>59</v>
      </c>
      <c r="C1601" s="8">
        <v>46171</v>
      </c>
      <c r="D1601" s="9">
        <v>13107</v>
      </c>
      <c r="E1601">
        <f>MONTH(C1601)</f>
        <v>5</v>
      </c>
    </row>
    <row r="1602" spans="1:5">
      <c r="A1602" t="s">
        <v>7</v>
      </c>
      <c r="B1602" t="s">
        <v>122</v>
      </c>
      <c r="C1602" s="8">
        <v>46171</v>
      </c>
      <c r="D1602" s="9">
        <v>5821</v>
      </c>
      <c r="E1602">
        <f>MONTH(C1602)</f>
        <v>5</v>
      </c>
    </row>
    <row r="1603" spans="1:5">
      <c r="A1603" t="s">
        <v>9</v>
      </c>
      <c r="B1603" t="s">
        <v>111</v>
      </c>
      <c r="C1603" s="8">
        <v>46171</v>
      </c>
      <c r="D1603" s="9">
        <v>21867</v>
      </c>
      <c r="E1603">
        <f>MONTH(C1603)</f>
        <v>5</v>
      </c>
    </row>
    <row r="1604" spans="1:5">
      <c r="A1604" t="s">
        <v>9</v>
      </c>
      <c r="B1604" t="s">
        <v>91</v>
      </c>
      <c r="C1604" s="8">
        <v>46171</v>
      </c>
      <c r="D1604" s="9">
        <v>24535</v>
      </c>
      <c r="E1604">
        <f>MONTH(C1604)</f>
        <v>5</v>
      </c>
    </row>
    <row r="1605" spans="1:5">
      <c r="A1605" t="s">
        <v>9</v>
      </c>
      <c r="B1605" t="s">
        <v>148</v>
      </c>
      <c r="C1605" s="8">
        <v>46171</v>
      </c>
      <c r="D1605" s="9">
        <v>55803</v>
      </c>
      <c r="E1605">
        <f>MONTH(C1605)</f>
        <v>5</v>
      </c>
    </row>
    <row r="1606" spans="1:5">
      <c r="A1606" t="s">
        <v>9</v>
      </c>
      <c r="B1606" t="s">
        <v>158</v>
      </c>
      <c r="C1606" s="8">
        <v>46171</v>
      </c>
      <c r="D1606" s="9">
        <v>47436</v>
      </c>
      <c r="E1606">
        <f>MONTH(C1606)</f>
        <v>5</v>
      </c>
    </row>
    <row r="1607" spans="1:5">
      <c r="A1607" t="s">
        <v>5</v>
      </c>
      <c r="B1607" t="s">
        <v>72</v>
      </c>
      <c r="C1607" s="8">
        <v>46171</v>
      </c>
      <c r="D1607" s="9">
        <v>36786</v>
      </c>
      <c r="E1607">
        <f>MONTH(C1607)</f>
        <v>5</v>
      </c>
    </row>
    <row r="1608" spans="1:5">
      <c r="A1608" t="s">
        <v>5</v>
      </c>
      <c r="B1608" t="s">
        <v>74</v>
      </c>
      <c r="C1608" s="8">
        <v>46171</v>
      </c>
      <c r="D1608" s="9">
        <v>50178</v>
      </c>
      <c r="E1608">
        <f>MONTH(C1608)</f>
        <v>5</v>
      </c>
    </row>
    <row r="1609" spans="1:5">
      <c r="A1609" t="s">
        <v>5</v>
      </c>
      <c r="B1609" t="s">
        <v>277</v>
      </c>
      <c r="C1609" s="8">
        <v>46171</v>
      </c>
      <c r="D1609" s="9">
        <v>49561</v>
      </c>
      <c r="E1609">
        <f>MONTH(C1609)</f>
        <v>5</v>
      </c>
    </row>
    <row r="1610" spans="1:5">
      <c r="A1610" t="s">
        <v>30</v>
      </c>
      <c r="B1610" t="s">
        <v>112</v>
      </c>
      <c r="C1610" s="8">
        <v>46172</v>
      </c>
      <c r="D1610" s="9">
        <v>11250</v>
      </c>
      <c r="E1610">
        <f>MONTH(C1610)</f>
        <v>5</v>
      </c>
    </row>
    <row r="1611" spans="1:5">
      <c r="A1611" t="s">
        <v>8</v>
      </c>
      <c r="B1611" t="s">
        <v>129</v>
      </c>
      <c r="C1611" s="8">
        <v>46172</v>
      </c>
      <c r="D1611" s="9">
        <v>14784</v>
      </c>
      <c r="E1611">
        <f>MONTH(C1611)</f>
        <v>5</v>
      </c>
    </row>
    <row r="1612" spans="1:5">
      <c r="A1612" t="s">
        <v>7</v>
      </c>
      <c r="B1612" t="s">
        <v>243</v>
      </c>
      <c r="C1612" s="8">
        <v>46172</v>
      </c>
      <c r="D1612" s="9">
        <v>5200</v>
      </c>
      <c r="E1612">
        <f>MONTH(C1612)</f>
        <v>5</v>
      </c>
    </row>
    <row r="1613" spans="1:5">
      <c r="A1613" t="s">
        <v>7</v>
      </c>
      <c r="B1613" t="s">
        <v>142</v>
      </c>
      <c r="C1613" s="8">
        <v>46172</v>
      </c>
      <c r="D1613" s="9">
        <v>45238</v>
      </c>
      <c r="E1613">
        <f>MONTH(C1613)</f>
        <v>5</v>
      </c>
    </row>
    <row r="1614" spans="1:5">
      <c r="A1614" t="s">
        <v>9</v>
      </c>
      <c r="B1614" t="s">
        <v>235</v>
      </c>
      <c r="C1614" s="8">
        <v>46172</v>
      </c>
      <c r="D1614" s="9">
        <v>33851</v>
      </c>
      <c r="E1614">
        <f>MONTH(C1614)</f>
        <v>5</v>
      </c>
    </row>
    <row r="1615" spans="1:5">
      <c r="A1615" t="s">
        <v>9</v>
      </c>
      <c r="B1615" t="s">
        <v>276</v>
      </c>
      <c r="C1615" s="8">
        <v>46172</v>
      </c>
      <c r="D1615" s="9">
        <v>37298</v>
      </c>
      <c r="E1615">
        <f>MONTH(C1615)</f>
        <v>5</v>
      </c>
    </row>
    <row r="1616" spans="1:5">
      <c r="A1616" t="s">
        <v>5</v>
      </c>
      <c r="B1616" t="s">
        <v>167</v>
      </c>
      <c r="C1616" s="8">
        <v>46172</v>
      </c>
      <c r="D1616" s="9">
        <v>33965</v>
      </c>
      <c r="E1616">
        <f>MONTH(C1616)</f>
        <v>5</v>
      </c>
    </row>
    <row r="1617" spans="1:5">
      <c r="A1617" t="s">
        <v>5</v>
      </c>
      <c r="B1617" t="s">
        <v>182</v>
      </c>
      <c r="C1617" s="8">
        <v>46172</v>
      </c>
      <c r="D1617" s="9">
        <v>46802</v>
      </c>
      <c r="E1617">
        <f>MONTH(C1617)</f>
        <v>5</v>
      </c>
    </row>
    <row r="1618" spans="1:5">
      <c r="A1618" t="s">
        <v>5</v>
      </c>
      <c r="B1618" t="s">
        <v>251</v>
      </c>
      <c r="C1618" s="8">
        <v>46172</v>
      </c>
      <c r="D1618" s="9">
        <v>43638</v>
      </c>
      <c r="E1618">
        <f>MONTH(C1618)</f>
        <v>5</v>
      </c>
    </row>
    <row r="1619" spans="1:5">
      <c r="A1619" t="s">
        <v>5</v>
      </c>
      <c r="B1619" t="s">
        <v>74</v>
      </c>
      <c r="C1619" s="8">
        <v>46172</v>
      </c>
      <c r="D1619" s="9">
        <v>35798</v>
      </c>
      <c r="E1619">
        <f>MONTH(C1619)</f>
        <v>5</v>
      </c>
    </row>
    <row r="1620" spans="1:5">
      <c r="A1620" t="s">
        <v>5</v>
      </c>
      <c r="B1620" t="s">
        <v>101</v>
      </c>
      <c r="C1620" s="8">
        <v>46172</v>
      </c>
      <c r="D1620" s="9">
        <v>29199</v>
      </c>
      <c r="E1620">
        <f>MONTH(C1620)</f>
        <v>5</v>
      </c>
    </row>
    <row r="1621" spans="1:5">
      <c r="A1621" t="s">
        <v>5</v>
      </c>
      <c r="B1621" t="s">
        <v>93</v>
      </c>
      <c r="C1621" s="8">
        <v>46172</v>
      </c>
      <c r="D1621" s="9">
        <v>52219</v>
      </c>
      <c r="E1621">
        <f>MONTH(C1621)</f>
        <v>5</v>
      </c>
    </row>
    <row r="1622" spans="1:5">
      <c r="A1622" t="s">
        <v>5</v>
      </c>
      <c r="B1622" t="s">
        <v>212</v>
      </c>
      <c r="C1622" s="8">
        <v>46172</v>
      </c>
      <c r="D1622" s="9">
        <v>36074</v>
      </c>
      <c r="E1622">
        <f>MONTH(C1622)</f>
        <v>5</v>
      </c>
    </row>
    <row r="1623" spans="1:5">
      <c r="A1623" t="s">
        <v>27</v>
      </c>
      <c r="B1623" t="s">
        <v>236</v>
      </c>
      <c r="C1623" s="8">
        <v>46173</v>
      </c>
      <c r="D1623" s="9">
        <v>10615</v>
      </c>
      <c r="E1623">
        <f>MONTH(C1623)</f>
        <v>5</v>
      </c>
    </row>
    <row r="1624" spans="1:5">
      <c r="A1624" t="s">
        <v>4</v>
      </c>
      <c r="B1624" t="s">
        <v>134</v>
      </c>
      <c r="C1624" s="8">
        <v>46173</v>
      </c>
      <c r="D1624" s="9">
        <v>37306</v>
      </c>
      <c r="E1624">
        <f>MONTH(C1624)</f>
        <v>5</v>
      </c>
    </row>
    <row r="1625" spans="1:5">
      <c r="A1625" t="s">
        <v>25</v>
      </c>
      <c r="B1625" t="s">
        <v>55</v>
      </c>
      <c r="C1625" s="8">
        <v>46173</v>
      </c>
      <c r="D1625" s="9">
        <v>16988</v>
      </c>
      <c r="E1625">
        <f>MONTH(C1625)</f>
        <v>5</v>
      </c>
    </row>
    <row r="1626" spans="1:5">
      <c r="A1626" t="s">
        <v>26</v>
      </c>
      <c r="B1626" t="s">
        <v>138</v>
      </c>
      <c r="C1626" s="8">
        <v>46173</v>
      </c>
      <c r="D1626" s="9">
        <v>13351</v>
      </c>
      <c r="E1626">
        <f>MONTH(C1626)</f>
        <v>5</v>
      </c>
    </row>
    <row r="1627" spans="1:5">
      <c r="A1627" t="s">
        <v>26</v>
      </c>
      <c r="B1627" t="s">
        <v>257</v>
      </c>
      <c r="C1627" s="8">
        <v>46173</v>
      </c>
      <c r="D1627" s="9">
        <v>24303</v>
      </c>
      <c r="E1627">
        <f>MONTH(C1627)</f>
        <v>5</v>
      </c>
    </row>
    <row r="1628" spans="1:5">
      <c r="A1628" t="s">
        <v>30</v>
      </c>
      <c r="B1628" t="s">
        <v>139</v>
      </c>
      <c r="C1628" s="8">
        <v>46173</v>
      </c>
      <c r="D1628" s="9">
        <v>13841</v>
      </c>
      <c r="E1628">
        <f>MONTH(C1628)</f>
        <v>5</v>
      </c>
    </row>
    <row r="1629" spans="1:5">
      <c r="A1629" t="s">
        <v>5</v>
      </c>
      <c r="B1629" t="s">
        <v>239</v>
      </c>
      <c r="C1629" s="8">
        <v>46173</v>
      </c>
      <c r="D1629" s="9">
        <v>27345</v>
      </c>
      <c r="E1629">
        <f>MONTH(C1629)</f>
        <v>5</v>
      </c>
    </row>
    <row r="1630" spans="1:5">
      <c r="A1630" t="s">
        <v>5</v>
      </c>
      <c r="B1630" t="s">
        <v>98</v>
      </c>
      <c r="C1630" s="8">
        <v>46173</v>
      </c>
      <c r="D1630" s="9">
        <v>47283</v>
      </c>
      <c r="E1630">
        <f>MONTH(C1630)</f>
        <v>5</v>
      </c>
    </row>
    <row r="1631" spans="1:5">
      <c r="A1631" t="s">
        <v>5</v>
      </c>
      <c r="B1631" t="s">
        <v>123</v>
      </c>
      <c r="C1631" s="8">
        <v>46173</v>
      </c>
      <c r="D1631" s="9">
        <v>42169</v>
      </c>
      <c r="E1631">
        <f>MONTH(C1631)</f>
        <v>5</v>
      </c>
    </row>
    <row r="1632" spans="1:5">
      <c r="A1632" t="s">
        <v>5</v>
      </c>
      <c r="B1632" t="s">
        <v>74</v>
      </c>
      <c r="C1632" s="8">
        <v>46173</v>
      </c>
      <c r="D1632" s="9">
        <v>43132</v>
      </c>
      <c r="E1632">
        <f>MONTH(C1632)</f>
        <v>5</v>
      </c>
    </row>
    <row r="1633" spans="1:5">
      <c r="A1633" t="s">
        <v>5</v>
      </c>
      <c r="B1633" t="s">
        <v>107</v>
      </c>
      <c r="C1633" s="8">
        <v>46173</v>
      </c>
      <c r="D1633" s="9">
        <v>58834</v>
      </c>
      <c r="E1633">
        <f>MONTH(C1633)</f>
        <v>5</v>
      </c>
    </row>
    <row r="1634" spans="1:5">
      <c r="A1634" t="s">
        <v>4</v>
      </c>
      <c r="B1634" t="s">
        <v>136</v>
      </c>
      <c r="C1634" s="8">
        <v>46174</v>
      </c>
      <c r="D1634" s="9">
        <v>7441</v>
      </c>
      <c r="E1634">
        <f>MONTH(C1634)</f>
        <v>6</v>
      </c>
    </row>
    <row r="1635" spans="1:5">
      <c r="A1635" t="s">
        <v>4</v>
      </c>
      <c r="B1635" t="s">
        <v>241</v>
      </c>
      <c r="C1635" s="8">
        <v>46174</v>
      </c>
      <c r="D1635" s="9">
        <v>28805</v>
      </c>
      <c r="E1635">
        <f>MONTH(C1635)</f>
        <v>6</v>
      </c>
    </row>
    <row r="1636" spans="1:5">
      <c r="A1636" t="s">
        <v>4</v>
      </c>
      <c r="B1636" t="s">
        <v>67</v>
      </c>
      <c r="C1636" s="8">
        <v>46174</v>
      </c>
      <c r="D1636" s="9">
        <v>28645</v>
      </c>
      <c r="E1636">
        <f>MONTH(C1636)</f>
        <v>6</v>
      </c>
    </row>
    <row r="1637" spans="1:5">
      <c r="A1637" t="s">
        <v>4</v>
      </c>
      <c r="B1637" t="s">
        <v>50</v>
      </c>
      <c r="C1637" s="8">
        <v>46174</v>
      </c>
      <c r="D1637" s="9">
        <v>23409</v>
      </c>
      <c r="E1637">
        <f>MONTH(C1637)</f>
        <v>6</v>
      </c>
    </row>
    <row r="1638" spans="1:5">
      <c r="A1638" t="s">
        <v>26</v>
      </c>
      <c r="B1638" t="s">
        <v>119</v>
      </c>
      <c r="C1638" s="8">
        <v>46174</v>
      </c>
      <c r="D1638" s="9">
        <v>23606</v>
      </c>
      <c r="E1638">
        <f>MONTH(C1638)</f>
        <v>6</v>
      </c>
    </row>
    <row r="1639" spans="1:5">
      <c r="A1639" t="s">
        <v>26</v>
      </c>
      <c r="B1639" t="s">
        <v>236</v>
      </c>
      <c r="C1639" s="8">
        <v>46174</v>
      </c>
      <c r="D1639" s="9">
        <v>12253</v>
      </c>
      <c r="E1639">
        <f>MONTH(C1639)</f>
        <v>6</v>
      </c>
    </row>
    <row r="1640" spans="1:5">
      <c r="A1640" t="s">
        <v>8</v>
      </c>
      <c r="B1640" t="s">
        <v>207</v>
      </c>
      <c r="C1640" s="8">
        <v>46174</v>
      </c>
      <c r="D1640" s="9">
        <v>5994</v>
      </c>
      <c r="E1640">
        <f>MONTH(C1640)</f>
        <v>6</v>
      </c>
    </row>
    <row r="1641" spans="1:5">
      <c r="A1641" t="s">
        <v>7</v>
      </c>
      <c r="B1641" t="s">
        <v>165</v>
      </c>
      <c r="C1641" s="8">
        <v>46174</v>
      </c>
      <c r="D1641" s="9">
        <v>29316</v>
      </c>
      <c r="E1641">
        <f>MONTH(C1641)</f>
        <v>6</v>
      </c>
    </row>
    <row r="1642" spans="1:5">
      <c r="A1642" t="s">
        <v>9</v>
      </c>
      <c r="B1642" t="s">
        <v>82</v>
      </c>
      <c r="C1642" s="8">
        <v>46174</v>
      </c>
      <c r="D1642" s="9">
        <v>26536</v>
      </c>
      <c r="E1642">
        <f>MONTH(C1642)</f>
        <v>6</v>
      </c>
    </row>
    <row r="1643" spans="1:5">
      <c r="A1643" t="s">
        <v>5</v>
      </c>
      <c r="B1643" t="s">
        <v>251</v>
      </c>
      <c r="C1643" s="8">
        <v>46174</v>
      </c>
      <c r="D1643" s="9">
        <v>41012</v>
      </c>
      <c r="E1643">
        <f>MONTH(C1643)</f>
        <v>6</v>
      </c>
    </row>
    <row r="1644" spans="1:5">
      <c r="A1644" t="s">
        <v>5</v>
      </c>
      <c r="B1644" t="s">
        <v>270</v>
      </c>
      <c r="C1644" s="8">
        <v>46174</v>
      </c>
      <c r="D1644" s="9">
        <v>50509</v>
      </c>
      <c r="E1644">
        <f>MONTH(C1644)</f>
        <v>6</v>
      </c>
    </row>
    <row r="1645" spans="1:5">
      <c r="A1645" t="s">
        <v>5</v>
      </c>
      <c r="B1645" t="s">
        <v>172</v>
      </c>
      <c r="C1645" s="8">
        <v>46174</v>
      </c>
      <c r="D1645" s="9">
        <v>29414</v>
      </c>
      <c r="E1645">
        <f>MONTH(C1645)</f>
        <v>6</v>
      </c>
    </row>
    <row r="1646" spans="1:5">
      <c r="A1646" t="s">
        <v>5</v>
      </c>
      <c r="B1646" t="s">
        <v>58</v>
      </c>
      <c r="C1646" s="8">
        <v>46174</v>
      </c>
      <c r="D1646" s="9">
        <v>52499</v>
      </c>
      <c r="E1646">
        <f>MONTH(C1646)</f>
        <v>6</v>
      </c>
    </row>
    <row r="1647" spans="1:5">
      <c r="A1647" t="s">
        <v>5</v>
      </c>
      <c r="B1647" t="s">
        <v>189</v>
      </c>
      <c r="C1647" s="8">
        <v>46174</v>
      </c>
      <c r="D1647" s="9">
        <v>49954</v>
      </c>
      <c r="E1647">
        <f>MONTH(C1647)</f>
        <v>6</v>
      </c>
    </row>
    <row r="1648" spans="1:5">
      <c r="A1648" t="s">
        <v>4</v>
      </c>
      <c r="B1648" t="s">
        <v>126</v>
      </c>
      <c r="C1648" s="8">
        <v>46175</v>
      </c>
      <c r="D1648" s="9">
        <v>28690</v>
      </c>
      <c r="E1648">
        <f>MONTH(C1648)</f>
        <v>6</v>
      </c>
    </row>
    <row r="1649" spans="1:5">
      <c r="A1649" t="s">
        <v>25</v>
      </c>
      <c r="B1649" t="s">
        <v>128</v>
      </c>
      <c r="C1649" s="8">
        <v>46175</v>
      </c>
      <c r="D1649" s="9">
        <v>26665</v>
      </c>
      <c r="E1649">
        <f>MONTH(C1649)</f>
        <v>6</v>
      </c>
    </row>
    <row r="1650" spans="1:5">
      <c r="A1650" t="s">
        <v>30</v>
      </c>
      <c r="B1650" t="s">
        <v>63</v>
      </c>
      <c r="C1650" s="8">
        <v>46175</v>
      </c>
      <c r="D1650" s="9">
        <v>12067</v>
      </c>
      <c r="E1650">
        <f>MONTH(C1650)</f>
        <v>6</v>
      </c>
    </row>
    <row r="1651" spans="1:5">
      <c r="A1651" t="s">
        <v>5</v>
      </c>
      <c r="B1651" t="s">
        <v>98</v>
      </c>
      <c r="C1651" s="8">
        <v>46175</v>
      </c>
      <c r="D1651" s="9">
        <v>45181</v>
      </c>
      <c r="E1651">
        <f>MONTH(C1651)</f>
        <v>6</v>
      </c>
    </row>
    <row r="1652" spans="1:5">
      <c r="A1652" t="s">
        <v>5</v>
      </c>
      <c r="B1652" t="s">
        <v>107</v>
      </c>
      <c r="C1652" s="8">
        <v>46175</v>
      </c>
      <c r="D1652" s="9">
        <v>39611</v>
      </c>
      <c r="E1652">
        <f>MONTH(C1652)</f>
        <v>6</v>
      </c>
    </row>
    <row r="1653" spans="1:5">
      <c r="A1653" t="s">
        <v>5</v>
      </c>
      <c r="B1653" t="s">
        <v>108</v>
      </c>
      <c r="C1653" s="8">
        <v>46175</v>
      </c>
      <c r="D1653" s="9">
        <v>43317</v>
      </c>
      <c r="E1653">
        <f>MONTH(C1653)</f>
        <v>6</v>
      </c>
    </row>
    <row r="1654" spans="1:5">
      <c r="A1654" t="s">
        <v>27</v>
      </c>
      <c r="B1654" t="s">
        <v>184</v>
      </c>
      <c r="C1654" s="8">
        <v>46176</v>
      </c>
      <c r="D1654" s="9">
        <v>23862</v>
      </c>
      <c r="E1654">
        <f>MONTH(C1654)</f>
        <v>6</v>
      </c>
    </row>
    <row r="1655" spans="1:5">
      <c r="A1655" t="s">
        <v>8</v>
      </c>
      <c r="B1655" t="s">
        <v>237</v>
      </c>
      <c r="C1655" s="8">
        <v>46176</v>
      </c>
      <c r="D1655" s="9">
        <v>27576</v>
      </c>
      <c r="E1655">
        <f>MONTH(C1655)</f>
        <v>6</v>
      </c>
    </row>
    <row r="1656" spans="1:5">
      <c r="A1656" t="s">
        <v>8</v>
      </c>
      <c r="B1656" t="s">
        <v>147</v>
      </c>
      <c r="C1656" s="8">
        <v>46176</v>
      </c>
      <c r="D1656" s="9">
        <v>15970</v>
      </c>
      <c r="E1656">
        <f>MONTH(C1656)</f>
        <v>6</v>
      </c>
    </row>
    <row r="1657" spans="1:5">
      <c r="A1657" t="s">
        <v>6</v>
      </c>
      <c r="B1657" t="s">
        <v>274</v>
      </c>
      <c r="C1657" s="8">
        <v>46176</v>
      </c>
      <c r="D1657" s="9">
        <v>23057</v>
      </c>
      <c r="E1657">
        <f>MONTH(C1657)</f>
        <v>6</v>
      </c>
    </row>
    <row r="1658" spans="1:5">
      <c r="A1658" t="s">
        <v>6</v>
      </c>
      <c r="B1658" t="s">
        <v>120</v>
      </c>
      <c r="C1658" s="8">
        <v>46176</v>
      </c>
      <c r="D1658" s="9">
        <v>13754</v>
      </c>
      <c r="E1658">
        <f>MONTH(C1658)</f>
        <v>6</v>
      </c>
    </row>
    <row r="1659" spans="1:5">
      <c r="A1659" t="s">
        <v>7</v>
      </c>
      <c r="B1659" t="s">
        <v>65</v>
      </c>
      <c r="C1659" s="8">
        <v>46176</v>
      </c>
      <c r="D1659" s="9">
        <v>7447</v>
      </c>
      <c r="E1659">
        <f>MONTH(C1659)</f>
        <v>6</v>
      </c>
    </row>
    <row r="1660" spans="1:5">
      <c r="A1660" t="s">
        <v>9</v>
      </c>
      <c r="B1660" t="s">
        <v>187</v>
      </c>
      <c r="C1660" s="8">
        <v>46176</v>
      </c>
      <c r="D1660" s="9">
        <v>45202</v>
      </c>
      <c r="E1660">
        <f>MONTH(C1660)</f>
        <v>6</v>
      </c>
    </row>
    <row r="1661" spans="1:5">
      <c r="A1661" t="s">
        <v>5</v>
      </c>
      <c r="B1661" t="s">
        <v>167</v>
      </c>
      <c r="C1661" s="8">
        <v>46176</v>
      </c>
      <c r="D1661" s="9">
        <v>27631</v>
      </c>
      <c r="E1661">
        <f>MONTH(C1661)</f>
        <v>6</v>
      </c>
    </row>
    <row r="1662" spans="1:5">
      <c r="A1662" t="s">
        <v>5</v>
      </c>
      <c r="B1662" t="s">
        <v>99</v>
      </c>
      <c r="C1662" s="8">
        <v>46176</v>
      </c>
      <c r="D1662" s="9">
        <v>39205</v>
      </c>
      <c r="E1662">
        <f>MONTH(C1662)</f>
        <v>6</v>
      </c>
    </row>
    <row r="1663" spans="1:5">
      <c r="A1663" t="s">
        <v>5</v>
      </c>
      <c r="B1663" t="s">
        <v>115</v>
      </c>
      <c r="C1663" s="8">
        <v>46176</v>
      </c>
      <c r="D1663" s="9">
        <v>36543</v>
      </c>
      <c r="E1663">
        <f>MONTH(C1663)</f>
        <v>6</v>
      </c>
    </row>
    <row r="1664" spans="1:5">
      <c r="A1664" t="s">
        <v>38</v>
      </c>
      <c r="B1664" t="s">
        <v>110</v>
      </c>
      <c r="C1664" s="8">
        <v>46177</v>
      </c>
      <c r="D1664" s="9">
        <v>11863</v>
      </c>
      <c r="E1664">
        <f>MONTH(C1664)</f>
        <v>6</v>
      </c>
    </row>
    <row r="1665" spans="1:5">
      <c r="A1665" t="s">
        <v>4</v>
      </c>
      <c r="B1665" t="s">
        <v>98</v>
      </c>
      <c r="C1665" s="8">
        <v>46177</v>
      </c>
      <c r="D1665" s="9">
        <v>37521</v>
      </c>
      <c r="E1665">
        <f>MONTH(C1665)</f>
        <v>6</v>
      </c>
    </row>
    <row r="1666" spans="1:5">
      <c r="A1666" t="s">
        <v>28</v>
      </c>
      <c r="B1666" t="s">
        <v>161</v>
      </c>
      <c r="C1666" s="8">
        <v>46177</v>
      </c>
      <c r="D1666" s="9">
        <v>9540</v>
      </c>
      <c r="E1666">
        <f>MONTH(C1666)</f>
        <v>6</v>
      </c>
    </row>
    <row r="1667" spans="1:5">
      <c r="A1667" t="s">
        <v>28</v>
      </c>
      <c r="B1667" t="s">
        <v>174</v>
      </c>
      <c r="C1667" s="8">
        <v>46177</v>
      </c>
      <c r="D1667" s="9">
        <v>18253</v>
      </c>
      <c r="E1667">
        <f>MONTH(C1667)</f>
        <v>6</v>
      </c>
    </row>
    <row r="1668" spans="1:5">
      <c r="A1668" t="s">
        <v>6</v>
      </c>
      <c r="B1668" t="s">
        <v>103</v>
      </c>
      <c r="C1668" s="8">
        <v>46177</v>
      </c>
      <c r="D1668" s="9">
        <v>9907</v>
      </c>
      <c r="E1668">
        <f>MONTH(C1668)</f>
        <v>6</v>
      </c>
    </row>
    <row r="1669" spans="1:5">
      <c r="A1669" t="s">
        <v>29</v>
      </c>
      <c r="B1669" t="s">
        <v>279</v>
      </c>
      <c r="C1669" s="8">
        <v>46177</v>
      </c>
      <c r="D1669" s="9">
        <v>13729</v>
      </c>
      <c r="E1669">
        <f>MONTH(C1669)</f>
        <v>6</v>
      </c>
    </row>
    <row r="1670" spans="1:5">
      <c r="A1670" t="s">
        <v>7</v>
      </c>
      <c r="B1670" t="s">
        <v>243</v>
      </c>
      <c r="C1670" s="8">
        <v>46177</v>
      </c>
      <c r="D1670" s="9">
        <v>39873</v>
      </c>
      <c r="E1670">
        <f>MONTH(C1670)</f>
        <v>6</v>
      </c>
    </row>
    <row r="1671" spans="1:5">
      <c r="A1671" t="s">
        <v>7</v>
      </c>
      <c r="B1671" t="s">
        <v>105</v>
      </c>
      <c r="C1671" s="8">
        <v>46177</v>
      </c>
      <c r="D1671" s="9">
        <v>24023</v>
      </c>
      <c r="E1671">
        <f>MONTH(C1671)</f>
        <v>6</v>
      </c>
    </row>
    <row r="1672" spans="1:5">
      <c r="A1672" t="s">
        <v>7</v>
      </c>
      <c r="B1672" t="s">
        <v>47</v>
      </c>
      <c r="C1672" s="8">
        <v>46177</v>
      </c>
      <c r="D1672" s="9">
        <v>21019</v>
      </c>
      <c r="E1672">
        <f>MONTH(C1672)</f>
        <v>6</v>
      </c>
    </row>
    <row r="1673" spans="1:5">
      <c r="A1673" t="s">
        <v>5</v>
      </c>
      <c r="B1673" t="s">
        <v>106</v>
      </c>
      <c r="C1673" s="8">
        <v>46177</v>
      </c>
      <c r="D1673" s="9">
        <v>29437</v>
      </c>
      <c r="E1673">
        <f>MONTH(C1673)</f>
        <v>6</v>
      </c>
    </row>
    <row r="1674" spans="1:5">
      <c r="A1674" t="s">
        <v>5</v>
      </c>
      <c r="B1674" t="s">
        <v>239</v>
      </c>
      <c r="C1674" s="8">
        <v>46177</v>
      </c>
      <c r="D1674" s="9">
        <v>27060</v>
      </c>
      <c r="E1674">
        <f>MONTH(C1674)</f>
        <v>6</v>
      </c>
    </row>
    <row r="1675" spans="1:5">
      <c r="A1675" t="s">
        <v>5</v>
      </c>
      <c r="B1675" t="s">
        <v>73</v>
      </c>
      <c r="C1675" s="8">
        <v>46177</v>
      </c>
      <c r="D1675" s="9">
        <v>49235</v>
      </c>
      <c r="E1675">
        <f>MONTH(C1675)</f>
        <v>6</v>
      </c>
    </row>
    <row r="1676" spans="1:5">
      <c r="A1676" t="s">
        <v>5</v>
      </c>
      <c r="B1676" t="s">
        <v>252</v>
      </c>
      <c r="C1676" s="8">
        <v>46177</v>
      </c>
      <c r="D1676" s="9">
        <v>47612</v>
      </c>
      <c r="E1676">
        <f>MONTH(C1676)</f>
        <v>6</v>
      </c>
    </row>
    <row r="1677" spans="1:5">
      <c r="A1677" t="s">
        <v>5</v>
      </c>
      <c r="B1677" t="s">
        <v>107</v>
      </c>
      <c r="C1677" s="8">
        <v>46177</v>
      </c>
      <c r="D1677" s="9">
        <v>59445</v>
      </c>
      <c r="E1677">
        <f>MONTH(C1677)</f>
        <v>6</v>
      </c>
    </row>
    <row r="1678" spans="1:5">
      <c r="A1678" t="s">
        <v>25</v>
      </c>
      <c r="B1678" t="s">
        <v>86</v>
      </c>
      <c r="C1678" s="8">
        <v>46178</v>
      </c>
      <c r="D1678" s="9">
        <v>15478</v>
      </c>
      <c r="E1678">
        <f>MONTH(C1678)</f>
        <v>6</v>
      </c>
    </row>
    <row r="1679" spans="1:5">
      <c r="A1679" t="s">
        <v>26</v>
      </c>
      <c r="B1679" t="s">
        <v>256</v>
      </c>
      <c r="C1679" s="8">
        <v>46178</v>
      </c>
      <c r="D1679" s="9">
        <v>14025</v>
      </c>
      <c r="E1679">
        <f>MONTH(C1679)</f>
        <v>6</v>
      </c>
    </row>
    <row r="1680" spans="1:5">
      <c r="A1680" t="s">
        <v>26</v>
      </c>
      <c r="B1680" t="s">
        <v>95</v>
      </c>
      <c r="C1680" s="8">
        <v>46178</v>
      </c>
      <c r="D1680" s="9">
        <v>22910</v>
      </c>
      <c r="E1680">
        <f>MONTH(C1680)</f>
        <v>6</v>
      </c>
    </row>
    <row r="1681" spans="1:5">
      <c r="A1681" t="s">
        <v>8</v>
      </c>
      <c r="B1681" t="s">
        <v>246</v>
      </c>
      <c r="C1681" s="8">
        <v>46178</v>
      </c>
      <c r="D1681" s="9">
        <v>15940</v>
      </c>
      <c r="E1681">
        <f>MONTH(C1681)</f>
        <v>6</v>
      </c>
    </row>
    <row r="1682" spans="1:5">
      <c r="A1682" t="s">
        <v>32</v>
      </c>
      <c r="B1682" t="s">
        <v>282</v>
      </c>
      <c r="C1682" s="8">
        <v>46178</v>
      </c>
      <c r="D1682" s="9">
        <v>13379</v>
      </c>
      <c r="E1682">
        <f>MONTH(C1682)</f>
        <v>6</v>
      </c>
    </row>
    <row r="1683" spans="1:5">
      <c r="A1683" t="s">
        <v>9</v>
      </c>
      <c r="B1683" t="s">
        <v>143</v>
      </c>
      <c r="C1683" s="8">
        <v>46178</v>
      </c>
      <c r="D1683" s="9">
        <v>28584</v>
      </c>
      <c r="E1683">
        <f>MONTH(C1683)</f>
        <v>6</v>
      </c>
    </row>
    <row r="1684" spans="1:5">
      <c r="A1684" t="s">
        <v>5</v>
      </c>
      <c r="B1684" t="s">
        <v>54</v>
      </c>
      <c r="C1684" s="8">
        <v>46178</v>
      </c>
      <c r="D1684" s="9">
        <v>50498</v>
      </c>
      <c r="E1684">
        <f>MONTH(C1684)</f>
        <v>6</v>
      </c>
    </row>
    <row r="1685" spans="1:5">
      <c r="A1685" t="s">
        <v>5</v>
      </c>
      <c r="B1685" t="s">
        <v>211</v>
      </c>
      <c r="C1685" s="8">
        <v>46178</v>
      </c>
      <c r="D1685" s="9">
        <v>35697</v>
      </c>
      <c r="E1685">
        <f>MONTH(C1685)</f>
        <v>6</v>
      </c>
    </row>
    <row r="1686" spans="1:5">
      <c r="A1686" t="s">
        <v>27</v>
      </c>
      <c r="B1686" t="s">
        <v>173</v>
      </c>
      <c r="C1686" s="8">
        <v>46179</v>
      </c>
      <c r="D1686" s="9">
        <v>5200</v>
      </c>
      <c r="E1686">
        <f>MONTH(C1686)</f>
        <v>6</v>
      </c>
    </row>
    <row r="1687" spans="1:5">
      <c r="A1687" t="s">
        <v>4</v>
      </c>
      <c r="B1687" t="s">
        <v>190</v>
      </c>
      <c r="C1687" s="8">
        <v>46179</v>
      </c>
      <c r="D1687" s="9">
        <v>20557</v>
      </c>
      <c r="E1687">
        <f>MONTH(C1687)</f>
        <v>6</v>
      </c>
    </row>
    <row r="1688" spans="1:5">
      <c r="A1688" t="s">
        <v>4</v>
      </c>
      <c r="B1688" t="s">
        <v>234</v>
      </c>
      <c r="C1688" s="8">
        <v>46179</v>
      </c>
      <c r="D1688" s="9">
        <v>46977</v>
      </c>
      <c r="E1688">
        <f>MONTH(C1688)</f>
        <v>6</v>
      </c>
    </row>
    <row r="1689" spans="1:5">
      <c r="A1689" t="s">
        <v>25</v>
      </c>
      <c r="B1689" t="s">
        <v>228</v>
      </c>
      <c r="C1689" s="8">
        <v>46179</v>
      </c>
      <c r="D1689" s="9">
        <v>12609</v>
      </c>
      <c r="E1689">
        <f>MONTH(C1689)</f>
        <v>6</v>
      </c>
    </row>
    <row r="1690" spans="1:5">
      <c r="A1690" t="s">
        <v>30</v>
      </c>
      <c r="B1690" t="s">
        <v>154</v>
      </c>
      <c r="C1690" s="8">
        <v>46179</v>
      </c>
      <c r="D1690" s="9">
        <v>11627</v>
      </c>
      <c r="E1690">
        <f>MONTH(C1690)</f>
        <v>6</v>
      </c>
    </row>
    <row r="1691" spans="1:5">
      <c r="A1691" t="s">
        <v>8</v>
      </c>
      <c r="B1691" t="s">
        <v>129</v>
      </c>
      <c r="C1691" s="8">
        <v>46179</v>
      </c>
      <c r="D1691" s="9">
        <v>18469</v>
      </c>
      <c r="E1691">
        <f>MONTH(C1691)</f>
        <v>6</v>
      </c>
    </row>
    <row r="1692" spans="1:5">
      <c r="A1692" t="s">
        <v>7</v>
      </c>
      <c r="B1692" t="s">
        <v>238</v>
      </c>
      <c r="C1692" s="8">
        <v>46179</v>
      </c>
      <c r="D1692" s="9">
        <v>26715</v>
      </c>
      <c r="E1692">
        <f>MONTH(C1692)</f>
        <v>6</v>
      </c>
    </row>
    <row r="1693" spans="1:5">
      <c r="A1693" t="s">
        <v>9</v>
      </c>
      <c r="B1693" t="s">
        <v>106</v>
      </c>
      <c r="C1693" s="8">
        <v>46179</v>
      </c>
      <c r="D1693" s="9">
        <v>38761</v>
      </c>
      <c r="E1693">
        <f>MONTH(C1693)</f>
        <v>6</v>
      </c>
    </row>
    <row r="1694" spans="1:5">
      <c r="A1694" t="s">
        <v>5</v>
      </c>
      <c r="B1694" t="s">
        <v>209</v>
      </c>
      <c r="C1694" s="8">
        <v>46179</v>
      </c>
      <c r="D1694" s="9">
        <v>35029</v>
      </c>
      <c r="E1694">
        <f>MONTH(C1694)</f>
        <v>6</v>
      </c>
    </row>
    <row r="1695" spans="1:5">
      <c r="A1695" t="s">
        <v>5</v>
      </c>
      <c r="B1695" t="s">
        <v>99</v>
      </c>
      <c r="C1695" s="8">
        <v>46179</v>
      </c>
      <c r="D1695" s="9">
        <v>32732</v>
      </c>
      <c r="E1695">
        <f>MONTH(C1695)</f>
        <v>6</v>
      </c>
    </row>
    <row r="1696" spans="1:5">
      <c r="A1696" t="s">
        <v>5</v>
      </c>
      <c r="B1696" t="s">
        <v>252</v>
      </c>
      <c r="C1696" s="8">
        <v>46179</v>
      </c>
      <c r="D1696" s="9">
        <v>43125</v>
      </c>
      <c r="E1696">
        <f>MONTH(C1696)</f>
        <v>6</v>
      </c>
    </row>
    <row r="1697" spans="1:5">
      <c r="A1697" t="s">
        <v>5</v>
      </c>
      <c r="B1697" t="s">
        <v>54</v>
      </c>
      <c r="C1697" s="8">
        <v>46179</v>
      </c>
      <c r="D1697" s="9">
        <v>42282</v>
      </c>
      <c r="E1697">
        <f>MONTH(C1697)</f>
        <v>6</v>
      </c>
    </row>
    <row r="1698" spans="1:5">
      <c r="A1698" t="s">
        <v>5</v>
      </c>
      <c r="B1698" t="s">
        <v>61</v>
      </c>
      <c r="C1698" s="8">
        <v>46179</v>
      </c>
      <c r="D1698" s="9">
        <v>38859</v>
      </c>
      <c r="E1698">
        <f>MONTH(C1698)</f>
        <v>6</v>
      </c>
    </row>
    <row r="1699" spans="1:5">
      <c r="A1699" t="s">
        <v>4</v>
      </c>
      <c r="B1699" t="s">
        <v>150</v>
      </c>
      <c r="C1699" s="8">
        <v>46180</v>
      </c>
      <c r="D1699" s="9">
        <v>38611</v>
      </c>
      <c r="E1699">
        <f>MONTH(C1699)</f>
        <v>6</v>
      </c>
    </row>
    <row r="1700" spans="1:5">
      <c r="A1700" t="s">
        <v>4</v>
      </c>
      <c r="B1700" t="s">
        <v>151</v>
      </c>
      <c r="C1700" s="8">
        <v>46180</v>
      </c>
      <c r="D1700" s="9">
        <v>26883</v>
      </c>
      <c r="E1700">
        <f>MONTH(C1700)</f>
        <v>6</v>
      </c>
    </row>
    <row r="1701" spans="1:5">
      <c r="A1701" t="s">
        <v>26</v>
      </c>
      <c r="B1701" t="s">
        <v>216</v>
      </c>
      <c r="C1701" s="8">
        <v>46180</v>
      </c>
      <c r="D1701" s="9">
        <v>12727</v>
      </c>
      <c r="E1701">
        <f>MONTH(C1701)</f>
        <v>6</v>
      </c>
    </row>
    <row r="1702" spans="1:5">
      <c r="A1702" t="s">
        <v>7</v>
      </c>
      <c r="B1702" t="s">
        <v>142</v>
      </c>
      <c r="C1702" s="8">
        <v>46180</v>
      </c>
      <c r="D1702" s="9">
        <v>5495</v>
      </c>
      <c r="E1702">
        <f>MONTH(C1702)</f>
        <v>6</v>
      </c>
    </row>
    <row r="1703" spans="1:5">
      <c r="A1703" t="s">
        <v>9</v>
      </c>
      <c r="B1703" t="s">
        <v>220</v>
      </c>
      <c r="C1703" s="8">
        <v>46180</v>
      </c>
      <c r="D1703" s="9">
        <v>45272</v>
      </c>
      <c r="E1703">
        <f>MONTH(C1703)</f>
        <v>6</v>
      </c>
    </row>
    <row r="1704" spans="1:5">
      <c r="A1704" t="s">
        <v>5</v>
      </c>
      <c r="B1704" t="s">
        <v>239</v>
      </c>
      <c r="C1704" s="8">
        <v>46180</v>
      </c>
      <c r="D1704" s="9">
        <v>40628</v>
      </c>
      <c r="E1704">
        <f>MONTH(C1704)</f>
        <v>6</v>
      </c>
    </row>
    <row r="1705" spans="1:5">
      <c r="A1705" t="s">
        <v>5</v>
      </c>
      <c r="B1705" t="s">
        <v>182</v>
      </c>
      <c r="C1705" s="8">
        <v>46180</v>
      </c>
      <c r="D1705" s="9">
        <v>48761</v>
      </c>
      <c r="E1705">
        <f>MONTH(C1705)</f>
        <v>6</v>
      </c>
    </row>
    <row r="1706" spans="1:5">
      <c r="A1706" t="s">
        <v>5</v>
      </c>
      <c r="B1706" t="s">
        <v>97</v>
      </c>
      <c r="C1706" s="8">
        <v>46180</v>
      </c>
      <c r="D1706" s="9">
        <v>49123</v>
      </c>
      <c r="E1706">
        <f>MONTH(C1706)</f>
        <v>6</v>
      </c>
    </row>
    <row r="1707" spans="1:5">
      <c r="A1707" t="s">
        <v>5</v>
      </c>
      <c r="B1707" t="s">
        <v>98</v>
      </c>
      <c r="C1707" s="8">
        <v>46180</v>
      </c>
      <c r="D1707" s="9">
        <v>51827</v>
      </c>
      <c r="E1707">
        <f>MONTH(C1707)</f>
        <v>6</v>
      </c>
    </row>
    <row r="1708" spans="1:5">
      <c r="A1708" t="s">
        <v>5</v>
      </c>
      <c r="B1708" t="s">
        <v>92</v>
      </c>
      <c r="C1708" s="8">
        <v>46180</v>
      </c>
      <c r="D1708" s="9">
        <v>50478</v>
      </c>
      <c r="E1708">
        <f>MONTH(C1708)</f>
        <v>6</v>
      </c>
    </row>
    <row r="1709" spans="1:5">
      <c r="A1709" t="s">
        <v>5</v>
      </c>
      <c r="B1709" t="s">
        <v>123</v>
      </c>
      <c r="C1709" s="8">
        <v>46180</v>
      </c>
      <c r="D1709" s="9">
        <v>38256</v>
      </c>
      <c r="E1709">
        <f>MONTH(C1709)</f>
        <v>6</v>
      </c>
    </row>
    <row r="1710" spans="1:5">
      <c r="A1710" t="s">
        <v>5</v>
      </c>
      <c r="B1710" t="s">
        <v>183</v>
      </c>
      <c r="C1710" s="8">
        <v>46180</v>
      </c>
      <c r="D1710" s="9">
        <v>32832</v>
      </c>
      <c r="E1710">
        <f>MONTH(C1710)</f>
        <v>6</v>
      </c>
    </row>
    <row r="1711" spans="1:5">
      <c r="A1711" t="s">
        <v>35</v>
      </c>
      <c r="B1711" t="s">
        <v>94</v>
      </c>
      <c r="C1711" s="8">
        <v>46181</v>
      </c>
      <c r="D1711" s="9">
        <v>11181</v>
      </c>
      <c r="E1711">
        <f>MONTH(C1711)</f>
        <v>6</v>
      </c>
    </row>
    <row r="1712" spans="1:5">
      <c r="A1712" t="s">
        <v>27</v>
      </c>
      <c r="B1712" t="s">
        <v>213</v>
      </c>
      <c r="C1712" s="8">
        <v>46181</v>
      </c>
      <c r="D1712" s="9">
        <v>12841</v>
      </c>
      <c r="E1712">
        <f>MONTH(C1712)</f>
        <v>6</v>
      </c>
    </row>
    <row r="1713" spans="1:5">
      <c r="A1713" t="s">
        <v>4</v>
      </c>
      <c r="B1713" t="s">
        <v>254</v>
      </c>
      <c r="C1713" s="8">
        <v>46181</v>
      </c>
      <c r="D1713" s="9">
        <v>29211</v>
      </c>
      <c r="E1713">
        <f>MONTH(C1713)</f>
        <v>6</v>
      </c>
    </row>
    <row r="1714" spans="1:5">
      <c r="A1714" t="s">
        <v>25</v>
      </c>
      <c r="B1714" t="s">
        <v>117</v>
      </c>
      <c r="C1714" s="8">
        <v>46181</v>
      </c>
      <c r="D1714" s="9">
        <v>16692</v>
      </c>
      <c r="E1714">
        <f>MONTH(C1714)</f>
        <v>6</v>
      </c>
    </row>
    <row r="1715" spans="1:5">
      <c r="A1715" t="s">
        <v>8</v>
      </c>
      <c r="B1715" t="s">
        <v>64</v>
      </c>
      <c r="C1715" s="8">
        <v>46181</v>
      </c>
      <c r="D1715" s="9">
        <v>14814</v>
      </c>
      <c r="E1715">
        <f>MONTH(C1715)</f>
        <v>6</v>
      </c>
    </row>
    <row r="1716" spans="1:5">
      <c r="A1716" t="s">
        <v>8</v>
      </c>
      <c r="B1716" t="s">
        <v>281</v>
      </c>
      <c r="C1716" s="8">
        <v>46181</v>
      </c>
      <c r="D1716" s="9">
        <v>27731</v>
      </c>
      <c r="E1716">
        <f>MONTH(C1716)</f>
        <v>6</v>
      </c>
    </row>
    <row r="1717" spans="1:5">
      <c r="A1717" t="s">
        <v>6</v>
      </c>
      <c r="B1717" t="s">
        <v>225</v>
      </c>
      <c r="C1717" s="8">
        <v>46181</v>
      </c>
      <c r="D1717" s="9">
        <v>5200</v>
      </c>
      <c r="E1717">
        <f>MONTH(C1717)</f>
        <v>6</v>
      </c>
    </row>
    <row r="1718" spans="1:5">
      <c r="A1718" t="s">
        <v>6</v>
      </c>
      <c r="B1718" t="s">
        <v>231</v>
      </c>
      <c r="C1718" s="8">
        <v>46181</v>
      </c>
      <c r="D1718" s="9">
        <v>19524</v>
      </c>
      <c r="E1718">
        <f>MONTH(C1718)</f>
        <v>6</v>
      </c>
    </row>
    <row r="1719" spans="1:5">
      <c r="A1719" t="s">
        <v>7</v>
      </c>
      <c r="B1719" t="s">
        <v>89</v>
      </c>
      <c r="C1719" s="8">
        <v>46181</v>
      </c>
      <c r="D1719" s="9">
        <v>25425</v>
      </c>
      <c r="E1719">
        <f>MONTH(C1719)</f>
        <v>6</v>
      </c>
    </row>
    <row r="1720" spans="1:5">
      <c r="A1720" t="s">
        <v>9</v>
      </c>
      <c r="B1720" t="s">
        <v>83</v>
      </c>
      <c r="C1720" s="8">
        <v>46181</v>
      </c>
      <c r="D1720" s="9">
        <v>16654</v>
      </c>
      <c r="E1720">
        <f>MONTH(C1720)</f>
        <v>6</v>
      </c>
    </row>
    <row r="1721" spans="1:5">
      <c r="A1721" t="s">
        <v>9</v>
      </c>
      <c r="B1721" t="s">
        <v>66</v>
      </c>
      <c r="C1721" s="8">
        <v>46181</v>
      </c>
      <c r="D1721" s="9">
        <v>39023</v>
      </c>
      <c r="E1721">
        <f>MONTH(C1721)</f>
        <v>6</v>
      </c>
    </row>
    <row r="1722" spans="1:5">
      <c r="A1722" t="s">
        <v>5</v>
      </c>
      <c r="B1722" t="s">
        <v>60</v>
      </c>
      <c r="C1722" s="8">
        <v>46181</v>
      </c>
      <c r="D1722" s="9">
        <v>27517</v>
      </c>
      <c r="E1722">
        <f>MONTH(C1722)</f>
        <v>6</v>
      </c>
    </row>
    <row r="1723" spans="1:5">
      <c r="A1723" t="s">
        <v>5</v>
      </c>
      <c r="B1723" t="s">
        <v>277</v>
      </c>
      <c r="C1723" s="8">
        <v>46181</v>
      </c>
      <c r="D1723" s="9">
        <v>39399</v>
      </c>
      <c r="E1723">
        <f>MONTH(C1723)</f>
        <v>6</v>
      </c>
    </row>
    <row r="1724" spans="1:5">
      <c r="A1724" t="s">
        <v>4</v>
      </c>
      <c r="B1724" t="s">
        <v>60</v>
      </c>
      <c r="C1724" s="8">
        <v>46182</v>
      </c>
      <c r="D1724" s="9">
        <v>34504</v>
      </c>
      <c r="E1724">
        <f>MONTH(C1724)</f>
        <v>6</v>
      </c>
    </row>
    <row r="1725" spans="1:5">
      <c r="A1725" t="s">
        <v>4</v>
      </c>
      <c r="B1725" t="s">
        <v>197</v>
      </c>
      <c r="C1725" s="8">
        <v>46182</v>
      </c>
      <c r="D1725" s="9">
        <v>27593</v>
      </c>
      <c r="E1725">
        <f>MONTH(C1725)</f>
        <v>6</v>
      </c>
    </row>
    <row r="1726" spans="1:5">
      <c r="A1726" t="s">
        <v>4</v>
      </c>
      <c r="B1726" t="s">
        <v>245</v>
      </c>
      <c r="C1726" s="8">
        <v>46182</v>
      </c>
      <c r="D1726" s="9">
        <v>16158</v>
      </c>
      <c r="E1726">
        <f>MONTH(C1726)</f>
        <v>6</v>
      </c>
    </row>
    <row r="1727" spans="1:5">
      <c r="A1727" t="s">
        <v>7</v>
      </c>
      <c r="B1727" t="s">
        <v>69</v>
      </c>
      <c r="C1727" s="8">
        <v>46182</v>
      </c>
      <c r="D1727" s="9">
        <v>13336</v>
      </c>
      <c r="E1727">
        <f>MONTH(C1727)</f>
        <v>6</v>
      </c>
    </row>
    <row r="1728" spans="1:5">
      <c r="A1728" t="s">
        <v>7</v>
      </c>
      <c r="B1728" t="s">
        <v>275</v>
      </c>
      <c r="C1728" s="8">
        <v>46182</v>
      </c>
      <c r="D1728" s="9">
        <v>21500</v>
      </c>
      <c r="E1728">
        <f>MONTH(C1728)</f>
        <v>6</v>
      </c>
    </row>
    <row r="1729" spans="1:5">
      <c r="A1729" t="s">
        <v>9</v>
      </c>
      <c r="B1729" t="s">
        <v>203</v>
      </c>
      <c r="C1729" s="8">
        <v>46182</v>
      </c>
      <c r="D1729" s="9">
        <v>35597</v>
      </c>
      <c r="E1729">
        <f>MONTH(C1729)</f>
        <v>6</v>
      </c>
    </row>
    <row r="1730" spans="1:5">
      <c r="A1730" t="s">
        <v>5</v>
      </c>
      <c r="B1730" t="s">
        <v>108</v>
      </c>
      <c r="C1730" s="8">
        <v>46182</v>
      </c>
      <c r="D1730" s="9">
        <v>39426</v>
      </c>
      <c r="E1730">
        <f>MONTH(C1730)</f>
        <v>6</v>
      </c>
    </row>
    <row r="1731" spans="1:5">
      <c r="A1731" t="s">
        <v>5</v>
      </c>
      <c r="B1731" t="s">
        <v>204</v>
      </c>
      <c r="C1731" s="8">
        <v>46182</v>
      </c>
      <c r="D1731" s="9">
        <v>46767</v>
      </c>
      <c r="E1731">
        <f>MONTH(C1731)</f>
        <v>6</v>
      </c>
    </row>
    <row r="1732" spans="1:5">
      <c r="A1732" t="s">
        <v>27</v>
      </c>
      <c r="B1732" t="s">
        <v>149</v>
      </c>
      <c r="C1732" s="8">
        <v>46183</v>
      </c>
      <c r="D1732" s="9">
        <v>12626</v>
      </c>
      <c r="E1732">
        <f>MONTH(C1732)</f>
        <v>6</v>
      </c>
    </row>
    <row r="1733" spans="1:5">
      <c r="A1733" t="s">
        <v>8</v>
      </c>
      <c r="B1733" t="s">
        <v>259</v>
      </c>
      <c r="C1733" s="8">
        <v>46183</v>
      </c>
      <c r="D1733" s="9">
        <v>16568</v>
      </c>
      <c r="E1733">
        <f>MONTH(C1733)</f>
        <v>6</v>
      </c>
    </row>
    <row r="1734" spans="1:5">
      <c r="A1734" t="s">
        <v>7</v>
      </c>
      <c r="B1734" t="s">
        <v>170</v>
      </c>
      <c r="C1734" s="8">
        <v>46183</v>
      </c>
      <c r="D1734" s="9">
        <v>18263</v>
      </c>
      <c r="E1734">
        <f>MONTH(C1734)</f>
        <v>6</v>
      </c>
    </row>
    <row r="1735" spans="1:5">
      <c r="A1735" t="s">
        <v>7</v>
      </c>
      <c r="B1735" t="s">
        <v>96</v>
      </c>
      <c r="C1735" s="8">
        <v>46183</v>
      </c>
      <c r="D1735" s="9">
        <v>31459</v>
      </c>
      <c r="E1735">
        <f>MONTH(C1735)</f>
        <v>6</v>
      </c>
    </row>
    <row r="1736" spans="1:5">
      <c r="A1736" t="s">
        <v>9</v>
      </c>
      <c r="B1736" t="s">
        <v>137</v>
      </c>
      <c r="C1736" s="8">
        <v>46183</v>
      </c>
      <c r="D1736" s="9">
        <v>35532</v>
      </c>
      <c r="E1736">
        <f>MONTH(C1736)</f>
        <v>6</v>
      </c>
    </row>
    <row r="1737" spans="1:5">
      <c r="A1737" t="s">
        <v>5</v>
      </c>
      <c r="B1737" t="s">
        <v>106</v>
      </c>
      <c r="C1737" s="8">
        <v>46183</v>
      </c>
      <c r="D1737" s="9">
        <v>35708</v>
      </c>
      <c r="E1737">
        <f>MONTH(C1737)</f>
        <v>6</v>
      </c>
    </row>
    <row r="1738" spans="1:5">
      <c r="A1738" t="s">
        <v>5</v>
      </c>
      <c r="B1738" t="s">
        <v>72</v>
      </c>
      <c r="C1738" s="8">
        <v>46183</v>
      </c>
      <c r="D1738" s="9">
        <v>42923</v>
      </c>
      <c r="E1738">
        <f>MONTH(C1738)</f>
        <v>6</v>
      </c>
    </row>
    <row r="1739" spans="1:5">
      <c r="A1739" t="s">
        <v>5</v>
      </c>
      <c r="B1739" t="s">
        <v>124</v>
      </c>
      <c r="C1739" s="8">
        <v>46183</v>
      </c>
      <c r="D1739" s="9">
        <v>35575</v>
      </c>
      <c r="E1739">
        <f>MONTH(C1739)</f>
        <v>6</v>
      </c>
    </row>
    <row r="1740" spans="1:5">
      <c r="A1740" t="s">
        <v>5</v>
      </c>
      <c r="B1740" t="s">
        <v>277</v>
      </c>
      <c r="C1740" s="8">
        <v>46183</v>
      </c>
      <c r="D1740" s="9">
        <v>45943</v>
      </c>
      <c r="E1740">
        <f>MONTH(C1740)</f>
        <v>6</v>
      </c>
    </row>
    <row r="1741" spans="1:5">
      <c r="A1741" t="s">
        <v>5</v>
      </c>
      <c r="B1741" t="s">
        <v>189</v>
      </c>
      <c r="C1741" s="8">
        <v>46183</v>
      </c>
      <c r="D1741" s="9">
        <v>36442</v>
      </c>
      <c r="E1741">
        <f>MONTH(C1741)</f>
        <v>6</v>
      </c>
    </row>
    <row r="1742" spans="1:5">
      <c r="A1742" t="s">
        <v>4</v>
      </c>
      <c r="B1742" t="s">
        <v>223</v>
      </c>
      <c r="C1742" s="8">
        <v>46184</v>
      </c>
      <c r="D1742" s="9">
        <v>33350</v>
      </c>
      <c r="E1742">
        <f>MONTH(C1742)</f>
        <v>6</v>
      </c>
    </row>
    <row r="1743" spans="1:5">
      <c r="A1743" t="s">
        <v>6</v>
      </c>
      <c r="B1743" t="s">
        <v>192</v>
      </c>
      <c r="C1743" s="8">
        <v>46184</v>
      </c>
      <c r="D1743" s="9">
        <v>17907</v>
      </c>
      <c r="E1743">
        <f>MONTH(C1743)</f>
        <v>6</v>
      </c>
    </row>
    <row r="1744" spans="1:5">
      <c r="A1744" t="s">
        <v>7</v>
      </c>
      <c r="B1744" t="s">
        <v>201</v>
      </c>
      <c r="C1744" s="8">
        <v>46184</v>
      </c>
      <c r="D1744" s="9">
        <v>18128</v>
      </c>
      <c r="E1744">
        <f>MONTH(C1744)</f>
        <v>6</v>
      </c>
    </row>
    <row r="1745" spans="1:5">
      <c r="A1745" t="s">
        <v>5</v>
      </c>
      <c r="B1745" t="s">
        <v>97</v>
      </c>
      <c r="C1745" s="8">
        <v>46184</v>
      </c>
      <c r="D1745" s="9">
        <v>50608</v>
      </c>
      <c r="E1745">
        <f>MONTH(C1745)</f>
        <v>6</v>
      </c>
    </row>
    <row r="1746" spans="1:5">
      <c r="A1746" t="s">
        <v>5</v>
      </c>
      <c r="B1746" t="s">
        <v>84</v>
      </c>
      <c r="C1746" s="8">
        <v>46184</v>
      </c>
      <c r="D1746" s="9">
        <v>40166</v>
      </c>
      <c r="E1746">
        <f>MONTH(C1746)</f>
        <v>6</v>
      </c>
    </row>
    <row r="1747" spans="1:5">
      <c r="A1747" t="s">
        <v>5</v>
      </c>
      <c r="B1747" t="s">
        <v>183</v>
      </c>
      <c r="C1747" s="8">
        <v>46184</v>
      </c>
      <c r="D1747" s="9">
        <v>41599</v>
      </c>
      <c r="E1747">
        <f>MONTH(C1747)</f>
        <v>6</v>
      </c>
    </row>
    <row r="1748" spans="1:5">
      <c r="A1748" t="s">
        <v>5</v>
      </c>
      <c r="B1748" t="s">
        <v>159</v>
      </c>
      <c r="C1748" s="8">
        <v>46184</v>
      </c>
      <c r="D1748" s="9">
        <v>63301</v>
      </c>
      <c r="E1748">
        <f>MONTH(C1748)</f>
        <v>6</v>
      </c>
    </row>
    <row r="1749" spans="1:5">
      <c r="A1749" t="s">
        <v>5</v>
      </c>
      <c r="B1749" t="s">
        <v>277</v>
      </c>
      <c r="C1749" s="8">
        <v>46184</v>
      </c>
      <c r="D1749" s="9">
        <v>37437</v>
      </c>
      <c r="E1749">
        <f>MONTH(C1749)</f>
        <v>6</v>
      </c>
    </row>
    <row r="1750" spans="1:5">
      <c r="A1750" t="s">
        <v>27</v>
      </c>
      <c r="B1750" t="s">
        <v>253</v>
      </c>
      <c r="C1750" s="8">
        <v>46185</v>
      </c>
      <c r="D1750" s="9">
        <v>5200</v>
      </c>
      <c r="E1750">
        <f>MONTH(C1750)</f>
        <v>6</v>
      </c>
    </row>
    <row r="1751" spans="1:5">
      <c r="A1751" t="s">
        <v>4</v>
      </c>
      <c r="B1751" t="s">
        <v>75</v>
      </c>
      <c r="C1751" s="8">
        <v>46185</v>
      </c>
      <c r="D1751" s="9">
        <v>23522</v>
      </c>
      <c r="E1751">
        <f>MONTH(C1751)</f>
        <v>6</v>
      </c>
    </row>
    <row r="1752" spans="1:5">
      <c r="A1752" t="s">
        <v>4</v>
      </c>
      <c r="B1752" t="s">
        <v>198</v>
      </c>
      <c r="C1752" s="8">
        <v>46185</v>
      </c>
      <c r="D1752" s="9">
        <v>29306</v>
      </c>
      <c r="E1752">
        <f>MONTH(C1752)</f>
        <v>6</v>
      </c>
    </row>
    <row r="1753" spans="1:5">
      <c r="A1753" t="s">
        <v>4</v>
      </c>
      <c r="B1753" t="s">
        <v>85</v>
      </c>
      <c r="C1753" s="8">
        <v>46185</v>
      </c>
      <c r="D1753" s="9">
        <v>10056</v>
      </c>
      <c r="E1753">
        <f>MONTH(C1753)</f>
        <v>6</v>
      </c>
    </row>
    <row r="1754" spans="1:5">
      <c r="A1754" t="s">
        <v>4</v>
      </c>
      <c r="B1754" t="s">
        <v>76</v>
      </c>
      <c r="C1754" s="8">
        <v>46185</v>
      </c>
      <c r="D1754" s="9">
        <v>31550</v>
      </c>
      <c r="E1754">
        <f>MONTH(C1754)</f>
        <v>6</v>
      </c>
    </row>
    <row r="1755" spans="1:5">
      <c r="A1755" t="s">
        <v>25</v>
      </c>
      <c r="B1755" t="s">
        <v>55</v>
      </c>
      <c r="C1755" s="8">
        <v>46185</v>
      </c>
      <c r="D1755" s="9">
        <v>9834</v>
      </c>
      <c r="E1755">
        <f>MONTH(C1755)</f>
        <v>6</v>
      </c>
    </row>
    <row r="1756" spans="1:5">
      <c r="A1756" t="s">
        <v>36</v>
      </c>
      <c r="B1756" t="s">
        <v>229</v>
      </c>
      <c r="C1756" s="8">
        <v>46185</v>
      </c>
      <c r="D1756" s="9">
        <v>10789</v>
      </c>
      <c r="E1756">
        <f>MONTH(C1756)</f>
        <v>6</v>
      </c>
    </row>
    <row r="1757" spans="1:5">
      <c r="A1757" t="s">
        <v>9</v>
      </c>
      <c r="B1757" t="s">
        <v>74</v>
      </c>
      <c r="C1757" s="8">
        <v>46185</v>
      </c>
      <c r="D1757" s="9">
        <v>37731</v>
      </c>
      <c r="E1757">
        <f>MONTH(C1757)</f>
        <v>6</v>
      </c>
    </row>
    <row r="1758" spans="1:5">
      <c r="A1758" t="s">
        <v>9</v>
      </c>
      <c r="B1758" t="s">
        <v>249</v>
      </c>
      <c r="C1758" s="8">
        <v>46185</v>
      </c>
      <c r="D1758" s="9">
        <v>26481</v>
      </c>
      <c r="E1758">
        <f>MONTH(C1758)</f>
        <v>6</v>
      </c>
    </row>
    <row r="1759" spans="1:5">
      <c r="A1759" t="s">
        <v>5</v>
      </c>
      <c r="B1759" t="s">
        <v>49</v>
      </c>
      <c r="C1759" s="8">
        <v>46185</v>
      </c>
      <c r="D1759" s="9">
        <v>40643</v>
      </c>
      <c r="E1759">
        <f>MONTH(C1759)</f>
        <v>6</v>
      </c>
    </row>
    <row r="1760" spans="1:5">
      <c r="A1760" t="s">
        <v>5</v>
      </c>
      <c r="B1760" t="s">
        <v>49</v>
      </c>
      <c r="C1760" s="8">
        <v>46185</v>
      </c>
      <c r="D1760" s="9">
        <v>36457</v>
      </c>
      <c r="E1760">
        <f>MONTH(C1760)</f>
        <v>6</v>
      </c>
    </row>
    <row r="1761" spans="1:5">
      <c r="A1761" t="s">
        <v>5</v>
      </c>
      <c r="B1761" t="s">
        <v>84</v>
      </c>
      <c r="C1761" s="8">
        <v>46185</v>
      </c>
      <c r="D1761" s="9">
        <v>38758</v>
      </c>
      <c r="E1761">
        <f>MONTH(C1761)</f>
        <v>6</v>
      </c>
    </row>
    <row r="1762" spans="1:5">
      <c r="A1762" t="s">
        <v>5</v>
      </c>
      <c r="B1762" t="s">
        <v>107</v>
      </c>
      <c r="C1762" s="8">
        <v>46185</v>
      </c>
      <c r="D1762" s="9">
        <v>48899</v>
      </c>
      <c r="E1762">
        <f>MONTH(C1762)</f>
        <v>6</v>
      </c>
    </row>
    <row r="1763" spans="1:5">
      <c r="A1763" t="s">
        <v>4</v>
      </c>
      <c r="B1763" t="s">
        <v>222</v>
      </c>
      <c r="C1763" s="8">
        <v>46186</v>
      </c>
      <c r="D1763" s="9">
        <v>33771</v>
      </c>
      <c r="E1763">
        <f>MONTH(C1763)</f>
        <v>6</v>
      </c>
    </row>
    <row r="1764" spans="1:5">
      <c r="A1764" t="s">
        <v>31</v>
      </c>
      <c r="B1764" t="s">
        <v>68</v>
      </c>
      <c r="C1764" s="8">
        <v>46186</v>
      </c>
      <c r="D1764" s="9">
        <v>5200</v>
      </c>
      <c r="E1764">
        <f>MONTH(C1764)</f>
        <v>6</v>
      </c>
    </row>
    <row r="1765" spans="1:5">
      <c r="A1765" t="s">
        <v>7</v>
      </c>
      <c r="B1765" t="s">
        <v>263</v>
      </c>
      <c r="C1765" s="8">
        <v>46186</v>
      </c>
      <c r="D1765" s="9">
        <v>19052</v>
      </c>
      <c r="E1765">
        <f>MONTH(C1765)</f>
        <v>6</v>
      </c>
    </row>
    <row r="1766" spans="1:5">
      <c r="A1766" t="s">
        <v>9</v>
      </c>
      <c r="B1766" t="s">
        <v>111</v>
      </c>
      <c r="C1766" s="8">
        <v>46186</v>
      </c>
      <c r="D1766" s="9">
        <v>52536</v>
      </c>
      <c r="E1766">
        <f>MONTH(C1766)</f>
        <v>6</v>
      </c>
    </row>
    <row r="1767" spans="1:5">
      <c r="A1767" t="s">
        <v>9</v>
      </c>
      <c r="B1767" t="s">
        <v>84</v>
      </c>
      <c r="C1767" s="8">
        <v>46186</v>
      </c>
      <c r="D1767" s="9">
        <v>47503</v>
      </c>
      <c r="E1767">
        <f>MONTH(C1767)</f>
        <v>6</v>
      </c>
    </row>
    <row r="1768" spans="1:5">
      <c r="A1768" t="s">
        <v>9</v>
      </c>
      <c r="B1768" t="s">
        <v>219</v>
      </c>
      <c r="C1768" s="8">
        <v>46186</v>
      </c>
      <c r="D1768" s="9">
        <v>50893</v>
      </c>
      <c r="E1768">
        <f>MONTH(C1768)</f>
        <v>6</v>
      </c>
    </row>
    <row r="1769" spans="1:5">
      <c r="A1769" t="s">
        <v>9</v>
      </c>
      <c r="B1769" t="s">
        <v>195</v>
      </c>
      <c r="C1769" s="8">
        <v>46186</v>
      </c>
      <c r="D1769" s="9">
        <v>23261</v>
      </c>
      <c r="E1769">
        <f>MONTH(C1769)</f>
        <v>6</v>
      </c>
    </row>
    <row r="1770" spans="1:5">
      <c r="A1770" t="s">
        <v>5</v>
      </c>
      <c r="B1770" t="s">
        <v>277</v>
      </c>
      <c r="C1770" s="8">
        <v>46186</v>
      </c>
      <c r="D1770" s="9">
        <v>38517</v>
      </c>
      <c r="E1770">
        <f>MONTH(C1770)</f>
        <v>6</v>
      </c>
    </row>
    <row r="1771" spans="1:5">
      <c r="A1771" t="s">
        <v>31</v>
      </c>
      <c r="B1771" t="s">
        <v>206</v>
      </c>
      <c r="C1771" s="8">
        <v>46187</v>
      </c>
      <c r="D1771" s="9">
        <v>11168</v>
      </c>
      <c r="E1771">
        <f>MONTH(C1771)</f>
        <v>6</v>
      </c>
    </row>
    <row r="1772" spans="1:5">
      <c r="A1772" t="s">
        <v>25</v>
      </c>
      <c r="B1772" t="s">
        <v>278</v>
      </c>
      <c r="C1772" s="8">
        <v>46187</v>
      </c>
      <c r="D1772" s="9">
        <v>9426</v>
      </c>
      <c r="E1772">
        <f>MONTH(C1772)</f>
        <v>6</v>
      </c>
    </row>
    <row r="1773" spans="1:5">
      <c r="A1773" t="s">
        <v>25</v>
      </c>
      <c r="B1773" t="s">
        <v>267</v>
      </c>
      <c r="C1773" s="8">
        <v>46187</v>
      </c>
      <c r="D1773" s="9">
        <v>15359</v>
      </c>
      <c r="E1773">
        <f>MONTH(C1773)</f>
        <v>6</v>
      </c>
    </row>
    <row r="1774" spans="1:5">
      <c r="A1774" t="s">
        <v>26</v>
      </c>
      <c r="B1774" t="s">
        <v>205</v>
      </c>
      <c r="C1774" s="8">
        <v>46187</v>
      </c>
      <c r="D1774" s="9">
        <v>12804</v>
      </c>
      <c r="E1774">
        <f>MONTH(C1774)</f>
        <v>6</v>
      </c>
    </row>
    <row r="1775" spans="1:5">
      <c r="A1775" t="s">
        <v>30</v>
      </c>
      <c r="B1775" t="s">
        <v>224</v>
      </c>
      <c r="C1775" s="8">
        <v>46187</v>
      </c>
      <c r="D1775" s="9">
        <v>12805</v>
      </c>
      <c r="E1775">
        <f>MONTH(C1775)</f>
        <v>6</v>
      </c>
    </row>
    <row r="1776" spans="1:5">
      <c r="A1776" t="s">
        <v>34</v>
      </c>
      <c r="B1776" t="s">
        <v>169</v>
      </c>
      <c r="C1776" s="8">
        <v>46187</v>
      </c>
      <c r="D1776" s="9">
        <v>10996</v>
      </c>
      <c r="E1776">
        <f>MONTH(C1776)</f>
        <v>6</v>
      </c>
    </row>
    <row r="1777" spans="1:5">
      <c r="A1777" t="s">
        <v>6</v>
      </c>
      <c r="B1777" t="s">
        <v>131</v>
      </c>
      <c r="C1777" s="8">
        <v>46187</v>
      </c>
      <c r="D1777" s="9">
        <v>17992</v>
      </c>
      <c r="E1777">
        <f>MONTH(C1777)</f>
        <v>6</v>
      </c>
    </row>
    <row r="1778" spans="1:5">
      <c r="A1778" t="s">
        <v>5</v>
      </c>
      <c r="B1778" t="s">
        <v>114</v>
      </c>
      <c r="C1778" s="8">
        <v>46187</v>
      </c>
      <c r="D1778" s="9">
        <v>37128</v>
      </c>
      <c r="E1778">
        <f>MONTH(C1778)</f>
        <v>6</v>
      </c>
    </row>
    <row r="1779" spans="1:5">
      <c r="A1779" t="s">
        <v>5</v>
      </c>
      <c r="B1779" t="s">
        <v>53</v>
      </c>
      <c r="C1779" s="8">
        <v>46187</v>
      </c>
      <c r="D1779" s="9">
        <v>44419</v>
      </c>
      <c r="E1779">
        <f>MONTH(C1779)</f>
        <v>6</v>
      </c>
    </row>
    <row r="1780" spans="1:5">
      <c r="A1780" t="s">
        <v>5</v>
      </c>
      <c r="B1780" t="s">
        <v>145</v>
      </c>
      <c r="C1780" s="8">
        <v>46187</v>
      </c>
      <c r="D1780" s="9">
        <v>37603</v>
      </c>
      <c r="E1780">
        <f>MONTH(C1780)</f>
        <v>6</v>
      </c>
    </row>
    <row r="1781" spans="1:5">
      <c r="A1781" t="s">
        <v>5</v>
      </c>
      <c r="B1781" t="s">
        <v>109</v>
      </c>
      <c r="C1781" s="8">
        <v>46187</v>
      </c>
      <c r="D1781" s="9">
        <v>52248</v>
      </c>
      <c r="E1781">
        <f>MONTH(C1781)</f>
        <v>6</v>
      </c>
    </row>
    <row r="1782" spans="1:5">
      <c r="A1782" t="s">
        <v>5</v>
      </c>
      <c r="B1782" t="s">
        <v>109</v>
      </c>
      <c r="C1782" s="8">
        <v>46187</v>
      </c>
      <c r="D1782" s="9">
        <v>44604</v>
      </c>
      <c r="E1782">
        <f>MONTH(C1782)</f>
        <v>6</v>
      </c>
    </row>
    <row r="1783" spans="1:5">
      <c r="A1783" t="s">
        <v>27</v>
      </c>
      <c r="B1783" t="s">
        <v>135</v>
      </c>
      <c r="C1783" s="8">
        <v>46188</v>
      </c>
      <c r="D1783" s="9">
        <v>13571</v>
      </c>
      <c r="E1783">
        <f>MONTH(C1783)</f>
        <v>6</v>
      </c>
    </row>
    <row r="1784" spans="1:5">
      <c r="A1784" t="s">
        <v>25</v>
      </c>
      <c r="B1784" t="s">
        <v>186</v>
      </c>
      <c r="C1784" s="8">
        <v>46188</v>
      </c>
      <c r="D1784" s="9">
        <v>13264</v>
      </c>
      <c r="E1784">
        <f>MONTH(C1784)</f>
        <v>6</v>
      </c>
    </row>
    <row r="1785" spans="1:5">
      <c r="A1785" t="s">
        <v>26</v>
      </c>
      <c r="B1785" t="s">
        <v>257</v>
      </c>
      <c r="C1785" s="8">
        <v>46188</v>
      </c>
      <c r="D1785" s="9">
        <v>8010</v>
      </c>
      <c r="E1785">
        <f>MONTH(C1785)</f>
        <v>6</v>
      </c>
    </row>
    <row r="1786" spans="1:5">
      <c r="A1786" t="s">
        <v>7</v>
      </c>
      <c r="B1786" t="s">
        <v>164</v>
      </c>
      <c r="C1786" s="8">
        <v>46188</v>
      </c>
      <c r="D1786" s="9">
        <v>28314</v>
      </c>
      <c r="E1786">
        <f>MONTH(C1786)</f>
        <v>6</v>
      </c>
    </row>
    <row r="1787" spans="1:5">
      <c r="A1787" t="s">
        <v>9</v>
      </c>
      <c r="B1787" t="s">
        <v>156</v>
      </c>
      <c r="C1787" s="8">
        <v>46188</v>
      </c>
      <c r="D1787" s="9">
        <v>36762</v>
      </c>
      <c r="E1787">
        <f>MONTH(C1787)</f>
        <v>6</v>
      </c>
    </row>
    <row r="1788" spans="1:5">
      <c r="A1788" t="s">
        <v>5</v>
      </c>
      <c r="B1788" t="s">
        <v>166</v>
      </c>
      <c r="C1788" s="8">
        <v>46188</v>
      </c>
      <c r="D1788" s="9">
        <v>34451</v>
      </c>
      <c r="E1788">
        <f>MONTH(C1788)</f>
        <v>6</v>
      </c>
    </row>
    <row r="1789" spans="1:5">
      <c r="A1789" t="s">
        <v>5</v>
      </c>
      <c r="B1789" t="s">
        <v>114</v>
      </c>
      <c r="C1789" s="8">
        <v>46188</v>
      </c>
      <c r="D1789" s="9">
        <v>27037</v>
      </c>
      <c r="E1789">
        <f>MONTH(C1789)</f>
        <v>6</v>
      </c>
    </row>
    <row r="1790" spans="1:5">
      <c r="A1790" t="s">
        <v>5</v>
      </c>
      <c r="B1790" t="s">
        <v>209</v>
      </c>
      <c r="C1790" s="8">
        <v>46188</v>
      </c>
      <c r="D1790" s="9">
        <v>46032</v>
      </c>
      <c r="E1790">
        <f>MONTH(C1790)</f>
        <v>6</v>
      </c>
    </row>
    <row r="1791" spans="1:5">
      <c r="A1791" t="s">
        <v>5</v>
      </c>
      <c r="B1791" t="s">
        <v>123</v>
      </c>
      <c r="C1791" s="8">
        <v>46188</v>
      </c>
      <c r="D1791" s="9">
        <v>43148</v>
      </c>
      <c r="E1791">
        <f>MONTH(C1791)</f>
        <v>6</v>
      </c>
    </row>
    <row r="1792" spans="1:5">
      <c r="A1792" t="s">
        <v>5</v>
      </c>
      <c r="B1792" t="s">
        <v>101</v>
      </c>
      <c r="C1792" s="8">
        <v>46188</v>
      </c>
      <c r="D1792" s="9">
        <v>28931</v>
      </c>
      <c r="E1792">
        <f>MONTH(C1792)</f>
        <v>6</v>
      </c>
    </row>
    <row r="1793" spans="1:5">
      <c r="A1793" t="s">
        <v>5</v>
      </c>
      <c r="B1793" t="s">
        <v>107</v>
      </c>
      <c r="C1793" s="8">
        <v>46188</v>
      </c>
      <c r="D1793" s="9">
        <v>57250</v>
      </c>
      <c r="E1793">
        <f>MONTH(C1793)</f>
        <v>6</v>
      </c>
    </row>
    <row r="1794" spans="1:5">
      <c r="A1794" t="s">
        <v>5</v>
      </c>
      <c r="B1794" t="s">
        <v>270</v>
      </c>
      <c r="C1794" s="8">
        <v>46188</v>
      </c>
      <c r="D1794" s="9">
        <v>35068</v>
      </c>
      <c r="E1794">
        <f>MONTH(C1794)</f>
        <v>6</v>
      </c>
    </row>
    <row r="1795" spans="1:5">
      <c r="A1795" t="s">
        <v>5</v>
      </c>
      <c r="B1795" t="s">
        <v>109</v>
      </c>
      <c r="C1795" s="8">
        <v>46188</v>
      </c>
      <c r="D1795" s="9">
        <v>63566</v>
      </c>
      <c r="E1795">
        <f>MONTH(C1795)</f>
        <v>6</v>
      </c>
    </row>
    <row r="1796" spans="1:5">
      <c r="A1796" t="s">
        <v>5</v>
      </c>
      <c r="B1796" t="s">
        <v>61</v>
      </c>
      <c r="C1796" s="8">
        <v>46188</v>
      </c>
      <c r="D1796" s="9">
        <v>32332</v>
      </c>
      <c r="E1796">
        <f>MONTH(C1796)</f>
        <v>6</v>
      </c>
    </row>
    <row r="1797" spans="1:5">
      <c r="A1797" t="s">
        <v>4</v>
      </c>
      <c r="B1797" t="s">
        <v>185</v>
      </c>
      <c r="C1797" s="8">
        <v>46189</v>
      </c>
      <c r="D1797" s="9">
        <v>21166</v>
      </c>
      <c r="E1797">
        <f>MONTH(C1797)</f>
        <v>6</v>
      </c>
    </row>
    <row r="1798" spans="1:5">
      <c r="A1798" t="s">
        <v>6</v>
      </c>
      <c r="B1798" t="s">
        <v>273</v>
      </c>
      <c r="C1798" s="8">
        <v>46189</v>
      </c>
      <c r="D1798" s="9">
        <v>15343</v>
      </c>
      <c r="E1798">
        <f>MONTH(C1798)</f>
        <v>6</v>
      </c>
    </row>
    <row r="1799" spans="1:5">
      <c r="A1799" t="s">
        <v>9</v>
      </c>
      <c r="B1799" t="s">
        <v>276</v>
      </c>
      <c r="C1799" s="8">
        <v>46189</v>
      </c>
      <c r="D1799" s="9">
        <v>31363</v>
      </c>
      <c r="E1799">
        <f>MONTH(C1799)</f>
        <v>6</v>
      </c>
    </row>
    <row r="1800" spans="1:5">
      <c r="A1800" t="s">
        <v>9</v>
      </c>
      <c r="B1800" t="s">
        <v>176</v>
      </c>
      <c r="C1800" s="8">
        <v>46189</v>
      </c>
      <c r="D1800" s="9">
        <v>43373</v>
      </c>
      <c r="E1800">
        <f>MONTH(C1800)</f>
        <v>6</v>
      </c>
    </row>
    <row r="1801" spans="1:5">
      <c r="A1801" t="s">
        <v>9</v>
      </c>
      <c r="B1801" t="s">
        <v>82</v>
      </c>
      <c r="C1801" s="8">
        <v>46189</v>
      </c>
      <c r="D1801" s="9">
        <v>35535</v>
      </c>
      <c r="E1801">
        <f>MONTH(C1801)</f>
        <v>6</v>
      </c>
    </row>
    <row r="1802" spans="1:5">
      <c r="A1802" t="s">
        <v>9</v>
      </c>
      <c r="B1802" t="s">
        <v>250</v>
      </c>
      <c r="C1802" s="8">
        <v>46189</v>
      </c>
      <c r="D1802" s="9">
        <v>42357</v>
      </c>
      <c r="E1802">
        <f>MONTH(C1802)</f>
        <v>6</v>
      </c>
    </row>
    <row r="1803" spans="1:5">
      <c r="A1803" t="s">
        <v>9</v>
      </c>
      <c r="B1803" t="s">
        <v>113</v>
      </c>
      <c r="C1803" s="8">
        <v>46189</v>
      </c>
      <c r="D1803" s="9">
        <v>13752</v>
      </c>
      <c r="E1803">
        <f>MONTH(C1803)</f>
        <v>6</v>
      </c>
    </row>
    <row r="1804" spans="1:5">
      <c r="A1804" t="s">
        <v>5</v>
      </c>
      <c r="B1804" t="s">
        <v>106</v>
      </c>
      <c r="C1804" s="8">
        <v>46189</v>
      </c>
      <c r="D1804" s="9">
        <v>27230</v>
      </c>
      <c r="E1804">
        <f>MONTH(C1804)</f>
        <v>6</v>
      </c>
    </row>
    <row r="1805" spans="1:5">
      <c r="A1805" t="s">
        <v>5</v>
      </c>
      <c r="B1805" t="s">
        <v>133</v>
      </c>
      <c r="C1805" s="8">
        <v>46189</v>
      </c>
      <c r="D1805" s="9">
        <v>51039</v>
      </c>
      <c r="E1805">
        <f>MONTH(C1805)</f>
        <v>6</v>
      </c>
    </row>
    <row r="1806" spans="1:5">
      <c r="A1806" t="s">
        <v>5</v>
      </c>
      <c r="B1806" t="s">
        <v>251</v>
      </c>
      <c r="C1806" s="8">
        <v>46189</v>
      </c>
      <c r="D1806" s="9">
        <v>64820</v>
      </c>
      <c r="E1806">
        <f>MONTH(C1806)</f>
        <v>6</v>
      </c>
    </row>
    <row r="1807" spans="1:5">
      <c r="A1807" t="s">
        <v>5</v>
      </c>
      <c r="B1807" t="s">
        <v>123</v>
      </c>
      <c r="C1807" s="8">
        <v>46189</v>
      </c>
      <c r="D1807" s="9">
        <v>31839</v>
      </c>
      <c r="E1807">
        <f>MONTH(C1807)</f>
        <v>6</v>
      </c>
    </row>
    <row r="1808" spans="1:5">
      <c r="A1808" t="s">
        <v>5</v>
      </c>
      <c r="B1808" t="s">
        <v>210</v>
      </c>
      <c r="C1808" s="8">
        <v>46189</v>
      </c>
      <c r="D1808" s="9">
        <v>36458</v>
      </c>
      <c r="E1808">
        <f>MONTH(C1808)</f>
        <v>6</v>
      </c>
    </row>
    <row r="1809" spans="1:5">
      <c r="A1809" t="s">
        <v>5</v>
      </c>
      <c r="B1809" t="s">
        <v>61</v>
      </c>
      <c r="C1809" s="8">
        <v>46189</v>
      </c>
      <c r="D1809" s="9">
        <v>46522</v>
      </c>
      <c r="E1809">
        <f>MONTH(C1809)</f>
        <v>6</v>
      </c>
    </row>
    <row r="1810" spans="1:5">
      <c r="A1810" t="s">
        <v>4</v>
      </c>
      <c r="B1810" t="s">
        <v>240</v>
      </c>
      <c r="C1810" s="8">
        <v>46190</v>
      </c>
      <c r="D1810" s="9">
        <v>18767</v>
      </c>
      <c r="E1810">
        <f>MONTH(C1810)</f>
        <v>6</v>
      </c>
    </row>
    <row r="1811" spans="1:5">
      <c r="A1811" t="s">
        <v>4</v>
      </c>
      <c r="B1811" t="s">
        <v>127</v>
      </c>
      <c r="C1811" s="8">
        <v>46190</v>
      </c>
      <c r="D1811" s="9">
        <v>36108</v>
      </c>
      <c r="E1811">
        <f>MONTH(C1811)</f>
        <v>6</v>
      </c>
    </row>
    <row r="1812" spans="1:5">
      <c r="A1812" t="s">
        <v>4</v>
      </c>
      <c r="B1812" t="s">
        <v>204</v>
      </c>
      <c r="C1812" s="8">
        <v>46190</v>
      </c>
      <c r="D1812" s="9">
        <v>39499</v>
      </c>
      <c r="E1812">
        <f>MONTH(C1812)</f>
        <v>6</v>
      </c>
    </row>
    <row r="1813" spans="1:5">
      <c r="A1813" t="s">
        <v>31</v>
      </c>
      <c r="B1813" t="s">
        <v>199</v>
      </c>
      <c r="C1813" s="8">
        <v>46190</v>
      </c>
      <c r="D1813" s="9">
        <v>21734</v>
      </c>
      <c r="E1813">
        <f>MONTH(C1813)</f>
        <v>6</v>
      </c>
    </row>
    <row r="1814" spans="1:5">
      <c r="A1814" t="s">
        <v>28</v>
      </c>
      <c r="B1814" t="s">
        <v>62</v>
      </c>
      <c r="C1814" s="8">
        <v>46190</v>
      </c>
      <c r="D1814" s="9">
        <v>13253</v>
      </c>
      <c r="E1814">
        <f>MONTH(C1814)</f>
        <v>6</v>
      </c>
    </row>
    <row r="1815" spans="1:5">
      <c r="A1815" t="s">
        <v>32</v>
      </c>
      <c r="B1815" t="s">
        <v>87</v>
      </c>
      <c r="C1815" s="8">
        <v>46190</v>
      </c>
      <c r="D1815" s="9">
        <v>12160</v>
      </c>
      <c r="E1815">
        <f>MONTH(C1815)</f>
        <v>6</v>
      </c>
    </row>
    <row r="1816" spans="1:5">
      <c r="A1816" t="s">
        <v>6</v>
      </c>
      <c r="B1816" t="s">
        <v>80</v>
      </c>
      <c r="C1816" s="8">
        <v>46190</v>
      </c>
      <c r="D1816" s="9">
        <v>5200</v>
      </c>
      <c r="E1816">
        <f>MONTH(C1816)</f>
        <v>6</v>
      </c>
    </row>
    <row r="1817" spans="1:5">
      <c r="A1817" t="s">
        <v>6</v>
      </c>
      <c r="B1817" t="s">
        <v>141</v>
      </c>
      <c r="C1817" s="8">
        <v>46190</v>
      </c>
      <c r="D1817" s="9">
        <v>18402</v>
      </c>
      <c r="E1817">
        <f>MONTH(C1817)</f>
        <v>6</v>
      </c>
    </row>
    <row r="1818" spans="1:5">
      <c r="A1818" t="s">
        <v>7</v>
      </c>
      <c r="B1818" t="s">
        <v>233</v>
      </c>
      <c r="C1818" s="8">
        <v>46190</v>
      </c>
      <c r="D1818" s="9">
        <v>22713</v>
      </c>
      <c r="E1818">
        <f>MONTH(C1818)</f>
        <v>6</v>
      </c>
    </row>
    <row r="1819" spans="1:5">
      <c r="A1819" t="s">
        <v>9</v>
      </c>
      <c r="B1819" t="s">
        <v>143</v>
      </c>
      <c r="C1819" s="8">
        <v>46190</v>
      </c>
      <c r="D1819" s="9">
        <v>36106</v>
      </c>
      <c r="E1819">
        <f>MONTH(C1819)</f>
        <v>6</v>
      </c>
    </row>
    <row r="1820" spans="1:5">
      <c r="A1820" t="s">
        <v>9</v>
      </c>
      <c r="B1820" t="s">
        <v>144</v>
      </c>
      <c r="C1820" s="8">
        <v>46190</v>
      </c>
      <c r="D1820" s="9">
        <v>23324</v>
      </c>
      <c r="E1820">
        <f>MONTH(C1820)</f>
        <v>6</v>
      </c>
    </row>
    <row r="1821" spans="1:5">
      <c r="A1821" t="s">
        <v>5</v>
      </c>
      <c r="B1821" t="s">
        <v>210</v>
      </c>
      <c r="C1821" s="8">
        <v>46190</v>
      </c>
      <c r="D1821" s="9">
        <v>35127</v>
      </c>
      <c r="E1821">
        <f>MONTH(C1821)</f>
        <v>6</v>
      </c>
    </row>
    <row r="1822" spans="1:5">
      <c r="A1822" t="s">
        <v>5</v>
      </c>
      <c r="B1822" t="s">
        <v>101</v>
      </c>
      <c r="C1822" s="8">
        <v>46190</v>
      </c>
      <c r="D1822" s="9">
        <v>33002</v>
      </c>
      <c r="E1822">
        <f>MONTH(C1822)</f>
        <v>6</v>
      </c>
    </row>
    <row r="1823" spans="1:5">
      <c r="A1823" t="s">
        <v>5</v>
      </c>
      <c r="B1823" t="s">
        <v>93</v>
      </c>
      <c r="C1823" s="8">
        <v>46190</v>
      </c>
      <c r="D1823" s="9">
        <v>34974</v>
      </c>
      <c r="E1823">
        <f>MONTH(C1823)</f>
        <v>6</v>
      </c>
    </row>
    <row r="1824" spans="1:5">
      <c r="A1824" t="s">
        <v>27</v>
      </c>
      <c r="B1824" t="s">
        <v>196</v>
      </c>
      <c r="C1824" s="8">
        <v>46191</v>
      </c>
      <c r="D1824" s="9">
        <v>15272</v>
      </c>
      <c r="E1824">
        <f>MONTH(C1824)</f>
        <v>6</v>
      </c>
    </row>
    <row r="1825" spans="1:5">
      <c r="A1825" t="s">
        <v>4</v>
      </c>
      <c r="B1825" t="s">
        <v>160</v>
      </c>
      <c r="C1825" s="8">
        <v>46191</v>
      </c>
      <c r="D1825" s="9">
        <v>30452</v>
      </c>
      <c r="E1825">
        <f>MONTH(C1825)</f>
        <v>6</v>
      </c>
    </row>
    <row r="1826" spans="1:5">
      <c r="A1826" t="s">
        <v>4</v>
      </c>
      <c r="B1826" t="s">
        <v>146</v>
      </c>
      <c r="C1826" s="8">
        <v>46191</v>
      </c>
      <c r="D1826" s="9">
        <v>23534</v>
      </c>
      <c r="E1826">
        <f>MONTH(C1826)</f>
        <v>6</v>
      </c>
    </row>
    <row r="1827" spans="1:5">
      <c r="A1827" t="s">
        <v>8</v>
      </c>
      <c r="B1827" t="s">
        <v>79</v>
      </c>
      <c r="C1827" s="8">
        <v>46191</v>
      </c>
      <c r="D1827" s="9">
        <v>15532</v>
      </c>
      <c r="E1827">
        <f>MONTH(C1827)</f>
        <v>6</v>
      </c>
    </row>
    <row r="1828" spans="1:5">
      <c r="A1828" t="s">
        <v>8</v>
      </c>
      <c r="B1828" t="s">
        <v>258</v>
      </c>
      <c r="C1828" s="8">
        <v>46191</v>
      </c>
      <c r="D1828" s="9">
        <v>21728</v>
      </c>
      <c r="E1828">
        <f>MONTH(C1828)</f>
        <v>6</v>
      </c>
    </row>
    <row r="1829" spans="1:5">
      <c r="A1829" t="s">
        <v>8</v>
      </c>
      <c r="B1829" t="s">
        <v>140</v>
      </c>
      <c r="C1829" s="8">
        <v>46191</v>
      </c>
      <c r="D1829" s="9">
        <v>15315</v>
      </c>
      <c r="E1829">
        <f>MONTH(C1829)</f>
        <v>6</v>
      </c>
    </row>
    <row r="1830" spans="1:5">
      <c r="A1830" t="s">
        <v>7</v>
      </c>
      <c r="B1830" t="s">
        <v>235</v>
      </c>
      <c r="C1830" s="8">
        <v>46191</v>
      </c>
      <c r="D1830" s="9">
        <v>30649</v>
      </c>
      <c r="E1830">
        <f>MONTH(C1830)</f>
        <v>6</v>
      </c>
    </row>
    <row r="1831" spans="1:5">
      <c r="A1831" t="s">
        <v>7</v>
      </c>
      <c r="B1831" t="s">
        <v>193</v>
      </c>
      <c r="C1831" s="8">
        <v>46191</v>
      </c>
      <c r="D1831" s="9">
        <v>25476</v>
      </c>
      <c r="E1831">
        <f>MONTH(C1831)</f>
        <v>6</v>
      </c>
    </row>
    <row r="1832" spans="1:5">
      <c r="A1832" t="s">
        <v>7</v>
      </c>
      <c r="B1832" t="s">
        <v>175</v>
      </c>
      <c r="C1832" s="8">
        <v>46191</v>
      </c>
      <c r="D1832" s="9">
        <v>18303</v>
      </c>
      <c r="E1832">
        <f>MONTH(C1832)</f>
        <v>6</v>
      </c>
    </row>
    <row r="1833" spans="1:5">
      <c r="A1833" t="s">
        <v>9</v>
      </c>
      <c r="B1833" t="s">
        <v>203</v>
      </c>
      <c r="C1833" s="8">
        <v>46191</v>
      </c>
      <c r="D1833" s="9">
        <v>25518</v>
      </c>
      <c r="E1833">
        <f>MONTH(C1833)</f>
        <v>6</v>
      </c>
    </row>
    <row r="1834" spans="1:5">
      <c r="A1834" t="s">
        <v>9</v>
      </c>
      <c r="B1834" t="s">
        <v>148</v>
      </c>
      <c r="C1834" s="8">
        <v>46191</v>
      </c>
      <c r="D1834" s="9">
        <v>57162</v>
      </c>
      <c r="E1834">
        <f>MONTH(C1834)</f>
        <v>6</v>
      </c>
    </row>
    <row r="1835" spans="1:5">
      <c r="A1835" t="s">
        <v>9</v>
      </c>
      <c r="B1835" t="s">
        <v>144</v>
      </c>
      <c r="C1835" s="8">
        <v>46191</v>
      </c>
      <c r="D1835" s="9">
        <v>29347</v>
      </c>
      <c r="E1835">
        <f>MONTH(C1835)</f>
        <v>6</v>
      </c>
    </row>
    <row r="1836" spans="1:5">
      <c r="A1836" t="s">
        <v>9</v>
      </c>
      <c r="B1836" t="s">
        <v>264</v>
      </c>
      <c r="C1836" s="8">
        <v>46191</v>
      </c>
      <c r="D1836" s="9">
        <v>30652</v>
      </c>
      <c r="E1836">
        <f>MONTH(C1836)</f>
        <v>6</v>
      </c>
    </row>
    <row r="1837" spans="1:5">
      <c r="A1837" t="s">
        <v>5</v>
      </c>
      <c r="B1837" t="s">
        <v>145</v>
      </c>
      <c r="C1837" s="8">
        <v>46191</v>
      </c>
      <c r="D1837" s="9">
        <v>56344</v>
      </c>
      <c r="E1837">
        <f>MONTH(C1837)</f>
        <v>6</v>
      </c>
    </row>
    <row r="1838" spans="1:5">
      <c r="A1838" t="s">
        <v>5</v>
      </c>
      <c r="B1838" t="s">
        <v>211</v>
      </c>
      <c r="C1838" s="8">
        <v>46191</v>
      </c>
      <c r="D1838" s="9">
        <v>24615</v>
      </c>
      <c r="E1838">
        <f>MONTH(C1838)</f>
        <v>6</v>
      </c>
    </row>
    <row r="1839" spans="1:5">
      <c r="A1839" t="s">
        <v>5</v>
      </c>
      <c r="B1839" t="s">
        <v>178</v>
      </c>
      <c r="C1839" s="8">
        <v>46191</v>
      </c>
      <c r="D1839" s="9">
        <v>38963</v>
      </c>
      <c r="E1839">
        <f>MONTH(C1839)</f>
        <v>6</v>
      </c>
    </row>
    <row r="1840" spans="1:5">
      <c r="A1840" t="s">
        <v>4</v>
      </c>
      <c r="B1840" t="s">
        <v>116</v>
      </c>
      <c r="C1840" s="8">
        <v>46192</v>
      </c>
      <c r="D1840" s="9">
        <v>31119</v>
      </c>
      <c r="E1840">
        <f>MONTH(C1840)</f>
        <v>6</v>
      </c>
    </row>
    <row r="1841" spans="1:5">
      <c r="A1841" t="s">
        <v>28</v>
      </c>
      <c r="B1841" t="s">
        <v>255</v>
      </c>
      <c r="C1841" s="8">
        <v>46192</v>
      </c>
      <c r="D1841" s="9">
        <v>25547</v>
      </c>
      <c r="E1841">
        <f>MONTH(C1841)</f>
        <v>6</v>
      </c>
    </row>
    <row r="1842" spans="1:5">
      <c r="A1842" t="s">
        <v>6</v>
      </c>
      <c r="B1842" t="s">
        <v>262</v>
      </c>
      <c r="C1842" s="8">
        <v>46192</v>
      </c>
      <c r="D1842" s="9">
        <v>15659</v>
      </c>
      <c r="E1842">
        <f>MONTH(C1842)</f>
        <v>6</v>
      </c>
    </row>
    <row r="1843" spans="1:5">
      <c r="A1843" t="s">
        <v>9</v>
      </c>
      <c r="B1843" t="s">
        <v>195</v>
      </c>
      <c r="C1843" s="8">
        <v>46192</v>
      </c>
      <c r="D1843" s="9">
        <v>28012</v>
      </c>
      <c r="E1843">
        <f>MONTH(C1843)</f>
        <v>6</v>
      </c>
    </row>
    <row r="1844" spans="1:5">
      <c r="A1844" t="s">
        <v>9</v>
      </c>
      <c r="B1844" t="s">
        <v>70</v>
      </c>
      <c r="C1844" s="8">
        <v>46192</v>
      </c>
      <c r="D1844" s="9">
        <v>27064</v>
      </c>
      <c r="E1844">
        <f>MONTH(C1844)</f>
        <v>6</v>
      </c>
    </row>
    <row r="1845" spans="1:5">
      <c r="A1845" t="s">
        <v>5</v>
      </c>
      <c r="B1845" t="s">
        <v>72</v>
      </c>
      <c r="C1845" s="8">
        <v>46192</v>
      </c>
      <c r="D1845" s="9">
        <v>50888</v>
      </c>
      <c r="E1845">
        <f>MONTH(C1845)</f>
        <v>6</v>
      </c>
    </row>
    <row r="1846" spans="1:5">
      <c r="A1846" t="s">
        <v>5</v>
      </c>
      <c r="B1846" t="s">
        <v>98</v>
      </c>
      <c r="C1846" s="8">
        <v>46192</v>
      </c>
      <c r="D1846" s="9">
        <v>44522</v>
      </c>
      <c r="E1846">
        <f>MONTH(C1846)</f>
        <v>6</v>
      </c>
    </row>
    <row r="1847" spans="1:5">
      <c r="A1847" t="s">
        <v>5</v>
      </c>
      <c r="B1847" t="s">
        <v>172</v>
      </c>
      <c r="C1847" s="8">
        <v>46192</v>
      </c>
      <c r="D1847" s="9">
        <v>31342</v>
      </c>
      <c r="E1847">
        <f>MONTH(C1847)</f>
        <v>6</v>
      </c>
    </row>
    <row r="1848" spans="1:5">
      <c r="A1848" t="s">
        <v>5</v>
      </c>
      <c r="B1848" t="s">
        <v>172</v>
      </c>
      <c r="C1848" s="8">
        <v>46192</v>
      </c>
      <c r="D1848" s="9">
        <v>37829</v>
      </c>
      <c r="E1848">
        <f>MONTH(C1848)</f>
        <v>6</v>
      </c>
    </row>
    <row r="1849" spans="1:5">
      <c r="A1849" t="s">
        <v>25</v>
      </c>
      <c r="B1849" t="s">
        <v>200</v>
      </c>
      <c r="C1849" s="8">
        <v>46193</v>
      </c>
      <c r="D1849" s="9">
        <v>16036</v>
      </c>
      <c r="E1849">
        <f>MONTH(C1849)</f>
        <v>6</v>
      </c>
    </row>
    <row r="1850" spans="1:5">
      <c r="A1850" t="s">
        <v>29</v>
      </c>
      <c r="B1850" t="s">
        <v>191</v>
      </c>
      <c r="C1850" s="8">
        <v>46193</v>
      </c>
      <c r="D1850" s="9">
        <v>12164</v>
      </c>
      <c r="E1850">
        <f>MONTH(C1850)</f>
        <v>6</v>
      </c>
    </row>
    <row r="1851" spans="1:5">
      <c r="A1851" t="s">
        <v>29</v>
      </c>
      <c r="B1851" t="s">
        <v>104</v>
      </c>
      <c r="C1851" s="8">
        <v>46193</v>
      </c>
      <c r="D1851" s="9">
        <v>12218</v>
      </c>
      <c r="E1851">
        <f>MONTH(C1851)</f>
        <v>6</v>
      </c>
    </row>
    <row r="1852" spans="1:5">
      <c r="A1852" t="s">
        <v>7</v>
      </c>
      <c r="B1852" t="s">
        <v>122</v>
      </c>
      <c r="C1852" s="8">
        <v>46193</v>
      </c>
      <c r="D1852" s="9">
        <v>7310</v>
      </c>
      <c r="E1852">
        <f>MONTH(C1852)</f>
        <v>6</v>
      </c>
    </row>
    <row r="1853" spans="1:5">
      <c r="A1853" t="s">
        <v>9</v>
      </c>
      <c r="B1853" t="s">
        <v>171</v>
      </c>
      <c r="C1853" s="8">
        <v>46193</v>
      </c>
      <c r="D1853" s="9">
        <v>41713</v>
      </c>
      <c r="E1853">
        <f>MONTH(C1853)</f>
        <v>6</v>
      </c>
    </row>
    <row r="1854" spans="1:5">
      <c r="A1854" t="s">
        <v>5</v>
      </c>
      <c r="B1854" t="s">
        <v>239</v>
      </c>
      <c r="C1854" s="8">
        <v>46193</v>
      </c>
      <c r="D1854" s="9">
        <v>32566</v>
      </c>
      <c r="E1854">
        <f>MONTH(C1854)</f>
        <v>6</v>
      </c>
    </row>
    <row r="1855" spans="1:5">
      <c r="A1855" t="s">
        <v>5</v>
      </c>
      <c r="B1855" t="s">
        <v>70</v>
      </c>
      <c r="C1855" s="8">
        <v>46193</v>
      </c>
      <c r="D1855" s="9">
        <v>29910</v>
      </c>
      <c r="E1855">
        <f>MONTH(C1855)</f>
        <v>6</v>
      </c>
    </row>
    <row r="1856" spans="1:5">
      <c r="A1856" t="s">
        <v>5</v>
      </c>
      <c r="B1856" t="s">
        <v>134</v>
      </c>
      <c r="C1856" s="8">
        <v>46193</v>
      </c>
      <c r="D1856" s="9">
        <v>38857</v>
      </c>
      <c r="E1856">
        <f>MONTH(C1856)</f>
        <v>6</v>
      </c>
    </row>
    <row r="1857" spans="1:5">
      <c r="A1857" t="s">
        <v>25</v>
      </c>
      <c r="B1857" t="s">
        <v>272</v>
      </c>
      <c r="C1857" s="8">
        <v>46194</v>
      </c>
      <c r="D1857" s="9">
        <v>12950</v>
      </c>
      <c r="E1857">
        <f>MONTH(C1857)</f>
        <v>6</v>
      </c>
    </row>
    <row r="1858" spans="1:5">
      <c r="A1858" t="s">
        <v>29</v>
      </c>
      <c r="B1858" t="s">
        <v>57</v>
      </c>
      <c r="C1858" s="8">
        <v>46194</v>
      </c>
      <c r="D1858" s="9">
        <v>14050</v>
      </c>
      <c r="E1858">
        <f>MONTH(C1858)</f>
        <v>6</v>
      </c>
    </row>
    <row r="1859" spans="1:5">
      <c r="A1859" t="s">
        <v>7</v>
      </c>
      <c r="B1859" t="s">
        <v>90</v>
      </c>
      <c r="C1859" s="8">
        <v>46194</v>
      </c>
      <c r="D1859" s="9">
        <v>35964</v>
      </c>
      <c r="E1859">
        <f>MONTH(C1859)</f>
        <v>6</v>
      </c>
    </row>
    <row r="1860" spans="1:5">
      <c r="A1860" t="s">
        <v>9</v>
      </c>
      <c r="B1860" t="s">
        <v>96</v>
      </c>
      <c r="C1860" s="8">
        <v>46194</v>
      </c>
      <c r="D1860" s="9">
        <v>29027</v>
      </c>
      <c r="E1860">
        <f>MONTH(C1860)</f>
        <v>6</v>
      </c>
    </row>
    <row r="1861" spans="1:5">
      <c r="A1861" t="s">
        <v>27</v>
      </c>
      <c r="B1861" t="s">
        <v>125</v>
      </c>
      <c r="C1861" s="8">
        <v>46195</v>
      </c>
      <c r="D1861" s="9">
        <v>10814</v>
      </c>
      <c r="E1861">
        <f>MONTH(C1861)</f>
        <v>6</v>
      </c>
    </row>
    <row r="1862" spans="1:5">
      <c r="A1862" t="s">
        <v>4</v>
      </c>
      <c r="B1862" t="s">
        <v>266</v>
      </c>
      <c r="C1862" s="8">
        <v>46195</v>
      </c>
      <c r="D1862" s="9">
        <v>6795</v>
      </c>
      <c r="E1862">
        <f>MONTH(C1862)</f>
        <v>6</v>
      </c>
    </row>
    <row r="1863" spans="1:5">
      <c r="A1863" t="s">
        <v>6</v>
      </c>
      <c r="B1863" t="s">
        <v>261</v>
      </c>
      <c r="C1863" s="8">
        <v>46195</v>
      </c>
      <c r="D1863" s="9">
        <v>16962</v>
      </c>
      <c r="E1863">
        <f>MONTH(C1863)</f>
        <v>6</v>
      </c>
    </row>
    <row r="1864" spans="1:5">
      <c r="A1864" t="s">
        <v>33</v>
      </c>
      <c r="B1864" t="s">
        <v>248</v>
      </c>
      <c r="C1864" s="8">
        <v>46195</v>
      </c>
      <c r="D1864" s="9">
        <v>9535</v>
      </c>
      <c r="E1864">
        <f>MONTH(C1864)</f>
        <v>6</v>
      </c>
    </row>
    <row r="1865" spans="1:5">
      <c r="A1865" t="s">
        <v>29</v>
      </c>
      <c r="B1865" t="s">
        <v>121</v>
      </c>
      <c r="C1865" s="8">
        <v>46195</v>
      </c>
      <c r="D1865" s="9">
        <v>5200</v>
      </c>
      <c r="E1865">
        <f>MONTH(C1865)</f>
        <v>6</v>
      </c>
    </row>
    <row r="1866" spans="1:5">
      <c r="A1866" t="s">
        <v>5</v>
      </c>
      <c r="B1866" t="s">
        <v>100</v>
      </c>
      <c r="C1866" s="8">
        <v>46195</v>
      </c>
      <c r="D1866" s="9">
        <v>24919</v>
      </c>
      <c r="E1866">
        <f>MONTH(C1866)</f>
        <v>6</v>
      </c>
    </row>
    <row r="1867" spans="1:5">
      <c r="A1867" t="s">
        <v>35</v>
      </c>
      <c r="B1867" t="s">
        <v>271</v>
      </c>
      <c r="C1867" s="8">
        <v>46196</v>
      </c>
      <c r="D1867" s="9">
        <v>5200</v>
      </c>
      <c r="E1867">
        <f>MONTH(C1867)</f>
        <v>6</v>
      </c>
    </row>
    <row r="1868" spans="1:5">
      <c r="A1868" t="s">
        <v>34</v>
      </c>
      <c r="B1868" t="s">
        <v>265</v>
      </c>
      <c r="C1868" s="8">
        <v>46196</v>
      </c>
      <c r="D1868" s="9">
        <v>11657</v>
      </c>
      <c r="E1868">
        <f>MONTH(C1868)</f>
        <v>6</v>
      </c>
    </row>
    <row r="1869" spans="1:5">
      <c r="A1869" t="s">
        <v>7</v>
      </c>
      <c r="B1869" t="s">
        <v>226</v>
      </c>
      <c r="C1869" s="8">
        <v>46196</v>
      </c>
      <c r="D1869" s="9">
        <v>21805</v>
      </c>
      <c r="E1869">
        <f>MONTH(C1869)</f>
        <v>6</v>
      </c>
    </row>
    <row r="1870" spans="1:5">
      <c r="A1870" t="s">
        <v>7</v>
      </c>
      <c r="B1870" t="s">
        <v>208</v>
      </c>
      <c r="C1870" s="8">
        <v>46196</v>
      </c>
      <c r="D1870" s="9">
        <v>19077</v>
      </c>
      <c r="E1870">
        <f>MONTH(C1870)</f>
        <v>6</v>
      </c>
    </row>
    <row r="1871" spans="1:5">
      <c r="A1871" t="s">
        <v>9</v>
      </c>
      <c r="B1871" t="s">
        <v>235</v>
      </c>
      <c r="C1871" s="8">
        <v>46196</v>
      </c>
      <c r="D1871" s="9">
        <v>37347</v>
      </c>
      <c r="E1871">
        <f>MONTH(C1871)</f>
        <v>6</v>
      </c>
    </row>
    <row r="1872" spans="1:5">
      <c r="A1872" t="s">
        <v>9</v>
      </c>
      <c r="B1872" t="s">
        <v>157</v>
      </c>
      <c r="C1872" s="8">
        <v>46196</v>
      </c>
      <c r="D1872" s="9">
        <v>28056</v>
      </c>
      <c r="E1872">
        <f>MONTH(C1872)</f>
        <v>6</v>
      </c>
    </row>
    <row r="1873" spans="1:5">
      <c r="A1873" t="s">
        <v>9</v>
      </c>
      <c r="B1873" t="s">
        <v>71</v>
      </c>
      <c r="C1873" s="8">
        <v>46196</v>
      </c>
      <c r="D1873" s="9">
        <v>46614</v>
      </c>
      <c r="E1873">
        <f>MONTH(C1873)</f>
        <v>6</v>
      </c>
    </row>
    <row r="1874" spans="1:5">
      <c r="A1874" t="s">
        <v>5</v>
      </c>
      <c r="B1874" t="s">
        <v>166</v>
      </c>
      <c r="C1874" s="8">
        <v>46196</v>
      </c>
      <c r="D1874" s="9">
        <v>48646</v>
      </c>
      <c r="E1874">
        <f>MONTH(C1874)</f>
        <v>6</v>
      </c>
    </row>
    <row r="1875" spans="1:5">
      <c r="A1875" t="s">
        <v>5</v>
      </c>
      <c r="B1875" t="s">
        <v>211</v>
      </c>
      <c r="C1875" s="8">
        <v>46196</v>
      </c>
      <c r="D1875" s="9">
        <v>29897</v>
      </c>
      <c r="E1875">
        <f>MONTH(C1875)</f>
        <v>6</v>
      </c>
    </row>
    <row r="1876" spans="1:5">
      <c r="A1876" t="s">
        <v>5</v>
      </c>
      <c r="B1876" t="s">
        <v>93</v>
      </c>
      <c r="C1876" s="8">
        <v>46196</v>
      </c>
      <c r="D1876" s="9">
        <v>38836</v>
      </c>
      <c r="E1876">
        <f>MONTH(C1876)</f>
        <v>6</v>
      </c>
    </row>
    <row r="1877" spans="1:5">
      <c r="A1877" t="s">
        <v>5</v>
      </c>
      <c r="B1877" t="s">
        <v>61</v>
      </c>
      <c r="C1877" s="8">
        <v>46196</v>
      </c>
      <c r="D1877" s="9">
        <v>34689</v>
      </c>
      <c r="E1877">
        <f>MONTH(C1877)</f>
        <v>6</v>
      </c>
    </row>
    <row r="1878" spans="1:5">
      <c r="A1878" t="s">
        <v>31</v>
      </c>
      <c r="B1878" t="s">
        <v>77</v>
      </c>
      <c r="C1878" s="8">
        <v>46197</v>
      </c>
      <c r="D1878" s="9">
        <v>25191</v>
      </c>
      <c r="E1878">
        <f>MONTH(C1878)</f>
        <v>6</v>
      </c>
    </row>
    <row r="1879" spans="1:5">
      <c r="A1879" t="s">
        <v>25</v>
      </c>
      <c r="B1879" t="s">
        <v>78</v>
      </c>
      <c r="C1879" s="8">
        <v>46197</v>
      </c>
      <c r="D1879" s="9">
        <v>14759</v>
      </c>
      <c r="E1879">
        <f>MONTH(C1879)</f>
        <v>6</v>
      </c>
    </row>
    <row r="1880" spans="1:5">
      <c r="A1880" t="s">
        <v>30</v>
      </c>
      <c r="B1880" t="s">
        <v>162</v>
      </c>
      <c r="C1880" s="8">
        <v>46197</v>
      </c>
      <c r="D1880" s="9">
        <v>11450</v>
      </c>
      <c r="E1880">
        <f>MONTH(C1880)</f>
        <v>6</v>
      </c>
    </row>
    <row r="1881" spans="1:5">
      <c r="A1881" t="s">
        <v>32</v>
      </c>
      <c r="B1881" t="s">
        <v>247</v>
      </c>
      <c r="C1881" s="8">
        <v>46197</v>
      </c>
      <c r="D1881" s="9">
        <v>12520</v>
      </c>
      <c r="E1881">
        <f>MONTH(C1881)</f>
        <v>6</v>
      </c>
    </row>
    <row r="1882" spans="1:5">
      <c r="A1882" t="s">
        <v>6</v>
      </c>
      <c r="B1882" t="s">
        <v>130</v>
      </c>
      <c r="C1882" s="8">
        <v>46197</v>
      </c>
      <c r="D1882" s="9">
        <v>18958</v>
      </c>
      <c r="E1882">
        <f>MONTH(C1882)</f>
        <v>6</v>
      </c>
    </row>
    <row r="1883" spans="1:5">
      <c r="A1883" t="s">
        <v>6</v>
      </c>
      <c r="B1883" t="s">
        <v>88</v>
      </c>
      <c r="C1883" s="8">
        <v>46197</v>
      </c>
      <c r="D1883" s="9">
        <v>16715</v>
      </c>
      <c r="E1883">
        <f>MONTH(C1883)</f>
        <v>6</v>
      </c>
    </row>
    <row r="1884" spans="1:5">
      <c r="A1884" t="s">
        <v>7</v>
      </c>
      <c r="B1884" t="s">
        <v>202</v>
      </c>
      <c r="C1884" s="8">
        <v>46197</v>
      </c>
      <c r="D1884" s="9">
        <v>21696</v>
      </c>
      <c r="E1884">
        <f>MONTH(C1884)</f>
        <v>6</v>
      </c>
    </row>
    <row r="1885" spans="1:5">
      <c r="A1885" t="s">
        <v>9</v>
      </c>
      <c r="B1885" t="s">
        <v>66</v>
      </c>
      <c r="C1885" s="8">
        <v>46197</v>
      </c>
      <c r="D1885" s="9">
        <v>34339</v>
      </c>
      <c r="E1885">
        <f>MONTH(C1885)</f>
        <v>6</v>
      </c>
    </row>
    <row r="1886" spans="1:5">
      <c r="A1886" t="s">
        <v>9</v>
      </c>
      <c r="B1886" t="s">
        <v>179</v>
      </c>
      <c r="C1886" s="8">
        <v>46197</v>
      </c>
      <c r="D1886" s="9">
        <v>42935</v>
      </c>
      <c r="E1886">
        <f>MONTH(C1886)</f>
        <v>6</v>
      </c>
    </row>
    <row r="1887" spans="1:5">
      <c r="A1887" t="s">
        <v>9</v>
      </c>
      <c r="B1887" t="s">
        <v>158</v>
      </c>
      <c r="C1887" s="8">
        <v>46197</v>
      </c>
      <c r="D1887" s="9">
        <v>37320</v>
      </c>
      <c r="E1887">
        <f>MONTH(C1887)</f>
        <v>6</v>
      </c>
    </row>
    <row r="1888" spans="1:5">
      <c r="A1888" t="s">
        <v>5</v>
      </c>
      <c r="B1888" t="s">
        <v>133</v>
      </c>
      <c r="C1888" s="8">
        <v>46197</v>
      </c>
      <c r="D1888" s="9">
        <v>38501</v>
      </c>
      <c r="E1888">
        <f>MONTH(C1888)</f>
        <v>6</v>
      </c>
    </row>
    <row r="1889" spans="1:5">
      <c r="A1889" t="s">
        <v>5</v>
      </c>
      <c r="B1889" t="s">
        <v>92</v>
      </c>
      <c r="C1889" s="8">
        <v>46197</v>
      </c>
      <c r="D1889" s="9">
        <v>48867</v>
      </c>
      <c r="E1889">
        <f>MONTH(C1889)</f>
        <v>6</v>
      </c>
    </row>
    <row r="1890" spans="1:5">
      <c r="A1890" t="s">
        <v>5</v>
      </c>
      <c r="B1890" t="s">
        <v>54</v>
      </c>
      <c r="C1890" s="8">
        <v>46197</v>
      </c>
      <c r="D1890" s="9">
        <v>43921</v>
      </c>
      <c r="E1890">
        <f>MONTH(C1890)</f>
        <v>6</v>
      </c>
    </row>
    <row r="1891" spans="1:5">
      <c r="A1891" t="s">
        <v>32</v>
      </c>
      <c r="B1891" t="s">
        <v>230</v>
      </c>
      <c r="C1891" s="8">
        <v>46198</v>
      </c>
      <c r="D1891" s="9">
        <v>11596</v>
      </c>
      <c r="E1891">
        <f>MONTH(C1891)</f>
        <v>6</v>
      </c>
    </row>
    <row r="1892" spans="1:5">
      <c r="A1892" t="s">
        <v>9</v>
      </c>
      <c r="B1892" t="s">
        <v>283</v>
      </c>
      <c r="C1892" s="8">
        <v>46198</v>
      </c>
      <c r="D1892" s="9">
        <v>41350</v>
      </c>
      <c r="E1892">
        <f>MONTH(C1892)</f>
        <v>6</v>
      </c>
    </row>
    <row r="1893" spans="1:5">
      <c r="A1893" t="s">
        <v>9</v>
      </c>
      <c r="B1893" t="s">
        <v>91</v>
      </c>
      <c r="C1893" s="8">
        <v>46198</v>
      </c>
      <c r="D1893" s="9">
        <v>29367</v>
      </c>
      <c r="E1893">
        <f>MONTH(C1893)</f>
        <v>6</v>
      </c>
    </row>
    <row r="1894" spans="1:5">
      <c r="A1894" t="s">
        <v>5</v>
      </c>
      <c r="B1894" t="s">
        <v>72</v>
      </c>
      <c r="C1894" s="8">
        <v>46198</v>
      </c>
      <c r="D1894" s="9">
        <v>52413</v>
      </c>
      <c r="E1894">
        <f>MONTH(C1894)</f>
        <v>6</v>
      </c>
    </row>
    <row r="1895" spans="1:5">
      <c r="A1895" t="s">
        <v>5</v>
      </c>
      <c r="B1895" t="s">
        <v>53</v>
      </c>
      <c r="C1895" s="8">
        <v>46198</v>
      </c>
      <c r="D1895" s="9">
        <v>45140</v>
      </c>
      <c r="E1895">
        <f>MONTH(C1895)</f>
        <v>6</v>
      </c>
    </row>
    <row r="1896" spans="1:5">
      <c r="A1896" t="s">
        <v>5</v>
      </c>
      <c r="B1896" t="s">
        <v>84</v>
      </c>
      <c r="C1896" s="8">
        <v>46198</v>
      </c>
      <c r="D1896" s="9">
        <v>33622</v>
      </c>
      <c r="E1896">
        <f>MONTH(C1896)</f>
        <v>6</v>
      </c>
    </row>
    <row r="1897" spans="1:5">
      <c r="A1897" t="s">
        <v>5</v>
      </c>
      <c r="B1897" t="s">
        <v>92</v>
      </c>
      <c r="C1897" s="8">
        <v>46198</v>
      </c>
      <c r="D1897" s="9">
        <v>37336</v>
      </c>
      <c r="E1897">
        <f>MONTH(C1897)</f>
        <v>6</v>
      </c>
    </row>
    <row r="1898" spans="1:5">
      <c r="A1898" t="s">
        <v>5</v>
      </c>
      <c r="B1898" t="s">
        <v>124</v>
      </c>
      <c r="C1898" s="8">
        <v>46198</v>
      </c>
      <c r="D1898" s="9">
        <v>27090</v>
      </c>
      <c r="E1898">
        <f>MONTH(C1898)</f>
        <v>6</v>
      </c>
    </row>
    <row r="1899" spans="1:5">
      <c r="A1899" t="s">
        <v>5</v>
      </c>
      <c r="B1899" t="s">
        <v>108</v>
      </c>
      <c r="C1899" s="8">
        <v>46198</v>
      </c>
      <c r="D1899" s="9">
        <v>39986</v>
      </c>
      <c r="E1899">
        <f>MONTH(C1899)</f>
        <v>6</v>
      </c>
    </row>
    <row r="1900" spans="1:5">
      <c r="A1900" t="s">
        <v>31</v>
      </c>
      <c r="B1900" t="s">
        <v>152</v>
      </c>
      <c r="C1900" s="8">
        <v>46199</v>
      </c>
      <c r="D1900" s="9">
        <v>15088</v>
      </c>
      <c r="E1900">
        <f>MONTH(C1900)</f>
        <v>6</v>
      </c>
    </row>
    <row r="1901" spans="1:5">
      <c r="A1901" t="s">
        <v>31</v>
      </c>
      <c r="B1901" t="s">
        <v>48</v>
      </c>
      <c r="C1901" s="8">
        <v>46199</v>
      </c>
      <c r="D1901" s="9">
        <v>12671</v>
      </c>
      <c r="E1901">
        <f>MONTH(C1901)</f>
        <v>6</v>
      </c>
    </row>
    <row r="1902" spans="1:5">
      <c r="A1902" t="s">
        <v>28</v>
      </c>
      <c r="B1902" t="s">
        <v>242</v>
      </c>
      <c r="C1902" s="8">
        <v>46199</v>
      </c>
      <c r="D1902" s="9">
        <v>16888</v>
      </c>
      <c r="E1902">
        <f>MONTH(C1902)</f>
        <v>6</v>
      </c>
    </row>
    <row r="1903" spans="1:5">
      <c r="A1903" t="s">
        <v>26</v>
      </c>
      <c r="B1903" t="s">
        <v>102</v>
      </c>
      <c r="C1903" s="8">
        <v>46199</v>
      </c>
      <c r="D1903" s="9">
        <v>14498</v>
      </c>
      <c r="E1903">
        <f>MONTH(C1903)</f>
        <v>6</v>
      </c>
    </row>
    <row r="1904" spans="1:5">
      <c r="A1904" t="s">
        <v>29</v>
      </c>
      <c r="B1904" t="s">
        <v>163</v>
      </c>
      <c r="C1904" s="8">
        <v>46199</v>
      </c>
      <c r="D1904" s="9">
        <v>5200</v>
      </c>
      <c r="E1904">
        <f>MONTH(C1904)</f>
        <v>6</v>
      </c>
    </row>
    <row r="1905" spans="1:5">
      <c r="A1905" t="s">
        <v>7</v>
      </c>
      <c r="B1905" t="s">
        <v>244</v>
      </c>
      <c r="C1905" s="8">
        <v>46199</v>
      </c>
      <c r="D1905" s="9">
        <v>10276</v>
      </c>
      <c r="E1905">
        <f>MONTH(C1905)</f>
        <v>6</v>
      </c>
    </row>
    <row r="1906" spans="1:5">
      <c r="A1906" t="s">
        <v>7</v>
      </c>
      <c r="B1906" t="s">
        <v>217</v>
      </c>
      <c r="C1906" s="8">
        <v>46199</v>
      </c>
      <c r="D1906" s="9">
        <v>15898</v>
      </c>
      <c r="E1906">
        <f>MONTH(C1906)</f>
        <v>6</v>
      </c>
    </row>
    <row r="1907" spans="1:5">
      <c r="A1907" t="s">
        <v>9</v>
      </c>
      <c r="B1907" t="s">
        <v>158</v>
      </c>
      <c r="C1907" s="8">
        <v>46199</v>
      </c>
      <c r="D1907" s="9">
        <v>37939</v>
      </c>
      <c r="E1907">
        <f>MONTH(C1907)</f>
        <v>6</v>
      </c>
    </row>
    <row r="1908" spans="1:5">
      <c r="A1908" t="s">
        <v>5</v>
      </c>
      <c r="B1908" t="s">
        <v>239</v>
      </c>
      <c r="C1908" s="8">
        <v>46199</v>
      </c>
      <c r="D1908" s="9">
        <v>26197</v>
      </c>
      <c r="E1908">
        <f>MONTH(C1908)</f>
        <v>6</v>
      </c>
    </row>
    <row r="1909" spans="1:5">
      <c r="A1909" t="s">
        <v>5</v>
      </c>
      <c r="B1909" t="s">
        <v>84</v>
      </c>
      <c r="C1909" s="8">
        <v>46199</v>
      </c>
      <c r="D1909" s="9">
        <v>43981</v>
      </c>
      <c r="E1909">
        <f>MONTH(C1909)</f>
        <v>6</v>
      </c>
    </row>
    <row r="1910" spans="1:5">
      <c r="A1910" t="s">
        <v>5</v>
      </c>
      <c r="B1910" t="s">
        <v>211</v>
      </c>
      <c r="C1910" s="8">
        <v>46199</v>
      </c>
      <c r="D1910" s="9">
        <v>30200</v>
      </c>
      <c r="E1910">
        <f>MONTH(C1910)</f>
        <v>6</v>
      </c>
    </row>
    <row r="1911" spans="1:5">
      <c r="A1911" t="s">
        <v>25</v>
      </c>
      <c r="B1911" t="s">
        <v>59</v>
      </c>
      <c r="C1911" s="8">
        <v>46200</v>
      </c>
      <c r="D1911" s="9">
        <v>13044</v>
      </c>
      <c r="E1911">
        <f>MONTH(C1911)</f>
        <v>6</v>
      </c>
    </row>
    <row r="1912" spans="1:5">
      <c r="A1912" t="s">
        <v>25</v>
      </c>
      <c r="B1912" t="s">
        <v>153</v>
      </c>
      <c r="C1912" s="8">
        <v>46200</v>
      </c>
      <c r="D1912" s="9">
        <v>27805</v>
      </c>
      <c r="E1912">
        <f>MONTH(C1912)</f>
        <v>6</v>
      </c>
    </row>
    <row r="1913" spans="1:5">
      <c r="A1913" t="s">
        <v>8</v>
      </c>
      <c r="B1913" t="s">
        <v>214</v>
      </c>
      <c r="C1913" s="8">
        <v>46200</v>
      </c>
      <c r="D1913" s="9">
        <v>17243</v>
      </c>
      <c r="E1913">
        <f>MONTH(C1913)</f>
        <v>6</v>
      </c>
    </row>
    <row r="1914" spans="1:5">
      <c r="A1914" t="s">
        <v>6</v>
      </c>
      <c r="B1914" t="s">
        <v>260</v>
      </c>
      <c r="C1914" s="8">
        <v>46200</v>
      </c>
      <c r="D1914" s="9">
        <v>34507</v>
      </c>
      <c r="E1914">
        <f>MONTH(C1914)</f>
        <v>6</v>
      </c>
    </row>
    <row r="1915" spans="1:5">
      <c r="A1915" t="s">
        <v>6</v>
      </c>
      <c r="B1915" t="s">
        <v>218</v>
      </c>
      <c r="C1915" s="8">
        <v>46200</v>
      </c>
      <c r="D1915" s="9">
        <v>14423</v>
      </c>
      <c r="E1915">
        <f>MONTH(C1915)</f>
        <v>6</v>
      </c>
    </row>
    <row r="1916" spans="1:5">
      <c r="A1916" t="s">
        <v>33</v>
      </c>
      <c r="B1916" t="s">
        <v>232</v>
      </c>
      <c r="C1916" s="8">
        <v>46200</v>
      </c>
      <c r="D1916" s="9">
        <v>11530</v>
      </c>
      <c r="E1916">
        <f>MONTH(C1916)</f>
        <v>6</v>
      </c>
    </row>
    <row r="1917" spans="1:5">
      <c r="A1917" t="s">
        <v>29</v>
      </c>
      <c r="B1917" t="s">
        <v>118</v>
      </c>
      <c r="C1917" s="8">
        <v>46200</v>
      </c>
      <c r="D1917" s="9">
        <v>11180</v>
      </c>
      <c r="E1917">
        <f>MONTH(C1917)</f>
        <v>6</v>
      </c>
    </row>
    <row r="1918" spans="1:5">
      <c r="A1918" t="s">
        <v>7</v>
      </c>
      <c r="B1918" t="s">
        <v>194</v>
      </c>
      <c r="C1918" s="8">
        <v>46200</v>
      </c>
      <c r="D1918" s="9">
        <v>23649</v>
      </c>
      <c r="E1918">
        <f>MONTH(C1918)</f>
        <v>6</v>
      </c>
    </row>
    <row r="1919" spans="1:5">
      <c r="A1919" t="s">
        <v>37</v>
      </c>
      <c r="B1919" t="s">
        <v>81</v>
      </c>
      <c r="C1919" s="8">
        <v>46200</v>
      </c>
      <c r="D1919" s="9">
        <v>13060</v>
      </c>
      <c r="E1919">
        <f>MONTH(C1919)</f>
        <v>6</v>
      </c>
    </row>
    <row r="1920" spans="1:5">
      <c r="A1920" t="s">
        <v>9</v>
      </c>
      <c r="B1920" t="s">
        <v>221</v>
      </c>
      <c r="C1920" s="8">
        <v>46200</v>
      </c>
      <c r="D1920" s="9">
        <v>43563</v>
      </c>
      <c r="E1920">
        <f>MONTH(C1920)</f>
        <v>6</v>
      </c>
    </row>
    <row r="1921" spans="1:5">
      <c r="A1921" t="s">
        <v>9</v>
      </c>
      <c r="B1921" t="s">
        <v>276</v>
      </c>
      <c r="C1921" s="8">
        <v>46200</v>
      </c>
      <c r="D1921" s="9">
        <v>46118</v>
      </c>
      <c r="E1921">
        <f>MONTH(C1921)</f>
        <v>6</v>
      </c>
    </row>
    <row r="1922" spans="1:5">
      <c r="A1922" t="s">
        <v>9</v>
      </c>
      <c r="B1922" t="s">
        <v>91</v>
      </c>
      <c r="C1922" s="8">
        <v>46200</v>
      </c>
      <c r="D1922" s="9">
        <v>31194</v>
      </c>
      <c r="E1922">
        <f>MONTH(C1922)</f>
        <v>6</v>
      </c>
    </row>
    <row r="1923" spans="1:5">
      <c r="A1923" t="s">
        <v>9</v>
      </c>
      <c r="B1923" t="s">
        <v>269</v>
      </c>
      <c r="C1923" s="8">
        <v>46200</v>
      </c>
      <c r="D1923" s="9">
        <v>41318</v>
      </c>
      <c r="E1923">
        <f>MONTH(C1923)</f>
        <v>6</v>
      </c>
    </row>
    <row r="1924" spans="1:5">
      <c r="A1924" t="s">
        <v>5</v>
      </c>
      <c r="B1924" t="s">
        <v>108</v>
      </c>
      <c r="C1924" s="8">
        <v>46200</v>
      </c>
      <c r="D1924" s="9">
        <v>44173</v>
      </c>
      <c r="E1924">
        <f>MONTH(C1924)</f>
        <v>6</v>
      </c>
    </row>
    <row r="1925" spans="1:5">
      <c r="A1925" t="s">
        <v>4</v>
      </c>
      <c r="B1925" t="s">
        <v>181</v>
      </c>
      <c r="C1925" s="8">
        <v>46201</v>
      </c>
      <c r="D1925" s="9">
        <v>28599</v>
      </c>
      <c r="E1925">
        <f>MONTH(C1925)</f>
        <v>6</v>
      </c>
    </row>
    <row r="1926" spans="1:5">
      <c r="A1926" t="s">
        <v>4</v>
      </c>
      <c r="B1926" t="s">
        <v>124</v>
      </c>
      <c r="C1926" s="8">
        <v>46201</v>
      </c>
      <c r="D1926" s="9">
        <v>34159</v>
      </c>
      <c r="E1926">
        <f>MONTH(C1926)</f>
        <v>6</v>
      </c>
    </row>
    <row r="1927" spans="1:5">
      <c r="A1927" t="s">
        <v>25</v>
      </c>
      <c r="B1927" t="s">
        <v>215</v>
      </c>
      <c r="C1927" s="8">
        <v>46201</v>
      </c>
      <c r="D1927" s="9">
        <v>22015</v>
      </c>
      <c r="E1927">
        <f>MONTH(C1927)</f>
        <v>6</v>
      </c>
    </row>
    <row r="1928" spans="1:5">
      <c r="A1928" t="s">
        <v>29</v>
      </c>
      <c r="B1928" t="s">
        <v>112</v>
      </c>
      <c r="C1928" s="8">
        <v>46201</v>
      </c>
      <c r="D1928" s="9">
        <v>11033</v>
      </c>
      <c r="E1928">
        <f>MONTH(C1928)</f>
        <v>6</v>
      </c>
    </row>
    <row r="1929" spans="1:5">
      <c r="A1929" t="s">
        <v>5</v>
      </c>
      <c r="B1929" t="s">
        <v>106</v>
      </c>
      <c r="C1929" s="8">
        <v>46201</v>
      </c>
      <c r="D1929" s="9">
        <v>34914</v>
      </c>
      <c r="E1929">
        <f>MONTH(C1929)</f>
        <v>6</v>
      </c>
    </row>
    <row r="1930" spans="1:5">
      <c r="A1930" t="s">
        <v>5</v>
      </c>
      <c r="B1930" t="s">
        <v>167</v>
      </c>
      <c r="C1930" s="8">
        <v>46201</v>
      </c>
      <c r="D1930" s="9">
        <v>32533</v>
      </c>
      <c r="E1930">
        <f>MONTH(C1930)</f>
        <v>6</v>
      </c>
    </row>
    <row r="1931" spans="1:5">
      <c r="A1931" t="s">
        <v>5</v>
      </c>
      <c r="B1931" t="s">
        <v>182</v>
      </c>
      <c r="C1931" s="8">
        <v>46201</v>
      </c>
      <c r="D1931" s="9">
        <v>45957</v>
      </c>
      <c r="E1931">
        <f>MONTH(C1931)</f>
        <v>6</v>
      </c>
    </row>
    <row r="1932" spans="1:5">
      <c r="A1932" t="s">
        <v>5</v>
      </c>
      <c r="B1932" t="s">
        <v>183</v>
      </c>
      <c r="C1932" s="8">
        <v>46201</v>
      </c>
      <c r="D1932" s="9">
        <v>39282</v>
      </c>
      <c r="E1932">
        <f>MONTH(C1932)</f>
        <v>6</v>
      </c>
    </row>
    <row r="1933" spans="1:5">
      <c r="A1933" t="s">
        <v>5</v>
      </c>
      <c r="B1933" t="s">
        <v>134</v>
      </c>
      <c r="C1933" s="8">
        <v>46201</v>
      </c>
      <c r="D1933" s="9">
        <v>39092</v>
      </c>
      <c r="E1933">
        <f>MONTH(C1933)</f>
        <v>6</v>
      </c>
    </row>
    <row r="1934" spans="1:5">
      <c r="A1934" t="s">
        <v>5</v>
      </c>
      <c r="B1934" t="s">
        <v>58</v>
      </c>
      <c r="C1934" s="8">
        <v>46201</v>
      </c>
      <c r="D1934" s="9">
        <v>44412</v>
      </c>
      <c r="E1934">
        <f>MONTH(C1934)</f>
        <v>6</v>
      </c>
    </row>
    <row r="1935" spans="1:5">
      <c r="A1935" t="s">
        <v>5</v>
      </c>
      <c r="B1935" t="s">
        <v>204</v>
      </c>
      <c r="C1935" s="8">
        <v>46201</v>
      </c>
      <c r="D1935" s="9">
        <v>36567</v>
      </c>
      <c r="E1935">
        <f>MONTH(C1935)</f>
        <v>6</v>
      </c>
    </row>
    <row r="1936" spans="1:5">
      <c r="A1936" t="s">
        <v>4</v>
      </c>
      <c r="B1936" t="s">
        <v>227</v>
      </c>
      <c r="C1936" s="8">
        <v>46202</v>
      </c>
      <c r="D1936" s="9">
        <v>6540</v>
      </c>
      <c r="E1936">
        <f>MONTH(C1936)</f>
        <v>6</v>
      </c>
    </row>
    <row r="1937" spans="1:5">
      <c r="A1937" t="s">
        <v>4</v>
      </c>
      <c r="B1937" t="s">
        <v>180</v>
      </c>
      <c r="C1937" s="8">
        <v>46202</v>
      </c>
      <c r="D1937" s="9">
        <v>30472</v>
      </c>
      <c r="E1937">
        <f>MONTH(C1937)</f>
        <v>6</v>
      </c>
    </row>
    <row r="1938" spans="1:5">
      <c r="A1938" t="s">
        <v>26</v>
      </c>
      <c r="B1938" t="s">
        <v>138</v>
      </c>
      <c r="C1938" s="8">
        <v>46202</v>
      </c>
      <c r="D1938" s="9">
        <v>13176</v>
      </c>
      <c r="E1938">
        <f>MONTH(C1938)</f>
        <v>6</v>
      </c>
    </row>
    <row r="1939" spans="1:5">
      <c r="A1939" t="s">
        <v>26</v>
      </c>
      <c r="B1939" t="s">
        <v>280</v>
      </c>
      <c r="C1939" s="8">
        <v>46202</v>
      </c>
      <c r="D1939" s="9">
        <v>13125</v>
      </c>
      <c r="E1939">
        <f>MONTH(C1939)</f>
        <v>6</v>
      </c>
    </row>
    <row r="1940" spans="1:5">
      <c r="A1940" t="s">
        <v>8</v>
      </c>
      <c r="B1940" t="s">
        <v>56</v>
      </c>
      <c r="C1940" s="8">
        <v>46202</v>
      </c>
      <c r="D1940" s="9">
        <v>9601</v>
      </c>
      <c r="E1940">
        <f>MONTH(C1940)</f>
        <v>6</v>
      </c>
    </row>
    <row r="1941" spans="1:5">
      <c r="A1941" t="s">
        <v>8</v>
      </c>
      <c r="B1941" t="s">
        <v>52</v>
      </c>
      <c r="C1941" s="8">
        <v>46202</v>
      </c>
      <c r="D1941" s="9">
        <v>15648</v>
      </c>
      <c r="E1941">
        <f>MONTH(C1941)</f>
        <v>6</v>
      </c>
    </row>
    <row r="1942" spans="1:5">
      <c r="A1942" t="s">
        <v>33</v>
      </c>
      <c r="B1942" t="s">
        <v>268</v>
      </c>
      <c r="C1942" s="8">
        <v>46202</v>
      </c>
      <c r="D1942" s="9">
        <v>5200</v>
      </c>
      <c r="E1942">
        <f>MONTH(C1942)</f>
        <v>6</v>
      </c>
    </row>
    <row r="1943" spans="1:5">
      <c r="A1943" t="s">
        <v>29</v>
      </c>
      <c r="B1943" t="s">
        <v>155</v>
      </c>
      <c r="C1943" s="8">
        <v>46202</v>
      </c>
      <c r="D1943" s="9">
        <v>11873</v>
      </c>
      <c r="E1943">
        <f>MONTH(C1943)</f>
        <v>6</v>
      </c>
    </row>
    <row r="1944" spans="1:5">
      <c r="A1944" t="s">
        <v>5</v>
      </c>
      <c r="B1944" t="s">
        <v>115</v>
      </c>
      <c r="C1944" s="8">
        <v>46202</v>
      </c>
      <c r="D1944" s="9">
        <v>32125</v>
      </c>
      <c r="E1944">
        <f>MONTH(C1944)</f>
        <v>6</v>
      </c>
    </row>
    <row r="1945" spans="1:5">
      <c r="A1945" t="s">
        <v>5</v>
      </c>
      <c r="B1945" t="s">
        <v>212</v>
      </c>
      <c r="C1945" s="8">
        <v>46202</v>
      </c>
      <c r="D1945" s="9">
        <v>43037</v>
      </c>
      <c r="E1945">
        <f>MONTH(C1945)</f>
        <v>6</v>
      </c>
    </row>
    <row r="1946" spans="1:5">
      <c r="A1946" t="s">
        <v>27</v>
      </c>
      <c r="B1946" t="s">
        <v>168</v>
      </c>
      <c r="C1946" s="8">
        <v>46203</v>
      </c>
      <c r="D1946" s="9">
        <v>12046</v>
      </c>
      <c r="E1946">
        <f>MONTH(C1946)</f>
        <v>6</v>
      </c>
    </row>
    <row r="1947" spans="1:5">
      <c r="A1947" t="s">
        <v>30</v>
      </c>
      <c r="B1947" t="s">
        <v>139</v>
      </c>
      <c r="C1947" s="8">
        <v>46203</v>
      </c>
      <c r="D1947" s="9">
        <v>15701</v>
      </c>
      <c r="E1947">
        <f>MONTH(C1947)</f>
        <v>6</v>
      </c>
    </row>
    <row r="1948" spans="1:5">
      <c r="A1948" t="s">
        <v>29</v>
      </c>
      <c r="B1948" t="s">
        <v>51</v>
      </c>
      <c r="C1948" s="8">
        <v>46203</v>
      </c>
      <c r="D1948" s="9">
        <v>6043</v>
      </c>
      <c r="E1948">
        <f>MONTH(C1948)</f>
        <v>6</v>
      </c>
    </row>
    <row r="1949" spans="1:5">
      <c r="A1949" t="s">
        <v>9</v>
      </c>
      <c r="B1949" t="s">
        <v>177</v>
      </c>
      <c r="C1949" s="8">
        <v>46203</v>
      </c>
      <c r="D1949" s="9">
        <v>36667</v>
      </c>
      <c r="E1949">
        <f>MONTH(C1949)</f>
        <v>6</v>
      </c>
    </row>
    <row r="1950" spans="1:5">
      <c r="A1950" t="s">
        <v>9</v>
      </c>
      <c r="B1950" t="s">
        <v>97</v>
      </c>
      <c r="C1950" s="8">
        <v>46203</v>
      </c>
      <c r="D1950" s="9">
        <v>40917</v>
      </c>
      <c r="E1950">
        <f>MONTH(C1950)</f>
        <v>6</v>
      </c>
    </row>
    <row r="1951" spans="1:5">
      <c r="A1951" t="s">
        <v>9</v>
      </c>
      <c r="B1951" t="s">
        <v>82</v>
      </c>
      <c r="C1951" s="8">
        <v>46203</v>
      </c>
      <c r="D1951" s="9">
        <v>25280</v>
      </c>
      <c r="E1951">
        <f>MONTH(C1951)</f>
        <v>6</v>
      </c>
    </row>
    <row r="1952" spans="1:5">
      <c r="A1952" t="s">
        <v>9</v>
      </c>
      <c r="B1952" t="s">
        <v>132</v>
      </c>
      <c r="C1952" s="8">
        <v>46203</v>
      </c>
      <c r="D1952" s="9">
        <v>46569</v>
      </c>
      <c r="E1952">
        <f>MONTH(C1952)</f>
        <v>6</v>
      </c>
    </row>
    <row r="1953" spans="1:5">
      <c r="A1953" t="s">
        <v>9</v>
      </c>
      <c r="B1953" t="s">
        <v>137</v>
      </c>
      <c r="C1953" s="8">
        <v>46203</v>
      </c>
      <c r="D1953" s="9">
        <v>49156</v>
      </c>
      <c r="E1953">
        <f>MONTH(C1953)</f>
        <v>6</v>
      </c>
    </row>
    <row r="1954" spans="1:5">
      <c r="A1954" t="s">
        <v>5</v>
      </c>
      <c r="B1954" t="s">
        <v>188</v>
      </c>
      <c r="C1954" s="8">
        <v>46203</v>
      </c>
      <c r="D1954" s="9">
        <v>41622</v>
      </c>
      <c r="E1954">
        <f>MONTH(C1954)</f>
        <v>6</v>
      </c>
    </row>
    <row r="1955" spans="1:5">
      <c r="A1955" t="s">
        <v>5</v>
      </c>
      <c r="B1955" t="s">
        <v>114</v>
      </c>
      <c r="C1955" s="8">
        <v>46203</v>
      </c>
      <c r="D1955" s="9">
        <v>25553</v>
      </c>
      <c r="E1955">
        <f>MONTH(C1955)</f>
        <v>6</v>
      </c>
    </row>
    <row r="1956" spans="1:5">
      <c r="A1956" t="s">
        <v>5</v>
      </c>
      <c r="B1956" t="s">
        <v>99</v>
      </c>
      <c r="C1956" s="8">
        <v>46203</v>
      </c>
      <c r="D1956" s="9">
        <v>27976</v>
      </c>
      <c r="E1956">
        <f>MONTH(C1956)</f>
        <v>6</v>
      </c>
    </row>
    <row r="1957" spans="1:5">
      <c r="A1957" t="s">
        <v>27</v>
      </c>
      <c r="B1957" t="s">
        <v>149</v>
      </c>
      <c r="C1957" s="8">
        <v>46204</v>
      </c>
      <c r="D1957" s="9">
        <v>12695</v>
      </c>
      <c r="E1957">
        <f>MONTH(C1957)</f>
        <v>7</v>
      </c>
    </row>
    <row r="1958" spans="1:5">
      <c r="A1958" t="s">
        <v>4</v>
      </c>
      <c r="B1958" t="s">
        <v>150</v>
      </c>
      <c r="C1958" s="8">
        <v>46204</v>
      </c>
      <c r="D1958" s="9">
        <v>36199</v>
      </c>
      <c r="E1958">
        <f>MONTH(C1958)</f>
        <v>7</v>
      </c>
    </row>
    <row r="1959" spans="1:5">
      <c r="A1959" t="s">
        <v>30</v>
      </c>
      <c r="B1959" t="s">
        <v>118</v>
      </c>
      <c r="C1959" s="8">
        <v>46204</v>
      </c>
      <c r="D1959" s="9">
        <v>11978</v>
      </c>
      <c r="E1959">
        <f>MONTH(C1959)</f>
        <v>7</v>
      </c>
    </row>
    <row r="1960" spans="1:5">
      <c r="A1960" t="s">
        <v>8</v>
      </c>
      <c r="B1960" t="s">
        <v>140</v>
      </c>
      <c r="C1960" s="8">
        <v>46204</v>
      </c>
      <c r="D1960" s="9">
        <v>14558</v>
      </c>
      <c r="E1960">
        <f>MONTH(C1960)</f>
        <v>7</v>
      </c>
    </row>
    <row r="1961" spans="1:5">
      <c r="A1961" t="s">
        <v>7</v>
      </c>
      <c r="B1961" t="s">
        <v>160</v>
      </c>
      <c r="C1961" s="8">
        <v>46204</v>
      </c>
      <c r="D1961" s="9">
        <v>29219</v>
      </c>
      <c r="E1961">
        <f>MONTH(C1961)</f>
        <v>7</v>
      </c>
    </row>
    <row r="1962" spans="1:5">
      <c r="A1962" t="s">
        <v>5</v>
      </c>
      <c r="B1962" t="s">
        <v>182</v>
      </c>
      <c r="C1962" s="8">
        <v>46204</v>
      </c>
      <c r="D1962" s="9">
        <v>31109</v>
      </c>
      <c r="E1962">
        <f>MONTH(C1962)</f>
        <v>7</v>
      </c>
    </row>
    <row r="1963" spans="1:5">
      <c r="A1963" t="s">
        <v>5</v>
      </c>
      <c r="B1963" t="s">
        <v>251</v>
      </c>
      <c r="C1963" s="8">
        <v>46204</v>
      </c>
      <c r="D1963" s="9">
        <v>36205</v>
      </c>
      <c r="E1963">
        <f>MONTH(C1963)</f>
        <v>7</v>
      </c>
    </row>
    <row r="1964" spans="1:5">
      <c r="A1964" t="s">
        <v>5</v>
      </c>
      <c r="B1964" t="s">
        <v>54</v>
      </c>
      <c r="C1964" s="8">
        <v>46204</v>
      </c>
      <c r="D1964" s="9">
        <v>41810</v>
      </c>
      <c r="E1964">
        <f>MONTH(C1964)</f>
        <v>7</v>
      </c>
    </row>
    <row r="1965" spans="1:5">
      <c r="A1965" t="s">
        <v>5</v>
      </c>
      <c r="B1965" t="s">
        <v>277</v>
      </c>
      <c r="C1965" s="8">
        <v>46204</v>
      </c>
      <c r="D1965" s="9">
        <v>47941</v>
      </c>
      <c r="E1965">
        <f>MONTH(C1965)</f>
        <v>7</v>
      </c>
    </row>
    <row r="1966" spans="1:5">
      <c r="A1966" t="s">
        <v>5</v>
      </c>
      <c r="B1966" t="s">
        <v>277</v>
      </c>
      <c r="C1966" s="8">
        <v>46204</v>
      </c>
      <c r="D1966" s="9">
        <v>43675</v>
      </c>
      <c r="E1966">
        <f>MONTH(C1966)</f>
        <v>7</v>
      </c>
    </row>
    <row r="1967" spans="1:5">
      <c r="A1967" t="s">
        <v>5</v>
      </c>
      <c r="B1967" t="s">
        <v>100</v>
      </c>
      <c r="C1967" s="8">
        <v>46204</v>
      </c>
      <c r="D1967" s="9">
        <v>41070</v>
      </c>
      <c r="E1967">
        <f>MONTH(C1967)</f>
        <v>7</v>
      </c>
    </row>
    <row r="1968" spans="1:5">
      <c r="A1968" t="s">
        <v>4</v>
      </c>
      <c r="B1968" t="s">
        <v>220</v>
      </c>
      <c r="C1968" s="8">
        <v>46205</v>
      </c>
      <c r="D1968" s="9">
        <v>17810</v>
      </c>
      <c r="E1968">
        <f>MONTH(C1968)</f>
        <v>7</v>
      </c>
    </row>
    <row r="1969" spans="1:5">
      <c r="A1969" t="s">
        <v>25</v>
      </c>
      <c r="B1969" t="s">
        <v>278</v>
      </c>
      <c r="C1969" s="8">
        <v>46205</v>
      </c>
      <c r="D1969" s="9">
        <v>10126</v>
      </c>
      <c r="E1969">
        <f>MONTH(C1969)</f>
        <v>7</v>
      </c>
    </row>
    <row r="1970" spans="1:5">
      <c r="A1970" t="s">
        <v>34</v>
      </c>
      <c r="B1970" t="s">
        <v>265</v>
      </c>
      <c r="C1970" s="8">
        <v>46205</v>
      </c>
      <c r="D1970" s="9">
        <v>11808</v>
      </c>
      <c r="E1970">
        <f>MONTH(C1970)</f>
        <v>7</v>
      </c>
    </row>
    <row r="1971" spans="1:5">
      <c r="A1971" t="s">
        <v>29</v>
      </c>
      <c r="B1971" t="s">
        <v>163</v>
      </c>
      <c r="C1971" s="8">
        <v>46205</v>
      </c>
      <c r="D1971" s="9">
        <v>22056</v>
      </c>
      <c r="E1971">
        <f>MONTH(C1971)</f>
        <v>7</v>
      </c>
    </row>
    <row r="1972" spans="1:5">
      <c r="A1972" t="s">
        <v>9</v>
      </c>
      <c r="B1972" t="s">
        <v>91</v>
      </c>
      <c r="C1972" s="8">
        <v>46205</v>
      </c>
      <c r="D1972" s="9">
        <v>34634</v>
      </c>
      <c r="E1972">
        <f>MONTH(C1972)</f>
        <v>7</v>
      </c>
    </row>
    <row r="1973" spans="1:5">
      <c r="A1973" t="s">
        <v>9</v>
      </c>
      <c r="B1973" t="s">
        <v>148</v>
      </c>
      <c r="C1973" s="8">
        <v>46205</v>
      </c>
      <c r="D1973" s="9">
        <v>40751</v>
      </c>
      <c r="E1973">
        <f>MONTH(C1973)</f>
        <v>7</v>
      </c>
    </row>
    <row r="1974" spans="1:5">
      <c r="A1974" t="s">
        <v>9</v>
      </c>
      <c r="B1974" t="s">
        <v>219</v>
      </c>
      <c r="C1974" s="8">
        <v>46205</v>
      </c>
      <c r="D1974" s="9">
        <v>23408</v>
      </c>
      <c r="E1974">
        <f>MONTH(C1974)</f>
        <v>7</v>
      </c>
    </row>
    <row r="1975" spans="1:5">
      <c r="A1975" t="s">
        <v>5</v>
      </c>
      <c r="B1975" t="s">
        <v>114</v>
      </c>
      <c r="C1975" s="8">
        <v>46205</v>
      </c>
      <c r="D1975" s="9">
        <v>29061</v>
      </c>
      <c r="E1975">
        <f>MONTH(C1975)</f>
        <v>7</v>
      </c>
    </row>
    <row r="1976" spans="1:5">
      <c r="A1976" t="s">
        <v>5</v>
      </c>
      <c r="B1976" t="s">
        <v>109</v>
      </c>
      <c r="C1976" s="8">
        <v>46205</v>
      </c>
      <c r="D1976" s="9">
        <v>53516</v>
      </c>
      <c r="E1976">
        <f>MONTH(C1976)</f>
        <v>7</v>
      </c>
    </row>
    <row r="1977" spans="1:5">
      <c r="A1977" t="s">
        <v>4</v>
      </c>
      <c r="B1977" t="s">
        <v>219</v>
      </c>
      <c r="C1977" s="8">
        <v>46206</v>
      </c>
      <c r="D1977" s="9">
        <v>28747</v>
      </c>
      <c r="E1977">
        <f>MONTH(C1977)</f>
        <v>7</v>
      </c>
    </row>
    <row r="1978" spans="1:5">
      <c r="A1978" t="s">
        <v>4</v>
      </c>
      <c r="B1978" t="s">
        <v>70</v>
      </c>
      <c r="C1978" s="8">
        <v>46206</v>
      </c>
      <c r="D1978" s="9">
        <v>30255</v>
      </c>
      <c r="E1978">
        <f>MONTH(C1978)</f>
        <v>7</v>
      </c>
    </row>
    <row r="1979" spans="1:5">
      <c r="A1979" t="s">
        <v>4</v>
      </c>
      <c r="B1979" t="s">
        <v>266</v>
      </c>
      <c r="C1979" s="8">
        <v>46206</v>
      </c>
      <c r="D1979" s="9">
        <v>28515</v>
      </c>
      <c r="E1979">
        <f>MONTH(C1979)</f>
        <v>7</v>
      </c>
    </row>
    <row r="1980" spans="1:5">
      <c r="A1980" t="s">
        <v>25</v>
      </c>
      <c r="B1980" t="s">
        <v>228</v>
      </c>
      <c r="C1980" s="8">
        <v>46206</v>
      </c>
      <c r="D1980" s="9">
        <v>12720</v>
      </c>
      <c r="E1980">
        <f>MONTH(C1980)</f>
        <v>7</v>
      </c>
    </row>
    <row r="1981" spans="1:5">
      <c r="A1981" t="s">
        <v>8</v>
      </c>
      <c r="B1981" t="s">
        <v>267</v>
      </c>
      <c r="C1981" s="8">
        <v>46206</v>
      </c>
      <c r="D1981" s="9">
        <v>15873</v>
      </c>
      <c r="E1981">
        <f>MONTH(C1981)</f>
        <v>7</v>
      </c>
    </row>
    <row r="1982" spans="1:5">
      <c r="A1982" t="s">
        <v>32</v>
      </c>
      <c r="B1982" t="s">
        <v>282</v>
      </c>
      <c r="C1982" s="8">
        <v>46206</v>
      </c>
      <c r="D1982" s="9">
        <v>12703</v>
      </c>
      <c r="E1982">
        <f>MONTH(C1982)</f>
        <v>7</v>
      </c>
    </row>
    <row r="1983" spans="1:5">
      <c r="A1983" t="s">
        <v>9</v>
      </c>
      <c r="B1983" t="s">
        <v>245</v>
      </c>
      <c r="C1983" s="8">
        <v>46206</v>
      </c>
      <c r="D1983" s="9">
        <v>31888</v>
      </c>
      <c r="E1983">
        <f>MONTH(C1983)</f>
        <v>7</v>
      </c>
    </row>
    <row r="1984" spans="1:5">
      <c r="A1984" t="s">
        <v>9</v>
      </c>
      <c r="B1984" t="s">
        <v>132</v>
      </c>
      <c r="C1984" s="8">
        <v>46206</v>
      </c>
      <c r="D1984" s="9">
        <v>43220</v>
      </c>
      <c r="E1984">
        <f>MONTH(C1984)</f>
        <v>7</v>
      </c>
    </row>
    <row r="1985" spans="1:5">
      <c r="A1985" t="s">
        <v>5</v>
      </c>
      <c r="B1985" t="s">
        <v>251</v>
      </c>
      <c r="C1985" s="8">
        <v>46206</v>
      </c>
      <c r="D1985" s="9">
        <v>41487</v>
      </c>
      <c r="E1985">
        <f>MONTH(C1985)</f>
        <v>7</v>
      </c>
    </row>
    <row r="1986" spans="1:5">
      <c r="A1986" t="s">
        <v>5</v>
      </c>
      <c r="B1986" t="s">
        <v>183</v>
      </c>
      <c r="C1986" s="8">
        <v>46206</v>
      </c>
      <c r="D1986" s="9">
        <v>62349</v>
      </c>
      <c r="E1986">
        <f>MONTH(C1986)</f>
        <v>7</v>
      </c>
    </row>
    <row r="1987" spans="1:5">
      <c r="A1987" t="s">
        <v>5</v>
      </c>
      <c r="B1987" t="s">
        <v>124</v>
      </c>
      <c r="C1987" s="8">
        <v>46206</v>
      </c>
      <c r="D1987" s="9">
        <v>32325</v>
      </c>
      <c r="E1987">
        <f>MONTH(C1987)</f>
        <v>7</v>
      </c>
    </row>
    <row r="1988" spans="1:5">
      <c r="A1988" t="s">
        <v>5</v>
      </c>
      <c r="B1988" t="s">
        <v>277</v>
      </c>
      <c r="C1988" s="8">
        <v>46206</v>
      </c>
      <c r="D1988" s="9">
        <v>34964</v>
      </c>
      <c r="E1988">
        <f>MONTH(C1988)</f>
        <v>7</v>
      </c>
    </row>
    <row r="1989" spans="1:5">
      <c r="A1989" t="s">
        <v>5</v>
      </c>
      <c r="B1989" t="s">
        <v>108</v>
      </c>
      <c r="C1989" s="8">
        <v>46206</v>
      </c>
      <c r="D1989" s="9">
        <v>38545</v>
      </c>
      <c r="E1989">
        <f>MONTH(C1989)</f>
        <v>7</v>
      </c>
    </row>
    <row r="1990" spans="1:5">
      <c r="A1990" t="s">
        <v>4</v>
      </c>
      <c r="B1990" t="s">
        <v>116</v>
      </c>
      <c r="C1990" s="8">
        <v>46207</v>
      </c>
      <c r="D1990" s="9">
        <v>30536</v>
      </c>
      <c r="E1990">
        <f>MONTH(C1990)</f>
        <v>7</v>
      </c>
    </row>
    <row r="1991" spans="1:5">
      <c r="A1991" t="s">
        <v>31</v>
      </c>
      <c r="B1991" t="s">
        <v>68</v>
      </c>
      <c r="C1991" s="8">
        <v>46207</v>
      </c>
      <c r="D1991" s="9">
        <v>9170</v>
      </c>
      <c r="E1991">
        <f>MONTH(C1991)</f>
        <v>7</v>
      </c>
    </row>
    <row r="1992" spans="1:5">
      <c r="A1992" t="s">
        <v>25</v>
      </c>
      <c r="B1992" t="s">
        <v>186</v>
      </c>
      <c r="C1992" s="8">
        <v>46207</v>
      </c>
      <c r="D1992" s="9">
        <v>13560</v>
      </c>
      <c r="E1992">
        <f>MONTH(C1992)</f>
        <v>7</v>
      </c>
    </row>
    <row r="1993" spans="1:5">
      <c r="A1993" t="s">
        <v>25</v>
      </c>
      <c r="B1993" t="s">
        <v>215</v>
      </c>
      <c r="C1993" s="8">
        <v>46207</v>
      </c>
      <c r="D1993" s="9">
        <v>29149</v>
      </c>
      <c r="E1993">
        <f>MONTH(C1993)</f>
        <v>7</v>
      </c>
    </row>
    <row r="1994" spans="1:5">
      <c r="A1994" t="s">
        <v>28</v>
      </c>
      <c r="B1994" t="s">
        <v>174</v>
      </c>
      <c r="C1994" s="8">
        <v>46207</v>
      </c>
      <c r="D1994" s="9">
        <v>23010</v>
      </c>
      <c r="E1994">
        <f>MONTH(C1994)</f>
        <v>7</v>
      </c>
    </row>
    <row r="1995" spans="1:5">
      <c r="A1995" t="s">
        <v>28</v>
      </c>
      <c r="B1995" t="s">
        <v>242</v>
      </c>
      <c r="C1995" s="8">
        <v>46207</v>
      </c>
      <c r="D1995" s="9">
        <v>5200</v>
      </c>
      <c r="E1995">
        <f>MONTH(C1995)</f>
        <v>7</v>
      </c>
    </row>
    <row r="1996" spans="1:5">
      <c r="A1996" t="s">
        <v>8</v>
      </c>
      <c r="B1996" t="s">
        <v>258</v>
      </c>
      <c r="C1996" s="8">
        <v>46207</v>
      </c>
      <c r="D1996" s="9">
        <v>5200</v>
      </c>
      <c r="E1996">
        <f>MONTH(C1996)</f>
        <v>7</v>
      </c>
    </row>
    <row r="1997" spans="1:5">
      <c r="A1997" t="s">
        <v>7</v>
      </c>
      <c r="B1997" t="s">
        <v>202</v>
      </c>
      <c r="C1997" s="8">
        <v>46207</v>
      </c>
      <c r="D1997" s="9">
        <v>22298</v>
      </c>
      <c r="E1997">
        <f>MONTH(C1997)</f>
        <v>7</v>
      </c>
    </row>
    <row r="1998" spans="1:5">
      <c r="A1998" t="s">
        <v>9</v>
      </c>
      <c r="B1998" t="s">
        <v>111</v>
      </c>
      <c r="C1998" s="8">
        <v>46207</v>
      </c>
      <c r="D1998" s="9">
        <v>52328</v>
      </c>
      <c r="E1998">
        <f>MONTH(C1998)</f>
        <v>7</v>
      </c>
    </row>
    <row r="1999" spans="1:5">
      <c r="A1999" t="s">
        <v>9</v>
      </c>
      <c r="B1999" t="s">
        <v>187</v>
      </c>
      <c r="C1999" s="8">
        <v>46207</v>
      </c>
      <c r="D1999" s="9">
        <v>43796</v>
      </c>
      <c r="E1999">
        <f>MONTH(C1999)</f>
        <v>7</v>
      </c>
    </row>
    <row r="2000" spans="1:5">
      <c r="A2000" t="s">
        <v>5</v>
      </c>
      <c r="B2000" t="s">
        <v>92</v>
      </c>
      <c r="C2000" s="8">
        <v>46207</v>
      </c>
      <c r="D2000" s="9">
        <v>38516</v>
      </c>
      <c r="E2000">
        <f>MONTH(C2000)</f>
        <v>7</v>
      </c>
    </row>
    <row r="2001" spans="1:5">
      <c r="A2001" t="s">
        <v>5</v>
      </c>
      <c r="B2001" t="s">
        <v>73</v>
      </c>
      <c r="C2001" s="8">
        <v>46207</v>
      </c>
      <c r="D2001" s="9">
        <v>36825</v>
      </c>
      <c r="E2001">
        <f>MONTH(C2001)</f>
        <v>7</v>
      </c>
    </row>
    <row r="2002" spans="1:5">
      <c r="A2002" t="s">
        <v>5</v>
      </c>
      <c r="B2002" t="s">
        <v>74</v>
      </c>
      <c r="C2002" s="8">
        <v>46207</v>
      </c>
      <c r="D2002" s="9">
        <v>41656</v>
      </c>
      <c r="E2002">
        <f>MONTH(C2002)</f>
        <v>7</v>
      </c>
    </row>
    <row r="2003" spans="1:5">
      <c r="A2003" t="s">
        <v>5</v>
      </c>
      <c r="B2003" t="s">
        <v>159</v>
      </c>
      <c r="C2003" s="8">
        <v>46207</v>
      </c>
      <c r="D2003" s="9">
        <v>53509</v>
      </c>
      <c r="E2003">
        <f>MONTH(C2003)</f>
        <v>7</v>
      </c>
    </row>
    <row r="2004" spans="1:5">
      <c r="A2004" t="s">
        <v>5</v>
      </c>
      <c r="B2004" t="s">
        <v>54</v>
      </c>
      <c r="C2004" s="8">
        <v>46207</v>
      </c>
      <c r="D2004" s="9">
        <v>46313</v>
      </c>
      <c r="E2004">
        <f>MONTH(C2004)</f>
        <v>7</v>
      </c>
    </row>
    <row r="2005" spans="1:5">
      <c r="A2005" t="s">
        <v>5</v>
      </c>
      <c r="B2005" t="s">
        <v>189</v>
      </c>
      <c r="C2005" s="8">
        <v>46207</v>
      </c>
      <c r="D2005" s="9">
        <v>39075</v>
      </c>
      <c r="E2005">
        <f>MONTH(C2005)</f>
        <v>7</v>
      </c>
    </row>
    <row r="2006" spans="1:5">
      <c r="A2006" t="s">
        <v>4</v>
      </c>
      <c r="B2006" t="s">
        <v>269</v>
      </c>
      <c r="C2006" s="8">
        <v>46208</v>
      </c>
      <c r="D2006" s="9">
        <v>40624</v>
      </c>
      <c r="E2006">
        <f>MONTH(C2006)</f>
        <v>7</v>
      </c>
    </row>
    <row r="2007" spans="1:5">
      <c r="A2007" t="s">
        <v>8</v>
      </c>
      <c r="B2007" t="s">
        <v>79</v>
      </c>
      <c r="C2007" s="8">
        <v>46208</v>
      </c>
      <c r="D2007" s="9">
        <v>13769</v>
      </c>
      <c r="E2007">
        <f>MONTH(C2007)</f>
        <v>7</v>
      </c>
    </row>
    <row r="2008" spans="1:5">
      <c r="A2008" t="s">
        <v>6</v>
      </c>
      <c r="B2008" t="s">
        <v>120</v>
      </c>
      <c r="C2008" s="8">
        <v>46208</v>
      </c>
      <c r="D2008" s="9">
        <v>15566</v>
      </c>
      <c r="E2008">
        <f>MONTH(C2008)</f>
        <v>7</v>
      </c>
    </row>
    <row r="2009" spans="1:5">
      <c r="A2009" t="s">
        <v>7</v>
      </c>
      <c r="B2009" t="s">
        <v>170</v>
      </c>
      <c r="C2009" s="8">
        <v>46208</v>
      </c>
      <c r="D2009" s="9">
        <v>19174</v>
      </c>
      <c r="E2009">
        <f>MONTH(C2009)</f>
        <v>7</v>
      </c>
    </row>
    <row r="2010" spans="1:5">
      <c r="A2010" t="s">
        <v>7</v>
      </c>
      <c r="B2010" t="s">
        <v>90</v>
      </c>
      <c r="C2010" s="8">
        <v>46208</v>
      </c>
      <c r="D2010" s="9">
        <v>13475</v>
      </c>
      <c r="E2010">
        <f>MONTH(C2010)</f>
        <v>7</v>
      </c>
    </row>
    <row r="2011" spans="1:5">
      <c r="A2011" t="s">
        <v>37</v>
      </c>
      <c r="B2011" t="s">
        <v>81</v>
      </c>
      <c r="C2011" s="8">
        <v>46208</v>
      </c>
      <c r="D2011" s="9">
        <v>15424</v>
      </c>
      <c r="E2011">
        <f>MONTH(C2011)</f>
        <v>7</v>
      </c>
    </row>
    <row r="2012" spans="1:5">
      <c r="A2012" t="s">
        <v>9</v>
      </c>
      <c r="B2012" t="s">
        <v>91</v>
      </c>
      <c r="C2012" s="8">
        <v>46208</v>
      </c>
      <c r="D2012" s="9">
        <v>26042</v>
      </c>
      <c r="E2012">
        <f>MONTH(C2012)</f>
        <v>7</v>
      </c>
    </row>
    <row r="2013" spans="1:5">
      <c r="A2013" t="s">
        <v>5</v>
      </c>
      <c r="B2013" t="s">
        <v>92</v>
      </c>
      <c r="C2013" s="8">
        <v>46208</v>
      </c>
      <c r="D2013" s="9">
        <v>46578</v>
      </c>
      <c r="E2013">
        <f>MONTH(C2013)</f>
        <v>7</v>
      </c>
    </row>
    <row r="2014" spans="1:5">
      <c r="A2014" t="s">
        <v>5</v>
      </c>
      <c r="B2014" t="s">
        <v>101</v>
      </c>
      <c r="C2014" s="8">
        <v>46208</v>
      </c>
      <c r="D2014" s="9">
        <v>26425</v>
      </c>
      <c r="E2014">
        <f>MONTH(C2014)</f>
        <v>7</v>
      </c>
    </row>
    <row r="2015" spans="1:5">
      <c r="A2015" t="s">
        <v>5</v>
      </c>
      <c r="B2015" t="s">
        <v>93</v>
      </c>
      <c r="C2015" s="8">
        <v>46208</v>
      </c>
      <c r="D2015" s="9">
        <v>45006</v>
      </c>
      <c r="E2015">
        <f>MONTH(C2015)</f>
        <v>7</v>
      </c>
    </row>
    <row r="2016" spans="1:5">
      <c r="A2016" t="s">
        <v>5</v>
      </c>
      <c r="B2016" t="s">
        <v>109</v>
      </c>
      <c r="C2016" s="8">
        <v>46208</v>
      </c>
      <c r="D2016" s="9">
        <v>61687</v>
      </c>
      <c r="E2016">
        <f>MONTH(C2016)</f>
        <v>7</v>
      </c>
    </row>
    <row r="2017" spans="1:5">
      <c r="A2017" t="s">
        <v>27</v>
      </c>
      <c r="B2017" t="s">
        <v>184</v>
      </c>
      <c r="C2017" s="8">
        <v>46209</v>
      </c>
      <c r="D2017" s="9">
        <v>5200</v>
      </c>
      <c r="E2017">
        <f>MONTH(C2017)</f>
        <v>7</v>
      </c>
    </row>
    <row r="2018" spans="1:5">
      <c r="A2018" t="s">
        <v>4</v>
      </c>
      <c r="B2018" t="s">
        <v>181</v>
      </c>
      <c r="C2018" s="8">
        <v>46209</v>
      </c>
      <c r="D2018" s="9">
        <v>28958</v>
      </c>
      <c r="E2018">
        <f>MONTH(C2018)</f>
        <v>7</v>
      </c>
    </row>
    <row r="2019" spans="1:5">
      <c r="A2019" t="s">
        <v>4</v>
      </c>
      <c r="B2019" t="s">
        <v>185</v>
      </c>
      <c r="C2019" s="8">
        <v>46209</v>
      </c>
      <c r="D2019" s="9">
        <v>24076</v>
      </c>
      <c r="E2019">
        <f>MONTH(C2019)</f>
        <v>7</v>
      </c>
    </row>
    <row r="2020" spans="1:5">
      <c r="A2020" t="s">
        <v>6</v>
      </c>
      <c r="B2020" t="s">
        <v>249</v>
      </c>
      <c r="C2020" s="8">
        <v>46209</v>
      </c>
      <c r="D2020" s="9">
        <v>18128</v>
      </c>
      <c r="E2020">
        <f>MONTH(C2020)</f>
        <v>7</v>
      </c>
    </row>
    <row r="2021" spans="1:5">
      <c r="A2021" t="s">
        <v>6</v>
      </c>
      <c r="B2021" t="s">
        <v>131</v>
      </c>
      <c r="C2021" s="8">
        <v>46209</v>
      </c>
      <c r="D2021" s="9">
        <v>18278</v>
      </c>
      <c r="E2021">
        <f>MONTH(C2021)</f>
        <v>7</v>
      </c>
    </row>
    <row r="2022" spans="1:5">
      <c r="A2022" t="s">
        <v>7</v>
      </c>
      <c r="B2022" t="s">
        <v>274</v>
      </c>
      <c r="C2022" s="8">
        <v>46209</v>
      </c>
      <c r="D2022" s="9">
        <v>23153</v>
      </c>
      <c r="E2022">
        <f>MONTH(C2022)</f>
        <v>7</v>
      </c>
    </row>
    <row r="2023" spans="1:5">
      <c r="A2023" t="s">
        <v>7</v>
      </c>
      <c r="B2023" t="s">
        <v>201</v>
      </c>
      <c r="C2023" s="8">
        <v>46209</v>
      </c>
      <c r="D2023" s="9">
        <v>19035</v>
      </c>
      <c r="E2023">
        <f>MONTH(C2023)</f>
        <v>7</v>
      </c>
    </row>
    <row r="2024" spans="1:5">
      <c r="A2024" t="s">
        <v>9</v>
      </c>
      <c r="B2024" t="s">
        <v>203</v>
      </c>
      <c r="C2024" s="8">
        <v>46209</v>
      </c>
      <c r="D2024" s="9">
        <v>28597</v>
      </c>
      <c r="E2024">
        <f>MONTH(C2024)</f>
        <v>7</v>
      </c>
    </row>
    <row r="2025" spans="1:5">
      <c r="A2025" t="s">
        <v>5</v>
      </c>
      <c r="B2025" t="s">
        <v>114</v>
      </c>
      <c r="C2025" s="8">
        <v>46209</v>
      </c>
      <c r="D2025" s="9">
        <v>36010</v>
      </c>
      <c r="E2025">
        <f>MONTH(C2025)</f>
        <v>7</v>
      </c>
    </row>
    <row r="2026" spans="1:5">
      <c r="A2026" t="s">
        <v>5</v>
      </c>
      <c r="B2026" t="s">
        <v>53</v>
      </c>
      <c r="C2026" s="8">
        <v>46209</v>
      </c>
      <c r="D2026" s="9">
        <v>29498</v>
      </c>
      <c r="E2026">
        <f>MONTH(C2026)</f>
        <v>7</v>
      </c>
    </row>
    <row r="2027" spans="1:5">
      <c r="A2027" t="s">
        <v>5</v>
      </c>
      <c r="B2027" t="s">
        <v>251</v>
      </c>
      <c r="C2027" s="8">
        <v>46209</v>
      </c>
      <c r="D2027" s="9">
        <v>46238</v>
      </c>
      <c r="E2027">
        <f>MONTH(C2027)</f>
        <v>7</v>
      </c>
    </row>
    <row r="2028" spans="1:5">
      <c r="A2028" t="s">
        <v>5</v>
      </c>
      <c r="B2028" t="s">
        <v>54</v>
      </c>
      <c r="C2028" s="8">
        <v>46209</v>
      </c>
      <c r="D2028" s="9">
        <v>50308</v>
      </c>
      <c r="E2028">
        <f>MONTH(C2028)</f>
        <v>7</v>
      </c>
    </row>
    <row r="2029" spans="1:5">
      <c r="A2029" t="s">
        <v>5</v>
      </c>
      <c r="B2029" t="s">
        <v>124</v>
      </c>
      <c r="C2029" s="8">
        <v>46209</v>
      </c>
      <c r="D2029" s="9">
        <v>35371</v>
      </c>
      <c r="E2029">
        <f>MONTH(C2029)</f>
        <v>7</v>
      </c>
    </row>
    <row r="2030" spans="1:5">
      <c r="A2030" t="s">
        <v>5</v>
      </c>
      <c r="B2030" t="s">
        <v>134</v>
      </c>
      <c r="C2030" s="8">
        <v>46209</v>
      </c>
      <c r="D2030" s="9">
        <v>37136</v>
      </c>
      <c r="E2030">
        <f>MONTH(C2030)</f>
        <v>7</v>
      </c>
    </row>
    <row r="2031" spans="1:5">
      <c r="A2031" t="s">
        <v>5</v>
      </c>
      <c r="B2031" t="s">
        <v>58</v>
      </c>
      <c r="C2031" s="8">
        <v>46209</v>
      </c>
      <c r="D2031" s="9">
        <v>43438</v>
      </c>
      <c r="E2031">
        <f>MONTH(C2031)</f>
        <v>7</v>
      </c>
    </row>
    <row r="2032" spans="1:5">
      <c r="A2032" t="s">
        <v>5</v>
      </c>
      <c r="B2032" t="s">
        <v>189</v>
      </c>
      <c r="C2032" s="8">
        <v>46209</v>
      </c>
      <c r="D2032" s="9">
        <v>31229</v>
      </c>
      <c r="E2032">
        <f>MONTH(C2032)</f>
        <v>7</v>
      </c>
    </row>
    <row r="2033" spans="1:5">
      <c r="A2033" t="s">
        <v>4</v>
      </c>
      <c r="B2033" t="s">
        <v>76</v>
      </c>
      <c r="C2033" s="8">
        <v>46210</v>
      </c>
      <c r="D2033" s="9">
        <v>26866</v>
      </c>
      <c r="E2033">
        <f>MONTH(C2033)</f>
        <v>7</v>
      </c>
    </row>
    <row r="2034" spans="1:5">
      <c r="A2034" t="s">
        <v>8</v>
      </c>
      <c r="B2034" t="s">
        <v>147</v>
      </c>
      <c r="C2034" s="8">
        <v>46210</v>
      </c>
      <c r="D2034" s="9">
        <v>14802</v>
      </c>
      <c r="E2034">
        <f>MONTH(C2034)</f>
        <v>7</v>
      </c>
    </row>
    <row r="2035" spans="1:5">
      <c r="A2035" t="s">
        <v>6</v>
      </c>
      <c r="B2035" t="s">
        <v>263</v>
      </c>
      <c r="C2035" s="8">
        <v>46210</v>
      </c>
      <c r="D2035" s="9">
        <v>11507</v>
      </c>
      <c r="E2035">
        <f>MONTH(C2035)</f>
        <v>7</v>
      </c>
    </row>
    <row r="2036" spans="1:5">
      <c r="A2036" t="s">
        <v>29</v>
      </c>
      <c r="B2036" t="s">
        <v>51</v>
      </c>
      <c r="C2036" s="8">
        <v>46210</v>
      </c>
      <c r="D2036" s="9">
        <v>7671</v>
      </c>
      <c r="E2036">
        <f>MONTH(C2036)</f>
        <v>7</v>
      </c>
    </row>
    <row r="2037" spans="1:5">
      <c r="A2037" t="s">
        <v>9</v>
      </c>
      <c r="B2037" t="s">
        <v>143</v>
      </c>
      <c r="C2037" s="8">
        <v>46210</v>
      </c>
      <c r="D2037" s="9">
        <v>27465</v>
      </c>
      <c r="E2037">
        <f>MONTH(C2037)</f>
        <v>7</v>
      </c>
    </row>
    <row r="2038" spans="1:5">
      <c r="A2038" t="s">
        <v>5</v>
      </c>
      <c r="B2038" t="s">
        <v>133</v>
      </c>
      <c r="C2038" s="8">
        <v>46210</v>
      </c>
      <c r="D2038" s="9">
        <v>41572</v>
      </c>
      <c r="E2038">
        <f>MONTH(C2038)</f>
        <v>7</v>
      </c>
    </row>
    <row r="2039" spans="1:5">
      <c r="A2039" t="s">
        <v>5</v>
      </c>
      <c r="B2039" t="s">
        <v>133</v>
      </c>
      <c r="C2039" s="8">
        <v>46210</v>
      </c>
      <c r="D2039" s="9">
        <v>49522</v>
      </c>
      <c r="E2039">
        <f>MONTH(C2039)</f>
        <v>7</v>
      </c>
    </row>
    <row r="2040" spans="1:5">
      <c r="A2040" t="s">
        <v>5</v>
      </c>
      <c r="B2040" t="s">
        <v>98</v>
      </c>
      <c r="C2040" s="8">
        <v>46210</v>
      </c>
      <c r="D2040" s="9">
        <v>46068</v>
      </c>
      <c r="E2040">
        <f>MONTH(C2040)</f>
        <v>7</v>
      </c>
    </row>
    <row r="2041" spans="1:5">
      <c r="A2041" t="s">
        <v>25</v>
      </c>
      <c r="B2041" t="s">
        <v>128</v>
      </c>
      <c r="C2041" s="8">
        <v>46211</v>
      </c>
      <c r="D2041" s="9">
        <v>25159</v>
      </c>
      <c r="E2041">
        <f>MONTH(C2041)</f>
        <v>7</v>
      </c>
    </row>
    <row r="2042" spans="1:5">
      <c r="A2042" t="s">
        <v>30</v>
      </c>
      <c r="B2042" t="s">
        <v>63</v>
      </c>
      <c r="C2042" s="8">
        <v>46211</v>
      </c>
      <c r="D2042" s="9">
        <v>11538</v>
      </c>
      <c r="E2042">
        <f>MONTH(C2042)</f>
        <v>7</v>
      </c>
    </row>
    <row r="2043" spans="1:5">
      <c r="A2043" t="s">
        <v>6</v>
      </c>
      <c r="B2043" t="s">
        <v>88</v>
      </c>
      <c r="C2043" s="8">
        <v>46211</v>
      </c>
      <c r="D2043" s="9">
        <v>16703</v>
      </c>
      <c r="E2043">
        <f>MONTH(C2043)</f>
        <v>7</v>
      </c>
    </row>
    <row r="2044" spans="1:5">
      <c r="A2044" t="s">
        <v>33</v>
      </c>
      <c r="B2044" t="s">
        <v>248</v>
      </c>
      <c r="C2044" s="8">
        <v>46211</v>
      </c>
      <c r="D2044" s="9">
        <v>10768</v>
      </c>
      <c r="E2044">
        <f>MONTH(C2044)</f>
        <v>7</v>
      </c>
    </row>
    <row r="2045" spans="1:5">
      <c r="A2045" t="s">
        <v>7</v>
      </c>
      <c r="B2045" t="s">
        <v>65</v>
      </c>
      <c r="C2045" s="8">
        <v>46211</v>
      </c>
      <c r="D2045" s="9">
        <v>29974</v>
      </c>
      <c r="E2045">
        <f>MONTH(C2045)</f>
        <v>7</v>
      </c>
    </row>
    <row r="2046" spans="1:5">
      <c r="A2046" t="s">
        <v>7</v>
      </c>
      <c r="B2046" t="s">
        <v>254</v>
      </c>
      <c r="C2046" s="8">
        <v>46211</v>
      </c>
      <c r="D2046" s="9">
        <v>33652</v>
      </c>
      <c r="E2046">
        <f>MONTH(C2046)</f>
        <v>7</v>
      </c>
    </row>
    <row r="2047" spans="1:5">
      <c r="A2047" t="s">
        <v>9</v>
      </c>
      <c r="B2047" t="s">
        <v>235</v>
      </c>
      <c r="C2047" s="8">
        <v>46211</v>
      </c>
      <c r="D2047" s="9">
        <v>33950</v>
      </c>
      <c r="E2047">
        <f>MONTH(C2047)</f>
        <v>7</v>
      </c>
    </row>
    <row r="2048" spans="1:5">
      <c r="A2048" t="s">
        <v>5</v>
      </c>
      <c r="B2048" t="s">
        <v>92</v>
      </c>
      <c r="C2048" s="8">
        <v>46211</v>
      </c>
      <c r="D2048" s="9">
        <v>44244</v>
      </c>
      <c r="E2048">
        <f>MONTH(C2048)</f>
        <v>7</v>
      </c>
    </row>
    <row r="2049" spans="1:5">
      <c r="A2049" t="s">
        <v>5</v>
      </c>
      <c r="B2049" t="s">
        <v>108</v>
      </c>
      <c r="C2049" s="8">
        <v>46211</v>
      </c>
      <c r="D2049" s="9">
        <v>35290</v>
      </c>
      <c r="E2049">
        <f>MONTH(C2049)</f>
        <v>7</v>
      </c>
    </row>
    <row r="2050" spans="1:5">
      <c r="A2050" t="s">
        <v>5</v>
      </c>
      <c r="B2050" t="s">
        <v>204</v>
      </c>
      <c r="C2050" s="8">
        <v>46211</v>
      </c>
      <c r="D2050" s="9">
        <v>35796</v>
      </c>
      <c r="E2050">
        <f>MONTH(C2050)</f>
        <v>7</v>
      </c>
    </row>
    <row r="2051" spans="1:5">
      <c r="A2051" t="s">
        <v>4</v>
      </c>
      <c r="B2051" t="s">
        <v>190</v>
      </c>
      <c r="C2051" s="8">
        <v>46212</v>
      </c>
      <c r="D2051" s="9">
        <v>29533</v>
      </c>
      <c r="E2051">
        <f>MONTH(C2051)</f>
        <v>7</v>
      </c>
    </row>
    <row r="2052" spans="1:5">
      <c r="A2052" t="s">
        <v>31</v>
      </c>
      <c r="B2052" t="s">
        <v>199</v>
      </c>
      <c r="C2052" s="8">
        <v>46212</v>
      </c>
      <c r="D2052" s="9">
        <v>6532</v>
      </c>
      <c r="E2052">
        <f>MONTH(C2052)</f>
        <v>7</v>
      </c>
    </row>
    <row r="2053" spans="1:5">
      <c r="A2053" t="s">
        <v>6</v>
      </c>
      <c r="B2053" t="s">
        <v>260</v>
      </c>
      <c r="C2053" s="8">
        <v>46212</v>
      </c>
      <c r="D2053" s="9">
        <v>33587</v>
      </c>
      <c r="E2053">
        <f>MONTH(C2053)</f>
        <v>7</v>
      </c>
    </row>
    <row r="2054" spans="1:5">
      <c r="A2054" t="s">
        <v>29</v>
      </c>
      <c r="B2054" t="s">
        <v>191</v>
      </c>
      <c r="C2054" s="8">
        <v>46212</v>
      </c>
      <c r="D2054" s="9">
        <v>12702</v>
      </c>
      <c r="E2054">
        <f>MONTH(C2054)</f>
        <v>7</v>
      </c>
    </row>
    <row r="2055" spans="1:5">
      <c r="A2055" t="s">
        <v>29</v>
      </c>
      <c r="B2055" t="s">
        <v>155</v>
      </c>
      <c r="C2055" s="8">
        <v>46212</v>
      </c>
      <c r="D2055" s="9">
        <v>12324</v>
      </c>
      <c r="E2055">
        <f>MONTH(C2055)</f>
        <v>7</v>
      </c>
    </row>
    <row r="2056" spans="1:5">
      <c r="A2056" t="s">
        <v>29</v>
      </c>
      <c r="B2056" t="s">
        <v>112</v>
      </c>
      <c r="C2056" s="8">
        <v>46212</v>
      </c>
      <c r="D2056" s="9">
        <v>10763</v>
      </c>
      <c r="E2056">
        <f>MONTH(C2056)</f>
        <v>7</v>
      </c>
    </row>
    <row r="2057" spans="1:5">
      <c r="A2057" t="s">
        <v>7</v>
      </c>
      <c r="B2057" t="s">
        <v>243</v>
      </c>
      <c r="C2057" s="8">
        <v>46212</v>
      </c>
      <c r="D2057" s="9">
        <v>14029</v>
      </c>
      <c r="E2057">
        <f>MONTH(C2057)</f>
        <v>7</v>
      </c>
    </row>
    <row r="2058" spans="1:5">
      <c r="A2058" t="s">
        <v>9</v>
      </c>
      <c r="B2058" t="s">
        <v>143</v>
      </c>
      <c r="C2058" s="8">
        <v>46212</v>
      </c>
      <c r="D2058" s="9">
        <v>28371</v>
      </c>
      <c r="E2058">
        <f>MONTH(C2058)</f>
        <v>7</v>
      </c>
    </row>
    <row r="2059" spans="1:5">
      <c r="A2059" t="s">
        <v>9</v>
      </c>
      <c r="B2059" t="s">
        <v>133</v>
      </c>
      <c r="C2059" s="8">
        <v>46212</v>
      </c>
      <c r="D2059" s="9">
        <v>34021</v>
      </c>
      <c r="E2059">
        <f>MONTH(C2059)</f>
        <v>7</v>
      </c>
    </row>
    <row r="2060" spans="1:5">
      <c r="A2060" t="s">
        <v>9</v>
      </c>
      <c r="B2060" t="s">
        <v>245</v>
      </c>
      <c r="C2060" s="8">
        <v>46212</v>
      </c>
      <c r="D2060" s="9">
        <v>27312</v>
      </c>
      <c r="E2060">
        <f>MONTH(C2060)</f>
        <v>7</v>
      </c>
    </row>
    <row r="2061" spans="1:5">
      <c r="A2061" t="s">
        <v>5</v>
      </c>
      <c r="B2061" t="s">
        <v>188</v>
      </c>
      <c r="C2061" s="8">
        <v>46212</v>
      </c>
      <c r="D2061" s="9">
        <v>23827</v>
      </c>
      <c r="E2061">
        <f>MONTH(C2061)</f>
        <v>7</v>
      </c>
    </row>
    <row r="2062" spans="1:5">
      <c r="A2062" t="s">
        <v>5</v>
      </c>
      <c r="B2062" t="s">
        <v>114</v>
      </c>
      <c r="C2062" s="8">
        <v>46212</v>
      </c>
      <c r="D2062" s="9">
        <v>26614</v>
      </c>
      <c r="E2062">
        <f>MONTH(C2062)</f>
        <v>7</v>
      </c>
    </row>
    <row r="2063" spans="1:5">
      <c r="A2063" t="s">
        <v>5</v>
      </c>
      <c r="B2063" t="s">
        <v>182</v>
      </c>
      <c r="C2063" s="8">
        <v>46212</v>
      </c>
      <c r="D2063" s="9">
        <v>42333</v>
      </c>
      <c r="E2063">
        <f>MONTH(C2063)</f>
        <v>7</v>
      </c>
    </row>
    <row r="2064" spans="1:5">
      <c r="A2064" t="s">
        <v>5</v>
      </c>
      <c r="B2064" t="s">
        <v>72</v>
      </c>
      <c r="C2064" s="8">
        <v>46212</v>
      </c>
      <c r="D2064" s="9">
        <v>61390</v>
      </c>
      <c r="E2064">
        <f>MONTH(C2064)</f>
        <v>7</v>
      </c>
    </row>
    <row r="2065" spans="1:5">
      <c r="A2065" t="s">
        <v>36</v>
      </c>
      <c r="B2065" t="s">
        <v>229</v>
      </c>
      <c r="C2065" s="8">
        <v>46213</v>
      </c>
      <c r="D2065" s="9">
        <v>11472</v>
      </c>
      <c r="E2065">
        <f>MONTH(C2065)</f>
        <v>7</v>
      </c>
    </row>
    <row r="2066" spans="1:5">
      <c r="A2066" t="s">
        <v>6</v>
      </c>
      <c r="B2066" t="s">
        <v>227</v>
      </c>
      <c r="C2066" s="8">
        <v>46213</v>
      </c>
      <c r="D2066" s="9">
        <v>14710</v>
      </c>
      <c r="E2066">
        <f>MONTH(C2066)</f>
        <v>7</v>
      </c>
    </row>
    <row r="2067" spans="1:5">
      <c r="A2067" t="s">
        <v>9</v>
      </c>
      <c r="B2067" t="s">
        <v>144</v>
      </c>
      <c r="C2067" s="8">
        <v>46213</v>
      </c>
      <c r="D2067" s="9">
        <v>26118</v>
      </c>
      <c r="E2067">
        <f>MONTH(C2067)</f>
        <v>7</v>
      </c>
    </row>
    <row r="2068" spans="1:5">
      <c r="A2068" t="s">
        <v>9</v>
      </c>
      <c r="B2068" t="s">
        <v>83</v>
      </c>
      <c r="C2068" s="8">
        <v>46213</v>
      </c>
      <c r="D2068" s="9">
        <v>36639</v>
      </c>
      <c r="E2068">
        <f>MONTH(C2068)</f>
        <v>7</v>
      </c>
    </row>
    <row r="2069" spans="1:5">
      <c r="A2069" t="s">
        <v>5</v>
      </c>
      <c r="B2069" t="s">
        <v>106</v>
      </c>
      <c r="C2069" s="8">
        <v>46213</v>
      </c>
      <c r="D2069" s="9">
        <v>43163</v>
      </c>
      <c r="E2069">
        <f>MONTH(C2069)</f>
        <v>7</v>
      </c>
    </row>
    <row r="2070" spans="1:5">
      <c r="A2070" t="s">
        <v>5</v>
      </c>
      <c r="B2070" t="s">
        <v>182</v>
      </c>
      <c r="C2070" s="8">
        <v>46213</v>
      </c>
      <c r="D2070" s="9">
        <v>48325</v>
      </c>
      <c r="E2070">
        <f>MONTH(C2070)</f>
        <v>7</v>
      </c>
    </row>
    <row r="2071" spans="1:5">
      <c r="A2071" t="s">
        <v>5</v>
      </c>
      <c r="B2071" t="s">
        <v>97</v>
      </c>
      <c r="C2071" s="8">
        <v>46213</v>
      </c>
      <c r="D2071" s="9">
        <v>50289</v>
      </c>
      <c r="E2071">
        <f>MONTH(C2071)</f>
        <v>7</v>
      </c>
    </row>
    <row r="2072" spans="1:5">
      <c r="A2072" t="s">
        <v>5</v>
      </c>
      <c r="B2072" t="s">
        <v>183</v>
      </c>
      <c r="C2072" s="8">
        <v>46213</v>
      </c>
      <c r="D2072" s="9">
        <v>44481</v>
      </c>
      <c r="E2072">
        <f>MONTH(C2072)</f>
        <v>7</v>
      </c>
    </row>
    <row r="2073" spans="1:5">
      <c r="A2073" t="s">
        <v>5</v>
      </c>
      <c r="B2073" t="s">
        <v>145</v>
      </c>
      <c r="C2073" s="8">
        <v>46213</v>
      </c>
      <c r="D2073" s="9">
        <v>40435</v>
      </c>
      <c r="E2073">
        <f>MONTH(C2073)</f>
        <v>7</v>
      </c>
    </row>
    <row r="2074" spans="1:5">
      <c r="A2074" t="s">
        <v>5</v>
      </c>
      <c r="B2074" t="s">
        <v>159</v>
      </c>
      <c r="C2074" s="8">
        <v>46213</v>
      </c>
      <c r="D2074" s="9">
        <v>39830</v>
      </c>
      <c r="E2074">
        <f>MONTH(C2074)</f>
        <v>7</v>
      </c>
    </row>
    <row r="2075" spans="1:5">
      <c r="A2075" t="s">
        <v>4</v>
      </c>
      <c r="B2075" t="s">
        <v>74</v>
      </c>
      <c r="C2075" s="8">
        <v>46214</v>
      </c>
      <c r="D2075" s="9">
        <v>39781</v>
      </c>
      <c r="E2075">
        <f>MONTH(C2075)</f>
        <v>7</v>
      </c>
    </row>
    <row r="2076" spans="1:5">
      <c r="A2076" t="s">
        <v>8</v>
      </c>
      <c r="B2076" t="s">
        <v>64</v>
      </c>
      <c r="C2076" s="8">
        <v>46214</v>
      </c>
      <c r="D2076" s="9">
        <v>14019</v>
      </c>
      <c r="E2076">
        <f>MONTH(C2076)</f>
        <v>7</v>
      </c>
    </row>
    <row r="2077" spans="1:5">
      <c r="A2077" t="s">
        <v>6</v>
      </c>
      <c r="B2077" t="s">
        <v>207</v>
      </c>
      <c r="C2077" s="8">
        <v>46214</v>
      </c>
      <c r="D2077" s="9">
        <v>29784</v>
      </c>
      <c r="E2077">
        <f>MONTH(C2077)</f>
        <v>7</v>
      </c>
    </row>
    <row r="2078" spans="1:5">
      <c r="A2078" t="s">
        <v>6</v>
      </c>
      <c r="B2078" t="s">
        <v>231</v>
      </c>
      <c r="C2078" s="8">
        <v>46214</v>
      </c>
      <c r="D2078" s="9">
        <v>14937</v>
      </c>
      <c r="E2078">
        <f>MONTH(C2078)</f>
        <v>7</v>
      </c>
    </row>
    <row r="2079" spans="1:5">
      <c r="A2079" t="s">
        <v>7</v>
      </c>
      <c r="B2079" t="s">
        <v>208</v>
      </c>
      <c r="C2079" s="8">
        <v>46214</v>
      </c>
      <c r="D2079" s="9">
        <v>16765</v>
      </c>
      <c r="E2079">
        <f>MONTH(C2079)</f>
        <v>7</v>
      </c>
    </row>
    <row r="2080" spans="1:5">
      <c r="A2080" t="s">
        <v>9</v>
      </c>
      <c r="B2080" t="s">
        <v>179</v>
      </c>
      <c r="C2080" s="8">
        <v>46214</v>
      </c>
      <c r="D2080" s="9">
        <v>43071</v>
      </c>
      <c r="E2080">
        <f>MONTH(C2080)</f>
        <v>7</v>
      </c>
    </row>
    <row r="2081" spans="1:5">
      <c r="A2081" t="s">
        <v>5</v>
      </c>
      <c r="B2081" t="s">
        <v>172</v>
      </c>
      <c r="C2081" s="8">
        <v>46214</v>
      </c>
      <c r="D2081" s="9">
        <v>35983</v>
      </c>
      <c r="E2081">
        <f>MONTH(C2081)</f>
        <v>7</v>
      </c>
    </row>
    <row r="2082" spans="1:5">
      <c r="A2082" t="s">
        <v>35</v>
      </c>
      <c r="B2082" t="s">
        <v>94</v>
      </c>
      <c r="C2082" s="8">
        <v>46215</v>
      </c>
      <c r="D2082" s="9">
        <v>5200</v>
      </c>
      <c r="E2082">
        <f>MONTH(C2082)</f>
        <v>7</v>
      </c>
    </row>
    <row r="2083" spans="1:5">
      <c r="A2083" t="s">
        <v>31</v>
      </c>
      <c r="B2083" t="s">
        <v>48</v>
      </c>
      <c r="C2083" s="8">
        <v>46215</v>
      </c>
      <c r="D2083" s="9">
        <v>12140</v>
      </c>
      <c r="E2083">
        <f>MONTH(C2083)</f>
        <v>7</v>
      </c>
    </row>
    <row r="2084" spans="1:5">
      <c r="A2084" t="s">
        <v>26</v>
      </c>
      <c r="B2084" t="s">
        <v>205</v>
      </c>
      <c r="C2084" s="8">
        <v>46215</v>
      </c>
      <c r="D2084" s="9">
        <v>11077</v>
      </c>
      <c r="E2084">
        <f>MONTH(C2084)</f>
        <v>7</v>
      </c>
    </row>
    <row r="2085" spans="1:5">
      <c r="A2085" t="s">
        <v>8</v>
      </c>
      <c r="B2085" t="s">
        <v>225</v>
      </c>
      <c r="C2085" s="8">
        <v>46215</v>
      </c>
      <c r="D2085" s="9">
        <v>5200</v>
      </c>
      <c r="E2085">
        <f>MONTH(C2085)</f>
        <v>7</v>
      </c>
    </row>
    <row r="2086" spans="1:5">
      <c r="A2086" t="s">
        <v>7</v>
      </c>
      <c r="B2086" t="s">
        <v>142</v>
      </c>
      <c r="C2086" s="8">
        <v>46215</v>
      </c>
      <c r="D2086" s="9">
        <v>20746</v>
      </c>
      <c r="E2086">
        <f>MONTH(C2086)</f>
        <v>7</v>
      </c>
    </row>
    <row r="2087" spans="1:5">
      <c r="A2087" t="s">
        <v>7</v>
      </c>
      <c r="B2087" t="s">
        <v>175</v>
      </c>
      <c r="C2087" s="8">
        <v>46215</v>
      </c>
      <c r="D2087" s="9">
        <v>25788</v>
      </c>
      <c r="E2087">
        <f>MONTH(C2087)</f>
        <v>7</v>
      </c>
    </row>
    <row r="2088" spans="1:5">
      <c r="A2088" t="s">
        <v>7</v>
      </c>
      <c r="B2088" t="s">
        <v>238</v>
      </c>
      <c r="C2088" s="8">
        <v>46215</v>
      </c>
      <c r="D2088" s="9">
        <v>21760</v>
      </c>
      <c r="E2088">
        <f>MONTH(C2088)</f>
        <v>7</v>
      </c>
    </row>
    <row r="2089" spans="1:5">
      <c r="A2089" t="s">
        <v>5</v>
      </c>
      <c r="B2089" t="s">
        <v>239</v>
      </c>
      <c r="C2089" s="8">
        <v>46215</v>
      </c>
      <c r="D2089" s="9">
        <v>35391</v>
      </c>
      <c r="E2089">
        <f>MONTH(C2089)</f>
        <v>7</v>
      </c>
    </row>
    <row r="2090" spans="1:5">
      <c r="A2090" t="s">
        <v>5</v>
      </c>
      <c r="B2090" t="s">
        <v>98</v>
      </c>
      <c r="C2090" s="8">
        <v>46215</v>
      </c>
      <c r="D2090" s="9">
        <v>32186</v>
      </c>
      <c r="E2090">
        <f>MONTH(C2090)</f>
        <v>7</v>
      </c>
    </row>
    <row r="2091" spans="1:5">
      <c r="A2091" t="s">
        <v>5</v>
      </c>
      <c r="B2091" t="s">
        <v>109</v>
      </c>
      <c r="C2091" s="8">
        <v>46215</v>
      </c>
      <c r="D2091" s="9">
        <v>43750</v>
      </c>
      <c r="E2091">
        <f>MONTH(C2091)</f>
        <v>7</v>
      </c>
    </row>
    <row r="2092" spans="1:5">
      <c r="A2092" t="s">
        <v>35</v>
      </c>
      <c r="B2092" t="s">
        <v>271</v>
      </c>
      <c r="C2092" s="8">
        <v>46216</v>
      </c>
      <c r="D2092" s="9">
        <v>19649</v>
      </c>
      <c r="E2092">
        <f>MONTH(C2092)</f>
        <v>7</v>
      </c>
    </row>
    <row r="2093" spans="1:5">
      <c r="A2093" t="s">
        <v>27</v>
      </c>
      <c r="B2093" t="s">
        <v>196</v>
      </c>
      <c r="C2093" s="8">
        <v>46216</v>
      </c>
      <c r="D2093" s="9">
        <v>14797</v>
      </c>
      <c r="E2093">
        <f>MONTH(C2093)</f>
        <v>7</v>
      </c>
    </row>
    <row r="2094" spans="1:5">
      <c r="A2094" t="s">
        <v>4</v>
      </c>
      <c r="B2094" t="s">
        <v>176</v>
      </c>
      <c r="C2094" s="8">
        <v>46216</v>
      </c>
      <c r="D2094" s="9">
        <v>45425</v>
      </c>
      <c r="E2094">
        <f>MONTH(C2094)</f>
        <v>7</v>
      </c>
    </row>
    <row r="2095" spans="1:5">
      <c r="A2095" t="s">
        <v>4</v>
      </c>
      <c r="B2095" t="s">
        <v>234</v>
      </c>
      <c r="C2095" s="8">
        <v>46216</v>
      </c>
      <c r="D2095" s="9">
        <v>22848</v>
      </c>
      <c r="E2095">
        <f>MONTH(C2095)</f>
        <v>7</v>
      </c>
    </row>
    <row r="2096" spans="1:5">
      <c r="A2096" t="s">
        <v>25</v>
      </c>
      <c r="B2096" t="s">
        <v>86</v>
      </c>
      <c r="C2096" s="8">
        <v>46216</v>
      </c>
      <c r="D2096" s="9">
        <v>14643</v>
      </c>
      <c r="E2096">
        <f>MONTH(C2096)</f>
        <v>7</v>
      </c>
    </row>
    <row r="2097" spans="1:5">
      <c r="A2097" t="s">
        <v>26</v>
      </c>
      <c r="B2097" t="s">
        <v>257</v>
      </c>
      <c r="C2097" s="8">
        <v>46216</v>
      </c>
      <c r="D2097" s="9">
        <v>21847</v>
      </c>
      <c r="E2097">
        <f>MONTH(C2097)</f>
        <v>7</v>
      </c>
    </row>
    <row r="2098" spans="1:5">
      <c r="A2098" t="s">
        <v>6</v>
      </c>
      <c r="B2098" t="s">
        <v>103</v>
      </c>
      <c r="C2098" s="8">
        <v>46216</v>
      </c>
      <c r="D2098" s="9">
        <v>16415</v>
      </c>
      <c r="E2098">
        <f>MONTH(C2098)</f>
        <v>7</v>
      </c>
    </row>
    <row r="2099" spans="1:5">
      <c r="A2099" t="s">
        <v>7</v>
      </c>
      <c r="B2099" t="s">
        <v>89</v>
      </c>
      <c r="C2099" s="8">
        <v>46216</v>
      </c>
      <c r="D2099" s="9">
        <v>25804</v>
      </c>
      <c r="E2099">
        <f>MONTH(C2099)</f>
        <v>7</v>
      </c>
    </row>
    <row r="2100" spans="1:5">
      <c r="A2100" t="s">
        <v>9</v>
      </c>
      <c r="B2100" t="s">
        <v>250</v>
      </c>
      <c r="C2100" s="8">
        <v>46216</v>
      </c>
      <c r="D2100" s="9">
        <v>42862</v>
      </c>
      <c r="E2100">
        <f>MONTH(C2100)</f>
        <v>7</v>
      </c>
    </row>
    <row r="2101" spans="1:5">
      <c r="A2101" t="s">
        <v>9</v>
      </c>
      <c r="B2101" t="s">
        <v>113</v>
      </c>
      <c r="C2101" s="8">
        <v>46216</v>
      </c>
      <c r="D2101" s="9">
        <v>22240</v>
      </c>
      <c r="E2101">
        <f>MONTH(C2101)</f>
        <v>7</v>
      </c>
    </row>
    <row r="2102" spans="1:5">
      <c r="A2102" t="s">
        <v>9</v>
      </c>
      <c r="B2102" t="s">
        <v>144</v>
      </c>
      <c r="C2102" s="8">
        <v>46216</v>
      </c>
      <c r="D2102" s="9">
        <v>27681</v>
      </c>
      <c r="E2102">
        <f>MONTH(C2102)</f>
        <v>7</v>
      </c>
    </row>
    <row r="2103" spans="1:5">
      <c r="A2103" t="s">
        <v>5</v>
      </c>
      <c r="B2103" t="s">
        <v>133</v>
      </c>
      <c r="C2103" s="8">
        <v>46216</v>
      </c>
      <c r="D2103" s="9">
        <v>50438</v>
      </c>
      <c r="E2103">
        <f>MONTH(C2103)</f>
        <v>7</v>
      </c>
    </row>
    <row r="2104" spans="1:5">
      <c r="A2104" t="s">
        <v>5</v>
      </c>
      <c r="B2104" t="s">
        <v>93</v>
      </c>
      <c r="C2104" s="8">
        <v>46216</v>
      </c>
      <c r="D2104" s="9">
        <v>30162</v>
      </c>
      <c r="E2104">
        <f>MONTH(C2104)</f>
        <v>7</v>
      </c>
    </row>
    <row r="2105" spans="1:5">
      <c r="A2105" t="s">
        <v>5</v>
      </c>
      <c r="B2105" t="s">
        <v>277</v>
      </c>
      <c r="C2105" s="8">
        <v>46216</v>
      </c>
      <c r="D2105" s="9">
        <v>49278</v>
      </c>
      <c r="E2105">
        <f>MONTH(C2105)</f>
        <v>7</v>
      </c>
    </row>
    <row r="2106" spans="1:5">
      <c r="A2106" t="s">
        <v>35</v>
      </c>
      <c r="B2106" t="s">
        <v>87</v>
      </c>
      <c r="C2106" s="8">
        <v>46217</v>
      </c>
      <c r="D2106" s="9">
        <v>15636</v>
      </c>
      <c r="E2106">
        <f>MONTH(C2106)</f>
        <v>7</v>
      </c>
    </row>
    <row r="2107" spans="1:5">
      <c r="A2107" t="s">
        <v>4</v>
      </c>
      <c r="B2107" t="s">
        <v>240</v>
      </c>
      <c r="C2107" s="8">
        <v>46217</v>
      </c>
      <c r="D2107" s="9">
        <v>26621</v>
      </c>
      <c r="E2107">
        <f>MONTH(C2107)</f>
        <v>7</v>
      </c>
    </row>
    <row r="2108" spans="1:5">
      <c r="A2108" t="s">
        <v>4</v>
      </c>
      <c r="B2108" t="s">
        <v>234</v>
      </c>
      <c r="C2108" s="8">
        <v>46217</v>
      </c>
      <c r="D2108" s="9">
        <v>26213</v>
      </c>
      <c r="E2108">
        <f>MONTH(C2108)</f>
        <v>7</v>
      </c>
    </row>
    <row r="2109" spans="1:5">
      <c r="A2109" t="s">
        <v>26</v>
      </c>
      <c r="B2109" t="s">
        <v>280</v>
      </c>
      <c r="C2109" s="8">
        <v>46217</v>
      </c>
      <c r="D2109" s="9">
        <v>14220</v>
      </c>
      <c r="E2109">
        <f>MONTH(C2109)</f>
        <v>7</v>
      </c>
    </row>
    <row r="2110" spans="1:5">
      <c r="A2110" t="s">
        <v>6</v>
      </c>
      <c r="B2110" t="s">
        <v>273</v>
      </c>
      <c r="C2110" s="8">
        <v>46217</v>
      </c>
      <c r="D2110" s="9">
        <v>15186</v>
      </c>
      <c r="E2110">
        <f>MONTH(C2110)</f>
        <v>7</v>
      </c>
    </row>
    <row r="2111" spans="1:5">
      <c r="A2111" t="s">
        <v>9</v>
      </c>
      <c r="B2111" t="s">
        <v>283</v>
      </c>
      <c r="C2111" s="8">
        <v>46217</v>
      </c>
      <c r="D2111" s="9">
        <v>26179</v>
      </c>
      <c r="E2111">
        <f>MONTH(C2111)</f>
        <v>7</v>
      </c>
    </row>
    <row r="2112" spans="1:5">
      <c r="A2112" t="s">
        <v>9</v>
      </c>
      <c r="B2112" t="s">
        <v>83</v>
      </c>
      <c r="C2112" s="8">
        <v>46217</v>
      </c>
      <c r="D2112" s="9">
        <v>39150</v>
      </c>
      <c r="E2112">
        <f>MONTH(C2112)</f>
        <v>7</v>
      </c>
    </row>
    <row r="2113" spans="1:5">
      <c r="A2113" t="s">
        <v>5</v>
      </c>
      <c r="B2113" t="s">
        <v>251</v>
      </c>
      <c r="C2113" s="8">
        <v>46217</v>
      </c>
      <c r="D2113" s="9">
        <v>41672</v>
      </c>
      <c r="E2113">
        <f>MONTH(C2113)</f>
        <v>7</v>
      </c>
    </row>
    <row r="2114" spans="1:5">
      <c r="A2114" t="s">
        <v>5</v>
      </c>
      <c r="B2114" t="s">
        <v>84</v>
      </c>
      <c r="C2114" s="8">
        <v>46217</v>
      </c>
      <c r="D2114" s="9">
        <v>46386</v>
      </c>
      <c r="E2114">
        <f>MONTH(C2114)</f>
        <v>7</v>
      </c>
    </row>
    <row r="2115" spans="1:5">
      <c r="A2115" t="s">
        <v>5</v>
      </c>
      <c r="B2115" t="s">
        <v>74</v>
      </c>
      <c r="C2115" s="8">
        <v>46217</v>
      </c>
      <c r="D2115" s="9">
        <v>33932</v>
      </c>
      <c r="E2115">
        <f>MONTH(C2115)</f>
        <v>7</v>
      </c>
    </row>
    <row r="2116" spans="1:5">
      <c r="A2116" t="s">
        <v>5</v>
      </c>
      <c r="B2116" t="s">
        <v>108</v>
      </c>
      <c r="C2116" s="8">
        <v>46217</v>
      </c>
      <c r="D2116" s="9">
        <v>28862</v>
      </c>
      <c r="E2116">
        <f>MONTH(C2116)</f>
        <v>7</v>
      </c>
    </row>
    <row r="2117" spans="1:5">
      <c r="A2117" t="s">
        <v>27</v>
      </c>
      <c r="B2117" t="s">
        <v>253</v>
      </c>
      <c r="C2117" s="8">
        <v>46218</v>
      </c>
      <c r="D2117" s="9">
        <v>22400</v>
      </c>
      <c r="E2117">
        <f>MONTH(C2117)</f>
        <v>7</v>
      </c>
    </row>
    <row r="2118" spans="1:5">
      <c r="A2118" t="s">
        <v>4</v>
      </c>
      <c r="B2118" t="s">
        <v>50</v>
      </c>
      <c r="C2118" s="8">
        <v>46218</v>
      </c>
      <c r="D2118" s="9">
        <v>23126</v>
      </c>
      <c r="E2118">
        <f>MONTH(C2118)</f>
        <v>7</v>
      </c>
    </row>
    <row r="2119" spans="1:5">
      <c r="A2119" t="s">
        <v>31</v>
      </c>
      <c r="B2119" t="s">
        <v>77</v>
      </c>
      <c r="C2119" s="8">
        <v>46218</v>
      </c>
      <c r="D2119" s="9">
        <v>5200</v>
      </c>
      <c r="E2119">
        <f>MONTH(C2119)</f>
        <v>7</v>
      </c>
    </row>
    <row r="2120" spans="1:5">
      <c r="A2120" t="s">
        <v>28</v>
      </c>
      <c r="B2120" t="s">
        <v>255</v>
      </c>
      <c r="C2120" s="8">
        <v>46218</v>
      </c>
      <c r="D2120" s="9">
        <v>5200</v>
      </c>
      <c r="E2120">
        <f>MONTH(C2120)</f>
        <v>7</v>
      </c>
    </row>
    <row r="2121" spans="1:5">
      <c r="A2121" t="s">
        <v>8</v>
      </c>
      <c r="B2121" t="s">
        <v>259</v>
      </c>
      <c r="C2121" s="8">
        <v>46218</v>
      </c>
      <c r="D2121" s="9">
        <v>16305</v>
      </c>
      <c r="E2121">
        <f>MONTH(C2121)</f>
        <v>7</v>
      </c>
    </row>
    <row r="2122" spans="1:5">
      <c r="A2122" t="s">
        <v>6</v>
      </c>
      <c r="B2122" t="s">
        <v>130</v>
      </c>
      <c r="C2122" s="8">
        <v>46218</v>
      </c>
      <c r="D2122" s="9">
        <v>19282</v>
      </c>
      <c r="E2122">
        <f>MONTH(C2122)</f>
        <v>7</v>
      </c>
    </row>
    <row r="2123" spans="1:5">
      <c r="A2123" t="s">
        <v>9</v>
      </c>
      <c r="B2123" t="s">
        <v>157</v>
      </c>
      <c r="C2123" s="8">
        <v>46218</v>
      </c>
      <c r="D2123" s="9">
        <v>28827</v>
      </c>
      <c r="E2123">
        <f>MONTH(C2123)</f>
        <v>7</v>
      </c>
    </row>
    <row r="2124" spans="1:5">
      <c r="A2124" t="s">
        <v>9</v>
      </c>
      <c r="B2124" t="s">
        <v>70</v>
      </c>
      <c r="C2124" s="8">
        <v>46218</v>
      </c>
      <c r="D2124" s="9">
        <v>27469</v>
      </c>
      <c r="E2124">
        <f>MONTH(C2124)</f>
        <v>7</v>
      </c>
    </row>
    <row r="2125" spans="1:5">
      <c r="A2125" t="s">
        <v>5</v>
      </c>
      <c r="B2125" t="s">
        <v>166</v>
      </c>
      <c r="C2125" s="8">
        <v>46218</v>
      </c>
      <c r="D2125" s="9">
        <v>42723</v>
      </c>
      <c r="E2125">
        <f>MONTH(C2125)</f>
        <v>7</v>
      </c>
    </row>
    <row r="2126" spans="1:5">
      <c r="A2126" t="s">
        <v>27</v>
      </c>
      <c r="B2126" t="s">
        <v>125</v>
      </c>
      <c r="C2126" s="8">
        <v>46219</v>
      </c>
      <c r="D2126" s="9">
        <v>12257</v>
      </c>
      <c r="E2126">
        <f>MONTH(C2126)</f>
        <v>7</v>
      </c>
    </row>
    <row r="2127" spans="1:5">
      <c r="A2127" t="s">
        <v>4</v>
      </c>
      <c r="B2127" t="s">
        <v>146</v>
      </c>
      <c r="C2127" s="8">
        <v>46219</v>
      </c>
      <c r="D2127" s="9">
        <v>22996</v>
      </c>
      <c r="E2127">
        <f>MONTH(C2127)</f>
        <v>7</v>
      </c>
    </row>
    <row r="2128" spans="1:5">
      <c r="A2128" t="s">
        <v>25</v>
      </c>
      <c r="B2128" t="s">
        <v>200</v>
      </c>
      <c r="C2128" s="8">
        <v>46219</v>
      </c>
      <c r="D2128" s="9">
        <v>12380</v>
      </c>
      <c r="E2128">
        <f>MONTH(C2128)</f>
        <v>7</v>
      </c>
    </row>
    <row r="2129" spans="1:5">
      <c r="A2129" t="s">
        <v>8</v>
      </c>
      <c r="B2129" t="s">
        <v>214</v>
      </c>
      <c r="C2129" s="8">
        <v>46219</v>
      </c>
      <c r="D2129" s="9">
        <v>18713</v>
      </c>
      <c r="E2129">
        <f>MONTH(C2129)</f>
        <v>7</v>
      </c>
    </row>
    <row r="2130" spans="1:5">
      <c r="A2130" t="s">
        <v>6</v>
      </c>
      <c r="B2130" t="s">
        <v>217</v>
      </c>
      <c r="C2130" s="8">
        <v>46219</v>
      </c>
      <c r="D2130" s="9">
        <v>16135</v>
      </c>
      <c r="E2130">
        <f>MONTH(C2130)</f>
        <v>7</v>
      </c>
    </row>
    <row r="2131" spans="1:5">
      <c r="A2131" t="s">
        <v>29</v>
      </c>
      <c r="B2131" t="s">
        <v>104</v>
      </c>
      <c r="C2131" s="8">
        <v>46219</v>
      </c>
      <c r="D2131" s="9">
        <v>12425</v>
      </c>
      <c r="E2131">
        <f>MONTH(C2131)</f>
        <v>7</v>
      </c>
    </row>
    <row r="2132" spans="1:5">
      <c r="A2132" t="s">
        <v>9</v>
      </c>
      <c r="B2132" t="s">
        <v>123</v>
      </c>
      <c r="C2132" s="8">
        <v>46219</v>
      </c>
      <c r="D2132" s="9">
        <v>43073</v>
      </c>
      <c r="E2132">
        <f>MONTH(C2132)</f>
        <v>7</v>
      </c>
    </row>
    <row r="2133" spans="1:5">
      <c r="A2133" t="s">
        <v>5</v>
      </c>
      <c r="B2133" t="s">
        <v>239</v>
      </c>
      <c r="C2133" s="8">
        <v>46219</v>
      </c>
      <c r="D2133" s="9">
        <v>34120</v>
      </c>
      <c r="E2133">
        <f>MONTH(C2133)</f>
        <v>7</v>
      </c>
    </row>
    <row r="2134" spans="1:5">
      <c r="A2134" t="s">
        <v>5</v>
      </c>
      <c r="B2134" t="s">
        <v>53</v>
      </c>
      <c r="C2134" s="8">
        <v>46219</v>
      </c>
      <c r="D2134" s="9">
        <v>32958</v>
      </c>
      <c r="E2134">
        <f>MONTH(C2134)</f>
        <v>7</v>
      </c>
    </row>
    <row r="2135" spans="1:5">
      <c r="A2135" t="s">
        <v>5</v>
      </c>
      <c r="B2135" t="s">
        <v>98</v>
      </c>
      <c r="C2135" s="8">
        <v>46219</v>
      </c>
      <c r="D2135" s="9">
        <v>52721</v>
      </c>
      <c r="E2135">
        <f>MONTH(C2135)</f>
        <v>7</v>
      </c>
    </row>
    <row r="2136" spans="1:5">
      <c r="A2136" t="s">
        <v>5</v>
      </c>
      <c r="B2136" t="s">
        <v>210</v>
      </c>
      <c r="C2136" s="8">
        <v>46219</v>
      </c>
      <c r="D2136" s="9">
        <v>32348</v>
      </c>
      <c r="E2136">
        <f>MONTH(C2136)</f>
        <v>7</v>
      </c>
    </row>
    <row r="2137" spans="1:5">
      <c r="A2137" t="s">
        <v>5</v>
      </c>
      <c r="B2137" t="s">
        <v>159</v>
      </c>
      <c r="C2137" s="8">
        <v>46219</v>
      </c>
      <c r="D2137" s="9">
        <v>57191</v>
      </c>
      <c r="E2137">
        <f>MONTH(C2137)</f>
        <v>7</v>
      </c>
    </row>
    <row r="2138" spans="1:5">
      <c r="A2138" t="s">
        <v>5</v>
      </c>
      <c r="B2138" t="s">
        <v>61</v>
      </c>
      <c r="C2138" s="8">
        <v>46219</v>
      </c>
      <c r="D2138" s="9">
        <v>23707</v>
      </c>
      <c r="E2138">
        <f>MONTH(C2138)</f>
        <v>7</v>
      </c>
    </row>
    <row r="2139" spans="1:5">
      <c r="A2139" t="s">
        <v>25</v>
      </c>
      <c r="B2139" t="s">
        <v>153</v>
      </c>
      <c r="C2139" s="8">
        <v>46220</v>
      </c>
      <c r="D2139" s="9">
        <v>5200</v>
      </c>
      <c r="E2139">
        <f>MONTH(C2139)</f>
        <v>7</v>
      </c>
    </row>
    <row r="2140" spans="1:5">
      <c r="A2140" t="s">
        <v>34</v>
      </c>
      <c r="B2140" t="s">
        <v>169</v>
      </c>
      <c r="C2140" s="8">
        <v>46220</v>
      </c>
      <c r="D2140" s="9">
        <v>10501</v>
      </c>
      <c r="E2140">
        <f>MONTH(C2140)</f>
        <v>7</v>
      </c>
    </row>
    <row r="2141" spans="1:5">
      <c r="A2141" t="s">
        <v>6</v>
      </c>
      <c r="B2141" t="s">
        <v>192</v>
      </c>
      <c r="C2141" s="8">
        <v>46220</v>
      </c>
      <c r="D2141" s="9">
        <v>17314</v>
      </c>
      <c r="E2141">
        <f>MONTH(C2141)</f>
        <v>7</v>
      </c>
    </row>
    <row r="2142" spans="1:5">
      <c r="A2142" t="s">
        <v>5</v>
      </c>
      <c r="B2142" t="s">
        <v>106</v>
      </c>
      <c r="C2142" s="8">
        <v>46220</v>
      </c>
      <c r="D2142" s="9">
        <v>33009</v>
      </c>
      <c r="E2142">
        <f>MONTH(C2142)</f>
        <v>7</v>
      </c>
    </row>
    <row r="2143" spans="1:5">
      <c r="A2143" t="s">
        <v>5</v>
      </c>
      <c r="B2143" t="s">
        <v>145</v>
      </c>
      <c r="C2143" s="8">
        <v>46220</v>
      </c>
      <c r="D2143" s="9">
        <v>53827</v>
      </c>
      <c r="E2143">
        <f>MONTH(C2143)</f>
        <v>7</v>
      </c>
    </row>
    <row r="2144" spans="1:5">
      <c r="A2144" t="s">
        <v>5</v>
      </c>
      <c r="B2144" t="s">
        <v>211</v>
      </c>
      <c r="C2144" s="8">
        <v>46220</v>
      </c>
      <c r="D2144" s="9">
        <v>24802</v>
      </c>
      <c r="E2144">
        <f>MONTH(C2144)</f>
        <v>7</v>
      </c>
    </row>
    <row r="2145" spans="1:5">
      <c r="A2145" t="s">
        <v>5</v>
      </c>
      <c r="B2145" t="s">
        <v>100</v>
      </c>
      <c r="C2145" s="8">
        <v>46220</v>
      </c>
      <c r="D2145" s="9">
        <v>45677</v>
      </c>
      <c r="E2145">
        <f>MONTH(C2145)</f>
        <v>7</v>
      </c>
    </row>
    <row r="2146" spans="1:5">
      <c r="A2146" t="s">
        <v>4</v>
      </c>
      <c r="B2146" t="s">
        <v>75</v>
      </c>
      <c r="C2146" s="8">
        <v>46221</v>
      </c>
      <c r="D2146" s="9">
        <v>5799</v>
      </c>
      <c r="E2146">
        <f>MONTH(C2146)</f>
        <v>7</v>
      </c>
    </row>
    <row r="2147" spans="1:5">
      <c r="A2147" t="s">
        <v>30</v>
      </c>
      <c r="B2147" t="s">
        <v>139</v>
      </c>
      <c r="C2147" s="8">
        <v>46221</v>
      </c>
      <c r="D2147" s="9">
        <v>11902</v>
      </c>
      <c r="E2147">
        <f>MONTH(C2147)</f>
        <v>7</v>
      </c>
    </row>
    <row r="2148" spans="1:5">
      <c r="A2148" t="s">
        <v>9</v>
      </c>
      <c r="B2148" t="s">
        <v>221</v>
      </c>
      <c r="C2148" s="8">
        <v>46221</v>
      </c>
      <c r="D2148" s="9">
        <v>49453</v>
      </c>
      <c r="E2148">
        <f>MONTH(C2148)</f>
        <v>7</v>
      </c>
    </row>
    <row r="2149" spans="1:5">
      <c r="A2149" t="s">
        <v>9</v>
      </c>
      <c r="B2149" t="s">
        <v>93</v>
      </c>
      <c r="C2149" s="8">
        <v>46221</v>
      </c>
      <c r="D2149" s="9">
        <v>44981</v>
      </c>
      <c r="E2149">
        <f>MONTH(C2149)</f>
        <v>7</v>
      </c>
    </row>
    <row r="2150" spans="1:5">
      <c r="A2150" t="s">
        <v>5</v>
      </c>
      <c r="B2150" t="s">
        <v>172</v>
      </c>
      <c r="C2150" s="8">
        <v>46221</v>
      </c>
      <c r="D2150" s="9">
        <v>43535</v>
      </c>
      <c r="E2150">
        <f>MONTH(C2150)</f>
        <v>7</v>
      </c>
    </row>
    <row r="2151" spans="1:5">
      <c r="A2151" t="s">
        <v>25</v>
      </c>
      <c r="B2151" t="s">
        <v>55</v>
      </c>
      <c r="C2151" s="8">
        <v>46222</v>
      </c>
      <c r="D2151" s="9">
        <v>11182</v>
      </c>
      <c r="E2151">
        <f>MONTH(C2151)</f>
        <v>7</v>
      </c>
    </row>
    <row r="2152" spans="1:5">
      <c r="A2152" t="s">
        <v>26</v>
      </c>
      <c r="B2152" t="s">
        <v>256</v>
      </c>
      <c r="C2152" s="8">
        <v>46222</v>
      </c>
      <c r="D2152" s="9">
        <v>13015</v>
      </c>
      <c r="E2152">
        <f>MONTH(C2152)</f>
        <v>7</v>
      </c>
    </row>
    <row r="2153" spans="1:5">
      <c r="A2153" t="s">
        <v>8</v>
      </c>
      <c r="B2153" t="s">
        <v>281</v>
      </c>
      <c r="C2153" s="8">
        <v>46222</v>
      </c>
      <c r="D2153" s="9">
        <v>23637</v>
      </c>
      <c r="E2153">
        <f>MONTH(C2153)</f>
        <v>7</v>
      </c>
    </row>
    <row r="2154" spans="1:5">
      <c r="A2154" t="s">
        <v>7</v>
      </c>
      <c r="B2154" t="s">
        <v>194</v>
      </c>
      <c r="C2154" s="8">
        <v>46222</v>
      </c>
      <c r="D2154" s="9">
        <v>22818</v>
      </c>
      <c r="E2154">
        <f>MONTH(C2154)</f>
        <v>7</v>
      </c>
    </row>
    <row r="2155" spans="1:5">
      <c r="A2155" t="s">
        <v>9</v>
      </c>
      <c r="B2155" t="s">
        <v>137</v>
      </c>
      <c r="C2155" s="8">
        <v>46222</v>
      </c>
      <c r="D2155" s="9">
        <v>46663</v>
      </c>
      <c r="E2155">
        <f>MONTH(C2155)</f>
        <v>7</v>
      </c>
    </row>
    <row r="2156" spans="1:5">
      <c r="A2156" t="s">
        <v>9</v>
      </c>
      <c r="B2156" t="s">
        <v>158</v>
      </c>
      <c r="C2156" s="8">
        <v>46222</v>
      </c>
      <c r="D2156" s="9">
        <v>41925</v>
      </c>
      <c r="E2156">
        <f>MONTH(C2156)</f>
        <v>7</v>
      </c>
    </row>
    <row r="2157" spans="1:5">
      <c r="A2157" t="s">
        <v>5</v>
      </c>
      <c r="B2157" t="s">
        <v>106</v>
      </c>
      <c r="C2157" s="8">
        <v>46222</v>
      </c>
      <c r="D2157" s="9">
        <v>45909</v>
      </c>
      <c r="E2157">
        <f>MONTH(C2157)</f>
        <v>7</v>
      </c>
    </row>
    <row r="2158" spans="1:5">
      <c r="A2158" t="s">
        <v>5</v>
      </c>
      <c r="B2158" t="s">
        <v>97</v>
      </c>
      <c r="C2158" s="8">
        <v>46222</v>
      </c>
      <c r="D2158" s="9">
        <v>45883</v>
      </c>
      <c r="E2158">
        <f>MONTH(C2158)</f>
        <v>7</v>
      </c>
    </row>
    <row r="2159" spans="1:5">
      <c r="A2159" t="s">
        <v>5</v>
      </c>
      <c r="B2159" t="s">
        <v>58</v>
      </c>
      <c r="C2159" s="8">
        <v>46222</v>
      </c>
      <c r="D2159" s="9">
        <v>49516</v>
      </c>
      <c r="E2159">
        <f>MONTH(C2159)</f>
        <v>7</v>
      </c>
    </row>
    <row r="2160" spans="1:5">
      <c r="A2160" t="s">
        <v>4</v>
      </c>
      <c r="B2160" t="s">
        <v>136</v>
      </c>
      <c r="C2160" s="8">
        <v>46223</v>
      </c>
      <c r="D2160" s="9">
        <v>17768</v>
      </c>
      <c r="E2160">
        <f>MONTH(C2160)</f>
        <v>7</v>
      </c>
    </row>
    <row r="2161" spans="1:5">
      <c r="A2161" t="s">
        <v>7</v>
      </c>
      <c r="B2161" t="s">
        <v>65</v>
      </c>
      <c r="C2161" s="8">
        <v>46223</v>
      </c>
      <c r="D2161" s="9">
        <v>23048</v>
      </c>
      <c r="E2161">
        <f>MONTH(C2161)</f>
        <v>7</v>
      </c>
    </row>
    <row r="2162" spans="1:5">
      <c r="A2162" t="s">
        <v>9</v>
      </c>
      <c r="B2162" t="s">
        <v>235</v>
      </c>
      <c r="C2162" s="8">
        <v>46223</v>
      </c>
      <c r="D2162" s="9">
        <v>36423</v>
      </c>
      <c r="E2162">
        <f>MONTH(C2162)</f>
        <v>7</v>
      </c>
    </row>
    <row r="2163" spans="1:5">
      <c r="A2163" t="s">
        <v>5</v>
      </c>
      <c r="B2163" t="s">
        <v>203</v>
      </c>
      <c r="C2163" s="8">
        <v>46223</v>
      </c>
      <c r="D2163" s="9">
        <v>31273</v>
      </c>
      <c r="E2163">
        <f>MONTH(C2163)</f>
        <v>7</v>
      </c>
    </row>
    <row r="2164" spans="1:5">
      <c r="A2164" t="s">
        <v>5</v>
      </c>
      <c r="B2164" t="s">
        <v>73</v>
      </c>
      <c r="C2164" s="8">
        <v>46223</v>
      </c>
      <c r="D2164" s="9">
        <v>38702</v>
      </c>
      <c r="E2164">
        <f>MONTH(C2164)</f>
        <v>7</v>
      </c>
    </row>
    <row r="2165" spans="1:5">
      <c r="A2165" t="s">
        <v>5</v>
      </c>
      <c r="B2165" t="s">
        <v>74</v>
      </c>
      <c r="C2165" s="8">
        <v>46223</v>
      </c>
      <c r="D2165" s="9">
        <v>42526</v>
      </c>
      <c r="E2165">
        <f>MONTH(C2165)</f>
        <v>7</v>
      </c>
    </row>
    <row r="2166" spans="1:5">
      <c r="A2166" t="s">
        <v>5</v>
      </c>
      <c r="B2166" t="s">
        <v>99</v>
      </c>
      <c r="C2166" s="8">
        <v>46223</v>
      </c>
      <c r="D2166" s="9">
        <v>41066</v>
      </c>
      <c r="E2166">
        <f>MONTH(C2166)</f>
        <v>7</v>
      </c>
    </row>
    <row r="2167" spans="1:5">
      <c r="A2167" t="s">
        <v>5</v>
      </c>
      <c r="B2167" t="s">
        <v>99</v>
      </c>
      <c r="C2167" s="8">
        <v>46223</v>
      </c>
      <c r="D2167" s="9">
        <v>38364</v>
      </c>
      <c r="E2167">
        <f>MONTH(C2167)</f>
        <v>7</v>
      </c>
    </row>
    <row r="2168" spans="1:5">
      <c r="A2168" t="s">
        <v>5</v>
      </c>
      <c r="B2168" t="s">
        <v>115</v>
      </c>
      <c r="C2168" s="8">
        <v>46223</v>
      </c>
      <c r="D2168" s="9">
        <v>35513</v>
      </c>
      <c r="E2168">
        <f>MONTH(C2168)</f>
        <v>7</v>
      </c>
    </row>
    <row r="2169" spans="1:5">
      <c r="A2169" t="s">
        <v>5</v>
      </c>
      <c r="B2169" t="s">
        <v>134</v>
      </c>
      <c r="C2169" s="8">
        <v>46223</v>
      </c>
      <c r="D2169" s="9">
        <v>31617</v>
      </c>
      <c r="E2169">
        <f>MONTH(C2169)</f>
        <v>7</v>
      </c>
    </row>
    <row r="2170" spans="1:5">
      <c r="A2170" t="s">
        <v>27</v>
      </c>
      <c r="B2170" t="s">
        <v>135</v>
      </c>
      <c r="C2170" s="8">
        <v>46224</v>
      </c>
      <c r="D2170" s="9">
        <v>13706</v>
      </c>
      <c r="E2170">
        <f>MONTH(C2170)</f>
        <v>7</v>
      </c>
    </row>
    <row r="2171" spans="1:5">
      <c r="A2171" t="s">
        <v>27</v>
      </c>
      <c r="B2171" t="s">
        <v>173</v>
      </c>
      <c r="C2171" s="8">
        <v>46224</v>
      </c>
      <c r="D2171" s="9">
        <v>22978</v>
      </c>
      <c r="E2171">
        <f>MONTH(C2171)</f>
        <v>7</v>
      </c>
    </row>
    <row r="2172" spans="1:5">
      <c r="A2172" t="s">
        <v>4</v>
      </c>
      <c r="B2172" t="s">
        <v>85</v>
      </c>
      <c r="C2172" s="8">
        <v>46224</v>
      </c>
      <c r="D2172" s="9">
        <v>40430</v>
      </c>
      <c r="E2172">
        <f>MONTH(C2172)</f>
        <v>7</v>
      </c>
    </row>
    <row r="2173" spans="1:5">
      <c r="A2173" t="s">
        <v>26</v>
      </c>
      <c r="B2173" t="s">
        <v>236</v>
      </c>
      <c r="C2173" s="8">
        <v>46224</v>
      </c>
      <c r="D2173" s="9">
        <v>10245</v>
      </c>
      <c r="E2173">
        <f>MONTH(C2173)</f>
        <v>7</v>
      </c>
    </row>
    <row r="2174" spans="1:5">
      <c r="A2174" t="s">
        <v>7</v>
      </c>
      <c r="B2174" t="s">
        <v>244</v>
      </c>
      <c r="C2174" s="8">
        <v>46224</v>
      </c>
      <c r="D2174" s="9">
        <v>17880</v>
      </c>
      <c r="E2174">
        <f>MONTH(C2174)</f>
        <v>7</v>
      </c>
    </row>
    <row r="2175" spans="1:5">
      <c r="A2175" t="s">
        <v>5</v>
      </c>
      <c r="B2175" t="s">
        <v>159</v>
      </c>
      <c r="C2175" s="8">
        <v>46224</v>
      </c>
      <c r="D2175" s="9">
        <v>50102</v>
      </c>
      <c r="E2175">
        <f>MONTH(C2175)</f>
        <v>7</v>
      </c>
    </row>
    <row r="2176" spans="1:5">
      <c r="A2176" t="s">
        <v>5</v>
      </c>
      <c r="B2176" t="s">
        <v>101</v>
      </c>
      <c r="C2176" s="8">
        <v>46224</v>
      </c>
      <c r="D2176" s="9">
        <v>38403</v>
      </c>
      <c r="E2176">
        <f>MONTH(C2176)</f>
        <v>7</v>
      </c>
    </row>
    <row r="2177" spans="1:5">
      <c r="A2177" t="s">
        <v>4</v>
      </c>
      <c r="B2177" t="s">
        <v>127</v>
      </c>
      <c r="C2177" s="8">
        <v>46225</v>
      </c>
      <c r="D2177" s="9">
        <v>24688</v>
      </c>
      <c r="E2177">
        <f>MONTH(C2177)</f>
        <v>7</v>
      </c>
    </row>
    <row r="2178" spans="1:5">
      <c r="A2178" t="s">
        <v>4</v>
      </c>
      <c r="B2178" t="s">
        <v>67</v>
      </c>
      <c r="C2178" s="8">
        <v>46225</v>
      </c>
      <c r="D2178" s="9">
        <v>29403</v>
      </c>
      <c r="E2178">
        <f>MONTH(C2178)</f>
        <v>7</v>
      </c>
    </row>
    <row r="2179" spans="1:5">
      <c r="A2179" t="s">
        <v>26</v>
      </c>
      <c r="B2179" t="s">
        <v>138</v>
      </c>
      <c r="C2179" s="8">
        <v>46225</v>
      </c>
      <c r="D2179" s="9">
        <v>13503</v>
      </c>
      <c r="E2179">
        <f>MONTH(C2179)</f>
        <v>7</v>
      </c>
    </row>
    <row r="2180" spans="1:5">
      <c r="A2180" t="s">
        <v>26</v>
      </c>
      <c r="B2180" t="s">
        <v>102</v>
      </c>
      <c r="C2180" s="8">
        <v>46225</v>
      </c>
      <c r="D2180" s="9">
        <v>18372</v>
      </c>
      <c r="E2180">
        <f>MONTH(C2180)</f>
        <v>7</v>
      </c>
    </row>
    <row r="2181" spans="1:5">
      <c r="A2181" t="s">
        <v>26</v>
      </c>
      <c r="B2181" t="s">
        <v>95</v>
      </c>
      <c r="C2181" s="8">
        <v>46225</v>
      </c>
      <c r="D2181" s="9">
        <v>5200</v>
      </c>
      <c r="E2181">
        <f>MONTH(C2181)</f>
        <v>7</v>
      </c>
    </row>
    <row r="2182" spans="1:5">
      <c r="A2182" t="s">
        <v>30</v>
      </c>
      <c r="B2182" t="s">
        <v>162</v>
      </c>
      <c r="C2182" s="8">
        <v>46225</v>
      </c>
      <c r="D2182" s="9">
        <v>11482</v>
      </c>
      <c r="E2182">
        <f>MONTH(C2182)</f>
        <v>7</v>
      </c>
    </row>
    <row r="2183" spans="1:5">
      <c r="A2183" t="s">
        <v>30</v>
      </c>
      <c r="B2183" t="s">
        <v>224</v>
      </c>
      <c r="C2183" s="8">
        <v>46225</v>
      </c>
      <c r="D2183" s="9">
        <v>12553</v>
      </c>
      <c r="E2183">
        <f>MONTH(C2183)</f>
        <v>7</v>
      </c>
    </row>
    <row r="2184" spans="1:5">
      <c r="A2184" t="s">
        <v>29</v>
      </c>
      <c r="B2184" t="s">
        <v>57</v>
      </c>
      <c r="C2184" s="8">
        <v>46225</v>
      </c>
      <c r="D2184" s="9">
        <v>11643</v>
      </c>
      <c r="E2184">
        <f>MONTH(C2184)</f>
        <v>7</v>
      </c>
    </row>
    <row r="2185" spans="1:5">
      <c r="A2185" t="s">
        <v>7</v>
      </c>
      <c r="B2185" t="s">
        <v>105</v>
      </c>
      <c r="C2185" s="8">
        <v>46225</v>
      </c>
      <c r="D2185" s="9">
        <v>19508</v>
      </c>
      <c r="E2185">
        <f>MONTH(C2185)</f>
        <v>7</v>
      </c>
    </row>
    <row r="2186" spans="1:5">
      <c r="A2186" t="s">
        <v>9</v>
      </c>
      <c r="B2186" t="s">
        <v>283</v>
      </c>
      <c r="C2186" s="8">
        <v>46225</v>
      </c>
      <c r="D2186" s="9">
        <v>33558</v>
      </c>
      <c r="E2186">
        <f>MONTH(C2186)</f>
        <v>7</v>
      </c>
    </row>
    <row r="2187" spans="1:5">
      <c r="A2187" t="s">
        <v>9</v>
      </c>
      <c r="B2187" t="s">
        <v>143</v>
      </c>
      <c r="C2187" s="8">
        <v>46225</v>
      </c>
      <c r="D2187" s="9">
        <v>31063</v>
      </c>
      <c r="E2187">
        <f>MONTH(C2187)</f>
        <v>7</v>
      </c>
    </row>
    <row r="2188" spans="1:5">
      <c r="A2188" t="s">
        <v>9</v>
      </c>
      <c r="B2188" t="s">
        <v>82</v>
      </c>
      <c r="C2188" s="8">
        <v>46225</v>
      </c>
      <c r="D2188" s="9">
        <v>27499</v>
      </c>
      <c r="E2188">
        <f>MONTH(C2188)</f>
        <v>7</v>
      </c>
    </row>
    <row r="2189" spans="1:5">
      <c r="A2189" t="s">
        <v>9</v>
      </c>
      <c r="B2189" t="s">
        <v>275</v>
      </c>
      <c r="C2189" s="8">
        <v>46225</v>
      </c>
      <c r="D2189" s="9">
        <v>19928</v>
      </c>
      <c r="E2189">
        <f>MONTH(C2189)</f>
        <v>7</v>
      </c>
    </row>
    <row r="2190" spans="1:5">
      <c r="A2190" t="s">
        <v>5</v>
      </c>
      <c r="B2190" t="s">
        <v>166</v>
      </c>
      <c r="C2190" s="8">
        <v>46225</v>
      </c>
      <c r="D2190" s="9">
        <v>35377</v>
      </c>
      <c r="E2190">
        <f>MONTH(C2190)</f>
        <v>7</v>
      </c>
    </row>
    <row r="2191" spans="1:5">
      <c r="A2191" t="s">
        <v>5</v>
      </c>
      <c r="B2191" t="s">
        <v>209</v>
      </c>
      <c r="C2191" s="8">
        <v>46225</v>
      </c>
      <c r="D2191" s="9">
        <v>37533</v>
      </c>
      <c r="E2191">
        <f>MONTH(C2191)</f>
        <v>7</v>
      </c>
    </row>
    <row r="2192" spans="1:5">
      <c r="A2192" t="s">
        <v>5</v>
      </c>
      <c r="B2192" t="s">
        <v>53</v>
      </c>
      <c r="C2192" s="8">
        <v>46225</v>
      </c>
      <c r="D2192" s="9">
        <v>46081</v>
      </c>
      <c r="E2192">
        <f>MONTH(C2192)</f>
        <v>7</v>
      </c>
    </row>
    <row r="2193" spans="1:5">
      <c r="A2193" t="s">
        <v>5</v>
      </c>
      <c r="B2193" t="s">
        <v>159</v>
      </c>
      <c r="C2193" s="8">
        <v>46225</v>
      </c>
      <c r="D2193" s="9">
        <v>49191</v>
      </c>
      <c r="E2193">
        <f>MONTH(C2193)</f>
        <v>7</v>
      </c>
    </row>
    <row r="2194" spans="1:5">
      <c r="A2194" t="s">
        <v>5</v>
      </c>
      <c r="B2194" t="s">
        <v>270</v>
      </c>
      <c r="C2194" s="8">
        <v>46225</v>
      </c>
      <c r="D2194" s="9">
        <v>41618</v>
      </c>
      <c r="E2194">
        <f>MONTH(C2194)</f>
        <v>7</v>
      </c>
    </row>
    <row r="2195" spans="1:5">
      <c r="A2195" t="s">
        <v>4</v>
      </c>
      <c r="B2195" t="s">
        <v>60</v>
      </c>
      <c r="C2195" s="8">
        <v>46226</v>
      </c>
      <c r="D2195" s="9">
        <v>9851</v>
      </c>
      <c r="E2195">
        <f>MONTH(C2195)</f>
        <v>7</v>
      </c>
    </row>
    <row r="2196" spans="1:5">
      <c r="A2196" t="s">
        <v>4</v>
      </c>
      <c r="B2196" t="s">
        <v>126</v>
      </c>
      <c r="C2196" s="8">
        <v>46226</v>
      </c>
      <c r="D2196" s="9">
        <v>28829</v>
      </c>
      <c r="E2196">
        <f>MONTH(C2196)</f>
        <v>7</v>
      </c>
    </row>
    <row r="2197" spans="1:5">
      <c r="A2197" t="s">
        <v>4</v>
      </c>
      <c r="B2197" t="s">
        <v>165</v>
      </c>
      <c r="C2197" s="8">
        <v>46226</v>
      </c>
      <c r="D2197" s="9">
        <v>40531</v>
      </c>
      <c r="E2197">
        <f>MONTH(C2197)</f>
        <v>7</v>
      </c>
    </row>
    <row r="2198" spans="1:5">
      <c r="A2198" t="s">
        <v>25</v>
      </c>
      <c r="B2198" t="s">
        <v>59</v>
      </c>
      <c r="C2198" s="8">
        <v>46226</v>
      </c>
      <c r="D2198" s="9">
        <v>12567</v>
      </c>
      <c r="E2198">
        <f>MONTH(C2198)</f>
        <v>7</v>
      </c>
    </row>
    <row r="2199" spans="1:5">
      <c r="A2199" t="s">
        <v>25</v>
      </c>
      <c r="B2199" t="s">
        <v>168</v>
      </c>
      <c r="C2199" s="8">
        <v>46226</v>
      </c>
      <c r="D2199" s="9">
        <v>12617</v>
      </c>
      <c r="E2199">
        <f>MONTH(C2199)</f>
        <v>7</v>
      </c>
    </row>
    <row r="2200" spans="1:5">
      <c r="A2200" t="s">
        <v>8</v>
      </c>
      <c r="B2200" t="s">
        <v>52</v>
      </c>
      <c r="C2200" s="8">
        <v>46226</v>
      </c>
      <c r="D2200" s="9">
        <v>15708</v>
      </c>
      <c r="E2200">
        <f>MONTH(C2200)</f>
        <v>7</v>
      </c>
    </row>
    <row r="2201" spans="1:5">
      <c r="A2201" t="s">
        <v>9</v>
      </c>
      <c r="B2201" t="s">
        <v>49</v>
      </c>
      <c r="C2201" s="8">
        <v>46226</v>
      </c>
      <c r="D2201" s="9">
        <v>36235</v>
      </c>
      <c r="E2201">
        <f>MONTH(C2201)</f>
        <v>7</v>
      </c>
    </row>
    <row r="2202" spans="1:5">
      <c r="A2202" t="s">
        <v>5</v>
      </c>
      <c r="B2202" t="s">
        <v>72</v>
      </c>
      <c r="C2202" s="8">
        <v>46226</v>
      </c>
      <c r="D2202" s="9">
        <v>39374</v>
      </c>
      <c r="E2202">
        <f>MONTH(C2202)</f>
        <v>7</v>
      </c>
    </row>
    <row r="2203" spans="1:5">
      <c r="A2203" t="s">
        <v>5</v>
      </c>
      <c r="B2203" t="s">
        <v>74</v>
      </c>
      <c r="C2203" s="8">
        <v>46226</v>
      </c>
      <c r="D2203" s="9">
        <v>35417</v>
      </c>
      <c r="E2203">
        <f>MONTH(C2203)</f>
        <v>7</v>
      </c>
    </row>
    <row r="2204" spans="1:5">
      <c r="A2204" t="s">
        <v>5</v>
      </c>
      <c r="B2204" t="s">
        <v>74</v>
      </c>
      <c r="C2204" s="8">
        <v>46226</v>
      </c>
      <c r="D2204" s="9">
        <v>33578</v>
      </c>
      <c r="E2204">
        <f>MONTH(C2204)</f>
        <v>7</v>
      </c>
    </row>
    <row r="2205" spans="1:5">
      <c r="A2205" t="s">
        <v>5</v>
      </c>
      <c r="B2205" t="s">
        <v>277</v>
      </c>
      <c r="C2205" s="8">
        <v>46226</v>
      </c>
      <c r="D2205" s="9">
        <v>46619</v>
      </c>
      <c r="E2205">
        <f>MONTH(C2205)</f>
        <v>7</v>
      </c>
    </row>
    <row r="2206" spans="1:5">
      <c r="A2206" t="s">
        <v>4</v>
      </c>
      <c r="B2206" t="s">
        <v>198</v>
      </c>
      <c r="C2206" s="8">
        <v>46227</v>
      </c>
      <c r="D2206" s="9">
        <v>29287</v>
      </c>
      <c r="E2206">
        <f>MONTH(C2206)</f>
        <v>7</v>
      </c>
    </row>
    <row r="2207" spans="1:5">
      <c r="A2207" t="s">
        <v>4</v>
      </c>
      <c r="B2207" t="s">
        <v>195</v>
      </c>
      <c r="C2207" s="8">
        <v>46227</v>
      </c>
      <c r="D2207" s="9">
        <v>49089</v>
      </c>
      <c r="E2207">
        <f>MONTH(C2207)</f>
        <v>7</v>
      </c>
    </row>
    <row r="2208" spans="1:5">
      <c r="A2208" t="s">
        <v>28</v>
      </c>
      <c r="B2208" t="s">
        <v>279</v>
      </c>
      <c r="C2208" s="8">
        <v>46227</v>
      </c>
      <c r="D2208" s="9">
        <v>8850</v>
      </c>
      <c r="E2208">
        <f>MONTH(C2208)</f>
        <v>7</v>
      </c>
    </row>
    <row r="2209" spans="1:5">
      <c r="A2209" t="s">
        <v>26</v>
      </c>
      <c r="B2209" t="s">
        <v>216</v>
      </c>
      <c r="C2209" s="8">
        <v>46227</v>
      </c>
      <c r="D2209" s="9">
        <v>11776</v>
      </c>
      <c r="E2209">
        <f>MONTH(C2209)</f>
        <v>7</v>
      </c>
    </row>
    <row r="2210" spans="1:5">
      <c r="A2210" t="s">
        <v>6</v>
      </c>
      <c r="B2210" t="s">
        <v>141</v>
      </c>
      <c r="C2210" s="8">
        <v>46227</v>
      </c>
      <c r="D2210" s="9">
        <v>18563</v>
      </c>
      <c r="E2210">
        <f>MONTH(C2210)</f>
        <v>7</v>
      </c>
    </row>
    <row r="2211" spans="1:5">
      <c r="A2211" t="s">
        <v>7</v>
      </c>
      <c r="B2211" t="s">
        <v>233</v>
      </c>
      <c r="C2211" s="8">
        <v>46227</v>
      </c>
      <c r="D2211" s="9">
        <v>24691</v>
      </c>
      <c r="E2211">
        <f>MONTH(C2211)</f>
        <v>7</v>
      </c>
    </row>
    <row r="2212" spans="1:5">
      <c r="A2212" t="s">
        <v>7</v>
      </c>
      <c r="B2212" t="s">
        <v>193</v>
      </c>
      <c r="C2212" s="8">
        <v>46227</v>
      </c>
      <c r="D2212" s="9">
        <v>20615</v>
      </c>
      <c r="E2212">
        <f>MONTH(C2212)</f>
        <v>7</v>
      </c>
    </row>
    <row r="2213" spans="1:5">
      <c r="A2213" t="s">
        <v>9</v>
      </c>
      <c r="B2213" t="s">
        <v>96</v>
      </c>
      <c r="C2213" s="8">
        <v>46227</v>
      </c>
      <c r="D2213" s="9">
        <v>33399</v>
      </c>
      <c r="E2213">
        <f>MONTH(C2213)</f>
        <v>7</v>
      </c>
    </row>
    <row r="2214" spans="1:5">
      <c r="A2214" t="s">
        <v>9</v>
      </c>
      <c r="B2214" t="s">
        <v>264</v>
      </c>
      <c r="C2214" s="8">
        <v>46227</v>
      </c>
      <c r="D2214" s="9">
        <v>35399</v>
      </c>
      <c r="E2214">
        <f>MONTH(C2214)</f>
        <v>7</v>
      </c>
    </row>
    <row r="2215" spans="1:5">
      <c r="A2215" t="s">
        <v>9</v>
      </c>
      <c r="B2215" t="s">
        <v>71</v>
      </c>
      <c r="C2215" s="8">
        <v>46227</v>
      </c>
      <c r="D2215" s="9">
        <v>49763</v>
      </c>
      <c r="E2215">
        <f>MONTH(C2215)</f>
        <v>7</v>
      </c>
    </row>
    <row r="2216" spans="1:5">
      <c r="A2216" t="s">
        <v>5</v>
      </c>
      <c r="B2216" t="s">
        <v>72</v>
      </c>
      <c r="C2216" s="8">
        <v>46227</v>
      </c>
      <c r="D2216" s="9">
        <v>43220</v>
      </c>
      <c r="E2216">
        <f>MONTH(C2216)</f>
        <v>7</v>
      </c>
    </row>
    <row r="2217" spans="1:5">
      <c r="A2217" t="s">
        <v>5</v>
      </c>
      <c r="B2217" t="s">
        <v>115</v>
      </c>
      <c r="C2217" s="8">
        <v>46227</v>
      </c>
      <c r="D2217" s="9">
        <v>35647</v>
      </c>
      <c r="E2217">
        <f>MONTH(C2217)</f>
        <v>7</v>
      </c>
    </row>
    <row r="2218" spans="1:5">
      <c r="A2218" t="s">
        <v>5</v>
      </c>
      <c r="B2218" t="s">
        <v>252</v>
      </c>
      <c r="C2218" s="8">
        <v>46227</v>
      </c>
      <c r="D2218" s="9">
        <v>41527</v>
      </c>
      <c r="E2218">
        <f>MONTH(C2218)</f>
        <v>7</v>
      </c>
    </row>
    <row r="2219" spans="1:5">
      <c r="A2219" t="s">
        <v>8</v>
      </c>
      <c r="B2219" t="s">
        <v>129</v>
      </c>
      <c r="C2219" s="8">
        <v>46228</v>
      </c>
      <c r="D2219" s="9">
        <v>12823</v>
      </c>
      <c r="E2219">
        <f>MONTH(C2219)</f>
        <v>7</v>
      </c>
    </row>
    <row r="2220" spans="1:5">
      <c r="A2220" t="s">
        <v>9</v>
      </c>
      <c r="B2220" t="s">
        <v>164</v>
      </c>
      <c r="C2220" s="8">
        <v>46228</v>
      </c>
      <c r="D2220" s="9">
        <v>38704</v>
      </c>
      <c r="E2220">
        <f>MONTH(C2220)</f>
        <v>7</v>
      </c>
    </row>
    <row r="2221" spans="1:5">
      <c r="A2221" t="s">
        <v>9</v>
      </c>
      <c r="B2221" t="s">
        <v>171</v>
      </c>
      <c r="C2221" s="8">
        <v>46228</v>
      </c>
      <c r="D2221" s="9">
        <v>41260</v>
      </c>
      <c r="E2221">
        <f>MONTH(C2221)</f>
        <v>7</v>
      </c>
    </row>
    <row r="2222" spans="1:5">
      <c r="A2222" t="s">
        <v>9</v>
      </c>
      <c r="B2222" t="s">
        <v>137</v>
      </c>
      <c r="C2222" s="8">
        <v>46228</v>
      </c>
      <c r="D2222" s="9">
        <v>46330</v>
      </c>
      <c r="E2222">
        <f>MONTH(C2222)</f>
        <v>7</v>
      </c>
    </row>
    <row r="2223" spans="1:5">
      <c r="A2223" t="s">
        <v>5</v>
      </c>
      <c r="B2223" t="s">
        <v>49</v>
      </c>
      <c r="C2223" s="8">
        <v>46228</v>
      </c>
      <c r="D2223" s="9">
        <v>38886</v>
      </c>
      <c r="E2223">
        <f>MONTH(C2223)</f>
        <v>7</v>
      </c>
    </row>
    <row r="2224" spans="1:5">
      <c r="A2224" t="s">
        <v>35</v>
      </c>
      <c r="B2224" t="s">
        <v>268</v>
      </c>
      <c r="C2224" s="8">
        <v>46229</v>
      </c>
      <c r="D2224" s="9">
        <v>20111</v>
      </c>
      <c r="E2224">
        <f>MONTH(C2224)</f>
        <v>7</v>
      </c>
    </row>
    <row r="2225" spans="1:5">
      <c r="A2225" t="s">
        <v>27</v>
      </c>
      <c r="B2225" t="s">
        <v>213</v>
      </c>
      <c r="C2225" s="8">
        <v>46229</v>
      </c>
      <c r="D2225" s="9">
        <v>13328</v>
      </c>
      <c r="E2225">
        <f>MONTH(C2225)</f>
        <v>7</v>
      </c>
    </row>
    <row r="2226" spans="1:5">
      <c r="A2226" t="s">
        <v>38</v>
      </c>
      <c r="B2226" t="s">
        <v>110</v>
      </c>
      <c r="C2226" s="8">
        <v>46229</v>
      </c>
      <c r="D2226" s="9">
        <v>11920</v>
      </c>
      <c r="E2226">
        <f>MONTH(C2226)</f>
        <v>7</v>
      </c>
    </row>
    <row r="2227" spans="1:5">
      <c r="A2227" t="s">
        <v>4</v>
      </c>
      <c r="B2227" t="s">
        <v>222</v>
      </c>
      <c r="C2227" s="8">
        <v>46229</v>
      </c>
      <c r="D2227" s="9">
        <v>33205</v>
      </c>
      <c r="E2227">
        <f>MONTH(C2227)</f>
        <v>7</v>
      </c>
    </row>
    <row r="2228" spans="1:5">
      <c r="A2228" t="s">
        <v>4</v>
      </c>
      <c r="B2228" t="s">
        <v>151</v>
      </c>
      <c r="C2228" s="8">
        <v>46229</v>
      </c>
      <c r="D2228" s="9">
        <v>24484</v>
      </c>
      <c r="E2228">
        <f>MONTH(C2228)</f>
        <v>7</v>
      </c>
    </row>
    <row r="2229" spans="1:5">
      <c r="A2229" t="s">
        <v>31</v>
      </c>
      <c r="B2229" t="s">
        <v>152</v>
      </c>
      <c r="C2229" s="8">
        <v>46229</v>
      </c>
      <c r="D2229" s="9">
        <v>9201</v>
      </c>
      <c r="E2229">
        <f>MONTH(C2229)</f>
        <v>7</v>
      </c>
    </row>
    <row r="2230" spans="1:5">
      <c r="A2230" t="s">
        <v>26</v>
      </c>
      <c r="B2230" t="s">
        <v>119</v>
      </c>
      <c r="C2230" s="8">
        <v>46229</v>
      </c>
      <c r="D2230" s="9">
        <v>8524</v>
      </c>
      <c r="E2230">
        <f>MONTH(C2230)</f>
        <v>7</v>
      </c>
    </row>
    <row r="2231" spans="1:5">
      <c r="A2231" t="s">
        <v>32</v>
      </c>
      <c r="B2231" t="s">
        <v>230</v>
      </c>
      <c r="C2231" s="8">
        <v>46229</v>
      </c>
      <c r="D2231" s="9">
        <v>12242</v>
      </c>
      <c r="E2231">
        <f>MONTH(C2231)</f>
        <v>7</v>
      </c>
    </row>
    <row r="2232" spans="1:5">
      <c r="A2232" t="s">
        <v>7</v>
      </c>
      <c r="B2232" t="s">
        <v>156</v>
      </c>
      <c r="C2232" s="8">
        <v>46229</v>
      </c>
      <c r="D2232" s="9">
        <v>28706</v>
      </c>
      <c r="E2232">
        <f>MONTH(C2232)</f>
        <v>7</v>
      </c>
    </row>
    <row r="2233" spans="1:5">
      <c r="A2233" t="s">
        <v>5</v>
      </c>
      <c r="B2233" t="s">
        <v>133</v>
      </c>
      <c r="C2233" s="8">
        <v>46229</v>
      </c>
      <c r="D2233" s="9">
        <v>36496</v>
      </c>
      <c r="E2233">
        <f>MONTH(C2233)</f>
        <v>7</v>
      </c>
    </row>
    <row r="2234" spans="1:5">
      <c r="A2234" t="s">
        <v>5</v>
      </c>
      <c r="B2234" t="s">
        <v>124</v>
      </c>
      <c r="C2234" s="8">
        <v>46229</v>
      </c>
      <c r="D2234" s="9">
        <v>29380</v>
      </c>
      <c r="E2234">
        <f>MONTH(C2234)</f>
        <v>7</v>
      </c>
    </row>
    <row r="2235" spans="1:5">
      <c r="A2235" t="s">
        <v>26</v>
      </c>
      <c r="B2235" t="s">
        <v>78</v>
      </c>
      <c r="C2235" s="8">
        <v>46230</v>
      </c>
      <c r="D2235" s="9">
        <v>16576</v>
      </c>
      <c r="E2235">
        <f>MONTH(C2235)</f>
        <v>7</v>
      </c>
    </row>
    <row r="2236" spans="1:5">
      <c r="A2236" t="s">
        <v>8</v>
      </c>
      <c r="B2236" t="s">
        <v>56</v>
      </c>
      <c r="C2236" s="8">
        <v>46230</v>
      </c>
      <c r="D2236" s="9">
        <v>6034</v>
      </c>
      <c r="E2236">
        <f>MONTH(C2236)</f>
        <v>7</v>
      </c>
    </row>
    <row r="2237" spans="1:5">
      <c r="A2237" t="s">
        <v>6</v>
      </c>
      <c r="B2237" t="s">
        <v>80</v>
      </c>
      <c r="C2237" s="8">
        <v>46230</v>
      </c>
      <c r="D2237" s="9">
        <v>31725</v>
      </c>
      <c r="E2237">
        <f>MONTH(C2237)</f>
        <v>7</v>
      </c>
    </row>
    <row r="2238" spans="1:5">
      <c r="A2238" t="s">
        <v>6</v>
      </c>
      <c r="B2238" t="s">
        <v>261</v>
      </c>
      <c r="C2238" s="8">
        <v>46230</v>
      </c>
      <c r="D2238" s="9">
        <v>16985</v>
      </c>
      <c r="E2238">
        <f>MONTH(C2238)</f>
        <v>7</v>
      </c>
    </row>
    <row r="2239" spans="1:5">
      <c r="A2239" t="s">
        <v>7</v>
      </c>
      <c r="B2239" t="s">
        <v>122</v>
      </c>
      <c r="C2239" s="8">
        <v>46230</v>
      </c>
      <c r="D2239" s="9">
        <v>11160</v>
      </c>
      <c r="E2239">
        <f>MONTH(C2239)</f>
        <v>7</v>
      </c>
    </row>
    <row r="2240" spans="1:5">
      <c r="A2240" t="s">
        <v>9</v>
      </c>
      <c r="B2240" t="s">
        <v>178</v>
      </c>
      <c r="C2240" s="8">
        <v>46230</v>
      </c>
      <c r="D2240" s="9">
        <v>37324</v>
      </c>
      <c r="E2240">
        <f>MONTH(C2240)</f>
        <v>7</v>
      </c>
    </row>
    <row r="2241" spans="1:5">
      <c r="A2241" t="s">
        <v>9</v>
      </c>
      <c r="B2241" t="s">
        <v>83</v>
      </c>
      <c r="C2241" s="8">
        <v>46230</v>
      </c>
      <c r="D2241" s="9">
        <v>32854</v>
      </c>
      <c r="E2241">
        <f>MONTH(C2241)</f>
        <v>7</v>
      </c>
    </row>
    <row r="2242" spans="1:5">
      <c r="A2242" t="s">
        <v>5</v>
      </c>
      <c r="B2242" t="s">
        <v>97</v>
      </c>
      <c r="C2242" s="8">
        <v>46230</v>
      </c>
      <c r="D2242" s="9">
        <v>45977</v>
      </c>
      <c r="E2242">
        <f>MONTH(C2242)</f>
        <v>7</v>
      </c>
    </row>
    <row r="2243" spans="1:5">
      <c r="A2243" t="s">
        <v>5</v>
      </c>
      <c r="B2243" t="s">
        <v>270</v>
      </c>
      <c r="C2243" s="8">
        <v>46230</v>
      </c>
      <c r="D2243" s="9">
        <v>40025</v>
      </c>
      <c r="E2243">
        <f>MONTH(C2243)</f>
        <v>7</v>
      </c>
    </row>
    <row r="2244" spans="1:5">
      <c r="A2244" t="s">
        <v>27</v>
      </c>
      <c r="B2244" t="s">
        <v>161</v>
      </c>
      <c r="C2244" s="8">
        <v>46231</v>
      </c>
      <c r="D2244" s="9">
        <v>15560</v>
      </c>
      <c r="E2244">
        <f>MONTH(C2244)</f>
        <v>7</v>
      </c>
    </row>
    <row r="2245" spans="1:5">
      <c r="A2245" t="s">
        <v>25</v>
      </c>
      <c r="B2245" t="s">
        <v>246</v>
      </c>
      <c r="C2245" s="8">
        <v>46231</v>
      </c>
      <c r="D2245" s="9">
        <v>14769</v>
      </c>
      <c r="E2245">
        <f>MONTH(C2245)</f>
        <v>7</v>
      </c>
    </row>
    <row r="2246" spans="1:5">
      <c r="A2246" t="s">
        <v>30</v>
      </c>
      <c r="B2246" t="s">
        <v>154</v>
      </c>
      <c r="C2246" s="8">
        <v>46231</v>
      </c>
      <c r="D2246" s="9">
        <v>11873</v>
      </c>
      <c r="E2246">
        <f>MONTH(C2246)</f>
        <v>7</v>
      </c>
    </row>
    <row r="2247" spans="1:5">
      <c r="A2247" t="s">
        <v>30</v>
      </c>
      <c r="B2247" t="s">
        <v>206</v>
      </c>
      <c r="C2247" s="8">
        <v>46231</v>
      </c>
      <c r="D2247" s="9">
        <v>10303</v>
      </c>
      <c r="E2247">
        <f>MONTH(C2247)</f>
        <v>7</v>
      </c>
    </row>
    <row r="2248" spans="1:5">
      <c r="A2248" t="s">
        <v>6</v>
      </c>
      <c r="B2248" t="s">
        <v>218</v>
      </c>
      <c r="C2248" s="8">
        <v>46231</v>
      </c>
      <c r="D2248" s="9">
        <v>16076</v>
      </c>
      <c r="E2248">
        <f>MONTH(C2248)</f>
        <v>7</v>
      </c>
    </row>
    <row r="2249" spans="1:5">
      <c r="A2249" t="s">
        <v>29</v>
      </c>
      <c r="B2249" t="s">
        <v>121</v>
      </c>
      <c r="C2249" s="8">
        <v>46231</v>
      </c>
      <c r="D2249" s="9">
        <v>8752</v>
      </c>
      <c r="E2249">
        <f>MONTH(C2249)</f>
        <v>7</v>
      </c>
    </row>
    <row r="2250" spans="1:5">
      <c r="A2250" t="s">
        <v>9</v>
      </c>
      <c r="B2250" t="s">
        <v>245</v>
      </c>
      <c r="C2250" s="8">
        <v>46231</v>
      </c>
      <c r="D2250" s="9">
        <v>32651</v>
      </c>
      <c r="E2250">
        <f>MONTH(C2250)</f>
        <v>7</v>
      </c>
    </row>
    <row r="2251" spans="1:5">
      <c r="A2251" t="s">
        <v>9</v>
      </c>
      <c r="B2251" t="s">
        <v>96</v>
      </c>
      <c r="C2251" s="8">
        <v>46231</v>
      </c>
      <c r="D2251" s="9">
        <v>29247</v>
      </c>
      <c r="E2251">
        <f>MONTH(C2251)</f>
        <v>7</v>
      </c>
    </row>
    <row r="2252" spans="1:5">
      <c r="A2252" t="s">
        <v>5</v>
      </c>
      <c r="B2252" t="s">
        <v>123</v>
      </c>
      <c r="C2252" s="8">
        <v>46231</v>
      </c>
      <c r="D2252" s="9">
        <v>33627</v>
      </c>
      <c r="E2252">
        <f>MONTH(C2252)</f>
        <v>7</v>
      </c>
    </row>
    <row r="2253" spans="1:5">
      <c r="A2253" t="s">
        <v>5</v>
      </c>
      <c r="B2253" t="s">
        <v>159</v>
      </c>
      <c r="C2253" s="8">
        <v>46231</v>
      </c>
      <c r="D2253" s="9">
        <v>41495</v>
      </c>
      <c r="E2253">
        <f>MONTH(C2253)</f>
        <v>7</v>
      </c>
    </row>
    <row r="2254" spans="1:5">
      <c r="A2254" t="s">
        <v>5</v>
      </c>
      <c r="B2254" t="s">
        <v>252</v>
      </c>
      <c r="C2254" s="8">
        <v>46231</v>
      </c>
      <c r="D2254" s="9">
        <v>53352</v>
      </c>
      <c r="E2254">
        <f>MONTH(C2254)</f>
        <v>7</v>
      </c>
    </row>
    <row r="2255" spans="1:5">
      <c r="A2255" t="s">
        <v>5</v>
      </c>
      <c r="B2255" t="s">
        <v>212</v>
      </c>
      <c r="C2255" s="8">
        <v>46231</v>
      </c>
      <c r="D2255" s="9">
        <v>20236</v>
      </c>
      <c r="E2255">
        <f>MONTH(C2255)</f>
        <v>7</v>
      </c>
    </row>
    <row r="2256" spans="1:5">
      <c r="A2256" t="s">
        <v>5</v>
      </c>
      <c r="B2256" t="s">
        <v>204</v>
      </c>
      <c r="C2256" s="8">
        <v>46231</v>
      </c>
      <c r="D2256" s="9">
        <v>54112</v>
      </c>
      <c r="E2256">
        <f>MONTH(C2256)</f>
        <v>7</v>
      </c>
    </row>
    <row r="2257" spans="1:5">
      <c r="A2257" t="s">
        <v>4</v>
      </c>
      <c r="B2257" t="s">
        <v>197</v>
      </c>
      <c r="C2257" s="8">
        <v>46232</v>
      </c>
      <c r="D2257" s="9">
        <v>27234</v>
      </c>
      <c r="E2257">
        <f>MONTH(C2257)</f>
        <v>7</v>
      </c>
    </row>
    <row r="2258" spans="1:5">
      <c r="A2258" t="s">
        <v>4</v>
      </c>
      <c r="B2258" t="s">
        <v>241</v>
      </c>
      <c r="C2258" s="8">
        <v>46232</v>
      </c>
      <c r="D2258" s="9">
        <v>23288</v>
      </c>
      <c r="E2258">
        <f>MONTH(C2258)</f>
        <v>7</v>
      </c>
    </row>
    <row r="2259" spans="1:5">
      <c r="A2259" t="s">
        <v>4</v>
      </c>
      <c r="B2259" t="s">
        <v>223</v>
      </c>
      <c r="C2259" s="8">
        <v>46232</v>
      </c>
      <c r="D2259" s="9">
        <v>23063</v>
      </c>
      <c r="E2259">
        <f>MONTH(C2259)</f>
        <v>7</v>
      </c>
    </row>
    <row r="2260" spans="1:5">
      <c r="A2260" t="s">
        <v>25</v>
      </c>
      <c r="B2260" t="s">
        <v>117</v>
      </c>
      <c r="C2260" s="8">
        <v>46232</v>
      </c>
      <c r="D2260" s="9">
        <v>11290</v>
      </c>
      <c r="E2260">
        <f>MONTH(C2260)</f>
        <v>7</v>
      </c>
    </row>
    <row r="2261" spans="1:5">
      <c r="A2261" t="s">
        <v>8</v>
      </c>
      <c r="B2261" t="s">
        <v>237</v>
      </c>
      <c r="C2261" s="8">
        <v>46232</v>
      </c>
      <c r="D2261" s="9">
        <v>24914</v>
      </c>
      <c r="E2261">
        <f>MONTH(C2261)</f>
        <v>7</v>
      </c>
    </row>
    <row r="2262" spans="1:5">
      <c r="A2262" t="s">
        <v>32</v>
      </c>
      <c r="B2262" t="s">
        <v>247</v>
      </c>
      <c r="C2262" s="8">
        <v>46232</v>
      </c>
      <c r="D2262" s="9">
        <v>12027</v>
      </c>
      <c r="E2262">
        <f>MONTH(C2262)</f>
        <v>7</v>
      </c>
    </row>
    <row r="2263" spans="1:5">
      <c r="A2263" t="s">
        <v>9</v>
      </c>
      <c r="B2263" t="s">
        <v>276</v>
      </c>
      <c r="C2263" s="8">
        <v>46232</v>
      </c>
      <c r="D2263" s="9">
        <v>56459</v>
      </c>
      <c r="E2263">
        <f>MONTH(C2263)</f>
        <v>7</v>
      </c>
    </row>
    <row r="2264" spans="1:5">
      <c r="A2264" t="s">
        <v>5</v>
      </c>
      <c r="B2264" t="s">
        <v>167</v>
      </c>
      <c r="C2264" s="8">
        <v>46232</v>
      </c>
      <c r="D2264" s="9">
        <v>29411</v>
      </c>
      <c r="E2264">
        <f>MONTH(C2264)</f>
        <v>7</v>
      </c>
    </row>
    <row r="2265" spans="1:5">
      <c r="A2265" t="s">
        <v>5</v>
      </c>
      <c r="B2265" t="s">
        <v>209</v>
      </c>
      <c r="C2265" s="8">
        <v>46232</v>
      </c>
      <c r="D2265" s="9">
        <v>48501</v>
      </c>
      <c r="E2265">
        <f>MONTH(C2265)</f>
        <v>7</v>
      </c>
    </row>
    <row r="2266" spans="1:5">
      <c r="A2266" t="s">
        <v>5</v>
      </c>
      <c r="B2266" t="s">
        <v>159</v>
      </c>
      <c r="C2266" s="8">
        <v>46232</v>
      </c>
      <c r="D2266" s="9">
        <v>43576</v>
      </c>
      <c r="E2266">
        <f>MONTH(C2266)</f>
        <v>7</v>
      </c>
    </row>
    <row r="2267" spans="1:5">
      <c r="A2267" t="s">
        <v>5</v>
      </c>
      <c r="B2267" t="s">
        <v>93</v>
      </c>
      <c r="C2267" s="8">
        <v>46232</v>
      </c>
      <c r="D2267" s="9">
        <v>37957</v>
      </c>
      <c r="E2267">
        <f>MONTH(C2267)</f>
        <v>7</v>
      </c>
    </row>
    <row r="2268" spans="1:5">
      <c r="A2268" t="s">
        <v>5</v>
      </c>
      <c r="B2268" t="s">
        <v>189</v>
      </c>
      <c r="C2268" s="8">
        <v>46232</v>
      </c>
      <c r="D2268" s="9">
        <v>35145</v>
      </c>
      <c r="E2268">
        <f>MONTH(C2268)</f>
        <v>7</v>
      </c>
    </row>
    <row r="2269" spans="1:5">
      <c r="A2269" t="s">
        <v>28</v>
      </c>
      <c r="B2269" t="s">
        <v>62</v>
      </c>
      <c r="C2269" s="8">
        <v>46233</v>
      </c>
      <c r="D2269" s="9">
        <v>9808</v>
      </c>
      <c r="E2269">
        <f>MONTH(C2269)</f>
        <v>7</v>
      </c>
    </row>
    <row r="2270" spans="1:5">
      <c r="A2270" t="s">
        <v>7</v>
      </c>
      <c r="B2270" t="s">
        <v>69</v>
      </c>
      <c r="C2270" s="8">
        <v>46233</v>
      </c>
      <c r="D2270" s="9">
        <v>5200</v>
      </c>
      <c r="E2270">
        <f>MONTH(C2270)</f>
        <v>7</v>
      </c>
    </row>
    <row r="2271" spans="1:5">
      <c r="A2271" t="s">
        <v>7</v>
      </c>
      <c r="B2271" t="s">
        <v>226</v>
      </c>
      <c r="C2271" s="8">
        <v>46233</v>
      </c>
      <c r="D2271" s="9">
        <v>21171</v>
      </c>
      <c r="E2271">
        <f>MONTH(C2271)</f>
        <v>7</v>
      </c>
    </row>
    <row r="2272" spans="1:5">
      <c r="A2272" t="s">
        <v>9</v>
      </c>
      <c r="B2272" t="s">
        <v>177</v>
      </c>
      <c r="C2272" s="8">
        <v>46233</v>
      </c>
      <c r="D2272" s="9">
        <v>25861</v>
      </c>
      <c r="E2272">
        <f>MONTH(C2272)</f>
        <v>7</v>
      </c>
    </row>
    <row r="2273" spans="1:5">
      <c r="A2273" t="s">
        <v>5</v>
      </c>
      <c r="B2273" t="s">
        <v>167</v>
      </c>
      <c r="C2273" s="8">
        <v>46233</v>
      </c>
      <c r="D2273" s="9">
        <v>31746</v>
      </c>
      <c r="E2273">
        <f>MONTH(C2273)</f>
        <v>7</v>
      </c>
    </row>
    <row r="2274" spans="1:5">
      <c r="A2274" t="s">
        <v>5</v>
      </c>
      <c r="B2274" t="s">
        <v>210</v>
      </c>
      <c r="C2274" s="8">
        <v>46233</v>
      </c>
      <c r="D2274" s="9">
        <v>40069</v>
      </c>
      <c r="E2274">
        <f>MONTH(C2274)</f>
        <v>7</v>
      </c>
    </row>
    <row r="2275" spans="1:5">
      <c r="A2275" t="s">
        <v>5</v>
      </c>
      <c r="B2275" t="s">
        <v>93</v>
      </c>
      <c r="C2275" s="8">
        <v>46233</v>
      </c>
      <c r="D2275" s="9">
        <v>46970</v>
      </c>
      <c r="E2275">
        <f>MONTH(C2275)</f>
        <v>7</v>
      </c>
    </row>
    <row r="2276" spans="1:5">
      <c r="A2276" t="s">
        <v>5</v>
      </c>
      <c r="B2276" t="s">
        <v>108</v>
      </c>
      <c r="C2276" s="8">
        <v>46233</v>
      </c>
      <c r="D2276" s="9">
        <v>42871</v>
      </c>
      <c r="E2276">
        <f>MONTH(C2276)</f>
        <v>7</v>
      </c>
    </row>
    <row r="2277" spans="1:5">
      <c r="A2277" t="s">
        <v>4</v>
      </c>
      <c r="B2277" t="s">
        <v>190</v>
      </c>
      <c r="C2277" s="8">
        <v>46234</v>
      </c>
      <c r="D2277" s="9">
        <v>27927</v>
      </c>
      <c r="E2277">
        <f>MONTH(C2277)</f>
        <v>7</v>
      </c>
    </row>
    <row r="2278" spans="1:5">
      <c r="A2278" t="s">
        <v>4</v>
      </c>
      <c r="B2278" t="s">
        <v>180</v>
      </c>
      <c r="C2278" s="8">
        <v>46234</v>
      </c>
      <c r="D2278" s="9">
        <v>29975</v>
      </c>
      <c r="E2278">
        <f>MONTH(C2278)</f>
        <v>7</v>
      </c>
    </row>
    <row r="2279" spans="1:5">
      <c r="A2279" t="s">
        <v>25</v>
      </c>
      <c r="B2279" t="s">
        <v>272</v>
      </c>
      <c r="C2279" s="8">
        <v>46234</v>
      </c>
      <c r="D2279" s="9">
        <v>13840</v>
      </c>
      <c r="E2279">
        <f>MONTH(C2279)</f>
        <v>7</v>
      </c>
    </row>
    <row r="2280" spans="1:5">
      <c r="A2280" t="s">
        <v>6</v>
      </c>
      <c r="B2280" t="s">
        <v>262</v>
      </c>
      <c r="C2280" s="8">
        <v>46234</v>
      </c>
      <c r="D2280" s="9">
        <v>15744</v>
      </c>
      <c r="E2280">
        <f>MONTH(C2280)</f>
        <v>7</v>
      </c>
    </row>
    <row r="2281" spans="1:5">
      <c r="A2281" t="s">
        <v>33</v>
      </c>
      <c r="B2281" t="s">
        <v>232</v>
      </c>
      <c r="C2281" s="8">
        <v>46234</v>
      </c>
      <c r="D2281" s="9">
        <v>13546</v>
      </c>
      <c r="E2281">
        <f>MONTH(C2281)</f>
        <v>7</v>
      </c>
    </row>
    <row r="2282" spans="1:5">
      <c r="A2282" t="s">
        <v>7</v>
      </c>
      <c r="B2282" t="s">
        <v>47</v>
      </c>
      <c r="C2282" s="8">
        <v>46234</v>
      </c>
      <c r="D2282" s="9">
        <v>21828</v>
      </c>
      <c r="E2282">
        <f>MONTH(C2282)</f>
        <v>7</v>
      </c>
    </row>
    <row r="2283" spans="1:5">
      <c r="A2283" t="s">
        <v>9</v>
      </c>
      <c r="B2283" t="s">
        <v>66</v>
      </c>
      <c r="C2283" s="8">
        <v>46234</v>
      </c>
      <c r="D2283" s="9">
        <v>41513</v>
      </c>
      <c r="E2283">
        <f>MONTH(C2283)</f>
        <v>7</v>
      </c>
    </row>
    <row r="2284" spans="1:5">
      <c r="A2284" t="s">
        <v>5</v>
      </c>
      <c r="B2284" t="s">
        <v>123</v>
      </c>
      <c r="C2284" s="8">
        <v>46234</v>
      </c>
      <c r="D2284" s="9">
        <v>42527</v>
      </c>
      <c r="E2284">
        <f>MONTH(C2284)</f>
        <v>7</v>
      </c>
    </row>
    <row r="2285" spans="1:5">
      <c r="A2285" t="s">
        <v>5</v>
      </c>
      <c r="B2285" t="s">
        <v>107</v>
      </c>
      <c r="C2285" s="8">
        <v>46234</v>
      </c>
      <c r="D2285" s="9">
        <v>56632</v>
      </c>
      <c r="E2285">
        <f>MONTH(C2285)</f>
        <v>7</v>
      </c>
    </row>
    <row r="2286" spans="1:5">
      <c r="A2286" t="s">
        <v>5</v>
      </c>
      <c r="B2286" t="s">
        <v>204</v>
      </c>
      <c r="C2286" s="8">
        <v>46234</v>
      </c>
      <c r="D2286" s="9">
        <v>36415</v>
      </c>
      <c r="E2286">
        <f>MONTH(C2286)</f>
        <v>7</v>
      </c>
    </row>
    <row r="2287" spans="1:5">
      <c r="A2287" t="s">
        <v>4</v>
      </c>
      <c r="B2287" t="s">
        <v>165</v>
      </c>
      <c r="C2287" s="8">
        <v>46235</v>
      </c>
      <c r="D2287" s="9">
        <v>36466</v>
      </c>
      <c r="E2287">
        <f>MONTH(C2287)</f>
        <v>8</v>
      </c>
    </row>
    <row r="2288" spans="1:5">
      <c r="A2288" t="s">
        <v>4</v>
      </c>
      <c r="B2288" t="s">
        <v>234</v>
      </c>
      <c r="C2288" s="8">
        <v>46235</v>
      </c>
      <c r="D2288" s="9">
        <v>40442</v>
      </c>
      <c r="E2288">
        <f>MONTH(C2288)</f>
        <v>8</v>
      </c>
    </row>
    <row r="2289" spans="1:5">
      <c r="A2289" t="s">
        <v>25</v>
      </c>
      <c r="B2289" t="s">
        <v>86</v>
      </c>
      <c r="C2289" s="8">
        <v>46235</v>
      </c>
      <c r="D2289" s="9">
        <v>14397</v>
      </c>
      <c r="E2289">
        <f>MONTH(C2289)</f>
        <v>8</v>
      </c>
    </row>
    <row r="2290" spans="1:5">
      <c r="A2290" t="s">
        <v>33</v>
      </c>
      <c r="B2290" t="s">
        <v>232</v>
      </c>
      <c r="C2290" s="8">
        <v>46235</v>
      </c>
      <c r="D2290" s="9">
        <v>8133</v>
      </c>
      <c r="E2290">
        <f>MONTH(C2290)</f>
        <v>8</v>
      </c>
    </row>
    <row r="2291" spans="1:5">
      <c r="A2291" t="s">
        <v>29</v>
      </c>
      <c r="B2291" t="s">
        <v>163</v>
      </c>
      <c r="C2291" s="8">
        <v>46235</v>
      </c>
      <c r="D2291" s="9">
        <v>19216</v>
      </c>
      <c r="E2291">
        <f>MONTH(C2291)</f>
        <v>8</v>
      </c>
    </row>
    <row r="2292" spans="1:5">
      <c r="A2292" t="s">
        <v>9</v>
      </c>
      <c r="B2292" t="s">
        <v>113</v>
      </c>
      <c r="C2292" s="8">
        <v>46235</v>
      </c>
      <c r="D2292" s="9">
        <v>31793</v>
      </c>
      <c r="E2292">
        <f>MONTH(C2292)</f>
        <v>8</v>
      </c>
    </row>
    <row r="2293" spans="1:5">
      <c r="A2293" t="s">
        <v>9</v>
      </c>
      <c r="B2293" t="s">
        <v>148</v>
      </c>
      <c r="C2293" s="8">
        <v>46235</v>
      </c>
      <c r="D2293" s="9">
        <v>52909</v>
      </c>
      <c r="E2293">
        <f>MONTH(C2293)</f>
        <v>8</v>
      </c>
    </row>
    <row r="2294" spans="1:5">
      <c r="A2294" t="s">
        <v>9</v>
      </c>
      <c r="B2294" t="s">
        <v>219</v>
      </c>
      <c r="C2294" s="8">
        <v>46235</v>
      </c>
      <c r="D2294" s="9">
        <v>33935</v>
      </c>
      <c r="E2294">
        <f>MONTH(C2294)</f>
        <v>8</v>
      </c>
    </row>
    <row r="2295" spans="1:5">
      <c r="A2295" t="s">
        <v>9</v>
      </c>
      <c r="B2295" t="s">
        <v>220</v>
      </c>
      <c r="C2295" s="8">
        <v>46235</v>
      </c>
      <c r="D2295" s="9">
        <v>34054</v>
      </c>
      <c r="E2295">
        <f>MONTH(C2295)</f>
        <v>8</v>
      </c>
    </row>
    <row r="2296" spans="1:5">
      <c r="A2296" t="s">
        <v>5</v>
      </c>
      <c r="B2296" t="s">
        <v>107</v>
      </c>
      <c r="C2296" s="8">
        <v>46235</v>
      </c>
      <c r="D2296" s="9">
        <v>39435</v>
      </c>
      <c r="E2296">
        <f>MONTH(C2296)</f>
        <v>8</v>
      </c>
    </row>
    <row r="2297" spans="1:5">
      <c r="A2297" t="s">
        <v>5</v>
      </c>
      <c r="B2297" t="s">
        <v>93</v>
      </c>
      <c r="C2297" s="8">
        <v>46235</v>
      </c>
      <c r="D2297" s="9">
        <v>38637</v>
      </c>
      <c r="E2297">
        <f>MONTH(C2297)</f>
        <v>8</v>
      </c>
    </row>
    <row r="2298" spans="1:5">
      <c r="A2298" t="s">
        <v>5</v>
      </c>
      <c r="B2298" t="s">
        <v>109</v>
      </c>
      <c r="C2298" s="8">
        <v>46235</v>
      </c>
      <c r="D2298" s="9">
        <v>49551</v>
      </c>
      <c r="E2298">
        <f>MONTH(C2298)</f>
        <v>8</v>
      </c>
    </row>
    <row r="2299" spans="1:5">
      <c r="A2299" t="s">
        <v>5</v>
      </c>
      <c r="B2299" t="s">
        <v>100</v>
      </c>
      <c r="C2299" s="8">
        <v>46235</v>
      </c>
      <c r="D2299" s="9">
        <v>46948</v>
      </c>
      <c r="E2299">
        <f>MONTH(C2299)</f>
        <v>8</v>
      </c>
    </row>
    <row r="2300" spans="1:5">
      <c r="A2300" t="s">
        <v>28</v>
      </c>
      <c r="B2300" t="s">
        <v>174</v>
      </c>
      <c r="C2300" s="8">
        <v>46236</v>
      </c>
      <c r="D2300" s="9">
        <v>8207</v>
      </c>
      <c r="E2300">
        <f>MONTH(C2300)</f>
        <v>8</v>
      </c>
    </row>
    <row r="2301" spans="1:5">
      <c r="A2301" t="s">
        <v>8</v>
      </c>
      <c r="B2301" t="s">
        <v>147</v>
      </c>
      <c r="C2301" s="8">
        <v>46236</v>
      </c>
      <c r="D2301" s="9">
        <v>15762</v>
      </c>
      <c r="E2301">
        <f>MONTH(C2301)</f>
        <v>8</v>
      </c>
    </row>
    <row r="2302" spans="1:5">
      <c r="A2302" t="s">
        <v>7</v>
      </c>
      <c r="B2302" t="s">
        <v>275</v>
      </c>
      <c r="C2302" s="8">
        <v>46236</v>
      </c>
      <c r="D2302" s="9">
        <v>20524</v>
      </c>
      <c r="E2302">
        <f>MONTH(C2302)</f>
        <v>8</v>
      </c>
    </row>
    <row r="2303" spans="1:5">
      <c r="A2303" t="s">
        <v>9</v>
      </c>
      <c r="B2303" t="s">
        <v>235</v>
      </c>
      <c r="C2303" s="8">
        <v>46236</v>
      </c>
      <c r="D2303" s="9">
        <v>30860</v>
      </c>
      <c r="E2303">
        <f>MONTH(C2303)</f>
        <v>8</v>
      </c>
    </row>
    <row r="2304" spans="1:5">
      <c r="A2304" t="s">
        <v>9</v>
      </c>
      <c r="B2304" t="s">
        <v>177</v>
      </c>
      <c r="C2304" s="8">
        <v>46236</v>
      </c>
      <c r="D2304" s="9">
        <v>28328</v>
      </c>
      <c r="E2304">
        <f>MONTH(C2304)</f>
        <v>8</v>
      </c>
    </row>
    <row r="2305" spans="1:5">
      <c r="A2305" t="s">
        <v>9</v>
      </c>
      <c r="B2305" t="s">
        <v>66</v>
      </c>
      <c r="C2305" s="8">
        <v>46236</v>
      </c>
      <c r="D2305" s="9">
        <v>37013</v>
      </c>
      <c r="E2305">
        <f>MONTH(C2305)</f>
        <v>8</v>
      </c>
    </row>
    <row r="2306" spans="1:5">
      <c r="A2306" t="s">
        <v>5</v>
      </c>
      <c r="B2306" t="s">
        <v>252</v>
      </c>
      <c r="C2306" s="8">
        <v>46236</v>
      </c>
      <c r="D2306" s="9">
        <v>48052</v>
      </c>
      <c r="E2306">
        <f>MONTH(C2306)</f>
        <v>8</v>
      </c>
    </row>
    <row r="2307" spans="1:5">
      <c r="A2307" t="s">
        <v>5</v>
      </c>
      <c r="B2307" t="s">
        <v>93</v>
      </c>
      <c r="C2307" s="8">
        <v>46236</v>
      </c>
      <c r="D2307" s="9">
        <v>39179</v>
      </c>
      <c r="E2307">
        <f>MONTH(C2307)</f>
        <v>8</v>
      </c>
    </row>
    <row r="2308" spans="1:5">
      <c r="A2308" t="s">
        <v>5</v>
      </c>
      <c r="B2308" t="s">
        <v>93</v>
      </c>
      <c r="C2308" s="8">
        <v>46236</v>
      </c>
      <c r="D2308" s="9">
        <v>40169</v>
      </c>
      <c r="E2308">
        <f>MONTH(C2308)</f>
        <v>8</v>
      </c>
    </row>
    <row r="2309" spans="1:5">
      <c r="A2309" t="s">
        <v>5</v>
      </c>
      <c r="B2309" t="s">
        <v>93</v>
      </c>
      <c r="C2309" s="8">
        <v>46236</v>
      </c>
      <c r="D2309" s="9">
        <v>42795</v>
      </c>
      <c r="E2309">
        <f>MONTH(C2309)</f>
        <v>8</v>
      </c>
    </row>
    <row r="2310" spans="1:5">
      <c r="A2310" t="s">
        <v>5</v>
      </c>
      <c r="B2310" t="s">
        <v>124</v>
      </c>
      <c r="C2310" s="8">
        <v>46236</v>
      </c>
      <c r="D2310" s="9">
        <v>35078</v>
      </c>
      <c r="E2310">
        <f>MONTH(C2310)</f>
        <v>8</v>
      </c>
    </row>
    <row r="2311" spans="1:5">
      <c r="A2311" t="s">
        <v>5</v>
      </c>
      <c r="B2311" t="s">
        <v>61</v>
      </c>
      <c r="C2311" s="8">
        <v>46236</v>
      </c>
      <c r="D2311" s="9">
        <v>47556</v>
      </c>
      <c r="E2311">
        <f>MONTH(C2311)</f>
        <v>8</v>
      </c>
    </row>
    <row r="2312" spans="1:5">
      <c r="A2312" t="s">
        <v>4</v>
      </c>
      <c r="B2312" t="s">
        <v>116</v>
      </c>
      <c r="C2312" s="8">
        <v>46237</v>
      </c>
      <c r="D2312" s="9">
        <v>29325</v>
      </c>
      <c r="E2312">
        <f>MONTH(C2312)</f>
        <v>8</v>
      </c>
    </row>
    <row r="2313" spans="1:5">
      <c r="A2313" t="s">
        <v>7</v>
      </c>
      <c r="B2313" t="s">
        <v>244</v>
      </c>
      <c r="C2313" s="8">
        <v>46237</v>
      </c>
      <c r="D2313" s="9">
        <v>26418</v>
      </c>
      <c r="E2313">
        <f>MONTH(C2313)</f>
        <v>8</v>
      </c>
    </row>
    <row r="2314" spans="1:5">
      <c r="A2314" t="s">
        <v>7</v>
      </c>
      <c r="B2314" t="s">
        <v>170</v>
      </c>
      <c r="C2314" s="8">
        <v>46237</v>
      </c>
      <c r="D2314" s="9">
        <v>18814</v>
      </c>
      <c r="E2314">
        <f>MONTH(C2314)</f>
        <v>8</v>
      </c>
    </row>
    <row r="2315" spans="1:5">
      <c r="A2315" t="s">
        <v>7</v>
      </c>
      <c r="B2315" t="s">
        <v>105</v>
      </c>
      <c r="C2315" s="8">
        <v>46237</v>
      </c>
      <c r="D2315" s="9">
        <v>19067</v>
      </c>
      <c r="E2315">
        <f>MONTH(C2315)</f>
        <v>8</v>
      </c>
    </row>
    <row r="2316" spans="1:5">
      <c r="A2316" t="s">
        <v>9</v>
      </c>
      <c r="B2316" t="s">
        <v>85</v>
      </c>
      <c r="C2316" s="8">
        <v>46237</v>
      </c>
      <c r="D2316" s="9">
        <v>22613</v>
      </c>
      <c r="E2316">
        <f>MONTH(C2316)</f>
        <v>8</v>
      </c>
    </row>
    <row r="2317" spans="1:5">
      <c r="A2317" t="s">
        <v>5</v>
      </c>
      <c r="B2317" t="s">
        <v>123</v>
      </c>
      <c r="C2317" s="8">
        <v>46237</v>
      </c>
      <c r="D2317" s="9">
        <v>49496</v>
      </c>
      <c r="E2317">
        <f>MONTH(C2317)</f>
        <v>8</v>
      </c>
    </row>
    <row r="2318" spans="1:5">
      <c r="A2318" t="s">
        <v>5</v>
      </c>
      <c r="B2318" t="s">
        <v>211</v>
      </c>
      <c r="C2318" s="8">
        <v>46237</v>
      </c>
      <c r="D2318" s="9">
        <v>45711</v>
      </c>
      <c r="E2318">
        <f>MONTH(C2318)</f>
        <v>8</v>
      </c>
    </row>
    <row r="2319" spans="1:5">
      <c r="A2319" t="s">
        <v>5</v>
      </c>
      <c r="B2319" t="s">
        <v>100</v>
      </c>
      <c r="C2319" s="8">
        <v>46237</v>
      </c>
      <c r="D2319" s="9">
        <v>33174</v>
      </c>
      <c r="E2319">
        <f>MONTH(C2319)</f>
        <v>8</v>
      </c>
    </row>
    <row r="2320" spans="1:5">
      <c r="A2320" t="s">
        <v>4</v>
      </c>
      <c r="B2320" t="s">
        <v>241</v>
      </c>
      <c r="C2320" s="8">
        <v>46238</v>
      </c>
      <c r="D2320" s="9">
        <v>19346</v>
      </c>
      <c r="E2320">
        <f>MONTH(C2320)</f>
        <v>8</v>
      </c>
    </row>
    <row r="2321" spans="1:5">
      <c r="A2321" t="s">
        <v>4</v>
      </c>
      <c r="B2321" t="s">
        <v>223</v>
      </c>
      <c r="C2321" s="8">
        <v>46238</v>
      </c>
      <c r="D2321" s="9">
        <v>33098</v>
      </c>
      <c r="E2321">
        <f>MONTH(C2321)</f>
        <v>8</v>
      </c>
    </row>
    <row r="2322" spans="1:5">
      <c r="A2322" t="s">
        <v>25</v>
      </c>
      <c r="B2322" t="s">
        <v>186</v>
      </c>
      <c r="C2322" s="8">
        <v>46238</v>
      </c>
      <c r="D2322" s="9">
        <v>13233</v>
      </c>
      <c r="E2322">
        <f>MONTH(C2322)</f>
        <v>8</v>
      </c>
    </row>
    <row r="2323" spans="1:5">
      <c r="A2323" t="s">
        <v>29</v>
      </c>
      <c r="B2323" t="s">
        <v>57</v>
      </c>
      <c r="C2323" s="8">
        <v>46238</v>
      </c>
      <c r="D2323" s="9">
        <v>9998</v>
      </c>
      <c r="E2323">
        <f>MONTH(C2323)</f>
        <v>8</v>
      </c>
    </row>
    <row r="2324" spans="1:5">
      <c r="A2324" t="s">
        <v>7</v>
      </c>
      <c r="B2324" t="s">
        <v>202</v>
      </c>
      <c r="C2324" s="8">
        <v>46238</v>
      </c>
      <c r="D2324" s="9">
        <v>22106</v>
      </c>
      <c r="E2324">
        <f>MONTH(C2324)</f>
        <v>8</v>
      </c>
    </row>
    <row r="2325" spans="1:5">
      <c r="A2325" t="s">
        <v>9</v>
      </c>
      <c r="B2325" t="s">
        <v>91</v>
      </c>
      <c r="C2325" s="8">
        <v>46238</v>
      </c>
      <c r="D2325" s="9">
        <v>25873</v>
      </c>
      <c r="E2325">
        <f>MONTH(C2325)</f>
        <v>8</v>
      </c>
    </row>
    <row r="2326" spans="1:5">
      <c r="A2326" t="s">
        <v>9</v>
      </c>
      <c r="B2326" t="s">
        <v>245</v>
      </c>
      <c r="C2326" s="8">
        <v>46238</v>
      </c>
      <c r="D2326" s="9">
        <v>27734</v>
      </c>
      <c r="E2326">
        <f>MONTH(C2326)</f>
        <v>8</v>
      </c>
    </row>
    <row r="2327" spans="1:5">
      <c r="A2327" t="s">
        <v>5</v>
      </c>
      <c r="B2327" t="s">
        <v>58</v>
      </c>
      <c r="C2327" s="8">
        <v>46238</v>
      </c>
      <c r="D2327" s="9">
        <v>47068</v>
      </c>
      <c r="E2327">
        <f>MONTH(C2327)</f>
        <v>8</v>
      </c>
    </row>
    <row r="2328" spans="1:5">
      <c r="A2328" t="s">
        <v>4</v>
      </c>
      <c r="B2328" t="s">
        <v>106</v>
      </c>
      <c r="C2328" s="8">
        <v>46239</v>
      </c>
      <c r="D2328" s="9">
        <v>31840</v>
      </c>
      <c r="E2328">
        <f>MONTH(C2328)</f>
        <v>8</v>
      </c>
    </row>
    <row r="2329" spans="1:5">
      <c r="A2329" t="s">
        <v>25</v>
      </c>
      <c r="B2329" t="s">
        <v>200</v>
      </c>
      <c r="C2329" s="8">
        <v>46239</v>
      </c>
      <c r="D2329" s="9">
        <v>16183</v>
      </c>
      <c r="E2329">
        <f>MONTH(C2329)</f>
        <v>8</v>
      </c>
    </row>
    <row r="2330" spans="1:5">
      <c r="A2330" t="s">
        <v>26</v>
      </c>
      <c r="B2330" t="s">
        <v>256</v>
      </c>
      <c r="C2330" s="8">
        <v>46239</v>
      </c>
      <c r="D2330" s="9">
        <v>12890</v>
      </c>
      <c r="E2330">
        <f>MONTH(C2330)</f>
        <v>8</v>
      </c>
    </row>
    <row r="2331" spans="1:5">
      <c r="A2331" t="s">
        <v>6</v>
      </c>
      <c r="B2331" t="s">
        <v>141</v>
      </c>
      <c r="C2331" s="8">
        <v>46239</v>
      </c>
      <c r="D2331" s="9">
        <v>18689</v>
      </c>
      <c r="E2331">
        <f>MONTH(C2331)</f>
        <v>8</v>
      </c>
    </row>
    <row r="2332" spans="1:5">
      <c r="A2332" t="s">
        <v>37</v>
      </c>
      <c r="B2332" t="s">
        <v>81</v>
      </c>
      <c r="C2332" s="8">
        <v>46239</v>
      </c>
      <c r="D2332" s="9">
        <v>12973</v>
      </c>
      <c r="E2332">
        <f>MONTH(C2332)</f>
        <v>8</v>
      </c>
    </row>
    <row r="2333" spans="1:5">
      <c r="A2333" t="s">
        <v>5</v>
      </c>
      <c r="B2333" t="s">
        <v>72</v>
      </c>
      <c r="C2333" s="8">
        <v>46239</v>
      </c>
      <c r="D2333" s="9">
        <v>32604</v>
      </c>
      <c r="E2333">
        <f>MONTH(C2333)</f>
        <v>8</v>
      </c>
    </row>
    <row r="2334" spans="1:5">
      <c r="A2334" t="s">
        <v>5</v>
      </c>
      <c r="B2334" t="s">
        <v>98</v>
      </c>
      <c r="C2334" s="8">
        <v>46239</v>
      </c>
      <c r="D2334" s="9">
        <v>47628</v>
      </c>
      <c r="E2334">
        <f>MONTH(C2334)</f>
        <v>8</v>
      </c>
    </row>
    <row r="2335" spans="1:5">
      <c r="A2335" t="s">
        <v>26</v>
      </c>
      <c r="B2335" t="s">
        <v>259</v>
      </c>
      <c r="C2335" s="8">
        <v>46240</v>
      </c>
      <c r="D2335" s="9">
        <v>17055</v>
      </c>
      <c r="E2335">
        <f>MONTH(C2335)</f>
        <v>8</v>
      </c>
    </row>
    <row r="2336" spans="1:5">
      <c r="A2336" t="s">
        <v>29</v>
      </c>
      <c r="B2336" t="s">
        <v>112</v>
      </c>
      <c r="C2336" s="8">
        <v>46240</v>
      </c>
      <c r="D2336" s="9">
        <v>11010</v>
      </c>
      <c r="E2336">
        <f>MONTH(C2336)</f>
        <v>8</v>
      </c>
    </row>
    <row r="2337" spans="1:5">
      <c r="A2337" t="s">
        <v>7</v>
      </c>
      <c r="B2337" t="s">
        <v>201</v>
      </c>
      <c r="C2337" s="8">
        <v>46240</v>
      </c>
      <c r="D2337" s="9">
        <v>19007</v>
      </c>
      <c r="E2337">
        <f>MONTH(C2337)</f>
        <v>8</v>
      </c>
    </row>
    <row r="2338" spans="1:5">
      <c r="A2338" t="s">
        <v>7</v>
      </c>
      <c r="B2338" t="s">
        <v>214</v>
      </c>
      <c r="C2338" s="8">
        <v>46240</v>
      </c>
      <c r="D2338" s="9">
        <v>18656</v>
      </c>
      <c r="E2338">
        <f>MONTH(C2338)</f>
        <v>8</v>
      </c>
    </row>
    <row r="2339" spans="1:5">
      <c r="A2339" t="s">
        <v>9</v>
      </c>
      <c r="B2339" t="s">
        <v>82</v>
      </c>
      <c r="C2339" s="8">
        <v>46240</v>
      </c>
      <c r="D2339" s="9">
        <v>9179</v>
      </c>
      <c r="E2339">
        <f>MONTH(C2339)</f>
        <v>8</v>
      </c>
    </row>
    <row r="2340" spans="1:5">
      <c r="A2340" t="s">
        <v>5</v>
      </c>
      <c r="B2340" t="s">
        <v>172</v>
      </c>
      <c r="C2340" s="8">
        <v>46240</v>
      </c>
      <c r="D2340" s="9">
        <v>28337</v>
      </c>
      <c r="E2340">
        <f>MONTH(C2340)</f>
        <v>8</v>
      </c>
    </row>
    <row r="2341" spans="1:5">
      <c r="A2341" t="s">
        <v>27</v>
      </c>
      <c r="B2341" t="s">
        <v>149</v>
      </c>
      <c r="C2341" s="8">
        <v>46241</v>
      </c>
      <c r="D2341" s="9">
        <v>12318</v>
      </c>
      <c r="E2341">
        <f>MONTH(C2341)</f>
        <v>8</v>
      </c>
    </row>
    <row r="2342" spans="1:5">
      <c r="A2342" t="s">
        <v>38</v>
      </c>
      <c r="B2342" t="s">
        <v>110</v>
      </c>
      <c r="C2342" s="8">
        <v>46241</v>
      </c>
      <c r="D2342" s="9">
        <v>12155</v>
      </c>
      <c r="E2342">
        <f>MONTH(C2342)</f>
        <v>8</v>
      </c>
    </row>
    <row r="2343" spans="1:5">
      <c r="A2343" t="s">
        <v>26</v>
      </c>
      <c r="B2343" t="s">
        <v>257</v>
      </c>
      <c r="C2343" s="8">
        <v>46241</v>
      </c>
      <c r="D2343" s="9">
        <v>7645</v>
      </c>
      <c r="E2343">
        <f>MONTH(C2343)</f>
        <v>8</v>
      </c>
    </row>
    <row r="2344" spans="1:5">
      <c r="A2344" t="s">
        <v>9</v>
      </c>
      <c r="B2344" t="s">
        <v>187</v>
      </c>
      <c r="C2344" s="8">
        <v>46241</v>
      </c>
      <c r="D2344" s="9">
        <v>41883</v>
      </c>
      <c r="E2344">
        <f>MONTH(C2344)</f>
        <v>8</v>
      </c>
    </row>
    <row r="2345" spans="1:5">
      <c r="A2345" t="s">
        <v>9</v>
      </c>
      <c r="B2345" t="s">
        <v>144</v>
      </c>
      <c r="C2345" s="8">
        <v>46241</v>
      </c>
      <c r="D2345" s="9">
        <v>26961</v>
      </c>
      <c r="E2345">
        <f>MONTH(C2345)</f>
        <v>8</v>
      </c>
    </row>
    <row r="2346" spans="1:5">
      <c r="A2346" t="s">
        <v>9</v>
      </c>
      <c r="B2346" t="s">
        <v>220</v>
      </c>
      <c r="C2346" s="8">
        <v>46241</v>
      </c>
      <c r="D2346" s="9">
        <v>36718</v>
      </c>
      <c r="E2346">
        <f>MONTH(C2346)</f>
        <v>8</v>
      </c>
    </row>
    <row r="2347" spans="1:5">
      <c r="A2347" t="s">
        <v>5</v>
      </c>
      <c r="B2347" t="s">
        <v>92</v>
      </c>
      <c r="C2347" s="8">
        <v>46241</v>
      </c>
      <c r="D2347" s="9">
        <v>40936</v>
      </c>
      <c r="E2347">
        <f>MONTH(C2347)</f>
        <v>8</v>
      </c>
    </row>
    <row r="2348" spans="1:5">
      <c r="A2348" t="s">
        <v>5</v>
      </c>
      <c r="B2348" t="s">
        <v>123</v>
      </c>
      <c r="C2348" s="8">
        <v>46241</v>
      </c>
      <c r="D2348" s="9">
        <v>32781</v>
      </c>
      <c r="E2348">
        <f>MONTH(C2348)</f>
        <v>8</v>
      </c>
    </row>
    <row r="2349" spans="1:5">
      <c r="A2349" t="s">
        <v>5</v>
      </c>
      <c r="B2349" t="s">
        <v>183</v>
      </c>
      <c r="C2349" s="8">
        <v>46241</v>
      </c>
      <c r="D2349" s="9">
        <v>55527</v>
      </c>
      <c r="E2349">
        <f>MONTH(C2349)</f>
        <v>8</v>
      </c>
    </row>
    <row r="2350" spans="1:5">
      <c r="A2350" t="s">
        <v>5</v>
      </c>
      <c r="B2350" t="s">
        <v>74</v>
      </c>
      <c r="C2350" s="8">
        <v>46241</v>
      </c>
      <c r="D2350" s="9">
        <v>54297</v>
      </c>
      <c r="E2350">
        <f>MONTH(C2350)</f>
        <v>8</v>
      </c>
    </row>
    <row r="2351" spans="1:5">
      <c r="A2351" t="s">
        <v>5</v>
      </c>
      <c r="B2351" t="s">
        <v>107</v>
      </c>
      <c r="C2351" s="8">
        <v>46241</v>
      </c>
      <c r="D2351" s="9">
        <v>46818</v>
      </c>
      <c r="E2351">
        <f>MONTH(C2351)</f>
        <v>8</v>
      </c>
    </row>
    <row r="2352" spans="1:5">
      <c r="A2352" t="s">
        <v>5</v>
      </c>
      <c r="B2352" t="s">
        <v>108</v>
      </c>
      <c r="C2352" s="8">
        <v>46241</v>
      </c>
      <c r="D2352" s="9">
        <v>33695</v>
      </c>
      <c r="E2352">
        <f>MONTH(C2352)</f>
        <v>8</v>
      </c>
    </row>
    <row r="2353" spans="1:5">
      <c r="A2353" t="s">
        <v>5</v>
      </c>
      <c r="B2353" t="s">
        <v>134</v>
      </c>
      <c r="C2353" s="8">
        <v>46241</v>
      </c>
      <c r="D2353" s="9">
        <v>24766</v>
      </c>
      <c r="E2353">
        <f>MONTH(C2353)</f>
        <v>8</v>
      </c>
    </row>
    <row r="2354" spans="1:5">
      <c r="A2354" t="s">
        <v>5</v>
      </c>
      <c r="B2354" t="s">
        <v>189</v>
      </c>
      <c r="C2354" s="8">
        <v>46241</v>
      </c>
      <c r="D2354" s="9">
        <v>38224</v>
      </c>
      <c r="E2354">
        <f>MONTH(C2354)</f>
        <v>8</v>
      </c>
    </row>
    <row r="2355" spans="1:5">
      <c r="A2355" t="s">
        <v>27</v>
      </c>
      <c r="B2355" t="s">
        <v>253</v>
      </c>
      <c r="C2355" s="8">
        <v>46242</v>
      </c>
      <c r="D2355" s="9">
        <v>5200</v>
      </c>
      <c r="E2355">
        <f>MONTH(C2355)</f>
        <v>8</v>
      </c>
    </row>
    <row r="2356" spans="1:5">
      <c r="A2356" t="s">
        <v>4</v>
      </c>
      <c r="B2356" t="s">
        <v>67</v>
      </c>
      <c r="C2356" s="8">
        <v>46242</v>
      </c>
      <c r="D2356" s="9">
        <v>29283</v>
      </c>
      <c r="E2356">
        <f>MONTH(C2356)</f>
        <v>8</v>
      </c>
    </row>
    <row r="2357" spans="1:5">
      <c r="A2357" t="s">
        <v>4</v>
      </c>
      <c r="B2357" t="s">
        <v>85</v>
      </c>
      <c r="C2357" s="8">
        <v>46242</v>
      </c>
      <c r="D2357" s="9">
        <v>23661</v>
      </c>
      <c r="E2357">
        <f>MONTH(C2357)</f>
        <v>8</v>
      </c>
    </row>
    <row r="2358" spans="1:5">
      <c r="A2358" t="s">
        <v>4</v>
      </c>
      <c r="B2358" t="s">
        <v>66</v>
      </c>
      <c r="C2358" s="8">
        <v>46242</v>
      </c>
      <c r="D2358" s="9">
        <v>35124</v>
      </c>
      <c r="E2358">
        <f>MONTH(C2358)</f>
        <v>8</v>
      </c>
    </row>
    <row r="2359" spans="1:5">
      <c r="A2359" t="s">
        <v>25</v>
      </c>
      <c r="B2359" t="s">
        <v>153</v>
      </c>
      <c r="C2359" s="8">
        <v>46242</v>
      </c>
      <c r="D2359" s="9">
        <v>21884</v>
      </c>
      <c r="E2359">
        <f>MONTH(C2359)</f>
        <v>8</v>
      </c>
    </row>
    <row r="2360" spans="1:5">
      <c r="A2360" t="s">
        <v>8</v>
      </c>
      <c r="B2360" t="s">
        <v>64</v>
      </c>
      <c r="C2360" s="8">
        <v>46242</v>
      </c>
      <c r="D2360" s="9">
        <v>13621</v>
      </c>
      <c r="E2360">
        <f>MONTH(C2360)</f>
        <v>8</v>
      </c>
    </row>
    <row r="2361" spans="1:5">
      <c r="A2361" t="s">
        <v>29</v>
      </c>
      <c r="B2361" t="s">
        <v>191</v>
      </c>
      <c r="C2361" s="8">
        <v>46242</v>
      </c>
      <c r="D2361" s="9">
        <v>12949</v>
      </c>
      <c r="E2361">
        <f>MONTH(C2361)</f>
        <v>8</v>
      </c>
    </row>
    <row r="2362" spans="1:5">
      <c r="A2362" t="s">
        <v>7</v>
      </c>
      <c r="B2362" t="s">
        <v>193</v>
      </c>
      <c r="C2362" s="8">
        <v>46242</v>
      </c>
      <c r="D2362" s="9">
        <v>18197</v>
      </c>
      <c r="E2362">
        <f>MONTH(C2362)</f>
        <v>8</v>
      </c>
    </row>
    <row r="2363" spans="1:5">
      <c r="A2363" t="s">
        <v>9</v>
      </c>
      <c r="B2363" t="s">
        <v>143</v>
      </c>
      <c r="C2363" s="8">
        <v>46242</v>
      </c>
      <c r="D2363" s="9">
        <v>42822</v>
      </c>
      <c r="E2363">
        <f>MONTH(C2363)</f>
        <v>8</v>
      </c>
    </row>
    <row r="2364" spans="1:5">
      <c r="A2364" t="s">
        <v>4</v>
      </c>
      <c r="B2364" t="s">
        <v>75</v>
      </c>
      <c r="C2364" s="8">
        <v>46243</v>
      </c>
      <c r="D2364" s="9">
        <v>26400</v>
      </c>
      <c r="E2364">
        <f>MONTH(C2364)</f>
        <v>8</v>
      </c>
    </row>
    <row r="2365" spans="1:5">
      <c r="A2365" t="s">
        <v>31</v>
      </c>
      <c r="B2365" t="s">
        <v>48</v>
      </c>
      <c r="C2365" s="8">
        <v>46243</v>
      </c>
      <c r="D2365" s="9">
        <v>12806</v>
      </c>
      <c r="E2365">
        <f>MONTH(C2365)</f>
        <v>8</v>
      </c>
    </row>
    <row r="2366" spans="1:5">
      <c r="A2366" t="s">
        <v>28</v>
      </c>
      <c r="B2366" t="s">
        <v>242</v>
      </c>
      <c r="C2366" s="8">
        <v>46243</v>
      </c>
      <c r="D2366" s="9">
        <v>5200</v>
      </c>
      <c r="E2366">
        <f>MONTH(C2366)</f>
        <v>8</v>
      </c>
    </row>
    <row r="2367" spans="1:5">
      <c r="A2367" t="s">
        <v>8</v>
      </c>
      <c r="B2367" t="s">
        <v>225</v>
      </c>
      <c r="C2367" s="8">
        <v>46243</v>
      </c>
      <c r="D2367" s="9">
        <v>8147</v>
      </c>
      <c r="E2367">
        <f>MONTH(C2367)</f>
        <v>8</v>
      </c>
    </row>
    <row r="2368" spans="1:5">
      <c r="A2368" t="s">
        <v>32</v>
      </c>
      <c r="B2368" t="s">
        <v>247</v>
      </c>
      <c r="C2368" s="8">
        <v>46243</v>
      </c>
      <c r="D2368" s="9">
        <v>12268</v>
      </c>
      <c r="E2368">
        <f>MONTH(C2368)</f>
        <v>8</v>
      </c>
    </row>
    <row r="2369" spans="1:5">
      <c r="A2369" t="s">
        <v>6</v>
      </c>
      <c r="B2369" t="s">
        <v>261</v>
      </c>
      <c r="C2369" s="8">
        <v>46243</v>
      </c>
      <c r="D2369" s="9">
        <v>17188</v>
      </c>
      <c r="E2369">
        <f>MONTH(C2369)</f>
        <v>8</v>
      </c>
    </row>
    <row r="2370" spans="1:5">
      <c r="A2370" t="s">
        <v>5</v>
      </c>
      <c r="B2370" t="s">
        <v>72</v>
      </c>
      <c r="C2370" s="8">
        <v>46243</v>
      </c>
      <c r="D2370" s="9">
        <v>37051</v>
      </c>
      <c r="E2370">
        <f>MONTH(C2370)</f>
        <v>8</v>
      </c>
    </row>
    <row r="2371" spans="1:5">
      <c r="A2371" t="s">
        <v>5</v>
      </c>
      <c r="B2371" t="s">
        <v>84</v>
      </c>
      <c r="C2371" s="8">
        <v>46243</v>
      </c>
      <c r="D2371" s="9">
        <v>37580</v>
      </c>
      <c r="E2371">
        <f>MONTH(C2371)</f>
        <v>8</v>
      </c>
    </row>
    <row r="2372" spans="1:5">
      <c r="A2372" t="s">
        <v>5</v>
      </c>
      <c r="B2372" t="s">
        <v>74</v>
      </c>
      <c r="C2372" s="8">
        <v>46243</v>
      </c>
      <c r="D2372" s="9">
        <v>36250</v>
      </c>
      <c r="E2372">
        <f>MONTH(C2372)</f>
        <v>8</v>
      </c>
    </row>
    <row r="2373" spans="1:5">
      <c r="A2373" t="s">
        <v>5</v>
      </c>
      <c r="B2373" t="s">
        <v>93</v>
      </c>
      <c r="C2373" s="8">
        <v>46243</v>
      </c>
      <c r="D2373" s="9">
        <v>38493</v>
      </c>
      <c r="E2373">
        <f>MONTH(C2373)</f>
        <v>8</v>
      </c>
    </row>
    <row r="2374" spans="1:5">
      <c r="A2374" t="s">
        <v>4</v>
      </c>
      <c r="B2374" t="s">
        <v>160</v>
      </c>
      <c r="C2374" s="8">
        <v>46244</v>
      </c>
      <c r="D2374" s="9">
        <v>28043</v>
      </c>
      <c r="E2374">
        <f>MONTH(C2374)</f>
        <v>8</v>
      </c>
    </row>
    <row r="2375" spans="1:5">
      <c r="A2375" t="s">
        <v>4</v>
      </c>
      <c r="B2375" t="s">
        <v>146</v>
      </c>
      <c r="C2375" s="8">
        <v>46244</v>
      </c>
      <c r="D2375" s="9">
        <v>22833</v>
      </c>
      <c r="E2375">
        <f>MONTH(C2375)</f>
        <v>8</v>
      </c>
    </row>
    <row r="2376" spans="1:5">
      <c r="A2376" t="s">
        <v>4</v>
      </c>
      <c r="B2376" t="s">
        <v>151</v>
      </c>
      <c r="C2376" s="8">
        <v>46244</v>
      </c>
      <c r="D2376" s="9">
        <v>21854</v>
      </c>
      <c r="E2376">
        <f>MONTH(C2376)</f>
        <v>8</v>
      </c>
    </row>
    <row r="2377" spans="1:5">
      <c r="A2377" t="s">
        <v>28</v>
      </c>
      <c r="B2377" t="s">
        <v>62</v>
      </c>
      <c r="C2377" s="8">
        <v>46244</v>
      </c>
      <c r="D2377" s="9">
        <v>12446</v>
      </c>
      <c r="E2377">
        <f>MONTH(C2377)</f>
        <v>8</v>
      </c>
    </row>
    <row r="2378" spans="1:5">
      <c r="A2378" t="s">
        <v>26</v>
      </c>
      <c r="B2378" t="s">
        <v>119</v>
      </c>
      <c r="C2378" s="8">
        <v>46244</v>
      </c>
      <c r="D2378" s="9">
        <v>21589</v>
      </c>
      <c r="E2378">
        <f>MONTH(C2378)</f>
        <v>8</v>
      </c>
    </row>
    <row r="2379" spans="1:5">
      <c r="A2379" t="s">
        <v>26</v>
      </c>
      <c r="B2379" t="s">
        <v>102</v>
      </c>
      <c r="C2379" s="8">
        <v>46244</v>
      </c>
      <c r="D2379" s="9">
        <v>11714</v>
      </c>
      <c r="E2379">
        <f>MONTH(C2379)</f>
        <v>8</v>
      </c>
    </row>
    <row r="2380" spans="1:5">
      <c r="A2380" t="s">
        <v>8</v>
      </c>
      <c r="B2380" t="s">
        <v>237</v>
      </c>
      <c r="C2380" s="8">
        <v>46244</v>
      </c>
      <c r="D2380" s="9">
        <v>5200</v>
      </c>
      <c r="E2380">
        <f>MONTH(C2380)</f>
        <v>8</v>
      </c>
    </row>
    <row r="2381" spans="1:5">
      <c r="A2381" t="s">
        <v>34</v>
      </c>
      <c r="B2381" t="s">
        <v>265</v>
      </c>
      <c r="C2381" s="8">
        <v>46244</v>
      </c>
      <c r="D2381" s="9">
        <v>11738</v>
      </c>
      <c r="E2381">
        <f>MONTH(C2381)</f>
        <v>8</v>
      </c>
    </row>
    <row r="2382" spans="1:5">
      <c r="A2382" t="s">
        <v>29</v>
      </c>
      <c r="B2382" t="s">
        <v>51</v>
      </c>
      <c r="C2382" s="8">
        <v>46244</v>
      </c>
      <c r="D2382" s="9">
        <v>7196</v>
      </c>
      <c r="E2382">
        <f>MONTH(C2382)</f>
        <v>8</v>
      </c>
    </row>
    <row r="2383" spans="1:5">
      <c r="A2383" t="s">
        <v>7</v>
      </c>
      <c r="B2383" t="s">
        <v>157</v>
      </c>
      <c r="C2383" s="8">
        <v>46244</v>
      </c>
      <c r="D2383" s="9">
        <v>35805</v>
      </c>
      <c r="E2383">
        <f>MONTH(C2383)</f>
        <v>8</v>
      </c>
    </row>
    <row r="2384" spans="1:5">
      <c r="A2384" t="s">
        <v>7</v>
      </c>
      <c r="B2384" t="s">
        <v>89</v>
      </c>
      <c r="C2384" s="8">
        <v>46244</v>
      </c>
      <c r="D2384" s="9">
        <v>22467</v>
      </c>
      <c r="E2384">
        <f>MONTH(C2384)</f>
        <v>8</v>
      </c>
    </row>
    <row r="2385" spans="1:5">
      <c r="A2385" t="s">
        <v>9</v>
      </c>
      <c r="B2385" t="s">
        <v>71</v>
      </c>
      <c r="C2385" s="8">
        <v>46244</v>
      </c>
      <c r="D2385" s="9">
        <v>46776</v>
      </c>
      <c r="E2385">
        <f>MONTH(C2385)</f>
        <v>8</v>
      </c>
    </row>
    <row r="2386" spans="1:5">
      <c r="A2386" t="s">
        <v>5</v>
      </c>
      <c r="B2386" t="s">
        <v>133</v>
      </c>
      <c r="C2386" s="8">
        <v>46244</v>
      </c>
      <c r="D2386" s="9">
        <v>41358</v>
      </c>
      <c r="E2386">
        <f>MONTH(C2386)</f>
        <v>8</v>
      </c>
    </row>
    <row r="2387" spans="1:5">
      <c r="A2387" t="s">
        <v>5</v>
      </c>
      <c r="B2387" t="s">
        <v>98</v>
      </c>
      <c r="C2387" s="8">
        <v>46244</v>
      </c>
      <c r="D2387" s="9">
        <v>38719</v>
      </c>
      <c r="E2387">
        <f>MONTH(C2387)</f>
        <v>8</v>
      </c>
    </row>
    <row r="2388" spans="1:5">
      <c r="A2388" t="s">
        <v>5</v>
      </c>
      <c r="B2388" t="s">
        <v>123</v>
      </c>
      <c r="C2388" s="8">
        <v>46244</v>
      </c>
      <c r="D2388" s="9">
        <v>34532</v>
      </c>
      <c r="E2388">
        <f>MONTH(C2388)</f>
        <v>8</v>
      </c>
    </row>
    <row r="2389" spans="1:5">
      <c r="A2389" t="s">
        <v>27</v>
      </c>
      <c r="B2389" t="s">
        <v>121</v>
      </c>
      <c r="C2389" s="8">
        <v>46245</v>
      </c>
      <c r="D2389" s="9">
        <v>10903</v>
      </c>
      <c r="E2389">
        <f>MONTH(C2389)</f>
        <v>8</v>
      </c>
    </row>
    <row r="2390" spans="1:5">
      <c r="A2390" t="s">
        <v>4</v>
      </c>
      <c r="B2390" t="s">
        <v>133</v>
      </c>
      <c r="C2390" s="8">
        <v>46245</v>
      </c>
      <c r="D2390" s="9">
        <v>45533</v>
      </c>
      <c r="E2390">
        <f>MONTH(C2390)</f>
        <v>8</v>
      </c>
    </row>
    <row r="2391" spans="1:5">
      <c r="A2391" t="s">
        <v>28</v>
      </c>
      <c r="B2391" t="s">
        <v>118</v>
      </c>
      <c r="C2391" s="8">
        <v>46245</v>
      </c>
      <c r="D2391" s="9">
        <v>11312</v>
      </c>
      <c r="E2391">
        <f>MONTH(C2391)</f>
        <v>8</v>
      </c>
    </row>
    <row r="2392" spans="1:5">
      <c r="A2392" t="s">
        <v>28</v>
      </c>
      <c r="B2392" t="s">
        <v>255</v>
      </c>
      <c r="C2392" s="8">
        <v>46245</v>
      </c>
      <c r="D2392" s="9">
        <v>9648</v>
      </c>
      <c r="E2392">
        <f>MONTH(C2392)</f>
        <v>8</v>
      </c>
    </row>
    <row r="2393" spans="1:5">
      <c r="A2393" t="s">
        <v>26</v>
      </c>
      <c r="B2393" t="s">
        <v>216</v>
      </c>
      <c r="C2393" s="8">
        <v>46245</v>
      </c>
      <c r="D2393" s="9">
        <v>12502</v>
      </c>
      <c r="E2393">
        <f>MONTH(C2393)</f>
        <v>8</v>
      </c>
    </row>
    <row r="2394" spans="1:5">
      <c r="A2394" t="s">
        <v>26</v>
      </c>
      <c r="B2394" t="s">
        <v>236</v>
      </c>
      <c r="C2394" s="8">
        <v>46245</v>
      </c>
      <c r="D2394" s="9">
        <v>12012</v>
      </c>
      <c r="E2394">
        <f>MONTH(C2394)</f>
        <v>8</v>
      </c>
    </row>
    <row r="2395" spans="1:5">
      <c r="A2395" t="s">
        <v>6</v>
      </c>
      <c r="B2395" t="s">
        <v>231</v>
      </c>
      <c r="C2395" s="8">
        <v>46245</v>
      </c>
      <c r="D2395" s="9">
        <v>13422</v>
      </c>
      <c r="E2395">
        <f>MONTH(C2395)</f>
        <v>8</v>
      </c>
    </row>
    <row r="2396" spans="1:5">
      <c r="A2396" t="s">
        <v>7</v>
      </c>
      <c r="B2396" t="s">
        <v>122</v>
      </c>
      <c r="C2396" s="8">
        <v>46245</v>
      </c>
      <c r="D2396" s="9">
        <v>5200</v>
      </c>
      <c r="E2396">
        <f>MONTH(C2396)</f>
        <v>8</v>
      </c>
    </row>
    <row r="2397" spans="1:5">
      <c r="A2397" t="s">
        <v>9</v>
      </c>
      <c r="B2397" t="s">
        <v>106</v>
      </c>
      <c r="C2397" s="8">
        <v>46245</v>
      </c>
      <c r="D2397" s="9">
        <v>43700</v>
      </c>
      <c r="E2397">
        <f>MONTH(C2397)</f>
        <v>8</v>
      </c>
    </row>
    <row r="2398" spans="1:5">
      <c r="A2398" t="s">
        <v>9</v>
      </c>
      <c r="B2398" t="s">
        <v>113</v>
      </c>
      <c r="C2398" s="8">
        <v>46245</v>
      </c>
      <c r="D2398" s="9">
        <v>36853</v>
      </c>
      <c r="E2398">
        <f>MONTH(C2398)</f>
        <v>8</v>
      </c>
    </row>
    <row r="2399" spans="1:5">
      <c r="A2399" t="s">
        <v>9</v>
      </c>
      <c r="B2399" t="s">
        <v>171</v>
      </c>
      <c r="C2399" s="8">
        <v>46245</v>
      </c>
      <c r="D2399" s="9">
        <v>40252</v>
      </c>
      <c r="E2399">
        <f>MONTH(C2399)</f>
        <v>8</v>
      </c>
    </row>
    <row r="2400" spans="1:5">
      <c r="A2400" t="s">
        <v>9</v>
      </c>
      <c r="B2400" t="s">
        <v>158</v>
      </c>
      <c r="C2400" s="8">
        <v>46245</v>
      </c>
      <c r="D2400" s="9">
        <v>45582</v>
      </c>
      <c r="E2400">
        <f>MONTH(C2400)</f>
        <v>8</v>
      </c>
    </row>
    <row r="2401" spans="1:5">
      <c r="A2401" t="s">
        <v>5</v>
      </c>
      <c r="B2401" t="s">
        <v>106</v>
      </c>
      <c r="C2401" s="8">
        <v>46245</v>
      </c>
      <c r="D2401" s="9">
        <v>29261</v>
      </c>
      <c r="E2401">
        <f>MONTH(C2401)</f>
        <v>8</v>
      </c>
    </row>
    <row r="2402" spans="1:5">
      <c r="A2402" t="s">
        <v>5</v>
      </c>
      <c r="B2402" t="s">
        <v>73</v>
      </c>
      <c r="C2402" s="8">
        <v>46245</v>
      </c>
      <c r="D2402" s="9">
        <v>37511</v>
      </c>
      <c r="E2402">
        <f>MONTH(C2402)</f>
        <v>8</v>
      </c>
    </row>
    <row r="2403" spans="1:5">
      <c r="A2403" t="s">
        <v>5</v>
      </c>
      <c r="B2403" t="s">
        <v>183</v>
      </c>
      <c r="C2403" s="8">
        <v>46245</v>
      </c>
      <c r="D2403" s="9">
        <v>54668</v>
      </c>
      <c r="E2403">
        <f>MONTH(C2403)</f>
        <v>8</v>
      </c>
    </row>
    <row r="2404" spans="1:5">
      <c r="A2404" t="s">
        <v>27</v>
      </c>
      <c r="B2404" t="s">
        <v>184</v>
      </c>
      <c r="C2404" s="8">
        <v>46246</v>
      </c>
      <c r="D2404" s="9">
        <v>5200</v>
      </c>
      <c r="E2404">
        <f>MONTH(C2404)</f>
        <v>8</v>
      </c>
    </row>
    <row r="2405" spans="1:5">
      <c r="A2405" t="s">
        <v>27</v>
      </c>
      <c r="B2405" t="s">
        <v>213</v>
      </c>
      <c r="C2405" s="8">
        <v>46246</v>
      </c>
      <c r="D2405" s="9">
        <v>12723</v>
      </c>
      <c r="E2405">
        <f>MONTH(C2405)</f>
        <v>8</v>
      </c>
    </row>
    <row r="2406" spans="1:5">
      <c r="A2406" t="s">
        <v>27</v>
      </c>
      <c r="B2406" t="s">
        <v>173</v>
      </c>
      <c r="C2406" s="8">
        <v>46246</v>
      </c>
      <c r="D2406" s="9">
        <v>5200</v>
      </c>
      <c r="E2406">
        <f>MONTH(C2406)</f>
        <v>8</v>
      </c>
    </row>
    <row r="2407" spans="1:5">
      <c r="A2407" t="s">
        <v>4</v>
      </c>
      <c r="B2407" t="s">
        <v>181</v>
      </c>
      <c r="C2407" s="8">
        <v>46246</v>
      </c>
      <c r="D2407" s="9">
        <v>29083</v>
      </c>
      <c r="E2407">
        <f>MONTH(C2407)</f>
        <v>8</v>
      </c>
    </row>
    <row r="2408" spans="1:5">
      <c r="A2408" t="s">
        <v>4</v>
      </c>
      <c r="B2408" t="s">
        <v>136</v>
      </c>
      <c r="C2408" s="8">
        <v>46246</v>
      </c>
      <c r="D2408" s="9">
        <v>10059</v>
      </c>
      <c r="E2408">
        <f>MONTH(C2408)</f>
        <v>8</v>
      </c>
    </row>
    <row r="2409" spans="1:5">
      <c r="A2409" t="s">
        <v>4</v>
      </c>
      <c r="B2409" t="s">
        <v>60</v>
      </c>
      <c r="C2409" s="8">
        <v>46246</v>
      </c>
      <c r="D2409" s="9">
        <v>26466</v>
      </c>
      <c r="E2409">
        <f>MONTH(C2409)</f>
        <v>8</v>
      </c>
    </row>
    <row r="2410" spans="1:5">
      <c r="A2410" t="s">
        <v>4</v>
      </c>
      <c r="B2410" t="s">
        <v>222</v>
      </c>
      <c r="C2410" s="8">
        <v>46246</v>
      </c>
      <c r="D2410" s="9">
        <v>35164</v>
      </c>
      <c r="E2410">
        <f>MONTH(C2410)</f>
        <v>8</v>
      </c>
    </row>
    <row r="2411" spans="1:5">
      <c r="A2411" t="s">
        <v>4</v>
      </c>
      <c r="B2411" t="s">
        <v>50</v>
      </c>
      <c r="C2411" s="8">
        <v>46246</v>
      </c>
      <c r="D2411" s="9">
        <v>24374</v>
      </c>
      <c r="E2411">
        <f>MONTH(C2411)</f>
        <v>8</v>
      </c>
    </row>
    <row r="2412" spans="1:5">
      <c r="A2412" t="s">
        <v>25</v>
      </c>
      <c r="B2412" t="s">
        <v>117</v>
      </c>
      <c r="C2412" s="8">
        <v>46246</v>
      </c>
      <c r="D2412" s="9">
        <v>14643</v>
      </c>
      <c r="E2412">
        <f>MONTH(C2412)</f>
        <v>8</v>
      </c>
    </row>
    <row r="2413" spans="1:5">
      <c r="A2413" t="s">
        <v>25</v>
      </c>
      <c r="B2413" t="s">
        <v>267</v>
      </c>
      <c r="C2413" s="8">
        <v>46246</v>
      </c>
      <c r="D2413" s="9">
        <v>15715</v>
      </c>
      <c r="E2413">
        <f>MONTH(C2413)</f>
        <v>8</v>
      </c>
    </row>
    <row r="2414" spans="1:5">
      <c r="A2414" t="s">
        <v>25</v>
      </c>
      <c r="B2414" t="s">
        <v>59</v>
      </c>
      <c r="C2414" s="8">
        <v>46246</v>
      </c>
      <c r="D2414" s="9">
        <v>12793</v>
      </c>
      <c r="E2414">
        <f>MONTH(C2414)</f>
        <v>8</v>
      </c>
    </row>
    <row r="2415" spans="1:5">
      <c r="A2415" t="s">
        <v>8</v>
      </c>
      <c r="B2415" t="s">
        <v>246</v>
      </c>
      <c r="C2415" s="8">
        <v>46246</v>
      </c>
      <c r="D2415" s="9">
        <v>15335</v>
      </c>
      <c r="E2415">
        <f>MONTH(C2415)</f>
        <v>8</v>
      </c>
    </row>
    <row r="2416" spans="1:5">
      <c r="A2416" t="s">
        <v>34</v>
      </c>
      <c r="B2416" t="s">
        <v>169</v>
      </c>
      <c r="C2416" s="8">
        <v>46246</v>
      </c>
      <c r="D2416" s="9">
        <v>11198</v>
      </c>
      <c r="E2416">
        <f>MONTH(C2416)</f>
        <v>8</v>
      </c>
    </row>
    <row r="2417" spans="1:5">
      <c r="A2417" t="s">
        <v>6</v>
      </c>
      <c r="B2417" t="s">
        <v>263</v>
      </c>
      <c r="C2417" s="8">
        <v>46246</v>
      </c>
      <c r="D2417" s="9">
        <v>14000</v>
      </c>
      <c r="E2417">
        <f>MONTH(C2417)</f>
        <v>8</v>
      </c>
    </row>
    <row r="2418" spans="1:5">
      <c r="A2418" t="s">
        <v>9</v>
      </c>
      <c r="B2418" t="s">
        <v>276</v>
      </c>
      <c r="C2418" s="8">
        <v>46246</v>
      </c>
      <c r="D2418" s="9">
        <v>28336</v>
      </c>
      <c r="E2418">
        <f>MONTH(C2418)</f>
        <v>8</v>
      </c>
    </row>
    <row r="2419" spans="1:5">
      <c r="A2419" t="s">
        <v>9</v>
      </c>
      <c r="B2419" t="s">
        <v>176</v>
      </c>
      <c r="C2419" s="8">
        <v>46246</v>
      </c>
      <c r="D2419" s="9">
        <v>35399</v>
      </c>
      <c r="E2419">
        <f>MONTH(C2419)</f>
        <v>8</v>
      </c>
    </row>
    <row r="2420" spans="1:5">
      <c r="A2420" t="s">
        <v>9</v>
      </c>
      <c r="B2420" t="s">
        <v>220</v>
      </c>
      <c r="C2420" s="8">
        <v>46246</v>
      </c>
      <c r="D2420" s="9">
        <v>48530</v>
      </c>
      <c r="E2420">
        <f>MONTH(C2420)</f>
        <v>8</v>
      </c>
    </row>
    <row r="2421" spans="1:5">
      <c r="A2421" t="s">
        <v>5</v>
      </c>
      <c r="B2421" t="s">
        <v>188</v>
      </c>
      <c r="C2421" s="8">
        <v>46246</v>
      </c>
      <c r="D2421" s="9">
        <v>24164</v>
      </c>
      <c r="E2421">
        <f>MONTH(C2421)</f>
        <v>8</v>
      </c>
    </row>
    <row r="2422" spans="1:5">
      <c r="A2422" t="s">
        <v>5</v>
      </c>
      <c r="B2422" t="s">
        <v>98</v>
      </c>
      <c r="C2422" s="8">
        <v>46246</v>
      </c>
      <c r="D2422" s="9">
        <v>39580</v>
      </c>
      <c r="E2422">
        <f>MONTH(C2422)</f>
        <v>8</v>
      </c>
    </row>
    <row r="2423" spans="1:5">
      <c r="A2423" t="s">
        <v>5</v>
      </c>
      <c r="B2423" t="s">
        <v>107</v>
      </c>
      <c r="C2423" s="8">
        <v>46246</v>
      </c>
      <c r="D2423" s="9">
        <v>55753</v>
      </c>
      <c r="E2423">
        <f>MONTH(C2423)</f>
        <v>8</v>
      </c>
    </row>
    <row r="2424" spans="1:5">
      <c r="A2424" t="s">
        <v>5</v>
      </c>
      <c r="B2424" t="s">
        <v>107</v>
      </c>
      <c r="C2424" s="8">
        <v>46246</v>
      </c>
      <c r="D2424" s="9">
        <v>38845</v>
      </c>
      <c r="E2424">
        <f>MONTH(C2424)</f>
        <v>8</v>
      </c>
    </row>
    <row r="2425" spans="1:5">
      <c r="A2425" t="s">
        <v>5</v>
      </c>
      <c r="B2425" t="s">
        <v>134</v>
      </c>
      <c r="C2425" s="8">
        <v>46246</v>
      </c>
      <c r="D2425" s="9">
        <v>29578</v>
      </c>
      <c r="E2425">
        <f>MONTH(C2425)</f>
        <v>8</v>
      </c>
    </row>
    <row r="2426" spans="1:5">
      <c r="A2426" t="s">
        <v>5</v>
      </c>
      <c r="B2426" t="s">
        <v>189</v>
      </c>
      <c r="C2426" s="8">
        <v>46246</v>
      </c>
      <c r="D2426" s="9">
        <v>40230</v>
      </c>
      <c r="E2426">
        <f>MONTH(C2426)</f>
        <v>8</v>
      </c>
    </row>
    <row r="2427" spans="1:5">
      <c r="A2427" t="s">
        <v>4</v>
      </c>
      <c r="B2427" t="s">
        <v>180</v>
      </c>
      <c r="C2427" s="8">
        <v>46247</v>
      </c>
      <c r="D2427" s="9">
        <v>30862</v>
      </c>
      <c r="E2427">
        <f>MONTH(C2427)</f>
        <v>8</v>
      </c>
    </row>
    <row r="2428" spans="1:5">
      <c r="A2428" t="s">
        <v>31</v>
      </c>
      <c r="B2428" t="s">
        <v>68</v>
      </c>
      <c r="C2428" s="8">
        <v>46247</v>
      </c>
      <c r="D2428" s="9">
        <v>23365</v>
      </c>
      <c r="E2428">
        <f>MONTH(C2428)</f>
        <v>8</v>
      </c>
    </row>
    <row r="2429" spans="1:5">
      <c r="A2429" t="s">
        <v>8</v>
      </c>
      <c r="B2429" t="s">
        <v>140</v>
      </c>
      <c r="C2429" s="8">
        <v>46247</v>
      </c>
      <c r="D2429" s="9">
        <v>15196</v>
      </c>
      <c r="E2429">
        <f>MONTH(C2429)</f>
        <v>8</v>
      </c>
    </row>
    <row r="2430" spans="1:5">
      <c r="A2430" t="s">
        <v>32</v>
      </c>
      <c r="B2430" t="s">
        <v>87</v>
      </c>
      <c r="C2430" s="8">
        <v>46247</v>
      </c>
      <c r="D2430" s="9">
        <v>10226</v>
      </c>
      <c r="E2430">
        <f>MONTH(C2430)</f>
        <v>8</v>
      </c>
    </row>
    <row r="2431" spans="1:5">
      <c r="A2431" t="s">
        <v>7</v>
      </c>
      <c r="B2431" t="s">
        <v>266</v>
      </c>
      <c r="C2431" s="8">
        <v>46247</v>
      </c>
      <c r="D2431" s="9">
        <v>21050</v>
      </c>
      <c r="E2431">
        <f>MONTH(C2431)</f>
        <v>8</v>
      </c>
    </row>
    <row r="2432" spans="1:5">
      <c r="A2432" t="s">
        <v>9</v>
      </c>
      <c r="B2432" t="s">
        <v>203</v>
      </c>
      <c r="C2432" s="8">
        <v>46247</v>
      </c>
      <c r="D2432" s="9">
        <v>30638</v>
      </c>
      <c r="E2432">
        <f>MONTH(C2432)</f>
        <v>8</v>
      </c>
    </row>
    <row r="2433" spans="1:5">
      <c r="A2433" t="s">
        <v>5</v>
      </c>
      <c r="B2433" t="s">
        <v>114</v>
      </c>
      <c r="C2433" s="8">
        <v>46247</v>
      </c>
      <c r="D2433" s="9">
        <v>32709</v>
      </c>
      <c r="E2433">
        <f>MONTH(C2433)</f>
        <v>8</v>
      </c>
    </row>
    <row r="2434" spans="1:5">
      <c r="A2434" t="s">
        <v>5</v>
      </c>
      <c r="B2434" t="s">
        <v>107</v>
      </c>
      <c r="C2434" s="8">
        <v>46247</v>
      </c>
      <c r="D2434" s="9">
        <v>41251</v>
      </c>
      <c r="E2434">
        <f>MONTH(C2434)</f>
        <v>8</v>
      </c>
    </row>
    <row r="2435" spans="1:5">
      <c r="A2435" t="s">
        <v>5</v>
      </c>
      <c r="B2435" t="s">
        <v>58</v>
      </c>
      <c r="C2435" s="8">
        <v>46247</v>
      </c>
      <c r="D2435" s="9">
        <v>45034</v>
      </c>
      <c r="E2435">
        <f>MONTH(C2435)</f>
        <v>8</v>
      </c>
    </row>
    <row r="2436" spans="1:5">
      <c r="A2436" t="s">
        <v>5</v>
      </c>
      <c r="B2436" t="s">
        <v>100</v>
      </c>
      <c r="C2436" s="8">
        <v>46247</v>
      </c>
      <c r="D2436" s="9">
        <v>49846</v>
      </c>
      <c r="E2436">
        <f>MONTH(C2436)</f>
        <v>8</v>
      </c>
    </row>
    <row r="2437" spans="1:5">
      <c r="A2437" t="s">
        <v>27</v>
      </c>
      <c r="B2437" t="s">
        <v>125</v>
      </c>
      <c r="C2437" s="8">
        <v>46248</v>
      </c>
      <c r="D2437" s="9">
        <v>10986</v>
      </c>
      <c r="E2437">
        <f>MONTH(C2437)</f>
        <v>8</v>
      </c>
    </row>
    <row r="2438" spans="1:5">
      <c r="A2438" t="s">
        <v>30</v>
      </c>
      <c r="B2438" t="s">
        <v>206</v>
      </c>
      <c r="C2438" s="8">
        <v>46248</v>
      </c>
      <c r="D2438" s="9">
        <v>9953</v>
      </c>
      <c r="E2438">
        <f>MONTH(C2438)</f>
        <v>8</v>
      </c>
    </row>
    <row r="2439" spans="1:5">
      <c r="A2439" t="s">
        <v>33</v>
      </c>
      <c r="B2439" t="s">
        <v>248</v>
      </c>
      <c r="C2439" s="8">
        <v>46248</v>
      </c>
      <c r="D2439" s="9">
        <v>15487</v>
      </c>
      <c r="E2439">
        <f>MONTH(C2439)</f>
        <v>8</v>
      </c>
    </row>
    <row r="2440" spans="1:5">
      <c r="A2440" t="s">
        <v>9</v>
      </c>
      <c r="B2440" t="s">
        <v>179</v>
      </c>
      <c r="C2440" s="8">
        <v>46248</v>
      </c>
      <c r="D2440" s="9">
        <v>40895</v>
      </c>
      <c r="E2440">
        <f>MONTH(C2440)</f>
        <v>8</v>
      </c>
    </row>
    <row r="2441" spans="1:5">
      <c r="A2441" t="s">
        <v>5</v>
      </c>
      <c r="B2441" t="s">
        <v>182</v>
      </c>
      <c r="C2441" s="8">
        <v>46248</v>
      </c>
      <c r="D2441" s="9">
        <v>40911</v>
      </c>
      <c r="E2441">
        <f>MONTH(C2441)</f>
        <v>8</v>
      </c>
    </row>
    <row r="2442" spans="1:5">
      <c r="A2442" t="s">
        <v>5</v>
      </c>
      <c r="B2442" t="s">
        <v>53</v>
      </c>
      <c r="C2442" s="8">
        <v>46248</v>
      </c>
      <c r="D2442" s="9">
        <v>29330</v>
      </c>
      <c r="E2442">
        <f>MONTH(C2442)</f>
        <v>8</v>
      </c>
    </row>
    <row r="2443" spans="1:5">
      <c r="A2443" t="s">
        <v>5</v>
      </c>
      <c r="B2443" t="s">
        <v>84</v>
      </c>
      <c r="C2443" s="8">
        <v>46248</v>
      </c>
      <c r="D2443" s="9">
        <v>42912</v>
      </c>
      <c r="E2443">
        <f>MONTH(C2443)</f>
        <v>8</v>
      </c>
    </row>
    <row r="2444" spans="1:5">
      <c r="A2444" t="s">
        <v>5</v>
      </c>
      <c r="B2444" t="s">
        <v>210</v>
      </c>
      <c r="C2444" s="8">
        <v>46248</v>
      </c>
      <c r="D2444" s="9">
        <v>38808</v>
      </c>
      <c r="E2444">
        <f>MONTH(C2444)</f>
        <v>8</v>
      </c>
    </row>
    <row r="2445" spans="1:5">
      <c r="A2445" t="s">
        <v>5</v>
      </c>
      <c r="B2445" t="s">
        <v>101</v>
      </c>
      <c r="C2445" s="8">
        <v>46248</v>
      </c>
      <c r="D2445" s="9">
        <v>34652</v>
      </c>
      <c r="E2445">
        <f>MONTH(C2445)</f>
        <v>8</v>
      </c>
    </row>
    <row r="2446" spans="1:5">
      <c r="A2446" t="s">
        <v>5</v>
      </c>
      <c r="B2446" t="s">
        <v>212</v>
      </c>
      <c r="C2446" s="8">
        <v>46248</v>
      </c>
      <c r="D2446" s="9">
        <v>25065</v>
      </c>
      <c r="E2446">
        <f>MONTH(C2446)</f>
        <v>8</v>
      </c>
    </row>
    <row r="2447" spans="1:5">
      <c r="A2447" t="s">
        <v>27</v>
      </c>
      <c r="B2447" t="s">
        <v>135</v>
      </c>
      <c r="C2447" s="8">
        <v>46249</v>
      </c>
      <c r="D2447" s="9">
        <v>13276</v>
      </c>
      <c r="E2447">
        <f>MONTH(C2447)</f>
        <v>8</v>
      </c>
    </row>
    <row r="2448" spans="1:5">
      <c r="A2448" t="s">
        <v>4</v>
      </c>
      <c r="B2448" t="s">
        <v>150</v>
      </c>
      <c r="C2448" s="8">
        <v>46249</v>
      </c>
      <c r="D2448" s="9">
        <v>37546</v>
      </c>
      <c r="E2448">
        <f>MONTH(C2448)</f>
        <v>8</v>
      </c>
    </row>
    <row r="2449" spans="1:5">
      <c r="A2449" t="s">
        <v>4</v>
      </c>
      <c r="B2449" t="s">
        <v>92</v>
      </c>
      <c r="C2449" s="8">
        <v>46249</v>
      </c>
      <c r="D2449" s="9">
        <v>50142</v>
      </c>
      <c r="E2449">
        <f>MONTH(C2449)</f>
        <v>8</v>
      </c>
    </row>
    <row r="2450" spans="1:5">
      <c r="A2450" t="s">
        <v>26</v>
      </c>
      <c r="B2450" t="s">
        <v>205</v>
      </c>
      <c r="C2450" s="8">
        <v>46249</v>
      </c>
      <c r="D2450" s="9">
        <v>11562</v>
      </c>
      <c r="E2450">
        <f>MONTH(C2450)</f>
        <v>8</v>
      </c>
    </row>
    <row r="2451" spans="1:5">
      <c r="A2451" t="s">
        <v>6</v>
      </c>
      <c r="B2451" t="s">
        <v>197</v>
      </c>
      <c r="C2451" s="8">
        <v>46249</v>
      </c>
      <c r="D2451" s="9">
        <v>26045</v>
      </c>
      <c r="E2451">
        <f>MONTH(C2451)</f>
        <v>8</v>
      </c>
    </row>
    <row r="2452" spans="1:5">
      <c r="A2452" t="s">
        <v>7</v>
      </c>
      <c r="B2452" t="s">
        <v>156</v>
      </c>
      <c r="C2452" s="8">
        <v>46249</v>
      </c>
      <c r="D2452" s="9">
        <v>28266</v>
      </c>
      <c r="E2452">
        <f>MONTH(C2452)</f>
        <v>8</v>
      </c>
    </row>
    <row r="2453" spans="1:5">
      <c r="A2453" t="s">
        <v>7</v>
      </c>
      <c r="B2453" t="s">
        <v>194</v>
      </c>
      <c r="C2453" s="8">
        <v>46249</v>
      </c>
      <c r="D2453" s="9">
        <v>22622</v>
      </c>
      <c r="E2453">
        <f>MONTH(C2453)</f>
        <v>8</v>
      </c>
    </row>
    <row r="2454" spans="1:5">
      <c r="A2454" t="s">
        <v>7</v>
      </c>
      <c r="B2454" t="s">
        <v>238</v>
      </c>
      <c r="C2454" s="8">
        <v>46249</v>
      </c>
      <c r="D2454" s="9">
        <v>20337</v>
      </c>
      <c r="E2454">
        <f>MONTH(C2454)</f>
        <v>8</v>
      </c>
    </row>
    <row r="2455" spans="1:5">
      <c r="A2455" t="s">
        <v>9</v>
      </c>
      <c r="B2455" t="s">
        <v>178</v>
      </c>
      <c r="C2455" s="8">
        <v>46249</v>
      </c>
      <c r="D2455" s="9">
        <v>48874</v>
      </c>
      <c r="E2455">
        <f>MONTH(C2455)</f>
        <v>8</v>
      </c>
    </row>
    <row r="2456" spans="1:5">
      <c r="A2456" t="s">
        <v>9</v>
      </c>
      <c r="B2456" t="s">
        <v>70</v>
      </c>
      <c r="C2456" s="8">
        <v>46249</v>
      </c>
      <c r="D2456" s="9">
        <v>32408</v>
      </c>
      <c r="E2456">
        <f>MONTH(C2456)</f>
        <v>8</v>
      </c>
    </row>
    <row r="2457" spans="1:5">
      <c r="A2457" t="s">
        <v>5</v>
      </c>
      <c r="B2457" t="s">
        <v>115</v>
      </c>
      <c r="C2457" s="8">
        <v>46249</v>
      </c>
      <c r="D2457" s="9">
        <v>35922</v>
      </c>
      <c r="E2457">
        <f>MONTH(C2457)</f>
        <v>8</v>
      </c>
    </row>
    <row r="2458" spans="1:5">
      <c r="A2458" t="s">
        <v>27</v>
      </c>
      <c r="B2458" t="s">
        <v>196</v>
      </c>
      <c r="C2458" s="8">
        <v>46250</v>
      </c>
      <c r="D2458" s="9">
        <v>15137</v>
      </c>
      <c r="E2458">
        <f>MONTH(C2458)</f>
        <v>8</v>
      </c>
    </row>
    <row r="2459" spans="1:5">
      <c r="A2459" t="s">
        <v>25</v>
      </c>
      <c r="B2459" t="s">
        <v>272</v>
      </c>
      <c r="C2459" s="8">
        <v>46250</v>
      </c>
      <c r="D2459" s="9">
        <v>12843</v>
      </c>
      <c r="E2459">
        <f>MONTH(C2459)</f>
        <v>8</v>
      </c>
    </row>
    <row r="2460" spans="1:5">
      <c r="A2460" t="s">
        <v>26</v>
      </c>
      <c r="B2460" t="s">
        <v>95</v>
      </c>
      <c r="C2460" s="8">
        <v>46250</v>
      </c>
      <c r="D2460" s="9">
        <v>10815</v>
      </c>
      <c r="E2460">
        <f>MONTH(C2460)</f>
        <v>8</v>
      </c>
    </row>
    <row r="2461" spans="1:5">
      <c r="A2461" t="s">
        <v>30</v>
      </c>
      <c r="B2461" t="s">
        <v>63</v>
      </c>
      <c r="C2461" s="8">
        <v>46250</v>
      </c>
      <c r="D2461" s="9">
        <v>11936</v>
      </c>
      <c r="E2461">
        <f>MONTH(C2461)</f>
        <v>8</v>
      </c>
    </row>
    <row r="2462" spans="1:5">
      <c r="A2462" t="s">
        <v>6</v>
      </c>
      <c r="B2462" t="s">
        <v>262</v>
      </c>
      <c r="C2462" s="8">
        <v>46250</v>
      </c>
      <c r="D2462" s="9">
        <v>16715</v>
      </c>
      <c r="E2462">
        <f>MONTH(C2462)</f>
        <v>8</v>
      </c>
    </row>
    <row r="2463" spans="1:5">
      <c r="A2463" t="s">
        <v>7</v>
      </c>
      <c r="B2463" t="s">
        <v>233</v>
      </c>
      <c r="C2463" s="8">
        <v>46250</v>
      </c>
      <c r="D2463" s="9">
        <v>20425</v>
      </c>
      <c r="E2463">
        <f>MONTH(C2463)</f>
        <v>8</v>
      </c>
    </row>
    <row r="2464" spans="1:5">
      <c r="A2464" t="s">
        <v>5</v>
      </c>
      <c r="B2464" t="s">
        <v>54</v>
      </c>
      <c r="C2464" s="8">
        <v>46250</v>
      </c>
      <c r="D2464" s="9">
        <v>43760</v>
      </c>
      <c r="E2464">
        <f>MONTH(C2464)</f>
        <v>8</v>
      </c>
    </row>
    <row r="2465" spans="1:5">
      <c r="A2465" t="s">
        <v>4</v>
      </c>
      <c r="B2465" t="s">
        <v>227</v>
      </c>
      <c r="C2465" s="8">
        <v>46251</v>
      </c>
      <c r="D2465" s="9">
        <v>5200</v>
      </c>
      <c r="E2465">
        <f>MONTH(C2465)</f>
        <v>8</v>
      </c>
    </row>
    <row r="2466" spans="1:5">
      <c r="A2466" t="s">
        <v>28</v>
      </c>
      <c r="B2466" t="s">
        <v>279</v>
      </c>
      <c r="C2466" s="8">
        <v>46251</v>
      </c>
      <c r="D2466" s="9">
        <v>9411</v>
      </c>
      <c r="E2466">
        <f>MONTH(C2466)</f>
        <v>8</v>
      </c>
    </row>
    <row r="2467" spans="1:5">
      <c r="A2467" t="s">
        <v>26</v>
      </c>
      <c r="B2467" t="s">
        <v>280</v>
      </c>
      <c r="C2467" s="8">
        <v>46251</v>
      </c>
      <c r="D2467" s="9">
        <v>14206</v>
      </c>
      <c r="E2467">
        <f>MONTH(C2467)</f>
        <v>8</v>
      </c>
    </row>
    <row r="2468" spans="1:5">
      <c r="A2468" t="s">
        <v>30</v>
      </c>
      <c r="B2468" t="s">
        <v>162</v>
      </c>
      <c r="C2468" s="8">
        <v>46251</v>
      </c>
      <c r="D2468" s="9">
        <v>11545</v>
      </c>
      <c r="E2468">
        <f>MONTH(C2468)</f>
        <v>8</v>
      </c>
    </row>
    <row r="2469" spans="1:5">
      <c r="A2469" t="s">
        <v>32</v>
      </c>
      <c r="B2469" t="s">
        <v>230</v>
      </c>
      <c r="C2469" s="8">
        <v>46251</v>
      </c>
      <c r="D2469" s="9">
        <v>11654</v>
      </c>
      <c r="E2469">
        <f>MONTH(C2469)</f>
        <v>8</v>
      </c>
    </row>
    <row r="2470" spans="1:5">
      <c r="A2470" t="s">
        <v>33</v>
      </c>
      <c r="B2470" t="s">
        <v>268</v>
      </c>
      <c r="C2470" s="8">
        <v>46251</v>
      </c>
      <c r="D2470" s="9">
        <v>6181</v>
      </c>
      <c r="E2470">
        <f>MONTH(C2470)</f>
        <v>8</v>
      </c>
    </row>
    <row r="2471" spans="1:5">
      <c r="A2471" t="s">
        <v>9</v>
      </c>
      <c r="B2471" t="s">
        <v>96</v>
      </c>
      <c r="C2471" s="8">
        <v>46251</v>
      </c>
      <c r="D2471" s="9">
        <v>35379</v>
      </c>
      <c r="E2471">
        <f>MONTH(C2471)</f>
        <v>8</v>
      </c>
    </row>
    <row r="2472" spans="1:5">
      <c r="A2472" t="s">
        <v>5</v>
      </c>
      <c r="B2472" t="s">
        <v>239</v>
      </c>
      <c r="C2472" s="8">
        <v>46251</v>
      </c>
      <c r="D2472" s="9">
        <v>36176</v>
      </c>
      <c r="E2472">
        <f>MONTH(C2472)</f>
        <v>8</v>
      </c>
    </row>
    <row r="2473" spans="1:5">
      <c r="A2473" t="s">
        <v>5</v>
      </c>
      <c r="B2473" t="s">
        <v>99</v>
      </c>
      <c r="C2473" s="8">
        <v>46251</v>
      </c>
      <c r="D2473" s="9">
        <v>29667</v>
      </c>
      <c r="E2473">
        <f>MONTH(C2473)</f>
        <v>8</v>
      </c>
    </row>
    <row r="2474" spans="1:5">
      <c r="A2474" t="s">
        <v>25</v>
      </c>
      <c r="B2474" t="s">
        <v>228</v>
      </c>
      <c r="C2474" s="8">
        <v>46252</v>
      </c>
      <c r="D2474" s="9">
        <v>12816</v>
      </c>
      <c r="E2474">
        <f>MONTH(C2474)</f>
        <v>8</v>
      </c>
    </row>
    <row r="2475" spans="1:5">
      <c r="A2475" t="s">
        <v>36</v>
      </c>
      <c r="B2475" t="s">
        <v>229</v>
      </c>
      <c r="C2475" s="8">
        <v>46252</v>
      </c>
      <c r="D2475" s="9">
        <v>11291</v>
      </c>
      <c r="E2475">
        <f>MONTH(C2475)</f>
        <v>8</v>
      </c>
    </row>
    <row r="2476" spans="1:5">
      <c r="A2476" t="s">
        <v>26</v>
      </c>
      <c r="B2476" t="s">
        <v>138</v>
      </c>
      <c r="C2476" s="8">
        <v>46252</v>
      </c>
      <c r="D2476" s="9">
        <v>12728</v>
      </c>
      <c r="E2476">
        <f>MONTH(C2476)</f>
        <v>8</v>
      </c>
    </row>
    <row r="2477" spans="1:5">
      <c r="A2477" t="s">
        <v>7</v>
      </c>
      <c r="B2477" t="s">
        <v>249</v>
      </c>
      <c r="C2477" s="8">
        <v>46252</v>
      </c>
      <c r="D2477" s="9">
        <v>21762</v>
      </c>
      <c r="E2477">
        <f>MONTH(C2477)</f>
        <v>8</v>
      </c>
    </row>
    <row r="2478" spans="1:5">
      <c r="A2478" t="s">
        <v>9</v>
      </c>
      <c r="B2478" t="s">
        <v>203</v>
      </c>
      <c r="C2478" s="8">
        <v>46252</v>
      </c>
      <c r="D2478" s="9">
        <v>29192</v>
      </c>
      <c r="E2478">
        <f>MONTH(C2478)</f>
        <v>8</v>
      </c>
    </row>
    <row r="2479" spans="1:5">
      <c r="A2479" t="s">
        <v>9</v>
      </c>
      <c r="B2479" t="s">
        <v>91</v>
      </c>
      <c r="C2479" s="8">
        <v>46252</v>
      </c>
      <c r="D2479" s="9">
        <v>32700</v>
      </c>
      <c r="E2479">
        <f>MONTH(C2479)</f>
        <v>8</v>
      </c>
    </row>
    <row r="2480" spans="1:5">
      <c r="A2480" t="s">
        <v>9</v>
      </c>
      <c r="B2480" t="s">
        <v>264</v>
      </c>
      <c r="C2480" s="8">
        <v>46252</v>
      </c>
      <c r="D2480" s="9">
        <v>33547</v>
      </c>
      <c r="E2480">
        <f>MONTH(C2480)</f>
        <v>8</v>
      </c>
    </row>
    <row r="2481" spans="1:5">
      <c r="A2481" t="s">
        <v>5</v>
      </c>
      <c r="B2481" t="s">
        <v>133</v>
      </c>
      <c r="C2481" s="8">
        <v>46252</v>
      </c>
      <c r="D2481" s="9">
        <v>42612</v>
      </c>
      <c r="E2481">
        <f>MONTH(C2481)</f>
        <v>8</v>
      </c>
    </row>
    <row r="2482" spans="1:5">
      <c r="A2482" t="s">
        <v>5</v>
      </c>
      <c r="B2482" t="s">
        <v>97</v>
      </c>
      <c r="C2482" s="8">
        <v>46252</v>
      </c>
      <c r="D2482" s="9">
        <v>49969</v>
      </c>
      <c r="E2482">
        <f>MONTH(C2482)</f>
        <v>8</v>
      </c>
    </row>
    <row r="2483" spans="1:5">
      <c r="A2483" t="s">
        <v>5</v>
      </c>
      <c r="B2483" t="s">
        <v>270</v>
      </c>
      <c r="C2483" s="8">
        <v>46252</v>
      </c>
      <c r="D2483" s="9">
        <v>32375</v>
      </c>
      <c r="E2483">
        <f>MONTH(C2483)</f>
        <v>8</v>
      </c>
    </row>
    <row r="2484" spans="1:5">
      <c r="A2484" t="s">
        <v>5</v>
      </c>
      <c r="B2484" t="s">
        <v>204</v>
      </c>
      <c r="C2484" s="8">
        <v>46252</v>
      </c>
      <c r="D2484" s="9">
        <v>42680</v>
      </c>
      <c r="E2484">
        <f>MONTH(C2484)</f>
        <v>8</v>
      </c>
    </row>
    <row r="2485" spans="1:5">
      <c r="A2485" t="s">
        <v>5</v>
      </c>
      <c r="B2485" t="s">
        <v>204</v>
      </c>
      <c r="C2485" s="8">
        <v>46252</v>
      </c>
      <c r="D2485" s="9">
        <v>35752</v>
      </c>
      <c r="E2485">
        <f>MONTH(C2485)</f>
        <v>8</v>
      </c>
    </row>
    <row r="2486" spans="1:5">
      <c r="A2486" t="s">
        <v>31</v>
      </c>
      <c r="B2486" t="s">
        <v>152</v>
      </c>
      <c r="C2486" s="8">
        <v>46253</v>
      </c>
      <c r="D2486" s="9">
        <v>11510</v>
      </c>
      <c r="E2486">
        <f>MONTH(C2486)</f>
        <v>8</v>
      </c>
    </row>
    <row r="2487" spans="1:5">
      <c r="A2487" t="s">
        <v>30</v>
      </c>
      <c r="B2487" t="s">
        <v>139</v>
      </c>
      <c r="C2487" s="8">
        <v>46253</v>
      </c>
      <c r="D2487" s="9">
        <v>13919</v>
      </c>
      <c r="E2487">
        <f>MONTH(C2487)</f>
        <v>8</v>
      </c>
    </row>
    <row r="2488" spans="1:5">
      <c r="A2488" t="s">
        <v>8</v>
      </c>
      <c r="B2488" t="s">
        <v>273</v>
      </c>
      <c r="C2488" s="8">
        <v>46253</v>
      </c>
      <c r="D2488" s="9">
        <v>16135</v>
      </c>
      <c r="E2488">
        <f>MONTH(C2488)</f>
        <v>8</v>
      </c>
    </row>
    <row r="2489" spans="1:5">
      <c r="A2489" t="s">
        <v>8</v>
      </c>
      <c r="B2489" t="s">
        <v>281</v>
      </c>
      <c r="C2489" s="8">
        <v>46253</v>
      </c>
      <c r="D2489" s="9">
        <v>12460</v>
      </c>
      <c r="E2489">
        <f>MONTH(C2489)</f>
        <v>8</v>
      </c>
    </row>
    <row r="2490" spans="1:5">
      <c r="A2490" t="s">
        <v>6</v>
      </c>
      <c r="B2490" t="s">
        <v>88</v>
      </c>
      <c r="C2490" s="8">
        <v>46253</v>
      </c>
      <c r="D2490" s="9">
        <v>17820</v>
      </c>
      <c r="E2490">
        <f>MONTH(C2490)</f>
        <v>8</v>
      </c>
    </row>
    <row r="2491" spans="1:5">
      <c r="A2491" t="s">
        <v>5</v>
      </c>
      <c r="B2491" t="s">
        <v>167</v>
      </c>
      <c r="C2491" s="8">
        <v>46253</v>
      </c>
      <c r="D2491" s="9">
        <v>38521</v>
      </c>
      <c r="E2491">
        <f>MONTH(C2491)</f>
        <v>8</v>
      </c>
    </row>
    <row r="2492" spans="1:5">
      <c r="A2492" t="s">
        <v>5</v>
      </c>
      <c r="B2492" t="s">
        <v>97</v>
      </c>
      <c r="C2492" s="8">
        <v>46253</v>
      </c>
      <c r="D2492" s="9">
        <v>46321</v>
      </c>
      <c r="E2492">
        <f>MONTH(C2492)</f>
        <v>8</v>
      </c>
    </row>
    <row r="2493" spans="1:5">
      <c r="A2493" t="s">
        <v>5</v>
      </c>
      <c r="B2493" t="s">
        <v>124</v>
      </c>
      <c r="C2493" s="8">
        <v>46253</v>
      </c>
      <c r="D2493" s="9">
        <v>29663</v>
      </c>
      <c r="E2493">
        <f>MONTH(C2493)</f>
        <v>8</v>
      </c>
    </row>
    <row r="2494" spans="1:5">
      <c r="A2494" t="s">
        <v>8</v>
      </c>
      <c r="B2494" t="s">
        <v>129</v>
      </c>
      <c r="C2494" s="8">
        <v>46254</v>
      </c>
      <c r="D2494" s="9">
        <v>18761</v>
      </c>
      <c r="E2494">
        <f>MONTH(C2494)</f>
        <v>8</v>
      </c>
    </row>
    <row r="2495" spans="1:5">
      <c r="A2495" t="s">
        <v>8</v>
      </c>
      <c r="B2495" t="s">
        <v>52</v>
      </c>
      <c r="C2495" s="8">
        <v>46254</v>
      </c>
      <c r="D2495" s="9">
        <v>15096</v>
      </c>
      <c r="E2495">
        <f>MONTH(C2495)</f>
        <v>8</v>
      </c>
    </row>
    <row r="2496" spans="1:5">
      <c r="A2496" t="s">
        <v>32</v>
      </c>
      <c r="B2496" t="s">
        <v>282</v>
      </c>
      <c r="C2496" s="8">
        <v>46254</v>
      </c>
      <c r="D2496" s="9">
        <v>13142</v>
      </c>
      <c r="E2496">
        <f>MONTH(C2496)</f>
        <v>8</v>
      </c>
    </row>
    <row r="2497" spans="1:5">
      <c r="A2497" t="s">
        <v>6</v>
      </c>
      <c r="B2497" t="s">
        <v>103</v>
      </c>
      <c r="C2497" s="8">
        <v>46254</v>
      </c>
      <c r="D2497" s="9">
        <v>14245</v>
      </c>
      <c r="E2497">
        <f>MONTH(C2497)</f>
        <v>8</v>
      </c>
    </row>
    <row r="2498" spans="1:5">
      <c r="A2498" t="s">
        <v>7</v>
      </c>
      <c r="B2498" t="s">
        <v>142</v>
      </c>
      <c r="C2498" s="8">
        <v>46254</v>
      </c>
      <c r="D2498" s="9">
        <v>8990</v>
      </c>
      <c r="E2498">
        <f>MONTH(C2498)</f>
        <v>8</v>
      </c>
    </row>
    <row r="2499" spans="1:5">
      <c r="A2499" t="s">
        <v>7</v>
      </c>
      <c r="B2499" t="s">
        <v>65</v>
      </c>
      <c r="C2499" s="8">
        <v>46254</v>
      </c>
      <c r="D2499" s="9">
        <v>45130</v>
      </c>
      <c r="E2499">
        <f>MONTH(C2499)</f>
        <v>8</v>
      </c>
    </row>
    <row r="2500" spans="1:5">
      <c r="A2500" t="s">
        <v>9</v>
      </c>
      <c r="B2500" t="s">
        <v>269</v>
      </c>
      <c r="C2500" s="8">
        <v>46254</v>
      </c>
      <c r="D2500" s="9">
        <v>39941</v>
      </c>
      <c r="E2500">
        <f>MONTH(C2500)</f>
        <v>8</v>
      </c>
    </row>
    <row r="2501" spans="1:5">
      <c r="A2501" t="s">
        <v>5</v>
      </c>
      <c r="B2501" t="s">
        <v>251</v>
      </c>
      <c r="C2501" s="8">
        <v>46254</v>
      </c>
      <c r="D2501" s="9">
        <v>50495</v>
      </c>
      <c r="E2501">
        <f>MONTH(C2501)</f>
        <v>8</v>
      </c>
    </row>
    <row r="2502" spans="1:5">
      <c r="A2502" t="s">
        <v>5</v>
      </c>
      <c r="B2502" t="s">
        <v>84</v>
      </c>
      <c r="C2502" s="8">
        <v>46254</v>
      </c>
      <c r="D2502" s="9">
        <v>39293</v>
      </c>
      <c r="E2502">
        <f>MONTH(C2502)</f>
        <v>8</v>
      </c>
    </row>
    <row r="2503" spans="1:5">
      <c r="A2503" t="s">
        <v>5</v>
      </c>
      <c r="B2503" t="s">
        <v>73</v>
      </c>
      <c r="C2503" s="8">
        <v>46254</v>
      </c>
      <c r="D2503" s="9">
        <v>34978</v>
      </c>
      <c r="E2503">
        <f>MONTH(C2503)</f>
        <v>8</v>
      </c>
    </row>
    <row r="2504" spans="1:5">
      <c r="A2504" t="s">
        <v>5</v>
      </c>
      <c r="B2504" t="s">
        <v>159</v>
      </c>
      <c r="C2504" s="8">
        <v>46254</v>
      </c>
      <c r="D2504" s="9">
        <v>45493</v>
      </c>
      <c r="E2504">
        <f>MONTH(C2504)</f>
        <v>8</v>
      </c>
    </row>
    <row r="2505" spans="1:5">
      <c r="A2505" t="s">
        <v>5</v>
      </c>
      <c r="B2505" t="s">
        <v>172</v>
      </c>
      <c r="C2505" s="8">
        <v>46254</v>
      </c>
      <c r="D2505" s="9">
        <v>30749</v>
      </c>
      <c r="E2505">
        <f>MONTH(C2505)</f>
        <v>8</v>
      </c>
    </row>
    <row r="2506" spans="1:5">
      <c r="A2506" t="s">
        <v>5</v>
      </c>
      <c r="B2506" t="s">
        <v>108</v>
      </c>
      <c r="C2506" s="8">
        <v>46254</v>
      </c>
      <c r="D2506" s="9">
        <v>40315</v>
      </c>
      <c r="E2506">
        <f>MONTH(C2506)</f>
        <v>8</v>
      </c>
    </row>
    <row r="2507" spans="1:5">
      <c r="A2507" t="s">
        <v>5</v>
      </c>
      <c r="B2507" t="s">
        <v>109</v>
      </c>
      <c r="C2507" s="8">
        <v>46254</v>
      </c>
      <c r="D2507" s="9">
        <v>53801</v>
      </c>
      <c r="E2507">
        <f>MONTH(C2507)</f>
        <v>8</v>
      </c>
    </row>
    <row r="2508" spans="1:5">
      <c r="A2508" t="s">
        <v>6</v>
      </c>
      <c r="B2508" t="s">
        <v>131</v>
      </c>
      <c r="C2508" s="8">
        <v>46255</v>
      </c>
      <c r="D2508" s="9">
        <v>18215</v>
      </c>
      <c r="E2508">
        <f>MONTH(C2508)</f>
        <v>8</v>
      </c>
    </row>
    <row r="2509" spans="1:5">
      <c r="A2509" t="s">
        <v>9</v>
      </c>
      <c r="B2509" t="s">
        <v>283</v>
      </c>
      <c r="C2509" s="8">
        <v>46255</v>
      </c>
      <c r="D2509" s="9">
        <v>39221</v>
      </c>
      <c r="E2509">
        <f>MONTH(C2509)</f>
        <v>8</v>
      </c>
    </row>
    <row r="2510" spans="1:5">
      <c r="A2510" t="s">
        <v>9</v>
      </c>
      <c r="B2510" t="s">
        <v>164</v>
      </c>
      <c r="C2510" s="8">
        <v>46255</v>
      </c>
      <c r="D2510" s="9">
        <v>43776</v>
      </c>
      <c r="E2510">
        <f>MONTH(C2510)</f>
        <v>8</v>
      </c>
    </row>
    <row r="2511" spans="1:5">
      <c r="A2511" t="s">
        <v>9</v>
      </c>
      <c r="B2511" t="s">
        <v>70</v>
      </c>
      <c r="C2511" s="8">
        <v>46255</v>
      </c>
      <c r="D2511" s="9">
        <v>22311</v>
      </c>
      <c r="E2511">
        <f>MONTH(C2511)</f>
        <v>8</v>
      </c>
    </row>
    <row r="2512" spans="1:5">
      <c r="A2512" t="s">
        <v>5</v>
      </c>
      <c r="B2512" t="s">
        <v>72</v>
      </c>
      <c r="C2512" s="8">
        <v>46255</v>
      </c>
      <c r="D2512" s="9">
        <v>40339</v>
      </c>
      <c r="E2512">
        <f>MONTH(C2512)</f>
        <v>8</v>
      </c>
    </row>
    <row r="2513" spans="1:5">
      <c r="A2513" t="s">
        <v>5</v>
      </c>
      <c r="B2513" t="s">
        <v>209</v>
      </c>
      <c r="C2513" s="8">
        <v>46255</v>
      </c>
      <c r="D2513" s="9">
        <v>44391</v>
      </c>
      <c r="E2513">
        <f>MONTH(C2513)</f>
        <v>8</v>
      </c>
    </row>
    <row r="2514" spans="1:5">
      <c r="A2514" t="s">
        <v>5</v>
      </c>
      <c r="B2514" t="s">
        <v>53</v>
      </c>
      <c r="C2514" s="8">
        <v>46255</v>
      </c>
      <c r="D2514" s="9">
        <v>36955</v>
      </c>
      <c r="E2514">
        <f>MONTH(C2514)</f>
        <v>8</v>
      </c>
    </row>
    <row r="2515" spans="1:5">
      <c r="A2515" t="s">
        <v>5</v>
      </c>
      <c r="B2515" t="s">
        <v>92</v>
      </c>
      <c r="C2515" s="8">
        <v>46255</v>
      </c>
      <c r="D2515" s="9">
        <v>35036</v>
      </c>
      <c r="E2515">
        <f>MONTH(C2515)</f>
        <v>8</v>
      </c>
    </row>
    <row r="2516" spans="1:5">
      <c r="A2516" t="s">
        <v>5</v>
      </c>
      <c r="B2516" t="s">
        <v>172</v>
      </c>
      <c r="C2516" s="8">
        <v>46255</v>
      </c>
      <c r="D2516" s="9">
        <v>34107</v>
      </c>
      <c r="E2516">
        <f>MONTH(C2516)</f>
        <v>8</v>
      </c>
    </row>
    <row r="2517" spans="1:5">
      <c r="A2517" t="s">
        <v>5</v>
      </c>
      <c r="B2517" t="s">
        <v>204</v>
      </c>
      <c r="C2517" s="8">
        <v>46255</v>
      </c>
      <c r="D2517" s="9">
        <v>45616</v>
      </c>
      <c r="E2517">
        <f>MONTH(C2517)</f>
        <v>8</v>
      </c>
    </row>
    <row r="2518" spans="1:5">
      <c r="A2518" t="s">
        <v>4</v>
      </c>
      <c r="B2518" t="s">
        <v>254</v>
      </c>
      <c r="C2518" s="8">
        <v>46256</v>
      </c>
      <c r="D2518" s="9">
        <v>28631</v>
      </c>
      <c r="E2518">
        <f>MONTH(C2518)</f>
        <v>8</v>
      </c>
    </row>
    <row r="2519" spans="1:5">
      <c r="A2519" t="s">
        <v>30</v>
      </c>
      <c r="B2519" t="s">
        <v>224</v>
      </c>
      <c r="C2519" s="8">
        <v>46256</v>
      </c>
      <c r="D2519" s="9">
        <v>12669</v>
      </c>
      <c r="E2519">
        <f>MONTH(C2519)</f>
        <v>8</v>
      </c>
    </row>
    <row r="2520" spans="1:5">
      <c r="A2520" t="s">
        <v>9</v>
      </c>
      <c r="B2520" t="s">
        <v>111</v>
      </c>
      <c r="C2520" s="8">
        <v>46256</v>
      </c>
      <c r="D2520" s="9">
        <v>51986</v>
      </c>
      <c r="E2520">
        <f>MONTH(C2520)</f>
        <v>8</v>
      </c>
    </row>
    <row r="2521" spans="1:5">
      <c r="A2521" t="s">
        <v>9</v>
      </c>
      <c r="B2521" t="s">
        <v>235</v>
      </c>
      <c r="C2521" s="8">
        <v>46256</v>
      </c>
      <c r="D2521" s="9">
        <v>40861</v>
      </c>
      <c r="E2521">
        <f>MONTH(C2521)</f>
        <v>8</v>
      </c>
    </row>
    <row r="2522" spans="1:5">
      <c r="A2522" t="s">
        <v>9</v>
      </c>
      <c r="B2522" t="s">
        <v>250</v>
      </c>
      <c r="C2522" s="8">
        <v>46256</v>
      </c>
      <c r="D2522" s="9">
        <v>45849</v>
      </c>
      <c r="E2522">
        <f>MONTH(C2522)</f>
        <v>8</v>
      </c>
    </row>
    <row r="2523" spans="1:5">
      <c r="A2523" t="s">
        <v>5</v>
      </c>
      <c r="B2523" t="s">
        <v>188</v>
      </c>
      <c r="C2523" s="8">
        <v>46256</v>
      </c>
      <c r="D2523" s="9">
        <v>31718</v>
      </c>
      <c r="E2523">
        <f>MONTH(C2523)</f>
        <v>8</v>
      </c>
    </row>
    <row r="2524" spans="1:5">
      <c r="A2524" t="s">
        <v>5</v>
      </c>
      <c r="B2524" t="s">
        <v>97</v>
      </c>
      <c r="C2524" s="8">
        <v>46256</v>
      </c>
      <c r="D2524" s="9">
        <v>46733</v>
      </c>
      <c r="E2524">
        <f>MONTH(C2524)</f>
        <v>8</v>
      </c>
    </row>
    <row r="2525" spans="1:5">
      <c r="A2525" t="s">
        <v>5</v>
      </c>
      <c r="B2525" t="s">
        <v>99</v>
      </c>
      <c r="C2525" s="8">
        <v>46256</v>
      </c>
      <c r="D2525" s="9">
        <v>33989</v>
      </c>
      <c r="E2525">
        <f>MONTH(C2525)</f>
        <v>8</v>
      </c>
    </row>
    <row r="2526" spans="1:5">
      <c r="A2526" t="s">
        <v>5</v>
      </c>
      <c r="B2526" t="s">
        <v>61</v>
      </c>
      <c r="C2526" s="8">
        <v>46256</v>
      </c>
      <c r="D2526" s="9">
        <v>36465</v>
      </c>
      <c r="E2526">
        <f>MONTH(C2526)</f>
        <v>8</v>
      </c>
    </row>
    <row r="2527" spans="1:5">
      <c r="A2527" t="s">
        <v>4</v>
      </c>
      <c r="B2527" t="s">
        <v>240</v>
      </c>
      <c r="C2527" s="8">
        <v>46257</v>
      </c>
      <c r="D2527" s="9">
        <v>21034</v>
      </c>
      <c r="E2527">
        <f>MONTH(C2527)</f>
        <v>8</v>
      </c>
    </row>
    <row r="2528" spans="1:5">
      <c r="A2528" t="s">
        <v>4</v>
      </c>
      <c r="B2528" t="s">
        <v>101</v>
      </c>
      <c r="C2528" s="8">
        <v>46257</v>
      </c>
      <c r="D2528" s="9">
        <v>32063</v>
      </c>
      <c r="E2528">
        <f>MONTH(C2528)</f>
        <v>8</v>
      </c>
    </row>
    <row r="2529" spans="1:5">
      <c r="A2529" t="s">
        <v>6</v>
      </c>
      <c r="B2529" t="s">
        <v>120</v>
      </c>
      <c r="C2529" s="8">
        <v>46257</v>
      </c>
      <c r="D2529" s="9">
        <v>16529</v>
      </c>
      <c r="E2529">
        <f>MONTH(C2529)</f>
        <v>8</v>
      </c>
    </row>
    <row r="2530" spans="1:5">
      <c r="A2530" t="s">
        <v>6</v>
      </c>
      <c r="B2530" t="s">
        <v>130</v>
      </c>
      <c r="C2530" s="8">
        <v>46257</v>
      </c>
      <c r="D2530" s="9">
        <v>18276</v>
      </c>
      <c r="E2530">
        <f>MONTH(C2530)</f>
        <v>8</v>
      </c>
    </row>
    <row r="2531" spans="1:5">
      <c r="A2531" t="s">
        <v>6</v>
      </c>
      <c r="B2531" t="s">
        <v>208</v>
      </c>
      <c r="C2531" s="8">
        <v>46257</v>
      </c>
      <c r="D2531" s="9">
        <v>12109</v>
      </c>
      <c r="E2531">
        <f>MONTH(C2531)</f>
        <v>8</v>
      </c>
    </row>
    <row r="2532" spans="1:5">
      <c r="A2532" t="s">
        <v>9</v>
      </c>
      <c r="B2532" t="s">
        <v>143</v>
      </c>
      <c r="C2532" s="8">
        <v>46257</v>
      </c>
      <c r="D2532" s="9">
        <v>41681</v>
      </c>
      <c r="E2532">
        <f>MONTH(C2532)</f>
        <v>8</v>
      </c>
    </row>
    <row r="2533" spans="1:5">
      <c r="A2533" t="s">
        <v>9</v>
      </c>
      <c r="B2533" t="s">
        <v>221</v>
      </c>
      <c r="C2533" s="8">
        <v>46257</v>
      </c>
      <c r="D2533" s="9">
        <v>24952</v>
      </c>
      <c r="E2533">
        <f>MONTH(C2533)</f>
        <v>8</v>
      </c>
    </row>
    <row r="2534" spans="1:5">
      <c r="A2534" t="s">
        <v>5</v>
      </c>
      <c r="B2534" t="s">
        <v>270</v>
      </c>
      <c r="C2534" s="8">
        <v>46257</v>
      </c>
      <c r="D2534" s="9">
        <v>34952</v>
      </c>
      <c r="E2534">
        <f>MONTH(C2534)</f>
        <v>8</v>
      </c>
    </row>
    <row r="2535" spans="1:5">
      <c r="A2535" t="s">
        <v>5</v>
      </c>
      <c r="B2535" t="s">
        <v>277</v>
      </c>
      <c r="C2535" s="8">
        <v>46257</v>
      </c>
      <c r="D2535" s="9">
        <v>43456</v>
      </c>
      <c r="E2535">
        <f>MONTH(C2535)</f>
        <v>8</v>
      </c>
    </row>
    <row r="2536" spans="1:5">
      <c r="A2536" t="s">
        <v>31</v>
      </c>
      <c r="B2536" t="s">
        <v>77</v>
      </c>
      <c r="C2536" s="8">
        <v>46258</v>
      </c>
      <c r="D2536" s="9">
        <v>5200</v>
      </c>
      <c r="E2536">
        <f>MONTH(C2536)</f>
        <v>8</v>
      </c>
    </row>
    <row r="2537" spans="1:5">
      <c r="A2537" t="s">
        <v>5</v>
      </c>
      <c r="B2537" t="s">
        <v>166</v>
      </c>
      <c r="C2537" s="8">
        <v>46258</v>
      </c>
      <c r="D2537" s="9">
        <v>45812</v>
      </c>
      <c r="E2537">
        <f>MONTH(C2537)</f>
        <v>8</v>
      </c>
    </row>
    <row r="2538" spans="1:5">
      <c r="A2538" t="s">
        <v>5</v>
      </c>
      <c r="B2538" t="s">
        <v>114</v>
      </c>
      <c r="C2538" s="8">
        <v>46258</v>
      </c>
      <c r="D2538" s="9">
        <v>29969</v>
      </c>
      <c r="E2538">
        <f>MONTH(C2538)</f>
        <v>8</v>
      </c>
    </row>
    <row r="2539" spans="1:5">
      <c r="A2539" t="s">
        <v>5</v>
      </c>
      <c r="B2539" t="s">
        <v>167</v>
      </c>
      <c r="C2539" s="8">
        <v>46258</v>
      </c>
      <c r="D2539" s="9">
        <v>24528</v>
      </c>
      <c r="E2539">
        <f>MONTH(C2539)</f>
        <v>8</v>
      </c>
    </row>
    <row r="2540" spans="1:5">
      <c r="A2540" t="s">
        <v>5</v>
      </c>
      <c r="B2540" t="s">
        <v>252</v>
      </c>
      <c r="C2540" s="8">
        <v>46258</v>
      </c>
      <c r="D2540" s="9">
        <v>41145</v>
      </c>
      <c r="E2540">
        <f>MONTH(C2540)</f>
        <v>8</v>
      </c>
    </row>
    <row r="2541" spans="1:5">
      <c r="A2541" t="s">
        <v>5</v>
      </c>
      <c r="B2541" t="s">
        <v>277</v>
      </c>
      <c r="C2541" s="8">
        <v>46258</v>
      </c>
      <c r="D2541" s="9">
        <v>40674</v>
      </c>
      <c r="E2541">
        <f>MONTH(C2541)</f>
        <v>8</v>
      </c>
    </row>
    <row r="2542" spans="1:5">
      <c r="A2542" t="s">
        <v>35</v>
      </c>
      <c r="B2542" t="s">
        <v>94</v>
      </c>
      <c r="C2542" s="8">
        <v>46259</v>
      </c>
      <c r="D2542" s="9">
        <v>22577</v>
      </c>
      <c r="E2542">
        <f>MONTH(C2542)</f>
        <v>8</v>
      </c>
    </row>
    <row r="2543" spans="1:5">
      <c r="A2543" t="s">
        <v>4</v>
      </c>
      <c r="B2543" t="s">
        <v>251</v>
      </c>
      <c r="C2543" s="8">
        <v>46259</v>
      </c>
      <c r="D2543" s="9">
        <v>50528</v>
      </c>
      <c r="E2543">
        <f>MONTH(C2543)</f>
        <v>8</v>
      </c>
    </row>
    <row r="2544" spans="1:5">
      <c r="A2544" t="s">
        <v>4</v>
      </c>
      <c r="B2544" t="s">
        <v>127</v>
      </c>
      <c r="C2544" s="8">
        <v>46259</v>
      </c>
      <c r="D2544" s="9">
        <v>36095</v>
      </c>
      <c r="E2544">
        <f>MONTH(C2544)</f>
        <v>8</v>
      </c>
    </row>
    <row r="2545" spans="1:5">
      <c r="A2545" t="s">
        <v>8</v>
      </c>
      <c r="B2545" t="s">
        <v>207</v>
      </c>
      <c r="C2545" s="8">
        <v>46259</v>
      </c>
      <c r="D2545" s="9">
        <v>33951</v>
      </c>
      <c r="E2545">
        <f>MONTH(C2545)</f>
        <v>8</v>
      </c>
    </row>
    <row r="2546" spans="1:5">
      <c r="A2546" t="s">
        <v>6</v>
      </c>
      <c r="B2546" t="s">
        <v>260</v>
      </c>
      <c r="C2546" s="8">
        <v>46259</v>
      </c>
      <c r="D2546" s="9">
        <v>24075</v>
      </c>
      <c r="E2546">
        <f>MONTH(C2546)</f>
        <v>8</v>
      </c>
    </row>
    <row r="2547" spans="1:5">
      <c r="A2547" t="s">
        <v>7</v>
      </c>
      <c r="B2547" t="s">
        <v>244</v>
      </c>
      <c r="C2547" s="8">
        <v>46259</v>
      </c>
      <c r="D2547" s="9">
        <v>17336</v>
      </c>
      <c r="E2547">
        <f>MONTH(C2547)</f>
        <v>8</v>
      </c>
    </row>
    <row r="2548" spans="1:5">
      <c r="A2548" t="s">
        <v>9</v>
      </c>
      <c r="B2548" t="s">
        <v>96</v>
      </c>
      <c r="C2548" s="8">
        <v>46259</v>
      </c>
      <c r="D2548" s="9">
        <v>24695</v>
      </c>
      <c r="E2548">
        <f>MONTH(C2548)</f>
        <v>8</v>
      </c>
    </row>
    <row r="2549" spans="1:5">
      <c r="A2549" t="s">
        <v>5</v>
      </c>
      <c r="B2549" t="s">
        <v>145</v>
      </c>
      <c r="C2549" s="8">
        <v>46259</v>
      </c>
      <c r="D2549" s="9">
        <v>47980</v>
      </c>
      <c r="E2549">
        <f>MONTH(C2549)</f>
        <v>8</v>
      </c>
    </row>
    <row r="2550" spans="1:5">
      <c r="A2550" t="s">
        <v>5</v>
      </c>
      <c r="B2550" t="s">
        <v>115</v>
      </c>
      <c r="C2550" s="8">
        <v>46259</v>
      </c>
      <c r="D2550" s="9">
        <v>32704</v>
      </c>
      <c r="E2550">
        <f>MONTH(C2550)</f>
        <v>8</v>
      </c>
    </row>
    <row r="2551" spans="1:5">
      <c r="A2551" t="s">
        <v>35</v>
      </c>
      <c r="B2551" t="s">
        <v>271</v>
      </c>
      <c r="C2551" s="8">
        <v>46260</v>
      </c>
      <c r="D2551" s="9">
        <v>5200</v>
      </c>
      <c r="E2551">
        <f>MONTH(C2551)</f>
        <v>8</v>
      </c>
    </row>
    <row r="2552" spans="1:5">
      <c r="A2552" t="s">
        <v>27</v>
      </c>
      <c r="B2552" t="s">
        <v>168</v>
      </c>
      <c r="C2552" s="8">
        <v>46260</v>
      </c>
      <c r="D2552" s="9">
        <v>12533</v>
      </c>
      <c r="E2552">
        <f>MONTH(C2552)</f>
        <v>8</v>
      </c>
    </row>
    <row r="2553" spans="1:5">
      <c r="A2553" t="s">
        <v>4</v>
      </c>
      <c r="B2553" t="s">
        <v>198</v>
      </c>
      <c r="C2553" s="8">
        <v>46260</v>
      </c>
      <c r="D2553" s="9">
        <v>28687</v>
      </c>
      <c r="E2553">
        <f>MONTH(C2553)</f>
        <v>8</v>
      </c>
    </row>
    <row r="2554" spans="1:5">
      <c r="A2554" t="s">
        <v>28</v>
      </c>
      <c r="B2554" t="s">
        <v>161</v>
      </c>
      <c r="C2554" s="8">
        <v>46260</v>
      </c>
      <c r="D2554" s="9">
        <v>9272</v>
      </c>
      <c r="E2554">
        <f>MONTH(C2554)</f>
        <v>8</v>
      </c>
    </row>
    <row r="2555" spans="1:5">
      <c r="A2555" t="s">
        <v>29</v>
      </c>
      <c r="B2555" t="s">
        <v>155</v>
      </c>
      <c r="C2555" s="8">
        <v>46260</v>
      </c>
      <c r="D2555" s="9">
        <v>15963</v>
      </c>
      <c r="E2555">
        <f>MONTH(C2555)</f>
        <v>8</v>
      </c>
    </row>
    <row r="2556" spans="1:5">
      <c r="A2556" t="s">
        <v>7</v>
      </c>
      <c r="B2556" t="s">
        <v>274</v>
      </c>
      <c r="C2556" s="8">
        <v>46260</v>
      </c>
      <c r="D2556" s="9">
        <v>23012</v>
      </c>
      <c r="E2556">
        <f>MONTH(C2556)</f>
        <v>8</v>
      </c>
    </row>
    <row r="2557" spans="1:5">
      <c r="A2557" t="s">
        <v>7</v>
      </c>
      <c r="B2557" t="s">
        <v>175</v>
      </c>
      <c r="C2557" s="8">
        <v>46260</v>
      </c>
      <c r="D2557" s="9">
        <v>27559</v>
      </c>
      <c r="E2557">
        <f>MONTH(C2557)</f>
        <v>8</v>
      </c>
    </row>
    <row r="2558" spans="1:5">
      <c r="A2558" t="s">
        <v>9</v>
      </c>
      <c r="B2558" t="s">
        <v>132</v>
      </c>
      <c r="C2558" s="8">
        <v>46260</v>
      </c>
      <c r="D2558" s="9">
        <v>45720</v>
      </c>
      <c r="E2558">
        <f>MONTH(C2558)</f>
        <v>8</v>
      </c>
    </row>
    <row r="2559" spans="1:5">
      <c r="A2559" t="s">
        <v>5</v>
      </c>
      <c r="B2559" t="s">
        <v>133</v>
      </c>
      <c r="C2559" s="8">
        <v>46260</v>
      </c>
      <c r="D2559" s="9">
        <v>39875</v>
      </c>
      <c r="E2559">
        <f>MONTH(C2559)</f>
        <v>8</v>
      </c>
    </row>
    <row r="2560" spans="1:5">
      <c r="A2560" t="s">
        <v>5</v>
      </c>
      <c r="B2560" t="s">
        <v>133</v>
      </c>
      <c r="C2560" s="8">
        <v>46260</v>
      </c>
      <c r="D2560" s="9">
        <v>49212</v>
      </c>
      <c r="E2560">
        <f>MONTH(C2560)</f>
        <v>8</v>
      </c>
    </row>
    <row r="2561" spans="1:5">
      <c r="A2561" t="s">
        <v>5</v>
      </c>
      <c r="B2561" t="s">
        <v>53</v>
      </c>
      <c r="C2561" s="8">
        <v>46260</v>
      </c>
      <c r="D2561" s="9">
        <v>40420</v>
      </c>
      <c r="E2561">
        <f>MONTH(C2561)</f>
        <v>8</v>
      </c>
    </row>
    <row r="2562" spans="1:5">
      <c r="A2562" t="s">
        <v>5</v>
      </c>
      <c r="B2562" t="s">
        <v>145</v>
      </c>
      <c r="C2562" s="8">
        <v>46260</v>
      </c>
      <c r="D2562" s="9">
        <v>53609</v>
      </c>
      <c r="E2562">
        <f>MONTH(C2562)</f>
        <v>8</v>
      </c>
    </row>
    <row r="2563" spans="1:5">
      <c r="A2563" t="s">
        <v>4</v>
      </c>
      <c r="B2563" t="s">
        <v>60</v>
      </c>
      <c r="C2563" s="8">
        <v>46261</v>
      </c>
      <c r="D2563" s="9">
        <v>23939</v>
      </c>
      <c r="E2563">
        <f>MONTH(C2563)</f>
        <v>8</v>
      </c>
    </row>
    <row r="2564" spans="1:5">
      <c r="A2564" t="s">
        <v>4</v>
      </c>
      <c r="B2564" t="s">
        <v>185</v>
      </c>
      <c r="C2564" s="8">
        <v>46261</v>
      </c>
      <c r="D2564" s="9">
        <v>36839</v>
      </c>
      <c r="E2564">
        <f>MONTH(C2564)</f>
        <v>8</v>
      </c>
    </row>
    <row r="2565" spans="1:5">
      <c r="A2565" t="s">
        <v>4</v>
      </c>
      <c r="B2565" t="s">
        <v>190</v>
      </c>
      <c r="C2565" s="8">
        <v>46261</v>
      </c>
      <c r="D2565" s="9">
        <v>22868</v>
      </c>
      <c r="E2565">
        <f>MONTH(C2565)</f>
        <v>8</v>
      </c>
    </row>
    <row r="2566" spans="1:5">
      <c r="A2566" t="s">
        <v>4</v>
      </c>
      <c r="B2566" t="s">
        <v>223</v>
      </c>
      <c r="C2566" s="8">
        <v>46261</v>
      </c>
      <c r="D2566" s="9">
        <v>21846</v>
      </c>
      <c r="E2566">
        <f>MONTH(C2566)</f>
        <v>8</v>
      </c>
    </row>
    <row r="2567" spans="1:5">
      <c r="A2567" t="s">
        <v>25</v>
      </c>
      <c r="B2567" t="s">
        <v>128</v>
      </c>
      <c r="C2567" s="8">
        <v>46261</v>
      </c>
      <c r="D2567" s="9">
        <v>5200</v>
      </c>
      <c r="E2567">
        <f>MONTH(C2567)</f>
        <v>8</v>
      </c>
    </row>
    <row r="2568" spans="1:5">
      <c r="A2568" t="s">
        <v>6</v>
      </c>
      <c r="B2568" t="s">
        <v>80</v>
      </c>
      <c r="C2568" s="8">
        <v>46261</v>
      </c>
      <c r="D2568" s="9">
        <v>14878</v>
      </c>
      <c r="E2568">
        <f>MONTH(C2568)</f>
        <v>8</v>
      </c>
    </row>
    <row r="2569" spans="1:5">
      <c r="A2569" t="s">
        <v>6</v>
      </c>
      <c r="B2569" t="s">
        <v>192</v>
      </c>
      <c r="C2569" s="8">
        <v>46261</v>
      </c>
      <c r="D2569" s="9">
        <v>18659</v>
      </c>
      <c r="E2569">
        <f>MONTH(C2569)</f>
        <v>8</v>
      </c>
    </row>
    <row r="2570" spans="1:5">
      <c r="A2570" t="s">
        <v>6</v>
      </c>
      <c r="B2570" t="s">
        <v>217</v>
      </c>
      <c r="C2570" s="8">
        <v>46261</v>
      </c>
      <c r="D2570" s="9">
        <v>21635</v>
      </c>
      <c r="E2570">
        <f>MONTH(C2570)</f>
        <v>8</v>
      </c>
    </row>
    <row r="2571" spans="1:5">
      <c r="A2571" t="s">
        <v>29</v>
      </c>
      <c r="B2571" t="s">
        <v>104</v>
      </c>
      <c r="C2571" s="8">
        <v>46261</v>
      </c>
      <c r="D2571" s="9">
        <v>12468</v>
      </c>
      <c r="E2571">
        <f>MONTH(C2571)</f>
        <v>8</v>
      </c>
    </row>
    <row r="2572" spans="1:5">
      <c r="A2572" t="s">
        <v>7</v>
      </c>
      <c r="B2572" t="s">
        <v>83</v>
      </c>
      <c r="C2572" s="8">
        <v>46261</v>
      </c>
      <c r="D2572" s="9">
        <v>29524</v>
      </c>
      <c r="E2572">
        <f>MONTH(C2572)</f>
        <v>8</v>
      </c>
    </row>
    <row r="2573" spans="1:5">
      <c r="A2573" t="s">
        <v>5</v>
      </c>
      <c r="B2573" t="s">
        <v>72</v>
      </c>
      <c r="C2573" s="8">
        <v>46261</v>
      </c>
      <c r="D2573" s="9">
        <v>37506</v>
      </c>
      <c r="E2573">
        <f>MONTH(C2573)</f>
        <v>8</v>
      </c>
    </row>
    <row r="2574" spans="1:5">
      <c r="A2574" t="s">
        <v>5</v>
      </c>
      <c r="B2574" t="s">
        <v>209</v>
      </c>
      <c r="C2574" s="8">
        <v>46261</v>
      </c>
      <c r="D2574" s="9">
        <v>40018</v>
      </c>
      <c r="E2574">
        <f>MONTH(C2574)</f>
        <v>8</v>
      </c>
    </row>
    <row r="2575" spans="1:5">
      <c r="A2575" t="s">
        <v>5</v>
      </c>
      <c r="B2575" t="s">
        <v>54</v>
      </c>
      <c r="C2575" s="8">
        <v>46261</v>
      </c>
      <c r="D2575" s="9">
        <v>49330</v>
      </c>
      <c r="E2575">
        <f>MONTH(C2575)</f>
        <v>8</v>
      </c>
    </row>
    <row r="2576" spans="1:5">
      <c r="A2576" t="s">
        <v>5</v>
      </c>
      <c r="B2576" t="s">
        <v>172</v>
      </c>
      <c r="C2576" s="8">
        <v>46261</v>
      </c>
      <c r="D2576" s="9">
        <v>41557</v>
      </c>
      <c r="E2576">
        <f>MONTH(C2576)</f>
        <v>8</v>
      </c>
    </row>
    <row r="2577" spans="1:5">
      <c r="A2577" t="s">
        <v>5</v>
      </c>
      <c r="B2577" t="s">
        <v>108</v>
      </c>
      <c r="C2577" s="8">
        <v>46261</v>
      </c>
      <c r="D2577" s="9">
        <v>36444</v>
      </c>
      <c r="E2577">
        <f>MONTH(C2577)</f>
        <v>8</v>
      </c>
    </row>
    <row r="2578" spans="1:5">
      <c r="A2578" t="s">
        <v>5</v>
      </c>
      <c r="B2578" t="s">
        <v>61</v>
      </c>
      <c r="C2578" s="8">
        <v>46261</v>
      </c>
      <c r="D2578" s="9">
        <v>41253</v>
      </c>
      <c r="E2578">
        <f>MONTH(C2578)</f>
        <v>8</v>
      </c>
    </row>
    <row r="2579" spans="1:5">
      <c r="A2579" t="s">
        <v>4</v>
      </c>
      <c r="B2579" t="s">
        <v>54</v>
      </c>
      <c r="C2579" s="8">
        <v>46262</v>
      </c>
      <c r="D2579" s="9">
        <v>44385</v>
      </c>
      <c r="E2579">
        <f>MONTH(C2579)</f>
        <v>8</v>
      </c>
    </row>
    <row r="2580" spans="1:5">
      <c r="A2580" t="s">
        <v>25</v>
      </c>
      <c r="B2580" t="s">
        <v>278</v>
      </c>
      <c r="C2580" s="8">
        <v>46262</v>
      </c>
      <c r="D2580" s="9">
        <v>15211</v>
      </c>
      <c r="E2580">
        <f>MONTH(C2580)</f>
        <v>8</v>
      </c>
    </row>
    <row r="2581" spans="1:5">
      <c r="A2581" t="s">
        <v>25</v>
      </c>
      <c r="B2581" t="s">
        <v>55</v>
      </c>
      <c r="C2581" s="8">
        <v>46262</v>
      </c>
      <c r="D2581" s="9">
        <v>13081</v>
      </c>
      <c r="E2581">
        <f>MONTH(C2581)</f>
        <v>8</v>
      </c>
    </row>
    <row r="2582" spans="1:5">
      <c r="A2582" t="s">
        <v>8</v>
      </c>
      <c r="B2582" t="s">
        <v>79</v>
      </c>
      <c r="C2582" s="8">
        <v>46262</v>
      </c>
      <c r="D2582" s="9">
        <v>21437</v>
      </c>
      <c r="E2582">
        <f>MONTH(C2582)</f>
        <v>8</v>
      </c>
    </row>
    <row r="2583" spans="1:5">
      <c r="A2583" t="s">
        <v>8</v>
      </c>
      <c r="B2583" t="s">
        <v>258</v>
      </c>
      <c r="C2583" s="8">
        <v>46262</v>
      </c>
      <c r="D2583" s="9">
        <v>5652</v>
      </c>
      <c r="E2583">
        <f>MONTH(C2583)</f>
        <v>8</v>
      </c>
    </row>
    <row r="2584" spans="1:5">
      <c r="A2584" t="s">
        <v>8</v>
      </c>
      <c r="B2584" t="s">
        <v>56</v>
      </c>
      <c r="C2584" s="8">
        <v>46262</v>
      </c>
      <c r="D2584" s="9">
        <v>8213</v>
      </c>
      <c r="E2584">
        <f>MONTH(C2584)</f>
        <v>8</v>
      </c>
    </row>
    <row r="2585" spans="1:5">
      <c r="A2585" t="s">
        <v>6</v>
      </c>
      <c r="B2585" t="s">
        <v>218</v>
      </c>
      <c r="C2585" s="8">
        <v>46262</v>
      </c>
      <c r="D2585" s="9">
        <v>17386</v>
      </c>
      <c r="E2585">
        <f>MONTH(C2585)</f>
        <v>8</v>
      </c>
    </row>
    <row r="2586" spans="1:5">
      <c r="A2586" t="s">
        <v>7</v>
      </c>
      <c r="B2586" t="s">
        <v>69</v>
      </c>
      <c r="C2586" s="8">
        <v>46262</v>
      </c>
      <c r="D2586" s="9">
        <v>12275</v>
      </c>
      <c r="E2586">
        <f>MONTH(C2586)</f>
        <v>8</v>
      </c>
    </row>
    <row r="2587" spans="1:5">
      <c r="A2587" t="s">
        <v>7</v>
      </c>
      <c r="B2587" t="s">
        <v>90</v>
      </c>
      <c r="C2587" s="8">
        <v>46262</v>
      </c>
      <c r="D2587" s="9">
        <v>14744</v>
      </c>
      <c r="E2587">
        <f>MONTH(C2587)</f>
        <v>8</v>
      </c>
    </row>
    <row r="2588" spans="1:5">
      <c r="A2588" t="s">
        <v>7</v>
      </c>
      <c r="B2588" t="s">
        <v>47</v>
      </c>
      <c r="C2588" s="8">
        <v>46262</v>
      </c>
      <c r="D2588" s="9">
        <v>22060</v>
      </c>
      <c r="E2588">
        <f>MONTH(C2588)</f>
        <v>8</v>
      </c>
    </row>
    <row r="2589" spans="1:5">
      <c r="A2589" t="s">
        <v>9</v>
      </c>
      <c r="B2589" t="s">
        <v>166</v>
      </c>
      <c r="C2589" s="8">
        <v>46262</v>
      </c>
      <c r="D2589" s="9">
        <v>34437</v>
      </c>
      <c r="E2589">
        <f>MONTH(C2589)</f>
        <v>8</v>
      </c>
    </row>
    <row r="2590" spans="1:5">
      <c r="A2590" t="s">
        <v>9</v>
      </c>
      <c r="B2590" t="s">
        <v>195</v>
      </c>
      <c r="C2590" s="8">
        <v>46262</v>
      </c>
      <c r="D2590" s="9">
        <v>24705</v>
      </c>
      <c r="E2590">
        <f>MONTH(C2590)</f>
        <v>8</v>
      </c>
    </row>
    <row r="2591" spans="1:5">
      <c r="A2591" t="s">
        <v>5</v>
      </c>
      <c r="B2591" t="s">
        <v>210</v>
      </c>
      <c r="C2591" s="8">
        <v>46262</v>
      </c>
      <c r="D2591" s="9">
        <v>31927</v>
      </c>
      <c r="E2591">
        <f>MONTH(C2591)</f>
        <v>8</v>
      </c>
    </row>
    <row r="2592" spans="1:5">
      <c r="A2592" t="s">
        <v>5</v>
      </c>
      <c r="B2592" t="s">
        <v>74</v>
      </c>
      <c r="C2592" s="8">
        <v>46262</v>
      </c>
      <c r="D2592" s="9">
        <v>37965</v>
      </c>
      <c r="E2592">
        <f>MONTH(C2592)</f>
        <v>8</v>
      </c>
    </row>
    <row r="2593" spans="1:5">
      <c r="A2593" t="s">
        <v>4</v>
      </c>
      <c r="B2593" t="s">
        <v>126</v>
      </c>
      <c r="C2593" s="8">
        <v>46263</v>
      </c>
      <c r="D2593" s="9">
        <v>28123</v>
      </c>
      <c r="E2593">
        <f>MONTH(C2593)</f>
        <v>8</v>
      </c>
    </row>
    <row r="2594" spans="1:5">
      <c r="A2594" t="s">
        <v>4</v>
      </c>
      <c r="B2594" t="s">
        <v>76</v>
      </c>
      <c r="C2594" s="8">
        <v>46263</v>
      </c>
      <c r="D2594" s="9">
        <v>19855</v>
      </c>
      <c r="E2594">
        <f>MONTH(C2594)</f>
        <v>8</v>
      </c>
    </row>
    <row r="2595" spans="1:5">
      <c r="A2595" t="s">
        <v>31</v>
      </c>
      <c r="B2595" t="s">
        <v>199</v>
      </c>
      <c r="C2595" s="8">
        <v>46263</v>
      </c>
      <c r="D2595" s="9">
        <v>20736</v>
      </c>
      <c r="E2595">
        <f>MONTH(C2595)</f>
        <v>8</v>
      </c>
    </row>
    <row r="2596" spans="1:5">
      <c r="A2596" t="s">
        <v>5</v>
      </c>
      <c r="B2596" t="s">
        <v>49</v>
      </c>
      <c r="C2596" s="8">
        <v>46263</v>
      </c>
      <c r="D2596" s="9">
        <v>40615</v>
      </c>
      <c r="E2596">
        <f>MONTH(C2596)</f>
        <v>8</v>
      </c>
    </row>
    <row r="2597" spans="1:5">
      <c r="A2597" t="s">
        <v>5</v>
      </c>
      <c r="B2597" t="s">
        <v>124</v>
      </c>
      <c r="C2597" s="8">
        <v>46263</v>
      </c>
      <c r="D2597" s="9">
        <v>39038</v>
      </c>
      <c r="E2597">
        <f>MONTH(C2597)</f>
        <v>8</v>
      </c>
    </row>
    <row r="2598" spans="1:5">
      <c r="A2598" t="s">
        <v>9</v>
      </c>
      <c r="B2598" t="s">
        <v>157</v>
      </c>
      <c r="C2598" s="8">
        <v>46264</v>
      </c>
      <c r="D2598" s="9">
        <v>29488</v>
      </c>
      <c r="E2598">
        <f>MONTH(C2598)</f>
        <v>8</v>
      </c>
    </row>
    <row r="2599" spans="1:5">
      <c r="A2599" t="s">
        <v>9</v>
      </c>
      <c r="B2599" t="s">
        <v>195</v>
      </c>
      <c r="C2599" s="8">
        <v>46264</v>
      </c>
      <c r="D2599" s="9">
        <v>25826</v>
      </c>
      <c r="E2599">
        <f>MONTH(C2599)</f>
        <v>8</v>
      </c>
    </row>
    <row r="2600" spans="1:5">
      <c r="A2600" t="s">
        <v>5</v>
      </c>
      <c r="B2600" t="s">
        <v>239</v>
      </c>
      <c r="C2600" s="8">
        <v>46264</v>
      </c>
      <c r="D2600" s="9">
        <v>40710</v>
      </c>
      <c r="E2600">
        <f>MONTH(C2600)</f>
        <v>8</v>
      </c>
    </row>
    <row r="2601" spans="1:5">
      <c r="A2601" t="s">
        <v>5</v>
      </c>
      <c r="B2601" t="s">
        <v>99</v>
      </c>
      <c r="C2601" s="8">
        <v>46264</v>
      </c>
      <c r="D2601" s="9">
        <v>33413</v>
      </c>
      <c r="E2601">
        <f>MONTH(C2601)</f>
        <v>8</v>
      </c>
    </row>
    <row r="2602" spans="1:5">
      <c r="A2602" t="s">
        <v>5</v>
      </c>
      <c r="B2602" t="s">
        <v>93</v>
      </c>
      <c r="C2602" s="8">
        <v>46264</v>
      </c>
      <c r="D2602" s="9">
        <v>48093</v>
      </c>
      <c r="E2602">
        <f>MONTH(C2602)</f>
        <v>8</v>
      </c>
    </row>
    <row r="2603" spans="1:5">
      <c r="A2603" t="s">
        <v>5</v>
      </c>
      <c r="B2603" t="s">
        <v>109</v>
      </c>
      <c r="C2603" s="8">
        <v>46264</v>
      </c>
      <c r="D2603" s="9">
        <v>49588</v>
      </c>
      <c r="E2603">
        <f>MONTH(C2603)</f>
        <v>8</v>
      </c>
    </row>
    <row r="2604" spans="1:5">
      <c r="A2604" t="s">
        <v>5</v>
      </c>
      <c r="B2604" t="s">
        <v>100</v>
      </c>
      <c r="C2604" s="8">
        <v>46264</v>
      </c>
      <c r="D2604" s="9">
        <v>50170</v>
      </c>
      <c r="E2604">
        <f>MONTH(C2604)</f>
        <v>8</v>
      </c>
    </row>
    <row r="2605" spans="1:5">
      <c r="A2605" t="s">
        <v>25</v>
      </c>
      <c r="B2605" t="s">
        <v>215</v>
      </c>
      <c r="C2605" s="8">
        <v>46265</v>
      </c>
      <c r="D2605" s="9">
        <v>6245</v>
      </c>
      <c r="E2605">
        <f>MONTH(C2605)</f>
        <v>8</v>
      </c>
    </row>
    <row r="2606" spans="1:5">
      <c r="A2606" t="s">
        <v>26</v>
      </c>
      <c r="B2606" t="s">
        <v>78</v>
      </c>
      <c r="C2606" s="8">
        <v>46265</v>
      </c>
      <c r="D2606" s="9">
        <v>13920</v>
      </c>
      <c r="E2606">
        <f>MONTH(C2606)</f>
        <v>8</v>
      </c>
    </row>
    <row r="2607" spans="1:5">
      <c r="A2607" t="s">
        <v>30</v>
      </c>
      <c r="B2607" t="s">
        <v>154</v>
      </c>
      <c r="C2607" s="8">
        <v>46265</v>
      </c>
      <c r="D2607" s="9">
        <v>11595</v>
      </c>
      <c r="E2607">
        <f>MONTH(C2607)</f>
        <v>8</v>
      </c>
    </row>
    <row r="2608" spans="1:5">
      <c r="A2608" t="s">
        <v>7</v>
      </c>
      <c r="B2608" t="s">
        <v>243</v>
      </c>
      <c r="C2608" s="8">
        <v>46265</v>
      </c>
      <c r="D2608" s="9">
        <v>7468</v>
      </c>
      <c r="E2608">
        <f>MONTH(C2608)</f>
        <v>8</v>
      </c>
    </row>
    <row r="2609" spans="1:5">
      <c r="A2609" t="s">
        <v>7</v>
      </c>
      <c r="B2609" t="s">
        <v>226</v>
      </c>
      <c r="C2609" s="8">
        <v>46265</v>
      </c>
      <c r="D2609" s="9">
        <v>21044</v>
      </c>
      <c r="E2609">
        <f>MONTH(C2609)</f>
        <v>8</v>
      </c>
    </row>
    <row r="2610" spans="1:5">
      <c r="A2610" t="s">
        <v>9</v>
      </c>
      <c r="B2610" t="s">
        <v>276</v>
      </c>
      <c r="C2610" s="8">
        <v>46265</v>
      </c>
      <c r="D2610" s="9">
        <v>32421</v>
      </c>
      <c r="E2610">
        <f>MONTH(C2610)</f>
        <v>8</v>
      </c>
    </row>
    <row r="2611" spans="1:5">
      <c r="A2611" t="s">
        <v>9</v>
      </c>
      <c r="B2611" t="s">
        <v>144</v>
      </c>
      <c r="C2611" s="8">
        <v>46265</v>
      </c>
      <c r="D2611" s="9">
        <v>29160</v>
      </c>
      <c r="E2611">
        <f>MONTH(C2611)</f>
        <v>8</v>
      </c>
    </row>
    <row r="2612" spans="1:5">
      <c r="A2612" t="s">
        <v>9</v>
      </c>
      <c r="B2612" t="s">
        <v>137</v>
      </c>
      <c r="C2612" s="8">
        <v>46265</v>
      </c>
      <c r="D2612" s="9">
        <v>9372</v>
      </c>
      <c r="E2612">
        <f>MONTH(C2612)</f>
        <v>8</v>
      </c>
    </row>
    <row r="2613" spans="1:5">
      <c r="A2613" t="s">
        <v>5</v>
      </c>
      <c r="B2613" t="s">
        <v>106</v>
      </c>
      <c r="C2613" s="8">
        <v>46265</v>
      </c>
      <c r="D2613" s="9">
        <v>32140</v>
      </c>
      <c r="E2613">
        <f>MONTH(C2613)</f>
        <v>8</v>
      </c>
    </row>
    <row r="2614" spans="1:5">
      <c r="A2614" t="s">
        <v>5</v>
      </c>
      <c r="B2614" t="s">
        <v>49</v>
      </c>
      <c r="C2614" s="8">
        <v>46265</v>
      </c>
      <c r="D2614" s="9">
        <v>33862</v>
      </c>
      <c r="E2614">
        <f>MONTH(C2614)</f>
        <v>8</v>
      </c>
    </row>
    <row r="2615" spans="1:5">
      <c r="A2615" t="s">
        <v>5</v>
      </c>
      <c r="B2615" t="s">
        <v>98</v>
      </c>
      <c r="C2615" s="8">
        <v>46265</v>
      </c>
      <c r="D2615" s="9">
        <v>41450</v>
      </c>
      <c r="E2615">
        <f>MONTH(C2615)</f>
        <v>8</v>
      </c>
    </row>
    <row r="2616" spans="1:5">
      <c r="A2616" t="s">
        <v>5</v>
      </c>
      <c r="B2616" t="s">
        <v>270</v>
      </c>
      <c r="C2616" s="8">
        <v>46265</v>
      </c>
      <c r="D2616" s="9">
        <v>47676</v>
      </c>
      <c r="E2616">
        <f>MONTH(C2616)</f>
        <v>8</v>
      </c>
    </row>
    <row r="2617" spans="1:5">
      <c r="A2617" t="s">
        <v>5</v>
      </c>
      <c r="B2617" t="s">
        <v>108</v>
      </c>
      <c r="C2617" s="8">
        <v>46265</v>
      </c>
      <c r="D2617" s="9">
        <v>40853</v>
      </c>
      <c r="E2617">
        <f>MONTH(C2617)</f>
        <v>8</v>
      </c>
    </row>
    <row r="2618" spans="1:5">
      <c r="A2618" t="s">
        <v>5</v>
      </c>
      <c r="B2618" t="s">
        <v>134</v>
      </c>
      <c r="C2618" s="8">
        <v>46265</v>
      </c>
      <c r="D2618" s="9">
        <v>40975</v>
      </c>
      <c r="E2618">
        <f>MONTH(C2618)</f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EC9B-B219-4F91-9A13-61E8BDA08846}">
  <dimension ref="A1:D238"/>
  <sheetViews>
    <sheetView zoomScaleNormal="100" workbookViewId="0">
      <selection activeCell="D2" sqref="D2:D1048576"/>
    </sheetView>
  </sheetViews>
  <sheetFormatPr defaultRowHeight="15"/>
  <cols>
    <col min="1" max="1" width="35.140625" bestFit="1" customWidth="1"/>
    <col min="2" max="2" width="9.140625" style="15"/>
  </cols>
  <sheetData>
    <row r="1" spans="1:4">
      <c r="B1" s="15" t="s">
        <v>21</v>
      </c>
      <c r="C1" t="s">
        <v>20</v>
      </c>
    </row>
    <row r="2" spans="1:4">
      <c r="A2" s="11" t="s">
        <v>74</v>
      </c>
      <c r="B2" s="15">
        <f>(ROW()-1)/237</f>
        <v>4.2194092827004216E-3</v>
      </c>
      <c r="C2" s="13">
        <v>1.9026752384899745E-2</v>
      </c>
      <c r="D2" t="str">
        <f>IF(C2&lt;=80%,"A",IF(C2&lt;=95%,"B","C"))</f>
        <v>A</v>
      </c>
    </row>
    <row r="3" spans="1:4">
      <c r="A3" s="11" t="s">
        <v>159</v>
      </c>
      <c r="B3" s="15">
        <f t="shared" ref="B3:B66" si="0">(ROW()-1)/237</f>
        <v>8.4388185654008432E-3</v>
      </c>
      <c r="C3" s="13">
        <v>3.7671957888035776E-2</v>
      </c>
      <c r="D3" t="str">
        <f t="shared" ref="D3:D66" si="1">IF(C3&lt;=80%,"A",IF(C3&lt;=95%,"B","C"))</f>
        <v>A</v>
      </c>
    </row>
    <row r="4" spans="1:4">
      <c r="A4" s="11" t="s">
        <v>108</v>
      </c>
      <c r="B4" s="15">
        <f t="shared" si="0"/>
        <v>1.2658227848101266E-2</v>
      </c>
      <c r="C4" s="13">
        <v>5.5555842889682024E-2</v>
      </c>
      <c r="D4" t="str">
        <f t="shared" si="1"/>
        <v>A</v>
      </c>
    </row>
    <row r="5" spans="1:4">
      <c r="A5" s="11" t="s">
        <v>133</v>
      </c>
      <c r="B5" s="15">
        <f t="shared" si="0"/>
        <v>1.6877637130801686E-2</v>
      </c>
      <c r="C5" s="13">
        <v>7.2817500989366027E-2</v>
      </c>
      <c r="D5" t="str">
        <f t="shared" si="1"/>
        <v>A</v>
      </c>
    </row>
    <row r="6" spans="1:4">
      <c r="A6" s="11" t="s">
        <v>109</v>
      </c>
      <c r="B6" s="15">
        <f t="shared" si="0"/>
        <v>2.1097046413502109E-2</v>
      </c>
      <c r="C6" s="13">
        <v>8.9539079894361412E-2</v>
      </c>
      <c r="D6" t="str">
        <f t="shared" si="1"/>
        <v>A</v>
      </c>
    </row>
    <row r="7" spans="1:4">
      <c r="A7" s="11" t="s">
        <v>84</v>
      </c>
      <c r="B7" s="15">
        <f t="shared" si="0"/>
        <v>2.5316455696202531E-2</v>
      </c>
      <c r="C7" s="13">
        <v>0.10625853625843296</v>
      </c>
      <c r="D7" t="str">
        <f t="shared" si="1"/>
        <v>A</v>
      </c>
    </row>
    <row r="8" spans="1:4">
      <c r="A8" s="11" t="s">
        <v>93</v>
      </c>
      <c r="B8" s="15">
        <f t="shared" si="0"/>
        <v>2.9535864978902954E-2</v>
      </c>
      <c r="C8" s="13">
        <v>0.12243096815150181</v>
      </c>
      <c r="D8" t="str">
        <f t="shared" si="1"/>
        <v>A</v>
      </c>
    </row>
    <row r="9" spans="1:4">
      <c r="A9" s="11" t="s">
        <v>251</v>
      </c>
      <c r="B9" s="15">
        <f t="shared" si="0"/>
        <v>3.3755274261603373E-2</v>
      </c>
      <c r="C9" s="13">
        <v>0.13799714593475043</v>
      </c>
      <c r="D9" t="str">
        <f t="shared" si="1"/>
        <v>A</v>
      </c>
    </row>
    <row r="10" spans="1:4">
      <c r="A10" s="11" t="s">
        <v>72</v>
      </c>
      <c r="B10" s="15">
        <f t="shared" si="0"/>
        <v>3.7974683544303799E-2</v>
      </c>
      <c r="C10" s="13">
        <v>0.1535632699827858</v>
      </c>
      <c r="D10" t="str">
        <f t="shared" si="1"/>
        <v>A</v>
      </c>
    </row>
    <row r="11" spans="1:4">
      <c r="A11" s="11" t="s">
        <v>97</v>
      </c>
      <c r="B11" s="15">
        <f t="shared" si="0"/>
        <v>4.2194092827004218E-2</v>
      </c>
      <c r="C11" s="13">
        <v>0.1689059898816862</v>
      </c>
      <c r="D11" t="str">
        <f t="shared" si="1"/>
        <v>A</v>
      </c>
    </row>
    <row r="12" spans="1:4">
      <c r="A12" s="11" t="s">
        <v>54</v>
      </c>
      <c r="B12" s="15">
        <f t="shared" si="0"/>
        <v>4.6413502109704644E-2</v>
      </c>
      <c r="C12" s="13">
        <v>0.1837022629631265</v>
      </c>
      <c r="D12" t="str">
        <f t="shared" si="1"/>
        <v>A</v>
      </c>
    </row>
    <row r="13" spans="1:4">
      <c r="A13" s="11" t="s">
        <v>277</v>
      </c>
      <c r="B13" s="15">
        <f t="shared" si="0"/>
        <v>5.0632911392405063E-2</v>
      </c>
      <c r="C13" s="13">
        <v>0.19815938624606647</v>
      </c>
      <c r="D13" t="str">
        <f t="shared" si="1"/>
        <v>A</v>
      </c>
    </row>
    <row r="14" spans="1:4">
      <c r="A14" s="11" t="s">
        <v>98</v>
      </c>
      <c r="B14" s="15">
        <f t="shared" si="0"/>
        <v>5.4852320675105488E-2</v>
      </c>
      <c r="C14" s="13">
        <v>0.21259500200989848</v>
      </c>
      <c r="D14" t="str">
        <f t="shared" si="1"/>
        <v>A</v>
      </c>
    </row>
    <row r="15" spans="1:4">
      <c r="A15" s="11" t="s">
        <v>107</v>
      </c>
      <c r="B15" s="15">
        <f t="shared" si="0"/>
        <v>5.9071729957805907E-2</v>
      </c>
      <c r="C15" s="13">
        <v>0.2270239008720728</v>
      </c>
      <c r="D15" t="str">
        <f t="shared" si="1"/>
        <v>A</v>
      </c>
    </row>
    <row r="16" spans="1:4">
      <c r="A16" s="11" t="s">
        <v>92</v>
      </c>
      <c r="B16" s="15">
        <f t="shared" si="0"/>
        <v>6.3291139240506333E-2</v>
      </c>
      <c r="C16" s="13">
        <v>0.24096376899215699</v>
      </c>
      <c r="D16" t="str">
        <f t="shared" si="1"/>
        <v>A</v>
      </c>
    </row>
    <row r="17" spans="1:4">
      <c r="A17" s="11" t="s">
        <v>204</v>
      </c>
      <c r="B17" s="15">
        <f t="shared" si="0"/>
        <v>6.7510548523206745E-2</v>
      </c>
      <c r="C17" s="13">
        <v>0.2542566920121786</v>
      </c>
      <c r="D17" t="str">
        <f t="shared" si="1"/>
        <v>A</v>
      </c>
    </row>
    <row r="18" spans="1:4">
      <c r="A18" s="11" t="s">
        <v>123</v>
      </c>
      <c r="B18" s="15">
        <f t="shared" si="0"/>
        <v>7.1729957805907171E-2</v>
      </c>
      <c r="C18" s="13">
        <v>0.2666936265187469</v>
      </c>
      <c r="D18" t="str">
        <f t="shared" si="1"/>
        <v>A</v>
      </c>
    </row>
    <row r="19" spans="1:4">
      <c r="A19" s="11" t="s">
        <v>106</v>
      </c>
      <c r="B19" s="15">
        <f t="shared" si="0"/>
        <v>7.5949367088607597E-2</v>
      </c>
      <c r="C19" s="13">
        <v>0.27873451906977414</v>
      </c>
      <c r="D19" t="str">
        <f t="shared" si="1"/>
        <v>A</v>
      </c>
    </row>
    <row r="20" spans="1:4">
      <c r="A20" s="11" t="s">
        <v>172</v>
      </c>
      <c r="B20" s="15">
        <f t="shared" si="0"/>
        <v>8.0168776371308023E-2</v>
      </c>
      <c r="C20" s="13">
        <v>0.29076242113299544</v>
      </c>
      <c r="D20" t="str">
        <f t="shared" si="1"/>
        <v>A</v>
      </c>
    </row>
    <row r="21" spans="1:4">
      <c r="A21" s="11" t="s">
        <v>183</v>
      </c>
      <c r="B21" s="15">
        <f t="shared" si="0"/>
        <v>8.4388185654008435E-2</v>
      </c>
      <c r="C21" s="13">
        <v>0.30273759551820378</v>
      </c>
      <c r="D21" t="str">
        <f t="shared" si="1"/>
        <v>A</v>
      </c>
    </row>
    <row r="22" spans="1:4">
      <c r="A22" s="11" t="s">
        <v>53</v>
      </c>
      <c r="B22" s="15">
        <f t="shared" si="0"/>
        <v>8.8607594936708861E-2</v>
      </c>
      <c r="C22" s="13">
        <v>0.31454503543521622</v>
      </c>
      <c r="D22" t="str">
        <f t="shared" si="1"/>
        <v>A</v>
      </c>
    </row>
    <row r="23" spans="1:4">
      <c r="A23" s="11" t="s">
        <v>100</v>
      </c>
      <c r="B23" s="15">
        <f t="shared" si="0"/>
        <v>9.2827004219409287E-2</v>
      </c>
      <c r="C23" s="13">
        <v>0.32561205784869757</v>
      </c>
      <c r="D23" t="str">
        <f t="shared" si="1"/>
        <v>A</v>
      </c>
    </row>
    <row r="24" spans="1:4">
      <c r="A24" s="11" t="s">
        <v>270</v>
      </c>
      <c r="B24" s="15">
        <f t="shared" si="0"/>
        <v>9.7046413502109699E-2</v>
      </c>
      <c r="C24" s="13">
        <v>0.33655117702081311</v>
      </c>
      <c r="D24" t="str">
        <f t="shared" si="1"/>
        <v>A</v>
      </c>
    </row>
    <row r="25" spans="1:4">
      <c r="A25" s="11" t="s">
        <v>124</v>
      </c>
      <c r="B25" s="15">
        <f t="shared" si="0"/>
        <v>0.10126582278481013</v>
      </c>
      <c r="C25" s="13">
        <v>0.34722775937473599</v>
      </c>
      <c r="D25" t="str">
        <f t="shared" si="1"/>
        <v>A</v>
      </c>
    </row>
    <row r="26" spans="1:4">
      <c r="A26" s="11" t="s">
        <v>145</v>
      </c>
      <c r="B26" s="15">
        <f t="shared" si="0"/>
        <v>0.10548523206751055</v>
      </c>
      <c r="C26" s="13">
        <v>0.35773228157579534</v>
      </c>
      <c r="D26" t="str">
        <f t="shared" si="1"/>
        <v>A</v>
      </c>
    </row>
    <row r="27" spans="1:4">
      <c r="A27" s="11" t="s">
        <v>58</v>
      </c>
      <c r="B27" s="15">
        <f t="shared" si="0"/>
        <v>0.10970464135021098</v>
      </c>
      <c r="C27" s="13">
        <v>0.36783345383231009</v>
      </c>
      <c r="D27" t="str">
        <f t="shared" si="1"/>
        <v>A</v>
      </c>
    </row>
    <row r="28" spans="1:4">
      <c r="A28" s="11" t="s">
        <v>99</v>
      </c>
      <c r="B28" s="15">
        <f t="shared" si="0"/>
        <v>0.11392405063291139</v>
      </c>
      <c r="C28" s="13">
        <v>0.37791221850489481</v>
      </c>
      <c r="D28" t="str">
        <f t="shared" si="1"/>
        <v>A</v>
      </c>
    </row>
    <row r="29" spans="1:4">
      <c r="A29" s="11" t="s">
        <v>252</v>
      </c>
      <c r="B29" s="15">
        <f t="shared" si="0"/>
        <v>0.11814345991561181</v>
      </c>
      <c r="C29" s="13">
        <v>0.38771162723753594</v>
      </c>
      <c r="D29" t="str">
        <f t="shared" si="1"/>
        <v>A</v>
      </c>
    </row>
    <row r="30" spans="1:4">
      <c r="A30" s="11" t="s">
        <v>189</v>
      </c>
      <c r="B30" s="15">
        <f t="shared" si="0"/>
        <v>0.12236286919831224</v>
      </c>
      <c r="C30" s="13">
        <v>0.39734271041463526</v>
      </c>
      <c r="D30" t="str">
        <f t="shared" si="1"/>
        <v>A</v>
      </c>
    </row>
    <row r="31" spans="1:4">
      <c r="A31" s="11" t="s">
        <v>239</v>
      </c>
      <c r="B31" s="15">
        <f t="shared" si="0"/>
        <v>0.12658227848101267</v>
      </c>
      <c r="C31" s="13">
        <v>0.40674008571545678</v>
      </c>
      <c r="D31" t="str">
        <f t="shared" si="1"/>
        <v>A</v>
      </c>
    </row>
    <row r="32" spans="1:4">
      <c r="A32" s="11" t="s">
        <v>209</v>
      </c>
      <c r="B32" s="15">
        <f t="shared" si="0"/>
        <v>0.13080168776371309</v>
      </c>
      <c r="C32" s="13">
        <v>0.41572138925999397</v>
      </c>
      <c r="D32" t="str">
        <f t="shared" si="1"/>
        <v>A</v>
      </c>
    </row>
    <row r="33" spans="1:4">
      <c r="A33" s="11" t="s">
        <v>166</v>
      </c>
      <c r="B33" s="15">
        <f t="shared" si="0"/>
        <v>0.13502109704641349</v>
      </c>
      <c r="C33" s="13">
        <v>0.42438063080384802</v>
      </c>
      <c r="D33" t="str">
        <f t="shared" si="1"/>
        <v>A</v>
      </c>
    </row>
    <row r="34" spans="1:4">
      <c r="A34" s="11" t="s">
        <v>134</v>
      </c>
      <c r="B34" s="15">
        <f t="shared" si="0"/>
        <v>0.13924050632911392</v>
      </c>
      <c r="C34" s="13">
        <v>0.43292392519128697</v>
      </c>
      <c r="D34" t="str">
        <f t="shared" si="1"/>
        <v>A</v>
      </c>
    </row>
    <row r="35" spans="1:4">
      <c r="A35" s="11" t="s">
        <v>61</v>
      </c>
      <c r="B35" s="15">
        <f t="shared" si="0"/>
        <v>0.14345991561181434</v>
      </c>
      <c r="C35" s="13">
        <v>0.44132934845530003</v>
      </c>
      <c r="D35" t="str">
        <f t="shared" si="1"/>
        <v>A</v>
      </c>
    </row>
    <row r="36" spans="1:4">
      <c r="A36" s="11" t="s">
        <v>114</v>
      </c>
      <c r="B36" s="15">
        <f t="shared" si="0"/>
        <v>0.14767932489451477</v>
      </c>
      <c r="C36" s="13">
        <v>0.44952008610852984</v>
      </c>
      <c r="D36" t="str">
        <f t="shared" si="1"/>
        <v>A</v>
      </c>
    </row>
    <row r="37" spans="1:4">
      <c r="A37" s="11" t="s">
        <v>49</v>
      </c>
      <c r="B37" s="15">
        <f t="shared" si="0"/>
        <v>0.15189873417721519</v>
      </c>
      <c r="C37" s="13">
        <v>0.45759750963079437</v>
      </c>
      <c r="D37" t="str">
        <f t="shared" si="1"/>
        <v>A</v>
      </c>
    </row>
    <row r="38" spans="1:4">
      <c r="A38" s="11" t="s">
        <v>182</v>
      </c>
      <c r="B38" s="15">
        <f t="shared" si="0"/>
        <v>0.15611814345991562</v>
      </c>
      <c r="C38" s="13">
        <v>0.46561407802404015</v>
      </c>
      <c r="D38" t="str">
        <f t="shared" si="1"/>
        <v>A</v>
      </c>
    </row>
    <row r="39" spans="1:4">
      <c r="A39" s="11" t="s">
        <v>235</v>
      </c>
      <c r="B39" s="15">
        <f t="shared" si="0"/>
        <v>0.16033755274261605</v>
      </c>
      <c r="C39" s="13">
        <v>0.47346378514630549</v>
      </c>
      <c r="D39" t="str">
        <f t="shared" si="1"/>
        <v>A</v>
      </c>
    </row>
    <row r="40" spans="1:4">
      <c r="A40" s="11" t="s">
        <v>210</v>
      </c>
      <c r="B40" s="15">
        <f t="shared" si="0"/>
        <v>0.16455696202531644</v>
      </c>
      <c r="C40" s="13">
        <v>0.48124068105460138</v>
      </c>
      <c r="D40" t="str">
        <f t="shared" si="1"/>
        <v>A</v>
      </c>
    </row>
    <row r="41" spans="1:4">
      <c r="A41" s="11" t="s">
        <v>115</v>
      </c>
      <c r="B41" s="15">
        <f t="shared" si="0"/>
        <v>0.16877637130801687</v>
      </c>
      <c r="C41" s="13">
        <v>0.48869019517610124</v>
      </c>
      <c r="D41" t="str">
        <f t="shared" si="1"/>
        <v>A</v>
      </c>
    </row>
    <row r="42" spans="1:4">
      <c r="A42" s="11" t="s">
        <v>276</v>
      </c>
      <c r="B42" s="15">
        <f t="shared" si="0"/>
        <v>0.1729957805907173</v>
      </c>
      <c r="C42" s="13">
        <v>0.49586897785938605</v>
      </c>
      <c r="D42" t="str">
        <f t="shared" si="1"/>
        <v>A</v>
      </c>
    </row>
    <row r="43" spans="1:4">
      <c r="A43" s="11" t="s">
        <v>73</v>
      </c>
      <c r="B43" s="15">
        <f t="shared" si="0"/>
        <v>0.17721518987341772</v>
      </c>
      <c r="C43" s="13">
        <v>0.5030469545144719</v>
      </c>
      <c r="D43" t="str">
        <f t="shared" si="1"/>
        <v>A</v>
      </c>
    </row>
    <row r="44" spans="1:4">
      <c r="A44" s="11" t="s">
        <v>211</v>
      </c>
      <c r="B44" s="15">
        <f t="shared" si="0"/>
        <v>0.18143459915611815</v>
      </c>
      <c r="C44" s="13">
        <v>0.51001708336466212</v>
      </c>
      <c r="D44" t="str">
        <f t="shared" si="1"/>
        <v>A</v>
      </c>
    </row>
    <row r="45" spans="1:4">
      <c r="A45" s="11" t="s">
        <v>212</v>
      </c>
      <c r="B45" s="15">
        <f t="shared" si="0"/>
        <v>0.18565400843881857</v>
      </c>
      <c r="C45" s="13">
        <v>0.51696340751537739</v>
      </c>
      <c r="D45" t="str">
        <f t="shared" si="1"/>
        <v>A</v>
      </c>
    </row>
    <row r="46" spans="1:4">
      <c r="A46" s="11" t="s">
        <v>220</v>
      </c>
      <c r="B46" s="15">
        <f t="shared" si="0"/>
        <v>0.189873417721519</v>
      </c>
      <c r="C46" s="13">
        <v>0.52387415895491352</v>
      </c>
      <c r="D46" t="str">
        <f t="shared" si="1"/>
        <v>A</v>
      </c>
    </row>
    <row r="47" spans="1:4">
      <c r="A47" s="11" t="s">
        <v>101</v>
      </c>
      <c r="B47" s="15">
        <f t="shared" si="0"/>
        <v>0.1940928270042194</v>
      </c>
      <c r="C47" s="13">
        <v>0.5307022522026501</v>
      </c>
      <c r="D47" t="str">
        <f t="shared" si="1"/>
        <v>A</v>
      </c>
    </row>
    <row r="48" spans="1:4">
      <c r="A48" s="11" t="s">
        <v>167</v>
      </c>
      <c r="B48" s="15">
        <f t="shared" si="0"/>
        <v>0.19831223628691982</v>
      </c>
      <c r="C48" s="13">
        <v>0.53734005562642406</v>
      </c>
      <c r="D48" t="str">
        <f t="shared" si="1"/>
        <v>A</v>
      </c>
    </row>
    <row r="49" spans="1:4">
      <c r="A49" s="11" t="s">
        <v>203</v>
      </c>
      <c r="B49" s="15">
        <f t="shared" si="0"/>
        <v>0.20253164556962025</v>
      </c>
      <c r="C49" s="13">
        <v>0.54396673586105304</v>
      </c>
      <c r="D49" t="str">
        <f t="shared" si="1"/>
        <v>A</v>
      </c>
    </row>
    <row r="50" spans="1:4">
      <c r="A50" s="11" t="s">
        <v>96</v>
      </c>
      <c r="B50" s="15">
        <f t="shared" si="0"/>
        <v>0.20675105485232068</v>
      </c>
      <c r="C50" s="13">
        <v>0.55045457773841733</v>
      </c>
      <c r="D50" t="str">
        <f t="shared" si="1"/>
        <v>A</v>
      </c>
    </row>
    <row r="51" spans="1:4">
      <c r="A51" s="11" t="s">
        <v>91</v>
      </c>
      <c r="B51" s="15">
        <f t="shared" si="0"/>
        <v>0.2109704641350211</v>
      </c>
      <c r="C51" s="13">
        <v>0.55685801502955112</v>
      </c>
      <c r="D51" t="str">
        <f t="shared" si="1"/>
        <v>A</v>
      </c>
    </row>
    <row r="52" spans="1:4">
      <c r="A52" s="11" t="s">
        <v>70</v>
      </c>
      <c r="B52" s="15">
        <f t="shared" si="0"/>
        <v>0.21518987341772153</v>
      </c>
      <c r="C52" s="13">
        <v>0.56292652073642546</v>
      </c>
      <c r="D52" t="str">
        <f t="shared" si="1"/>
        <v>A</v>
      </c>
    </row>
    <row r="53" spans="1:4">
      <c r="A53" s="11" t="s">
        <v>158</v>
      </c>
      <c r="B53" s="15">
        <f t="shared" si="0"/>
        <v>0.21940928270042195</v>
      </c>
      <c r="C53" s="13">
        <v>0.56886285125247982</v>
      </c>
      <c r="D53" t="str">
        <f t="shared" si="1"/>
        <v>A</v>
      </c>
    </row>
    <row r="54" spans="1:4">
      <c r="A54" s="11" t="s">
        <v>144</v>
      </c>
      <c r="B54" s="15">
        <f t="shared" si="0"/>
        <v>0.22362869198312235</v>
      </c>
      <c r="C54" s="13">
        <v>0.5746856258291092</v>
      </c>
      <c r="D54" t="str">
        <f t="shared" si="1"/>
        <v>A</v>
      </c>
    </row>
    <row r="55" spans="1:4">
      <c r="A55" s="11" t="s">
        <v>137</v>
      </c>
      <c r="B55" s="15">
        <f t="shared" si="0"/>
        <v>0.22784810126582278</v>
      </c>
      <c r="C55" s="13">
        <v>0.5804033614976154</v>
      </c>
      <c r="D55" t="str">
        <f t="shared" si="1"/>
        <v>A</v>
      </c>
    </row>
    <row r="56" spans="1:4">
      <c r="A56" s="11" t="s">
        <v>82</v>
      </c>
      <c r="B56" s="15">
        <f t="shared" si="0"/>
        <v>0.2320675105485232</v>
      </c>
      <c r="C56" s="13">
        <v>0.58598497243712688</v>
      </c>
      <c r="D56" t="str">
        <f t="shared" si="1"/>
        <v>A</v>
      </c>
    </row>
    <row r="57" spans="1:4">
      <c r="A57" s="11" t="s">
        <v>148</v>
      </c>
      <c r="B57" s="15">
        <f t="shared" si="0"/>
        <v>0.23628691983122363</v>
      </c>
      <c r="C57" s="13">
        <v>0.59151572299728628</v>
      </c>
      <c r="D57" t="str">
        <f t="shared" si="1"/>
        <v>A</v>
      </c>
    </row>
    <row r="58" spans="1:4">
      <c r="A58" s="11" t="s">
        <v>283</v>
      </c>
      <c r="B58" s="15">
        <f t="shared" si="0"/>
        <v>0.24050632911392406</v>
      </c>
      <c r="C58" s="13">
        <v>0.59697647000836918</v>
      </c>
      <c r="D58" t="str">
        <f t="shared" si="1"/>
        <v>A</v>
      </c>
    </row>
    <row r="59" spans="1:4">
      <c r="A59" s="11" t="s">
        <v>195</v>
      </c>
      <c r="B59" s="15">
        <f t="shared" si="0"/>
        <v>0.24472573839662448</v>
      </c>
      <c r="C59" s="13">
        <v>0.60236104735465379</v>
      </c>
      <c r="D59" t="str">
        <f t="shared" si="1"/>
        <v>A</v>
      </c>
    </row>
    <row r="60" spans="1:4">
      <c r="A60" s="11" t="s">
        <v>188</v>
      </c>
      <c r="B60" s="15">
        <f t="shared" si="0"/>
        <v>0.24894514767932491</v>
      </c>
      <c r="C60" s="13">
        <v>0.60773103559053787</v>
      </c>
      <c r="D60" t="str">
        <f t="shared" si="1"/>
        <v>A</v>
      </c>
    </row>
    <row r="61" spans="1:4">
      <c r="A61" s="11" t="s">
        <v>143</v>
      </c>
      <c r="B61" s="15">
        <f t="shared" si="0"/>
        <v>0.25316455696202533</v>
      </c>
      <c r="C61" s="13">
        <v>0.6130794088368875</v>
      </c>
      <c r="D61" t="str">
        <f t="shared" si="1"/>
        <v>A</v>
      </c>
    </row>
    <row r="62" spans="1:4">
      <c r="A62" s="11" t="s">
        <v>178</v>
      </c>
      <c r="B62" s="15">
        <f t="shared" si="0"/>
        <v>0.25738396624472576</v>
      </c>
      <c r="C62" s="13">
        <v>0.6182322799435882</v>
      </c>
      <c r="D62" t="str">
        <f t="shared" si="1"/>
        <v>A</v>
      </c>
    </row>
    <row r="63" spans="1:4">
      <c r="A63" s="11" t="s">
        <v>71</v>
      </c>
      <c r="B63" s="15">
        <f t="shared" si="0"/>
        <v>0.26160337552742619</v>
      </c>
      <c r="C63" s="13">
        <v>0.62336400624387056</v>
      </c>
      <c r="D63" t="str">
        <f t="shared" si="1"/>
        <v>A</v>
      </c>
    </row>
    <row r="64" spans="1:4">
      <c r="A64" s="11" t="s">
        <v>111</v>
      </c>
      <c r="B64" s="15">
        <f t="shared" si="0"/>
        <v>0.26582278481012656</v>
      </c>
      <c r="C64" s="13">
        <v>0.6284856303240598</v>
      </c>
      <c r="D64" t="str">
        <f t="shared" si="1"/>
        <v>A</v>
      </c>
    </row>
    <row r="65" spans="1:4">
      <c r="A65" s="11" t="s">
        <v>221</v>
      </c>
      <c r="B65" s="15">
        <f t="shared" si="0"/>
        <v>0.27004219409282698</v>
      </c>
      <c r="C65" s="13">
        <v>0.6335498383288789</v>
      </c>
      <c r="D65" t="str">
        <f t="shared" si="1"/>
        <v>A</v>
      </c>
    </row>
    <row r="66" spans="1:4">
      <c r="A66" s="11" t="s">
        <v>219</v>
      </c>
      <c r="B66" s="15">
        <f t="shared" si="0"/>
        <v>0.27426160337552741</v>
      </c>
      <c r="C66" s="13">
        <v>0.63856165450076807</v>
      </c>
      <c r="D66" t="str">
        <f t="shared" si="1"/>
        <v>A</v>
      </c>
    </row>
    <row r="67" spans="1:4">
      <c r="A67" s="11" t="s">
        <v>66</v>
      </c>
      <c r="B67" s="15">
        <f t="shared" ref="B67:B130" si="2">(ROW()-1)/237</f>
        <v>0.27848101265822783</v>
      </c>
      <c r="C67" s="13">
        <v>0.6435298376794889</v>
      </c>
      <c r="D67" t="str">
        <f t="shared" ref="D67:D130" si="3">IF(C67&lt;=80%,"A",IF(C67&lt;=95%,"B","C"))</f>
        <v>A</v>
      </c>
    </row>
    <row r="68" spans="1:4">
      <c r="A68" s="11" t="s">
        <v>83</v>
      </c>
      <c r="B68" s="15">
        <f t="shared" si="2"/>
        <v>0.28270042194092826</v>
      </c>
      <c r="C68" s="13">
        <v>0.64837919886788509</v>
      </c>
      <c r="D68" t="str">
        <f t="shared" si="3"/>
        <v>A</v>
      </c>
    </row>
    <row r="69" spans="1:4">
      <c r="A69" s="11" t="s">
        <v>132</v>
      </c>
      <c r="B69" s="15">
        <f t="shared" si="2"/>
        <v>0.28691983122362869</v>
      </c>
      <c r="C69" s="13">
        <v>0.6531802520995591</v>
      </c>
      <c r="D69" t="str">
        <f t="shared" si="3"/>
        <v>A</v>
      </c>
    </row>
    <row r="70" spans="1:4">
      <c r="A70" s="11" t="s">
        <v>245</v>
      </c>
      <c r="B70" s="15">
        <f t="shared" si="2"/>
        <v>0.29113924050632911</v>
      </c>
      <c r="C70" s="13">
        <v>0.65792863138843338</v>
      </c>
      <c r="D70" t="str">
        <f t="shared" si="3"/>
        <v>A</v>
      </c>
    </row>
    <row r="71" spans="1:4">
      <c r="A71" s="11" t="s">
        <v>187</v>
      </c>
      <c r="B71" s="15">
        <f t="shared" si="2"/>
        <v>0.29535864978902954</v>
      </c>
      <c r="C71" s="13">
        <v>0.66265227904540414</v>
      </c>
      <c r="D71" t="str">
        <f t="shared" si="3"/>
        <v>A</v>
      </c>
    </row>
    <row r="72" spans="1:4">
      <c r="A72" s="11" t="s">
        <v>250</v>
      </c>
      <c r="B72" s="15">
        <f t="shared" si="2"/>
        <v>0.29957805907172996</v>
      </c>
      <c r="C72" s="13">
        <v>0.66735810004537532</v>
      </c>
      <c r="D72" t="str">
        <f t="shared" si="3"/>
        <v>A</v>
      </c>
    </row>
    <row r="73" spans="1:4">
      <c r="A73" s="11" t="s">
        <v>179</v>
      </c>
      <c r="B73" s="15">
        <f t="shared" si="2"/>
        <v>0.30379746835443039</v>
      </c>
      <c r="C73" s="13">
        <v>0.67189379536016047</v>
      </c>
      <c r="D73" t="str">
        <f t="shared" si="3"/>
        <v>A</v>
      </c>
    </row>
    <row r="74" spans="1:4">
      <c r="A74" s="11" t="s">
        <v>171</v>
      </c>
      <c r="B74" s="15">
        <f t="shared" si="2"/>
        <v>0.30801687763713081</v>
      </c>
      <c r="C74" s="13">
        <v>0.67637442551515581</v>
      </c>
      <c r="D74" t="str">
        <f t="shared" si="3"/>
        <v>A</v>
      </c>
    </row>
    <row r="75" spans="1:4">
      <c r="A75" s="11" t="s">
        <v>157</v>
      </c>
      <c r="B75" s="15">
        <f t="shared" si="2"/>
        <v>0.31223628691983124</v>
      </c>
      <c r="C75" s="13">
        <v>0.68078462223936853</v>
      </c>
      <c r="D75" t="str">
        <f t="shared" si="3"/>
        <v>A</v>
      </c>
    </row>
    <row r="76" spans="1:4">
      <c r="A76" s="11" t="s">
        <v>269</v>
      </c>
      <c r="B76" s="15">
        <f t="shared" si="2"/>
        <v>0.31645569620253167</v>
      </c>
      <c r="C76" s="13">
        <v>0.6851379671079505</v>
      </c>
      <c r="D76" t="str">
        <f t="shared" si="3"/>
        <v>A</v>
      </c>
    </row>
    <row r="77" spans="1:4">
      <c r="A77" s="11" t="s">
        <v>176</v>
      </c>
      <c r="B77" s="15">
        <f t="shared" si="2"/>
        <v>0.32067510548523209</v>
      </c>
      <c r="C77" s="13">
        <v>0.68942130842745608</v>
      </c>
      <c r="D77" t="str">
        <f t="shared" si="3"/>
        <v>A</v>
      </c>
    </row>
    <row r="78" spans="1:4">
      <c r="A78" s="11" t="s">
        <v>223</v>
      </c>
      <c r="B78" s="15">
        <f t="shared" si="2"/>
        <v>0.32489451476793246</v>
      </c>
      <c r="C78" s="13">
        <v>0.69368283325037738</v>
      </c>
      <c r="D78" t="str">
        <f t="shared" si="3"/>
        <v>A</v>
      </c>
    </row>
    <row r="79" spans="1:4">
      <c r="A79" s="11" t="s">
        <v>113</v>
      </c>
      <c r="B79" s="15">
        <f t="shared" si="2"/>
        <v>0.32911392405063289</v>
      </c>
      <c r="C79" s="13">
        <v>0.69772695883424574</v>
      </c>
      <c r="D79" t="str">
        <f t="shared" si="3"/>
        <v>A</v>
      </c>
    </row>
    <row r="80" spans="1:4">
      <c r="A80" s="11" t="s">
        <v>150</v>
      </c>
      <c r="B80" s="15">
        <f t="shared" si="2"/>
        <v>0.33333333333333331</v>
      </c>
      <c r="C80" s="13">
        <v>0.70170829482141794</v>
      </c>
      <c r="D80" t="str">
        <f t="shared" si="3"/>
        <v>A</v>
      </c>
    </row>
    <row r="81" spans="1:4">
      <c r="A81" s="11" t="s">
        <v>264</v>
      </c>
      <c r="B81" s="15">
        <f t="shared" si="2"/>
        <v>0.33755274261603374</v>
      </c>
      <c r="C81" s="13">
        <v>0.70551222400200708</v>
      </c>
      <c r="D81" t="str">
        <f t="shared" si="3"/>
        <v>A</v>
      </c>
    </row>
    <row r="82" spans="1:4">
      <c r="A82" s="11" t="s">
        <v>222</v>
      </c>
      <c r="B82" s="15">
        <f t="shared" si="2"/>
        <v>0.34177215189873417</v>
      </c>
      <c r="C82" s="13">
        <v>0.7092724664542146</v>
      </c>
      <c r="D82" t="str">
        <f t="shared" si="3"/>
        <v>A</v>
      </c>
    </row>
    <row r="83" spans="1:4">
      <c r="A83" s="11" t="s">
        <v>165</v>
      </c>
      <c r="B83" s="15">
        <f t="shared" si="2"/>
        <v>0.34599156118143459</v>
      </c>
      <c r="C83" s="13">
        <v>0.71297998122840922</v>
      </c>
      <c r="D83" t="str">
        <f t="shared" si="3"/>
        <v>A</v>
      </c>
    </row>
    <row r="84" spans="1:4">
      <c r="A84" s="11" t="s">
        <v>190</v>
      </c>
      <c r="B84" s="15">
        <f t="shared" si="2"/>
        <v>0.35021097046413502</v>
      </c>
      <c r="C84" s="13">
        <v>0.71665628927750225</v>
      </c>
      <c r="D84" t="str">
        <f t="shared" si="3"/>
        <v>A</v>
      </c>
    </row>
    <row r="85" spans="1:4">
      <c r="A85" s="11" t="s">
        <v>177</v>
      </c>
      <c r="B85" s="15">
        <f t="shared" si="2"/>
        <v>0.35443037974683544</v>
      </c>
      <c r="C85" s="13">
        <v>0.72017702045039966</v>
      </c>
      <c r="D85" t="str">
        <f t="shared" si="3"/>
        <v>A</v>
      </c>
    </row>
    <row r="86" spans="1:4">
      <c r="A86" s="11" t="s">
        <v>60</v>
      </c>
      <c r="B86" s="15">
        <f t="shared" si="2"/>
        <v>0.35864978902953587</v>
      </c>
      <c r="C86" s="13">
        <v>0.72366690761088504</v>
      </c>
      <c r="D86" t="str">
        <f t="shared" si="3"/>
        <v>A</v>
      </c>
    </row>
    <row r="87" spans="1:4">
      <c r="A87" s="11" t="s">
        <v>164</v>
      </c>
      <c r="B87" s="15">
        <f t="shared" si="2"/>
        <v>0.3628691983122363</v>
      </c>
      <c r="C87" s="13">
        <v>0.72713254675638606</v>
      </c>
      <c r="D87" t="str">
        <f t="shared" si="3"/>
        <v>A</v>
      </c>
    </row>
    <row r="88" spans="1:4">
      <c r="A88" s="11" t="s">
        <v>180</v>
      </c>
      <c r="B88" s="15">
        <f t="shared" si="2"/>
        <v>0.36708860759493672</v>
      </c>
      <c r="C88" s="13">
        <v>0.73047037669714443</v>
      </c>
      <c r="D88" t="str">
        <f t="shared" si="3"/>
        <v>A</v>
      </c>
    </row>
    <row r="89" spans="1:4">
      <c r="A89" s="11" t="s">
        <v>127</v>
      </c>
      <c r="B89" s="15">
        <f t="shared" si="2"/>
        <v>0.37130801687763715</v>
      </c>
      <c r="C89" s="13">
        <v>0.73377738949309734</v>
      </c>
      <c r="D89" t="str">
        <f t="shared" si="3"/>
        <v>A</v>
      </c>
    </row>
    <row r="90" spans="1:4">
      <c r="A90" s="11" t="s">
        <v>116</v>
      </c>
      <c r="B90" s="15">
        <f t="shared" si="2"/>
        <v>0.37552742616033757</v>
      </c>
      <c r="C90" s="13">
        <v>0.73696617138607146</v>
      </c>
      <c r="D90" t="str">
        <f t="shared" si="3"/>
        <v>A</v>
      </c>
    </row>
    <row r="91" spans="1:4">
      <c r="A91" s="11" t="s">
        <v>67</v>
      </c>
      <c r="B91" s="15">
        <f t="shared" si="2"/>
        <v>0.379746835443038</v>
      </c>
      <c r="C91" s="13">
        <v>0.74014773932666522</v>
      </c>
      <c r="D91" t="str">
        <f t="shared" si="3"/>
        <v>A</v>
      </c>
    </row>
    <row r="92" spans="1:4">
      <c r="A92" s="11" t="s">
        <v>65</v>
      </c>
      <c r="B92" s="15">
        <f t="shared" si="2"/>
        <v>0.38396624472573837</v>
      </c>
      <c r="C92" s="13">
        <v>0.74330575781004715</v>
      </c>
      <c r="D92" t="str">
        <f t="shared" si="3"/>
        <v>A</v>
      </c>
    </row>
    <row r="93" spans="1:4">
      <c r="A93" s="11" t="s">
        <v>234</v>
      </c>
      <c r="B93" s="15">
        <f t="shared" si="2"/>
        <v>0.3881856540084388</v>
      </c>
      <c r="C93" s="13">
        <v>0.74645010068165407</v>
      </c>
      <c r="D93" t="str">
        <f t="shared" si="3"/>
        <v>A</v>
      </c>
    </row>
    <row r="94" spans="1:4">
      <c r="A94" s="11" t="s">
        <v>198</v>
      </c>
      <c r="B94" s="15">
        <f t="shared" si="2"/>
        <v>0.39240506329113922</v>
      </c>
      <c r="C94" s="13">
        <v>0.74957904841466139</v>
      </c>
      <c r="D94" t="str">
        <f t="shared" si="3"/>
        <v>A</v>
      </c>
    </row>
    <row r="95" spans="1:4">
      <c r="A95" s="11" t="s">
        <v>254</v>
      </c>
      <c r="B95" s="15">
        <f t="shared" si="2"/>
        <v>0.39662447257383965</v>
      </c>
      <c r="C95" s="13">
        <v>0.75270244798689956</v>
      </c>
      <c r="D95" t="str">
        <f t="shared" si="3"/>
        <v>A</v>
      </c>
    </row>
    <row r="96" spans="1:4">
      <c r="A96" s="11" t="s">
        <v>160</v>
      </c>
      <c r="B96" s="15">
        <f t="shared" si="2"/>
        <v>0.40084388185654007</v>
      </c>
      <c r="C96" s="13">
        <v>0.75582353694496751</v>
      </c>
      <c r="D96" t="str">
        <f t="shared" si="3"/>
        <v>A</v>
      </c>
    </row>
    <row r="97" spans="1:4">
      <c r="A97" s="11" t="s">
        <v>181</v>
      </c>
      <c r="B97" s="15">
        <f t="shared" si="2"/>
        <v>0.4050632911392405</v>
      </c>
      <c r="C97" s="13">
        <v>0.7588527924235714</v>
      </c>
      <c r="D97" t="str">
        <f t="shared" si="3"/>
        <v>A</v>
      </c>
    </row>
    <row r="98" spans="1:4">
      <c r="A98" s="11" t="s">
        <v>126</v>
      </c>
      <c r="B98" s="15">
        <f t="shared" si="2"/>
        <v>0.40928270042194093</v>
      </c>
      <c r="C98" s="13">
        <v>0.7618673513213482</v>
      </c>
      <c r="D98" t="str">
        <f t="shared" si="3"/>
        <v>A</v>
      </c>
    </row>
    <row r="99" spans="1:4">
      <c r="A99" s="11" t="s">
        <v>266</v>
      </c>
      <c r="B99" s="15">
        <f t="shared" si="2"/>
        <v>0.41350210970464135</v>
      </c>
      <c r="C99" s="13">
        <v>0.76486869135666269</v>
      </c>
      <c r="D99" t="str">
        <f t="shared" si="3"/>
        <v>A</v>
      </c>
    </row>
    <row r="100" spans="1:4">
      <c r="A100" s="11" t="s">
        <v>185</v>
      </c>
      <c r="B100" s="15">
        <f t="shared" si="2"/>
        <v>0.41772151898734178</v>
      </c>
      <c r="C100" s="13">
        <v>0.76784700585309462</v>
      </c>
      <c r="D100" t="str">
        <f t="shared" si="3"/>
        <v>A</v>
      </c>
    </row>
    <row r="101" spans="1:4">
      <c r="A101" s="11" t="s">
        <v>85</v>
      </c>
      <c r="B101" s="15">
        <f t="shared" si="2"/>
        <v>0.4219409282700422</v>
      </c>
      <c r="C101" s="13">
        <v>0.77082295600014306</v>
      </c>
      <c r="D101" t="str">
        <f t="shared" si="3"/>
        <v>A</v>
      </c>
    </row>
    <row r="102" spans="1:4">
      <c r="A102" s="11" t="s">
        <v>197</v>
      </c>
      <c r="B102" s="15">
        <f t="shared" si="2"/>
        <v>0.42616033755274263</v>
      </c>
      <c r="C102" s="13">
        <v>0.77369166409532475</v>
      </c>
      <c r="D102" t="str">
        <f t="shared" si="3"/>
        <v>A</v>
      </c>
    </row>
    <row r="103" spans="1:4">
      <c r="A103" s="11" t="s">
        <v>260</v>
      </c>
      <c r="B103" s="15">
        <f t="shared" si="2"/>
        <v>0.43037974683544306</v>
      </c>
      <c r="C103" s="13">
        <v>0.77655028340421661</v>
      </c>
      <c r="D103" t="str">
        <f t="shared" si="3"/>
        <v>A</v>
      </c>
    </row>
    <row r="104" spans="1:4">
      <c r="A104" s="11" t="s">
        <v>76</v>
      </c>
      <c r="B104" s="15">
        <f t="shared" si="2"/>
        <v>0.43459915611814348</v>
      </c>
      <c r="C104" s="13">
        <v>0.77931864098863224</v>
      </c>
      <c r="D104" t="str">
        <f t="shared" si="3"/>
        <v>A</v>
      </c>
    </row>
    <row r="105" spans="1:4">
      <c r="A105" s="11" t="s">
        <v>243</v>
      </c>
      <c r="B105" s="15">
        <f t="shared" si="2"/>
        <v>0.43881856540084391</v>
      </c>
      <c r="C105" s="13">
        <v>0.78196914381656202</v>
      </c>
      <c r="D105" t="str">
        <f t="shared" si="3"/>
        <v>A</v>
      </c>
    </row>
    <row r="106" spans="1:4">
      <c r="A106" s="11" t="s">
        <v>151</v>
      </c>
      <c r="B106" s="15">
        <f t="shared" si="2"/>
        <v>0.44303797468354428</v>
      </c>
      <c r="C106" s="13">
        <v>0.78457800185421411</v>
      </c>
      <c r="D106" t="str">
        <f t="shared" si="3"/>
        <v>A</v>
      </c>
    </row>
    <row r="107" spans="1:4">
      <c r="A107" s="11" t="s">
        <v>175</v>
      </c>
      <c r="B107" s="15">
        <f t="shared" si="2"/>
        <v>0.4472573839662447</v>
      </c>
      <c r="C107" s="13">
        <v>0.78718117739306381</v>
      </c>
      <c r="D107" t="str">
        <f t="shared" si="3"/>
        <v>A</v>
      </c>
    </row>
    <row r="108" spans="1:4">
      <c r="A108" s="11" t="s">
        <v>50</v>
      </c>
      <c r="B108" s="15">
        <f t="shared" si="2"/>
        <v>0.45147679324894513</v>
      </c>
      <c r="C108" s="13">
        <v>0.78976010491692916</v>
      </c>
      <c r="D108" t="str">
        <f t="shared" si="3"/>
        <v>A</v>
      </c>
    </row>
    <row r="109" spans="1:4">
      <c r="A109" s="11" t="s">
        <v>194</v>
      </c>
      <c r="B109" s="15">
        <f t="shared" si="2"/>
        <v>0.45569620253164556</v>
      </c>
      <c r="C109" s="13">
        <v>0.79230589124801554</v>
      </c>
      <c r="D109" t="str">
        <f t="shared" si="3"/>
        <v>A</v>
      </c>
    </row>
    <row r="110" spans="1:4">
      <c r="A110" s="11" t="s">
        <v>89</v>
      </c>
      <c r="B110" s="15">
        <f t="shared" si="2"/>
        <v>0.45991561181434598</v>
      </c>
      <c r="C110" s="13">
        <v>0.79481216876355132</v>
      </c>
      <c r="D110" t="str">
        <f t="shared" si="3"/>
        <v>A</v>
      </c>
    </row>
    <row r="111" spans="1:4">
      <c r="A111" s="11" t="s">
        <v>103</v>
      </c>
      <c r="B111" s="15">
        <f t="shared" si="2"/>
        <v>0.46413502109704641</v>
      </c>
      <c r="C111" s="13">
        <v>0.7973155983127842</v>
      </c>
      <c r="D111" t="str">
        <f t="shared" si="3"/>
        <v>A</v>
      </c>
    </row>
    <row r="112" spans="1:4">
      <c r="A112" s="11" t="s">
        <v>240</v>
      </c>
      <c r="B112" s="15">
        <f t="shared" si="2"/>
        <v>0.46835443037974683</v>
      </c>
      <c r="C112" s="13">
        <v>0.79980689713762321</v>
      </c>
      <c r="D112" t="str">
        <f t="shared" si="3"/>
        <v>A</v>
      </c>
    </row>
    <row r="113" spans="1:4">
      <c r="A113" s="11" t="s">
        <v>146</v>
      </c>
      <c r="B113" s="15">
        <f t="shared" si="2"/>
        <v>0.47257383966244726</v>
      </c>
      <c r="C113" s="13">
        <v>0.80229674511170435</v>
      </c>
      <c r="D113" t="str">
        <f t="shared" si="3"/>
        <v>B</v>
      </c>
    </row>
    <row r="114" spans="1:4">
      <c r="A114" s="11" t="s">
        <v>274</v>
      </c>
      <c r="B114" s="15">
        <f t="shared" si="2"/>
        <v>0.47679324894514769</v>
      </c>
      <c r="C114" s="13">
        <v>0.80477329362050309</v>
      </c>
      <c r="D114" t="str">
        <f t="shared" si="3"/>
        <v>B</v>
      </c>
    </row>
    <row r="115" spans="1:4">
      <c r="A115" s="11" t="s">
        <v>142</v>
      </c>
      <c r="B115" s="15">
        <f t="shared" si="2"/>
        <v>0.48101265822784811</v>
      </c>
      <c r="C115" s="13">
        <v>0.80716586742477736</v>
      </c>
      <c r="D115" t="str">
        <f t="shared" si="3"/>
        <v>B</v>
      </c>
    </row>
    <row r="116" spans="1:4">
      <c r="A116" s="11" t="s">
        <v>105</v>
      </c>
      <c r="B116" s="15">
        <f t="shared" si="2"/>
        <v>0.48523206751054854</v>
      </c>
      <c r="C116" s="13">
        <v>0.80955811881777207</v>
      </c>
      <c r="D116" t="str">
        <f t="shared" si="3"/>
        <v>B</v>
      </c>
    </row>
    <row r="117" spans="1:4">
      <c r="A117" s="11" t="s">
        <v>202</v>
      </c>
      <c r="B117" s="15">
        <f t="shared" si="2"/>
        <v>0.48945147679324896</v>
      </c>
      <c r="C117" s="13">
        <v>0.81193157631992863</v>
      </c>
      <c r="D117" t="str">
        <f t="shared" si="3"/>
        <v>B</v>
      </c>
    </row>
    <row r="118" spans="1:4">
      <c r="A118" s="11" t="s">
        <v>233</v>
      </c>
      <c r="B118" s="15">
        <f t="shared" si="2"/>
        <v>0.49367088607594939</v>
      </c>
      <c r="C118" s="13">
        <v>0.81428712656226565</v>
      </c>
      <c r="D118" t="str">
        <f t="shared" si="3"/>
        <v>B</v>
      </c>
    </row>
    <row r="119" spans="1:4">
      <c r="A119" s="11" t="s">
        <v>90</v>
      </c>
      <c r="B119" s="15">
        <f t="shared" si="2"/>
        <v>0.49789029535864981</v>
      </c>
      <c r="C119" s="13">
        <v>0.81661429117819739</v>
      </c>
      <c r="D119" t="str">
        <f t="shared" si="3"/>
        <v>B</v>
      </c>
    </row>
    <row r="120" spans="1:4">
      <c r="A120" s="11" t="s">
        <v>47</v>
      </c>
      <c r="B120" s="15">
        <f t="shared" si="2"/>
        <v>0.50210970464135019</v>
      </c>
      <c r="C120" s="13">
        <v>0.81892878771760258</v>
      </c>
      <c r="D120" t="str">
        <f t="shared" si="3"/>
        <v>B</v>
      </c>
    </row>
    <row r="121" spans="1:4">
      <c r="A121" s="11" t="s">
        <v>80</v>
      </c>
      <c r="B121" s="15">
        <f t="shared" si="2"/>
        <v>0.50632911392405067</v>
      </c>
      <c r="C121" s="13">
        <v>0.82124023478365527</v>
      </c>
      <c r="D121" t="str">
        <f t="shared" si="3"/>
        <v>B</v>
      </c>
    </row>
    <row r="122" spans="1:4">
      <c r="A122" s="11" t="s">
        <v>241</v>
      </c>
      <c r="B122" s="15">
        <f t="shared" si="2"/>
        <v>0.51054852320675104</v>
      </c>
      <c r="C122" s="13">
        <v>0.82352537846281637</v>
      </c>
      <c r="D122" t="str">
        <f t="shared" si="3"/>
        <v>B</v>
      </c>
    </row>
    <row r="123" spans="1:4">
      <c r="A123" s="11" t="s">
        <v>226</v>
      </c>
      <c r="B123" s="15">
        <f t="shared" si="2"/>
        <v>0.51476793248945152</v>
      </c>
      <c r="C123" s="13">
        <v>0.82580938026869566</v>
      </c>
      <c r="D123" t="str">
        <f t="shared" si="3"/>
        <v>B</v>
      </c>
    </row>
    <row r="124" spans="1:4">
      <c r="A124" s="11" t="s">
        <v>238</v>
      </c>
      <c r="B124" s="15">
        <f t="shared" si="2"/>
        <v>0.51898734177215189</v>
      </c>
      <c r="C124" s="13">
        <v>0.82809292532526224</v>
      </c>
      <c r="D124" t="str">
        <f t="shared" si="3"/>
        <v>B</v>
      </c>
    </row>
    <row r="125" spans="1:4">
      <c r="A125" s="11" t="s">
        <v>249</v>
      </c>
      <c r="B125" s="15">
        <f t="shared" si="2"/>
        <v>0.52320675105485237</v>
      </c>
      <c r="C125" s="13">
        <v>0.83036558900114343</v>
      </c>
      <c r="D125" t="str">
        <f t="shared" si="3"/>
        <v>B</v>
      </c>
    </row>
    <row r="126" spans="1:4">
      <c r="A126" s="11" t="s">
        <v>75</v>
      </c>
      <c r="B126" s="15">
        <f t="shared" si="2"/>
        <v>0.52742616033755274</v>
      </c>
      <c r="C126" s="13">
        <v>0.83263438374166965</v>
      </c>
      <c r="D126" t="str">
        <f t="shared" si="3"/>
        <v>B</v>
      </c>
    </row>
    <row r="127" spans="1:4">
      <c r="A127" s="11" t="s">
        <v>275</v>
      </c>
      <c r="B127" s="15">
        <f t="shared" si="2"/>
        <v>0.53164556962025311</v>
      </c>
      <c r="C127" s="13">
        <v>0.83485491082688379</v>
      </c>
      <c r="D127" t="str">
        <f t="shared" si="3"/>
        <v>B</v>
      </c>
    </row>
    <row r="128" spans="1:4">
      <c r="A128" s="11" t="s">
        <v>193</v>
      </c>
      <c r="B128" s="15">
        <f t="shared" si="2"/>
        <v>0.53586497890295359</v>
      </c>
      <c r="C128" s="13">
        <v>0.8370156709211477</v>
      </c>
      <c r="D128" t="str">
        <f t="shared" si="3"/>
        <v>B</v>
      </c>
    </row>
    <row r="129" spans="1:4">
      <c r="A129" s="11" t="s">
        <v>244</v>
      </c>
      <c r="B129" s="15">
        <f t="shared" si="2"/>
        <v>0.54008438818565396</v>
      </c>
      <c r="C129" s="13">
        <v>0.83908954117556767</v>
      </c>
      <c r="D129" t="str">
        <f t="shared" si="3"/>
        <v>B</v>
      </c>
    </row>
    <row r="130" spans="1:4">
      <c r="A130" s="11" t="s">
        <v>130</v>
      </c>
      <c r="B130" s="15">
        <f t="shared" si="2"/>
        <v>0.54430379746835444</v>
      </c>
      <c r="C130" s="13">
        <v>0.84113730955014587</v>
      </c>
      <c r="D130" t="str">
        <f t="shared" si="3"/>
        <v>B</v>
      </c>
    </row>
    <row r="131" spans="1:4">
      <c r="A131" s="11" t="s">
        <v>201</v>
      </c>
      <c r="B131" s="15">
        <f t="shared" ref="B131:B194" si="4">(ROW()-1)/237</f>
        <v>0.54852320675105481</v>
      </c>
      <c r="C131" s="13">
        <v>0.84315937905898164</v>
      </c>
      <c r="D131" t="str">
        <f t="shared" ref="D131:D194" si="5">IF(C131&lt;=80%,"A",IF(C131&lt;=95%,"B","C"))</f>
        <v>B</v>
      </c>
    </row>
    <row r="132" spans="1:4">
      <c r="A132" s="11" t="s">
        <v>156</v>
      </c>
      <c r="B132" s="15">
        <f t="shared" si="4"/>
        <v>0.5527426160337553</v>
      </c>
      <c r="C132" s="13">
        <v>0.84518062910581526</v>
      </c>
      <c r="D132" t="str">
        <f t="shared" si="5"/>
        <v>B</v>
      </c>
    </row>
    <row r="133" spans="1:4">
      <c r="A133" s="11" t="s">
        <v>170</v>
      </c>
      <c r="B133" s="15">
        <f t="shared" si="4"/>
        <v>0.55696202531645567</v>
      </c>
      <c r="C133" s="13">
        <v>0.8471926232621646</v>
      </c>
      <c r="D133" t="str">
        <f t="shared" si="5"/>
        <v>B</v>
      </c>
    </row>
    <row r="134" spans="1:4">
      <c r="A134" s="11" t="s">
        <v>192</v>
      </c>
      <c r="B134" s="15">
        <f t="shared" si="4"/>
        <v>0.56118143459915615</v>
      </c>
      <c r="C134" s="13">
        <v>0.84915639006461163</v>
      </c>
      <c r="D134" t="str">
        <f t="shared" si="5"/>
        <v>B</v>
      </c>
    </row>
    <row r="135" spans="1:4">
      <c r="A135" s="11" t="s">
        <v>217</v>
      </c>
      <c r="B135" s="15">
        <f t="shared" si="4"/>
        <v>0.56540084388185652</v>
      </c>
      <c r="C135" s="13">
        <v>0.85109341016465767</v>
      </c>
      <c r="D135" t="str">
        <f t="shared" si="5"/>
        <v>B</v>
      </c>
    </row>
    <row r="136" spans="1:4">
      <c r="A136" s="11" t="s">
        <v>141</v>
      </c>
      <c r="B136" s="15">
        <f t="shared" si="4"/>
        <v>0.569620253164557</v>
      </c>
      <c r="C136" s="13">
        <v>0.85302748826177777</v>
      </c>
      <c r="D136" t="str">
        <f t="shared" si="5"/>
        <v>B</v>
      </c>
    </row>
    <row r="137" spans="1:4">
      <c r="A137" s="11" t="s">
        <v>77</v>
      </c>
      <c r="B137" s="15">
        <f t="shared" si="4"/>
        <v>0.57383966244725737</v>
      </c>
      <c r="C137" s="13">
        <v>0.85492816992385567</v>
      </c>
      <c r="D137" t="str">
        <f t="shared" si="5"/>
        <v>B</v>
      </c>
    </row>
    <row r="138" spans="1:4">
      <c r="A138" s="11" t="s">
        <v>214</v>
      </c>
      <c r="B138" s="15">
        <f t="shared" si="4"/>
        <v>0.57805907172995785</v>
      </c>
      <c r="C138" s="13">
        <v>0.85681674772914651</v>
      </c>
      <c r="D138" t="str">
        <f t="shared" si="5"/>
        <v>B</v>
      </c>
    </row>
    <row r="139" spans="1:4">
      <c r="A139" s="11" t="s">
        <v>131</v>
      </c>
      <c r="B139" s="15">
        <f t="shared" si="4"/>
        <v>0.58227848101265822</v>
      </c>
      <c r="C139" s="13">
        <v>0.85870055653426036</v>
      </c>
      <c r="D139" t="str">
        <f t="shared" si="5"/>
        <v>B</v>
      </c>
    </row>
    <row r="140" spans="1:4">
      <c r="A140" s="11" t="s">
        <v>207</v>
      </c>
      <c r="B140" s="15">
        <f t="shared" si="4"/>
        <v>0.5864978902953587</v>
      </c>
      <c r="C140" s="13">
        <v>0.86057195250511076</v>
      </c>
      <c r="D140" t="str">
        <f t="shared" si="5"/>
        <v>B</v>
      </c>
    </row>
    <row r="141" spans="1:4">
      <c r="A141" s="11" t="s">
        <v>231</v>
      </c>
      <c r="B141" s="15">
        <f t="shared" si="4"/>
        <v>0.59071729957805907</v>
      </c>
      <c r="C141" s="13">
        <v>0.86244023183359209</v>
      </c>
      <c r="D141" t="str">
        <f t="shared" si="5"/>
        <v>B</v>
      </c>
    </row>
    <row r="142" spans="1:4">
      <c r="A142" s="11" t="s">
        <v>261</v>
      </c>
      <c r="B142" s="15">
        <f t="shared" si="4"/>
        <v>0.59493670886075944</v>
      </c>
      <c r="C142" s="13">
        <v>0.86430438698445544</v>
      </c>
      <c r="D142" t="str">
        <f t="shared" si="5"/>
        <v>B</v>
      </c>
    </row>
    <row r="143" spans="1:4">
      <c r="A143" s="11" t="s">
        <v>88</v>
      </c>
      <c r="B143" s="15">
        <f t="shared" si="4"/>
        <v>0.59915611814345993</v>
      </c>
      <c r="C143" s="13">
        <v>0.86615260964458685</v>
      </c>
      <c r="D143" t="str">
        <f t="shared" si="5"/>
        <v>B</v>
      </c>
    </row>
    <row r="144" spans="1:4">
      <c r="A144" s="11" t="s">
        <v>174</v>
      </c>
      <c r="B144" s="15">
        <f t="shared" si="4"/>
        <v>0.6033755274261603</v>
      </c>
      <c r="C144" s="13">
        <v>0.86799207346495655</v>
      </c>
      <c r="D144" t="str">
        <f t="shared" si="5"/>
        <v>B</v>
      </c>
    </row>
    <row r="145" spans="1:4">
      <c r="A145" s="11" t="s">
        <v>199</v>
      </c>
      <c r="B145" s="15">
        <f t="shared" si="4"/>
        <v>0.60759493670886078</v>
      </c>
      <c r="C145" s="13">
        <v>0.86982306055543435</v>
      </c>
      <c r="D145" t="str">
        <f t="shared" si="5"/>
        <v>B</v>
      </c>
    </row>
    <row r="146" spans="1:4">
      <c r="A146" s="11" t="s">
        <v>153</v>
      </c>
      <c r="B146" s="15">
        <f t="shared" si="4"/>
        <v>0.61181434599156115</v>
      </c>
      <c r="C146" s="13">
        <v>0.87163737629599758</v>
      </c>
      <c r="D146" t="str">
        <f t="shared" si="5"/>
        <v>B</v>
      </c>
    </row>
    <row r="147" spans="1:4">
      <c r="A147" s="11" t="s">
        <v>208</v>
      </c>
      <c r="B147" s="15">
        <f t="shared" si="4"/>
        <v>0.61603375527426163</v>
      </c>
      <c r="C147" s="13">
        <v>0.87344056884741583</v>
      </c>
      <c r="D147" t="str">
        <f t="shared" si="5"/>
        <v>B</v>
      </c>
    </row>
    <row r="148" spans="1:4">
      <c r="A148" s="11" t="s">
        <v>120</v>
      </c>
      <c r="B148" s="15">
        <f t="shared" si="4"/>
        <v>0.620253164556962</v>
      </c>
      <c r="C148" s="13">
        <v>0.87523865655357413</v>
      </c>
      <c r="D148" t="str">
        <f t="shared" si="5"/>
        <v>B</v>
      </c>
    </row>
    <row r="149" spans="1:4">
      <c r="A149" s="11" t="s">
        <v>69</v>
      </c>
      <c r="B149" s="15">
        <f t="shared" si="4"/>
        <v>0.62447257383966248</v>
      </c>
      <c r="C149" s="13">
        <v>0.87702697788472217</v>
      </c>
      <c r="D149" t="str">
        <f t="shared" si="5"/>
        <v>B</v>
      </c>
    </row>
    <row r="150" spans="1:4">
      <c r="A150" s="11" t="s">
        <v>259</v>
      </c>
      <c r="B150" s="15">
        <f t="shared" si="4"/>
        <v>0.62869198312236285</v>
      </c>
      <c r="C150" s="13">
        <v>0.87880146239845536</v>
      </c>
      <c r="D150" t="str">
        <f t="shared" si="5"/>
        <v>B</v>
      </c>
    </row>
    <row r="151" spans="1:4">
      <c r="A151" s="11" t="s">
        <v>136</v>
      </c>
      <c r="B151" s="15">
        <f t="shared" si="4"/>
        <v>0.63291139240506333</v>
      </c>
      <c r="C151" s="13">
        <v>0.88056131750037814</v>
      </c>
      <c r="D151" t="str">
        <f t="shared" si="5"/>
        <v>B</v>
      </c>
    </row>
    <row r="152" spans="1:4">
      <c r="A152" s="11" t="s">
        <v>79</v>
      </c>
      <c r="B152" s="15">
        <f t="shared" si="4"/>
        <v>0.6371308016877637</v>
      </c>
      <c r="C152" s="13">
        <v>0.88231242719634251</v>
      </c>
      <c r="D152" t="str">
        <f t="shared" si="5"/>
        <v>B</v>
      </c>
    </row>
    <row r="153" spans="1:4">
      <c r="A153" s="11" t="s">
        <v>262</v>
      </c>
      <c r="B153" s="15">
        <f t="shared" si="4"/>
        <v>0.64135021097046419</v>
      </c>
      <c r="C153" s="13">
        <v>0.88405643041035309</v>
      </c>
      <c r="D153" t="str">
        <f t="shared" si="5"/>
        <v>B</v>
      </c>
    </row>
    <row r="154" spans="1:4">
      <c r="A154" s="11" t="s">
        <v>129</v>
      </c>
      <c r="B154" s="15">
        <f t="shared" si="4"/>
        <v>0.64556962025316456</v>
      </c>
      <c r="C154" s="13">
        <v>0.88575244807892117</v>
      </c>
      <c r="D154" t="str">
        <f t="shared" si="5"/>
        <v>B</v>
      </c>
    </row>
    <row r="155" spans="1:4">
      <c r="A155" s="11" t="s">
        <v>273</v>
      </c>
      <c r="B155" s="15">
        <f t="shared" si="4"/>
        <v>0.64978902953586493</v>
      </c>
      <c r="C155" s="13">
        <v>0.88743374229905547</v>
      </c>
      <c r="D155" t="str">
        <f t="shared" si="5"/>
        <v>B</v>
      </c>
    </row>
    <row r="156" spans="1:4">
      <c r="A156" s="11" t="s">
        <v>218</v>
      </c>
      <c r="B156" s="15">
        <f t="shared" si="4"/>
        <v>0.65400843881856541</v>
      </c>
      <c r="C156" s="13">
        <v>0.88910982420350337</v>
      </c>
      <c r="D156" t="str">
        <f t="shared" si="5"/>
        <v>B</v>
      </c>
    </row>
    <row r="157" spans="1:4">
      <c r="A157" s="11" t="s">
        <v>267</v>
      </c>
      <c r="B157" s="15">
        <f t="shared" si="4"/>
        <v>0.65822784810126578</v>
      </c>
      <c r="C157" s="13">
        <v>0.89078343428814133</v>
      </c>
      <c r="D157" t="str">
        <f t="shared" si="5"/>
        <v>B</v>
      </c>
    </row>
    <row r="158" spans="1:4">
      <c r="A158" s="11" t="s">
        <v>147</v>
      </c>
      <c r="B158" s="15">
        <f t="shared" si="4"/>
        <v>0.66244725738396626</v>
      </c>
      <c r="C158" s="13">
        <v>0.89244621672730706</v>
      </c>
      <c r="D158" t="str">
        <f t="shared" si="5"/>
        <v>B</v>
      </c>
    </row>
    <row r="159" spans="1:4">
      <c r="A159" s="11" t="s">
        <v>200</v>
      </c>
      <c r="B159" s="15">
        <f t="shared" si="4"/>
        <v>0.66666666666666663</v>
      </c>
      <c r="C159" s="13">
        <v>0.89410158370704274</v>
      </c>
      <c r="D159" t="str">
        <f t="shared" si="5"/>
        <v>B</v>
      </c>
    </row>
    <row r="160" spans="1:4">
      <c r="A160" s="11" t="s">
        <v>52</v>
      </c>
      <c r="B160" s="15">
        <f t="shared" si="4"/>
        <v>0.67088607594936711</v>
      </c>
      <c r="C160" s="13">
        <v>0.89575556700503689</v>
      </c>
      <c r="D160" t="str">
        <f t="shared" si="5"/>
        <v>B</v>
      </c>
    </row>
    <row r="161" spans="1:4">
      <c r="A161" s="11" t="s">
        <v>246</v>
      </c>
      <c r="B161" s="15">
        <f t="shared" si="4"/>
        <v>0.67510548523206748</v>
      </c>
      <c r="C161" s="13">
        <v>0.89740772330578011</v>
      </c>
      <c r="D161" t="str">
        <f t="shared" si="5"/>
        <v>B</v>
      </c>
    </row>
    <row r="162" spans="1:4">
      <c r="A162" s="11" t="s">
        <v>215</v>
      </c>
      <c r="B162" s="15">
        <f t="shared" si="4"/>
        <v>0.67932489451476796</v>
      </c>
      <c r="C162" s="13">
        <v>0.89904523676090964</v>
      </c>
      <c r="D162" t="str">
        <f t="shared" si="5"/>
        <v>B</v>
      </c>
    </row>
    <row r="163" spans="1:4">
      <c r="A163" s="11" t="s">
        <v>140</v>
      </c>
      <c r="B163" s="15">
        <f t="shared" si="4"/>
        <v>0.68354430379746833</v>
      </c>
      <c r="C163" s="13">
        <v>0.90063935903133041</v>
      </c>
      <c r="D163" t="str">
        <f t="shared" si="5"/>
        <v>B</v>
      </c>
    </row>
    <row r="164" spans="1:4">
      <c r="A164" s="11" t="s">
        <v>86</v>
      </c>
      <c r="B164" s="15">
        <f t="shared" si="4"/>
        <v>0.68776371308016881</v>
      </c>
      <c r="C164" s="13">
        <v>0.90223329322850476</v>
      </c>
      <c r="D164" t="str">
        <f t="shared" si="5"/>
        <v>B</v>
      </c>
    </row>
    <row r="165" spans="1:4">
      <c r="A165" s="11" t="s">
        <v>227</v>
      </c>
      <c r="B165" s="15">
        <f t="shared" si="4"/>
        <v>0.69198312236286919</v>
      </c>
      <c r="C165" s="13">
        <v>0.90381908654086995</v>
      </c>
      <c r="D165" t="str">
        <f t="shared" si="5"/>
        <v>B</v>
      </c>
    </row>
    <row r="166" spans="1:4">
      <c r="A166" s="11" t="s">
        <v>263</v>
      </c>
      <c r="B166" s="15">
        <f t="shared" si="4"/>
        <v>0.69620253164556967</v>
      </c>
      <c r="C166" s="13">
        <v>0.90540193785030909</v>
      </c>
      <c r="D166" t="str">
        <f t="shared" si="5"/>
        <v>B</v>
      </c>
    </row>
    <row r="167" spans="1:4">
      <c r="A167" s="11" t="s">
        <v>128</v>
      </c>
      <c r="B167" s="15">
        <f t="shared" si="4"/>
        <v>0.70042194092827004</v>
      </c>
      <c r="C167" s="13">
        <v>0.90692467288991185</v>
      </c>
      <c r="D167" t="str">
        <f t="shared" si="5"/>
        <v>B</v>
      </c>
    </row>
    <row r="168" spans="1:4">
      <c r="A168" s="11" t="s">
        <v>184</v>
      </c>
      <c r="B168" s="15">
        <f t="shared" si="4"/>
        <v>0.70464135021097052</v>
      </c>
      <c r="C168" s="13">
        <v>0.90844645412947922</v>
      </c>
      <c r="D168" t="str">
        <f t="shared" si="5"/>
        <v>B</v>
      </c>
    </row>
    <row r="169" spans="1:4">
      <c r="A169" s="11" t="s">
        <v>281</v>
      </c>
      <c r="B169" s="15">
        <f t="shared" si="4"/>
        <v>0.70886075949367089</v>
      </c>
      <c r="C169" s="13">
        <v>0.90996330516322987</v>
      </c>
      <c r="D169" t="str">
        <f t="shared" si="5"/>
        <v>B</v>
      </c>
    </row>
    <row r="170" spans="1:4">
      <c r="A170" s="11" t="s">
        <v>64</v>
      </c>
      <c r="B170" s="15">
        <f t="shared" si="4"/>
        <v>0.71308016877637126</v>
      </c>
      <c r="C170" s="13">
        <v>0.91147990095471754</v>
      </c>
      <c r="D170" t="str">
        <f t="shared" si="5"/>
        <v>B</v>
      </c>
    </row>
    <row r="171" spans="1:4">
      <c r="A171" s="11" t="s">
        <v>102</v>
      </c>
      <c r="B171" s="15">
        <f t="shared" si="4"/>
        <v>0.71729957805907174</v>
      </c>
      <c r="C171" s="13">
        <v>0.9129929367883266</v>
      </c>
      <c r="D171" t="str">
        <f t="shared" si="5"/>
        <v>B</v>
      </c>
    </row>
    <row r="172" spans="1:4">
      <c r="A172" s="11" t="s">
        <v>242</v>
      </c>
      <c r="B172" s="15">
        <f t="shared" si="4"/>
        <v>0.72151898734177211</v>
      </c>
      <c r="C172" s="13">
        <v>0.914504494903571</v>
      </c>
      <c r="D172" t="str">
        <f t="shared" si="5"/>
        <v>B</v>
      </c>
    </row>
    <row r="173" spans="1:4">
      <c r="A173" s="11" t="s">
        <v>196</v>
      </c>
      <c r="B173" s="15">
        <f t="shared" si="4"/>
        <v>0.72573839662447259</v>
      </c>
      <c r="C173" s="13">
        <v>0.91599466640393734</v>
      </c>
      <c r="D173" t="str">
        <f t="shared" si="5"/>
        <v>B</v>
      </c>
    </row>
    <row r="174" spans="1:4">
      <c r="A174" s="11" t="s">
        <v>280</v>
      </c>
      <c r="B174" s="15">
        <f t="shared" si="4"/>
        <v>0.72995780590717296</v>
      </c>
      <c r="C174" s="13">
        <v>0.91746878450934166</v>
      </c>
      <c r="D174" t="str">
        <f t="shared" si="5"/>
        <v>B</v>
      </c>
    </row>
    <row r="175" spans="1:4">
      <c r="A175" s="11" t="s">
        <v>135</v>
      </c>
      <c r="B175" s="15">
        <f t="shared" si="4"/>
        <v>0.73417721518987344</v>
      </c>
      <c r="C175" s="13">
        <v>0.9189360245074486</v>
      </c>
      <c r="D175" t="str">
        <f t="shared" si="5"/>
        <v>B</v>
      </c>
    </row>
    <row r="176" spans="1:4">
      <c r="A176" s="11" t="s">
        <v>117</v>
      </c>
      <c r="B176" s="15">
        <f t="shared" si="4"/>
        <v>0.73839662447257381</v>
      </c>
      <c r="C176" s="13">
        <v>0.92040033593643278</v>
      </c>
      <c r="D176" t="str">
        <f t="shared" si="5"/>
        <v>B</v>
      </c>
    </row>
    <row r="177" spans="1:4">
      <c r="A177" s="11" t="s">
        <v>155</v>
      </c>
      <c r="B177" s="15">
        <f t="shared" si="4"/>
        <v>0.7426160337552743</v>
      </c>
      <c r="C177" s="13">
        <v>0.92186378760200471</v>
      </c>
      <c r="D177" t="str">
        <f t="shared" si="5"/>
        <v>B</v>
      </c>
    </row>
    <row r="178" spans="1:4">
      <c r="A178" s="11" t="s">
        <v>152</v>
      </c>
      <c r="B178" s="15">
        <f t="shared" si="4"/>
        <v>0.74683544303797467</v>
      </c>
      <c r="C178" s="13">
        <v>0.92331497420514974</v>
      </c>
      <c r="D178" t="str">
        <f t="shared" si="5"/>
        <v>B</v>
      </c>
    </row>
    <row r="179" spans="1:4">
      <c r="A179" s="11" t="s">
        <v>94</v>
      </c>
      <c r="B179" s="15">
        <f t="shared" si="4"/>
        <v>0.75105485232067515</v>
      </c>
      <c r="C179" s="13">
        <v>0.92476249337998961</v>
      </c>
      <c r="D179" t="str">
        <f t="shared" si="5"/>
        <v>B</v>
      </c>
    </row>
    <row r="180" spans="1:4">
      <c r="A180" s="11" t="s">
        <v>272</v>
      </c>
      <c r="B180" s="15">
        <f t="shared" si="4"/>
        <v>0.75527426160337552</v>
      </c>
      <c r="C180" s="13">
        <v>0.92620218064749671</v>
      </c>
      <c r="D180" t="str">
        <f t="shared" si="5"/>
        <v>B</v>
      </c>
    </row>
    <row r="181" spans="1:4">
      <c r="A181" s="11" t="s">
        <v>139</v>
      </c>
      <c r="B181" s="15">
        <f t="shared" si="4"/>
        <v>0.759493670886076</v>
      </c>
      <c r="C181" s="13">
        <v>0.9276418544812004</v>
      </c>
      <c r="D181" t="str">
        <f t="shared" si="5"/>
        <v>B</v>
      </c>
    </row>
    <row r="182" spans="1:4">
      <c r="A182" s="11" t="s">
        <v>55</v>
      </c>
      <c r="B182" s="15">
        <f t="shared" si="4"/>
        <v>0.76371308016877637</v>
      </c>
      <c r="C182" s="13">
        <v>0.9290784385401416</v>
      </c>
      <c r="D182" t="str">
        <f t="shared" si="5"/>
        <v>B</v>
      </c>
    </row>
    <row r="183" spans="1:4">
      <c r="A183" s="11" t="s">
        <v>256</v>
      </c>
      <c r="B183" s="15">
        <f t="shared" si="4"/>
        <v>0.76793248945147674</v>
      </c>
      <c r="C183" s="13">
        <v>0.9305117178834672</v>
      </c>
      <c r="D183" t="str">
        <f t="shared" si="5"/>
        <v>B</v>
      </c>
    </row>
    <row r="184" spans="1:4">
      <c r="A184" s="11" t="s">
        <v>205</v>
      </c>
      <c r="B184" s="15">
        <f t="shared" si="4"/>
        <v>0.77215189873417722</v>
      </c>
      <c r="C184" s="13">
        <v>0.93194498379298951</v>
      </c>
      <c r="D184" t="str">
        <f t="shared" si="5"/>
        <v>B</v>
      </c>
    </row>
    <row r="185" spans="1:4">
      <c r="A185" s="11" t="s">
        <v>186</v>
      </c>
      <c r="B185" s="15">
        <f t="shared" si="4"/>
        <v>0.77637130801687759</v>
      </c>
      <c r="C185" s="13">
        <v>0.93337137159521433</v>
      </c>
      <c r="D185" t="str">
        <f t="shared" si="5"/>
        <v>B</v>
      </c>
    </row>
    <row r="186" spans="1:4">
      <c r="A186" s="11" t="s">
        <v>138</v>
      </c>
      <c r="B186" s="15">
        <f t="shared" si="4"/>
        <v>0.78059071729957807</v>
      </c>
      <c r="C186" s="13">
        <v>0.93478785868439562</v>
      </c>
      <c r="D186" t="str">
        <f t="shared" si="5"/>
        <v>B</v>
      </c>
    </row>
    <row r="187" spans="1:4">
      <c r="A187" s="11" t="s">
        <v>237</v>
      </c>
      <c r="B187" s="15">
        <f t="shared" si="4"/>
        <v>0.78481012658227844</v>
      </c>
      <c r="C187" s="13">
        <v>0.9361958959112916</v>
      </c>
      <c r="D187" t="str">
        <f t="shared" si="5"/>
        <v>B</v>
      </c>
    </row>
    <row r="188" spans="1:4">
      <c r="A188" s="11" t="s">
        <v>282</v>
      </c>
      <c r="B188" s="15">
        <f t="shared" si="4"/>
        <v>0.78902953586497893</v>
      </c>
      <c r="C188" s="13">
        <v>0.93759573851816524</v>
      </c>
      <c r="D188" t="str">
        <f t="shared" si="5"/>
        <v>B</v>
      </c>
    </row>
    <row r="189" spans="1:4">
      <c r="A189" s="11" t="s">
        <v>81</v>
      </c>
      <c r="B189" s="15">
        <f t="shared" si="4"/>
        <v>0.7932489451476793</v>
      </c>
      <c r="C189" s="13">
        <v>0.93899535275038248</v>
      </c>
      <c r="D189" t="str">
        <f t="shared" si="5"/>
        <v>B</v>
      </c>
    </row>
    <row r="190" spans="1:4">
      <c r="A190" s="11" t="s">
        <v>213</v>
      </c>
      <c r="B190" s="15">
        <f t="shared" si="4"/>
        <v>0.79746835443037978</v>
      </c>
      <c r="C190" s="13">
        <v>0.94039082937117857</v>
      </c>
      <c r="D190" t="str">
        <f t="shared" si="5"/>
        <v>B</v>
      </c>
    </row>
    <row r="191" spans="1:4">
      <c r="A191" s="11" t="s">
        <v>257</v>
      </c>
      <c r="B191" s="15">
        <f t="shared" si="4"/>
        <v>0.80168776371308015</v>
      </c>
      <c r="C191" s="13">
        <v>0.94178040855231926</v>
      </c>
      <c r="D191" t="str">
        <f t="shared" si="5"/>
        <v>B</v>
      </c>
    </row>
    <row r="192" spans="1:4">
      <c r="A192" s="11" t="s">
        <v>228</v>
      </c>
      <c r="B192" s="15">
        <f t="shared" si="4"/>
        <v>0.80590717299578063</v>
      </c>
      <c r="C192" s="13">
        <v>0.94316656211361438</v>
      </c>
      <c r="D192" t="str">
        <f t="shared" si="5"/>
        <v>B</v>
      </c>
    </row>
    <row r="193" spans="1:4">
      <c r="A193" s="11" t="s">
        <v>78</v>
      </c>
      <c r="B193" s="15">
        <f t="shared" si="4"/>
        <v>0.810126582278481</v>
      </c>
      <c r="C193" s="13">
        <v>0.94455208428615378</v>
      </c>
      <c r="D193" t="str">
        <f t="shared" si="5"/>
        <v>B</v>
      </c>
    </row>
    <row r="194" spans="1:4">
      <c r="A194" s="11" t="s">
        <v>59</v>
      </c>
      <c r="B194" s="15">
        <f t="shared" si="4"/>
        <v>0.81434599156118148</v>
      </c>
      <c r="C194" s="13">
        <v>0.94593495999944011</v>
      </c>
      <c r="D194" t="str">
        <f t="shared" si="5"/>
        <v>B</v>
      </c>
    </row>
    <row r="195" spans="1:4">
      <c r="A195" s="11" t="s">
        <v>278</v>
      </c>
      <c r="B195" s="15">
        <f t="shared" ref="B195:B238" si="6">(ROW()-1)/237</f>
        <v>0.81856540084388185</v>
      </c>
      <c r="C195" s="13">
        <v>0.94731203230969407</v>
      </c>
      <c r="D195" t="str">
        <f t="shared" ref="D195:D238" si="7">IF(C195&lt;=80%,"A",IF(C195&lt;=95%,"B","C"))</f>
        <v>B</v>
      </c>
    </row>
    <row r="196" spans="1:4">
      <c r="A196" s="11" t="s">
        <v>161</v>
      </c>
      <c r="B196" s="15">
        <f t="shared" si="6"/>
        <v>0.82278481012658233</v>
      </c>
      <c r="C196" s="13">
        <v>0.94867854565054222</v>
      </c>
      <c r="D196" t="str">
        <f t="shared" si="7"/>
        <v>B</v>
      </c>
    </row>
    <row r="197" spans="1:4">
      <c r="A197" s="11" t="s">
        <v>149</v>
      </c>
      <c r="B197" s="15">
        <f t="shared" si="6"/>
        <v>0.8270042194092827</v>
      </c>
      <c r="C197" s="13">
        <v>0.95002451870612104</v>
      </c>
      <c r="D197" t="str">
        <f t="shared" si="7"/>
        <v>C</v>
      </c>
    </row>
    <row r="198" spans="1:4">
      <c r="A198" s="11" t="s">
        <v>224</v>
      </c>
      <c r="B198" s="15">
        <f t="shared" si="6"/>
        <v>0.83122362869198307</v>
      </c>
      <c r="C198" s="13">
        <v>0.95136883940389216</v>
      </c>
      <c r="D198" t="str">
        <f t="shared" si="7"/>
        <v>C</v>
      </c>
    </row>
    <row r="199" spans="1:4">
      <c r="A199" s="11" t="s">
        <v>255</v>
      </c>
      <c r="B199" s="15">
        <f t="shared" si="6"/>
        <v>0.83544303797468356</v>
      </c>
      <c r="C199" s="13">
        <v>0.95271193762556161</v>
      </c>
      <c r="D199" t="str">
        <f t="shared" si="7"/>
        <v>C</v>
      </c>
    </row>
    <row r="200" spans="1:4">
      <c r="A200" s="11" t="s">
        <v>191</v>
      </c>
      <c r="B200" s="15">
        <f t="shared" si="6"/>
        <v>0.83966244725738393</v>
      </c>
      <c r="C200" s="13">
        <v>0.95404767412301417</v>
      </c>
      <c r="D200" t="str">
        <f t="shared" si="7"/>
        <v>C</v>
      </c>
    </row>
    <row r="201" spans="1:4">
      <c r="A201" s="11" t="s">
        <v>104</v>
      </c>
      <c r="B201" s="15">
        <f t="shared" si="6"/>
        <v>0.84388185654008441</v>
      </c>
      <c r="C201" s="13">
        <v>0.95538038801472069</v>
      </c>
      <c r="D201" t="str">
        <f t="shared" si="7"/>
        <v>C</v>
      </c>
    </row>
    <row r="202" spans="1:4">
      <c r="A202" s="11" t="s">
        <v>48</v>
      </c>
      <c r="B202" s="15">
        <f t="shared" si="6"/>
        <v>0.84810126582278478</v>
      </c>
      <c r="C202" s="13">
        <v>0.95671275262754107</v>
      </c>
      <c r="D202" t="str">
        <f t="shared" si="7"/>
        <v>C</v>
      </c>
    </row>
    <row r="203" spans="1:4">
      <c r="A203" s="11" t="s">
        <v>168</v>
      </c>
      <c r="B203" s="15">
        <f t="shared" si="6"/>
        <v>0.85232067510548526</v>
      </c>
      <c r="C203" s="13">
        <v>0.95803531056394131</v>
      </c>
      <c r="D203" t="str">
        <f t="shared" si="7"/>
        <v>C</v>
      </c>
    </row>
    <row r="204" spans="1:4">
      <c r="A204" s="11" t="s">
        <v>247</v>
      </c>
      <c r="B204" s="15">
        <f t="shared" si="6"/>
        <v>0.85654008438818563</v>
      </c>
      <c r="C204" s="13">
        <v>0.95935563848899108</v>
      </c>
      <c r="D204" t="str">
        <f t="shared" si="7"/>
        <v>C</v>
      </c>
    </row>
    <row r="205" spans="1:4">
      <c r="A205" s="11" t="s">
        <v>248</v>
      </c>
      <c r="B205" s="15">
        <f t="shared" si="6"/>
        <v>0.86075949367088611</v>
      </c>
      <c r="C205" s="13">
        <v>0.9606704182532716</v>
      </c>
      <c r="D205" t="str">
        <f t="shared" si="7"/>
        <v>C</v>
      </c>
    </row>
    <row r="206" spans="1:4">
      <c r="A206" s="11" t="s">
        <v>57</v>
      </c>
      <c r="B206" s="15">
        <f t="shared" si="6"/>
        <v>0.86497890295358648</v>
      </c>
      <c r="C206" s="13">
        <v>0.96198490247387924</v>
      </c>
      <c r="D206" t="str">
        <f t="shared" si="7"/>
        <v>C</v>
      </c>
    </row>
    <row r="207" spans="1:4">
      <c r="A207" s="11" t="s">
        <v>216</v>
      </c>
      <c r="B207" s="15">
        <f t="shared" si="6"/>
        <v>0.86919831223628696</v>
      </c>
      <c r="C207" s="13">
        <v>0.96329641782395414</v>
      </c>
      <c r="D207" t="str">
        <f t="shared" si="7"/>
        <v>C</v>
      </c>
    </row>
    <row r="208" spans="1:4">
      <c r="A208" s="11" t="s">
        <v>225</v>
      </c>
      <c r="B208" s="15">
        <f t="shared" si="6"/>
        <v>0.87341772151898733</v>
      </c>
      <c r="C208" s="13">
        <v>0.96459698462432697</v>
      </c>
      <c r="D208" t="str">
        <f t="shared" si="7"/>
        <v>C</v>
      </c>
    </row>
    <row r="209" spans="1:4">
      <c r="A209" s="11" t="s">
        <v>95</v>
      </c>
      <c r="B209" s="15">
        <f t="shared" si="6"/>
        <v>0.87763713080168781</v>
      </c>
      <c r="C209" s="13">
        <v>0.96589252718225993</v>
      </c>
      <c r="D209" t="str">
        <f t="shared" si="7"/>
        <v>C</v>
      </c>
    </row>
    <row r="210" spans="1:4">
      <c r="A210" s="11" t="s">
        <v>206</v>
      </c>
      <c r="B210" s="15">
        <f t="shared" si="6"/>
        <v>0.88185654008438819</v>
      </c>
      <c r="C210" s="13">
        <v>0.96716426504071795</v>
      </c>
      <c r="D210" t="str">
        <f t="shared" si="7"/>
        <v>C</v>
      </c>
    </row>
    <row r="211" spans="1:4">
      <c r="A211" s="11" t="s">
        <v>110</v>
      </c>
      <c r="B211" s="15">
        <f t="shared" si="6"/>
        <v>0.88607594936708856</v>
      </c>
      <c r="C211" s="13">
        <v>0.96843336987372619</v>
      </c>
      <c r="D211" t="str">
        <f t="shared" si="7"/>
        <v>C</v>
      </c>
    </row>
    <row r="212" spans="1:4">
      <c r="A212" s="11" t="s">
        <v>63</v>
      </c>
      <c r="B212" s="15">
        <f t="shared" si="6"/>
        <v>0.89029535864978904</v>
      </c>
      <c r="C212" s="13">
        <v>0.9696992102925287</v>
      </c>
      <c r="D212" t="str">
        <f t="shared" si="7"/>
        <v>C</v>
      </c>
    </row>
    <row r="213" spans="1:4">
      <c r="A213" s="11" t="s">
        <v>230</v>
      </c>
      <c r="B213" s="15">
        <f t="shared" si="6"/>
        <v>0.89451476793248941</v>
      </c>
      <c r="C213" s="13">
        <v>0.97096034888017091</v>
      </c>
      <c r="D213" t="str">
        <f t="shared" si="7"/>
        <v>C</v>
      </c>
    </row>
    <row r="214" spans="1:4">
      <c r="A214" s="11" t="s">
        <v>87</v>
      </c>
      <c r="B214" s="15">
        <f t="shared" si="6"/>
        <v>0.89873417721518989</v>
      </c>
      <c r="C214" s="13">
        <v>0.97222078891004071</v>
      </c>
      <c r="D214" t="str">
        <f t="shared" si="7"/>
        <v>C</v>
      </c>
    </row>
    <row r="215" spans="1:4">
      <c r="A215" s="11" t="s">
        <v>125</v>
      </c>
      <c r="B215" s="15">
        <f t="shared" si="6"/>
        <v>0.90295358649789026</v>
      </c>
      <c r="C215" s="13">
        <v>0.97347987212577569</v>
      </c>
      <c r="D215" t="str">
        <f t="shared" si="7"/>
        <v>C</v>
      </c>
    </row>
    <row r="216" spans="1:4">
      <c r="A216" s="11" t="s">
        <v>118</v>
      </c>
      <c r="B216" s="15">
        <f t="shared" si="6"/>
        <v>0.90717299578059074</v>
      </c>
      <c r="C216" s="13">
        <v>0.97473836425416471</v>
      </c>
      <c r="D216" t="str">
        <f t="shared" si="7"/>
        <v>C</v>
      </c>
    </row>
    <row r="217" spans="1:4">
      <c r="A217" s="11" t="s">
        <v>265</v>
      </c>
      <c r="B217" s="15">
        <f t="shared" si="6"/>
        <v>0.91139240506329111</v>
      </c>
      <c r="C217" s="13">
        <v>0.97598829904984186</v>
      </c>
      <c r="D217" t="str">
        <f t="shared" si="7"/>
        <v>C</v>
      </c>
    </row>
    <row r="218" spans="1:4">
      <c r="A218" s="11" t="s">
        <v>162</v>
      </c>
      <c r="B218" s="15">
        <f t="shared" si="6"/>
        <v>0.91561181434599159</v>
      </c>
      <c r="C218" s="13">
        <v>0.97723566798908579</v>
      </c>
      <c r="D218" t="str">
        <f t="shared" si="7"/>
        <v>C</v>
      </c>
    </row>
    <row r="219" spans="1:4">
      <c r="A219" s="11" t="s">
        <v>173</v>
      </c>
      <c r="B219" s="15">
        <f t="shared" si="6"/>
        <v>0.91983122362869196</v>
      </c>
      <c r="C219" s="13">
        <v>0.9784750303815537</v>
      </c>
      <c r="D219" t="str">
        <f t="shared" si="7"/>
        <v>C</v>
      </c>
    </row>
    <row r="220" spans="1:4">
      <c r="A220" s="11" t="s">
        <v>122</v>
      </c>
      <c r="B220" s="15">
        <f t="shared" si="6"/>
        <v>0.92405063291139244</v>
      </c>
      <c r="C220" s="13">
        <v>0.97970341735671296</v>
      </c>
      <c r="D220" t="str">
        <f t="shared" si="7"/>
        <v>C</v>
      </c>
    </row>
    <row r="221" spans="1:4">
      <c r="A221" s="11" t="s">
        <v>154</v>
      </c>
      <c r="B221" s="15">
        <f t="shared" si="6"/>
        <v>0.92827004219409281</v>
      </c>
      <c r="C221" s="13">
        <v>0.98092742491199147</v>
      </c>
      <c r="D221" t="str">
        <f t="shared" si="7"/>
        <v>C</v>
      </c>
    </row>
    <row r="222" spans="1:4">
      <c r="A222" s="11" t="s">
        <v>62</v>
      </c>
      <c r="B222" s="15">
        <f t="shared" si="6"/>
        <v>0.9324894514767933</v>
      </c>
      <c r="C222" s="13">
        <v>0.98214870540519694</v>
      </c>
      <c r="D222" t="str">
        <f t="shared" si="7"/>
        <v>C</v>
      </c>
    </row>
    <row r="223" spans="1:4">
      <c r="A223" s="11" t="s">
        <v>68</v>
      </c>
      <c r="B223" s="15">
        <f t="shared" si="6"/>
        <v>0.93670886075949367</v>
      </c>
      <c r="C223" s="13">
        <v>0.98336566021373473</v>
      </c>
      <c r="D223" t="str">
        <f t="shared" si="7"/>
        <v>C</v>
      </c>
    </row>
    <row r="224" spans="1:4">
      <c r="A224" s="11" t="s">
        <v>119</v>
      </c>
      <c r="B224" s="15">
        <f t="shared" si="6"/>
        <v>0.94092827004219415</v>
      </c>
      <c r="C224" s="13">
        <v>0.98457158586975069</v>
      </c>
      <c r="D224" t="str">
        <f t="shared" si="7"/>
        <v>C</v>
      </c>
    </row>
    <row r="225" spans="1:4">
      <c r="A225" s="11" t="s">
        <v>253</v>
      </c>
      <c r="B225" s="15">
        <f t="shared" si="6"/>
        <v>0.94514767932489452</v>
      </c>
      <c r="C225" s="13">
        <v>0.98577373662703505</v>
      </c>
      <c r="D225" t="str">
        <f t="shared" si="7"/>
        <v>C</v>
      </c>
    </row>
    <row r="226" spans="1:4">
      <c r="A226" s="11" t="s">
        <v>229</v>
      </c>
      <c r="B226" s="15">
        <f t="shared" si="6"/>
        <v>0.94936708860759489</v>
      </c>
      <c r="C226" s="13">
        <v>0.98697440966595462</v>
      </c>
      <c r="D226" t="str">
        <f t="shared" si="7"/>
        <v>C</v>
      </c>
    </row>
    <row r="227" spans="1:4">
      <c r="A227" s="11" t="s">
        <v>112</v>
      </c>
      <c r="B227" s="15">
        <f t="shared" si="6"/>
        <v>0.95358649789029537</v>
      </c>
      <c r="C227" s="13">
        <v>0.98816801652433039</v>
      </c>
      <c r="D227" t="str">
        <f t="shared" si="7"/>
        <v>C</v>
      </c>
    </row>
    <row r="228" spans="1:4">
      <c r="A228" s="11" t="s">
        <v>169</v>
      </c>
      <c r="B228" s="15">
        <f t="shared" si="6"/>
        <v>0.95780590717299574</v>
      </c>
      <c r="C228" s="13">
        <v>0.98932249071364842</v>
      </c>
      <c r="D228" t="str">
        <f t="shared" si="7"/>
        <v>C</v>
      </c>
    </row>
    <row r="229" spans="1:4">
      <c r="A229" s="11" t="s">
        <v>271</v>
      </c>
      <c r="B229" s="15">
        <f t="shared" si="6"/>
        <v>0.96202531645569622</v>
      </c>
      <c r="C229" s="13">
        <v>0.9904659223166411</v>
      </c>
      <c r="D229" t="str">
        <f t="shared" si="7"/>
        <v>C</v>
      </c>
    </row>
    <row r="230" spans="1:4">
      <c r="A230" s="11" t="s">
        <v>51</v>
      </c>
      <c r="B230" s="15">
        <f t="shared" si="6"/>
        <v>0.96624472573839659</v>
      </c>
      <c r="C230" s="13">
        <v>0.99160860162664821</v>
      </c>
      <c r="D230" t="str">
        <f t="shared" si="7"/>
        <v>C</v>
      </c>
    </row>
    <row r="231" spans="1:4">
      <c r="A231" s="11" t="s">
        <v>236</v>
      </c>
      <c r="B231" s="15">
        <f t="shared" si="6"/>
        <v>0.97046413502109707</v>
      </c>
      <c r="C231" s="13">
        <v>0.99274465807162082</v>
      </c>
      <c r="D231" t="str">
        <f t="shared" si="7"/>
        <v>C</v>
      </c>
    </row>
    <row r="232" spans="1:4">
      <c r="A232" s="11" t="s">
        <v>279</v>
      </c>
      <c r="B232" s="15">
        <f t="shared" si="6"/>
        <v>0.97468354430379744</v>
      </c>
      <c r="C232" s="13">
        <v>0.9938736886374594</v>
      </c>
      <c r="D232" t="str">
        <f t="shared" si="7"/>
        <v>C</v>
      </c>
    </row>
    <row r="233" spans="1:4">
      <c r="A233" s="11" t="s">
        <v>232</v>
      </c>
      <c r="B233" s="15">
        <f t="shared" si="6"/>
        <v>0.97890295358649793</v>
      </c>
      <c r="C233" s="13">
        <v>0.99499636501432986</v>
      </c>
      <c r="D233" t="str">
        <f t="shared" si="7"/>
        <v>C</v>
      </c>
    </row>
    <row r="234" spans="1:4">
      <c r="A234" s="11" t="s">
        <v>56</v>
      </c>
      <c r="B234" s="15">
        <f t="shared" si="6"/>
        <v>0.9831223628691983</v>
      </c>
      <c r="C234" s="13">
        <v>0.99610543294844189</v>
      </c>
      <c r="D234" t="str">
        <f t="shared" si="7"/>
        <v>C</v>
      </c>
    </row>
    <row r="235" spans="1:4">
      <c r="A235" s="11" t="s">
        <v>258</v>
      </c>
      <c r="B235" s="15">
        <f t="shared" si="6"/>
        <v>0.98734177215189878</v>
      </c>
      <c r="C235" s="13">
        <v>0.99718420765607763</v>
      </c>
      <c r="D235" t="str">
        <f t="shared" si="7"/>
        <v>C</v>
      </c>
    </row>
    <row r="236" spans="1:4">
      <c r="A236" s="11" t="s">
        <v>121</v>
      </c>
      <c r="B236" s="15">
        <f t="shared" si="6"/>
        <v>0.99156118143459915</v>
      </c>
      <c r="C236" s="13">
        <v>0.99819256236673415</v>
      </c>
      <c r="D236" t="str">
        <f t="shared" si="7"/>
        <v>C</v>
      </c>
    </row>
    <row r="237" spans="1:4">
      <c r="A237" s="11" t="s">
        <v>163</v>
      </c>
      <c r="B237" s="15">
        <f t="shared" si="6"/>
        <v>0.99578059071729963</v>
      </c>
      <c r="C237" s="13">
        <v>0.99916613696060708</v>
      </c>
      <c r="D237" t="str">
        <f t="shared" si="7"/>
        <v>C</v>
      </c>
    </row>
    <row r="238" spans="1:4">
      <c r="A238" s="11" t="s">
        <v>268</v>
      </c>
      <c r="B238" s="15">
        <f t="shared" si="6"/>
        <v>1</v>
      </c>
      <c r="C238" s="13">
        <v>1</v>
      </c>
      <c r="D238" t="str">
        <f t="shared" si="7"/>
        <v>C</v>
      </c>
    </row>
  </sheetData>
  <phoneticPr fontId="6" type="noConversion"/>
  <conditionalFormatting sqref="B1:B1048576">
    <cfRule type="cellIs" dxfId="5" priority="1" operator="between">
      <formula>0.5</formula>
      <formula>1</formula>
    </cfRule>
    <cfRule type="cellIs" dxfId="4" priority="2" operator="between">
      <formula>0.2</formula>
      <formula>0.5</formula>
    </cfRule>
    <cfRule type="cellIs" dxfId="3" priority="6" operator="between">
      <formula>0.0001</formula>
      <formula>0.2</formula>
    </cfRule>
  </conditionalFormatting>
  <conditionalFormatting sqref="C1:C1048576">
    <cfRule type="cellIs" dxfId="2" priority="3" operator="greaterThan">
      <formula>0.95</formula>
    </cfRule>
    <cfRule type="cellIs" dxfId="1" priority="4" operator="between">
      <formula>0.8</formula>
      <formula>0.95</formula>
    </cfRule>
    <cfRule type="cellIs" dxfId="0" priority="5" operator="between">
      <formula>0.00002</formula>
      <formula>0.8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F004-1893-4A4D-B473-DFFDB99B1844}">
  <dimension ref="A1:S240"/>
  <sheetViews>
    <sheetView workbookViewId="0">
      <selection activeCell="C1" sqref="C1:C1048576"/>
    </sheetView>
  </sheetViews>
  <sheetFormatPr defaultRowHeight="15"/>
  <cols>
    <col min="1" max="1" width="35.140625" bestFit="1" customWidth="1"/>
    <col min="2" max="2" width="10.7109375" customWidth="1"/>
    <col min="8" max="8" width="35.140625" bestFit="1" customWidth="1"/>
    <col min="9" max="9" width="20.85546875" bestFit="1" customWidth="1"/>
    <col min="10" max="16" width="8" bestFit="1" customWidth="1"/>
    <col min="17" max="17" width="11.85546875" bestFit="1" customWidth="1"/>
    <col min="18" max="18" width="9" style="15" bestFit="1" customWidth="1"/>
    <col min="19" max="37" width="9" bestFit="1" customWidth="1"/>
    <col min="38" max="38" width="9.140625" bestFit="1" customWidth="1"/>
    <col min="39" max="39" width="6.5703125" bestFit="1" customWidth="1"/>
    <col min="40" max="40" width="6.140625" bestFit="1" customWidth="1"/>
    <col min="41" max="41" width="6.5703125" bestFit="1" customWidth="1"/>
    <col min="42" max="43" width="6.7109375" bestFit="1" customWidth="1"/>
    <col min="44" max="44" width="5.5703125" bestFit="1" customWidth="1"/>
    <col min="45" max="45" width="11.85546875" bestFit="1" customWidth="1"/>
    <col min="46" max="46" width="6.7109375" bestFit="1" customWidth="1"/>
    <col min="47" max="47" width="5.5703125" bestFit="1" customWidth="1"/>
    <col min="48" max="48" width="11.85546875" bestFit="1" customWidth="1"/>
    <col min="49" max="251" width="10.42578125" bestFit="1" customWidth="1"/>
    <col min="252" max="252" width="11.85546875" bestFit="1" customWidth="1"/>
  </cols>
  <sheetData>
    <row r="1" spans="1:19">
      <c r="A1" t="s">
        <v>298</v>
      </c>
      <c r="B1" t="s">
        <v>299</v>
      </c>
      <c r="C1" t="s">
        <v>18</v>
      </c>
      <c r="H1" s="10" t="s">
        <v>287</v>
      </c>
      <c r="I1" s="10" t="s">
        <v>295</v>
      </c>
    </row>
    <row r="2" spans="1:19">
      <c r="A2" s="11" t="s">
        <v>74</v>
      </c>
      <c r="B2" t="s">
        <v>13</v>
      </c>
      <c r="C2" t="s">
        <v>19</v>
      </c>
      <c r="H2" s="10" t="s">
        <v>284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285</v>
      </c>
      <c r="R2" s="15" t="s">
        <v>300</v>
      </c>
    </row>
    <row r="3" spans="1:19">
      <c r="A3" s="11" t="s">
        <v>159</v>
      </c>
      <c r="B3" t="s">
        <v>13</v>
      </c>
      <c r="C3" t="s">
        <v>19</v>
      </c>
      <c r="H3" s="11" t="s">
        <v>74</v>
      </c>
      <c r="I3" s="12">
        <v>130728</v>
      </c>
      <c r="J3" s="12">
        <v>236463</v>
      </c>
      <c r="K3" s="12">
        <v>286103</v>
      </c>
      <c r="L3" s="12">
        <v>95959</v>
      </c>
      <c r="M3" s="12">
        <v>273948</v>
      </c>
      <c r="N3" s="12">
        <v>37731</v>
      </c>
      <c r="O3" s="12">
        <v>226890</v>
      </c>
      <c r="P3" s="12">
        <v>128512</v>
      </c>
      <c r="Q3" s="12">
        <v>1416334</v>
      </c>
      <c r="R3" s="15">
        <f>_xlfn.STDEV.P(I3:P3)/AVERAGE(I3:P3)</f>
        <v>0.48004174963943047</v>
      </c>
      <c r="S3" t="str">
        <f>IF(R3&lt;=10%,"X",IF(R3&lt;=25%,"Y","Z"))</f>
        <v>Z</v>
      </c>
    </row>
    <row r="4" spans="1:19">
      <c r="A4" s="11" t="s">
        <v>108</v>
      </c>
      <c r="B4" t="s">
        <v>13</v>
      </c>
      <c r="C4" t="s">
        <v>20</v>
      </c>
      <c r="H4" s="11" t="s">
        <v>159</v>
      </c>
      <c r="I4" s="12">
        <v>105877</v>
      </c>
      <c r="J4" s="12">
        <v>355725</v>
      </c>
      <c r="K4" s="12">
        <v>295403</v>
      </c>
      <c r="L4" s="12">
        <v>136486</v>
      </c>
      <c r="M4" s="12">
        <v>50753</v>
      </c>
      <c r="N4" s="12">
        <v>63301</v>
      </c>
      <c r="O4" s="12">
        <v>334894</v>
      </c>
      <c r="P4" s="12">
        <v>45493</v>
      </c>
      <c r="Q4" s="12">
        <v>1387932</v>
      </c>
      <c r="R4" s="15">
        <f t="shared" ref="R4:R67" si="0">_xlfn.STDEV.P(I4:P4)/AVERAGE(I4:P4)</f>
        <v>0.71660575229982726</v>
      </c>
      <c r="S4" t="str">
        <f t="shared" ref="S4:S67" si="1">IF(R4&lt;=10%,"X",IF(R4&lt;=25%,"Y","Z"))</f>
        <v>Z</v>
      </c>
    </row>
    <row r="5" spans="1:19">
      <c r="A5" s="11" t="s">
        <v>133</v>
      </c>
      <c r="B5" t="s">
        <v>13</v>
      </c>
      <c r="C5" t="s">
        <v>19</v>
      </c>
      <c r="H5" s="11" t="s">
        <v>108</v>
      </c>
      <c r="I5" s="12">
        <v>169102</v>
      </c>
      <c r="J5" s="12">
        <v>196966</v>
      </c>
      <c r="K5" s="12">
        <v>139459</v>
      </c>
      <c r="L5" s="12">
        <v>177120</v>
      </c>
      <c r="M5" s="12">
        <v>184836</v>
      </c>
      <c r="N5" s="12">
        <v>166902</v>
      </c>
      <c r="O5" s="12">
        <v>145568</v>
      </c>
      <c r="P5" s="12">
        <v>151307</v>
      </c>
      <c r="Q5" s="12">
        <v>1331260</v>
      </c>
      <c r="R5" s="15">
        <f t="shared" si="0"/>
        <v>0.11210740987993495</v>
      </c>
      <c r="S5" t="str">
        <f t="shared" si="1"/>
        <v>Y</v>
      </c>
    </row>
    <row r="6" spans="1:19">
      <c r="A6" s="11" t="s">
        <v>109</v>
      </c>
      <c r="B6" t="s">
        <v>13</v>
      </c>
      <c r="C6" t="s">
        <v>21</v>
      </c>
      <c r="H6" s="11" t="s">
        <v>133</v>
      </c>
      <c r="I6" s="12">
        <v>211636</v>
      </c>
      <c r="J6" s="12">
        <v>30490</v>
      </c>
      <c r="K6" s="12">
        <v>197476</v>
      </c>
      <c r="L6" s="12">
        <v>82485</v>
      </c>
      <c r="M6" s="12">
        <v>242676</v>
      </c>
      <c r="N6" s="12">
        <v>89540</v>
      </c>
      <c r="O6" s="12">
        <v>212049</v>
      </c>
      <c r="P6" s="12">
        <v>218590</v>
      </c>
      <c r="Q6" s="12">
        <v>1284942</v>
      </c>
      <c r="R6" s="15">
        <f t="shared" si="0"/>
        <v>0.46586105366597252</v>
      </c>
      <c r="S6" t="str">
        <f t="shared" si="1"/>
        <v>Z</v>
      </c>
    </row>
    <row r="7" spans="1:19">
      <c r="A7" s="11" t="s">
        <v>84</v>
      </c>
      <c r="B7" t="s">
        <v>13</v>
      </c>
      <c r="C7" t="s">
        <v>19</v>
      </c>
      <c r="H7" s="11" t="s">
        <v>109</v>
      </c>
      <c r="I7" s="12">
        <v>157450</v>
      </c>
      <c r="J7" s="12">
        <v>155569</v>
      </c>
      <c r="K7" s="12">
        <v>152316</v>
      </c>
      <c r="L7" s="12">
        <v>153106</v>
      </c>
      <c r="M7" s="12">
        <v>153987</v>
      </c>
      <c r="N7" s="12">
        <v>160418</v>
      </c>
      <c r="O7" s="12">
        <v>158953</v>
      </c>
      <c r="P7" s="12">
        <v>152940</v>
      </c>
      <c r="Q7" s="12">
        <v>1244739</v>
      </c>
      <c r="R7" s="15">
        <f t="shared" si="0"/>
        <v>1.8257912190672902E-2</v>
      </c>
      <c r="S7" t="str">
        <f t="shared" si="1"/>
        <v>X</v>
      </c>
    </row>
    <row r="8" spans="1:19">
      <c r="A8" s="11" t="s">
        <v>93</v>
      </c>
      <c r="B8" t="s">
        <v>13</v>
      </c>
      <c r="C8" t="s">
        <v>19</v>
      </c>
      <c r="H8" s="11" t="s">
        <v>84</v>
      </c>
      <c r="I8" s="12">
        <v>301051</v>
      </c>
      <c r="J8" s="12">
        <v>43950</v>
      </c>
      <c r="K8" s="12">
        <v>36063</v>
      </c>
      <c r="L8" s="12">
        <v>237377</v>
      </c>
      <c r="M8" s="12">
        <v>255939</v>
      </c>
      <c r="N8" s="12">
        <v>204030</v>
      </c>
      <c r="O8" s="12">
        <v>46386</v>
      </c>
      <c r="P8" s="12">
        <v>119785</v>
      </c>
      <c r="Q8" s="12">
        <v>1244581</v>
      </c>
      <c r="R8" s="15">
        <f t="shared" si="0"/>
        <v>0.64367815330794897</v>
      </c>
      <c r="S8" t="str">
        <f t="shared" si="1"/>
        <v>Z</v>
      </c>
    </row>
    <row r="9" spans="1:19">
      <c r="A9" s="11" t="s">
        <v>251</v>
      </c>
      <c r="B9" t="s">
        <v>13</v>
      </c>
      <c r="C9" t="s">
        <v>20</v>
      </c>
      <c r="H9" s="11" t="s">
        <v>93</v>
      </c>
      <c r="I9" s="12">
        <v>217580</v>
      </c>
      <c r="J9" s="12">
        <v>108546</v>
      </c>
      <c r="K9" s="12">
        <v>76494</v>
      </c>
      <c r="L9" s="12">
        <v>74759</v>
      </c>
      <c r="M9" s="12">
        <v>200230</v>
      </c>
      <c r="N9" s="12">
        <v>73810</v>
      </c>
      <c r="O9" s="12">
        <v>205076</v>
      </c>
      <c r="P9" s="12">
        <v>247366</v>
      </c>
      <c r="Q9" s="12">
        <v>1203861</v>
      </c>
      <c r="R9" s="15">
        <f t="shared" si="0"/>
        <v>0.45913488627089361</v>
      </c>
      <c r="S9" t="str">
        <f t="shared" si="1"/>
        <v>Z</v>
      </c>
    </row>
    <row r="10" spans="1:19">
      <c r="A10" s="11" t="s">
        <v>72</v>
      </c>
      <c r="B10" t="s">
        <v>13</v>
      </c>
      <c r="C10" t="s">
        <v>21</v>
      </c>
      <c r="H10" s="11" t="s">
        <v>251</v>
      </c>
      <c r="I10" s="12">
        <v>134375</v>
      </c>
      <c r="J10" s="12">
        <v>183477</v>
      </c>
      <c r="K10" s="12">
        <v>177917</v>
      </c>
      <c r="L10" s="12">
        <v>121428</v>
      </c>
      <c r="M10" s="12">
        <v>169078</v>
      </c>
      <c r="N10" s="12">
        <v>105832</v>
      </c>
      <c r="O10" s="12">
        <v>165602</v>
      </c>
      <c r="P10" s="12">
        <v>101023</v>
      </c>
      <c r="Q10" s="12">
        <v>1158732</v>
      </c>
      <c r="R10" s="15">
        <f t="shared" si="0"/>
        <v>0.21425853234408967</v>
      </c>
      <c r="S10" t="str">
        <f t="shared" si="1"/>
        <v>Y</v>
      </c>
    </row>
    <row r="11" spans="1:19">
      <c r="A11" s="11" t="s">
        <v>97</v>
      </c>
      <c r="B11" t="s">
        <v>13</v>
      </c>
      <c r="C11" t="s">
        <v>21</v>
      </c>
      <c r="H11" s="11" t="s">
        <v>72</v>
      </c>
      <c r="I11" s="12">
        <v>146330</v>
      </c>
      <c r="J11" s="12">
        <v>147088</v>
      </c>
      <c r="K11" s="12">
        <v>144669</v>
      </c>
      <c r="L11" s="12">
        <v>138884</v>
      </c>
      <c r="M11" s="12">
        <v>144049</v>
      </c>
      <c r="N11" s="12">
        <v>146224</v>
      </c>
      <c r="O11" s="12">
        <v>143984</v>
      </c>
      <c r="P11" s="12">
        <v>147500</v>
      </c>
      <c r="Q11" s="12">
        <v>1158728</v>
      </c>
      <c r="R11" s="15">
        <f t="shared" si="0"/>
        <v>1.7791724965808879E-2</v>
      </c>
      <c r="S11" t="str">
        <f t="shared" si="1"/>
        <v>X</v>
      </c>
    </row>
    <row r="12" spans="1:19">
      <c r="A12" s="11" t="s">
        <v>54</v>
      </c>
      <c r="B12" t="s">
        <v>13</v>
      </c>
      <c r="C12" t="s">
        <v>21</v>
      </c>
      <c r="H12" s="11" t="s">
        <v>97</v>
      </c>
      <c r="I12" s="12">
        <v>145098</v>
      </c>
      <c r="J12" s="12">
        <v>139525</v>
      </c>
      <c r="K12" s="12">
        <v>145161</v>
      </c>
      <c r="L12" s="12">
        <v>145167</v>
      </c>
      <c r="M12" s="12">
        <v>141327</v>
      </c>
      <c r="N12" s="12">
        <v>140648</v>
      </c>
      <c r="O12" s="12">
        <v>142149</v>
      </c>
      <c r="P12" s="12">
        <v>143023</v>
      </c>
      <c r="Q12" s="12">
        <v>1142098</v>
      </c>
      <c r="R12" s="15">
        <f t="shared" si="0"/>
        <v>1.4534950334742067E-2</v>
      </c>
      <c r="S12" t="str">
        <f t="shared" si="1"/>
        <v>X</v>
      </c>
    </row>
    <row r="13" spans="1:19">
      <c r="A13" s="11" t="s">
        <v>277</v>
      </c>
      <c r="B13" t="s">
        <v>13</v>
      </c>
      <c r="C13" t="s">
        <v>19</v>
      </c>
      <c r="H13" s="11" t="s">
        <v>54</v>
      </c>
      <c r="I13" s="12">
        <v>134590</v>
      </c>
      <c r="J13" s="12">
        <v>138973</v>
      </c>
      <c r="K13" s="12">
        <v>139993</v>
      </c>
      <c r="L13" s="12">
        <v>135060</v>
      </c>
      <c r="M13" s="12">
        <v>140198</v>
      </c>
      <c r="N13" s="12">
        <v>136701</v>
      </c>
      <c r="O13" s="12">
        <v>138431</v>
      </c>
      <c r="P13" s="12">
        <v>137475</v>
      </c>
      <c r="Q13" s="12">
        <v>1101421</v>
      </c>
      <c r="R13" s="15">
        <f t="shared" si="0"/>
        <v>1.4375887009474026E-2</v>
      </c>
      <c r="S13" t="str">
        <f t="shared" si="1"/>
        <v>X</v>
      </c>
    </row>
    <row r="14" spans="1:19">
      <c r="A14" s="11" t="s">
        <v>98</v>
      </c>
      <c r="B14" t="s">
        <v>13</v>
      </c>
      <c r="C14" t="s">
        <v>20</v>
      </c>
      <c r="H14" s="11" t="s">
        <v>277</v>
      </c>
      <c r="I14" s="12">
        <v>23888</v>
      </c>
      <c r="J14" s="12">
        <v>165036</v>
      </c>
      <c r="K14" s="12">
        <v>32906</v>
      </c>
      <c r="L14" s="12">
        <v>198319</v>
      </c>
      <c r="M14" s="12">
        <v>188123</v>
      </c>
      <c r="N14" s="12">
        <v>161296</v>
      </c>
      <c r="O14" s="12">
        <v>222477</v>
      </c>
      <c r="P14" s="12">
        <v>84130</v>
      </c>
      <c r="Q14" s="12">
        <v>1076175</v>
      </c>
      <c r="R14" s="15">
        <f t="shared" si="0"/>
        <v>0.53497207981801942</v>
      </c>
      <c r="S14" t="str">
        <f t="shared" si="1"/>
        <v>Z</v>
      </c>
    </row>
    <row r="15" spans="1:19">
      <c r="A15" s="11" t="s">
        <v>107</v>
      </c>
      <c r="B15" t="s">
        <v>13</v>
      </c>
      <c r="C15" t="s">
        <v>19</v>
      </c>
      <c r="H15" s="11" t="s">
        <v>98</v>
      </c>
      <c r="I15" s="12">
        <v>112582</v>
      </c>
      <c r="J15" s="12">
        <v>102164</v>
      </c>
      <c r="K15" s="12">
        <v>155967</v>
      </c>
      <c r="L15" s="12">
        <v>120652</v>
      </c>
      <c r="M15" s="12">
        <v>105806</v>
      </c>
      <c r="N15" s="12">
        <v>179051</v>
      </c>
      <c r="O15" s="12">
        <v>130975</v>
      </c>
      <c r="P15" s="12">
        <v>167377</v>
      </c>
      <c r="Q15" s="12">
        <v>1074574</v>
      </c>
      <c r="R15" s="15">
        <f t="shared" si="0"/>
        <v>0.20523623929309151</v>
      </c>
      <c r="S15" t="str">
        <f t="shared" si="1"/>
        <v>Y</v>
      </c>
    </row>
    <row r="16" spans="1:19">
      <c r="A16" s="11" t="s">
        <v>92</v>
      </c>
      <c r="B16" t="s">
        <v>13</v>
      </c>
      <c r="C16" t="s">
        <v>21</v>
      </c>
      <c r="H16" s="11" t="s">
        <v>107</v>
      </c>
      <c r="I16" s="12">
        <v>157895</v>
      </c>
      <c r="J16" s="12">
        <v>174828</v>
      </c>
      <c r="K16" s="12">
        <v>25666</v>
      </c>
      <c r="L16" s="12">
        <v>172912</v>
      </c>
      <c r="M16" s="12">
        <v>58834</v>
      </c>
      <c r="N16" s="12">
        <v>205205</v>
      </c>
      <c r="O16" s="12">
        <v>56632</v>
      </c>
      <c r="P16" s="12">
        <v>222102</v>
      </c>
      <c r="Q16" s="12">
        <v>1074074</v>
      </c>
      <c r="R16" s="15">
        <f t="shared" si="0"/>
        <v>0.52638033913338733</v>
      </c>
      <c r="S16" t="str">
        <f t="shared" si="1"/>
        <v>Z</v>
      </c>
    </row>
    <row r="17" spans="1:19">
      <c r="A17" s="11" t="s">
        <v>204</v>
      </c>
      <c r="B17" t="s">
        <v>13</v>
      </c>
      <c r="C17" t="s">
        <v>21</v>
      </c>
      <c r="H17" s="11" t="s">
        <v>92</v>
      </c>
      <c r="I17" s="12">
        <v>126605</v>
      </c>
      <c r="J17" s="12">
        <v>125252</v>
      </c>
      <c r="K17" s="12">
        <v>131843</v>
      </c>
      <c r="L17" s="12">
        <v>131957</v>
      </c>
      <c r="M17" s="12">
        <v>129881</v>
      </c>
      <c r="N17" s="12">
        <v>136681</v>
      </c>
      <c r="O17" s="12">
        <v>129338</v>
      </c>
      <c r="P17" s="12">
        <v>126114</v>
      </c>
      <c r="Q17" s="12">
        <v>1037671</v>
      </c>
      <c r="R17" s="15">
        <f t="shared" si="0"/>
        <v>2.7367240033933871E-2</v>
      </c>
      <c r="S17" t="str">
        <f t="shared" si="1"/>
        <v>X</v>
      </c>
    </row>
    <row r="18" spans="1:19">
      <c r="A18" s="11" t="s">
        <v>123</v>
      </c>
      <c r="B18" t="s">
        <v>13</v>
      </c>
      <c r="C18" t="s">
        <v>21</v>
      </c>
      <c r="H18" s="11" t="s">
        <v>204</v>
      </c>
      <c r="I18" s="12">
        <v>126994</v>
      </c>
      <c r="J18" s="12">
        <v>127269</v>
      </c>
      <c r="K18" s="12">
        <v>117992</v>
      </c>
      <c r="L18" s="12">
        <v>119303</v>
      </c>
      <c r="M18" s="12">
        <v>124751</v>
      </c>
      <c r="N18" s="12">
        <v>122833</v>
      </c>
      <c r="O18" s="12">
        <v>126323</v>
      </c>
      <c r="P18" s="12">
        <v>124048</v>
      </c>
      <c r="Q18" s="12">
        <v>989513</v>
      </c>
      <c r="R18" s="15">
        <f t="shared" si="0"/>
        <v>2.6253721009998558E-2</v>
      </c>
      <c r="S18" t="str">
        <f t="shared" si="1"/>
        <v>X</v>
      </c>
    </row>
    <row r="19" spans="1:19">
      <c r="A19" s="11" t="s">
        <v>106</v>
      </c>
      <c r="B19" t="s">
        <v>13</v>
      </c>
      <c r="C19" t="s">
        <v>19</v>
      </c>
      <c r="H19" s="11" t="s">
        <v>123</v>
      </c>
      <c r="I19" s="12">
        <v>115315</v>
      </c>
      <c r="J19" s="12">
        <v>112197</v>
      </c>
      <c r="K19" s="12">
        <v>119596</v>
      </c>
      <c r="L19" s="12">
        <v>112638</v>
      </c>
      <c r="M19" s="12">
        <v>116769</v>
      </c>
      <c r="N19" s="12">
        <v>113243</v>
      </c>
      <c r="O19" s="12">
        <v>119227</v>
      </c>
      <c r="P19" s="12">
        <v>116809</v>
      </c>
      <c r="Q19" s="12">
        <v>925794</v>
      </c>
      <c r="R19" s="15">
        <f t="shared" si="0"/>
        <v>2.3230775187777903E-2</v>
      </c>
      <c r="S19" t="str">
        <f t="shared" si="1"/>
        <v>X</v>
      </c>
    </row>
    <row r="20" spans="1:19">
      <c r="A20" s="11" t="s">
        <v>172</v>
      </c>
      <c r="B20" t="s">
        <v>13</v>
      </c>
      <c r="C20" t="s">
        <v>20</v>
      </c>
      <c r="H20" s="11" t="s">
        <v>106</v>
      </c>
      <c r="I20" s="12">
        <v>70719</v>
      </c>
      <c r="J20" s="12">
        <v>48284</v>
      </c>
      <c r="K20" s="12">
        <v>49683</v>
      </c>
      <c r="L20" s="12">
        <v>166019</v>
      </c>
      <c r="M20" s="12">
        <v>136536</v>
      </c>
      <c r="N20" s="12">
        <v>166050</v>
      </c>
      <c r="O20" s="12">
        <v>122081</v>
      </c>
      <c r="P20" s="12">
        <v>136941</v>
      </c>
      <c r="Q20" s="12">
        <v>896313</v>
      </c>
      <c r="R20" s="15">
        <f t="shared" si="0"/>
        <v>0.40916653306056688</v>
      </c>
      <c r="S20" t="str">
        <f t="shared" si="1"/>
        <v>Z</v>
      </c>
    </row>
    <row r="21" spans="1:19">
      <c r="A21" s="11" t="s">
        <v>183</v>
      </c>
      <c r="B21" t="s">
        <v>13</v>
      </c>
      <c r="C21" t="s">
        <v>21</v>
      </c>
      <c r="H21" s="11" t="s">
        <v>172</v>
      </c>
      <c r="I21" s="12">
        <v>117937</v>
      </c>
      <c r="J21" s="12">
        <v>124879</v>
      </c>
      <c r="K21" s="12">
        <v>104705</v>
      </c>
      <c r="L21" s="12">
        <v>123525</v>
      </c>
      <c r="M21" s="12">
        <v>111447</v>
      </c>
      <c r="N21" s="12">
        <v>98585</v>
      </c>
      <c r="O21" s="12">
        <v>79518</v>
      </c>
      <c r="P21" s="12">
        <v>134750</v>
      </c>
      <c r="Q21" s="12">
        <v>895346</v>
      </c>
      <c r="R21" s="15">
        <f t="shared" si="0"/>
        <v>0.14613783607871023</v>
      </c>
      <c r="S21" t="str">
        <f t="shared" si="1"/>
        <v>Y</v>
      </c>
    </row>
    <row r="22" spans="1:19">
      <c r="A22" s="11" t="s">
        <v>53</v>
      </c>
      <c r="B22" t="s">
        <v>13</v>
      </c>
      <c r="C22" t="s">
        <v>20</v>
      </c>
      <c r="H22" s="11" t="s">
        <v>183</v>
      </c>
      <c r="I22" s="12">
        <v>107457</v>
      </c>
      <c r="J22" s="12">
        <v>115140</v>
      </c>
      <c r="K22" s="12">
        <v>114070</v>
      </c>
      <c r="L22" s="12">
        <v>111511</v>
      </c>
      <c r="M22" s="12">
        <v>112505</v>
      </c>
      <c r="N22" s="12">
        <v>113713</v>
      </c>
      <c r="O22" s="12">
        <v>106830</v>
      </c>
      <c r="P22" s="12">
        <v>110195</v>
      </c>
      <c r="Q22" s="12">
        <v>891421</v>
      </c>
      <c r="R22" s="15">
        <f t="shared" si="0"/>
        <v>2.5694539092955257E-2</v>
      </c>
      <c r="S22" t="str">
        <f t="shared" si="1"/>
        <v>X</v>
      </c>
    </row>
    <row r="23" spans="1:19">
      <c r="A23" s="11" t="s">
        <v>100</v>
      </c>
      <c r="B23" t="s">
        <v>13</v>
      </c>
      <c r="C23" t="s">
        <v>19</v>
      </c>
      <c r="H23" s="11" t="s">
        <v>53</v>
      </c>
      <c r="I23" s="12">
        <v>120049</v>
      </c>
      <c r="J23" s="12">
        <v>87487</v>
      </c>
      <c r="K23" s="12">
        <v>133354</v>
      </c>
      <c r="L23" s="12">
        <v>136275</v>
      </c>
      <c r="M23" s="12">
        <v>96969</v>
      </c>
      <c r="N23" s="12">
        <v>89559</v>
      </c>
      <c r="O23" s="12">
        <v>108537</v>
      </c>
      <c r="P23" s="12">
        <v>106705</v>
      </c>
      <c r="Q23" s="12">
        <v>878935</v>
      </c>
      <c r="R23" s="15">
        <f t="shared" si="0"/>
        <v>0.15909175835465553</v>
      </c>
      <c r="S23" t="str">
        <f t="shared" si="1"/>
        <v>Y</v>
      </c>
    </row>
    <row r="24" spans="1:19">
      <c r="A24" s="11" t="s">
        <v>270</v>
      </c>
      <c r="B24" t="s">
        <v>13</v>
      </c>
      <c r="C24" t="s">
        <v>20</v>
      </c>
      <c r="H24" s="11" t="s">
        <v>100</v>
      </c>
      <c r="I24" s="12">
        <v>20629</v>
      </c>
      <c r="J24" s="12">
        <v>62167</v>
      </c>
      <c r="K24" s="12">
        <v>221204</v>
      </c>
      <c r="L24" s="12">
        <v>41138</v>
      </c>
      <c r="M24" s="12">
        <v>186877</v>
      </c>
      <c r="N24" s="12">
        <v>24919</v>
      </c>
      <c r="O24" s="12">
        <v>86747</v>
      </c>
      <c r="P24" s="12">
        <v>180138</v>
      </c>
      <c r="Q24" s="12">
        <v>823819</v>
      </c>
      <c r="R24" s="15">
        <f t="shared" si="0"/>
        <v>0.73313722526193836</v>
      </c>
      <c r="S24" t="str">
        <f t="shared" si="1"/>
        <v>Z</v>
      </c>
    </row>
    <row r="25" spans="1:19">
      <c r="A25" s="11" t="s">
        <v>124</v>
      </c>
      <c r="B25" t="s">
        <v>13</v>
      </c>
      <c r="C25" t="s">
        <v>21</v>
      </c>
      <c r="H25" s="11" t="s">
        <v>270</v>
      </c>
      <c r="I25" s="12">
        <v>105397</v>
      </c>
      <c r="J25" s="12">
        <v>97560</v>
      </c>
      <c r="K25" s="12">
        <v>135115</v>
      </c>
      <c r="L25" s="12">
        <v>94085</v>
      </c>
      <c r="M25" s="12">
        <v>99918</v>
      </c>
      <c r="N25" s="12">
        <v>85577</v>
      </c>
      <c r="O25" s="12">
        <v>81643</v>
      </c>
      <c r="P25" s="12">
        <v>115003</v>
      </c>
      <c r="Q25" s="12">
        <v>814298</v>
      </c>
      <c r="R25" s="15">
        <f t="shared" si="0"/>
        <v>0.15717820198876223</v>
      </c>
      <c r="S25" t="str">
        <f t="shared" si="1"/>
        <v>Y</v>
      </c>
    </row>
    <row r="26" spans="1:19">
      <c r="A26" s="11" t="s">
        <v>145</v>
      </c>
      <c r="B26" t="s">
        <v>13</v>
      </c>
      <c r="C26" t="s">
        <v>21</v>
      </c>
      <c r="H26" s="11" t="s">
        <v>124</v>
      </c>
      <c r="I26" s="12">
        <v>96556</v>
      </c>
      <c r="J26" s="12">
        <v>99448</v>
      </c>
      <c r="K26" s="12">
        <v>97184</v>
      </c>
      <c r="L26" s="12">
        <v>100709</v>
      </c>
      <c r="M26" s="12">
        <v>103179</v>
      </c>
      <c r="N26" s="12">
        <v>96824</v>
      </c>
      <c r="O26" s="12">
        <v>97076</v>
      </c>
      <c r="P26" s="12">
        <v>103779</v>
      </c>
      <c r="Q26" s="12">
        <v>794755</v>
      </c>
      <c r="R26" s="15">
        <f t="shared" si="0"/>
        <v>2.7608929731399674E-2</v>
      </c>
      <c r="S26" t="str">
        <f t="shared" si="1"/>
        <v>X</v>
      </c>
    </row>
    <row r="27" spans="1:19">
      <c r="A27" s="11" t="s">
        <v>58</v>
      </c>
      <c r="B27" t="s">
        <v>13</v>
      </c>
      <c r="C27" t="s">
        <v>21</v>
      </c>
      <c r="H27" s="11" t="s">
        <v>145</v>
      </c>
      <c r="I27" s="12">
        <v>96208</v>
      </c>
      <c r="J27" s="12">
        <v>98719</v>
      </c>
      <c r="K27" s="12">
        <v>102235</v>
      </c>
      <c r="L27" s="12">
        <v>98526</v>
      </c>
      <c r="M27" s="12">
        <v>96461</v>
      </c>
      <c r="N27" s="12">
        <v>93947</v>
      </c>
      <c r="O27" s="12">
        <v>94262</v>
      </c>
      <c r="P27" s="12">
        <v>101589</v>
      </c>
      <c r="Q27" s="12">
        <v>781947</v>
      </c>
      <c r="R27" s="15">
        <f t="shared" si="0"/>
        <v>2.96214610880308E-2</v>
      </c>
      <c r="S27" t="str">
        <f t="shared" si="1"/>
        <v>X</v>
      </c>
    </row>
    <row r="28" spans="1:19">
      <c r="A28" s="11" t="s">
        <v>99</v>
      </c>
      <c r="B28" t="s">
        <v>13</v>
      </c>
      <c r="C28" t="s">
        <v>20</v>
      </c>
      <c r="H28" s="11" t="s">
        <v>58</v>
      </c>
      <c r="I28" s="12">
        <v>92739</v>
      </c>
      <c r="J28" s="12">
        <v>95212</v>
      </c>
      <c r="K28" s="12">
        <v>91172</v>
      </c>
      <c r="L28" s="12">
        <v>96387</v>
      </c>
      <c r="M28" s="12">
        <v>94445</v>
      </c>
      <c r="N28" s="12">
        <v>96911</v>
      </c>
      <c r="O28" s="12">
        <v>92954</v>
      </c>
      <c r="P28" s="12">
        <v>92102</v>
      </c>
      <c r="Q28" s="12">
        <v>751922</v>
      </c>
      <c r="R28" s="15">
        <f t="shared" si="0"/>
        <v>2.0645005082910436E-2</v>
      </c>
      <c r="S28" t="str">
        <f t="shared" si="1"/>
        <v>X</v>
      </c>
    </row>
    <row r="29" spans="1:19">
      <c r="A29" s="11" t="s">
        <v>252</v>
      </c>
      <c r="B29" t="s">
        <v>13</v>
      </c>
      <c r="C29" t="s">
        <v>21</v>
      </c>
      <c r="H29" s="11" t="s">
        <v>99</v>
      </c>
      <c r="I29" s="12">
        <v>88967</v>
      </c>
      <c r="J29" s="12">
        <v>70548</v>
      </c>
      <c r="K29" s="12">
        <v>129734</v>
      </c>
      <c r="L29" s="12">
        <v>76967</v>
      </c>
      <c r="M29" s="12">
        <v>107626</v>
      </c>
      <c r="N29" s="12">
        <v>99913</v>
      </c>
      <c r="O29" s="12">
        <v>79430</v>
      </c>
      <c r="P29" s="12">
        <v>97069</v>
      </c>
      <c r="Q29" s="12">
        <v>750254</v>
      </c>
      <c r="R29" s="15">
        <f t="shared" si="0"/>
        <v>0.19165056053001117</v>
      </c>
      <c r="S29" t="str">
        <f t="shared" si="1"/>
        <v>Y</v>
      </c>
    </row>
    <row r="30" spans="1:19">
      <c r="A30" s="11" t="s">
        <v>189</v>
      </c>
      <c r="B30" t="s">
        <v>13</v>
      </c>
      <c r="C30" t="s">
        <v>20</v>
      </c>
      <c r="H30" s="11" t="s">
        <v>252</v>
      </c>
      <c r="I30" s="12">
        <v>88665</v>
      </c>
      <c r="J30" s="12">
        <v>94299</v>
      </c>
      <c r="K30" s="12">
        <v>89547</v>
      </c>
      <c r="L30" s="12">
        <v>89125</v>
      </c>
      <c r="M30" s="12">
        <v>93010</v>
      </c>
      <c r="N30" s="12">
        <v>90737</v>
      </c>
      <c r="O30" s="12">
        <v>94879</v>
      </c>
      <c r="P30" s="12">
        <v>89197</v>
      </c>
      <c r="Q30" s="12">
        <v>729459</v>
      </c>
      <c r="R30" s="15">
        <f t="shared" si="0"/>
        <v>2.5750083099283554E-2</v>
      </c>
      <c r="S30" t="str">
        <f t="shared" si="1"/>
        <v>X</v>
      </c>
    </row>
    <row r="31" spans="1:19">
      <c r="A31" s="11" t="s">
        <v>239</v>
      </c>
      <c r="B31" t="s">
        <v>13</v>
      </c>
      <c r="C31" t="s">
        <v>20</v>
      </c>
      <c r="H31" s="11" t="s">
        <v>189</v>
      </c>
      <c r="I31" s="12">
        <v>85060</v>
      </c>
      <c r="J31" s="12">
        <v>83385</v>
      </c>
      <c r="K31" s="12">
        <v>72696</v>
      </c>
      <c r="L31" s="12">
        <v>114327</v>
      </c>
      <c r="M31" s="12">
        <v>91162</v>
      </c>
      <c r="N31" s="12">
        <v>86396</v>
      </c>
      <c r="O31" s="12">
        <v>105449</v>
      </c>
      <c r="P31" s="12">
        <v>78454</v>
      </c>
      <c r="Q31" s="12">
        <v>716929</v>
      </c>
      <c r="R31" s="15">
        <f t="shared" si="0"/>
        <v>0.14466214893442944</v>
      </c>
      <c r="S31" t="str">
        <f t="shared" si="1"/>
        <v>Y</v>
      </c>
    </row>
    <row r="32" spans="1:19">
      <c r="A32" s="11" t="s">
        <v>209</v>
      </c>
      <c r="B32" t="s">
        <v>13</v>
      </c>
      <c r="C32" t="s">
        <v>21</v>
      </c>
      <c r="H32" s="11" t="s">
        <v>239</v>
      </c>
      <c r="I32" s="12">
        <v>69139</v>
      </c>
      <c r="J32" s="12">
        <v>78328</v>
      </c>
      <c r="K32" s="12">
        <v>91553</v>
      </c>
      <c r="L32" s="12">
        <v>89146</v>
      </c>
      <c r="M32" s="12">
        <v>98518</v>
      </c>
      <c r="N32" s="12">
        <v>126451</v>
      </c>
      <c r="O32" s="12">
        <v>69511</v>
      </c>
      <c r="P32" s="12">
        <v>76886</v>
      </c>
      <c r="Q32" s="12">
        <v>699532</v>
      </c>
      <c r="R32" s="15">
        <f t="shared" si="0"/>
        <v>0.20277926269608168</v>
      </c>
      <c r="S32" t="str">
        <f t="shared" si="1"/>
        <v>Y</v>
      </c>
    </row>
    <row r="33" spans="1:19">
      <c r="A33" s="11" t="s">
        <v>166</v>
      </c>
      <c r="B33" t="s">
        <v>13</v>
      </c>
      <c r="C33" t="s">
        <v>21</v>
      </c>
      <c r="H33" s="11" t="s">
        <v>209</v>
      </c>
      <c r="I33" s="12">
        <v>81870</v>
      </c>
      <c r="J33" s="12">
        <v>82733</v>
      </c>
      <c r="K33" s="12">
        <v>83336</v>
      </c>
      <c r="L33" s="12">
        <v>86269</v>
      </c>
      <c r="M33" s="12">
        <v>82848</v>
      </c>
      <c r="N33" s="12">
        <v>81061</v>
      </c>
      <c r="O33" s="12">
        <v>86034</v>
      </c>
      <c r="P33" s="12">
        <v>84409</v>
      </c>
      <c r="Q33" s="12">
        <v>668560</v>
      </c>
      <c r="R33" s="15">
        <f t="shared" si="0"/>
        <v>2.0949718491650803E-2</v>
      </c>
      <c r="S33" t="str">
        <f t="shared" si="1"/>
        <v>X</v>
      </c>
    </row>
    <row r="34" spans="1:19">
      <c r="A34" s="11" t="s">
        <v>134</v>
      </c>
      <c r="B34" t="s">
        <v>13</v>
      </c>
      <c r="C34" t="s">
        <v>20</v>
      </c>
      <c r="H34" s="11" t="s">
        <v>166</v>
      </c>
      <c r="I34" s="12">
        <v>78913</v>
      </c>
      <c r="J34" s="12">
        <v>78530</v>
      </c>
      <c r="K34" s="12">
        <v>84026</v>
      </c>
      <c r="L34" s="12">
        <v>83719</v>
      </c>
      <c r="M34" s="12">
        <v>77952</v>
      </c>
      <c r="N34" s="12">
        <v>83097</v>
      </c>
      <c r="O34" s="12">
        <v>78100</v>
      </c>
      <c r="P34" s="12">
        <v>80249</v>
      </c>
      <c r="Q34" s="12">
        <v>644586</v>
      </c>
      <c r="R34" s="15">
        <f t="shared" si="0"/>
        <v>3.04674932810403E-2</v>
      </c>
      <c r="S34" t="str">
        <f t="shared" si="1"/>
        <v>X</v>
      </c>
    </row>
    <row r="35" spans="1:19">
      <c r="A35" s="11" t="s">
        <v>61</v>
      </c>
      <c r="B35" t="s">
        <v>13</v>
      </c>
      <c r="C35" t="s">
        <v>19</v>
      </c>
      <c r="H35" s="11" t="s">
        <v>134</v>
      </c>
      <c r="I35" s="12">
        <v>77602</v>
      </c>
      <c r="J35" s="12">
        <v>98935</v>
      </c>
      <c r="K35" s="12">
        <v>59707</v>
      </c>
      <c r="L35" s="12">
        <v>90156</v>
      </c>
      <c r="M35" s="12">
        <v>67534</v>
      </c>
      <c r="N35" s="12">
        <v>77949</v>
      </c>
      <c r="O35" s="12">
        <v>68753</v>
      </c>
      <c r="P35" s="12">
        <v>95319</v>
      </c>
      <c r="Q35" s="12">
        <v>635955</v>
      </c>
      <c r="R35" s="15">
        <f t="shared" si="0"/>
        <v>0.16629018437024423</v>
      </c>
      <c r="S35" t="str">
        <f t="shared" si="1"/>
        <v>Y</v>
      </c>
    </row>
    <row r="36" spans="1:19">
      <c r="A36" s="11" t="s">
        <v>114</v>
      </c>
      <c r="B36" t="s">
        <v>13</v>
      </c>
      <c r="C36" t="s">
        <v>20</v>
      </c>
      <c r="H36" s="11" t="s">
        <v>61</v>
      </c>
      <c r="I36" s="12">
        <v>71905</v>
      </c>
      <c r="J36" s="12">
        <v>24092</v>
      </c>
      <c r="K36" s="12">
        <v>32444</v>
      </c>
      <c r="L36" s="12">
        <v>175694</v>
      </c>
      <c r="M36" s="12">
        <v>20174</v>
      </c>
      <c r="N36" s="12">
        <v>152402</v>
      </c>
      <c r="O36" s="12">
        <v>23707</v>
      </c>
      <c r="P36" s="12">
        <v>125274</v>
      </c>
      <c r="Q36" s="12">
        <v>625692</v>
      </c>
      <c r="R36" s="15">
        <f t="shared" si="0"/>
        <v>0.76480822707936924</v>
      </c>
      <c r="S36" t="str">
        <f t="shared" si="1"/>
        <v>Z</v>
      </c>
    </row>
    <row r="37" spans="1:19">
      <c r="A37" s="11" t="s">
        <v>49</v>
      </c>
      <c r="B37" t="s">
        <v>13</v>
      </c>
      <c r="C37" t="s">
        <v>21</v>
      </c>
      <c r="H37" s="11" t="s">
        <v>114</v>
      </c>
      <c r="I37" s="12">
        <v>96120</v>
      </c>
      <c r="J37" s="12">
        <v>69488</v>
      </c>
      <c r="K37" s="12">
        <v>69811</v>
      </c>
      <c r="L37" s="12">
        <v>61619</v>
      </c>
      <c r="M37" s="12">
        <v>68592</v>
      </c>
      <c r="N37" s="12">
        <v>89718</v>
      </c>
      <c r="O37" s="12">
        <v>91685</v>
      </c>
      <c r="P37" s="12">
        <v>62678</v>
      </c>
      <c r="Q37" s="12">
        <v>609711</v>
      </c>
      <c r="R37" s="15">
        <f t="shared" si="0"/>
        <v>0.17098394037174247</v>
      </c>
      <c r="S37" t="str">
        <f t="shared" si="1"/>
        <v>Y</v>
      </c>
    </row>
    <row r="38" spans="1:19">
      <c r="A38" s="11" t="s">
        <v>182</v>
      </c>
      <c r="B38" t="s">
        <v>13</v>
      </c>
      <c r="C38" t="s">
        <v>19</v>
      </c>
      <c r="H38" s="11" t="s">
        <v>49</v>
      </c>
      <c r="I38" s="12">
        <v>75679</v>
      </c>
      <c r="J38" s="12">
        <v>74191</v>
      </c>
      <c r="K38" s="12">
        <v>73434</v>
      </c>
      <c r="L38" s="12">
        <v>77093</v>
      </c>
      <c r="M38" s="12">
        <v>74181</v>
      </c>
      <c r="N38" s="12">
        <v>77100</v>
      </c>
      <c r="O38" s="12">
        <v>75121</v>
      </c>
      <c r="P38" s="12">
        <v>74477</v>
      </c>
      <c r="Q38" s="12">
        <v>601276</v>
      </c>
      <c r="R38" s="15">
        <f t="shared" si="0"/>
        <v>1.7034824127399827E-2</v>
      </c>
      <c r="S38" t="str">
        <f t="shared" si="1"/>
        <v>X</v>
      </c>
    </row>
    <row r="39" spans="1:19">
      <c r="A39" s="11" t="s">
        <v>235</v>
      </c>
      <c r="B39" t="s">
        <v>13</v>
      </c>
      <c r="C39" t="s">
        <v>20</v>
      </c>
      <c r="H39" s="11" t="s">
        <v>182</v>
      </c>
      <c r="I39" s="12">
        <v>26723</v>
      </c>
      <c r="J39" s="12">
        <v>41581</v>
      </c>
      <c r="K39" s="12">
        <v>131523</v>
      </c>
      <c r="L39" s="12">
        <v>42565</v>
      </c>
      <c r="M39" s="12">
        <v>96958</v>
      </c>
      <c r="N39" s="12">
        <v>94718</v>
      </c>
      <c r="O39" s="12">
        <v>121767</v>
      </c>
      <c r="P39" s="12">
        <v>40911</v>
      </c>
      <c r="Q39" s="12">
        <v>596746</v>
      </c>
      <c r="R39" s="15">
        <f t="shared" si="0"/>
        <v>0.51733282946913406</v>
      </c>
      <c r="S39" t="str">
        <f t="shared" si="1"/>
        <v>Z</v>
      </c>
    </row>
    <row r="40" spans="1:19">
      <c r="A40" s="11" t="s">
        <v>210</v>
      </c>
      <c r="B40" t="s">
        <v>13</v>
      </c>
      <c r="C40" t="s">
        <v>21</v>
      </c>
      <c r="H40" s="11" t="s">
        <v>235</v>
      </c>
      <c r="I40" s="12">
        <v>79078</v>
      </c>
      <c r="J40" s="12">
        <v>57526</v>
      </c>
      <c r="K40" s="12">
        <v>89888</v>
      </c>
      <c r="L40" s="12">
        <v>77964</v>
      </c>
      <c r="M40" s="12">
        <v>69779</v>
      </c>
      <c r="N40" s="12">
        <v>67996</v>
      </c>
      <c r="O40" s="12">
        <v>70373</v>
      </c>
      <c r="P40" s="12">
        <v>71721</v>
      </c>
      <c r="Q40" s="12">
        <v>584325</v>
      </c>
      <c r="R40" s="15">
        <f t="shared" si="0"/>
        <v>0.12151217920543433</v>
      </c>
      <c r="S40" t="str">
        <f t="shared" si="1"/>
        <v>Y</v>
      </c>
    </row>
    <row r="41" spans="1:19">
      <c r="A41" s="11" t="s">
        <v>115</v>
      </c>
      <c r="B41" t="s">
        <v>13</v>
      </c>
      <c r="C41" t="s">
        <v>21</v>
      </c>
      <c r="H41" s="11" t="s">
        <v>210</v>
      </c>
      <c r="I41" s="12">
        <v>73628</v>
      </c>
      <c r="J41" s="12">
        <v>72770</v>
      </c>
      <c r="K41" s="12">
        <v>70103</v>
      </c>
      <c r="L41" s="12">
        <v>72011</v>
      </c>
      <c r="M41" s="12">
        <v>75656</v>
      </c>
      <c r="N41" s="12">
        <v>71585</v>
      </c>
      <c r="O41" s="12">
        <v>72417</v>
      </c>
      <c r="P41" s="12">
        <v>70735</v>
      </c>
      <c r="Q41" s="12">
        <v>578905</v>
      </c>
      <c r="R41" s="15">
        <f t="shared" si="0"/>
        <v>2.2442796638873896E-2</v>
      </c>
      <c r="S41" t="str">
        <f t="shared" si="1"/>
        <v>X</v>
      </c>
    </row>
    <row r="42" spans="1:19">
      <c r="A42" s="11" t="s">
        <v>276</v>
      </c>
      <c r="B42" t="s">
        <v>13</v>
      </c>
      <c r="C42" t="s">
        <v>20</v>
      </c>
      <c r="H42" s="11" t="s">
        <v>115</v>
      </c>
      <c r="I42" s="12">
        <v>67027</v>
      </c>
      <c r="J42" s="12">
        <v>68405</v>
      </c>
      <c r="K42" s="12">
        <v>70208</v>
      </c>
      <c r="L42" s="12">
        <v>68565</v>
      </c>
      <c r="M42" s="12">
        <v>71876</v>
      </c>
      <c r="N42" s="12">
        <v>68668</v>
      </c>
      <c r="O42" s="12">
        <v>71160</v>
      </c>
      <c r="P42" s="12">
        <v>68626</v>
      </c>
      <c r="Q42" s="12">
        <v>554535</v>
      </c>
      <c r="R42" s="15">
        <f t="shared" si="0"/>
        <v>2.1806839805874716E-2</v>
      </c>
      <c r="S42" t="str">
        <f t="shared" si="1"/>
        <v>X</v>
      </c>
    </row>
    <row r="43" spans="1:19">
      <c r="A43" s="11" t="s">
        <v>73</v>
      </c>
      <c r="B43" t="s">
        <v>13</v>
      </c>
      <c r="C43" t="s">
        <v>20</v>
      </c>
      <c r="H43" s="11" t="s">
        <v>276</v>
      </c>
      <c r="I43" s="12">
        <v>56331</v>
      </c>
      <c r="J43" s="12">
        <v>77453</v>
      </c>
      <c r="K43" s="12">
        <v>49464</v>
      </c>
      <c r="L43" s="12">
        <v>79807</v>
      </c>
      <c r="M43" s="12">
        <v>76630</v>
      </c>
      <c r="N43" s="12">
        <v>77481</v>
      </c>
      <c r="O43" s="12">
        <v>56459</v>
      </c>
      <c r="P43" s="12">
        <v>60757</v>
      </c>
      <c r="Q43" s="12">
        <v>534382</v>
      </c>
      <c r="R43" s="15">
        <f t="shared" si="0"/>
        <v>0.17126188493269864</v>
      </c>
      <c r="S43" t="str">
        <f t="shared" si="1"/>
        <v>Y</v>
      </c>
    </row>
    <row r="44" spans="1:19">
      <c r="A44" s="11" t="s">
        <v>211</v>
      </c>
      <c r="B44" t="s">
        <v>13</v>
      </c>
      <c r="C44" t="s">
        <v>19</v>
      </c>
      <c r="H44" s="11" t="s">
        <v>73</v>
      </c>
      <c r="I44" s="12">
        <v>48838</v>
      </c>
      <c r="J44" s="12">
        <v>70380</v>
      </c>
      <c r="K44" s="12">
        <v>71926</v>
      </c>
      <c r="L44" s="12">
        <v>72903</v>
      </c>
      <c r="M44" s="12">
        <v>73024</v>
      </c>
      <c r="N44" s="12">
        <v>49235</v>
      </c>
      <c r="O44" s="12">
        <v>75527</v>
      </c>
      <c r="P44" s="12">
        <v>72489</v>
      </c>
      <c r="Q44" s="12">
        <v>534322</v>
      </c>
      <c r="R44" s="15">
        <f t="shared" si="0"/>
        <v>0.15476227477573637</v>
      </c>
      <c r="S44" t="str">
        <f t="shared" si="1"/>
        <v>Y</v>
      </c>
    </row>
    <row r="45" spans="1:19">
      <c r="A45" s="11" t="s">
        <v>212</v>
      </c>
      <c r="B45" t="s">
        <v>13</v>
      </c>
      <c r="C45" t="s">
        <v>19</v>
      </c>
      <c r="H45" s="11" t="s">
        <v>211</v>
      </c>
      <c r="I45" s="12">
        <v>54165</v>
      </c>
      <c r="J45" s="12">
        <v>136608</v>
      </c>
      <c r="K45" s="12">
        <v>102739</v>
      </c>
      <c r="L45" s="12">
        <v>17201</v>
      </c>
      <c r="M45" s="12">
        <v>17215</v>
      </c>
      <c r="N45" s="12">
        <v>120409</v>
      </c>
      <c r="O45" s="12">
        <v>24802</v>
      </c>
      <c r="P45" s="12">
        <v>45711</v>
      </c>
      <c r="Q45" s="12">
        <v>518850</v>
      </c>
      <c r="R45" s="15">
        <f t="shared" si="0"/>
        <v>0.69588260846240635</v>
      </c>
      <c r="S45" t="str">
        <f t="shared" si="1"/>
        <v>Z</v>
      </c>
    </row>
    <row r="46" spans="1:19">
      <c r="A46" s="11" t="s">
        <v>220</v>
      </c>
      <c r="B46" t="s">
        <v>13</v>
      </c>
      <c r="C46" t="s">
        <v>19</v>
      </c>
      <c r="H46" s="11" t="s">
        <v>212</v>
      </c>
      <c r="I46" s="12">
        <v>32525</v>
      </c>
      <c r="J46" s="12">
        <v>65497</v>
      </c>
      <c r="K46" s="12">
        <v>133894</v>
      </c>
      <c r="L46" s="12">
        <v>26936</v>
      </c>
      <c r="M46" s="12">
        <v>169888</v>
      </c>
      <c r="N46" s="12">
        <v>43037</v>
      </c>
      <c r="O46" s="12">
        <v>20236</v>
      </c>
      <c r="P46" s="12">
        <v>25065</v>
      </c>
      <c r="Q46" s="12">
        <v>517078</v>
      </c>
      <c r="R46" s="15">
        <f t="shared" si="0"/>
        <v>0.81742571254110263</v>
      </c>
      <c r="S46" t="str">
        <f t="shared" si="1"/>
        <v>Z</v>
      </c>
    </row>
    <row r="47" spans="1:19">
      <c r="A47" s="11" t="s">
        <v>101</v>
      </c>
      <c r="B47" t="s">
        <v>13</v>
      </c>
      <c r="C47" t="s">
        <v>21</v>
      </c>
      <c r="H47" s="11" t="s">
        <v>220</v>
      </c>
      <c r="I47" s="12">
        <v>109212</v>
      </c>
      <c r="J47" s="12">
        <v>95815</v>
      </c>
      <c r="K47" s="12">
        <v>11766</v>
      </c>
      <c r="L47" s="12">
        <v>92607</v>
      </c>
      <c r="M47" s="12">
        <v>22646</v>
      </c>
      <c r="N47" s="12">
        <v>45272</v>
      </c>
      <c r="O47" s="12">
        <v>17810</v>
      </c>
      <c r="P47" s="12">
        <v>119302</v>
      </c>
      <c r="Q47" s="12">
        <v>514430</v>
      </c>
      <c r="R47" s="15">
        <f t="shared" si="0"/>
        <v>0.6471765438026007</v>
      </c>
      <c r="S47" t="str">
        <f t="shared" si="1"/>
        <v>Z</v>
      </c>
    </row>
    <row r="48" spans="1:19">
      <c r="A48" s="11" t="s">
        <v>167</v>
      </c>
      <c r="B48" t="s">
        <v>13</v>
      </c>
      <c r="C48" t="s">
        <v>21</v>
      </c>
      <c r="H48" s="11" t="s">
        <v>101</v>
      </c>
      <c r="I48" s="12">
        <v>61374</v>
      </c>
      <c r="J48" s="12">
        <v>62343</v>
      </c>
      <c r="K48" s="12">
        <v>62460</v>
      </c>
      <c r="L48" s="12">
        <v>64696</v>
      </c>
      <c r="M48" s="12">
        <v>63928</v>
      </c>
      <c r="N48" s="12">
        <v>61933</v>
      </c>
      <c r="O48" s="12">
        <v>64828</v>
      </c>
      <c r="P48" s="12">
        <v>66715</v>
      </c>
      <c r="Q48" s="12">
        <v>508277</v>
      </c>
      <c r="R48" s="15">
        <f t="shared" si="0"/>
        <v>2.6745159047993426E-2</v>
      </c>
      <c r="S48" t="str">
        <f t="shared" si="1"/>
        <v>X</v>
      </c>
    </row>
    <row r="49" spans="1:19">
      <c r="A49" s="11" t="s">
        <v>203</v>
      </c>
      <c r="B49" t="s">
        <v>13</v>
      </c>
      <c r="C49" t="s">
        <v>21</v>
      </c>
      <c r="H49" s="11" t="s">
        <v>167</v>
      </c>
      <c r="I49" s="12">
        <v>63968</v>
      </c>
      <c r="J49" s="12">
        <v>62331</v>
      </c>
      <c r="K49" s="12">
        <v>62773</v>
      </c>
      <c r="L49" s="12">
        <v>60490</v>
      </c>
      <c r="M49" s="12">
        <v>60180</v>
      </c>
      <c r="N49" s="12">
        <v>60164</v>
      </c>
      <c r="O49" s="12">
        <v>61157</v>
      </c>
      <c r="P49" s="12">
        <v>63049</v>
      </c>
      <c r="Q49" s="12">
        <v>494112</v>
      </c>
      <c r="R49" s="15">
        <f t="shared" si="0"/>
        <v>2.2102618775054546E-2</v>
      </c>
      <c r="S49" t="str">
        <f t="shared" si="1"/>
        <v>X</v>
      </c>
    </row>
    <row r="50" spans="1:19">
      <c r="A50" s="11" t="s">
        <v>96</v>
      </c>
      <c r="B50" t="s">
        <v>13</v>
      </c>
      <c r="C50" t="s">
        <v>21</v>
      </c>
      <c r="H50" s="11" t="s">
        <v>203</v>
      </c>
      <c r="I50" s="12">
        <v>61467</v>
      </c>
      <c r="J50" s="12">
        <v>61445</v>
      </c>
      <c r="K50" s="12">
        <v>63000</v>
      </c>
      <c r="L50" s="12">
        <v>64206</v>
      </c>
      <c r="M50" s="12">
        <v>62351</v>
      </c>
      <c r="N50" s="12">
        <v>61115</v>
      </c>
      <c r="O50" s="12">
        <v>59870</v>
      </c>
      <c r="P50" s="12">
        <v>59830</v>
      </c>
      <c r="Q50" s="12">
        <v>493284</v>
      </c>
      <c r="R50" s="15">
        <f t="shared" si="0"/>
        <v>2.2711266876112704E-2</v>
      </c>
      <c r="S50" t="str">
        <f t="shared" si="1"/>
        <v>X</v>
      </c>
    </row>
    <row r="51" spans="1:19">
      <c r="A51" s="11" t="s">
        <v>91</v>
      </c>
      <c r="B51" t="s">
        <v>13</v>
      </c>
      <c r="C51" t="s">
        <v>21</v>
      </c>
      <c r="H51" s="11" t="s">
        <v>96</v>
      </c>
      <c r="I51" s="12">
        <v>60509</v>
      </c>
      <c r="J51" s="12">
        <v>59322</v>
      </c>
      <c r="K51" s="12">
        <v>60385</v>
      </c>
      <c r="L51" s="12">
        <v>61043</v>
      </c>
      <c r="M51" s="12">
        <v>58484</v>
      </c>
      <c r="N51" s="12">
        <v>60486</v>
      </c>
      <c r="O51" s="12">
        <v>62646</v>
      </c>
      <c r="P51" s="12">
        <v>60074</v>
      </c>
      <c r="Q51" s="12">
        <v>482949</v>
      </c>
      <c r="R51" s="15">
        <f t="shared" si="0"/>
        <v>1.8895065028201045E-2</v>
      </c>
      <c r="S51" t="str">
        <f t="shared" si="1"/>
        <v>X</v>
      </c>
    </row>
    <row r="52" spans="1:19">
      <c r="A52" s="11" t="s">
        <v>70</v>
      </c>
      <c r="B52" t="s">
        <v>13</v>
      </c>
      <c r="C52" t="s">
        <v>21</v>
      </c>
      <c r="H52" s="11" t="s">
        <v>91</v>
      </c>
      <c r="I52" s="12">
        <v>58789</v>
      </c>
      <c r="J52" s="12">
        <v>59473</v>
      </c>
      <c r="K52" s="12">
        <v>59888</v>
      </c>
      <c r="L52" s="12">
        <v>59985</v>
      </c>
      <c r="M52" s="12">
        <v>58721</v>
      </c>
      <c r="N52" s="12">
        <v>60561</v>
      </c>
      <c r="O52" s="12">
        <v>60676</v>
      </c>
      <c r="P52" s="12">
        <v>58573</v>
      </c>
      <c r="Q52" s="12">
        <v>476666</v>
      </c>
      <c r="R52" s="15">
        <f t="shared" si="0"/>
        <v>1.3015726765877634E-2</v>
      </c>
      <c r="S52" t="str">
        <f t="shared" si="1"/>
        <v>X</v>
      </c>
    </row>
    <row r="53" spans="1:19">
      <c r="A53" s="11" t="s">
        <v>158</v>
      </c>
      <c r="B53" t="s">
        <v>13</v>
      </c>
      <c r="C53" t="s">
        <v>20</v>
      </c>
      <c r="H53" s="11" t="s">
        <v>70</v>
      </c>
      <c r="I53" s="12">
        <v>55121</v>
      </c>
      <c r="J53" s="12">
        <v>58030</v>
      </c>
      <c r="K53" s="12">
        <v>57144</v>
      </c>
      <c r="L53" s="12">
        <v>56558</v>
      </c>
      <c r="M53" s="12">
        <v>55464</v>
      </c>
      <c r="N53" s="12">
        <v>56974</v>
      </c>
      <c r="O53" s="12">
        <v>57724</v>
      </c>
      <c r="P53" s="12">
        <v>54719</v>
      </c>
      <c r="Q53" s="12">
        <v>451734</v>
      </c>
      <c r="R53" s="15">
        <f t="shared" si="0"/>
        <v>2.0404339473770274E-2</v>
      </c>
      <c r="S53" t="str">
        <f t="shared" si="1"/>
        <v>X</v>
      </c>
    </row>
    <row r="54" spans="1:19">
      <c r="A54" s="11" t="s">
        <v>144</v>
      </c>
      <c r="B54" t="s">
        <v>13</v>
      </c>
      <c r="C54" t="s">
        <v>21</v>
      </c>
      <c r="H54" s="11" t="s">
        <v>158</v>
      </c>
      <c r="I54" s="12">
        <v>65000</v>
      </c>
      <c r="J54" s="12">
        <v>56193</v>
      </c>
      <c r="K54" s="12">
        <v>48933</v>
      </c>
      <c r="L54" s="12">
        <v>61567</v>
      </c>
      <c r="M54" s="12">
        <v>47436</v>
      </c>
      <c r="N54" s="12">
        <v>75259</v>
      </c>
      <c r="O54" s="12">
        <v>41925</v>
      </c>
      <c r="P54" s="12">
        <v>45582</v>
      </c>
      <c r="Q54" s="12">
        <v>441895</v>
      </c>
      <c r="R54" s="15">
        <f t="shared" si="0"/>
        <v>0.19289349459848168</v>
      </c>
      <c r="S54" t="str">
        <f t="shared" si="1"/>
        <v>Y</v>
      </c>
    </row>
    <row r="55" spans="1:19">
      <c r="A55" s="11" t="s">
        <v>137</v>
      </c>
      <c r="B55" t="s">
        <v>13</v>
      </c>
      <c r="C55" t="s">
        <v>19</v>
      </c>
      <c r="H55" s="11" t="s">
        <v>144</v>
      </c>
      <c r="I55" s="12">
        <v>55775</v>
      </c>
      <c r="J55" s="12">
        <v>52298</v>
      </c>
      <c r="K55" s="12">
        <v>56383</v>
      </c>
      <c r="L55" s="12">
        <v>52305</v>
      </c>
      <c r="M55" s="12">
        <v>54090</v>
      </c>
      <c r="N55" s="12">
        <v>52671</v>
      </c>
      <c r="O55" s="12">
        <v>53799</v>
      </c>
      <c r="P55" s="12">
        <v>56121</v>
      </c>
      <c r="Q55" s="12">
        <v>433442</v>
      </c>
      <c r="R55" s="15">
        <f t="shared" si="0"/>
        <v>2.96552388674605E-2</v>
      </c>
      <c r="S55" t="str">
        <f t="shared" si="1"/>
        <v>X</v>
      </c>
    </row>
    <row r="56" spans="1:19">
      <c r="A56" s="11" t="s">
        <v>82</v>
      </c>
      <c r="B56" t="s">
        <v>13</v>
      </c>
      <c r="C56" t="s">
        <v>19</v>
      </c>
      <c r="H56" s="11" t="s">
        <v>137</v>
      </c>
      <c r="I56" s="12">
        <v>89169</v>
      </c>
      <c r="J56" s="12">
        <v>12378</v>
      </c>
      <c r="K56" s="12">
        <v>18578</v>
      </c>
      <c r="L56" s="12">
        <v>102619</v>
      </c>
      <c r="M56" s="12">
        <v>15826</v>
      </c>
      <c r="N56" s="12">
        <v>84688</v>
      </c>
      <c r="O56" s="12">
        <v>92993</v>
      </c>
      <c r="P56" s="12">
        <v>9372</v>
      </c>
      <c r="Q56" s="12">
        <v>425623</v>
      </c>
      <c r="R56" s="15">
        <f t="shared" si="0"/>
        <v>0.74279227629160438</v>
      </c>
      <c r="S56" t="str">
        <f t="shared" si="1"/>
        <v>Z</v>
      </c>
    </row>
    <row r="57" spans="1:19">
      <c r="A57" s="11" t="s">
        <v>148</v>
      </c>
      <c r="B57" t="s">
        <v>13</v>
      </c>
      <c r="C57" t="s">
        <v>20</v>
      </c>
      <c r="H57" s="11" t="s">
        <v>82</v>
      </c>
      <c r="I57" s="12">
        <v>103854</v>
      </c>
      <c r="J57" s="12">
        <v>68992</v>
      </c>
      <c r="K57" s="12">
        <v>19728</v>
      </c>
      <c r="L57" s="12">
        <v>80505</v>
      </c>
      <c r="M57" s="12">
        <v>18382</v>
      </c>
      <c r="N57" s="12">
        <v>87351</v>
      </c>
      <c r="O57" s="12">
        <v>27499</v>
      </c>
      <c r="P57" s="12">
        <v>9179</v>
      </c>
      <c r="Q57" s="12">
        <v>415490</v>
      </c>
      <c r="R57" s="15">
        <f t="shared" si="0"/>
        <v>0.66856465735460036</v>
      </c>
      <c r="S57" t="str">
        <f t="shared" si="1"/>
        <v>Z</v>
      </c>
    </row>
    <row r="58" spans="1:19">
      <c r="A58" s="11" t="s">
        <v>283</v>
      </c>
      <c r="B58" t="s">
        <v>13</v>
      </c>
      <c r="C58" t="s">
        <v>20</v>
      </c>
      <c r="H58" s="11" t="s">
        <v>148</v>
      </c>
      <c r="I58" s="12">
        <v>45620</v>
      </c>
      <c r="J58" s="12">
        <v>58067</v>
      </c>
      <c r="K58" s="12">
        <v>58176</v>
      </c>
      <c r="L58" s="12">
        <v>43216</v>
      </c>
      <c r="M58" s="12">
        <v>55803</v>
      </c>
      <c r="N58" s="12">
        <v>57162</v>
      </c>
      <c r="O58" s="12">
        <v>40751</v>
      </c>
      <c r="P58" s="12">
        <v>52909</v>
      </c>
      <c r="Q58" s="12">
        <v>411704</v>
      </c>
      <c r="R58" s="15">
        <f t="shared" si="0"/>
        <v>0.1301657695300466</v>
      </c>
      <c r="S58" t="str">
        <f t="shared" si="1"/>
        <v>Y</v>
      </c>
    </row>
    <row r="59" spans="1:19">
      <c r="A59" s="11" t="s">
        <v>195</v>
      </c>
      <c r="B59" t="s">
        <v>13</v>
      </c>
      <c r="C59" t="s">
        <v>21</v>
      </c>
      <c r="H59" s="11" t="s">
        <v>283</v>
      </c>
      <c r="I59" s="12">
        <v>46506</v>
      </c>
      <c r="J59" s="12">
        <v>61275</v>
      </c>
      <c r="K59" s="12">
        <v>51139</v>
      </c>
      <c r="L59" s="12">
        <v>49120</v>
      </c>
      <c r="M59" s="12">
        <v>58145</v>
      </c>
      <c r="N59" s="12">
        <v>41350</v>
      </c>
      <c r="O59" s="12">
        <v>59737</v>
      </c>
      <c r="P59" s="12">
        <v>39221</v>
      </c>
      <c r="Q59" s="12">
        <v>406493</v>
      </c>
      <c r="R59" s="15">
        <f t="shared" si="0"/>
        <v>0.15375635568084203</v>
      </c>
      <c r="S59" t="str">
        <f t="shared" si="1"/>
        <v>Y</v>
      </c>
    </row>
    <row r="60" spans="1:19">
      <c r="A60" s="11" t="s">
        <v>188</v>
      </c>
      <c r="B60" t="s">
        <v>13</v>
      </c>
      <c r="C60" t="s">
        <v>19</v>
      </c>
      <c r="H60" s="11" t="s">
        <v>195</v>
      </c>
      <c r="I60" s="12">
        <v>51488</v>
      </c>
      <c r="J60" s="12">
        <v>49734</v>
      </c>
      <c r="K60" s="12">
        <v>49021</v>
      </c>
      <c r="L60" s="12">
        <v>49561</v>
      </c>
      <c r="M60" s="12">
        <v>50126</v>
      </c>
      <c r="N60" s="12">
        <v>51273</v>
      </c>
      <c r="O60" s="12">
        <v>49089</v>
      </c>
      <c r="P60" s="12">
        <v>50531</v>
      </c>
      <c r="Q60" s="12">
        <v>400823</v>
      </c>
      <c r="R60" s="15">
        <f t="shared" si="0"/>
        <v>1.7427937246670754E-2</v>
      </c>
      <c r="S60" t="str">
        <f t="shared" si="1"/>
        <v>X</v>
      </c>
    </row>
    <row r="61" spans="1:19">
      <c r="A61" s="11" t="s">
        <v>143</v>
      </c>
      <c r="B61" t="s">
        <v>13</v>
      </c>
      <c r="C61" t="s">
        <v>19</v>
      </c>
      <c r="H61" s="11" t="s">
        <v>188</v>
      </c>
      <c r="I61" s="12">
        <v>47151</v>
      </c>
      <c r="J61" s="12">
        <v>20114</v>
      </c>
      <c r="K61" s="12">
        <v>142125</v>
      </c>
      <c r="L61" s="12">
        <v>26323</v>
      </c>
      <c r="M61" s="12">
        <v>42693</v>
      </c>
      <c r="N61" s="12">
        <v>41622</v>
      </c>
      <c r="O61" s="12">
        <v>23827</v>
      </c>
      <c r="P61" s="12">
        <v>55882</v>
      </c>
      <c r="Q61" s="12">
        <v>399737</v>
      </c>
      <c r="R61" s="15">
        <f t="shared" si="0"/>
        <v>0.73506155240622506</v>
      </c>
      <c r="S61" t="str">
        <f t="shared" si="1"/>
        <v>Z</v>
      </c>
    </row>
    <row r="62" spans="1:19">
      <c r="A62" s="11" t="s">
        <v>178</v>
      </c>
      <c r="B62" t="s">
        <v>13</v>
      </c>
      <c r="C62" t="s">
        <v>20</v>
      </c>
      <c r="H62" s="11" t="s">
        <v>143</v>
      </c>
      <c r="I62" s="12">
        <v>67640</v>
      </c>
      <c r="J62" s="12">
        <v>33667</v>
      </c>
      <c r="K62" s="12">
        <v>14718</v>
      </c>
      <c r="L62" s="12">
        <v>9758</v>
      </c>
      <c r="M62" s="12">
        <v>36253</v>
      </c>
      <c r="N62" s="12">
        <v>64690</v>
      </c>
      <c r="O62" s="12">
        <v>86899</v>
      </c>
      <c r="P62" s="12">
        <v>84503</v>
      </c>
      <c r="Q62" s="12">
        <v>398128</v>
      </c>
      <c r="R62" s="15">
        <f t="shared" si="0"/>
        <v>0.5682789336912295</v>
      </c>
      <c r="S62" t="str">
        <f t="shared" si="1"/>
        <v>Z</v>
      </c>
    </row>
    <row r="63" spans="1:19">
      <c r="A63" s="11" t="s">
        <v>71</v>
      </c>
      <c r="B63" t="s">
        <v>13</v>
      </c>
      <c r="C63" t="s">
        <v>21</v>
      </c>
      <c r="H63" s="11" t="s">
        <v>178</v>
      </c>
      <c r="I63" s="12">
        <v>48337</v>
      </c>
      <c r="J63" s="12">
        <v>57844</v>
      </c>
      <c r="K63" s="12">
        <v>56994</v>
      </c>
      <c r="L63" s="12">
        <v>41926</v>
      </c>
      <c r="M63" s="12">
        <v>53313</v>
      </c>
      <c r="N63" s="12">
        <v>38963</v>
      </c>
      <c r="O63" s="12">
        <v>37324</v>
      </c>
      <c r="P63" s="12">
        <v>48874</v>
      </c>
      <c r="Q63" s="12">
        <v>383575</v>
      </c>
      <c r="R63" s="15">
        <f t="shared" si="0"/>
        <v>0.15457282399564717</v>
      </c>
      <c r="S63" t="str">
        <f t="shared" si="1"/>
        <v>Y</v>
      </c>
    </row>
    <row r="64" spans="1:19">
      <c r="A64" s="11" t="s">
        <v>111</v>
      </c>
      <c r="B64" t="s">
        <v>13</v>
      </c>
      <c r="C64" t="s">
        <v>20</v>
      </c>
      <c r="H64" s="11" t="s">
        <v>71</v>
      </c>
      <c r="I64" s="12">
        <v>47320</v>
      </c>
      <c r="J64" s="12">
        <v>49256</v>
      </c>
      <c r="K64" s="12">
        <v>45913</v>
      </c>
      <c r="L64" s="12">
        <v>47903</v>
      </c>
      <c r="M64" s="12">
        <v>48456</v>
      </c>
      <c r="N64" s="12">
        <v>46614</v>
      </c>
      <c r="O64" s="12">
        <v>49763</v>
      </c>
      <c r="P64" s="12">
        <v>46776</v>
      </c>
      <c r="Q64" s="12">
        <v>382001</v>
      </c>
      <c r="R64" s="15">
        <f t="shared" si="0"/>
        <v>2.6324849630093846E-2</v>
      </c>
      <c r="S64" t="str">
        <f t="shared" si="1"/>
        <v>X</v>
      </c>
    </row>
    <row r="65" spans="1:19">
      <c r="A65" s="11" t="s">
        <v>221</v>
      </c>
      <c r="B65" t="s">
        <v>13</v>
      </c>
      <c r="C65" t="s">
        <v>19</v>
      </c>
      <c r="H65" s="11" t="s">
        <v>111</v>
      </c>
      <c r="I65" s="12">
        <v>51900</v>
      </c>
      <c r="J65" s="12">
        <v>47917</v>
      </c>
      <c r="K65" s="12">
        <v>36259</v>
      </c>
      <c r="L65" s="12">
        <v>31414</v>
      </c>
      <c r="M65" s="12">
        <v>56909</v>
      </c>
      <c r="N65" s="12">
        <v>52536</v>
      </c>
      <c r="O65" s="12">
        <v>52328</v>
      </c>
      <c r="P65" s="12">
        <v>51986</v>
      </c>
      <c r="Q65" s="12">
        <v>381249</v>
      </c>
      <c r="R65" s="15">
        <f t="shared" si="0"/>
        <v>0.17584113148450028</v>
      </c>
      <c r="S65" t="str">
        <f t="shared" si="1"/>
        <v>Y</v>
      </c>
    </row>
    <row r="66" spans="1:19">
      <c r="A66" s="11" t="s">
        <v>219</v>
      </c>
      <c r="B66" t="s">
        <v>13</v>
      </c>
      <c r="C66" t="s">
        <v>20</v>
      </c>
      <c r="H66" s="11" t="s">
        <v>221</v>
      </c>
      <c r="I66" s="12">
        <v>49366</v>
      </c>
      <c r="J66" s="12">
        <v>45316</v>
      </c>
      <c r="K66" s="12">
        <v>48873</v>
      </c>
      <c r="L66" s="12">
        <v>95488</v>
      </c>
      <c r="M66" s="12">
        <v>19964</v>
      </c>
      <c r="N66" s="12">
        <v>43563</v>
      </c>
      <c r="O66" s="12">
        <v>49453</v>
      </c>
      <c r="P66" s="12">
        <v>24952</v>
      </c>
      <c r="Q66" s="12">
        <v>376975</v>
      </c>
      <c r="R66" s="15">
        <f t="shared" si="0"/>
        <v>0.45003977003164125</v>
      </c>
      <c r="S66" t="str">
        <f t="shared" si="1"/>
        <v>Z</v>
      </c>
    </row>
    <row r="67" spans="1:19">
      <c r="A67" s="11" t="s">
        <v>66</v>
      </c>
      <c r="B67" t="s">
        <v>13</v>
      </c>
      <c r="C67" t="s">
        <v>19</v>
      </c>
      <c r="H67" s="11" t="s">
        <v>219</v>
      </c>
      <c r="I67" s="12">
        <v>43488</v>
      </c>
      <c r="J67" s="12">
        <v>43113</v>
      </c>
      <c r="K67" s="12">
        <v>48418</v>
      </c>
      <c r="L67" s="12">
        <v>61574</v>
      </c>
      <c r="M67" s="12">
        <v>39499</v>
      </c>
      <c r="N67" s="12">
        <v>50893</v>
      </c>
      <c r="O67" s="12">
        <v>52155</v>
      </c>
      <c r="P67" s="12">
        <v>33935</v>
      </c>
      <c r="Q67" s="12">
        <v>373075</v>
      </c>
      <c r="R67" s="15">
        <f t="shared" si="0"/>
        <v>0.17112364093886537</v>
      </c>
      <c r="S67" t="str">
        <f t="shared" si="1"/>
        <v>Y</v>
      </c>
    </row>
    <row r="68" spans="1:19">
      <c r="A68" s="11" t="s">
        <v>83</v>
      </c>
      <c r="B68" t="s">
        <v>13</v>
      </c>
      <c r="C68" t="s">
        <v>19</v>
      </c>
      <c r="H68" s="11" t="s">
        <v>66</v>
      </c>
      <c r="I68" s="12">
        <v>9609</v>
      </c>
      <c r="J68" s="12">
        <v>20194</v>
      </c>
      <c r="K68" s="12">
        <v>35315</v>
      </c>
      <c r="L68" s="12">
        <v>73940</v>
      </c>
      <c r="M68" s="12">
        <v>43757</v>
      </c>
      <c r="N68" s="12">
        <v>73362</v>
      </c>
      <c r="O68" s="12">
        <v>41513</v>
      </c>
      <c r="P68" s="12">
        <v>72137</v>
      </c>
      <c r="Q68" s="12">
        <v>369827</v>
      </c>
      <c r="R68" s="15">
        <f t="shared" ref="R68:R131" si="2">_xlfn.STDEV.P(I68:P68)/AVERAGE(I68:P68)</f>
        <v>0.50393333806366669</v>
      </c>
      <c r="S68" t="str">
        <f t="shared" ref="S68:S131" si="3">IF(R68&lt;=10%,"X",IF(R68&lt;=25%,"Y","Z"))</f>
        <v>Z</v>
      </c>
    </row>
    <row r="69" spans="1:19">
      <c r="A69" s="11" t="s">
        <v>132</v>
      </c>
      <c r="B69" t="s">
        <v>13</v>
      </c>
      <c r="C69" t="s">
        <v>21</v>
      </c>
      <c r="H69" s="11" t="s">
        <v>83</v>
      </c>
      <c r="I69" s="12">
        <v>33655</v>
      </c>
      <c r="J69" s="12">
        <v>9947</v>
      </c>
      <c r="K69" s="12">
        <v>104523</v>
      </c>
      <c r="L69" s="12">
        <v>41111</v>
      </c>
      <c r="M69" s="12">
        <v>16925</v>
      </c>
      <c r="N69" s="12">
        <v>16654</v>
      </c>
      <c r="O69" s="12">
        <v>108643</v>
      </c>
      <c r="P69" s="12">
        <v>29524</v>
      </c>
      <c r="Q69" s="12">
        <v>360982</v>
      </c>
      <c r="R69" s="15">
        <f t="shared" si="2"/>
        <v>0.81416429664544843</v>
      </c>
      <c r="S69" t="str">
        <f t="shared" si="3"/>
        <v>Z</v>
      </c>
    </row>
    <row r="70" spans="1:19">
      <c r="A70" s="11" t="s">
        <v>245</v>
      </c>
      <c r="B70" t="s">
        <v>13</v>
      </c>
      <c r="C70" t="s">
        <v>19</v>
      </c>
      <c r="H70" s="11" t="s">
        <v>132</v>
      </c>
      <c r="I70" s="12">
        <v>46384</v>
      </c>
      <c r="J70" s="12">
        <v>43125</v>
      </c>
      <c r="K70" s="12">
        <v>45077</v>
      </c>
      <c r="L70" s="12">
        <v>43826</v>
      </c>
      <c r="M70" s="12">
        <v>43465</v>
      </c>
      <c r="N70" s="12">
        <v>46569</v>
      </c>
      <c r="O70" s="12">
        <v>43220</v>
      </c>
      <c r="P70" s="12">
        <v>45720</v>
      </c>
      <c r="Q70" s="12">
        <v>357386</v>
      </c>
      <c r="R70" s="15">
        <f t="shared" si="2"/>
        <v>3.0100998358786223E-2</v>
      </c>
      <c r="S70" t="str">
        <f t="shared" si="3"/>
        <v>X</v>
      </c>
    </row>
    <row r="71" spans="1:19">
      <c r="A71" s="11" t="s">
        <v>187</v>
      </c>
      <c r="B71" t="s">
        <v>13</v>
      </c>
      <c r="C71" t="s">
        <v>21</v>
      </c>
      <c r="H71" s="11" t="s">
        <v>245</v>
      </c>
      <c r="I71" s="12">
        <v>13010</v>
      </c>
      <c r="J71" s="12">
        <v>70578</v>
      </c>
      <c r="K71" s="12">
        <v>34251</v>
      </c>
      <c r="L71" s="12">
        <v>22727</v>
      </c>
      <c r="M71" s="12">
        <v>77156</v>
      </c>
      <c r="N71" s="12">
        <v>16158</v>
      </c>
      <c r="O71" s="12">
        <v>91851</v>
      </c>
      <c r="P71" s="12">
        <v>27734</v>
      </c>
      <c r="Q71" s="12">
        <v>353465</v>
      </c>
      <c r="R71" s="15">
        <f t="shared" si="2"/>
        <v>0.65219415342986231</v>
      </c>
      <c r="S71" t="str">
        <f t="shared" si="3"/>
        <v>Z</v>
      </c>
    </row>
    <row r="72" spans="1:19">
      <c r="A72" s="11" t="s">
        <v>250</v>
      </c>
      <c r="B72" t="s">
        <v>13</v>
      </c>
      <c r="C72" t="s">
        <v>21</v>
      </c>
      <c r="H72" s="11" t="s">
        <v>187</v>
      </c>
      <c r="I72" s="12">
        <v>45230</v>
      </c>
      <c r="J72" s="12">
        <v>44695</v>
      </c>
      <c r="K72" s="12">
        <v>44115</v>
      </c>
      <c r="L72" s="12">
        <v>41889</v>
      </c>
      <c r="M72" s="12">
        <v>44814</v>
      </c>
      <c r="N72" s="12">
        <v>45202</v>
      </c>
      <c r="O72" s="12">
        <v>43796</v>
      </c>
      <c r="P72" s="12">
        <v>41883</v>
      </c>
      <c r="Q72" s="12">
        <v>351624</v>
      </c>
      <c r="R72" s="15">
        <f t="shared" si="2"/>
        <v>2.9090120364413531E-2</v>
      </c>
      <c r="S72" t="str">
        <f t="shared" si="3"/>
        <v>X</v>
      </c>
    </row>
    <row r="73" spans="1:19">
      <c r="A73" s="11" t="s">
        <v>179</v>
      </c>
      <c r="B73" t="s">
        <v>13</v>
      </c>
      <c r="C73" t="s">
        <v>21</v>
      </c>
      <c r="H73" s="11" t="s">
        <v>250</v>
      </c>
      <c r="I73" s="12">
        <v>44255</v>
      </c>
      <c r="J73" s="12">
        <v>42649</v>
      </c>
      <c r="K73" s="12">
        <v>44932</v>
      </c>
      <c r="L73" s="12">
        <v>44423</v>
      </c>
      <c r="M73" s="12">
        <v>42970</v>
      </c>
      <c r="N73" s="12">
        <v>42357</v>
      </c>
      <c r="O73" s="12">
        <v>42862</v>
      </c>
      <c r="P73" s="12">
        <v>45849</v>
      </c>
      <c r="Q73" s="12">
        <v>350297</v>
      </c>
      <c r="R73" s="15">
        <f t="shared" si="2"/>
        <v>2.6839773383177411E-2</v>
      </c>
      <c r="S73" t="str">
        <f t="shared" si="3"/>
        <v>X</v>
      </c>
    </row>
    <row r="74" spans="1:19">
      <c r="A74" s="11" t="s">
        <v>171</v>
      </c>
      <c r="B74" t="s">
        <v>13</v>
      </c>
      <c r="C74" t="s">
        <v>21</v>
      </c>
      <c r="H74" s="11" t="s">
        <v>179</v>
      </c>
      <c r="I74" s="12">
        <v>40569</v>
      </c>
      <c r="J74" s="12">
        <v>41105</v>
      </c>
      <c r="K74" s="12">
        <v>43258</v>
      </c>
      <c r="L74" s="12">
        <v>43067</v>
      </c>
      <c r="M74" s="12">
        <v>42733</v>
      </c>
      <c r="N74" s="12">
        <v>42935</v>
      </c>
      <c r="O74" s="12">
        <v>43071</v>
      </c>
      <c r="P74" s="12">
        <v>40895</v>
      </c>
      <c r="Q74" s="12">
        <v>337633</v>
      </c>
      <c r="R74" s="15">
        <f t="shared" si="2"/>
        <v>2.5154115652845352E-2</v>
      </c>
      <c r="S74" t="str">
        <f t="shared" si="3"/>
        <v>X</v>
      </c>
    </row>
    <row r="75" spans="1:19">
      <c r="A75" s="11" t="s">
        <v>157</v>
      </c>
      <c r="B75" t="s">
        <v>13</v>
      </c>
      <c r="C75" t="s">
        <v>19</v>
      </c>
      <c r="H75" s="11" t="s">
        <v>171</v>
      </c>
      <c r="I75" s="12">
        <v>41353</v>
      </c>
      <c r="J75" s="12">
        <v>42191</v>
      </c>
      <c r="K75" s="12">
        <v>42202</v>
      </c>
      <c r="L75" s="12">
        <v>42542</v>
      </c>
      <c r="M75" s="12">
        <v>42021</v>
      </c>
      <c r="N75" s="12">
        <v>41713</v>
      </c>
      <c r="O75" s="12">
        <v>41260</v>
      </c>
      <c r="P75" s="12">
        <v>40252</v>
      </c>
      <c r="Q75" s="12">
        <v>333534</v>
      </c>
      <c r="R75" s="15">
        <f t="shared" si="2"/>
        <v>1.6345916542933204E-2</v>
      </c>
      <c r="S75" t="str">
        <f t="shared" si="3"/>
        <v>X</v>
      </c>
    </row>
    <row r="76" spans="1:19">
      <c r="A76" s="11" t="s">
        <v>269</v>
      </c>
      <c r="B76" t="s">
        <v>13</v>
      </c>
      <c r="C76" t="s">
        <v>21</v>
      </c>
      <c r="H76" s="11" t="s">
        <v>157</v>
      </c>
      <c r="I76" s="12">
        <v>76750</v>
      </c>
      <c r="J76" s="12">
        <v>80234</v>
      </c>
      <c r="K76" s="12">
        <v>12547</v>
      </c>
      <c r="L76" s="12">
        <v>27129</v>
      </c>
      <c r="M76" s="12">
        <v>9455</v>
      </c>
      <c r="N76" s="12">
        <v>28056</v>
      </c>
      <c r="O76" s="12">
        <v>28827</v>
      </c>
      <c r="P76" s="12">
        <v>65293</v>
      </c>
      <c r="Q76" s="12">
        <v>328291</v>
      </c>
      <c r="R76" s="15">
        <f t="shared" si="2"/>
        <v>0.65162166162997737</v>
      </c>
      <c r="S76" t="str">
        <f t="shared" si="3"/>
        <v>Z</v>
      </c>
    </row>
    <row r="77" spans="1:19">
      <c r="A77" s="11" t="s">
        <v>176</v>
      </c>
      <c r="B77" t="s">
        <v>13</v>
      </c>
      <c r="C77" t="s">
        <v>20</v>
      </c>
      <c r="H77" s="11" t="s">
        <v>269</v>
      </c>
      <c r="I77" s="12">
        <v>40035</v>
      </c>
      <c r="J77" s="12">
        <v>39468</v>
      </c>
      <c r="K77" s="12">
        <v>41101</v>
      </c>
      <c r="L77" s="12">
        <v>41783</v>
      </c>
      <c r="M77" s="12">
        <v>39789</v>
      </c>
      <c r="N77" s="12">
        <v>41318</v>
      </c>
      <c r="O77" s="12">
        <v>40624</v>
      </c>
      <c r="P77" s="12">
        <v>39941</v>
      </c>
      <c r="Q77" s="12">
        <v>324059</v>
      </c>
      <c r="R77" s="15">
        <f t="shared" si="2"/>
        <v>1.9103640085577824E-2</v>
      </c>
      <c r="S77" t="str">
        <f t="shared" si="3"/>
        <v>X</v>
      </c>
    </row>
    <row r="78" spans="1:19">
      <c r="A78" s="11" t="s">
        <v>223</v>
      </c>
      <c r="B78" t="s">
        <v>13</v>
      </c>
      <c r="C78" t="s">
        <v>19</v>
      </c>
      <c r="H78" s="11" t="s">
        <v>176</v>
      </c>
      <c r="I78" s="12">
        <v>41622</v>
      </c>
      <c r="J78" s="12">
        <v>29519</v>
      </c>
      <c r="K78" s="12">
        <v>48951</v>
      </c>
      <c r="L78" s="12">
        <v>33257</v>
      </c>
      <c r="M78" s="12">
        <v>41302</v>
      </c>
      <c r="N78" s="12">
        <v>43373</v>
      </c>
      <c r="O78" s="12">
        <v>45425</v>
      </c>
      <c r="P78" s="12">
        <v>35399</v>
      </c>
      <c r="Q78" s="12">
        <v>318848</v>
      </c>
      <c r="R78" s="15">
        <f t="shared" si="2"/>
        <v>0.1540495308951757</v>
      </c>
      <c r="S78" t="str">
        <f t="shared" si="3"/>
        <v>Y</v>
      </c>
    </row>
    <row r="79" spans="1:19">
      <c r="A79" s="11" t="s">
        <v>113</v>
      </c>
      <c r="B79" t="s">
        <v>13</v>
      </c>
      <c r="C79" t="s">
        <v>19</v>
      </c>
      <c r="H79" s="11" t="s">
        <v>223</v>
      </c>
      <c r="I79" s="12">
        <v>53529</v>
      </c>
      <c r="J79" s="12">
        <v>13498</v>
      </c>
      <c r="K79" s="12">
        <v>57839</v>
      </c>
      <c r="L79" s="12">
        <v>8592</v>
      </c>
      <c r="M79" s="12">
        <v>72409</v>
      </c>
      <c r="N79" s="12">
        <v>33350</v>
      </c>
      <c r="O79" s="12">
        <v>23063</v>
      </c>
      <c r="P79" s="12">
        <v>54944</v>
      </c>
      <c r="Q79" s="12">
        <v>317224</v>
      </c>
      <c r="R79" s="15">
        <f t="shared" si="2"/>
        <v>0.54918690122391234</v>
      </c>
      <c r="S79" t="str">
        <f t="shared" si="3"/>
        <v>Z</v>
      </c>
    </row>
    <row r="80" spans="1:19">
      <c r="A80" s="11" t="s">
        <v>150</v>
      </c>
      <c r="B80" t="s">
        <v>13</v>
      </c>
      <c r="C80" t="s">
        <v>21</v>
      </c>
      <c r="H80" s="11" t="s">
        <v>113</v>
      </c>
      <c r="I80" s="12">
        <v>21359</v>
      </c>
      <c r="J80" s="12">
        <v>25065</v>
      </c>
      <c r="K80" s="12">
        <v>69542</v>
      </c>
      <c r="L80" s="12">
        <v>23946</v>
      </c>
      <c r="M80" s="12">
        <v>56491</v>
      </c>
      <c r="N80" s="12">
        <v>13752</v>
      </c>
      <c r="O80" s="12">
        <v>22240</v>
      </c>
      <c r="P80" s="12">
        <v>68646</v>
      </c>
      <c r="Q80" s="12">
        <v>301041</v>
      </c>
      <c r="R80" s="15">
        <f t="shared" si="2"/>
        <v>0.57558333698147912</v>
      </c>
      <c r="S80" t="str">
        <f t="shared" si="3"/>
        <v>Z</v>
      </c>
    </row>
    <row r="81" spans="1:19">
      <c r="A81" s="11" t="s">
        <v>264</v>
      </c>
      <c r="B81" t="s">
        <v>14</v>
      </c>
      <c r="C81" t="s">
        <v>20</v>
      </c>
      <c r="H81" s="11" t="s">
        <v>150</v>
      </c>
      <c r="I81" s="12">
        <v>36121</v>
      </c>
      <c r="J81" s="12">
        <v>37378</v>
      </c>
      <c r="K81" s="12">
        <v>38450</v>
      </c>
      <c r="L81" s="12">
        <v>36074</v>
      </c>
      <c r="M81" s="12">
        <v>35988</v>
      </c>
      <c r="N81" s="12">
        <v>38611</v>
      </c>
      <c r="O81" s="12">
        <v>36199</v>
      </c>
      <c r="P81" s="12">
        <v>37546</v>
      </c>
      <c r="Q81" s="12">
        <v>296367</v>
      </c>
      <c r="R81" s="15">
        <f t="shared" si="2"/>
        <v>2.768953485193499E-2</v>
      </c>
      <c r="S81" t="str">
        <f t="shared" si="3"/>
        <v>X</v>
      </c>
    </row>
    <row r="82" spans="1:19">
      <c r="A82" s="11" t="s">
        <v>222</v>
      </c>
      <c r="B82" t="s">
        <v>14</v>
      </c>
      <c r="C82" t="s">
        <v>21</v>
      </c>
      <c r="H82" s="11" t="s">
        <v>264</v>
      </c>
      <c r="I82" s="12">
        <v>29931</v>
      </c>
      <c r="J82" s="12">
        <v>34706</v>
      </c>
      <c r="K82" s="12">
        <v>40542</v>
      </c>
      <c r="L82" s="12">
        <v>43369</v>
      </c>
      <c r="M82" s="12">
        <v>35015</v>
      </c>
      <c r="N82" s="12">
        <v>30652</v>
      </c>
      <c r="O82" s="12">
        <v>35399</v>
      </c>
      <c r="P82" s="12">
        <v>33547</v>
      </c>
      <c r="Q82" s="12">
        <v>283161</v>
      </c>
      <c r="R82" s="15">
        <f t="shared" si="2"/>
        <v>0.12088539803433385</v>
      </c>
      <c r="S82" t="str">
        <f t="shared" si="3"/>
        <v>Y</v>
      </c>
    </row>
    <row r="83" spans="1:19">
      <c r="A83" s="11" t="s">
        <v>165</v>
      </c>
      <c r="B83" t="s">
        <v>14</v>
      </c>
      <c r="C83" t="s">
        <v>20</v>
      </c>
      <c r="H83" s="11" t="s">
        <v>222</v>
      </c>
      <c r="I83" s="12">
        <v>34493</v>
      </c>
      <c r="J83" s="12">
        <v>35320</v>
      </c>
      <c r="K83" s="12">
        <v>35880</v>
      </c>
      <c r="L83" s="12">
        <v>36188</v>
      </c>
      <c r="M83" s="12">
        <v>35888</v>
      </c>
      <c r="N83" s="12">
        <v>33771</v>
      </c>
      <c r="O83" s="12">
        <v>33205</v>
      </c>
      <c r="P83" s="12">
        <v>35164</v>
      </c>
      <c r="Q83" s="12">
        <v>279909</v>
      </c>
      <c r="R83" s="15">
        <f t="shared" si="2"/>
        <v>2.8744700100322103E-2</v>
      </c>
      <c r="S83" t="str">
        <f t="shared" si="3"/>
        <v>X</v>
      </c>
    </row>
    <row r="84" spans="1:19">
      <c r="A84" s="11" t="s">
        <v>190</v>
      </c>
      <c r="B84" t="s">
        <v>14</v>
      </c>
      <c r="C84" t="s">
        <v>19</v>
      </c>
      <c r="H84" s="11" t="s">
        <v>165</v>
      </c>
      <c r="I84" s="12">
        <v>38303</v>
      </c>
      <c r="J84" s="12">
        <v>41648</v>
      </c>
      <c r="K84" s="12">
        <v>37715</v>
      </c>
      <c r="L84" s="12">
        <v>24105</v>
      </c>
      <c r="M84" s="12">
        <v>27900</v>
      </c>
      <c r="N84" s="12">
        <v>29316</v>
      </c>
      <c r="O84" s="12">
        <v>40531</v>
      </c>
      <c r="P84" s="12">
        <v>36466</v>
      </c>
      <c r="Q84" s="12">
        <v>275984</v>
      </c>
      <c r="R84" s="15">
        <f t="shared" si="2"/>
        <v>0.17591094737634586</v>
      </c>
      <c r="S84" t="str">
        <f t="shared" si="3"/>
        <v>Y</v>
      </c>
    </row>
    <row r="85" spans="1:19">
      <c r="A85" s="11" t="s">
        <v>177</v>
      </c>
      <c r="B85" t="s">
        <v>14</v>
      </c>
      <c r="C85" t="s">
        <v>20</v>
      </c>
      <c r="H85" s="11" t="s">
        <v>190</v>
      </c>
      <c r="I85" s="12">
        <v>43140</v>
      </c>
      <c r="J85" s="12">
        <v>56059</v>
      </c>
      <c r="K85" s="12">
        <v>51975</v>
      </c>
      <c r="L85" s="12">
        <v>14061</v>
      </c>
      <c r="M85" s="12">
        <v>7541</v>
      </c>
      <c r="N85" s="12">
        <v>20557</v>
      </c>
      <c r="O85" s="12">
        <v>57460</v>
      </c>
      <c r="P85" s="12">
        <v>22868</v>
      </c>
      <c r="Q85" s="12">
        <v>273661</v>
      </c>
      <c r="R85" s="15">
        <f t="shared" si="2"/>
        <v>0.55133400039521019</v>
      </c>
      <c r="S85" t="str">
        <f t="shared" si="3"/>
        <v>Z</v>
      </c>
    </row>
    <row r="86" spans="1:19">
      <c r="A86" s="11" t="s">
        <v>60</v>
      </c>
      <c r="B86" t="s">
        <v>14</v>
      </c>
      <c r="C86" t="s">
        <v>19</v>
      </c>
      <c r="H86" s="11" t="s">
        <v>177</v>
      </c>
      <c r="I86" s="12">
        <v>31846</v>
      </c>
      <c r="J86" s="12">
        <v>38550</v>
      </c>
      <c r="K86" s="12">
        <v>32691</v>
      </c>
      <c r="L86" s="12">
        <v>28136</v>
      </c>
      <c r="M86" s="12">
        <v>40001</v>
      </c>
      <c r="N86" s="12">
        <v>36667</v>
      </c>
      <c r="O86" s="12">
        <v>25861</v>
      </c>
      <c r="P86" s="12">
        <v>28328</v>
      </c>
      <c r="Q86" s="12">
        <v>262080</v>
      </c>
      <c r="R86" s="15">
        <f t="shared" si="2"/>
        <v>0.14902702710798038</v>
      </c>
      <c r="S86" t="str">
        <f t="shared" si="3"/>
        <v>Y</v>
      </c>
    </row>
    <row r="87" spans="1:19">
      <c r="A87" s="11" t="s">
        <v>164</v>
      </c>
      <c r="B87" t="s">
        <v>14</v>
      </c>
      <c r="C87" t="s">
        <v>20</v>
      </c>
      <c r="H87" s="11" t="s">
        <v>60</v>
      </c>
      <c r="I87" s="12">
        <v>23669</v>
      </c>
      <c r="J87" s="12">
        <v>47231</v>
      </c>
      <c r="K87" s="12">
        <v>20674</v>
      </c>
      <c r="L87" s="12">
        <v>26491</v>
      </c>
      <c r="M87" s="12">
        <v>19442</v>
      </c>
      <c r="N87" s="12">
        <v>62021</v>
      </c>
      <c r="O87" s="12">
        <v>9851</v>
      </c>
      <c r="P87" s="12">
        <v>50405</v>
      </c>
      <c r="Q87" s="12">
        <v>259784</v>
      </c>
      <c r="R87" s="15">
        <f t="shared" si="2"/>
        <v>0.5274047391648542</v>
      </c>
      <c r="S87" t="str">
        <f t="shared" si="3"/>
        <v>Z</v>
      </c>
    </row>
    <row r="88" spans="1:19">
      <c r="A88" s="11" t="s">
        <v>180</v>
      </c>
      <c r="B88" t="s">
        <v>14</v>
      </c>
      <c r="C88" t="s">
        <v>21</v>
      </c>
      <c r="H88" s="11" t="s">
        <v>164</v>
      </c>
      <c r="I88" s="12">
        <v>29501</v>
      </c>
      <c r="J88" s="12">
        <v>28833</v>
      </c>
      <c r="K88" s="12">
        <v>29182</v>
      </c>
      <c r="L88" s="12">
        <v>27855</v>
      </c>
      <c r="M88" s="12">
        <v>31814</v>
      </c>
      <c r="N88" s="12">
        <v>28314</v>
      </c>
      <c r="O88" s="12">
        <v>38704</v>
      </c>
      <c r="P88" s="12">
        <v>43776</v>
      </c>
      <c r="Q88" s="12">
        <v>257979</v>
      </c>
      <c r="R88" s="15">
        <f t="shared" si="2"/>
        <v>0.16919312456258884</v>
      </c>
      <c r="S88" t="str">
        <f t="shared" si="3"/>
        <v>Y</v>
      </c>
    </row>
    <row r="89" spans="1:19">
      <c r="A89" s="11" t="s">
        <v>127</v>
      </c>
      <c r="B89" t="s">
        <v>14</v>
      </c>
      <c r="C89" t="s">
        <v>20</v>
      </c>
      <c r="H89" s="11" t="s">
        <v>180</v>
      </c>
      <c r="I89" s="12">
        <v>32072</v>
      </c>
      <c r="J89" s="12">
        <v>30676</v>
      </c>
      <c r="K89" s="12">
        <v>31793</v>
      </c>
      <c r="L89" s="12">
        <v>30810</v>
      </c>
      <c r="M89" s="12">
        <v>31805</v>
      </c>
      <c r="N89" s="12">
        <v>30472</v>
      </c>
      <c r="O89" s="12">
        <v>29975</v>
      </c>
      <c r="P89" s="12">
        <v>30862</v>
      </c>
      <c r="Q89" s="12">
        <v>248465</v>
      </c>
      <c r="R89" s="15">
        <f t="shared" si="2"/>
        <v>2.2447816956034757E-2</v>
      </c>
      <c r="S89" t="str">
        <f t="shared" si="3"/>
        <v>X</v>
      </c>
    </row>
    <row r="90" spans="1:19">
      <c r="A90" s="11" t="s">
        <v>116</v>
      </c>
      <c r="B90" t="s">
        <v>14</v>
      </c>
      <c r="C90" t="s">
        <v>21</v>
      </c>
      <c r="H90" s="11" t="s">
        <v>127</v>
      </c>
      <c r="I90" s="12">
        <v>23255</v>
      </c>
      <c r="J90" s="12">
        <v>26163</v>
      </c>
      <c r="K90" s="12">
        <v>33186</v>
      </c>
      <c r="L90" s="12">
        <v>28178</v>
      </c>
      <c r="M90" s="12">
        <v>38498</v>
      </c>
      <c r="N90" s="12">
        <v>36108</v>
      </c>
      <c r="O90" s="12">
        <v>24688</v>
      </c>
      <c r="P90" s="12">
        <v>36095</v>
      </c>
      <c r="Q90" s="12">
        <v>246171</v>
      </c>
      <c r="R90" s="15">
        <f t="shared" si="2"/>
        <v>0.17940757188653844</v>
      </c>
      <c r="S90" t="str">
        <f t="shared" si="3"/>
        <v>Y</v>
      </c>
    </row>
    <row r="91" spans="1:19">
      <c r="A91" s="11" t="s">
        <v>67</v>
      </c>
      <c r="B91" t="s">
        <v>14</v>
      </c>
      <c r="C91" t="s">
        <v>21</v>
      </c>
      <c r="H91" s="11" t="s">
        <v>116</v>
      </c>
      <c r="I91" s="12">
        <v>29767</v>
      </c>
      <c r="J91" s="12">
        <v>28681</v>
      </c>
      <c r="K91" s="12">
        <v>29069</v>
      </c>
      <c r="L91" s="12">
        <v>29243</v>
      </c>
      <c r="M91" s="12">
        <v>29630</v>
      </c>
      <c r="N91" s="12">
        <v>31119</v>
      </c>
      <c r="O91" s="12">
        <v>30536</v>
      </c>
      <c r="P91" s="12">
        <v>29325</v>
      </c>
      <c r="Q91" s="12">
        <v>237370</v>
      </c>
      <c r="R91" s="15">
        <f t="shared" si="2"/>
        <v>2.5280446605242982E-2</v>
      </c>
      <c r="S91" t="str">
        <f t="shared" si="3"/>
        <v>X</v>
      </c>
    </row>
    <row r="92" spans="1:19">
      <c r="A92" s="11" t="s">
        <v>65</v>
      </c>
      <c r="B92" t="s">
        <v>14</v>
      </c>
      <c r="C92" t="s">
        <v>19</v>
      </c>
      <c r="H92" s="11" t="s">
        <v>67</v>
      </c>
      <c r="I92" s="12">
        <v>29653</v>
      </c>
      <c r="J92" s="12">
        <v>30502</v>
      </c>
      <c r="K92" s="12">
        <v>29110</v>
      </c>
      <c r="L92" s="12">
        <v>29250</v>
      </c>
      <c r="M92" s="12">
        <v>30987</v>
      </c>
      <c r="N92" s="12">
        <v>28645</v>
      </c>
      <c r="O92" s="12">
        <v>29403</v>
      </c>
      <c r="P92" s="12">
        <v>29283</v>
      </c>
      <c r="Q92" s="12">
        <v>236833</v>
      </c>
      <c r="R92" s="15">
        <f t="shared" si="2"/>
        <v>2.4340774685841858E-2</v>
      </c>
      <c r="S92" t="str">
        <f t="shared" si="3"/>
        <v>X</v>
      </c>
    </row>
    <row r="93" spans="1:19">
      <c r="A93" s="11" t="s">
        <v>234</v>
      </c>
      <c r="B93" t="s">
        <v>14</v>
      </c>
      <c r="C93" t="s">
        <v>19</v>
      </c>
      <c r="H93" s="11" t="s">
        <v>65</v>
      </c>
      <c r="I93" s="12">
        <v>39150</v>
      </c>
      <c r="J93" s="12">
        <v>35955</v>
      </c>
      <c r="K93" s="12">
        <v>40142</v>
      </c>
      <c r="L93" s="12">
        <v>5200</v>
      </c>
      <c r="M93" s="12">
        <v>9034</v>
      </c>
      <c r="N93" s="12">
        <v>7447</v>
      </c>
      <c r="O93" s="12">
        <v>53022</v>
      </c>
      <c r="P93" s="12">
        <v>45130</v>
      </c>
      <c r="Q93" s="12">
        <v>235080</v>
      </c>
      <c r="R93" s="15">
        <f t="shared" si="2"/>
        <v>0.60652494856341244</v>
      </c>
      <c r="S93" t="str">
        <f t="shared" si="3"/>
        <v>Z</v>
      </c>
    </row>
    <row r="94" spans="1:19">
      <c r="A94" s="11" t="s">
        <v>198</v>
      </c>
      <c r="B94" t="s">
        <v>14</v>
      </c>
      <c r="C94" t="s">
        <v>21</v>
      </c>
      <c r="H94" s="11" t="s">
        <v>234</v>
      </c>
      <c r="I94" s="12">
        <v>10025</v>
      </c>
      <c r="J94" s="12">
        <v>8097</v>
      </c>
      <c r="K94" s="12">
        <v>20081</v>
      </c>
      <c r="L94" s="12">
        <v>9882</v>
      </c>
      <c r="M94" s="12">
        <v>49497</v>
      </c>
      <c r="N94" s="12">
        <v>46977</v>
      </c>
      <c r="O94" s="12">
        <v>49061</v>
      </c>
      <c r="P94" s="12">
        <v>40442</v>
      </c>
      <c r="Q94" s="12">
        <v>234062</v>
      </c>
      <c r="R94" s="15">
        <f t="shared" si="2"/>
        <v>0.60639562333859998</v>
      </c>
      <c r="S94" t="str">
        <f t="shared" si="3"/>
        <v>Z</v>
      </c>
    </row>
    <row r="95" spans="1:19">
      <c r="A95" s="11" t="s">
        <v>254</v>
      </c>
      <c r="B95" t="s">
        <v>14</v>
      </c>
      <c r="C95" t="s">
        <v>21</v>
      </c>
      <c r="H95" s="11" t="s">
        <v>198</v>
      </c>
      <c r="I95" s="12">
        <v>28977</v>
      </c>
      <c r="J95" s="12">
        <v>28677</v>
      </c>
      <c r="K95" s="12">
        <v>29855</v>
      </c>
      <c r="L95" s="12">
        <v>28303</v>
      </c>
      <c r="M95" s="12">
        <v>29824</v>
      </c>
      <c r="N95" s="12">
        <v>29306</v>
      </c>
      <c r="O95" s="12">
        <v>29287</v>
      </c>
      <c r="P95" s="12">
        <v>28687</v>
      </c>
      <c r="Q95" s="12">
        <v>232916</v>
      </c>
      <c r="R95" s="15">
        <f t="shared" si="2"/>
        <v>1.7887577141354458E-2</v>
      </c>
      <c r="S95" t="str">
        <f t="shared" si="3"/>
        <v>X</v>
      </c>
    </row>
    <row r="96" spans="1:19">
      <c r="A96" s="11" t="s">
        <v>160</v>
      </c>
      <c r="B96" t="s">
        <v>14</v>
      </c>
      <c r="C96" t="s">
        <v>21</v>
      </c>
      <c r="H96" s="11" t="s">
        <v>254</v>
      </c>
      <c r="I96" s="12">
        <v>30966</v>
      </c>
      <c r="J96" s="12">
        <v>29260</v>
      </c>
      <c r="K96" s="12">
        <v>28964</v>
      </c>
      <c r="L96" s="12">
        <v>27338</v>
      </c>
      <c r="M96" s="12">
        <v>24481</v>
      </c>
      <c r="N96" s="12">
        <v>29211</v>
      </c>
      <c r="O96" s="12">
        <v>33652</v>
      </c>
      <c r="P96" s="12">
        <v>28631</v>
      </c>
      <c r="Q96" s="12">
        <v>232503</v>
      </c>
      <c r="R96" s="15">
        <f t="shared" si="2"/>
        <v>8.5075707849497986E-2</v>
      </c>
      <c r="S96" t="str">
        <f t="shared" si="3"/>
        <v>X</v>
      </c>
    </row>
    <row r="97" spans="1:19">
      <c r="A97" s="11" t="s">
        <v>181</v>
      </c>
      <c r="B97" t="s">
        <v>14</v>
      </c>
      <c r="C97" t="s">
        <v>21</v>
      </c>
      <c r="H97" s="11" t="s">
        <v>160</v>
      </c>
      <c r="I97" s="12">
        <v>28178</v>
      </c>
      <c r="J97" s="12">
        <v>30131</v>
      </c>
      <c r="K97" s="12">
        <v>29783</v>
      </c>
      <c r="L97" s="12">
        <v>28272</v>
      </c>
      <c r="M97" s="12">
        <v>28253</v>
      </c>
      <c r="N97" s="12">
        <v>30452</v>
      </c>
      <c r="O97" s="12">
        <v>29219</v>
      </c>
      <c r="P97" s="12">
        <v>28043</v>
      </c>
      <c r="Q97" s="12">
        <v>232331</v>
      </c>
      <c r="R97" s="15">
        <f t="shared" si="2"/>
        <v>3.1545664955400662E-2</v>
      </c>
      <c r="S97" t="str">
        <f t="shared" si="3"/>
        <v>X</v>
      </c>
    </row>
    <row r="98" spans="1:19">
      <c r="A98" s="11" t="s">
        <v>126</v>
      </c>
      <c r="B98" t="s">
        <v>14</v>
      </c>
      <c r="C98" t="s">
        <v>21</v>
      </c>
      <c r="H98" s="11" t="s">
        <v>181</v>
      </c>
      <c r="I98" s="12">
        <v>28364</v>
      </c>
      <c r="J98" s="12">
        <v>27330</v>
      </c>
      <c r="K98" s="12">
        <v>28572</v>
      </c>
      <c r="L98" s="12">
        <v>27462</v>
      </c>
      <c r="M98" s="12">
        <v>27127</v>
      </c>
      <c r="N98" s="12">
        <v>28599</v>
      </c>
      <c r="O98" s="12">
        <v>28958</v>
      </c>
      <c r="P98" s="12">
        <v>29083</v>
      </c>
      <c r="Q98" s="12">
        <v>225495</v>
      </c>
      <c r="R98" s="15">
        <f t="shared" si="2"/>
        <v>2.5491485020370439E-2</v>
      </c>
      <c r="S98" t="str">
        <f t="shared" si="3"/>
        <v>X</v>
      </c>
    </row>
    <row r="99" spans="1:19">
      <c r="A99" s="11" t="s">
        <v>266</v>
      </c>
      <c r="B99" t="s">
        <v>14</v>
      </c>
      <c r="C99" t="s">
        <v>19</v>
      </c>
      <c r="H99" s="11" t="s">
        <v>126</v>
      </c>
      <c r="I99" s="12">
        <v>27572</v>
      </c>
      <c r="J99" s="12">
        <v>28021</v>
      </c>
      <c r="K99" s="12">
        <v>27217</v>
      </c>
      <c r="L99" s="12">
        <v>28992</v>
      </c>
      <c r="M99" s="12">
        <v>26957</v>
      </c>
      <c r="N99" s="12">
        <v>28690</v>
      </c>
      <c r="O99" s="12">
        <v>28829</v>
      </c>
      <c r="P99" s="12">
        <v>28123</v>
      </c>
      <c r="Q99" s="12">
        <v>224401</v>
      </c>
      <c r="R99" s="15">
        <f t="shared" si="2"/>
        <v>2.5293611975973716E-2</v>
      </c>
      <c r="S99" t="str">
        <f t="shared" si="3"/>
        <v>X</v>
      </c>
    </row>
    <row r="100" spans="1:19">
      <c r="A100" s="11" t="s">
        <v>185</v>
      </c>
      <c r="B100" t="s">
        <v>14</v>
      </c>
      <c r="C100" t="s">
        <v>20</v>
      </c>
      <c r="H100" s="11" t="s">
        <v>266</v>
      </c>
      <c r="I100" s="12">
        <v>51010</v>
      </c>
      <c r="J100" s="12">
        <v>20853</v>
      </c>
      <c r="K100" s="12">
        <v>24351</v>
      </c>
      <c r="L100" s="12">
        <v>14050</v>
      </c>
      <c r="M100" s="12">
        <v>56793</v>
      </c>
      <c r="N100" s="12">
        <v>6795</v>
      </c>
      <c r="O100" s="12">
        <v>28515</v>
      </c>
      <c r="P100" s="12">
        <v>21050</v>
      </c>
      <c r="Q100" s="12">
        <v>223417</v>
      </c>
      <c r="R100" s="15">
        <f t="shared" si="2"/>
        <v>0.58230818926125361</v>
      </c>
      <c r="S100" t="str">
        <f t="shared" si="3"/>
        <v>Z</v>
      </c>
    </row>
    <row r="101" spans="1:19">
      <c r="A101" s="11" t="s">
        <v>85</v>
      </c>
      <c r="B101" t="s">
        <v>14</v>
      </c>
      <c r="C101" t="s">
        <v>19</v>
      </c>
      <c r="H101" s="11" t="s">
        <v>185</v>
      </c>
      <c r="I101" s="12">
        <v>26852</v>
      </c>
      <c r="J101" s="12">
        <v>20580</v>
      </c>
      <c r="K101" s="12">
        <v>31402</v>
      </c>
      <c r="L101" s="12">
        <v>24970</v>
      </c>
      <c r="M101" s="12">
        <v>35818</v>
      </c>
      <c r="N101" s="12">
        <v>21166</v>
      </c>
      <c r="O101" s="12">
        <v>24076</v>
      </c>
      <c r="P101" s="12">
        <v>36839</v>
      </c>
      <c r="Q101" s="12">
        <v>221703</v>
      </c>
      <c r="R101" s="15">
        <f t="shared" si="2"/>
        <v>0.21264487027286291</v>
      </c>
      <c r="S101" t="str">
        <f t="shared" si="3"/>
        <v>Y</v>
      </c>
    </row>
    <row r="102" spans="1:19">
      <c r="A102" s="11" t="s">
        <v>197</v>
      </c>
      <c r="B102" t="s">
        <v>14</v>
      </c>
      <c r="C102" t="s">
        <v>21</v>
      </c>
      <c r="H102" s="11" t="s">
        <v>85</v>
      </c>
      <c r="I102" s="12">
        <v>7009</v>
      </c>
      <c r="J102" s="12">
        <v>47284</v>
      </c>
      <c r="K102" s="12">
        <v>13989</v>
      </c>
      <c r="L102" s="12">
        <v>16052</v>
      </c>
      <c r="M102" s="12">
        <v>40433</v>
      </c>
      <c r="N102" s="12">
        <v>10056</v>
      </c>
      <c r="O102" s="12">
        <v>40430</v>
      </c>
      <c r="P102" s="12">
        <v>46274</v>
      </c>
      <c r="Q102" s="12">
        <v>221527</v>
      </c>
      <c r="R102" s="15">
        <f t="shared" si="2"/>
        <v>0.5872946074276052</v>
      </c>
      <c r="S102" t="str">
        <f t="shared" si="3"/>
        <v>Z</v>
      </c>
    </row>
    <row r="103" spans="1:19">
      <c r="A103" s="11" t="s">
        <v>260</v>
      </c>
      <c r="B103" t="s">
        <v>14</v>
      </c>
      <c r="C103" t="s">
        <v>19</v>
      </c>
      <c r="H103" s="11" t="s">
        <v>197</v>
      </c>
      <c r="I103" s="12">
        <v>26597</v>
      </c>
      <c r="J103" s="12">
        <v>25290</v>
      </c>
      <c r="K103" s="12">
        <v>26575</v>
      </c>
      <c r="L103" s="12">
        <v>26962</v>
      </c>
      <c r="M103" s="12">
        <v>27248</v>
      </c>
      <c r="N103" s="12">
        <v>27593</v>
      </c>
      <c r="O103" s="12">
        <v>27234</v>
      </c>
      <c r="P103" s="12">
        <v>26045</v>
      </c>
      <c r="Q103" s="12">
        <v>213544</v>
      </c>
      <c r="R103" s="15">
        <f t="shared" si="2"/>
        <v>2.6138736412584677E-2</v>
      </c>
      <c r="S103" t="str">
        <f t="shared" si="3"/>
        <v>X</v>
      </c>
    </row>
    <row r="104" spans="1:19">
      <c r="A104" s="11" t="s">
        <v>76</v>
      </c>
      <c r="B104" t="s">
        <v>14</v>
      </c>
      <c r="C104" t="s">
        <v>20</v>
      </c>
      <c r="H104" s="11" t="s">
        <v>260</v>
      </c>
      <c r="I104" s="12">
        <v>28699</v>
      </c>
      <c r="J104" s="12">
        <v>5676</v>
      </c>
      <c r="K104" s="12">
        <v>31283</v>
      </c>
      <c r="L104" s="12">
        <v>29406</v>
      </c>
      <c r="M104" s="12">
        <v>25560</v>
      </c>
      <c r="N104" s="12">
        <v>34507</v>
      </c>
      <c r="O104" s="12">
        <v>33587</v>
      </c>
      <c r="P104" s="12">
        <v>24075</v>
      </c>
      <c r="Q104" s="12">
        <v>212793</v>
      </c>
      <c r="R104" s="15">
        <f t="shared" si="2"/>
        <v>0.32308377919126308</v>
      </c>
      <c r="S104" t="str">
        <f t="shared" si="3"/>
        <v>Z</v>
      </c>
    </row>
    <row r="105" spans="1:19">
      <c r="A105" s="11" t="s">
        <v>243</v>
      </c>
      <c r="B105" t="s">
        <v>14</v>
      </c>
      <c r="C105" t="s">
        <v>19</v>
      </c>
      <c r="H105" s="11" t="s">
        <v>76</v>
      </c>
      <c r="I105" s="12">
        <v>22347</v>
      </c>
      <c r="J105" s="12">
        <v>30055</v>
      </c>
      <c r="K105" s="12">
        <v>21814</v>
      </c>
      <c r="L105" s="12">
        <v>20468</v>
      </c>
      <c r="M105" s="12">
        <v>33119</v>
      </c>
      <c r="N105" s="12">
        <v>31550</v>
      </c>
      <c r="O105" s="12">
        <v>26866</v>
      </c>
      <c r="P105" s="12">
        <v>19855</v>
      </c>
      <c r="Q105" s="12">
        <v>206074</v>
      </c>
      <c r="R105" s="15">
        <f t="shared" si="2"/>
        <v>0.1928602279263954</v>
      </c>
      <c r="S105" t="str">
        <f t="shared" si="3"/>
        <v>Y</v>
      </c>
    </row>
    <row r="106" spans="1:19">
      <c r="A106" s="11" t="s">
        <v>151</v>
      </c>
      <c r="B106" t="s">
        <v>14</v>
      </c>
      <c r="C106" t="s">
        <v>20</v>
      </c>
      <c r="H106" s="11" t="s">
        <v>243</v>
      </c>
      <c r="I106" s="12">
        <v>35201</v>
      </c>
      <c r="J106" s="12">
        <v>11403</v>
      </c>
      <c r="K106" s="12">
        <v>42285</v>
      </c>
      <c r="L106" s="12">
        <v>41842</v>
      </c>
      <c r="M106" s="12">
        <v>5200</v>
      </c>
      <c r="N106" s="12">
        <v>39873</v>
      </c>
      <c r="O106" s="12">
        <v>14029</v>
      </c>
      <c r="P106" s="12">
        <v>7468</v>
      </c>
      <c r="Q106" s="12">
        <v>197301</v>
      </c>
      <c r="R106" s="15">
        <f t="shared" si="2"/>
        <v>0.62675120952038843</v>
      </c>
      <c r="S106" t="str">
        <f t="shared" si="3"/>
        <v>Z</v>
      </c>
    </row>
    <row r="107" spans="1:19">
      <c r="A107" s="11" t="s">
        <v>175</v>
      </c>
      <c r="B107" t="s">
        <v>14</v>
      </c>
      <c r="C107" t="s">
        <v>20</v>
      </c>
      <c r="H107" s="11" t="s">
        <v>151</v>
      </c>
      <c r="I107" s="12">
        <v>22573</v>
      </c>
      <c r="J107" s="12">
        <v>16491</v>
      </c>
      <c r="K107" s="12">
        <v>28947</v>
      </c>
      <c r="L107" s="12">
        <v>28098</v>
      </c>
      <c r="M107" s="12">
        <v>24871</v>
      </c>
      <c r="N107" s="12">
        <v>26883</v>
      </c>
      <c r="O107" s="12">
        <v>24484</v>
      </c>
      <c r="P107" s="12">
        <v>21854</v>
      </c>
      <c r="Q107" s="12">
        <v>194201</v>
      </c>
      <c r="R107" s="15">
        <f t="shared" si="2"/>
        <v>0.15481666778017641</v>
      </c>
      <c r="S107" t="str">
        <f t="shared" si="3"/>
        <v>Y</v>
      </c>
    </row>
    <row r="108" spans="1:19">
      <c r="A108" s="11" t="s">
        <v>50</v>
      </c>
      <c r="B108" t="s">
        <v>14</v>
      </c>
      <c r="C108" t="s">
        <v>21</v>
      </c>
      <c r="H108" s="11" t="s">
        <v>175</v>
      </c>
      <c r="I108" s="12">
        <v>20928</v>
      </c>
      <c r="J108" s="12">
        <v>17822</v>
      </c>
      <c r="K108" s="12">
        <v>29109</v>
      </c>
      <c r="L108" s="12">
        <v>28398</v>
      </c>
      <c r="M108" s="12">
        <v>25871</v>
      </c>
      <c r="N108" s="12">
        <v>18303</v>
      </c>
      <c r="O108" s="12">
        <v>25788</v>
      </c>
      <c r="P108" s="12">
        <v>27559</v>
      </c>
      <c r="Q108" s="12">
        <v>193778</v>
      </c>
      <c r="R108" s="15">
        <f t="shared" si="2"/>
        <v>0.1754426480262084</v>
      </c>
      <c r="S108" t="str">
        <f t="shared" si="3"/>
        <v>Y</v>
      </c>
    </row>
    <row r="109" spans="1:19">
      <c r="A109" s="11" t="s">
        <v>194</v>
      </c>
      <c r="B109" t="s">
        <v>14</v>
      </c>
      <c r="C109" t="s">
        <v>21</v>
      </c>
      <c r="H109" s="11" t="s">
        <v>50</v>
      </c>
      <c r="I109" s="12">
        <v>24544</v>
      </c>
      <c r="J109" s="12">
        <v>24336</v>
      </c>
      <c r="K109" s="12">
        <v>24068</v>
      </c>
      <c r="L109" s="12">
        <v>24363</v>
      </c>
      <c r="M109" s="12">
        <v>23753</v>
      </c>
      <c r="N109" s="12">
        <v>23409</v>
      </c>
      <c r="O109" s="12">
        <v>23126</v>
      </c>
      <c r="P109" s="12">
        <v>24374</v>
      </c>
      <c r="Q109" s="12">
        <v>191973</v>
      </c>
      <c r="R109" s="15">
        <f t="shared" si="2"/>
        <v>2.0089312725746E-2</v>
      </c>
      <c r="S109" t="str">
        <f t="shared" si="3"/>
        <v>X</v>
      </c>
    </row>
    <row r="110" spans="1:19">
      <c r="A110" s="11" t="s">
        <v>89</v>
      </c>
      <c r="B110" t="s">
        <v>14</v>
      </c>
      <c r="C110" t="s">
        <v>20</v>
      </c>
      <c r="H110" s="11" t="s">
        <v>194</v>
      </c>
      <c r="I110" s="12">
        <v>23641</v>
      </c>
      <c r="J110" s="12">
        <v>24364</v>
      </c>
      <c r="K110" s="12">
        <v>24658</v>
      </c>
      <c r="L110" s="12">
        <v>23459</v>
      </c>
      <c r="M110" s="12">
        <v>24295</v>
      </c>
      <c r="N110" s="12">
        <v>23649</v>
      </c>
      <c r="O110" s="12">
        <v>22818</v>
      </c>
      <c r="P110" s="12">
        <v>22622</v>
      </c>
      <c r="Q110" s="12">
        <v>189506</v>
      </c>
      <c r="R110" s="15">
        <f t="shared" si="2"/>
        <v>2.8770364196991669E-2</v>
      </c>
      <c r="S110" t="str">
        <f t="shared" si="3"/>
        <v>X</v>
      </c>
    </row>
    <row r="111" spans="1:19">
      <c r="A111" s="11" t="s">
        <v>103</v>
      </c>
      <c r="B111" t="s">
        <v>14</v>
      </c>
      <c r="C111" t="s">
        <v>19</v>
      </c>
      <c r="H111" s="11" t="s">
        <v>89</v>
      </c>
      <c r="I111" s="12">
        <v>19433</v>
      </c>
      <c r="J111" s="12">
        <v>19651</v>
      </c>
      <c r="K111" s="12">
        <v>28199</v>
      </c>
      <c r="L111" s="12">
        <v>25972</v>
      </c>
      <c r="M111" s="12">
        <v>19614</v>
      </c>
      <c r="N111" s="12">
        <v>25425</v>
      </c>
      <c r="O111" s="12">
        <v>25804</v>
      </c>
      <c r="P111" s="12">
        <v>22467</v>
      </c>
      <c r="Q111" s="12">
        <v>186565</v>
      </c>
      <c r="R111" s="15">
        <f t="shared" si="2"/>
        <v>0.13933802857262009</v>
      </c>
      <c r="S111" t="str">
        <f t="shared" si="3"/>
        <v>Y</v>
      </c>
    </row>
    <row r="112" spans="1:19">
      <c r="A112" s="11" t="s">
        <v>240</v>
      </c>
      <c r="B112" t="s">
        <v>14</v>
      </c>
      <c r="C112" t="s">
        <v>20</v>
      </c>
      <c r="H112" s="11" t="s">
        <v>103</v>
      </c>
      <c r="I112" s="12">
        <v>26791</v>
      </c>
      <c r="J112" s="12">
        <v>29969</v>
      </c>
      <c r="K112" s="12">
        <v>29297</v>
      </c>
      <c r="L112" s="12">
        <v>30819</v>
      </c>
      <c r="M112" s="12">
        <v>28910</v>
      </c>
      <c r="N112" s="12">
        <v>9907</v>
      </c>
      <c r="O112" s="12">
        <v>16415</v>
      </c>
      <c r="P112" s="12">
        <v>14245</v>
      </c>
      <c r="Q112" s="12">
        <v>186353</v>
      </c>
      <c r="R112" s="15">
        <f t="shared" si="2"/>
        <v>0.3357698619324222</v>
      </c>
      <c r="S112" t="str">
        <f t="shared" si="3"/>
        <v>Z</v>
      </c>
    </row>
    <row r="113" spans="1:19">
      <c r="A113" s="11" t="s">
        <v>146</v>
      </c>
      <c r="B113" t="s">
        <v>14</v>
      </c>
      <c r="C113" t="s">
        <v>21</v>
      </c>
      <c r="H113" s="11" t="s">
        <v>240</v>
      </c>
      <c r="I113" s="12">
        <v>27143</v>
      </c>
      <c r="J113" s="12">
        <v>19102</v>
      </c>
      <c r="K113" s="12">
        <v>27320</v>
      </c>
      <c r="L113" s="12">
        <v>18959</v>
      </c>
      <c r="M113" s="12">
        <v>26504</v>
      </c>
      <c r="N113" s="12">
        <v>18767</v>
      </c>
      <c r="O113" s="12">
        <v>26621</v>
      </c>
      <c r="P113" s="12">
        <v>21034</v>
      </c>
      <c r="Q113" s="12">
        <v>185450</v>
      </c>
      <c r="R113" s="15">
        <f t="shared" si="2"/>
        <v>0.16303002340646969</v>
      </c>
      <c r="S113" t="str">
        <f t="shared" si="3"/>
        <v>Y</v>
      </c>
    </row>
    <row r="114" spans="1:19">
      <c r="A114" s="11" t="s">
        <v>274</v>
      </c>
      <c r="B114" t="s">
        <v>14</v>
      </c>
      <c r="C114" t="s">
        <v>21</v>
      </c>
      <c r="H114" s="11" t="s">
        <v>146</v>
      </c>
      <c r="I114" s="12">
        <v>23190</v>
      </c>
      <c r="J114" s="12">
        <v>23629</v>
      </c>
      <c r="K114" s="12">
        <v>22459</v>
      </c>
      <c r="L114" s="12">
        <v>22927</v>
      </c>
      <c r="M114" s="12">
        <v>23774</v>
      </c>
      <c r="N114" s="12">
        <v>23534</v>
      </c>
      <c r="O114" s="12">
        <v>22996</v>
      </c>
      <c r="P114" s="12">
        <v>22833</v>
      </c>
      <c r="Q114" s="12">
        <v>185342</v>
      </c>
      <c r="R114" s="15">
        <f t="shared" si="2"/>
        <v>1.8164374247831541E-2</v>
      </c>
      <c r="S114" t="str">
        <f t="shared" si="3"/>
        <v>X</v>
      </c>
    </row>
    <row r="115" spans="1:19">
      <c r="A115" s="11" t="s">
        <v>142</v>
      </c>
      <c r="B115" t="s">
        <v>14</v>
      </c>
      <c r="C115" t="s">
        <v>19</v>
      </c>
      <c r="H115" s="11" t="s">
        <v>274</v>
      </c>
      <c r="I115" s="12">
        <v>23141</v>
      </c>
      <c r="J115" s="12">
        <v>22804</v>
      </c>
      <c r="K115" s="12">
        <v>22240</v>
      </c>
      <c r="L115" s="12">
        <v>23285</v>
      </c>
      <c r="M115" s="12">
        <v>23660</v>
      </c>
      <c r="N115" s="12">
        <v>23057</v>
      </c>
      <c r="O115" s="12">
        <v>23153</v>
      </c>
      <c r="P115" s="12">
        <v>23012</v>
      </c>
      <c r="Q115" s="12">
        <v>184352</v>
      </c>
      <c r="R115" s="15">
        <f t="shared" si="2"/>
        <v>1.6553138389072561E-2</v>
      </c>
      <c r="S115" t="str">
        <f t="shared" si="3"/>
        <v>X</v>
      </c>
    </row>
    <row r="116" spans="1:19">
      <c r="A116" s="11" t="s">
        <v>105</v>
      </c>
      <c r="B116" t="s">
        <v>14</v>
      </c>
      <c r="C116" t="s">
        <v>20</v>
      </c>
      <c r="H116" s="11" t="s">
        <v>142</v>
      </c>
      <c r="I116" s="12">
        <v>16289</v>
      </c>
      <c r="J116" s="12">
        <v>35641</v>
      </c>
      <c r="K116" s="12">
        <v>39134</v>
      </c>
      <c r="L116" s="12">
        <v>6568</v>
      </c>
      <c r="M116" s="12">
        <v>45238</v>
      </c>
      <c r="N116" s="12">
        <v>5495</v>
      </c>
      <c r="O116" s="12">
        <v>20746</v>
      </c>
      <c r="P116" s="12">
        <v>8990</v>
      </c>
      <c r="Q116" s="12">
        <v>178101</v>
      </c>
      <c r="R116" s="15">
        <f t="shared" si="2"/>
        <v>0.66113802657597054</v>
      </c>
      <c r="S116" t="str">
        <f t="shared" si="3"/>
        <v>Z</v>
      </c>
    </row>
    <row r="117" spans="1:19">
      <c r="A117" s="11" t="s">
        <v>202</v>
      </c>
      <c r="B117" t="s">
        <v>14</v>
      </c>
      <c r="C117" t="s">
        <v>21</v>
      </c>
      <c r="H117" s="11" t="s">
        <v>105</v>
      </c>
      <c r="I117" s="12">
        <v>26113</v>
      </c>
      <c r="J117" s="12">
        <v>20683</v>
      </c>
      <c r="K117" s="12">
        <v>18749</v>
      </c>
      <c r="L117" s="12">
        <v>23043</v>
      </c>
      <c r="M117" s="12">
        <v>26891</v>
      </c>
      <c r="N117" s="12">
        <v>24023</v>
      </c>
      <c r="O117" s="12">
        <v>19508</v>
      </c>
      <c r="P117" s="12">
        <v>19067</v>
      </c>
      <c r="Q117" s="12">
        <v>178077</v>
      </c>
      <c r="R117" s="15">
        <f t="shared" si="2"/>
        <v>0.13532966288403322</v>
      </c>
      <c r="S117" t="str">
        <f t="shared" si="3"/>
        <v>Y</v>
      </c>
    </row>
    <row r="118" spans="1:19">
      <c r="A118" s="11" t="s">
        <v>233</v>
      </c>
      <c r="B118" t="s">
        <v>14</v>
      </c>
      <c r="C118" t="s">
        <v>20</v>
      </c>
      <c r="H118" s="11" t="s">
        <v>202</v>
      </c>
      <c r="I118" s="12">
        <v>22658</v>
      </c>
      <c r="J118" s="12">
        <v>21715</v>
      </c>
      <c r="K118" s="12">
        <v>22110</v>
      </c>
      <c r="L118" s="12">
        <v>22302</v>
      </c>
      <c r="M118" s="12">
        <v>21793</v>
      </c>
      <c r="N118" s="12">
        <v>21696</v>
      </c>
      <c r="O118" s="12">
        <v>22298</v>
      </c>
      <c r="P118" s="12">
        <v>22106</v>
      </c>
      <c r="Q118" s="12">
        <v>176678</v>
      </c>
      <c r="R118" s="15">
        <f t="shared" si="2"/>
        <v>1.4277042391257384E-2</v>
      </c>
      <c r="S118" t="str">
        <f t="shared" si="3"/>
        <v>X</v>
      </c>
    </row>
    <row r="119" spans="1:19">
      <c r="A119" s="11" t="s">
        <v>90</v>
      </c>
      <c r="B119" t="s">
        <v>14</v>
      </c>
      <c r="C119" t="s">
        <v>19</v>
      </c>
      <c r="H119" s="11" t="s">
        <v>233</v>
      </c>
      <c r="I119" s="12">
        <v>24947</v>
      </c>
      <c r="J119" s="12">
        <v>18158</v>
      </c>
      <c r="K119" s="12">
        <v>23681</v>
      </c>
      <c r="L119" s="12">
        <v>16970</v>
      </c>
      <c r="M119" s="12">
        <v>23760</v>
      </c>
      <c r="N119" s="12">
        <v>22713</v>
      </c>
      <c r="O119" s="12">
        <v>24691</v>
      </c>
      <c r="P119" s="12">
        <v>20425</v>
      </c>
      <c r="Q119" s="12">
        <v>175345</v>
      </c>
      <c r="R119" s="15">
        <f t="shared" si="2"/>
        <v>0.12989611220341446</v>
      </c>
      <c r="S119" t="str">
        <f t="shared" si="3"/>
        <v>Y</v>
      </c>
    </row>
    <row r="120" spans="1:19">
      <c r="A120" s="11" t="s">
        <v>47</v>
      </c>
      <c r="B120" t="s">
        <v>14</v>
      </c>
      <c r="C120" t="s">
        <v>21</v>
      </c>
      <c r="H120" s="11" t="s">
        <v>90</v>
      </c>
      <c r="I120" s="12">
        <v>7267</v>
      </c>
      <c r="J120" s="12">
        <v>35400</v>
      </c>
      <c r="K120" s="12">
        <v>28867</v>
      </c>
      <c r="L120" s="12">
        <v>10045</v>
      </c>
      <c r="M120" s="12">
        <v>27470</v>
      </c>
      <c r="N120" s="12">
        <v>35964</v>
      </c>
      <c r="O120" s="12">
        <v>13475</v>
      </c>
      <c r="P120" s="12">
        <v>14744</v>
      </c>
      <c r="Q120" s="12">
        <v>173232</v>
      </c>
      <c r="R120" s="15">
        <f t="shared" si="2"/>
        <v>0.49951703680837028</v>
      </c>
      <c r="S120" t="str">
        <f t="shared" si="3"/>
        <v>Z</v>
      </c>
    </row>
    <row r="121" spans="1:19">
      <c r="A121" s="11" t="s">
        <v>80</v>
      </c>
      <c r="B121" t="s">
        <v>14</v>
      </c>
      <c r="C121" t="s">
        <v>19</v>
      </c>
      <c r="H121" s="11" t="s">
        <v>47</v>
      </c>
      <c r="I121" s="12">
        <v>22141</v>
      </c>
      <c r="J121" s="12">
        <v>20664</v>
      </c>
      <c r="K121" s="12">
        <v>21213</v>
      </c>
      <c r="L121" s="12">
        <v>20992</v>
      </c>
      <c r="M121" s="12">
        <v>22372</v>
      </c>
      <c r="N121" s="12">
        <v>21019</v>
      </c>
      <c r="O121" s="12">
        <v>21828</v>
      </c>
      <c r="P121" s="12">
        <v>22060</v>
      </c>
      <c r="Q121" s="12">
        <v>172289</v>
      </c>
      <c r="R121" s="15">
        <f t="shared" si="2"/>
        <v>2.772779973310139E-2</v>
      </c>
      <c r="S121" t="str">
        <f t="shared" si="3"/>
        <v>X</v>
      </c>
    </row>
    <row r="122" spans="1:19">
      <c r="A122" s="11" t="s">
        <v>241</v>
      </c>
      <c r="B122" t="s">
        <v>14</v>
      </c>
      <c r="C122" t="s">
        <v>20</v>
      </c>
      <c r="H122" s="11" t="s">
        <v>80</v>
      </c>
      <c r="I122" s="12">
        <v>27885</v>
      </c>
      <c r="J122" s="12">
        <v>6329</v>
      </c>
      <c r="K122" s="12">
        <v>14342</v>
      </c>
      <c r="L122" s="12">
        <v>36441</v>
      </c>
      <c r="M122" s="12">
        <v>35262</v>
      </c>
      <c r="N122" s="12">
        <v>5200</v>
      </c>
      <c r="O122" s="12">
        <v>31725</v>
      </c>
      <c r="P122" s="12">
        <v>14878</v>
      </c>
      <c r="Q122" s="12">
        <v>172062</v>
      </c>
      <c r="R122" s="15">
        <f t="shared" si="2"/>
        <v>0.55718274766329712</v>
      </c>
      <c r="S122" t="str">
        <f t="shared" si="3"/>
        <v>Z</v>
      </c>
    </row>
    <row r="123" spans="1:19">
      <c r="A123" s="11" t="s">
        <v>226</v>
      </c>
      <c r="B123" t="s">
        <v>14</v>
      </c>
      <c r="C123" t="s">
        <v>21</v>
      </c>
      <c r="H123" s="11" t="s">
        <v>241</v>
      </c>
      <c r="I123" s="12">
        <v>20438</v>
      </c>
      <c r="J123" s="12">
        <v>19118</v>
      </c>
      <c r="K123" s="12">
        <v>17476</v>
      </c>
      <c r="L123" s="12">
        <v>22066</v>
      </c>
      <c r="M123" s="12">
        <v>19567</v>
      </c>
      <c r="N123" s="12">
        <v>28805</v>
      </c>
      <c r="O123" s="12">
        <v>23288</v>
      </c>
      <c r="P123" s="12">
        <v>19346</v>
      </c>
      <c r="Q123" s="12">
        <v>170104</v>
      </c>
      <c r="R123" s="15">
        <f t="shared" si="2"/>
        <v>0.15580503543647248</v>
      </c>
      <c r="S123" t="str">
        <f t="shared" si="3"/>
        <v>Y</v>
      </c>
    </row>
    <row r="124" spans="1:19">
      <c r="A124" s="11" t="s">
        <v>238</v>
      </c>
      <c r="B124" t="s">
        <v>14</v>
      </c>
      <c r="C124" t="s">
        <v>20</v>
      </c>
      <c r="H124" s="11" t="s">
        <v>226</v>
      </c>
      <c r="I124" s="12">
        <v>21523</v>
      </c>
      <c r="J124" s="12">
        <v>22166</v>
      </c>
      <c r="K124" s="12">
        <v>20510</v>
      </c>
      <c r="L124" s="12">
        <v>20651</v>
      </c>
      <c r="M124" s="12">
        <v>21149</v>
      </c>
      <c r="N124" s="12">
        <v>21805</v>
      </c>
      <c r="O124" s="12">
        <v>21171</v>
      </c>
      <c r="P124" s="12">
        <v>21044</v>
      </c>
      <c r="Q124" s="12">
        <v>170019</v>
      </c>
      <c r="R124" s="15">
        <f t="shared" si="2"/>
        <v>2.4601207571636589E-2</v>
      </c>
      <c r="S124" t="str">
        <f t="shared" si="3"/>
        <v>X</v>
      </c>
    </row>
    <row r="125" spans="1:19">
      <c r="A125" s="11" t="s">
        <v>249</v>
      </c>
      <c r="B125" t="s">
        <v>14</v>
      </c>
      <c r="C125" t="s">
        <v>20</v>
      </c>
      <c r="H125" s="11" t="s">
        <v>238</v>
      </c>
      <c r="I125" s="12">
        <v>22811</v>
      </c>
      <c r="J125" s="12">
        <v>15605</v>
      </c>
      <c r="K125" s="12">
        <v>19038</v>
      </c>
      <c r="L125" s="12">
        <v>26044</v>
      </c>
      <c r="M125" s="12">
        <v>17675</v>
      </c>
      <c r="N125" s="12">
        <v>26715</v>
      </c>
      <c r="O125" s="12">
        <v>21760</v>
      </c>
      <c r="P125" s="12">
        <v>20337</v>
      </c>
      <c r="Q125" s="12">
        <v>169985</v>
      </c>
      <c r="R125" s="15">
        <f t="shared" si="2"/>
        <v>0.17124604276066818</v>
      </c>
      <c r="S125" t="str">
        <f t="shared" si="3"/>
        <v>Y</v>
      </c>
    </row>
    <row r="126" spans="1:19">
      <c r="A126" s="11" t="s">
        <v>75</v>
      </c>
      <c r="B126" t="s">
        <v>14</v>
      </c>
      <c r="C126" t="s">
        <v>19</v>
      </c>
      <c r="H126" s="11" t="s">
        <v>249</v>
      </c>
      <c r="I126" s="12">
        <v>23230</v>
      </c>
      <c r="J126" s="12">
        <v>24027</v>
      </c>
      <c r="K126" s="12">
        <v>16065</v>
      </c>
      <c r="L126" s="12">
        <v>21302</v>
      </c>
      <c r="M126" s="12">
        <v>18180</v>
      </c>
      <c r="N126" s="12">
        <v>26481</v>
      </c>
      <c r="O126" s="12">
        <v>18128</v>
      </c>
      <c r="P126" s="12">
        <v>21762</v>
      </c>
      <c r="Q126" s="12">
        <v>169175</v>
      </c>
      <c r="R126" s="15">
        <f t="shared" si="2"/>
        <v>0.15435058696264078</v>
      </c>
      <c r="S126" t="str">
        <f t="shared" si="3"/>
        <v>Y</v>
      </c>
    </row>
    <row r="127" spans="1:19">
      <c r="A127" s="11" t="s">
        <v>275</v>
      </c>
      <c r="B127" t="s">
        <v>14</v>
      </c>
      <c r="C127" t="s">
        <v>21</v>
      </c>
      <c r="H127" s="11" t="s">
        <v>75</v>
      </c>
      <c r="I127" s="12">
        <v>7030</v>
      </c>
      <c r="J127" s="12">
        <v>58642</v>
      </c>
      <c r="K127" s="12">
        <v>18565</v>
      </c>
      <c r="L127" s="12">
        <v>9987</v>
      </c>
      <c r="M127" s="12">
        <v>18942</v>
      </c>
      <c r="N127" s="12">
        <v>23522</v>
      </c>
      <c r="O127" s="12">
        <v>5799</v>
      </c>
      <c r="P127" s="12">
        <v>26400</v>
      </c>
      <c r="Q127" s="12">
        <v>168887</v>
      </c>
      <c r="R127" s="15">
        <f t="shared" si="2"/>
        <v>0.75084351258921267</v>
      </c>
      <c r="S127" t="str">
        <f t="shared" si="3"/>
        <v>Z</v>
      </c>
    </row>
    <row r="128" spans="1:19">
      <c r="A128" s="11" t="s">
        <v>193</v>
      </c>
      <c r="B128" t="s">
        <v>14</v>
      </c>
      <c r="C128" t="s">
        <v>20</v>
      </c>
      <c r="H128" s="11" t="s">
        <v>275</v>
      </c>
      <c r="I128" s="12">
        <v>20168</v>
      </c>
      <c r="J128" s="12">
        <v>20881</v>
      </c>
      <c r="K128" s="12">
        <v>20801</v>
      </c>
      <c r="L128" s="12">
        <v>21382</v>
      </c>
      <c r="M128" s="12">
        <v>20110</v>
      </c>
      <c r="N128" s="12">
        <v>21500</v>
      </c>
      <c r="O128" s="12">
        <v>19928</v>
      </c>
      <c r="P128" s="12">
        <v>20524</v>
      </c>
      <c r="Q128" s="12">
        <v>165294</v>
      </c>
      <c r="R128" s="15">
        <f t="shared" si="2"/>
        <v>2.6478427891067541E-2</v>
      </c>
      <c r="S128" t="str">
        <f t="shared" si="3"/>
        <v>X</v>
      </c>
    </row>
    <row r="129" spans="1:19">
      <c r="A129" s="11" t="s">
        <v>244</v>
      </c>
      <c r="B129" t="s">
        <v>14</v>
      </c>
      <c r="C129" t="s">
        <v>19</v>
      </c>
      <c r="H129" s="11" t="s">
        <v>193</v>
      </c>
      <c r="I129" s="12">
        <v>18274</v>
      </c>
      <c r="J129" s="12">
        <v>15538</v>
      </c>
      <c r="K129" s="12">
        <v>17812</v>
      </c>
      <c r="L129" s="12">
        <v>21297</v>
      </c>
      <c r="M129" s="12">
        <v>23636</v>
      </c>
      <c r="N129" s="12">
        <v>25476</v>
      </c>
      <c r="O129" s="12">
        <v>20615</v>
      </c>
      <c r="P129" s="12">
        <v>18197</v>
      </c>
      <c r="Q129" s="12">
        <v>160845</v>
      </c>
      <c r="R129" s="15">
        <f t="shared" si="2"/>
        <v>0.15340651786249304</v>
      </c>
      <c r="S129" t="str">
        <f t="shared" si="3"/>
        <v>Y</v>
      </c>
    </row>
    <row r="130" spans="1:19">
      <c r="A130" s="11" t="s">
        <v>130</v>
      </c>
      <c r="B130" t="s">
        <v>14</v>
      </c>
      <c r="C130" t="s">
        <v>21</v>
      </c>
      <c r="H130" s="11" t="s">
        <v>244</v>
      </c>
      <c r="I130" s="12">
        <v>13846</v>
      </c>
      <c r="J130" s="12">
        <v>19012</v>
      </c>
      <c r="K130" s="12">
        <v>16975</v>
      </c>
      <c r="L130" s="12">
        <v>19591</v>
      </c>
      <c r="M130" s="12">
        <v>13043</v>
      </c>
      <c r="N130" s="12">
        <v>10276</v>
      </c>
      <c r="O130" s="12">
        <v>17880</v>
      </c>
      <c r="P130" s="12">
        <v>43754</v>
      </c>
      <c r="Q130" s="12">
        <v>154377</v>
      </c>
      <c r="R130" s="15">
        <f t="shared" si="2"/>
        <v>0.50373171161827679</v>
      </c>
      <c r="S130" t="str">
        <f t="shared" si="3"/>
        <v>Z</v>
      </c>
    </row>
    <row r="131" spans="1:19">
      <c r="A131" s="11" t="s">
        <v>201</v>
      </c>
      <c r="B131" t="s">
        <v>14</v>
      </c>
      <c r="C131" t="s">
        <v>21</v>
      </c>
      <c r="H131" s="11" t="s">
        <v>130</v>
      </c>
      <c r="I131" s="12">
        <v>18320</v>
      </c>
      <c r="J131" s="12">
        <v>18924</v>
      </c>
      <c r="K131" s="12">
        <v>19618</v>
      </c>
      <c r="L131" s="12">
        <v>19425</v>
      </c>
      <c r="M131" s="12">
        <v>19631</v>
      </c>
      <c r="N131" s="12">
        <v>18958</v>
      </c>
      <c r="O131" s="12">
        <v>19282</v>
      </c>
      <c r="P131" s="12">
        <v>18276</v>
      </c>
      <c r="Q131" s="12">
        <v>152434</v>
      </c>
      <c r="R131" s="15">
        <f t="shared" si="2"/>
        <v>2.6311655827700921E-2</v>
      </c>
      <c r="S131" t="str">
        <f t="shared" si="3"/>
        <v>X</v>
      </c>
    </row>
    <row r="132" spans="1:19">
      <c r="A132" s="11" t="s">
        <v>156</v>
      </c>
      <c r="B132" t="s">
        <v>14</v>
      </c>
      <c r="C132" t="s">
        <v>19</v>
      </c>
      <c r="H132" s="11" t="s">
        <v>201</v>
      </c>
      <c r="I132" s="12">
        <v>18278</v>
      </c>
      <c r="J132" s="12">
        <v>19227</v>
      </c>
      <c r="K132" s="12">
        <v>19244</v>
      </c>
      <c r="L132" s="12">
        <v>18102</v>
      </c>
      <c r="M132" s="12">
        <v>19500</v>
      </c>
      <c r="N132" s="12">
        <v>18128</v>
      </c>
      <c r="O132" s="12">
        <v>19035</v>
      </c>
      <c r="P132" s="12">
        <v>19007</v>
      </c>
      <c r="Q132" s="12">
        <v>150521</v>
      </c>
      <c r="R132" s="15">
        <f t="shared" ref="R132:R195" si="4">_xlfn.STDEV.P(I132:P132)/AVERAGE(I132:P132)</f>
        <v>2.7725233052930606E-2</v>
      </c>
      <c r="S132" t="str">
        <f t="shared" ref="S132:S195" si="5">IF(R132&lt;=10%,"X",IF(R132&lt;=25%,"Y","Z"))</f>
        <v>X</v>
      </c>
    </row>
    <row r="133" spans="1:19">
      <c r="A133" s="11" t="s">
        <v>170</v>
      </c>
      <c r="B133" t="s">
        <v>14</v>
      </c>
      <c r="C133" t="s">
        <v>21</v>
      </c>
      <c r="H133" s="11" t="s">
        <v>156</v>
      </c>
      <c r="I133" s="12">
        <v>5222</v>
      </c>
      <c r="J133" s="12">
        <v>15568</v>
      </c>
      <c r="K133" s="12">
        <v>14086</v>
      </c>
      <c r="L133" s="12">
        <v>15698</v>
      </c>
      <c r="M133" s="12">
        <v>6152</v>
      </c>
      <c r="N133" s="12">
        <v>36762</v>
      </c>
      <c r="O133" s="12">
        <v>28706</v>
      </c>
      <c r="P133" s="12">
        <v>28266</v>
      </c>
      <c r="Q133" s="12">
        <v>150460</v>
      </c>
      <c r="R133" s="15">
        <f t="shared" si="4"/>
        <v>0.56301242369889937</v>
      </c>
      <c r="S133" t="str">
        <f t="shared" si="5"/>
        <v>Z</v>
      </c>
    </row>
    <row r="134" spans="1:19">
      <c r="A134" s="11" t="s">
        <v>192</v>
      </c>
      <c r="B134" t="s">
        <v>14</v>
      </c>
      <c r="C134" t="s">
        <v>21</v>
      </c>
      <c r="H134" s="11" t="s">
        <v>170</v>
      </c>
      <c r="I134" s="12">
        <v>18334</v>
      </c>
      <c r="J134" s="12">
        <v>19276</v>
      </c>
      <c r="K134" s="12">
        <v>19420</v>
      </c>
      <c r="L134" s="12">
        <v>18191</v>
      </c>
      <c r="M134" s="12">
        <v>18299</v>
      </c>
      <c r="N134" s="12">
        <v>18263</v>
      </c>
      <c r="O134" s="12">
        <v>19174</v>
      </c>
      <c r="P134" s="12">
        <v>18814</v>
      </c>
      <c r="Q134" s="12">
        <v>149771</v>
      </c>
      <c r="R134" s="15">
        <f t="shared" si="4"/>
        <v>2.5540188712277246E-2</v>
      </c>
      <c r="S134" t="str">
        <f t="shared" si="5"/>
        <v>X</v>
      </c>
    </row>
    <row r="135" spans="1:19">
      <c r="A135" s="11" t="s">
        <v>217</v>
      </c>
      <c r="B135" t="s">
        <v>14</v>
      </c>
      <c r="C135" t="s">
        <v>20</v>
      </c>
      <c r="H135" s="11" t="s">
        <v>192</v>
      </c>
      <c r="I135" s="12">
        <v>18609</v>
      </c>
      <c r="J135" s="12">
        <v>18752</v>
      </c>
      <c r="K135" s="12">
        <v>17879</v>
      </c>
      <c r="L135" s="12">
        <v>18354</v>
      </c>
      <c r="M135" s="12">
        <v>18707</v>
      </c>
      <c r="N135" s="12">
        <v>17907</v>
      </c>
      <c r="O135" s="12">
        <v>17314</v>
      </c>
      <c r="P135" s="12">
        <v>18659</v>
      </c>
      <c r="Q135" s="12">
        <v>146181</v>
      </c>
      <c r="R135" s="15">
        <f t="shared" si="4"/>
        <v>2.663622270156981E-2</v>
      </c>
      <c r="S135" t="str">
        <f t="shared" si="5"/>
        <v>X</v>
      </c>
    </row>
    <row r="136" spans="1:19">
      <c r="A136" s="11" t="s">
        <v>141</v>
      </c>
      <c r="B136" t="s">
        <v>14</v>
      </c>
      <c r="C136" t="s">
        <v>21</v>
      </c>
      <c r="H136" s="11" t="s">
        <v>217</v>
      </c>
      <c r="I136" s="12">
        <v>21865</v>
      </c>
      <c r="J136" s="12">
        <v>17117</v>
      </c>
      <c r="K136" s="12">
        <v>17662</v>
      </c>
      <c r="L136" s="12">
        <v>17742</v>
      </c>
      <c r="M136" s="12">
        <v>16136</v>
      </c>
      <c r="N136" s="12">
        <v>15898</v>
      </c>
      <c r="O136" s="12">
        <v>16135</v>
      </c>
      <c r="P136" s="12">
        <v>21635</v>
      </c>
      <c r="Q136" s="12">
        <v>144190</v>
      </c>
      <c r="R136" s="15">
        <f t="shared" si="4"/>
        <v>0.12480223880778439</v>
      </c>
      <c r="S136" t="str">
        <f t="shared" si="5"/>
        <v>Y</v>
      </c>
    </row>
    <row r="137" spans="1:19">
      <c r="A137" s="11" t="s">
        <v>77</v>
      </c>
      <c r="B137" t="s">
        <v>14</v>
      </c>
      <c r="C137" t="s">
        <v>19</v>
      </c>
      <c r="H137" s="11" t="s">
        <v>141</v>
      </c>
      <c r="I137" s="12">
        <v>17202</v>
      </c>
      <c r="J137" s="12">
        <v>17951</v>
      </c>
      <c r="K137" s="12">
        <v>17268</v>
      </c>
      <c r="L137" s="12">
        <v>17161</v>
      </c>
      <c r="M137" s="12">
        <v>18735</v>
      </c>
      <c r="N137" s="12">
        <v>18402</v>
      </c>
      <c r="O137" s="12">
        <v>18563</v>
      </c>
      <c r="P137" s="12">
        <v>18689</v>
      </c>
      <c r="Q137" s="12">
        <v>143971</v>
      </c>
      <c r="R137" s="15">
        <f t="shared" si="4"/>
        <v>3.6077562400234776E-2</v>
      </c>
      <c r="S137" t="str">
        <f t="shared" si="5"/>
        <v>X</v>
      </c>
    </row>
    <row r="138" spans="1:19">
      <c r="A138" s="11" t="s">
        <v>214</v>
      </c>
      <c r="B138" t="s">
        <v>14</v>
      </c>
      <c r="C138" t="s">
        <v>21</v>
      </c>
      <c r="H138" s="11" t="s">
        <v>77</v>
      </c>
      <c r="I138" s="12">
        <v>26765</v>
      </c>
      <c r="J138" s="12">
        <v>7928</v>
      </c>
      <c r="K138" s="12">
        <v>26683</v>
      </c>
      <c r="L138" s="12">
        <v>21491</v>
      </c>
      <c r="M138" s="12">
        <v>23027</v>
      </c>
      <c r="N138" s="12">
        <v>25191</v>
      </c>
      <c r="O138" s="12">
        <v>5200</v>
      </c>
      <c r="P138" s="12">
        <v>5200</v>
      </c>
      <c r="Q138" s="12">
        <v>141485</v>
      </c>
      <c r="R138" s="15">
        <f t="shared" si="4"/>
        <v>0.51734713797593324</v>
      </c>
      <c r="S138" t="str">
        <f t="shared" si="5"/>
        <v>Z</v>
      </c>
    </row>
    <row r="139" spans="1:19">
      <c r="A139" s="11" t="s">
        <v>131</v>
      </c>
      <c r="B139" t="s">
        <v>14</v>
      </c>
      <c r="C139" t="s">
        <v>21</v>
      </c>
      <c r="H139" s="11" t="s">
        <v>214</v>
      </c>
      <c r="I139" s="12">
        <v>14539</v>
      </c>
      <c r="J139" s="12">
        <v>17598</v>
      </c>
      <c r="K139" s="12">
        <v>18210</v>
      </c>
      <c r="L139" s="12">
        <v>19637</v>
      </c>
      <c r="M139" s="12">
        <v>15988</v>
      </c>
      <c r="N139" s="12">
        <v>17243</v>
      </c>
      <c r="O139" s="12">
        <v>18713</v>
      </c>
      <c r="P139" s="12">
        <v>18656</v>
      </c>
      <c r="Q139" s="12">
        <v>140584</v>
      </c>
      <c r="R139" s="15">
        <f t="shared" si="4"/>
        <v>8.7617024019681425E-2</v>
      </c>
      <c r="S139" t="str">
        <f t="shared" si="5"/>
        <v>X</v>
      </c>
    </row>
    <row r="140" spans="1:19">
      <c r="A140" s="11" t="s">
        <v>207</v>
      </c>
      <c r="B140" t="s">
        <v>14</v>
      </c>
      <c r="C140" t="s">
        <v>19</v>
      </c>
      <c r="H140" s="11" t="s">
        <v>131</v>
      </c>
      <c r="I140" s="12">
        <v>17727</v>
      </c>
      <c r="J140" s="12">
        <v>17280</v>
      </c>
      <c r="K140" s="12">
        <v>16794</v>
      </c>
      <c r="L140" s="12">
        <v>17049</v>
      </c>
      <c r="M140" s="12">
        <v>16894</v>
      </c>
      <c r="N140" s="12">
        <v>17992</v>
      </c>
      <c r="O140" s="12">
        <v>18278</v>
      </c>
      <c r="P140" s="12">
        <v>18215</v>
      </c>
      <c r="Q140" s="12">
        <v>140229</v>
      </c>
      <c r="R140" s="15">
        <f t="shared" si="4"/>
        <v>3.2025453715586079E-2</v>
      </c>
      <c r="S140" t="str">
        <f t="shared" si="5"/>
        <v>X</v>
      </c>
    </row>
    <row r="141" spans="1:19">
      <c r="A141" s="11" t="s">
        <v>231</v>
      </c>
      <c r="B141" t="s">
        <v>14</v>
      </c>
      <c r="C141" t="s">
        <v>20</v>
      </c>
      <c r="H141" s="11" t="s">
        <v>207</v>
      </c>
      <c r="I141" s="12">
        <v>9389</v>
      </c>
      <c r="J141" s="12">
        <v>33492</v>
      </c>
      <c r="K141" s="12">
        <v>13124</v>
      </c>
      <c r="L141" s="12">
        <v>5200</v>
      </c>
      <c r="M141" s="12">
        <v>8371</v>
      </c>
      <c r="N141" s="12">
        <v>5994</v>
      </c>
      <c r="O141" s="12">
        <v>29784</v>
      </c>
      <c r="P141" s="12">
        <v>33951</v>
      </c>
      <c r="Q141" s="12">
        <v>139305</v>
      </c>
      <c r="R141" s="15">
        <f t="shared" si="4"/>
        <v>0.68227267315615225</v>
      </c>
      <c r="S141" t="str">
        <f t="shared" si="5"/>
        <v>Z</v>
      </c>
    </row>
    <row r="142" spans="1:19">
      <c r="A142" s="11" t="s">
        <v>261</v>
      </c>
      <c r="B142" t="s">
        <v>14</v>
      </c>
      <c r="C142" t="s">
        <v>21</v>
      </c>
      <c r="H142" s="11" t="s">
        <v>231</v>
      </c>
      <c r="I142" s="12">
        <v>20762</v>
      </c>
      <c r="J142" s="12">
        <v>14776</v>
      </c>
      <c r="K142" s="12">
        <v>12501</v>
      </c>
      <c r="L142" s="12">
        <v>21434</v>
      </c>
      <c r="M142" s="12">
        <v>21717</v>
      </c>
      <c r="N142" s="12">
        <v>19524</v>
      </c>
      <c r="O142" s="12">
        <v>14937</v>
      </c>
      <c r="P142" s="12">
        <v>13422</v>
      </c>
      <c r="Q142" s="12">
        <v>139073</v>
      </c>
      <c r="R142" s="15">
        <f t="shared" si="4"/>
        <v>0.20690412724329912</v>
      </c>
      <c r="S142" t="str">
        <f t="shared" si="5"/>
        <v>Y</v>
      </c>
    </row>
    <row r="143" spans="1:19">
      <c r="A143" s="11" t="s">
        <v>88</v>
      </c>
      <c r="B143" t="s">
        <v>14</v>
      </c>
      <c r="C143" t="s">
        <v>21</v>
      </c>
      <c r="H143" s="11" t="s">
        <v>261</v>
      </c>
      <c r="I143" s="12">
        <v>17970</v>
      </c>
      <c r="J143" s="12">
        <v>16684</v>
      </c>
      <c r="K143" s="12">
        <v>17372</v>
      </c>
      <c r="L143" s="12">
        <v>17566</v>
      </c>
      <c r="M143" s="12">
        <v>18039</v>
      </c>
      <c r="N143" s="12">
        <v>16962</v>
      </c>
      <c r="O143" s="12">
        <v>16985</v>
      </c>
      <c r="P143" s="12">
        <v>17188</v>
      </c>
      <c r="Q143" s="12">
        <v>138766</v>
      </c>
      <c r="R143" s="15">
        <f t="shared" si="4"/>
        <v>2.6258796871768911E-2</v>
      </c>
      <c r="S143" t="str">
        <f t="shared" si="5"/>
        <v>X</v>
      </c>
    </row>
    <row r="144" spans="1:19">
      <c r="A144" s="11" t="s">
        <v>174</v>
      </c>
      <c r="B144" t="s">
        <v>14</v>
      </c>
      <c r="C144" t="s">
        <v>19</v>
      </c>
      <c r="H144" s="11" t="s">
        <v>88</v>
      </c>
      <c r="I144" s="12">
        <v>17035</v>
      </c>
      <c r="J144" s="12">
        <v>17865</v>
      </c>
      <c r="K144" s="12">
        <v>17024</v>
      </c>
      <c r="L144" s="12">
        <v>17261</v>
      </c>
      <c r="M144" s="12">
        <v>17157</v>
      </c>
      <c r="N144" s="12">
        <v>16715</v>
      </c>
      <c r="O144" s="12">
        <v>16703</v>
      </c>
      <c r="P144" s="12">
        <v>17820</v>
      </c>
      <c r="Q144" s="12">
        <v>137580</v>
      </c>
      <c r="R144" s="15">
        <f t="shared" si="4"/>
        <v>2.4085658345772861E-2</v>
      </c>
      <c r="S144" t="str">
        <f t="shared" si="5"/>
        <v>X</v>
      </c>
    </row>
    <row r="145" spans="1:19">
      <c r="A145" s="11" t="s">
        <v>199</v>
      </c>
      <c r="B145" t="s">
        <v>14</v>
      </c>
      <c r="C145" t="s">
        <v>19</v>
      </c>
      <c r="H145" s="11" t="s">
        <v>174</v>
      </c>
      <c r="I145" s="12">
        <v>22502</v>
      </c>
      <c r="J145" s="12">
        <v>24732</v>
      </c>
      <c r="K145" s="12">
        <v>16582</v>
      </c>
      <c r="L145" s="12">
        <v>5200</v>
      </c>
      <c r="M145" s="12">
        <v>18442</v>
      </c>
      <c r="N145" s="12">
        <v>18253</v>
      </c>
      <c r="O145" s="12">
        <v>23010</v>
      </c>
      <c r="P145" s="12">
        <v>8207</v>
      </c>
      <c r="Q145" s="12">
        <v>136928</v>
      </c>
      <c r="R145" s="15">
        <f t="shared" si="4"/>
        <v>0.38447891368814036</v>
      </c>
      <c r="S145" t="str">
        <f t="shared" si="5"/>
        <v>Z</v>
      </c>
    </row>
    <row r="146" spans="1:19">
      <c r="A146" s="11" t="s">
        <v>153</v>
      </c>
      <c r="B146" t="s">
        <v>14</v>
      </c>
      <c r="C146" t="s">
        <v>19</v>
      </c>
      <c r="H146" s="11" t="s">
        <v>199</v>
      </c>
      <c r="I146" s="12">
        <v>18739</v>
      </c>
      <c r="J146" s="12">
        <v>19654</v>
      </c>
      <c r="K146" s="12">
        <v>20306</v>
      </c>
      <c r="L146" s="12">
        <v>22426</v>
      </c>
      <c r="M146" s="12">
        <v>6170</v>
      </c>
      <c r="N146" s="12">
        <v>21734</v>
      </c>
      <c r="O146" s="12">
        <v>6532</v>
      </c>
      <c r="P146" s="12">
        <v>20736</v>
      </c>
      <c r="Q146" s="12">
        <v>136297</v>
      </c>
      <c r="R146" s="15">
        <f t="shared" si="4"/>
        <v>0.367528685982555</v>
      </c>
      <c r="S146" t="str">
        <f t="shared" si="5"/>
        <v>Z</v>
      </c>
    </row>
    <row r="147" spans="1:19">
      <c r="A147" s="11" t="s">
        <v>208</v>
      </c>
      <c r="B147" t="s">
        <v>14</v>
      </c>
      <c r="C147" t="s">
        <v>20</v>
      </c>
      <c r="H147" s="11" t="s">
        <v>153</v>
      </c>
      <c r="I147" s="12">
        <v>30073</v>
      </c>
      <c r="J147" s="12">
        <v>11603</v>
      </c>
      <c r="K147" s="12">
        <v>23001</v>
      </c>
      <c r="L147" s="12">
        <v>9281</v>
      </c>
      <c r="M147" s="12">
        <v>6209</v>
      </c>
      <c r="N147" s="12">
        <v>27805</v>
      </c>
      <c r="O147" s="12">
        <v>5200</v>
      </c>
      <c r="P147" s="12">
        <v>21884</v>
      </c>
      <c r="Q147" s="12">
        <v>135056</v>
      </c>
      <c r="R147" s="15">
        <f t="shared" si="4"/>
        <v>0.55083548972296492</v>
      </c>
      <c r="S147" t="str">
        <f t="shared" si="5"/>
        <v>Z</v>
      </c>
    </row>
    <row r="148" spans="1:19">
      <c r="A148" s="11" t="s">
        <v>120</v>
      </c>
      <c r="B148" t="s">
        <v>14</v>
      </c>
      <c r="C148" t="s">
        <v>20</v>
      </c>
      <c r="H148" s="11" t="s">
        <v>208</v>
      </c>
      <c r="I148" s="12">
        <v>19004</v>
      </c>
      <c r="J148" s="12">
        <v>17346</v>
      </c>
      <c r="K148" s="12">
        <v>17504</v>
      </c>
      <c r="L148" s="12">
        <v>14275</v>
      </c>
      <c r="M148" s="12">
        <v>18148</v>
      </c>
      <c r="N148" s="12">
        <v>19077</v>
      </c>
      <c r="O148" s="12">
        <v>16765</v>
      </c>
      <c r="P148" s="12">
        <v>12109</v>
      </c>
      <c r="Q148" s="12">
        <v>134228</v>
      </c>
      <c r="R148" s="15">
        <f t="shared" si="4"/>
        <v>0.1349777650779419</v>
      </c>
      <c r="S148" t="str">
        <f t="shared" si="5"/>
        <v>Y</v>
      </c>
    </row>
    <row r="149" spans="1:19">
      <c r="A149" s="11" t="s">
        <v>69</v>
      </c>
      <c r="B149" t="s">
        <v>14</v>
      </c>
      <c r="C149" t="s">
        <v>19</v>
      </c>
      <c r="H149" s="11" t="s">
        <v>120</v>
      </c>
      <c r="I149" s="12">
        <v>16659</v>
      </c>
      <c r="J149" s="12">
        <v>18140</v>
      </c>
      <c r="K149" s="12">
        <v>18671</v>
      </c>
      <c r="L149" s="12">
        <v>15226</v>
      </c>
      <c r="M149" s="12">
        <v>19303</v>
      </c>
      <c r="N149" s="12">
        <v>13754</v>
      </c>
      <c r="O149" s="12">
        <v>15566</v>
      </c>
      <c r="P149" s="12">
        <v>16529</v>
      </c>
      <c r="Q149" s="12">
        <v>133848</v>
      </c>
      <c r="R149" s="15">
        <f t="shared" si="4"/>
        <v>0.10543570521857724</v>
      </c>
      <c r="S149" t="str">
        <f t="shared" si="5"/>
        <v>Y</v>
      </c>
    </row>
    <row r="150" spans="1:19">
      <c r="A150" s="11" t="s">
        <v>259</v>
      </c>
      <c r="B150" t="s">
        <v>14</v>
      </c>
      <c r="C150" t="s">
        <v>21</v>
      </c>
      <c r="H150" s="11" t="s">
        <v>69</v>
      </c>
      <c r="I150" s="12">
        <v>38539</v>
      </c>
      <c r="J150" s="12">
        <v>6273</v>
      </c>
      <c r="K150" s="12">
        <v>37823</v>
      </c>
      <c r="L150" s="12">
        <v>11912</v>
      </c>
      <c r="M150" s="12">
        <v>7763</v>
      </c>
      <c r="N150" s="12">
        <v>13336</v>
      </c>
      <c r="O150" s="12">
        <v>5200</v>
      </c>
      <c r="P150" s="12">
        <v>12275</v>
      </c>
      <c r="Q150" s="12">
        <v>133121</v>
      </c>
      <c r="R150" s="15">
        <f t="shared" si="4"/>
        <v>0.76541223863745411</v>
      </c>
      <c r="S150" t="str">
        <f t="shared" si="5"/>
        <v>Z</v>
      </c>
    </row>
    <row r="151" spans="1:19">
      <c r="A151" s="11" t="s">
        <v>136</v>
      </c>
      <c r="B151" t="s">
        <v>14</v>
      </c>
      <c r="C151" t="s">
        <v>19</v>
      </c>
      <c r="H151" s="11" t="s">
        <v>259</v>
      </c>
      <c r="I151" s="12">
        <v>15943</v>
      </c>
      <c r="J151" s="12">
        <v>16002</v>
      </c>
      <c r="K151" s="12">
        <v>16288</v>
      </c>
      <c r="L151" s="12">
        <v>17019</v>
      </c>
      <c r="M151" s="12">
        <v>16911</v>
      </c>
      <c r="N151" s="12">
        <v>16568</v>
      </c>
      <c r="O151" s="12">
        <v>16305</v>
      </c>
      <c r="P151" s="12">
        <v>17055</v>
      </c>
      <c r="Q151" s="12">
        <v>132091</v>
      </c>
      <c r="R151" s="15">
        <f t="shared" si="4"/>
        <v>2.5255369740232649E-2</v>
      </c>
      <c r="S151" t="str">
        <f t="shared" si="5"/>
        <v>X</v>
      </c>
    </row>
    <row r="152" spans="1:19">
      <c r="A152" s="11" t="s">
        <v>79</v>
      </c>
      <c r="B152" t="s">
        <v>14</v>
      </c>
      <c r="C152" t="s">
        <v>20</v>
      </c>
      <c r="H152" s="11" t="s">
        <v>136</v>
      </c>
      <c r="I152" s="12">
        <v>6117</v>
      </c>
      <c r="J152" s="12">
        <v>6600</v>
      </c>
      <c r="K152" s="12">
        <v>21713</v>
      </c>
      <c r="L152" s="12">
        <v>19286</v>
      </c>
      <c r="M152" s="12">
        <v>42018</v>
      </c>
      <c r="N152" s="12">
        <v>7441</v>
      </c>
      <c r="O152" s="12">
        <v>17768</v>
      </c>
      <c r="P152" s="12">
        <v>10059</v>
      </c>
      <c r="Q152" s="12">
        <v>131002</v>
      </c>
      <c r="R152" s="15">
        <f t="shared" si="4"/>
        <v>0.68852301435539542</v>
      </c>
      <c r="S152" t="str">
        <f t="shared" si="5"/>
        <v>Z</v>
      </c>
    </row>
    <row r="153" spans="1:19">
      <c r="A153" s="11" t="s">
        <v>262</v>
      </c>
      <c r="B153" t="s">
        <v>14</v>
      </c>
      <c r="C153" t="s">
        <v>21</v>
      </c>
      <c r="H153" s="11" t="s">
        <v>79</v>
      </c>
      <c r="I153" s="12">
        <v>19022</v>
      </c>
      <c r="J153" s="12">
        <v>12386</v>
      </c>
      <c r="K153" s="12">
        <v>13871</v>
      </c>
      <c r="L153" s="12">
        <v>13567</v>
      </c>
      <c r="M153" s="12">
        <v>20767</v>
      </c>
      <c r="N153" s="12">
        <v>15532</v>
      </c>
      <c r="O153" s="12">
        <v>13769</v>
      </c>
      <c r="P153" s="12">
        <v>21437</v>
      </c>
      <c r="Q153" s="12">
        <v>130351</v>
      </c>
      <c r="R153" s="15">
        <f t="shared" si="4"/>
        <v>0.2052048715348446</v>
      </c>
      <c r="S153" t="str">
        <f t="shared" si="5"/>
        <v>Y</v>
      </c>
    </row>
    <row r="154" spans="1:19">
      <c r="A154" s="11" t="s">
        <v>129</v>
      </c>
      <c r="B154" t="s">
        <v>14</v>
      </c>
      <c r="C154" t="s">
        <v>20</v>
      </c>
      <c r="H154" s="11" t="s">
        <v>262</v>
      </c>
      <c r="I154" s="12">
        <v>16581</v>
      </c>
      <c r="J154" s="12">
        <v>16778</v>
      </c>
      <c r="K154" s="12">
        <v>16635</v>
      </c>
      <c r="L154" s="12">
        <v>16117</v>
      </c>
      <c r="M154" s="12">
        <v>15593</v>
      </c>
      <c r="N154" s="12">
        <v>15659</v>
      </c>
      <c r="O154" s="12">
        <v>15744</v>
      </c>
      <c r="P154" s="12">
        <v>16715</v>
      </c>
      <c r="Q154" s="12">
        <v>129822</v>
      </c>
      <c r="R154" s="15">
        <f t="shared" si="4"/>
        <v>2.9258597673861169E-2</v>
      </c>
      <c r="S154" t="str">
        <f t="shared" si="5"/>
        <v>X</v>
      </c>
    </row>
    <row r="155" spans="1:19">
      <c r="A155" s="11" t="s">
        <v>273</v>
      </c>
      <c r="B155" t="s">
        <v>14</v>
      </c>
      <c r="C155" t="s">
        <v>21</v>
      </c>
      <c r="H155" s="11" t="s">
        <v>129</v>
      </c>
      <c r="I155" s="12">
        <v>11993</v>
      </c>
      <c r="J155" s="12">
        <v>16416</v>
      </c>
      <c r="K155" s="12">
        <v>18321</v>
      </c>
      <c r="L155" s="12">
        <v>14683</v>
      </c>
      <c r="M155" s="12">
        <v>14784</v>
      </c>
      <c r="N155" s="12">
        <v>18469</v>
      </c>
      <c r="O155" s="12">
        <v>12823</v>
      </c>
      <c r="P155" s="12">
        <v>18761</v>
      </c>
      <c r="Q155" s="12">
        <v>126250</v>
      </c>
      <c r="R155" s="15">
        <f t="shared" si="4"/>
        <v>0.15563320772738365</v>
      </c>
      <c r="S155" t="str">
        <f t="shared" si="5"/>
        <v>Y</v>
      </c>
    </row>
    <row r="156" spans="1:19">
      <c r="A156" s="11" t="s">
        <v>218</v>
      </c>
      <c r="B156" t="s">
        <v>14</v>
      </c>
      <c r="C156" t="s">
        <v>20</v>
      </c>
      <c r="H156" s="11" t="s">
        <v>273</v>
      </c>
      <c r="I156" s="12">
        <v>15580</v>
      </c>
      <c r="J156" s="12">
        <v>15373</v>
      </c>
      <c r="K156" s="12">
        <v>15883</v>
      </c>
      <c r="L156" s="12">
        <v>15766</v>
      </c>
      <c r="M156" s="12">
        <v>15888</v>
      </c>
      <c r="N156" s="12">
        <v>15343</v>
      </c>
      <c r="O156" s="12">
        <v>15186</v>
      </c>
      <c r="P156" s="12">
        <v>16135</v>
      </c>
      <c r="Q156" s="12">
        <v>125154</v>
      </c>
      <c r="R156" s="15">
        <f t="shared" si="4"/>
        <v>1.9578634846511487E-2</v>
      </c>
      <c r="S156" t="str">
        <f t="shared" si="5"/>
        <v>X</v>
      </c>
    </row>
    <row r="157" spans="1:19">
      <c r="A157" s="11" t="s">
        <v>267</v>
      </c>
      <c r="B157" t="s">
        <v>14</v>
      </c>
      <c r="C157" t="s">
        <v>21</v>
      </c>
      <c r="H157" s="11" t="s">
        <v>218</v>
      </c>
      <c r="I157" s="12">
        <v>13217</v>
      </c>
      <c r="J157" s="12">
        <v>11859</v>
      </c>
      <c r="K157" s="12">
        <v>14223</v>
      </c>
      <c r="L157" s="12">
        <v>18071</v>
      </c>
      <c r="M157" s="12">
        <v>19511</v>
      </c>
      <c r="N157" s="12">
        <v>14423</v>
      </c>
      <c r="O157" s="12">
        <v>16076</v>
      </c>
      <c r="P157" s="12">
        <v>17386</v>
      </c>
      <c r="Q157" s="12">
        <v>124766</v>
      </c>
      <c r="R157" s="15">
        <f t="shared" si="4"/>
        <v>0.15668989428850394</v>
      </c>
      <c r="S157" t="str">
        <f t="shared" si="5"/>
        <v>Y</v>
      </c>
    </row>
    <row r="158" spans="1:19">
      <c r="A158" s="11" t="s">
        <v>147</v>
      </c>
      <c r="B158" t="s">
        <v>15</v>
      </c>
      <c r="C158" t="s">
        <v>21</v>
      </c>
      <c r="H158" s="11" t="s">
        <v>267</v>
      </c>
      <c r="I158" s="12">
        <v>15868</v>
      </c>
      <c r="J158" s="12">
        <v>14844</v>
      </c>
      <c r="K158" s="12">
        <v>15959</v>
      </c>
      <c r="L158" s="12">
        <v>15364</v>
      </c>
      <c r="M158" s="12">
        <v>15600</v>
      </c>
      <c r="N158" s="12">
        <v>15359</v>
      </c>
      <c r="O158" s="12">
        <v>15873</v>
      </c>
      <c r="P158" s="12">
        <v>15715</v>
      </c>
      <c r="Q158" s="12">
        <v>124582</v>
      </c>
      <c r="R158" s="15">
        <f t="shared" si="4"/>
        <v>2.233518589111138E-2</v>
      </c>
      <c r="S158" t="str">
        <f t="shared" si="5"/>
        <v>X</v>
      </c>
    </row>
    <row r="159" spans="1:19">
      <c r="A159" s="11" t="s">
        <v>200</v>
      </c>
      <c r="B159" t="s">
        <v>15</v>
      </c>
      <c r="C159" t="s">
        <v>20</v>
      </c>
      <c r="H159" s="11" t="s">
        <v>147</v>
      </c>
      <c r="I159" s="12">
        <v>15736</v>
      </c>
      <c r="J159" s="12">
        <v>16035</v>
      </c>
      <c r="K159" s="12">
        <v>15252</v>
      </c>
      <c r="L159" s="12">
        <v>15267</v>
      </c>
      <c r="M159" s="12">
        <v>14952</v>
      </c>
      <c r="N159" s="12">
        <v>15970</v>
      </c>
      <c r="O159" s="12">
        <v>14802</v>
      </c>
      <c r="P159" s="12">
        <v>15762</v>
      </c>
      <c r="Q159" s="12">
        <v>123776</v>
      </c>
      <c r="R159" s="15">
        <f t="shared" si="4"/>
        <v>2.825142892963561E-2</v>
      </c>
      <c r="S159" t="str">
        <f t="shared" si="5"/>
        <v>X</v>
      </c>
    </row>
    <row r="160" spans="1:19">
      <c r="A160" s="11" t="s">
        <v>52</v>
      </c>
      <c r="B160" t="s">
        <v>15</v>
      </c>
      <c r="C160" t="s">
        <v>21</v>
      </c>
      <c r="H160" s="11" t="s">
        <v>200</v>
      </c>
      <c r="I160" s="12">
        <v>17497</v>
      </c>
      <c r="J160" s="12">
        <v>16643</v>
      </c>
      <c r="K160" s="12">
        <v>14375</v>
      </c>
      <c r="L160" s="12">
        <v>16236</v>
      </c>
      <c r="M160" s="12">
        <v>13874</v>
      </c>
      <c r="N160" s="12">
        <v>16036</v>
      </c>
      <c r="O160" s="12">
        <v>12380</v>
      </c>
      <c r="P160" s="12">
        <v>16183</v>
      </c>
      <c r="Q160" s="12">
        <v>123224</v>
      </c>
      <c r="R160" s="15">
        <f t="shared" si="4"/>
        <v>0.10305748269408391</v>
      </c>
      <c r="S160" t="str">
        <f t="shared" si="5"/>
        <v>Y</v>
      </c>
    </row>
    <row r="161" spans="1:19">
      <c r="A161" s="11" t="s">
        <v>246</v>
      </c>
      <c r="B161" t="s">
        <v>15</v>
      </c>
      <c r="C161" t="s">
        <v>21</v>
      </c>
      <c r="H161" s="11" t="s">
        <v>52</v>
      </c>
      <c r="I161" s="12">
        <v>15664</v>
      </c>
      <c r="J161" s="12">
        <v>15441</v>
      </c>
      <c r="K161" s="12">
        <v>14982</v>
      </c>
      <c r="L161" s="12">
        <v>14822</v>
      </c>
      <c r="M161" s="12">
        <v>15760</v>
      </c>
      <c r="N161" s="12">
        <v>15648</v>
      </c>
      <c r="O161" s="12">
        <v>15708</v>
      </c>
      <c r="P161" s="12">
        <v>15096</v>
      </c>
      <c r="Q161" s="12">
        <v>123121</v>
      </c>
      <c r="R161" s="15">
        <f t="shared" si="4"/>
        <v>2.2482663138338254E-2</v>
      </c>
      <c r="S161" t="str">
        <f t="shared" si="5"/>
        <v>X</v>
      </c>
    </row>
    <row r="162" spans="1:19">
      <c r="A162" s="11" t="s">
        <v>215</v>
      </c>
      <c r="B162" t="s">
        <v>15</v>
      </c>
      <c r="C162" t="s">
        <v>19</v>
      </c>
      <c r="H162" s="11" t="s">
        <v>246</v>
      </c>
      <c r="I162" s="12">
        <v>14912</v>
      </c>
      <c r="J162" s="12">
        <v>15947</v>
      </c>
      <c r="K162" s="12">
        <v>15926</v>
      </c>
      <c r="L162" s="12">
        <v>15440</v>
      </c>
      <c r="M162" s="12">
        <v>14716</v>
      </c>
      <c r="N162" s="12">
        <v>15940</v>
      </c>
      <c r="O162" s="12">
        <v>14769</v>
      </c>
      <c r="P162" s="12">
        <v>15335</v>
      </c>
      <c r="Q162" s="12">
        <v>122985</v>
      </c>
      <c r="R162" s="15">
        <f t="shared" si="4"/>
        <v>3.2293304046664778E-2</v>
      </c>
      <c r="S162" t="str">
        <f t="shared" si="5"/>
        <v>X</v>
      </c>
    </row>
    <row r="163" spans="1:19">
      <c r="A163" s="11" t="s">
        <v>140</v>
      </c>
      <c r="B163" t="s">
        <v>15</v>
      </c>
      <c r="C163" t="s">
        <v>21</v>
      </c>
      <c r="H163" s="11" t="s">
        <v>215</v>
      </c>
      <c r="I163" s="12">
        <v>12898</v>
      </c>
      <c r="J163" s="12">
        <v>9759</v>
      </c>
      <c r="K163" s="12">
        <v>6233</v>
      </c>
      <c r="L163" s="12">
        <v>8157</v>
      </c>
      <c r="M163" s="12">
        <v>27439</v>
      </c>
      <c r="N163" s="12">
        <v>22015</v>
      </c>
      <c r="O163" s="12">
        <v>29149</v>
      </c>
      <c r="P163" s="12">
        <v>6245</v>
      </c>
      <c r="Q163" s="12">
        <v>121895</v>
      </c>
      <c r="R163" s="15">
        <f t="shared" si="4"/>
        <v>0.58513509850357848</v>
      </c>
      <c r="S163" t="str">
        <f t="shared" si="5"/>
        <v>Z</v>
      </c>
    </row>
    <row r="164" spans="1:19">
      <c r="A164" s="11" t="s">
        <v>86</v>
      </c>
      <c r="B164" t="s">
        <v>15</v>
      </c>
      <c r="C164" t="s">
        <v>21</v>
      </c>
      <c r="H164" s="11" t="s">
        <v>140</v>
      </c>
      <c r="I164" s="12">
        <v>14195</v>
      </c>
      <c r="J164" s="12">
        <v>15460</v>
      </c>
      <c r="K164" s="12">
        <v>14826</v>
      </c>
      <c r="L164" s="12">
        <v>14327</v>
      </c>
      <c r="M164" s="12">
        <v>14788</v>
      </c>
      <c r="N164" s="12">
        <v>15315</v>
      </c>
      <c r="O164" s="12">
        <v>14558</v>
      </c>
      <c r="P164" s="12">
        <v>15196</v>
      </c>
      <c r="Q164" s="12">
        <v>118665</v>
      </c>
      <c r="R164" s="15">
        <f t="shared" si="4"/>
        <v>2.9172818057422847E-2</v>
      </c>
      <c r="S164" t="str">
        <f t="shared" si="5"/>
        <v>X</v>
      </c>
    </row>
    <row r="165" spans="1:19">
      <c r="A165" s="11" t="s">
        <v>227</v>
      </c>
      <c r="B165" t="s">
        <v>15</v>
      </c>
      <c r="C165" t="s">
        <v>19</v>
      </c>
      <c r="H165" s="11" t="s">
        <v>86</v>
      </c>
      <c r="I165" s="12">
        <v>14238</v>
      </c>
      <c r="J165" s="12">
        <v>14908</v>
      </c>
      <c r="K165" s="12">
        <v>15287</v>
      </c>
      <c r="L165" s="12">
        <v>14305</v>
      </c>
      <c r="M165" s="12">
        <v>15395</v>
      </c>
      <c r="N165" s="12">
        <v>15478</v>
      </c>
      <c r="O165" s="12">
        <v>14643</v>
      </c>
      <c r="P165" s="12">
        <v>14397</v>
      </c>
      <c r="Q165" s="12">
        <v>118651</v>
      </c>
      <c r="R165" s="15">
        <f t="shared" si="4"/>
        <v>3.2005346707694692E-2</v>
      </c>
      <c r="S165" t="str">
        <f t="shared" si="5"/>
        <v>X</v>
      </c>
    </row>
    <row r="166" spans="1:19">
      <c r="A166" s="11" t="s">
        <v>263</v>
      </c>
      <c r="B166" t="s">
        <v>15</v>
      </c>
      <c r="C166" t="s">
        <v>20</v>
      </c>
      <c r="H166" s="11" t="s">
        <v>227</v>
      </c>
      <c r="I166" s="12">
        <v>13407</v>
      </c>
      <c r="J166" s="12">
        <v>24765</v>
      </c>
      <c r="K166" s="12">
        <v>14559</v>
      </c>
      <c r="L166" s="12">
        <v>5200</v>
      </c>
      <c r="M166" s="12">
        <v>33664</v>
      </c>
      <c r="N166" s="12">
        <v>6540</v>
      </c>
      <c r="O166" s="12">
        <v>14710</v>
      </c>
      <c r="P166" s="12">
        <v>5200</v>
      </c>
      <c r="Q166" s="12">
        <v>118045</v>
      </c>
      <c r="R166" s="15">
        <f t="shared" si="4"/>
        <v>0.63831022357643841</v>
      </c>
      <c r="S166" t="str">
        <f t="shared" si="5"/>
        <v>Z</v>
      </c>
    </row>
    <row r="167" spans="1:19">
      <c r="A167" s="11" t="s">
        <v>128</v>
      </c>
      <c r="B167" t="s">
        <v>15</v>
      </c>
      <c r="C167" t="s">
        <v>19</v>
      </c>
      <c r="H167" s="11" t="s">
        <v>263</v>
      </c>
      <c r="I167" s="12">
        <v>16679</v>
      </c>
      <c r="J167" s="12">
        <v>15619</v>
      </c>
      <c r="K167" s="12">
        <v>16718</v>
      </c>
      <c r="L167" s="12">
        <v>12244</v>
      </c>
      <c r="M167" s="12">
        <v>12007</v>
      </c>
      <c r="N167" s="12">
        <v>19052</v>
      </c>
      <c r="O167" s="12">
        <v>11507</v>
      </c>
      <c r="P167" s="12">
        <v>14000</v>
      </c>
      <c r="Q167" s="12">
        <v>117826</v>
      </c>
      <c r="R167" s="15">
        <f t="shared" si="4"/>
        <v>0.17266386423558394</v>
      </c>
      <c r="S167" t="str">
        <f t="shared" si="5"/>
        <v>Y</v>
      </c>
    </row>
    <row r="168" spans="1:19">
      <c r="A168" s="11" t="s">
        <v>184</v>
      </c>
      <c r="B168" t="s">
        <v>15</v>
      </c>
      <c r="C168" t="s">
        <v>19</v>
      </c>
      <c r="H168" s="11" t="s">
        <v>128</v>
      </c>
      <c r="I168" s="12">
        <v>5200</v>
      </c>
      <c r="J168" s="12">
        <v>20726</v>
      </c>
      <c r="K168" s="12">
        <v>11582</v>
      </c>
      <c r="L168" s="12">
        <v>9371</v>
      </c>
      <c r="M168" s="12">
        <v>9448</v>
      </c>
      <c r="N168" s="12">
        <v>26665</v>
      </c>
      <c r="O168" s="12">
        <v>25159</v>
      </c>
      <c r="P168" s="12">
        <v>5200</v>
      </c>
      <c r="Q168" s="12">
        <v>113351</v>
      </c>
      <c r="R168" s="15">
        <f t="shared" si="4"/>
        <v>0.57597871278080093</v>
      </c>
      <c r="S168" t="str">
        <f t="shared" si="5"/>
        <v>Z</v>
      </c>
    </row>
    <row r="169" spans="1:19">
      <c r="A169" s="11" t="s">
        <v>281</v>
      </c>
      <c r="B169" t="s">
        <v>15</v>
      </c>
      <c r="C169" t="s">
        <v>19</v>
      </c>
      <c r="H169" s="11" t="s">
        <v>184</v>
      </c>
      <c r="I169" s="12">
        <v>7140</v>
      </c>
      <c r="J169" s="12">
        <v>21598</v>
      </c>
      <c r="K169" s="12">
        <v>25132</v>
      </c>
      <c r="L169" s="12">
        <v>19948</v>
      </c>
      <c r="M169" s="12">
        <v>5200</v>
      </c>
      <c r="N169" s="12">
        <v>23862</v>
      </c>
      <c r="O169" s="12">
        <v>5200</v>
      </c>
      <c r="P169" s="12">
        <v>5200</v>
      </c>
      <c r="Q169" s="12">
        <v>113280</v>
      </c>
      <c r="R169" s="15">
        <f t="shared" si="4"/>
        <v>0.60825934189991893</v>
      </c>
      <c r="S169" t="str">
        <f t="shared" si="5"/>
        <v>Z</v>
      </c>
    </row>
    <row r="170" spans="1:19">
      <c r="A170" s="11" t="s">
        <v>64</v>
      </c>
      <c r="B170" t="s">
        <v>15</v>
      </c>
      <c r="C170" t="s">
        <v>21</v>
      </c>
      <c r="H170" s="11" t="s">
        <v>281</v>
      </c>
      <c r="I170" s="12">
        <v>20238</v>
      </c>
      <c r="J170" s="12">
        <v>10095</v>
      </c>
      <c r="K170" s="12">
        <v>5911</v>
      </c>
      <c r="L170" s="12">
        <v>5200</v>
      </c>
      <c r="M170" s="12">
        <v>7641</v>
      </c>
      <c r="N170" s="12">
        <v>27731</v>
      </c>
      <c r="O170" s="12">
        <v>23637</v>
      </c>
      <c r="P170" s="12">
        <v>12460</v>
      </c>
      <c r="Q170" s="12">
        <v>112913</v>
      </c>
      <c r="R170" s="15">
        <f t="shared" si="4"/>
        <v>0.57185038810947186</v>
      </c>
      <c r="S170" t="str">
        <f t="shared" si="5"/>
        <v>Z</v>
      </c>
    </row>
    <row r="171" spans="1:19">
      <c r="A171" s="11" t="s">
        <v>102</v>
      </c>
      <c r="B171" t="s">
        <v>15</v>
      </c>
      <c r="C171" t="s">
        <v>20</v>
      </c>
      <c r="H171" s="11" t="s">
        <v>64</v>
      </c>
      <c r="I171" s="12">
        <v>14687</v>
      </c>
      <c r="J171" s="12">
        <v>13627</v>
      </c>
      <c r="K171" s="12">
        <v>14426</v>
      </c>
      <c r="L171" s="12">
        <v>14042</v>
      </c>
      <c r="M171" s="12">
        <v>13658</v>
      </c>
      <c r="N171" s="12">
        <v>14814</v>
      </c>
      <c r="O171" s="12">
        <v>14019</v>
      </c>
      <c r="P171" s="12">
        <v>13621</v>
      </c>
      <c r="Q171" s="12">
        <v>112894</v>
      </c>
      <c r="R171" s="15">
        <f t="shared" si="4"/>
        <v>3.186858547301237E-2</v>
      </c>
      <c r="S171" t="str">
        <f t="shared" si="5"/>
        <v>X</v>
      </c>
    </row>
    <row r="172" spans="1:19">
      <c r="A172" s="11" t="s">
        <v>242</v>
      </c>
      <c r="B172" t="s">
        <v>15</v>
      </c>
      <c r="C172" t="s">
        <v>19</v>
      </c>
      <c r="H172" s="11" t="s">
        <v>102</v>
      </c>
      <c r="I172" s="12">
        <v>15522</v>
      </c>
      <c r="J172" s="12">
        <v>14877</v>
      </c>
      <c r="K172" s="12">
        <v>14726</v>
      </c>
      <c r="L172" s="12">
        <v>12696</v>
      </c>
      <c r="M172" s="12">
        <v>10224</v>
      </c>
      <c r="N172" s="12">
        <v>14498</v>
      </c>
      <c r="O172" s="12">
        <v>18372</v>
      </c>
      <c r="P172" s="12">
        <v>11714</v>
      </c>
      <c r="Q172" s="12">
        <v>112629</v>
      </c>
      <c r="R172" s="15">
        <f t="shared" si="4"/>
        <v>0.16678744001604495</v>
      </c>
      <c r="S172" t="str">
        <f t="shared" si="5"/>
        <v>Y</v>
      </c>
    </row>
    <row r="173" spans="1:19">
      <c r="A173" s="11" t="s">
        <v>196</v>
      </c>
      <c r="B173" t="s">
        <v>15</v>
      </c>
      <c r="C173" t="s">
        <v>20</v>
      </c>
      <c r="H173" s="11" t="s">
        <v>242</v>
      </c>
      <c r="I173" s="12">
        <v>22620</v>
      </c>
      <c r="J173" s="12">
        <v>6191</v>
      </c>
      <c r="K173" s="12">
        <v>15729</v>
      </c>
      <c r="L173" s="12">
        <v>17610</v>
      </c>
      <c r="M173" s="12">
        <v>23081</v>
      </c>
      <c r="N173" s="12">
        <v>16888</v>
      </c>
      <c r="O173" s="12">
        <v>5200</v>
      </c>
      <c r="P173" s="12">
        <v>5200</v>
      </c>
      <c r="Q173" s="12">
        <v>112519</v>
      </c>
      <c r="R173" s="15">
        <f t="shared" si="4"/>
        <v>0.50083114787680849</v>
      </c>
      <c r="S173" t="str">
        <f t="shared" si="5"/>
        <v>Z</v>
      </c>
    </row>
    <row r="174" spans="1:19">
      <c r="A174" s="11" t="s">
        <v>280</v>
      </c>
      <c r="B174" t="s">
        <v>15</v>
      </c>
      <c r="C174" t="s">
        <v>21</v>
      </c>
      <c r="H174" s="11" t="s">
        <v>196</v>
      </c>
      <c r="I174" s="12">
        <v>10184</v>
      </c>
      <c r="J174" s="12">
        <v>13198</v>
      </c>
      <c r="K174" s="12">
        <v>14332</v>
      </c>
      <c r="L174" s="12">
        <v>15077</v>
      </c>
      <c r="M174" s="12">
        <v>12930</v>
      </c>
      <c r="N174" s="12">
        <v>15272</v>
      </c>
      <c r="O174" s="12">
        <v>14797</v>
      </c>
      <c r="P174" s="12">
        <v>15137</v>
      </c>
      <c r="Q174" s="12">
        <v>110927</v>
      </c>
      <c r="R174" s="15">
        <f t="shared" si="4"/>
        <v>0.11690857925588133</v>
      </c>
      <c r="S174" t="str">
        <f t="shared" si="5"/>
        <v>Y</v>
      </c>
    </row>
    <row r="175" spans="1:19">
      <c r="A175" s="11" t="s">
        <v>135</v>
      </c>
      <c r="B175" t="s">
        <v>15</v>
      </c>
      <c r="C175" t="s">
        <v>21</v>
      </c>
      <c r="H175" s="11" t="s">
        <v>280</v>
      </c>
      <c r="I175" s="12">
        <v>13158</v>
      </c>
      <c r="J175" s="12">
        <v>14258</v>
      </c>
      <c r="K175" s="12">
        <v>13699</v>
      </c>
      <c r="L175" s="12">
        <v>13142</v>
      </c>
      <c r="M175" s="12">
        <v>13924</v>
      </c>
      <c r="N175" s="12">
        <v>13125</v>
      </c>
      <c r="O175" s="12">
        <v>14220</v>
      </c>
      <c r="P175" s="12">
        <v>14206</v>
      </c>
      <c r="Q175" s="12">
        <v>109732</v>
      </c>
      <c r="R175" s="15">
        <f t="shared" si="4"/>
        <v>3.4788242235997149E-2</v>
      </c>
      <c r="S175" t="str">
        <f t="shared" si="5"/>
        <v>X</v>
      </c>
    </row>
    <row r="176" spans="1:19">
      <c r="A176" s="11" t="s">
        <v>117</v>
      </c>
      <c r="B176" t="s">
        <v>15</v>
      </c>
      <c r="C176" t="s">
        <v>20</v>
      </c>
      <c r="H176" s="11" t="s">
        <v>135</v>
      </c>
      <c r="I176" s="12">
        <v>13700</v>
      </c>
      <c r="J176" s="12">
        <v>13569</v>
      </c>
      <c r="K176" s="12">
        <v>13942</v>
      </c>
      <c r="L176" s="12">
        <v>13238</v>
      </c>
      <c r="M176" s="12">
        <v>14218</v>
      </c>
      <c r="N176" s="12">
        <v>13571</v>
      </c>
      <c r="O176" s="12">
        <v>13706</v>
      </c>
      <c r="P176" s="12">
        <v>13276</v>
      </c>
      <c r="Q176" s="12">
        <v>109220</v>
      </c>
      <c r="R176" s="15">
        <f t="shared" si="4"/>
        <v>2.2215241687572964E-2</v>
      </c>
      <c r="S176" t="str">
        <f t="shared" si="5"/>
        <v>X</v>
      </c>
    </row>
    <row r="177" spans="1:19">
      <c r="A177" s="11" t="s">
        <v>155</v>
      </c>
      <c r="B177" t="s">
        <v>15</v>
      </c>
      <c r="C177" t="s">
        <v>20</v>
      </c>
      <c r="H177" s="11" t="s">
        <v>117</v>
      </c>
      <c r="I177" s="12">
        <v>13737</v>
      </c>
      <c r="J177" s="12">
        <v>10434</v>
      </c>
      <c r="K177" s="12">
        <v>12135</v>
      </c>
      <c r="L177" s="12">
        <v>11576</v>
      </c>
      <c r="M177" s="12">
        <v>18495</v>
      </c>
      <c r="N177" s="12">
        <v>16692</v>
      </c>
      <c r="O177" s="12">
        <v>11290</v>
      </c>
      <c r="P177" s="12">
        <v>14643</v>
      </c>
      <c r="Q177" s="12">
        <v>109002</v>
      </c>
      <c r="R177" s="15">
        <f t="shared" si="4"/>
        <v>0.19457052424850574</v>
      </c>
      <c r="S177" t="str">
        <f t="shared" si="5"/>
        <v>Y</v>
      </c>
    </row>
    <row r="178" spans="1:19">
      <c r="A178" s="11" t="s">
        <v>152</v>
      </c>
      <c r="B178" t="s">
        <v>15</v>
      </c>
      <c r="C178" t="s">
        <v>20</v>
      </c>
      <c r="H178" s="11" t="s">
        <v>155</v>
      </c>
      <c r="I178" s="12">
        <v>11842</v>
      </c>
      <c r="J178" s="12">
        <v>15788</v>
      </c>
      <c r="K178" s="12">
        <v>13220</v>
      </c>
      <c r="L178" s="12">
        <v>16717</v>
      </c>
      <c r="M178" s="12">
        <v>11211</v>
      </c>
      <c r="N178" s="12">
        <v>11873</v>
      </c>
      <c r="O178" s="12">
        <v>12324</v>
      </c>
      <c r="P178" s="12">
        <v>15963</v>
      </c>
      <c r="Q178" s="12">
        <v>108938</v>
      </c>
      <c r="R178" s="15">
        <f t="shared" si="4"/>
        <v>0.15058332407081446</v>
      </c>
      <c r="S178" t="str">
        <f t="shared" si="5"/>
        <v>Y</v>
      </c>
    </row>
    <row r="179" spans="1:19">
      <c r="A179" s="11" t="s">
        <v>94</v>
      </c>
      <c r="B179" t="s">
        <v>15</v>
      </c>
      <c r="C179" t="s">
        <v>19</v>
      </c>
      <c r="H179" s="11" t="s">
        <v>152</v>
      </c>
      <c r="I179" s="12">
        <v>13424</v>
      </c>
      <c r="J179" s="12">
        <v>15742</v>
      </c>
      <c r="K179" s="12">
        <v>15435</v>
      </c>
      <c r="L179" s="12">
        <v>14255</v>
      </c>
      <c r="M179" s="12">
        <v>13370</v>
      </c>
      <c r="N179" s="12">
        <v>15088</v>
      </c>
      <c r="O179" s="12">
        <v>9201</v>
      </c>
      <c r="P179" s="12">
        <v>11510</v>
      </c>
      <c r="Q179" s="12">
        <v>108025</v>
      </c>
      <c r="R179" s="15">
        <f t="shared" si="4"/>
        <v>0.15340392546741302</v>
      </c>
      <c r="S179" t="str">
        <f t="shared" si="5"/>
        <v>Y</v>
      </c>
    </row>
    <row r="180" spans="1:19">
      <c r="A180" s="11" t="s">
        <v>272</v>
      </c>
      <c r="B180" t="s">
        <v>15</v>
      </c>
      <c r="C180" t="s">
        <v>21</v>
      </c>
      <c r="H180" s="11" t="s">
        <v>94</v>
      </c>
      <c r="I180" s="12">
        <v>8917</v>
      </c>
      <c r="J180" s="12">
        <v>5239</v>
      </c>
      <c r="K180" s="12">
        <v>5200</v>
      </c>
      <c r="L180" s="12">
        <v>23785</v>
      </c>
      <c r="M180" s="12">
        <v>25653</v>
      </c>
      <c r="N180" s="12">
        <v>11181</v>
      </c>
      <c r="O180" s="12">
        <v>5200</v>
      </c>
      <c r="P180" s="12">
        <v>22577</v>
      </c>
      <c r="Q180" s="12">
        <v>107752</v>
      </c>
      <c r="R180" s="15">
        <f t="shared" si="4"/>
        <v>0.62574262062873753</v>
      </c>
      <c r="S180" t="str">
        <f t="shared" si="5"/>
        <v>Z</v>
      </c>
    </row>
    <row r="181" spans="1:19">
      <c r="A181" s="11" t="s">
        <v>139</v>
      </c>
      <c r="B181" t="s">
        <v>15</v>
      </c>
      <c r="C181" t="s">
        <v>20</v>
      </c>
      <c r="H181" s="11" t="s">
        <v>272</v>
      </c>
      <c r="I181" s="12">
        <v>13234</v>
      </c>
      <c r="J181" s="12">
        <v>13924</v>
      </c>
      <c r="K181" s="12">
        <v>13313</v>
      </c>
      <c r="L181" s="12">
        <v>13846</v>
      </c>
      <c r="M181" s="12">
        <v>13219</v>
      </c>
      <c r="N181" s="12">
        <v>12950</v>
      </c>
      <c r="O181" s="12">
        <v>13840</v>
      </c>
      <c r="P181" s="12">
        <v>12843</v>
      </c>
      <c r="Q181" s="12">
        <v>107169</v>
      </c>
      <c r="R181" s="15">
        <f t="shared" si="4"/>
        <v>2.9479132208460729E-2</v>
      </c>
      <c r="S181" t="str">
        <f t="shared" si="5"/>
        <v>X</v>
      </c>
    </row>
    <row r="182" spans="1:19">
      <c r="A182" s="11" t="s">
        <v>55</v>
      </c>
      <c r="B182" t="s">
        <v>15</v>
      </c>
      <c r="C182" t="s">
        <v>20</v>
      </c>
      <c r="H182" s="11" t="s">
        <v>139</v>
      </c>
      <c r="I182" s="12">
        <v>10633</v>
      </c>
      <c r="J182" s="12">
        <v>10779</v>
      </c>
      <c r="K182" s="12">
        <v>15556</v>
      </c>
      <c r="L182" s="12">
        <v>14837</v>
      </c>
      <c r="M182" s="12">
        <v>13841</v>
      </c>
      <c r="N182" s="12">
        <v>15701</v>
      </c>
      <c r="O182" s="12">
        <v>11902</v>
      </c>
      <c r="P182" s="12">
        <v>13919</v>
      </c>
      <c r="Q182" s="12">
        <v>107168</v>
      </c>
      <c r="R182" s="15">
        <f t="shared" si="4"/>
        <v>0.14271844069270787</v>
      </c>
      <c r="S182" t="str">
        <f t="shared" si="5"/>
        <v>Y</v>
      </c>
    </row>
    <row r="183" spans="1:19">
      <c r="A183" s="11" t="s">
        <v>256</v>
      </c>
      <c r="B183" t="s">
        <v>15</v>
      </c>
      <c r="C183" t="s">
        <v>21</v>
      </c>
      <c r="H183" s="11" t="s">
        <v>55</v>
      </c>
      <c r="I183" s="12">
        <v>17182</v>
      </c>
      <c r="J183" s="12">
        <v>12909</v>
      </c>
      <c r="K183" s="12">
        <v>10467</v>
      </c>
      <c r="L183" s="12">
        <v>15295</v>
      </c>
      <c r="M183" s="12">
        <v>16988</v>
      </c>
      <c r="N183" s="12">
        <v>9834</v>
      </c>
      <c r="O183" s="12">
        <v>11182</v>
      </c>
      <c r="P183" s="12">
        <v>13081</v>
      </c>
      <c r="Q183" s="12">
        <v>106938</v>
      </c>
      <c r="R183" s="15">
        <f t="shared" si="4"/>
        <v>0.20028354861170389</v>
      </c>
      <c r="S183" t="str">
        <f t="shared" si="5"/>
        <v>Y</v>
      </c>
    </row>
    <row r="184" spans="1:19">
      <c r="A184" s="11" t="s">
        <v>205</v>
      </c>
      <c r="B184" t="s">
        <v>15</v>
      </c>
      <c r="C184" t="s">
        <v>20</v>
      </c>
      <c r="H184" s="11" t="s">
        <v>256</v>
      </c>
      <c r="I184" s="12">
        <v>14014</v>
      </c>
      <c r="J184" s="12">
        <v>13324</v>
      </c>
      <c r="K184" s="12">
        <v>12879</v>
      </c>
      <c r="L184" s="12">
        <v>13464</v>
      </c>
      <c r="M184" s="12">
        <v>13081</v>
      </c>
      <c r="N184" s="12">
        <v>14025</v>
      </c>
      <c r="O184" s="12">
        <v>13015</v>
      </c>
      <c r="P184" s="12">
        <v>12890</v>
      </c>
      <c r="Q184" s="12">
        <v>106692</v>
      </c>
      <c r="R184" s="15">
        <f t="shared" si="4"/>
        <v>3.2756599307578363E-2</v>
      </c>
      <c r="S184" t="str">
        <f t="shared" si="5"/>
        <v>X</v>
      </c>
    </row>
    <row r="185" spans="1:19">
      <c r="A185" s="11" t="s">
        <v>186</v>
      </c>
      <c r="B185" t="s">
        <v>15</v>
      </c>
      <c r="C185" t="s">
        <v>21</v>
      </c>
      <c r="H185" s="11" t="s">
        <v>205</v>
      </c>
      <c r="I185" s="12">
        <v>15435</v>
      </c>
      <c r="J185" s="12">
        <v>13953</v>
      </c>
      <c r="K185" s="12">
        <v>15068</v>
      </c>
      <c r="L185" s="12">
        <v>14865</v>
      </c>
      <c r="M185" s="12">
        <v>11927</v>
      </c>
      <c r="N185" s="12">
        <v>12804</v>
      </c>
      <c r="O185" s="12">
        <v>11077</v>
      </c>
      <c r="P185" s="12">
        <v>11562</v>
      </c>
      <c r="Q185" s="12">
        <v>106691</v>
      </c>
      <c r="R185" s="15">
        <f t="shared" si="4"/>
        <v>0.12044799452520349</v>
      </c>
      <c r="S185" t="str">
        <f t="shared" si="5"/>
        <v>Y</v>
      </c>
    </row>
    <row r="186" spans="1:19">
      <c r="A186" s="11" t="s">
        <v>138</v>
      </c>
      <c r="B186" t="s">
        <v>15</v>
      </c>
      <c r="C186" t="s">
        <v>21</v>
      </c>
      <c r="H186" s="11" t="s">
        <v>186</v>
      </c>
      <c r="I186" s="12">
        <v>13261</v>
      </c>
      <c r="J186" s="12">
        <v>13573</v>
      </c>
      <c r="K186" s="12">
        <v>12761</v>
      </c>
      <c r="L186" s="12">
        <v>12819</v>
      </c>
      <c r="M186" s="12">
        <v>13708</v>
      </c>
      <c r="N186" s="12">
        <v>13264</v>
      </c>
      <c r="O186" s="12">
        <v>13560</v>
      </c>
      <c r="P186" s="12">
        <v>13233</v>
      </c>
      <c r="Q186" s="12">
        <v>106179</v>
      </c>
      <c r="R186" s="15">
        <f t="shared" si="4"/>
        <v>2.4293126663682409E-2</v>
      </c>
      <c r="S186" t="str">
        <f t="shared" si="5"/>
        <v>X</v>
      </c>
    </row>
    <row r="187" spans="1:19">
      <c r="A187" s="11" t="s">
        <v>237</v>
      </c>
      <c r="B187" t="s">
        <v>15</v>
      </c>
      <c r="C187" t="s">
        <v>19</v>
      </c>
      <c r="H187" s="11" t="s">
        <v>138</v>
      </c>
      <c r="I187" s="12">
        <v>13392</v>
      </c>
      <c r="J187" s="12">
        <v>13671</v>
      </c>
      <c r="K187" s="12">
        <v>12976</v>
      </c>
      <c r="L187" s="12">
        <v>12645</v>
      </c>
      <c r="M187" s="12">
        <v>13351</v>
      </c>
      <c r="N187" s="12">
        <v>13176</v>
      </c>
      <c r="O187" s="12">
        <v>13503</v>
      </c>
      <c r="P187" s="12">
        <v>12728</v>
      </c>
      <c r="Q187" s="12">
        <v>105442</v>
      </c>
      <c r="R187" s="15">
        <f t="shared" si="4"/>
        <v>2.6169417517717918E-2</v>
      </c>
      <c r="S187" t="str">
        <f t="shared" si="5"/>
        <v>X</v>
      </c>
    </row>
    <row r="188" spans="1:19">
      <c r="A188" s="11" t="s">
        <v>282</v>
      </c>
      <c r="B188" t="s">
        <v>15</v>
      </c>
      <c r="C188" t="s">
        <v>21</v>
      </c>
      <c r="H188" s="11" t="s">
        <v>237</v>
      </c>
      <c r="I188" s="12">
        <v>5200</v>
      </c>
      <c r="J188" s="12">
        <v>5200</v>
      </c>
      <c r="K188" s="12">
        <v>23429</v>
      </c>
      <c r="L188" s="12">
        <v>8094</v>
      </c>
      <c r="M188" s="12">
        <v>5200</v>
      </c>
      <c r="N188" s="12">
        <v>27576</v>
      </c>
      <c r="O188" s="12">
        <v>24914</v>
      </c>
      <c r="P188" s="12">
        <v>5200</v>
      </c>
      <c r="Q188" s="12">
        <v>104813</v>
      </c>
      <c r="R188" s="15">
        <f t="shared" si="4"/>
        <v>0.72936336158453419</v>
      </c>
      <c r="S188" t="str">
        <f t="shared" si="5"/>
        <v>Z</v>
      </c>
    </row>
    <row r="189" spans="1:19">
      <c r="A189" s="11" t="s">
        <v>81</v>
      </c>
      <c r="B189" t="s">
        <v>15</v>
      </c>
      <c r="C189" t="s">
        <v>20</v>
      </c>
      <c r="H189" s="11" t="s">
        <v>282</v>
      </c>
      <c r="I189" s="12">
        <v>12784</v>
      </c>
      <c r="J189" s="12">
        <v>13341</v>
      </c>
      <c r="K189" s="12">
        <v>12808</v>
      </c>
      <c r="L189" s="12">
        <v>12640</v>
      </c>
      <c r="M189" s="12">
        <v>13406</v>
      </c>
      <c r="N189" s="12">
        <v>13379</v>
      </c>
      <c r="O189" s="12">
        <v>12703</v>
      </c>
      <c r="P189" s="12">
        <v>13142</v>
      </c>
      <c r="Q189" s="12">
        <v>104203</v>
      </c>
      <c r="R189" s="15">
        <f t="shared" si="4"/>
        <v>2.3367009818297858E-2</v>
      </c>
      <c r="S189" t="str">
        <f t="shared" si="5"/>
        <v>X</v>
      </c>
    </row>
    <row r="190" spans="1:19">
      <c r="A190" s="11" t="s">
        <v>213</v>
      </c>
      <c r="B190" t="s">
        <v>15</v>
      </c>
      <c r="C190" t="s">
        <v>21</v>
      </c>
      <c r="H190" s="11" t="s">
        <v>81</v>
      </c>
      <c r="I190" s="12">
        <v>14801</v>
      </c>
      <c r="J190" s="12">
        <v>10441</v>
      </c>
      <c r="K190" s="12">
        <v>16001</v>
      </c>
      <c r="L190" s="12">
        <v>9682</v>
      </c>
      <c r="M190" s="12">
        <v>11804</v>
      </c>
      <c r="N190" s="12">
        <v>13060</v>
      </c>
      <c r="O190" s="12">
        <v>15424</v>
      </c>
      <c r="P190" s="12">
        <v>12973</v>
      </c>
      <c r="Q190" s="12">
        <v>104186</v>
      </c>
      <c r="R190" s="15">
        <f t="shared" si="4"/>
        <v>0.1653868671479494</v>
      </c>
      <c r="S190" t="str">
        <f t="shared" si="5"/>
        <v>Y</v>
      </c>
    </row>
    <row r="191" spans="1:19">
      <c r="A191" s="11" t="s">
        <v>257</v>
      </c>
      <c r="B191" t="s">
        <v>15</v>
      </c>
      <c r="C191" t="s">
        <v>19</v>
      </c>
      <c r="H191" s="11" t="s">
        <v>213</v>
      </c>
      <c r="I191" s="12">
        <v>12229</v>
      </c>
      <c r="J191" s="12">
        <v>13282</v>
      </c>
      <c r="K191" s="12">
        <v>13160</v>
      </c>
      <c r="L191" s="12">
        <v>13078</v>
      </c>
      <c r="M191" s="12">
        <v>13237</v>
      </c>
      <c r="N191" s="12">
        <v>12841</v>
      </c>
      <c r="O191" s="12">
        <v>13328</v>
      </c>
      <c r="P191" s="12">
        <v>12723</v>
      </c>
      <c r="Q191" s="12">
        <v>103878</v>
      </c>
      <c r="R191" s="15">
        <f t="shared" si="4"/>
        <v>2.681061988591037E-2</v>
      </c>
      <c r="S191" t="str">
        <f t="shared" si="5"/>
        <v>X</v>
      </c>
    </row>
    <row r="192" spans="1:19">
      <c r="A192" s="11" t="s">
        <v>228</v>
      </c>
      <c r="B192" t="s">
        <v>15</v>
      </c>
      <c r="C192" t="s">
        <v>21</v>
      </c>
      <c r="H192" s="11" t="s">
        <v>257</v>
      </c>
      <c r="I192" s="12">
        <v>19996</v>
      </c>
      <c r="J192" s="12">
        <v>5200</v>
      </c>
      <c r="K192" s="12">
        <v>5200</v>
      </c>
      <c r="L192" s="12">
        <v>11238</v>
      </c>
      <c r="M192" s="12">
        <v>24303</v>
      </c>
      <c r="N192" s="12">
        <v>8010</v>
      </c>
      <c r="O192" s="12">
        <v>21847</v>
      </c>
      <c r="P192" s="12">
        <v>7645</v>
      </c>
      <c r="Q192" s="12">
        <v>103439</v>
      </c>
      <c r="R192" s="15">
        <f t="shared" si="4"/>
        <v>0.56918224941394446</v>
      </c>
      <c r="S192" t="str">
        <f t="shared" si="5"/>
        <v>Z</v>
      </c>
    </row>
    <row r="193" spans="1:19">
      <c r="A193" s="11" t="s">
        <v>78</v>
      </c>
      <c r="B193" t="s">
        <v>15</v>
      </c>
      <c r="C193" t="s">
        <v>20</v>
      </c>
      <c r="H193" s="11" t="s">
        <v>228</v>
      </c>
      <c r="I193" s="12">
        <v>13370</v>
      </c>
      <c r="J193" s="12">
        <v>12716</v>
      </c>
      <c r="K193" s="12">
        <v>12950</v>
      </c>
      <c r="L193" s="12">
        <v>13244</v>
      </c>
      <c r="M193" s="12">
        <v>12759</v>
      </c>
      <c r="N193" s="12">
        <v>12609</v>
      </c>
      <c r="O193" s="12">
        <v>12720</v>
      </c>
      <c r="P193" s="12">
        <v>12816</v>
      </c>
      <c r="Q193" s="12">
        <v>103184</v>
      </c>
      <c r="R193" s="15">
        <f t="shared" si="4"/>
        <v>1.975868378207192E-2</v>
      </c>
      <c r="S193" t="str">
        <f t="shared" si="5"/>
        <v>X</v>
      </c>
    </row>
    <row r="194" spans="1:19">
      <c r="A194" s="11" t="s">
        <v>59</v>
      </c>
      <c r="B194" t="s">
        <v>15</v>
      </c>
      <c r="C194" t="s">
        <v>21</v>
      </c>
      <c r="H194" s="11" t="s">
        <v>78</v>
      </c>
      <c r="I194" s="12">
        <v>9697</v>
      </c>
      <c r="J194" s="12">
        <v>13382</v>
      </c>
      <c r="K194" s="12">
        <v>12999</v>
      </c>
      <c r="L194" s="12">
        <v>9698</v>
      </c>
      <c r="M194" s="12">
        <v>12106</v>
      </c>
      <c r="N194" s="12">
        <v>14759</v>
      </c>
      <c r="O194" s="12">
        <v>16576</v>
      </c>
      <c r="P194" s="12">
        <v>13920</v>
      </c>
      <c r="Q194" s="12">
        <v>103137</v>
      </c>
      <c r="R194" s="15">
        <f t="shared" si="4"/>
        <v>0.17212417542753528</v>
      </c>
      <c r="S194" t="str">
        <f t="shared" si="5"/>
        <v>Y</v>
      </c>
    </row>
    <row r="195" spans="1:19">
      <c r="A195" s="11" t="s">
        <v>278</v>
      </c>
      <c r="B195" t="s">
        <v>15</v>
      </c>
      <c r="C195" t="s">
        <v>20</v>
      </c>
      <c r="H195" s="11" t="s">
        <v>59</v>
      </c>
      <c r="I195" s="12">
        <v>12745</v>
      </c>
      <c r="J195" s="12">
        <v>13104</v>
      </c>
      <c r="K195" s="12">
        <v>12450</v>
      </c>
      <c r="L195" s="12">
        <v>13130</v>
      </c>
      <c r="M195" s="12">
        <v>13107</v>
      </c>
      <c r="N195" s="12">
        <v>13044</v>
      </c>
      <c r="O195" s="12">
        <v>12567</v>
      </c>
      <c r="P195" s="12">
        <v>12793</v>
      </c>
      <c r="Q195" s="12">
        <v>102940</v>
      </c>
      <c r="R195" s="15">
        <f t="shared" si="4"/>
        <v>1.9399900801598143E-2</v>
      </c>
      <c r="S195" t="str">
        <f t="shared" si="5"/>
        <v>X</v>
      </c>
    </row>
    <row r="196" spans="1:19">
      <c r="A196" s="11" t="s">
        <v>161</v>
      </c>
      <c r="B196" t="s">
        <v>15</v>
      </c>
      <c r="C196" t="s">
        <v>20</v>
      </c>
      <c r="H196" s="11" t="s">
        <v>278</v>
      </c>
      <c r="I196" s="12">
        <v>14357</v>
      </c>
      <c r="J196" s="12">
        <v>12075</v>
      </c>
      <c r="K196" s="12">
        <v>15426</v>
      </c>
      <c r="L196" s="12">
        <v>13275</v>
      </c>
      <c r="M196" s="12">
        <v>12612</v>
      </c>
      <c r="N196" s="12">
        <v>9426</v>
      </c>
      <c r="O196" s="12">
        <v>10126</v>
      </c>
      <c r="P196" s="12">
        <v>15211</v>
      </c>
      <c r="Q196" s="12">
        <v>102508</v>
      </c>
      <c r="R196" s="15">
        <f t="shared" ref="R196:R240" si="6">_xlfn.STDEV.P(I196:P196)/AVERAGE(I196:P196)</f>
        <v>0.1619558193980612</v>
      </c>
      <c r="S196" t="str">
        <f t="shared" ref="S196:S240" si="7">IF(R196&lt;=10%,"X",IF(R196&lt;=25%,"Y","Z"))</f>
        <v>Y</v>
      </c>
    </row>
    <row r="197" spans="1:19">
      <c r="A197" s="11" t="s">
        <v>149</v>
      </c>
      <c r="B197" t="s">
        <v>15</v>
      </c>
      <c r="C197" t="s">
        <v>21</v>
      </c>
      <c r="H197" s="11" t="s">
        <v>161</v>
      </c>
      <c r="I197" s="12">
        <v>10607</v>
      </c>
      <c r="J197" s="12">
        <v>10986</v>
      </c>
      <c r="K197" s="12">
        <v>15912</v>
      </c>
      <c r="L197" s="12">
        <v>14482</v>
      </c>
      <c r="M197" s="12">
        <v>15363</v>
      </c>
      <c r="N197" s="12">
        <v>9540</v>
      </c>
      <c r="O197" s="12">
        <v>15560</v>
      </c>
      <c r="P197" s="12">
        <v>9272</v>
      </c>
      <c r="Q197" s="12">
        <v>101722</v>
      </c>
      <c r="R197" s="15">
        <f t="shared" si="6"/>
        <v>0.21142575998563048</v>
      </c>
      <c r="S197" t="str">
        <f t="shared" si="7"/>
        <v>Y</v>
      </c>
    </row>
    <row r="198" spans="1:19">
      <c r="A198" s="11" t="s">
        <v>224</v>
      </c>
      <c r="B198" t="s">
        <v>15</v>
      </c>
      <c r="C198" t="s">
        <v>21</v>
      </c>
      <c r="H198" s="11" t="s">
        <v>149</v>
      </c>
      <c r="I198" s="12">
        <v>12316</v>
      </c>
      <c r="J198" s="12">
        <v>12072</v>
      </c>
      <c r="K198" s="12">
        <v>13197</v>
      </c>
      <c r="L198" s="12">
        <v>12365</v>
      </c>
      <c r="M198" s="12">
        <v>12604</v>
      </c>
      <c r="N198" s="12">
        <v>12626</v>
      </c>
      <c r="O198" s="12">
        <v>12695</v>
      </c>
      <c r="P198" s="12">
        <v>12318</v>
      </c>
      <c r="Q198" s="12">
        <v>100193</v>
      </c>
      <c r="R198" s="15">
        <f t="shared" si="6"/>
        <v>2.5473514268471005E-2</v>
      </c>
      <c r="S198" t="str">
        <f t="shared" si="7"/>
        <v>X</v>
      </c>
    </row>
    <row r="199" spans="1:19">
      <c r="A199" s="11" t="s">
        <v>255</v>
      </c>
      <c r="B199" t="s">
        <v>15</v>
      </c>
      <c r="C199" t="s">
        <v>19</v>
      </c>
      <c r="H199" s="11" t="s">
        <v>224</v>
      </c>
      <c r="I199" s="12">
        <v>12139</v>
      </c>
      <c r="J199" s="12">
        <v>12253</v>
      </c>
      <c r="K199" s="12">
        <v>12414</v>
      </c>
      <c r="L199" s="12">
        <v>12205</v>
      </c>
      <c r="M199" s="12">
        <v>13032</v>
      </c>
      <c r="N199" s="12">
        <v>12805</v>
      </c>
      <c r="O199" s="12">
        <v>12553</v>
      </c>
      <c r="P199" s="12">
        <v>12669</v>
      </c>
      <c r="Q199" s="12">
        <v>100070</v>
      </c>
      <c r="R199" s="15">
        <f t="shared" si="6"/>
        <v>2.3521716546377594E-2</v>
      </c>
      <c r="S199" t="str">
        <f t="shared" si="7"/>
        <v>X</v>
      </c>
    </row>
    <row r="200" spans="1:19">
      <c r="A200" s="11" t="s">
        <v>191</v>
      </c>
      <c r="B200" t="s">
        <v>15</v>
      </c>
      <c r="C200" t="s">
        <v>21</v>
      </c>
      <c r="H200" s="11" t="s">
        <v>255</v>
      </c>
      <c r="I200" s="12">
        <v>8621</v>
      </c>
      <c r="J200" s="12">
        <v>22924</v>
      </c>
      <c r="K200" s="12">
        <v>17639</v>
      </c>
      <c r="L200" s="12">
        <v>5200</v>
      </c>
      <c r="M200" s="12">
        <v>5200</v>
      </c>
      <c r="N200" s="12">
        <v>25547</v>
      </c>
      <c r="O200" s="12">
        <v>5200</v>
      </c>
      <c r="P200" s="12">
        <v>9648</v>
      </c>
      <c r="Q200" s="12">
        <v>99979</v>
      </c>
      <c r="R200" s="15">
        <f t="shared" si="6"/>
        <v>0.62517131405415372</v>
      </c>
      <c r="S200" t="str">
        <f t="shared" si="7"/>
        <v>Z</v>
      </c>
    </row>
    <row r="201" spans="1:19">
      <c r="A201" s="11" t="s">
        <v>104</v>
      </c>
      <c r="B201" t="s">
        <v>15</v>
      </c>
      <c r="C201" t="s">
        <v>21</v>
      </c>
      <c r="H201" s="11" t="s">
        <v>191</v>
      </c>
      <c r="I201" s="12">
        <v>11913</v>
      </c>
      <c r="J201" s="12">
        <v>12823</v>
      </c>
      <c r="K201" s="12">
        <v>12046</v>
      </c>
      <c r="L201" s="12">
        <v>12438</v>
      </c>
      <c r="M201" s="12">
        <v>12396</v>
      </c>
      <c r="N201" s="12">
        <v>12164</v>
      </c>
      <c r="O201" s="12">
        <v>12702</v>
      </c>
      <c r="P201" s="12">
        <v>12949</v>
      </c>
      <c r="Q201" s="12">
        <v>99431</v>
      </c>
      <c r="R201" s="15">
        <f t="shared" si="6"/>
        <v>2.8224881142986637E-2</v>
      </c>
      <c r="S201" t="str">
        <f t="shared" si="7"/>
        <v>X</v>
      </c>
    </row>
    <row r="202" spans="1:19">
      <c r="A202" s="11" t="s">
        <v>48</v>
      </c>
      <c r="B202" t="s">
        <v>15</v>
      </c>
      <c r="C202" t="s">
        <v>21</v>
      </c>
      <c r="H202" s="11" t="s">
        <v>104</v>
      </c>
      <c r="I202" s="12">
        <v>12631</v>
      </c>
      <c r="J202" s="12">
        <v>12838</v>
      </c>
      <c r="K202" s="12">
        <v>12136</v>
      </c>
      <c r="L202" s="12">
        <v>12453</v>
      </c>
      <c r="M202" s="12">
        <v>12037</v>
      </c>
      <c r="N202" s="12">
        <v>12218</v>
      </c>
      <c r="O202" s="12">
        <v>12425</v>
      </c>
      <c r="P202" s="12">
        <v>12468</v>
      </c>
      <c r="Q202" s="12">
        <v>99206</v>
      </c>
      <c r="R202" s="15">
        <f t="shared" si="6"/>
        <v>1.9913568678180657E-2</v>
      </c>
      <c r="S202" t="str">
        <f t="shared" si="7"/>
        <v>X</v>
      </c>
    </row>
    <row r="203" spans="1:19">
      <c r="A203" s="11" t="s">
        <v>168</v>
      </c>
      <c r="B203" t="s">
        <v>15</v>
      </c>
      <c r="C203" t="s">
        <v>21</v>
      </c>
      <c r="H203" s="11" t="s">
        <v>48</v>
      </c>
      <c r="I203" s="12">
        <v>11887</v>
      </c>
      <c r="J203" s="12">
        <v>12867</v>
      </c>
      <c r="K203" s="12">
        <v>12889</v>
      </c>
      <c r="L203" s="12">
        <v>12041</v>
      </c>
      <c r="M203" s="12">
        <v>11879</v>
      </c>
      <c r="N203" s="12">
        <v>12671</v>
      </c>
      <c r="O203" s="12">
        <v>12140</v>
      </c>
      <c r="P203" s="12">
        <v>12806</v>
      </c>
      <c r="Q203" s="12">
        <v>99180</v>
      </c>
      <c r="R203" s="15">
        <f t="shared" si="6"/>
        <v>3.4061285908366122E-2</v>
      </c>
      <c r="S203" t="str">
        <f t="shared" si="7"/>
        <v>X</v>
      </c>
    </row>
    <row r="204" spans="1:19">
      <c r="A204" s="11" t="s">
        <v>247</v>
      </c>
      <c r="B204" t="s">
        <v>15</v>
      </c>
      <c r="C204" t="s">
        <v>21</v>
      </c>
      <c r="H204" s="11" t="s">
        <v>168</v>
      </c>
      <c r="I204" s="12">
        <v>12119</v>
      </c>
      <c r="J204" s="12">
        <v>12045</v>
      </c>
      <c r="K204" s="12">
        <v>12006</v>
      </c>
      <c r="L204" s="12">
        <v>12195</v>
      </c>
      <c r="M204" s="12">
        <v>12889</v>
      </c>
      <c r="N204" s="12">
        <v>12046</v>
      </c>
      <c r="O204" s="12">
        <v>12617</v>
      </c>
      <c r="P204" s="12">
        <v>12533</v>
      </c>
      <c r="Q204" s="12">
        <v>98450</v>
      </c>
      <c r="R204" s="15">
        <f t="shared" si="6"/>
        <v>2.5064800729844672E-2</v>
      </c>
      <c r="S204" t="str">
        <f t="shared" si="7"/>
        <v>X</v>
      </c>
    </row>
    <row r="205" spans="1:19">
      <c r="A205" s="11" t="s">
        <v>248</v>
      </c>
      <c r="B205" t="s">
        <v>15</v>
      </c>
      <c r="C205" t="s">
        <v>20</v>
      </c>
      <c r="H205" s="11" t="s">
        <v>247</v>
      </c>
      <c r="I205" s="12">
        <v>11930</v>
      </c>
      <c r="J205" s="12">
        <v>12897</v>
      </c>
      <c r="K205" s="12">
        <v>11858</v>
      </c>
      <c r="L205" s="12">
        <v>12154</v>
      </c>
      <c r="M205" s="12">
        <v>12630</v>
      </c>
      <c r="N205" s="12">
        <v>12520</v>
      </c>
      <c r="O205" s="12">
        <v>12027</v>
      </c>
      <c r="P205" s="12">
        <v>12268</v>
      </c>
      <c r="Q205" s="12">
        <v>98284</v>
      </c>
      <c r="R205" s="15">
        <f t="shared" si="6"/>
        <v>2.7918616991302526E-2</v>
      </c>
      <c r="S205" t="str">
        <f t="shared" si="7"/>
        <v>X</v>
      </c>
    </row>
    <row r="206" spans="1:19">
      <c r="A206" s="11" t="s">
        <v>57</v>
      </c>
      <c r="B206" t="s">
        <v>15</v>
      </c>
      <c r="C206" t="s">
        <v>20</v>
      </c>
      <c r="H206" s="11" t="s">
        <v>248</v>
      </c>
      <c r="I206" s="12">
        <v>9766</v>
      </c>
      <c r="J206" s="12">
        <v>14815</v>
      </c>
      <c r="K206" s="12">
        <v>12972</v>
      </c>
      <c r="L206" s="12">
        <v>12894</v>
      </c>
      <c r="M206" s="12">
        <v>11634</v>
      </c>
      <c r="N206" s="12">
        <v>9535</v>
      </c>
      <c r="O206" s="12">
        <v>10768</v>
      </c>
      <c r="P206" s="12">
        <v>15487</v>
      </c>
      <c r="Q206" s="12">
        <v>97871</v>
      </c>
      <c r="R206" s="15">
        <f t="shared" si="6"/>
        <v>0.16878073822784856</v>
      </c>
      <c r="S206" t="str">
        <f t="shared" si="7"/>
        <v>Y</v>
      </c>
    </row>
    <row r="207" spans="1:19">
      <c r="A207" s="11" t="s">
        <v>216</v>
      </c>
      <c r="B207" t="s">
        <v>15</v>
      </c>
      <c r="C207" t="s">
        <v>21</v>
      </c>
      <c r="H207" s="11" t="s">
        <v>57</v>
      </c>
      <c r="I207" s="12">
        <v>11857</v>
      </c>
      <c r="J207" s="12">
        <v>14624</v>
      </c>
      <c r="K207" s="12">
        <v>11379</v>
      </c>
      <c r="L207" s="12">
        <v>9486</v>
      </c>
      <c r="M207" s="12">
        <v>14812</v>
      </c>
      <c r="N207" s="12">
        <v>14050</v>
      </c>
      <c r="O207" s="12">
        <v>11643</v>
      </c>
      <c r="P207" s="12">
        <v>9998</v>
      </c>
      <c r="Q207" s="12">
        <v>97849</v>
      </c>
      <c r="R207" s="15">
        <f t="shared" si="6"/>
        <v>0.15681256079669714</v>
      </c>
      <c r="S207" t="str">
        <f t="shared" si="7"/>
        <v>Y</v>
      </c>
    </row>
    <row r="208" spans="1:19">
      <c r="A208" s="11" t="s">
        <v>225</v>
      </c>
      <c r="B208" t="s">
        <v>15</v>
      </c>
      <c r="C208" t="s">
        <v>19</v>
      </c>
      <c r="H208" s="11" t="s">
        <v>216</v>
      </c>
      <c r="I208" s="12">
        <v>12199</v>
      </c>
      <c r="J208" s="12">
        <v>12282</v>
      </c>
      <c r="K208" s="12">
        <v>12237</v>
      </c>
      <c r="L208" s="12">
        <v>12139</v>
      </c>
      <c r="M208" s="12">
        <v>11766</v>
      </c>
      <c r="N208" s="12">
        <v>12727</v>
      </c>
      <c r="O208" s="12">
        <v>11776</v>
      </c>
      <c r="P208" s="12">
        <v>12502</v>
      </c>
      <c r="Q208" s="12">
        <v>97628</v>
      </c>
      <c r="R208" s="15">
        <f t="shared" si="6"/>
        <v>2.5069651625839681E-2</v>
      </c>
      <c r="S208" t="str">
        <f t="shared" si="7"/>
        <v>X</v>
      </c>
    </row>
    <row r="209" spans="1:19">
      <c r="A209" s="11" t="s">
        <v>95</v>
      </c>
      <c r="B209" t="s">
        <v>15</v>
      </c>
      <c r="C209" t="s">
        <v>19</v>
      </c>
      <c r="H209" s="11" t="s">
        <v>225</v>
      </c>
      <c r="I209" s="12">
        <v>23917</v>
      </c>
      <c r="J209" s="12">
        <v>5200</v>
      </c>
      <c r="K209" s="12">
        <v>9385</v>
      </c>
      <c r="L209" s="12">
        <v>28304</v>
      </c>
      <c r="M209" s="12">
        <v>11460</v>
      </c>
      <c r="N209" s="12">
        <v>5200</v>
      </c>
      <c r="O209" s="12">
        <v>5200</v>
      </c>
      <c r="P209" s="12">
        <v>8147</v>
      </c>
      <c r="Q209" s="12">
        <v>96813</v>
      </c>
      <c r="R209" s="15">
        <f t="shared" si="6"/>
        <v>0.69655711367853779</v>
      </c>
      <c r="S209" t="str">
        <f t="shared" si="7"/>
        <v>Z</v>
      </c>
    </row>
    <row r="210" spans="1:19">
      <c r="A210" s="11" t="s">
        <v>206</v>
      </c>
      <c r="B210" t="s">
        <v>15</v>
      </c>
      <c r="C210" t="s">
        <v>20</v>
      </c>
      <c r="H210" s="11" t="s">
        <v>95</v>
      </c>
      <c r="I210" s="12">
        <v>19694</v>
      </c>
      <c r="J210" s="12">
        <v>5200</v>
      </c>
      <c r="K210" s="12">
        <v>5200</v>
      </c>
      <c r="L210" s="12">
        <v>5200</v>
      </c>
      <c r="M210" s="12">
        <v>22220</v>
      </c>
      <c r="N210" s="12">
        <v>22910</v>
      </c>
      <c r="O210" s="12">
        <v>5200</v>
      </c>
      <c r="P210" s="12">
        <v>10815</v>
      </c>
      <c r="Q210" s="12">
        <v>96439</v>
      </c>
      <c r="R210" s="15">
        <f t="shared" si="6"/>
        <v>0.63516319371351315</v>
      </c>
      <c r="S210" t="str">
        <f t="shared" si="7"/>
        <v>Z</v>
      </c>
    </row>
    <row r="211" spans="1:19">
      <c r="A211" s="11" t="s">
        <v>110</v>
      </c>
      <c r="B211" t="s">
        <v>15</v>
      </c>
      <c r="C211" t="s">
        <v>21</v>
      </c>
      <c r="H211" s="11" t="s">
        <v>206</v>
      </c>
      <c r="I211" s="12">
        <v>11591</v>
      </c>
      <c r="J211" s="12">
        <v>8603</v>
      </c>
      <c r="K211" s="12">
        <v>13333</v>
      </c>
      <c r="L211" s="12">
        <v>13971</v>
      </c>
      <c r="M211" s="12">
        <v>15745</v>
      </c>
      <c r="N211" s="12">
        <v>11168</v>
      </c>
      <c r="O211" s="12">
        <v>10303</v>
      </c>
      <c r="P211" s="12">
        <v>9953</v>
      </c>
      <c r="Q211" s="12">
        <v>94667</v>
      </c>
      <c r="R211" s="15">
        <f t="shared" si="6"/>
        <v>0.18642735641485791</v>
      </c>
      <c r="S211" t="str">
        <f t="shared" si="7"/>
        <v>Y</v>
      </c>
    </row>
    <row r="212" spans="1:19">
      <c r="A212" s="11" t="s">
        <v>63</v>
      </c>
      <c r="B212" t="s">
        <v>15</v>
      </c>
      <c r="C212" t="s">
        <v>21</v>
      </c>
      <c r="H212" s="11" t="s">
        <v>110</v>
      </c>
      <c r="I212" s="12">
        <v>12199</v>
      </c>
      <c r="J212" s="12">
        <v>11841</v>
      </c>
      <c r="K212" s="12">
        <v>11661</v>
      </c>
      <c r="L212" s="12">
        <v>11331</v>
      </c>
      <c r="M212" s="12">
        <v>11501</v>
      </c>
      <c r="N212" s="12">
        <v>11863</v>
      </c>
      <c r="O212" s="12">
        <v>11920</v>
      </c>
      <c r="P212" s="12">
        <v>12155</v>
      </c>
      <c r="Q212" s="12">
        <v>94471</v>
      </c>
      <c r="R212" s="15">
        <f t="shared" si="6"/>
        <v>2.3826547965030202E-2</v>
      </c>
      <c r="S212" t="str">
        <f t="shared" si="7"/>
        <v>X</v>
      </c>
    </row>
    <row r="213" spans="1:19">
      <c r="A213" s="11" t="s">
        <v>230</v>
      </c>
      <c r="B213" t="s">
        <v>15</v>
      </c>
      <c r="C213" t="s">
        <v>21</v>
      </c>
      <c r="H213" s="11" t="s">
        <v>63</v>
      </c>
      <c r="I213" s="12">
        <v>11664</v>
      </c>
      <c r="J213" s="12">
        <v>12235</v>
      </c>
      <c r="K213" s="12">
        <v>11787</v>
      </c>
      <c r="L213" s="12">
        <v>11309</v>
      </c>
      <c r="M213" s="12">
        <v>11692</v>
      </c>
      <c r="N213" s="12">
        <v>12067</v>
      </c>
      <c r="O213" s="12">
        <v>11538</v>
      </c>
      <c r="P213" s="12">
        <v>11936</v>
      </c>
      <c r="Q213" s="12">
        <v>94228</v>
      </c>
      <c r="R213" s="15">
        <f t="shared" si="6"/>
        <v>2.3546793153683073E-2</v>
      </c>
      <c r="S213" t="str">
        <f t="shared" si="7"/>
        <v>X</v>
      </c>
    </row>
    <row r="214" spans="1:19">
      <c r="A214" s="11" t="s">
        <v>87</v>
      </c>
      <c r="B214" t="s">
        <v>15</v>
      </c>
      <c r="C214" t="s">
        <v>20</v>
      </c>
      <c r="H214" s="11" t="s">
        <v>230</v>
      </c>
      <c r="I214" s="12">
        <v>11883</v>
      </c>
      <c r="J214" s="12">
        <v>12097</v>
      </c>
      <c r="K214" s="12">
        <v>11284</v>
      </c>
      <c r="L214" s="12">
        <v>11451</v>
      </c>
      <c r="M214" s="12">
        <v>11671</v>
      </c>
      <c r="N214" s="12">
        <v>11596</v>
      </c>
      <c r="O214" s="12">
        <v>12242</v>
      </c>
      <c r="P214" s="12">
        <v>11654</v>
      </c>
      <c r="Q214" s="12">
        <v>93878</v>
      </c>
      <c r="R214" s="15">
        <f t="shared" si="6"/>
        <v>2.5636568602235493E-2</v>
      </c>
      <c r="S214" t="str">
        <f t="shared" si="7"/>
        <v>X</v>
      </c>
    </row>
    <row r="215" spans="1:19">
      <c r="A215" s="11" t="s">
        <v>125</v>
      </c>
      <c r="B215" t="s">
        <v>15</v>
      </c>
      <c r="C215" t="s">
        <v>20</v>
      </c>
      <c r="H215" s="11" t="s">
        <v>87</v>
      </c>
      <c r="I215" s="12">
        <v>11165</v>
      </c>
      <c r="J215" s="12">
        <v>11322</v>
      </c>
      <c r="K215" s="12">
        <v>10163</v>
      </c>
      <c r="L215" s="12">
        <v>12839</v>
      </c>
      <c r="M215" s="12">
        <v>10315</v>
      </c>
      <c r="N215" s="12">
        <v>12160</v>
      </c>
      <c r="O215" s="12">
        <v>15636</v>
      </c>
      <c r="P215" s="12">
        <v>10226</v>
      </c>
      <c r="Q215" s="12">
        <v>93826</v>
      </c>
      <c r="R215" s="15">
        <f t="shared" si="6"/>
        <v>0.14730306244485175</v>
      </c>
      <c r="S215" t="str">
        <f t="shared" si="7"/>
        <v>Y</v>
      </c>
    </row>
    <row r="216" spans="1:19">
      <c r="A216" s="11" t="s">
        <v>118</v>
      </c>
      <c r="B216" t="s">
        <v>15</v>
      </c>
      <c r="C216" t="s">
        <v>21</v>
      </c>
      <c r="H216" s="11" t="s">
        <v>125</v>
      </c>
      <c r="I216" s="12">
        <v>10652</v>
      </c>
      <c r="J216" s="12">
        <v>14732</v>
      </c>
      <c r="K216" s="12">
        <v>13131</v>
      </c>
      <c r="L216" s="12">
        <v>11091</v>
      </c>
      <c r="M216" s="12">
        <v>10062</v>
      </c>
      <c r="N216" s="12">
        <v>10814</v>
      </c>
      <c r="O216" s="12">
        <v>12257</v>
      </c>
      <c r="P216" s="12">
        <v>10986</v>
      </c>
      <c r="Q216" s="12">
        <v>93725</v>
      </c>
      <c r="R216" s="15">
        <f t="shared" si="6"/>
        <v>0.12441255446455857</v>
      </c>
      <c r="S216" t="str">
        <f t="shared" si="7"/>
        <v>Y</v>
      </c>
    </row>
    <row r="217" spans="1:19">
      <c r="A217" s="11" t="s">
        <v>265</v>
      </c>
      <c r="B217" t="s">
        <v>15</v>
      </c>
      <c r="C217" t="s">
        <v>21</v>
      </c>
      <c r="H217" s="11" t="s">
        <v>118</v>
      </c>
      <c r="I217" s="12">
        <v>11899</v>
      </c>
      <c r="J217" s="12">
        <v>11858</v>
      </c>
      <c r="K217" s="12">
        <v>12194</v>
      </c>
      <c r="L217" s="12">
        <v>11698</v>
      </c>
      <c r="M217" s="12">
        <v>11562</v>
      </c>
      <c r="N217" s="12">
        <v>11180</v>
      </c>
      <c r="O217" s="12">
        <v>11978</v>
      </c>
      <c r="P217" s="12">
        <v>11312</v>
      </c>
      <c r="Q217" s="12">
        <v>93681</v>
      </c>
      <c r="R217" s="15">
        <f t="shared" si="6"/>
        <v>2.7424291675598657E-2</v>
      </c>
      <c r="S217" t="str">
        <f t="shared" si="7"/>
        <v>X</v>
      </c>
    </row>
    <row r="218" spans="1:19">
      <c r="A218" s="11" t="s">
        <v>162</v>
      </c>
      <c r="B218" t="s">
        <v>15</v>
      </c>
      <c r="C218" t="s">
        <v>21</v>
      </c>
      <c r="H218" s="11" t="s">
        <v>265</v>
      </c>
      <c r="I218" s="12">
        <v>11760</v>
      </c>
      <c r="J218" s="12">
        <v>11188</v>
      </c>
      <c r="K218" s="12">
        <v>11796</v>
      </c>
      <c r="L218" s="12">
        <v>11163</v>
      </c>
      <c r="M218" s="12">
        <v>11934</v>
      </c>
      <c r="N218" s="12">
        <v>11657</v>
      </c>
      <c r="O218" s="12">
        <v>11808</v>
      </c>
      <c r="P218" s="12">
        <v>11738</v>
      </c>
      <c r="Q218" s="12">
        <v>93044</v>
      </c>
      <c r="R218" s="15">
        <f t="shared" si="6"/>
        <v>2.3436676274345918E-2</v>
      </c>
      <c r="S218" t="str">
        <f t="shared" si="7"/>
        <v>X</v>
      </c>
    </row>
    <row r="219" spans="1:19">
      <c r="A219" s="11" t="s">
        <v>173</v>
      </c>
      <c r="B219" t="s">
        <v>15</v>
      </c>
      <c r="C219" t="s">
        <v>19</v>
      </c>
      <c r="H219" s="11" t="s">
        <v>162</v>
      </c>
      <c r="I219" s="12">
        <v>11234</v>
      </c>
      <c r="J219" s="12">
        <v>12075</v>
      </c>
      <c r="K219" s="12">
        <v>11703</v>
      </c>
      <c r="L219" s="12">
        <v>11846</v>
      </c>
      <c r="M219" s="12">
        <v>11518</v>
      </c>
      <c r="N219" s="12">
        <v>11450</v>
      </c>
      <c r="O219" s="12">
        <v>11482</v>
      </c>
      <c r="P219" s="12">
        <v>11545</v>
      </c>
      <c r="Q219" s="12">
        <v>92853</v>
      </c>
      <c r="R219" s="15">
        <f t="shared" si="6"/>
        <v>2.1027769541713481E-2</v>
      </c>
      <c r="S219" t="str">
        <f t="shared" si="7"/>
        <v>X</v>
      </c>
    </row>
    <row r="220" spans="1:19">
      <c r="A220" s="11" t="s">
        <v>122</v>
      </c>
      <c r="B220" t="s">
        <v>15</v>
      </c>
      <c r="C220" t="s">
        <v>19</v>
      </c>
      <c r="H220" s="11" t="s">
        <v>173</v>
      </c>
      <c r="I220" s="12">
        <v>5200</v>
      </c>
      <c r="J220" s="12">
        <v>5200</v>
      </c>
      <c r="K220" s="12">
        <v>6582</v>
      </c>
      <c r="L220" s="12">
        <v>21578</v>
      </c>
      <c r="M220" s="12">
        <v>20319</v>
      </c>
      <c r="N220" s="12">
        <v>5200</v>
      </c>
      <c r="O220" s="12">
        <v>22978</v>
      </c>
      <c r="P220" s="12">
        <v>5200</v>
      </c>
      <c r="Q220" s="12">
        <v>92257</v>
      </c>
      <c r="R220" s="15">
        <f t="shared" si="6"/>
        <v>0.68142741171585064</v>
      </c>
      <c r="S220" t="str">
        <f t="shared" si="7"/>
        <v>Z</v>
      </c>
    </row>
    <row r="221" spans="1:19">
      <c r="A221" s="11" t="s">
        <v>154</v>
      </c>
      <c r="B221" t="s">
        <v>15</v>
      </c>
      <c r="C221" t="s">
        <v>21</v>
      </c>
      <c r="H221" s="11" t="s">
        <v>122</v>
      </c>
      <c r="I221" s="12">
        <v>6843</v>
      </c>
      <c r="J221" s="12">
        <v>11759</v>
      </c>
      <c r="K221" s="12">
        <v>36169</v>
      </c>
      <c r="L221" s="12">
        <v>7178</v>
      </c>
      <c r="M221" s="12">
        <v>5821</v>
      </c>
      <c r="N221" s="12">
        <v>7310</v>
      </c>
      <c r="O221" s="12">
        <v>11160</v>
      </c>
      <c r="P221" s="12">
        <v>5200</v>
      </c>
      <c r="Q221" s="12">
        <v>91440</v>
      </c>
      <c r="R221" s="15">
        <f t="shared" si="6"/>
        <v>0.84062804980910022</v>
      </c>
      <c r="S221" t="str">
        <f t="shared" si="7"/>
        <v>Z</v>
      </c>
    </row>
    <row r="222" spans="1:19">
      <c r="A222" s="11" t="s">
        <v>62</v>
      </c>
      <c r="B222" t="s">
        <v>15</v>
      </c>
      <c r="C222" t="s">
        <v>20</v>
      </c>
      <c r="H222" s="11" t="s">
        <v>154</v>
      </c>
      <c r="I222" s="12">
        <v>10903</v>
      </c>
      <c r="J222" s="12">
        <v>11226</v>
      </c>
      <c r="K222" s="12">
        <v>11092</v>
      </c>
      <c r="L222" s="12">
        <v>10932</v>
      </c>
      <c r="M222" s="12">
        <v>11866</v>
      </c>
      <c r="N222" s="12">
        <v>11627</v>
      </c>
      <c r="O222" s="12">
        <v>11873</v>
      </c>
      <c r="P222" s="12">
        <v>11595</v>
      </c>
      <c r="Q222" s="12">
        <v>91114</v>
      </c>
      <c r="R222" s="15">
        <f t="shared" si="6"/>
        <v>3.2862616930398506E-2</v>
      </c>
      <c r="S222" t="str">
        <f t="shared" si="7"/>
        <v>X</v>
      </c>
    </row>
    <row r="223" spans="1:19">
      <c r="A223" s="11" t="s">
        <v>68</v>
      </c>
      <c r="B223" t="s">
        <v>15</v>
      </c>
      <c r="C223" t="s">
        <v>19</v>
      </c>
      <c r="H223" s="11" t="s">
        <v>62</v>
      </c>
      <c r="I223" s="12">
        <v>11340</v>
      </c>
      <c r="J223" s="12">
        <v>9281</v>
      </c>
      <c r="K223" s="12">
        <v>8734</v>
      </c>
      <c r="L223" s="12">
        <v>12208</v>
      </c>
      <c r="M223" s="12">
        <v>13841</v>
      </c>
      <c r="N223" s="12">
        <v>13253</v>
      </c>
      <c r="O223" s="12">
        <v>9808</v>
      </c>
      <c r="P223" s="12">
        <v>12446</v>
      </c>
      <c r="Q223" s="12">
        <v>90911</v>
      </c>
      <c r="R223" s="15">
        <f t="shared" si="6"/>
        <v>0.15638069768825621</v>
      </c>
      <c r="S223" t="str">
        <f t="shared" si="7"/>
        <v>Y</v>
      </c>
    </row>
    <row r="224" spans="1:19">
      <c r="A224" s="11" t="s">
        <v>119</v>
      </c>
      <c r="B224" t="s">
        <v>15</v>
      </c>
      <c r="C224" t="s">
        <v>19</v>
      </c>
      <c r="H224" s="11" t="s">
        <v>68</v>
      </c>
      <c r="I224" s="12">
        <v>8474</v>
      </c>
      <c r="J224" s="12">
        <v>9880</v>
      </c>
      <c r="K224" s="12">
        <v>5200</v>
      </c>
      <c r="L224" s="12">
        <v>5200</v>
      </c>
      <c r="M224" s="12">
        <v>24100</v>
      </c>
      <c r="N224" s="12">
        <v>5200</v>
      </c>
      <c r="O224" s="12">
        <v>9170</v>
      </c>
      <c r="P224" s="12">
        <v>23365</v>
      </c>
      <c r="Q224" s="12">
        <v>90589</v>
      </c>
      <c r="R224" s="15">
        <f t="shared" si="6"/>
        <v>0.6516256585180108</v>
      </c>
      <c r="S224" t="str">
        <f t="shared" si="7"/>
        <v>Z</v>
      </c>
    </row>
    <row r="225" spans="1:19">
      <c r="A225" s="11" t="s">
        <v>253</v>
      </c>
      <c r="B225" t="s">
        <v>15</v>
      </c>
      <c r="C225" t="s">
        <v>19</v>
      </c>
      <c r="H225" s="11" t="s">
        <v>119</v>
      </c>
      <c r="I225" s="12">
        <v>5200</v>
      </c>
      <c r="J225" s="12">
        <v>9339</v>
      </c>
      <c r="K225" s="12">
        <v>5200</v>
      </c>
      <c r="L225" s="12">
        <v>5200</v>
      </c>
      <c r="M225" s="12">
        <v>11110</v>
      </c>
      <c r="N225" s="12">
        <v>23606</v>
      </c>
      <c r="O225" s="12">
        <v>8524</v>
      </c>
      <c r="P225" s="12">
        <v>21589</v>
      </c>
      <c r="Q225" s="12">
        <v>89768</v>
      </c>
      <c r="R225" s="15">
        <f t="shared" si="6"/>
        <v>0.61458661480246035</v>
      </c>
      <c r="S225" t="str">
        <f t="shared" si="7"/>
        <v>Z</v>
      </c>
    </row>
    <row r="226" spans="1:19">
      <c r="A226" s="11" t="s">
        <v>229</v>
      </c>
      <c r="B226" t="s">
        <v>15</v>
      </c>
      <c r="C226" t="s">
        <v>21</v>
      </c>
      <c r="H226" s="11" t="s">
        <v>253</v>
      </c>
      <c r="I226" s="12">
        <v>5200</v>
      </c>
      <c r="J226" s="12">
        <v>21602</v>
      </c>
      <c r="K226" s="12">
        <v>7664</v>
      </c>
      <c r="L226" s="12">
        <v>5200</v>
      </c>
      <c r="M226" s="12">
        <v>17021</v>
      </c>
      <c r="N226" s="12">
        <v>5200</v>
      </c>
      <c r="O226" s="12">
        <v>22400</v>
      </c>
      <c r="P226" s="12">
        <v>5200</v>
      </c>
      <c r="Q226" s="12">
        <v>89487</v>
      </c>
      <c r="R226" s="15">
        <f t="shared" si="6"/>
        <v>0.65085160009487986</v>
      </c>
      <c r="S226" t="str">
        <f t="shared" si="7"/>
        <v>Z</v>
      </c>
    </row>
    <row r="227" spans="1:19">
      <c r="A227" s="11" t="s">
        <v>112</v>
      </c>
      <c r="B227" t="s">
        <v>15</v>
      </c>
      <c r="C227" t="s">
        <v>21</v>
      </c>
      <c r="H227" s="11" t="s">
        <v>229</v>
      </c>
      <c r="I227" s="12">
        <v>10783</v>
      </c>
      <c r="J227" s="12">
        <v>11194</v>
      </c>
      <c r="K227" s="12">
        <v>11414</v>
      </c>
      <c r="L227" s="12">
        <v>11597</v>
      </c>
      <c r="M227" s="12">
        <v>10837</v>
      </c>
      <c r="N227" s="12">
        <v>10789</v>
      </c>
      <c r="O227" s="12">
        <v>11472</v>
      </c>
      <c r="P227" s="12">
        <v>11291</v>
      </c>
      <c r="Q227" s="12">
        <v>89377</v>
      </c>
      <c r="R227" s="15">
        <f t="shared" si="6"/>
        <v>2.7480506174875744E-2</v>
      </c>
      <c r="S227" t="str">
        <f t="shared" si="7"/>
        <v>X</v>
      </c>
    </row>
    <row r="228" spans="1:19">
      <c r="A228" s="11" t="s">
        <v>169</v>
      </c>
      <c r="B228" t="s">
        <v>15</v>
      </c>
      <c r="C228" t="s">
        <v>21</v>
      </c>
      <c r="H228" s="11" t="s">
        <v>112</v>
      </c>
      <c r="I228" s="12">
        <v>11328</v>
      </c>
      <c r="J228" s="12">
        <v>10983</v>
      </c>
      <c r="K228" s="12">
        <v>11113</v>
      </c>
      <c r="L228" s="12">
        <v>11371</v>
      </c>
      <c r="M228" s="12">
        <v>11250</v>
      </c>
      <c r="N228" s="12">
        <v>11033</v>
      </c>
      <c r="O228" s="12">
        <v>10763</v>
      </c>
      <c r="P228" s="12">
        <v>11010</v>
      </c>
      <c r="Q228" s="12">
        <v>88851</v>
      </c>
      <c r="R228" s="15">
        <f t="shared" si="6"/>
        <v>1.7072184678519196E-2</v>
      </c>
      <c r="S228" t="str">
        <f t="shared" si="7"/>
        <v>X</v>
      </c>
    </row>
    <row r="229" spans="1:19">
      <c r="A229" s="11" t="s">
        <v>271</v>
      </c>
      <c r="B229" t="s">
        <v>15</v>
      </c>
      <c r="C229" t="s">
        <v>19</v>
      </c>
      <c r="H229" s="11" t="s">
        <v>169</v>
      </c>
      <c r="I229" s="12">
        <v>11063</v>
      </c>
      <c r="J229" s="12">
        <v>10479</v>
      </c>
      <c r="K229" s="12">
        <v>10519</v>
      </c>
      <c r="L229" s="12">
        <v>10560</v>
      </c>
      <c r="M229" s="12">
        <v>10622</v>
      </c>
      <c r="N229" s="12">
        <v>10996</v>
      </c>
      <c r="O229" s="12">
        <v>10501</v>
      </c>
      <c r="P229" s="12">
        <v>11198</v>
      </c>
      <c r="Q229" s="12">
        <v>85938</v>
      </c>
      <c r="R229" s="15">
        <f t="shared" si="6"/>
        <v>2.5493751473933499E-2</v>
      </c>
      <c r="S229" t="str">
        <f t="shared" si="7"/>
        <v>X</v>
      </c>
    </row>
    <row r="230" spans="1:19">
      <c r="A230" s="11" t="s">
        <v>51</v>
      </c>
      <c r="B230" t="s">
        <v>15</v>
      </c>
      <c r="C230" t="s">
        <v>19</v>
      </c>
      <c r="H230" s="11" t="s">
        <v>271</v>
      </c>
      <c r="I230" s="12">
        <v>5200</v>
      </c>
      <c r="J230" s="12">
        <v>23790</v>
      </c>
      <c r="K230" s="12">
        <v>10955</v>
      </c>
      <c r="L230" s="12">
        <v>5200</v>
      </c>
      <c r="M230" s="12">
        <v>9922</v>
      </c>
      <c r="N230" s="12">
        <v>5200</v>
      </c>
      <c r="O230" s="12">
        <v>19649</v>
      </c>
      <c r="P230" s="12">
        <v>5200</v>
      </c>
      <c r="Q230" s="12">
        <v>85116</v>
      </c>
      <c r="R230" s="15">
        <f t="shared" si="6"/>
        <v>0.64184641684256505</v>
      </c>
      <c r="S230" t="str">
        <f t="shared" si="7"/>
        <v>Z</v>
      </c>
    </row>
    <row r="231" spans="1:19">
      <c r="A231" s="11" t="s">
        <v>236</v>
      </c>
      <c r="B231" t="s">
        <v>15</v>
      </c>
      <c r="C231" t="s">
        <v>20</v>
      </c>
      <c r="H231" s="11" t="s">
        <v>51</v>
      </c>
      <c r="I231" s="12">
        <v>5200</v>
      </c>
      <c r="J231" s="12">
        <v>20654</v>
      </c>
      <c r="K231" s="12">
        <v>8019</v>
      </c>
      <c r="L231" s="12">
        <v>20525</v>
      </c>
      <c r="M231" s="12">
        <v>9752</v>
      </c>
      <c r="N231" s="12">
        <v>6043</v>
      </c>
      <c r="O231" s="12">
        <v>7671</v>
      </c>
      <c r="P231" s="12">
        <v>7196</v>
      </c>
      <c r="Q231" s="12">
        <v>85060</v>
      </c>
      <c r="R231" s="15">
        <f t="shared" si="6"/>
        <v>0.55347912928886811</v>
      </c>
      <c r="S231" t="str">
        <f t="shared" si="7"/>
        <v>Z</v>
      </c>
    </row>
    <row r="232" spans="1:19">
      <c r="A232" s="11" t="s">
        <v>279</v>
      </c>
      <c r="B232" t="s">
        <v>15</v>
      </c>
      <c r="C232" t="s">
        <v>20</v>
      </c>
      <c r="H232" s="11" t="s">
        <v>236</v>
      </c>
      <c r="I232" s="12">
        <v>8679</v>
      </c>
      <c r="J232" s="12">
        <v>9286</v>
      </c>
      <c r="K232" s="12">
        <v>10662</v>
      </c>
      <c r="L232" s="12">
        <v>10815</v>
      </c>
      <c r="M232" s="12">
        <v>10615</v>
      </c>
      <c r="N232" s="12">
        <v>12253</v>
      </c>
      <c r="O232" s="12">
        <v>10245</v>
      </c>
      <c r="P232" s="12">
        <v>12012</v>
      </c>
      <c r="Q232" s="12">
        <v>84567</v>
      </c>
      <c r="R232" s="15">
        <f t="shared" si="6"/>
        <v>0.10740550257317086</v>
      </c>
      <c r="S232" t="str">
        <f t="shared" si="7"/>
        <v>Y</v>
      </c>
    </row>
    <row r="233" spans="1:19">
      <c r="A233" s="11" t="s">
        <v>232</v>
      </c>
      <c r="B233" t="s">
        <v>15</v>
      </c>
      <c r="C233" t="s">
        <v>20</v>
      </c>
      <c r="H233" s="11" t="s">
        <v>279</v>
      </c>
      <c r="I233" s="12">
        <v>8376</v>
      </c>
      <c r="J233" s="12">
        <v>10108</v>
      </c>
      <c r="K233" s="12">
        <v>13835</v>
      </c>
      <c r="L233" s="12">
        <v>11691</v>
      </c>
      <c r="M233" s="12">
        <v>8044</v>
      </c>
      <c r="N233" s="12">
        <v>13729</v>
      </c>
      <c r="O233" s="12">
        <v>8850</v>
      </c>
      <c r="P233" s="12">
        <v>9411</v>
      </c>
      <c r="Q233" s="12">
        <v>84044</v>
      </c>
      <c r="R233" s="15">
        <f t="shared" si="6"/>
        <v>0.20628715276187209</v>
      </c>
      <c r="S233" t="str">
        <f t="shared" si="7"/>
        <v>Y</v>
      </c>
    </row>
    <row r="234" spans="1:19">
      <c r="A234" s="11" t="s">
        <v>56</v>
      </c>
      <c r="B234" t="s">
        <v>15</v>
      </c>
      <c r="C234" t="s">
        <v>19</v>
      </c>
      <c r="H234" s="11" t="s">
        <v>232</v>
      </c>
      <c r="I234" s="12">
        <v>10033</v>
      </c>
      <c r="J234" s="12">
        <v>13345</v>
      </c>
      <c r="K234" s="12">
        <v>7858</v>
      </c>
      <c r="L234" s="12">
        <v>11221</v>
      </c>
      <c r="M234" s="12">
        <v>7905</v>
      </c>
      <c r="N234" s="12">
        <v>11530</v>
      </c>
      <c r="O234" s="12">
        <v>13546</v>
      </c>
      <c r="P234" s="12">
        <v>8133</v>
      </c>
      <c r="Q234" s="12">
        <v>83571</v>
      </c>
      <c r="R234" s="15">
        <f t="shared" si="6"/>
        <v>0.20990432231499614</v>
      </c>
      <c r="S234" t="str">
        <f t="shared" si="7"/>
        <v>Y</v>
      </c>
    </row>
    <row r="235" spans="1:19">
      <c r="A235" s="11" t="s">
        <v>258</v>
      </c>
      <c r="B235" t="s">
        <v>15</v>
      </c>
      <c r="C235" t="s">
        <v>19</v>
      </c>
      <c r="H235" s="11" t="s">
        <v>56</v>
      </c>
      <c r="I235" s="12">
        <v>6349</v>
      </c>
      <c r="J235" s="12">
        <v>28114</v>
      </c>
      <c r="K235" s="12">
        <v>13193</v>
      </c>
      <c r="L235" s="12">
        <v>5200</v>
      </c>
      <c r="M235" s="12">
        <v>5854</v>
      </c>
      <c r="N235" s="12">
        <v>9601</v>
      </c>
      <c r="O235" s="12">
        <v>6034</v>
      </c>
      <c r="P235" s="12">
        <v>8213</v>
      </c>
      <c r="Q235" s="12">
        <v>82558</v>
      </c>
      <c r="R235" s="15">
        <f t="shared" si="6"/>
        <v>0.69382402653715969</v>
      </c>
      <c r="S235" t="str">
        <f t="shared" si="7"/>
        <v>Z</v>
      </c>
    </row>
    <row r="236" spans="1:19">
      <c r="A236" s="11" t="s">
        <v>121</v>
      </c>
      <c r="B236" t="s">
        <v>15</v>
      </c>
      <c r="C236" t="s">
        <v>19</v>
      </c>
      <c r="H236" s="11" t="s">
        <v>258</v>
      </c>
      <c r="I236" s="12">
        <v>24397</v>
      </c>
      <c r="J236" s="12">
        <v>7726</v>
      </c>
      <c r="K236" s="12">
        <v>5200</v>
      </c>
      <c r="L236" s="12">
        <v>5200</v>
      </c>
      <c r="M236" s="12">
        <v>5200</v>
      </c>
      <c r="N236" s="12">
        <v>21728</v>
      </c>
      <c r="O236" s="12">
        <v>5200</v>
      </c>
      <c r="P236" s="12">
        <v>5652</v>
      </c>
      <c r="Q236" s="12">
        <v>80303</v>
      </c>
      <c r="R236" s="15">
        <f t="shared" si="6"/>
        <v>0.75628336939394147</v>
      </c>
      <c r="S236" t="str">
        <f t="shared" si="7"/>
        <v>Z</v>
      </c>
    </row>
    <row r="237" spans="1:19">
      <c r="A237" s="11" t="s">
        <v>163</v>
      </c>
      <c r="B237" t="s">
        <v>15</v>
      </c>
      <c r="C237" t="s">
        <v>19</v>
      </c>
      <c r="H237" s="11" t="s">
        <v>121</v>
      </c>
      <c r="I237" s="12">
        <v>5200</v>
      </c>
      <c r="J237" s="12">
        <v>5200</v>
      </c>
      <c r="K237" s="12">
        <v>25506</v>
      </c>
      <c r="L237" s="12">
        <v>9100</v>
      </c>
      <c r="M237" s="12">
        <v>5200</v>
      </c>
      <c r="N237" s="12">
        <v>5200</v>
      </c>
      <c r="O237" s="12">
        <v>8752</v>
      </c>
      <c r="P237" s="12">
        <v>10903</v>
      </c>
      <c r="Q237" s="12">
        <v>75061</v>
      </c>
      <c r="R237" s="15">
        <f t="shared" si="6"/>
        <v>0.68734765259528396</v>
      </c>
      <c r="S237" t="str">
        <f t="shared" si="7"/>
        <v>Z</v>
      </c>
    </row>
    <row r="238" spans="1:19">
      <c r="A238" s="11" t="s">
        <v>268</v>
      </c>
      <c r="B238" t="s">
        <v>15</v>
      </c>
      <c r="C238" t="s">
        <v>19</v>
      </c>
      <c r="H238" s="11" t="s">
        <v>163</v>
      </c>
      <c r="I238" s="12">
        <v>5200</v>
      </c>
      <c r="J238" s="12">
        <v>5200</v>
      </c>
      <c r="K238" s="12">
        <v>5200</v>
      </c>
      <c r="L238" s="12">
        <v>5200</v>
      </c>
      <c r="M238" s="12">
        <v>5200</v>
      </c>
      <c r="N238" s="12">
        <v>5200</v>
      </c>
      <c r="O238" s="12">
        <v>22056</v>
      </c>
      <c r="P238" s="12">
        <v>19216</v>
      </c>
      <c r="Q238" s="12">
        <v>72472</v>
      </c>
      <c r="R238" s="15">
        <f t="shared" si="6"/>
        <v>0.74197900797471861</v>
      </c>
      <c r="S238" t="str">
        <f t="shared" si="7"/>
        <v>Z</v>
      </c>
    </row>
    <row r="239" spans="1:19">
      <c r="C239" t="s">
        <v>21</v>
      </c>
      <c r="H239" s="11" t="s">
        <v>268</v>
      </c>
      <c r="I239" s="12">
        <v>5200</v>
      </c>
      <c r="J239" s="12">
        <v>5200</v>
      </c>
      <c r="K239" s="12">
        <v>5200</v>
      </c>
      <c r="L239" s="12">
        <v>9780</v>
      </c>
      <c r="M239" s="12">
        <v>5200</v>
      </c>
      <c r="N239" s="12">
        <v>5200</v>
      </c>
      <c r="O239" s="12">
        <v>20111</v>
      </c>
      <c r="P239" s="12">
        <v>6181</v>
      </c>
      <c r="Q239" s="12">
        <v>62072</v>
      </c>
      <c r="R239" s="15">
        <f t="shared" si="6"/>
        <v>0.63121034297930034</v>
      </c>
      <c r="S239" t="str">
        <f t="shared" si="7"/>
        <v>Z</v>
      </c>
    </row>
    <row r="240" spans="1:19">
      <c r="H240" s="11" t="s">
        <v>285</v>
      </c>
      <c r="I240" s="12">
        <v>9141728</v>
      </c>
      <c r="J240" s="12">
        <v>9161040</v>
      </c>
      <c r="K240" s="12">
        <v>9516693</v>
      </c>
      <c r="L240" s="12">
        <v>9065090</v>
      </c>
      <c r="M240" s="12">
        <v>9591652</v>
      </c>
      <c r="N240" s="12">
        <v>9206338</v>
      </c>
      <c r="O240" s="12">
        <v>9441176</v>
      </c>
      <c r="P240" s="12">
        <v>9315366</v>
      </c>
      <c r="Q240" s="12">
        <v>74439083</v>
      </c>
      <c r="R240" s="15">
        <f t="shared" si="6"/>
        <v>1.9385970495118254E-2</v>
      </c>
      <c r="S240" t="str">
        <f t="shared" si="7"/>
        <v>X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1D79-2687-4DDE-97BA-646B89C5C81E}">
  <dimension ref="A1:K239"/>
  <sheetViews>
    <sheetView workbookViewId="0">
      <selection activeCell="A2" sqref="A2:K1048576"/>
    </sheetView>
  </sheetViews>
  <sheetFormatPr defaultRowHeight="15"/>
  <cols>
    <col min="1" max="1" width="33.140625" customWidth="1"/>
    <col min="2" max="2" width="20.85546875" bestFit="1" customWidth="1"/>
    <col min="3" max="9" width="8" bestFit="1" customWidth="1"/>
    <col min="10" max="10" width="10.7109375" customWidth="1"/>
    <col min="12" max="12" width="33.5703125" customWidth="1"/>
  </cols>
  <sheetData>
    <row r="1" spans="1:11">
      <c r="A1" t="s">
        <v>298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299</v>
      </c>
      <c r="K1" t="s">
        <v>18</v>
      </c>
    </row>
    <row r="2" spans="1:11">
      <c r="A2" s="11" t="s">
        <v>74</v>
      </c>
      <c r="B2" s="12">
        <v>130728</v>
      </c>
      <c r="C2" s="12">
        <v>236463</v>
      </c>
      <c r="D2" s="12">
        <v>286103</v>
      </c>
      <c r="E2" s="12">
        <v>95959</v>
      </c>
      <c r="F2" s="12">
        <v>273948</v>
      </c>
      <c r="G2" s="12">
        <v>37731</v>
      </c>
      <c r="H2" s="12">
        <v>226890</v>
      </c>
      <c r="I2" s="12">
        <v>128512</v>
      </c>
      <c r="J2" t="s">
        <v>13</v>
      </c>
      <c r="K2" t="s">
        <v>19</v>
      </c>
    </row>
    <row r="3" spans="1:11">
      <c r="A3" s="11" t="s">
        <v>159</v>
      </c>
      <c r="B3" s="12">
        <v>105877</v>
      </c>
      <c r="C3" s="12">
        <v>355725</v>
      </c>
      <c r="D3" s="12">
        <v>295403</v>
      </c>
      <c r="E3" s="12">
        <v>136486</v>
      </c>
      <c r="F3" s="12">
        <v>50753</v>
      </c>
      <c r="G3" s="12">
        <v>63301</v>
      </c>
      <c r="H3" s="12">
        <v>334894</v>
      </c>
      <c r="I3" s="12">
        <v>45493</v>
      </c>
      <c r="J3" t="s">
        <v>13</v>
      </c>
      <c r="K3" t="s">
        <v>19</v>
      </c>
    </row>
    <row r="4" spans="1:11">
      <c r="A4" s="11" t="s">
        <v>108</v>
      </c>
      <c r="B4" s="12">
        <v>169102</v>
      </c>
      <c r="C4" s="12">
        <v>196966</v>
      </c>
      <c r="D4" s="12">
        <v>139459</v>
      </c>
      <c r="E4" s="12">
        <v>177120</v>
      </c>
      <c r="F4" s="12">
        <v>184836</v>
      </c>
      <c r="G4" s="12">
        <v>166902</v>
      </c>
      <c r="H4" s="12">
        <v>145568</v>
      </c>
      <c r="I4" s="12">
        <v>151307</v>
      </c>
      <c r="J4" t="s">
        <v>13</v>
      </c>
      <c r="K4" t="s">
        <v>20</v>
      </c>
    </row>
    <row r="5" spans="1:11">
      <c r="A5" s="11" t="s">
        <v>133</v>
      </c>
      <c r="B5" s="12">
        <v>211636</v>
      </c>
      <c r="C5" s="12">
        <v>30490</v>
      </c>
      <c r="D5" s="12">
        <v>197476</v>
      </c>
      <c r="E5" s="12">
        <v>82485</v>
      </c>
      <c r="F5" s="12">
        <v>242676</v>
      </c>
      <c r="G5" s="12">
        <v>89540</v>
      </c>
      <c r="H5" s="12">
        <v>212049</v>
      </c>
      <c r="I5" s="12">
        <v>218590</v>
      </c>
      <c r="J5" t="s">
        <v>13</v>
      </c>
      <c r="K5" t="s">
        <v>19</v>
      </c>
    </row>
    <row r="6" spans="1:11">
      <c r="A6" s="11" t="s">
        <v>109</v>
      </c>
      <c r="B6" s="12">
        <v>157450</v>
      </c>
      <c r="C6" s="12">
        <v>155569</v>
      </c>
      <c r="D6" s="12">
        <v>152316</v>
      </c>
      <c r="E6" s="12">
        <v>153106</v>
      </c>
      <c r="F6" s="12">
        <v>153987</v>
      </c>
      <c r="G6" s="12">
        <v>160418</v>
      </c>
      <c r="H6" s="12">
        <v>158953</v>
      </c>
      <c r="I6" s="12">
        <v>152940</v>
      </c>
      <c r="J6" t="s">
        <v>13</v>
      </c>
      <c r="K6" t="s">
        <v>21</v>
      </c>
    </row>
    <row r="7" spans="1:11">
      <c r="A7" s="11" t="s">
        <v>84</v>
      </c>
      <c r="B7" s="12">
        <v>301051</v>
      </c>
      <c r="C7" s="12">
        <v>43950</v>
      </c>
      <c r="D7" s="12">
        <v>36063</v>
      </c>
      <c r="E7" s="12">
        <v>237377</v>
      </c>
      <c r="F7" s="12">
        <v>255939</v>
      </c>
      <c r="G7" s="12">
        <v>204030</v>
      </c>
      <c r="H7" s="12">
        <v>46386</v>
      </c>
      <c r="I7" s="12">
        <v>119785</v>
      </c>
      <c r="J7" t="s">
        <v>13</v>
      </c>
      <c r="K7" t="s">
        <v>19</v>
      </c>
    </row>
    <row r="8" spans="1:11">
      <c r="A8" s="11" t="s">
        <v>93</v>
      </c>
      <c r="B8" s="12">
        <v>217580</v>
      </c>
      <c r="C8" s="12">
        <v>108546</v>
      </c>
      <c r="D8" s="12">
        <v>76494</v>
      </c>
      <c r="E8" s="12">
        <v>74759</v>
      </c>
      <c r="F8" s="12">
        <v>200230</v>
      </c>
      <c r="G8" s="12">
        <v>73810</v>
      </c>
      <c r="H8" s="12">
        <v>205076</v>
      </c>
      <c r="I8" s="12">
        <v>247366</v>
      </c>
      <c r="J8" t="s">
        <v>13</v>
      </c>
      <c r="K8" t="s">
        <v>19</v>
      </c>
    </row>
    <row r="9" spans="1:11">
      <c r="A9" s="11" t="s">
        <v>251</v>
      </c>
      <c r="B9" s="12">
        <v>134375</v>
      </c>
      <c r="C9" s="12">
        <v>183477</v>
      </c>
      <c r="D9" s="12">
        <v>177917</v>
      </c>
      <c r="E9" s="12">
        <v>121428</v>
      </c>
      <c r="F9" s="12">
        <v>169078</v>
      </c>
      <c r="G9" s="12">
        <v>105832</v>
      </c>
      <c r="H9" s="12">
        <v>165602</v>
      </c>
      <c r="I9" s="12">
        <v>101023</v>
      </c>
      <c r="J9" t="s">
        <v>13</v>
      </c>
      <c r="K9" t="s">
        <v>20</v>
      </c>
    </row>
    <row r="10" spans="1:11">
      <c r="A10" s="11" t="s">
        <v>72</v>
      </c>
      <c r="B10" s="12">
        <v>146330</v>
      </c>
      <c r="C10" s="12">
        <v>147088</v>
      </c>
      <c r="D10" s="12">
        <v>144669</v>
      </c>
      <c r="E10" s="12">
        <v>138884</v>
      </c>
      <c r="F10" s="12">
        <v>144049</v>
      </c>
      <c r="G10" s="12">
        <v>146224</v>
      </c>
      <c r="H10" s="12">
        <v>143984</v>
      </c>
      <c r="I10" s="12">
        <v>147500</v>
      </c>
      <c r="J10" t="s">
        <v>13</v>
      </c>
      <c r="K10" t="s">
        <v>21</v>
      </c>
    </row>
    <row r="11" spans="1:11">
      <c r="A11" s="11" t="s">
        <v>97</v>
      </c>
      <c r="B11" s="12">
        <v>145098</v>
      </c>
      <c r="C11" s="12">
        <v>139525</v>
      </c>
      <c r="D11" s="12">
        <v>145161</v>
      </c>
      <c r="E11" s="12">
        <v>145167</v>
      </c>
      <c r="F11" s="12">
        <v>141327</v>
      </c>
      <c r="G11" s="12">
        <v>140648</v>
      </c>
      <c r="H11" s="12">
        <v>142149</v>
      </c>
      <c r="I11" s="12">
        <v>143023</v>
      </c>
      <c r="J11" t="s">
        <v>13</v>
      </c>
      <c r="K11" t="s">
        <v>21</v>
      </c>
    </row>
    <row r="12" spans="1:11">
      <c r="A12" s="11" t="s">
        <v>54</v>
      </c>
      <c r="B12" s="12">
        <v>134590</v>
      </c>
      <c r="C12" s="12">
        <v>138973</v>
      </c>
      <c r="D12" s="12">
        <v>139993</v>
      </c>
      <c r="E12" s="12">
        <v>135060</v>
      </c>
      <c r="F12" s="12">
        <v>140198</v>
      </c>
      <c r="G12" s="12">
        <v>136701</v>
      </c>
      <c r="H12" s="12">
        <v>138431</v>
      </c>
      <c r="I12" s="12">
        <v>137475</v>
      </c>
      <c r="J12" t="s">
        <v>13</v>
      </c>
      <c r="K12" t="s">
        <v>21</v>
      </c>
    </row>
    <row r="13" spans="1:11">
      <c r="A13" s="11" t="s">
        <v>277</v>
      </c>
      <c r="B13" s="12">
        <v>23888</v>
      </c>
      <c r="C13" s="12">
        <v>165036</v>
      </c>
      <c r="D13" s="12">
        <v>32906</v>
      </c>
      <c r="E13" s="12">
        <v>198319</v>
      </c>
      <c r="F13" s="12">
        <v>188123</v>
      </c>
      <c r="G13" s="12">
        <v>161296</v>
      </c>
      <c r="H13" s="12">
        <v>222477</v>
      </c>
      <c r="I13" s="12">
        <v>84130</v>
      </c>
      <c r="J13" t="s">
        <v>13</v>
      </c>
      <c r="K13" t="s">
        <v>19</v>
      </c>
    </row>
    <row r="14" spans="1:11">
      <c r="A14" s="11" t="s">
        <v>98</v>
      </c>
      <c r="B14" s="12">
        <v>112582</v>
      </c>
      <c r="C14" s="12">
        <v>102164</v>
      </c>
      <c r="D14" s="12">
        <v>155967</v>
      </c>
      <c r="E14" s="12">
        <v>120652</v>
      </c>
      <c r="F14" s="12">
        <v>105806</v>
      </c>
      <c r="G14" s="12">
        <v>179051</v>
      </c>
      <c r="H14" s="12">
        <v>130975</v>
      </c>
      <c r="I14" s="12">
        <v>167377</v>
      </c>
      <c r="J14" t="s">
        <v>13</v>
      </c>
      <c r="K14" t="s">
        <v>20</v>
      </c>
    </row>
    <row r="15" spans="1:11">
      <c r="A15" s="11" t="s">
        <v>107</v>
      </c>
      <c r="B15" s="12">
        <v>157895</v>
      </c>
      <c r="C15" s="12">
        <v>174828</v>
      </c>
      <c r="D15" s="12">
        <v>25666</v>
      </c>
      <c r="E15" s="12">
        <v>172912</v>
      </c>
      <c r="F15" s="12">
        <v>58834</v>
      </c>
      <c r="G15" s="12">
        <v>205205</v>
      </c>
      <c r="H15" s="12">
        <v>56632</v>
      </c>
      <c r="I15" s="12">
        <v>222102</v>
      </c>
      <c r="J15" t="s">
        <v>13</v>
      </c>
      <c r="K15" t="s">
        <v>19</v>
      </c>
    </row>
    <row r="16" spans="1:11">
      <c r="A16" s="11" t="s">
        <v>92</v>
      </c>
      <c r="B16" s="12">
        <v>126605</v>
      </c>
      <c r="C16" s="12">
        <v>125252</v>
      </c>
      <c r="D16" s="12">
        <v>131843</v>
      </c>
      <c r="E16" s="12">
        <v>131957</v>
      </c>
      <c r="F16" s="12">
        <v>129881</v>
      </c>
      <c r="G16" s="12">
        <v>136681</v>
      </c>
      <c r="H16" s="12">
        <v>129338</v>
      </c>
      <c r="I16" s="12">
        <v>126114</v>
      </c>
      <c r="J16" t="s">
        <v>13</v>
      </c>
      <c r="K16" t="s">
        <v>21</v>
      </c>
    </row>
    <row r="17" spans="1:11">
      <c r="A17" s="11" t="s">
        <v>204</v>
      </c>
      <c r="B17" s="12">
        <v>126994</v>
      </c>
      <c r="C17" s="12">
        <v>127269</v>
      </c>
      <c r="D17" s="12">
        <v>117992</v>
      </c>
      <c r="E17" s="12">
        <v>119303</v>
      </c>
      <c r="F17" s="12">
        <v>124751</v>
      </c>
      <c r="G17" s="12">
        <v>122833</v>
      </c>
      <c r="H17" s="12">
        <v>126323</v>
      </c>
      <c r="I17" s="12">
        <v>124048</v>
      </c>
      <c r="J17" t="s">
        <v>13</v>
      </c>
      <c r="K17" t="s">
        <v>21</v>
      </c>
    </row>
    <row r="18" spans="1:11">
      <c r="A18" s="11" t="s">
        <v>123</v>
      </c>
      <c r="B18" s="12">
        <v>115315</v>
      </c>
      <c r="C18" s="12">
        <v>112197</v>
      </c>
      <c r="D18" s="12">
        <v>119596</v>
      </c>
      <c r="E18" s="12">
        <v>112638</v>
      </c>
      <c r="F18" s="12">
        <v>116769</v>
      </c>
      <c r="G18" s="12">
        <v>113243</v>
      </c>
      <c r="H18" s="12">
        <v>119227</v>
      </c>
      <c r="I18" s="12">
        <v>116809</v>
      </c>
      <c r="J18" t="s">
        <v>13</v>
      </c>
      <c r="K18" t="s">
        <v>21</v>
      </c>
    </row>
    <row r="19" spans="1:11">
      <c r="A19" s="11" t="s">
        <v>106</v>
      </c>
      <c r="B19" s="12">
        <v>70719</v>
      </c>
      <c r="C19" s="12">
        <v>48284</v>
      </c>
      <c r="D19" s="12">
        <v>49683</v>
      </c>
      <c r="E19" s="12">
        <v>166019</v>
      </c>
      <c r="F19" s="12">
        <v>136536</v>
      </c>
      <c r="G19" s="12">
        <v>166050</v>
      </c>
      <c r="H19" s="12">
        <v>122081</v>
      </c>
      <c r="I19" s="12">
        <v>136941</v>
      </c>
      <c r="J19" t="s">
        <v>13</v>
      </c>
      <c r="K19" t="s">
        <v>19</v>
      </c>
    </row>
    <row r="20" spans="1:11">
      <c r="A20" s="11" t="s">
        <v>172</v>
      </c>
      <c r="B20" s="12">
        <v>117937</v>
      </c>
      <c r="C20" s="12">
        <v>124879</v>
      </c>
      <c r="D20" s="12">
        <v>104705</v>
      </c>
      <c r="E20" s="12">
        <v>123525</v>
      </c>
      <c r="F20" s="12">
        <v>111447</v>
      </c>
      <c r="G20" s="12">
        <v>98585</v>
      </c>
      <c r="H20" s="12">
        <v>79518</v>
      </c>
      <c r="I20" s="12">
        <v>134750</v>
      </c>
      <c r="J20" t="s">
        <v>13</v>
      </c>
      <c r="K20" t="s">
        <v>20</v>
      </c>
    </row>
    <row r="21" spans="1:11">
      <c r="A21" s="11" t="s">
        <v>183</v>
      </c>
      <c r="B21" s="12">
        <v>107457</v>
      </c>
      <c r="C21" s="12">
        <v>115140</v>
      </c>
      <c r="D21" s="12">
        <v>114070</v>
      </c>
      <c r="E21" s="12">
        <v>111511</v>
      </c>
      <c r="F21" s="12">
        <v>112505</v>
      </c>
      <c r="G21" s="12">
        <v>113713</v>
      </c>
      <c r="H21" s="12">
        <v>106830</v>
      </c>
      <c r="I21" s="12">
        <v>110195</v>
      </c>
      <c r="J21" t="s">
        <v>13</v>
      </c>
      <c r="K21" t="s">
        <v>21</v>
      </c>
    </row>
    <row r="22" spans="1:11">
      <c r="A22" s="11" t="s">
        <v>53</v>
      </c>
      <c r="B22" s="12">
        <v>120049</v>
      </c>
      <c r="C22" s="12">
        <v>87487</v>
      </c>
      <c r="D22" s="12">
        <v>133354</v>
      </c>
      <c r="E22" s="12">
        <v>136275</v>
      </c>
      <c r="F22" s="12">
        <v>96969</v>
      </c>
      <c r="G22" s="12">
        <v>89559</v>
      </c>
      <c r="H22" s="12">
        <v>108537</v>
      </c>
      <c r="I22" s="12">
        <v>106705</v>
      </c>
      <c r="J22" t="s">
        <v>13</v>
      </c>
      <c r="K22" t="s">
        <v>20</v>
      </c>
    </row>
    <row r="23" spans="1:11">
      <c r="A23" s="11" t="s">
        <v>100</v>
      </c>
      <c r="B23" s="12">
        <v>20629</v>
      </c>
      <c r="C23" s="12">
        <v>62167</v>
      </c>
      <c r="D23" s="12">
        <v>221204</v>
      </c>
      <c r="E23" s="12">
        <v>41138</v>
      </c>
      <c r="F23" s="12">
        <v>186877</v>
      </c>
      <c r="G23" s="12">
        <v>24919</v>
      </c>
      <c r="H23" s="12">
        <v>86747</v>
      </c>
      <c r="I23" s="12">
        <v>180138</v>
      </c>
      <c r="J23" t="s">
        <v>13</v>
      </c>
      <c r="K23" t="s">
        <v>19</v>
      </c>
    </row>
    <row r="24" spans="1:11">
      <c r="A24" s="11" t="s">
        <v>270</v>
      </c>
      <c r="B24" s="12">
        <v>105397</v>
      </c>
      <c r="C24" s="12">
        <v>97560</v>
      </c>
      <c r="D24" s="12">
        <v>135115</v>
      </c>
      <c r="E24" s="12">
        <v>94085</v>
      </c>
      <c r="F24" s="12">
        <v>99918</v>
      </c>
      <c r="G24" s="12">
        <v>85577</v>
      </c>
      <c r="H24" s="12">
        <v>81643</v>
      </c>
      <c r="I24" s="12">
        <v>115003</v>
      </c>
      <c r="J24" t="s">
        <v>13</v>
      </c>
      <c r="K24" t="s">
        <v>20</v>
      </c>
    </row>
    <row r="25" spans="1:11">
      <c r="A25" s="11" t="s">
        <v>124</v>
      </c>
      <c r="B25" s="12">
        <v>96556</v>
      </c>
      <c r="C25" s="12">
        <v>99448</v>
      </c>
      <c r="D25" s="12">
        <v>97184</v>
      </c>
      <c r="E25" s="12">
        <v>100709</v>
      </c>
      <c r="F25" s="12">
        <v>103179</v>
      </c>
      <c r="G25" s="12">
        <v>96824</v>
      </c>
      <c r="H25" s="12">
        <v>97076</v>
      </c>
      <c r="I25" s="12">
        <v>103779</v>
      </c>
      <c r="J25" t="s">
        <v>13</v>
      </c>
      <c r="K25" t="s">
        <v>21</v>
      </c>
    </row>
    <row r="26" spans="1:11">
      <c r="A26" s="11" t="s">
        <v>145</v>
      </c>
      <c r="B26" s="12">
        <v>96208</v>
      </c>
      <c r="C26" s="12">
        <v>98719</v>
      </c>
      <c r="D26" s="12">
        <v>102235</v>
      </c>
      <c r="E26" s="12">
        <v>98526</v>
      </c>
      <c r="F26" s="12">
        <v>96461</v>
      </c>
      <c r="G26" s="12">
        <v>93947</v>
      </c>
      <c r="H26" s="12">
        <v>94262</v>
      </c>
      <c r="I26" s="12">
        <v>101589</v>
      </c>
      <c r="J26" t="s">
        <v>13</v>
      </c>
      <c r="K26" t="s">
        <v>21</v>
      </c>
    </row>
    <row r="27" spans="1:11">
      <c r="A27" s="11" t="s">
        <v>58</v>
      </c>
      <c r="B27" s="12">
        <v>92739</v>
      </c>
      <c r="C27" s="12">
        <v>95212</v>
      </c>
      <c r="D27" s="12">
        <v>91172</v>
      </c>
      <c r="E27" s="12">
        <v>96387</v>
      </c>
      <c r="F27" s="12">
        <v>94445</v>
      </c>
      <c r="G27" s="12">
        <v>96911</v>
      </c>
      <c r="H27" s="12">
        <v>92954</v>
      </c>
      <c r="I27" s="12">
        <v>92102</v>
      </c>
      <c r="J27" t="s">
        <v>13</v>
      </c>
      <c r="K27" t="s">
        <v>21</v>
      </c>
    </row>
    <row r="28" spans="1:11">
      <c r="A28" s="11" t="s">
        <v>99</v>
      </c>
      <c r="B28" s="12">
        <v>88967</v>
      </c>
      <c r="C28" s="12">
        <v>70548</v>
      </c>
      <c r="D28" s="12">
        <v>129734</v>
      </c>
      <c r="E28" s="12">
        <v>76967</v>
      </c>
      <c r="F28" s="12">
        <v>107626</v>
      </c>
      <c r="G28" s="12">
        <v>99913</v>
      </c>
      <c r="H28" s="12">
        <v>79430</v>
      </c>
      <c r="I28" s="12">
        <v>97069</v>
      </c>
      <c r="J28" t="s">
        <v>13</v>
      </c>
      <c r="K28" t="s">
        <v>20</v>
      </c>
    </row>
    <row r="29" spans="1:11">
      <c r="A29" s="11" t="s">
        <v>252</v>
      </c>
      <c r="B29" s="12">
        <v>88665</v>
      </c>
      <c r="C29" s="12">
        <v>94299</v>
      </c>
      <c r="D29" s="12">
        <v>89547</v>
      </c>
      <c r="E29" s="12">
        <v>89125</v>
      </c>
      <c r="F29" s="12">
        <v>93010</v>
      </c>
      <c r="G29" s="12">
        <v>90737</v>
      </c>
      <c r="H29" s="12">
        <v>94879</v>
      </c>
      <c r="I29" s="12">
        <v>89197</v>
      </c>
      <c r="J29" t="s">
        <v>13</v>
      </c>
      <c r="K29" t="s">
        <v>21</v>
      </c>
    </row>
    <row r="30" spans="1:11">
      <c r="A30" s="11" t="s">
        <v>189</v>
      </c>
      <c r="B30" s="12">
        <v>85060</v>
      </c>
      <c r="C30" s="12">
        <v>83385</v>
      </c>
      <c r="D30" s="12">
        <v>72696</v>
      </c>
      <c r="E30" s="12">
        <v>114327</v>
      </c>
      <c r="F30" s="12">
        <v>91162</v>
      </c>
      <c r="G30" s="12">
        <v>86396</v>
      </c>
      <c r="H30" s="12">
        <v>105449</v>
      </c>
      <c r="I30" s="12">
        <v>78454</v>
      </c>
      <c r="J30" t="s">
        <v>13</v>
      </c>
      <c r="K30" t="s">
        <v>20</v>
      </c>
    </row>
    <row r="31" spans="1:11">
      <c r="A31" s="11" t="s">
        <v>239</v>
      </c>
      <c r="B31" s="12">
        <v>69139</v>
      </c>
      <c r="C31" s="12">
        <v>78328</v>
      </c>
      <c r="D31" s="12">
        <v>91553</v>
      </c>
      <c r="E31" s="12">
        <v>89146</v>
      </c>
      <c r="F31" s="12">
        <v>98518</v>
      </c>
      <c r="G31" s="12">
        <v>126451</v>
      </c>
      <c r="H31" s="12">
        <v>69511</v>
      </c>
      <c r="I31" s="12">
        <v>76886</v>
      </c>
      <c r="J31" t="s">
        <v>13</v>
      </c>
      <c r="K31" t="s">
        <v>20</v>
      </c>
    </row>
    <row r="32" spans="1:11">
      <c r="A32" s="11" t="s">
        <v>209</v>
      </c>
      <c r="B32" s="12">
        <v>81870</v>
      </c>
      <c r="C32" s="12">
        <v>82733</v>
      </c>
      <c r="D32" s="12">
        <v>83336</v>
      </c>
      <c r="E32" s="12">
        <v>86269</v>
      </c>
      <c r="F32" s="12">
        <v>82848</v>
      </c>
      <c r="G32" s="12">
        <v>81061</v>
      </c>
      <c r="H32" s="12">
        <v>86034</v>
      </c>
      <c r="I32" s="12">
        <v>84409</v>
      </c>
      <c r="J32" t="s">
        <v>13</v>
      </c>
      <c r="K32" t="s">
        <v>21</v>
      </c>
    </row>
    <row r="33" spans="1:11">
      <c r="A33" s="11" t="s">
        <v>166</v>
      </c>
      <c r="B33" s="12">
        <v>78913</v>
      </c>
      <c r="C33" s="12">
        <v>78530</v>
      </c>
      <c r="D33" s="12">
        <v>84026</v>
      </c>
      <c r="E33" s="12">
        <v>83719</v>
      </c>
      <c r="F33" s="12">
        <v>77952</v>
      </c>
      <c r="G33" s="12">
        <v>83097</v>
      </c>
      <c r="H33" s="12">
        <v>78100</v>
      </c>
      <c r="I33" s="12">
        <v>80249</v>
      </c>
      <c r="J33" t="s">
        <v>13</v>
      </c>
      <c r="K33" t="s">
        <v>21</v>
      </c>
    </row>
    <row r="34" spans="1:11">
      <c r="A34" s="11" t="s">
        <v>134</v>
      </c>
      <c r="B34" s="12">
        <v>77602</v>
      </c>
      <c r="C34" s="12">
        <v>98935</v>
      </c>
      <c r="D34" s="12">
        <v>59707</v>
      </c>
      <c r="E34" s="12">
        <v>90156</v>
      </c>
      <c r="F34" s="12">
        <v>67534</v>
      </c>
      <c r="G34" s="12">
        <v>77949</v>
      </c>
      <c r="H34" s="12">
        <v>68753</v>
      </c>
      <c r="I34" s="12">
        <v>95319</v>
      </c>
      <c r="J34" t="s">
        <v>13</v>
      </c>
      <c r="K34" t="s">
        <v>20</v>
      </c>
    </row>
    <row r="35" spans="1:11">
      <c r="A35" s="11" t="s">
        <v>61</v>
      </c>
      <c r="B35" s="12">
        <v>71905</v>
      </c>
      <c r="C35" s="12">
        <v>24092</v>
      </c>
      <c r="D35" s="12">
        <v>32444</v>
      </c>
      <c r="E35" s="12">
        <v>175694</v>
      </c>
      <c r="F35" s="12">
        <v>20174</v>
      </c>
      <c r="G35" s="12">
        <v>152402</v>
      </c>
      <c r="H35" s="12">
        <v>23707</v>
      </c>
      <c r="I35" s="12">
        <v>125274</v>
      </c>
      <c r="J35" t="s">
        <v>13</v>
      </c>
      <c r="K35" t="s">
        <v>19</v>
      </c>
    </row>
    <row r="36" spans="1:11">
      <c r="A36" s="11" t="s">
        <v>114</v>
      </c>
      <c r="B36" s="12">
        <v>96120</v>
      </c>
      <c r="C36" s="12">
        <v>69488</v>
      </c>
      <c r="D36" s="12">
        <v>69811</v>
      </c>
      <c r="E36" s="12">
        <v>61619</v>
      </c>
      <c r="F36" s="12">
        <v>68592</v>
      </c>
      <c r="G36" s="12">
        <v>89718</v>
      </c>
      <c r="H36" s="12">
        <v>91685</v>
      </c>
      <c r="I36" s="12">
        <v>62678</v>
      </c>
      <c r="J36" t="s">
        <v>13</v>
      </c>
      <c r="K36" t="s">
        <v>20</v>
      </c>
    </row>
    <row r="37" spans="1:11">
      <c r="A37" s="11" t="s">
        <v>49</v>
      </c>
      <c r="B37" s="12">
        <v>75679</v>
      </c>
      <c r="C37" s="12">
        <v>74191</v>
      </c>
      <c r="D37" s="12">
        <v>73434</v>
      </c>
      <c r="E37" s="12">
        <v>77093</v>
      </c>
      <c r="F37" s="12">
        <v>74181</v>
      </c>
      <c r="G37" s="12">
        <v>77100</v>
      </c>
      <c r="H37" s="12">
        <v>75121</v>
      </c>
      <c r="I37" s="12">
        <v>74477</v>
      </c>
      <c r="J37" t="s">
        <v>13</v>
      </c>
      <c r="K37" t="s">
        <v>21</v>
      </c>
    </row>
    <row r="38" spans="1:11">
      <c r="A38" s="11" t="s">
        <v>182</v>
      </c>
      <c r="B38" s="12">
        <v>26723</v>
      </c>
      <c r="C38" s="12">
        <v>41581</v>
      </c>
      <c r="D38" s="12">
        <v>131523</v>
      </c>
      <c r="E38" s="12">
        <v>42565</v>
      </c>
      <c r="F38" s="12">
        <v>96958</v>
      </c>
      <c r="G38" s="12">
        <v>94718</v>
      </c>
      <c r="H38" s="12">
        <v>121767</v>
      </c>
      <c r="I38" s="12">
        <v>40911</v>
      </c>
      <c r="J38" t="s">
        <v>13</v>
      </c>
      <c r="K38" t="s">
        <v>19</v>
      </c>
    </row>
    <row r="39" spans="1:11">
      <c r="A39" s="11" t="s">
        <v>235</v>
      </c>
      <c r="B39" s="12">
        <v>79078</v>
      </c>
      <c r="C39" s="12">
        <v>57526</v>
      </c>
      <c r="D39" s="12">
        <v>89888</v>
      </c>
      <c r="E39" s="12">
        <v>77964</v>
      </c>
      <c r="F39" s="12">
        <v>69779</v>
      </c>
      <c r="G39" s="12">
        <v>67996</v>
      </c>
      <c r="H39" s="12">
        <v>70373</v>
      </c>
      <c r="I39" s="12">
        <v>71721</v>
      </c>
      <c r="J39" t="s">
        <v>13</v>
      </c>
      <c r="K39" t="s">
        <v>20</v>
      </c>
    </row>
    <row r="40" spans="1:11">
      <c r="A40" s="11" t="s">
        <v>210</v>
      </c>
      <c r="B40" s="12">
        <v>73628</v>
      </c>
      <c r="C40" s="12">
        <v>72770</v>
      </c>
      <c r="D40" s="12">
        <v>70103</v>
      </c>
      <c r="E40" s="12">
        <v>72011</v>
      </c>
      <c r="F40" s="12">
        <v>75656</v>
      </c>
      <c r="G40" s="12">
        <v>71585</v>
      </c>
      <c r="H40" s="12">
        <v>72417</v>
      </c>
      <c r="I40" s="12">
        <v>70735</v>
      </c>
      <c r="J40" t="s">
        <v>13</v>
      </c>
      <c r="K40" t="s">
        <v>21</v>
      </c>
    </row>
    <row r="41" spans="1:11">
      <c r="A41" s="11" t="s">
        <v>115</v>
      </c>
      <c r="B41" s="12">
        <v>67027</v>
      </c>
      <c r="C41" s="12">
        <v>68405</v>
      </c>
      <c r="D41" s="12">
        <v>70208</v>
      </c>
      <c r="E41" s="12">
        <v>68565</v>
      </c>
      <c r="F41" s="12">
        <v>71876</v>
      </c>
      <c r="G41" s="12">
        <v>68668</v>
      </c>
      <c r="H41" s="12">
        <v>71160</v>
      </c>
      <c r="I41" s="12">
        <v>68626</v>
      </c>
      <c r="J41" t="s">
        <v>13</v>
      </c>
      <c r="K41" t="s">
        <v>21</v>
      </c>
    </row>
    <row r="42" spans="1:11">
      <c r="A42" s="11" t="s">
        <v>276</v>
      </c>
      <c r="B42" s="12">
        <v>56331</v>
      </c>
      <c r="C42" s="12">
        <v>77453</v>
      </c>
      <c r="D42" s="12">
        <v>49464</v>
      </c>
      <c r="E42" s="12">
        <v>79807</v>
      </c>
      <c r="F42" s="12">
        <v>76630</v>
      </c>
      <c r="G42" s="12">
        <v>77481</v>
      </c>
      <c r="H42" s="12">
        <v>56459</v>
      </c>
      <c r="I42" s="12">
        <v>60757</v>
      </c>
      <c r="J42" t="s">
        <v>13</v>
      </c>
      <c r="K42" t="s">
        <v>20</v>
      </c>
    </row>
    <row r="43" spans="1:11">
      <c r="A43" s="11" t="s">
        <v>73</v>
      </c>
      <c r="B43" s="12">
        <v>48838</v>
      </c>
      <c r="C43" s="12">
        <v>70380</v>
      </c>
      <c r="D43" s="12">
        <v>71926</v>
      </c>
      <c r="E43" s="12">
        <v>72903</v>
      </c>
      <c r="F43" s="12">
        <v>73024</v>
      </c>
      <c r="G43" s="12">
        <v>49235</v>
      </c>
      <c r="H43" s="12">
        <v>75527</v>
      </c>
      <c r="I43" s="12">
        <v>72489</v>
      </c>
      <c r="J43" t="s">
        <v>13</v>
      </c>
      <c r="K43" t="s">
        <v>20</v>
      </c>
    </row>
    <row r="44" spans="1:11">
      <c r="A44" s="11" t="s">
        <v>211</v>
      </c>
      <c r="B44" s="12">
        <v>54165</v>
      </c>
      <c r="C44" s="12">
        <v>136608</v>
      </c>
      <c r="D44" s="12">
        <v>102739</v>
      </c>
      <c r="E44" s="12">
        <v>17201</v>
      </c>
      <c r="F44" s="12">
        <v>17215</v>
      </c>
      <c r="G44" s="12">
        <v>120409</v>
      </c>
      <c r="H44" s="12">
        <v>24802</v>
      </c>
      <c r="I44" s="12">
        <v>45711</v>
      </c>
      <c r="J44" t="s">
        <v>13</v>
      </c>
      <c r="K44" t="s">
        <v>19</v>
      </c>
    </row>
    <row r="45" spans="1:11">
      <c r="A45" s="11" t="s">
        <v>212</v>
      </c>
      <c r="B45" s="12">
        <v>32525</v>
      </c>
      <c r="C45" s="12">
        <v>65497</v>
      </c>
      <c r="D45" s="12">
        <v>133894</v>
      </c>
      <c r="E45" s="12">
        <v>26936</v>
      </c>
      <c r="F45" s="12">
        <v>169888</v>
      </c>
      <c r="G45" s="12">
        <v>43037</v>
      </c>
      <c r="H45" s="12">
        <v>20236</v>
      </c>
      <c r="I45" s="12">
        <v>25065</v>
      </c>
      <c r="J45" t="s">
        <v>13</v>
      </c>
      <c r="K45" t="s">
        <v>19</v>
      </c>
    </row>
    <row r="46" spans="1:11">
      <c r="A46" s="11" t="s">
        <v>220</v>
      </c>
      <c r="B46" s="12">
        <v>109212</v>
      </c>
      <c r="C46" s="12">
        <v>95815</v>
      </c>
      <c r="D46" s="12">
        <v>11766</v>
      </c>
      <c r="E46" s="12">
        <v>92607</v>
      </c>
      <c r="F46" s="12">
        <v>22646</v>
      </c>
      <c r="G46" s="12">
        <v>45272</v>
      </c>
      <c r="H46" s="12">
        <v>17810</v>
      </c>
      <c r="I46" s="12">
        <v>119302</v>
      </c>
      <c r="J46" t="s">
        <v>13</v>
      </c>
      <c r="K46" t="s">
        <v>19</v>
      </c>
    </row>
    <row r="47" spans="1:11">
      <c r="A47" s="11" t="s">
        <v>101</v>
      </c>
      <c r="B47" s="12">
        <v>61374</v>
      </c>
      <c r="C47" s="12">
        <v>62343</v>
      </c>
      <c r="D47" s="12">
        <v>62460</v>
      </c>
      <c r="E47" s="12">
        <v>64696</v>
      </c>
      <c r="F47" s="12">
        <v>63928</v>
      </c>
      <c r="G47" s="12">
        <v>61933</v>
      </c>
      <c r="H47" s="12">
        <v>64828</v>
      </c>
      <c r="I47" s="12">
        <v>66715</v>
      </c>
      <c r="J47" t="s">
        <v>13</v>
      </c>
      <c r="K47" t="s">
        <v>21</v>
      </c>
    </row>
    <row r="48" spans="1:11">
      <c r="A48" s="11" t="s">
        <v>167</v>
      </c>
      <c r="B48" s="12">
        <v>63968</v>
      </c>
      <c r="C48" s="12">
        <v>62331</v>
      </c>
      <c r="D48" s="12">
        <v>62773</v>
      </c>
      <c r="E48" s="12">
        <v>60490</v>
      </c>
      <c r="F48" s="12">
        <v>60180</v>
      </c>
      <c r="G48" s="12">
        <v>60164</v>
      </c>
      <c r="H48" s="12">
        <v>61157</v>
      </c>
      <c r="I48" s="12">
        <v>63049</v>
      </c>
      <c r="J48" t="s">
        <v>13</v>
      </c>
      <c r="K48" t="s">
        <v>21</v>
      </c>
    </row>
    <row r="49" spans="1:11">
      <c r="A49" s="11" t="s">
        <v>203</v>
      </c>
      <c r="B49" s="12">
        <v>61467</v>
      </c>
      <c r="C49" s="12">
        <v>61445</v>
      </c>
      <c r="D49" s="12">
        <v>63000</v>
      </c>
      <c r="E49" s="12">
        <v>64206</v>
      </c>
      <c r="F49" s="12">
        <v>62351</v>
      </c>
      <c r="G49" s="12">
        <v>61115</v>
      </c>
      <c r="H49" s="12">
        <v>59870</v>
      </c>
      <c r="I49" s="12">
        <v>59830</v>
      </c>
      <c r="J49" t="s">
        <v>13</v>
      </c>
      <c r="K49" t="s">
        <v>21</v>
      </c>
    </row>
    <row r="50" spans="1:11">
      <c r="A50" s="11" t="s">
        <v>96</v>
      </c>
      <c r="B50" s="12">
        <v>60509</v>
      </c>
      <c r="C50" s="12">
        <v>59322</v>
      </c>
      <c r="D50" s="12">
        <v>60385</v>
      </c>
      <c r="E50" s="12">
        <v>61043</v>
      </c>
      <c r="F50" s="12">
        <v>58484</v>
      </c>
      <c r="G50" s="12">
        <v>60486</v>
      </c>
      <c r="H50" s="12">
        <v>62646</v>
      </c>
      <c r="I50" s="12">
        <v>60074</v>
      </c>
      <c r="J50" t="s">
        <v>13</v>
      </c>
      <c r="K50" t="s">
        <v>21</v>
      </c>
    </row>
    <row r="51" spans="1:11">
      <c r="A51" s="11" t="s">
        <v>91</v>
      </c>
      <c r="B51" s="12">
        <v>58789</v>
      </c>
      <c r="C51" s="12">
        <v>59473</v>
      </c>
      <c r="D51" s="12">
        <v>59888</v>
      </c>
      <c r="E51" s="12">
        <v>59985</v>
      </c>
      <c r="F51" s="12">
        <v>58721</v>
      </c>
      <c r="G51" s="12">
        <v>60561</v>
      </c>
      <c r="H51" s="12">
        <v>60676</v>
      </c>
      <c r="I51" s="12">
        <v>58573</v>
      </c>
      <c r="J51" t="s">
        <v>13</v>
      </c>
      <c r="K51" t="s">
        <v>21</v>
      </c>
    </row>
    <row r="52" spans="1:11">
      <c r="A52" s="11" t="s">
        <v>70</v>
      </c>
      <c r="B52" s="12">
        <v>55121</v>
      </c>
      <c r="C52" s="12">
        <v>58030</v>
      </c>
      <c r="D52" s="12">
        <v>57144</v>
      </c>
      <c r="E52" s="12">
        <v>56558</v>
      </c>
      <c r="F52" s="12">
        <v>55464</v>
      </c>
      <c r="G52" s="12">
        <v>56974</v>
      </c>
      <c r="H52" s="12">
        <v>57724</v>
      </c>
      <c r="I52" s="12">
        <v>54719</v>
      </c>
      <c r="J52" t="s">
        <v>13</v>
      </c>
      <c r="K52" t="s">
        <v>21</v>
      </c>
    </row>
    <row r="53" spans="1:11">
      <c r="A53" s="11" t="s">
        <v>158</v>
      </c>
      <c r="B53" s="12">
        <v>65000</v>
      </c>
      <c r="C53" s="12">
        <v>56193</v>
      </c>
      <c r="D53" s="12">
        <v>48933</v>
      </c>
      <c r="E53" s="12">
        <v>61567</v>
      </c>
      <c r="F53" s="12">
        <v>47436</v>
      </c>
      <c r="G53" s="12">
        <v>75259</v>
      </c>
      <c r="H53" s="12">
        <v>41925</v>
      </c>
      <c r="I53" s="12">
        <v>45582</v>
      </c>
      <c r="J53" t="s">
        <v>13</v>
      </c>
      <c r="K53" t="s">
        <v>20</v>
      </c>
    </row>
    <row r="54" spans="1:11">
      <c r="A54" s="11" t="s">
        <v>144</v>
      </c>
      <c r="B54" s="12">
        <v>55775</v>
      </c>
      <c r="C54" s="12">
        <v>52298</v>
      </c>
      <c r="D54" s="12">
        <v>56383</v>
      </c>
      <c r="E54" s="12">
        <v>52305</v>
      </c>
      <c r="F54" s="12">
        <v>54090</v>
      </c>
      <c r="G54" s="12">
        <v>52671</v>
      </c>
      <c r="H54" s="12">
        <v>53799</v>
      </c>
      <c r="I54" s="12">
        <v>56121</v>
      </c>
      <c r="J54" t="s">
        <v>13</v>
      </c>
      <c r="K54" t="s">
        <v>21</v>
      </c>
    </row>
    <row r="55" spans="1:11">
      <c r="A55" s="11" t="s">
        <v>137</v>
      </c>
      <c r="B55" s="12">
        <v>89169</v>
      </c>
      <c r="C55" s="12">
        <v>12378</v>
      </c>
      <c r="D55" s="12">
        <v>18578</v>
      </c>
      <c r="E55" s="12">
        <v>102619</v>
      </c>
      <c r="F55" s="12">
        <v>15826</v>
      </c>
      <c r="G55" s="12">
        <v>84688</v>
      </c>
      <c r="H55" s="12">
        <v>92993</v>
      </c>
      <c r="I55" s="12">
        <v>9372</v>
      </c>
      <c r="J55" t="s">
        <v>13</v>
      </c>
      <c r="K55" t="s">
        <v>19</v>
      </c>
    </row>
    <row r="56" spans="1:11">
      <c r="A56" s="11" t="s">
        <v>82</v>
      </c>
      <c r="B56" s="12">
        <v>103854</v>
      </c>
      <c r="C56" s="12">
        <v>68992</v>
      </c>
      <c r="D56" s="12">
        <v>19728</v>
      </c>
      <c r="E56" s="12">
        <v>80505</v>
      </c>
      <c r="F56" s="12">
        <v>18382</v>
      </c>
      <c r="G56" s="12">
        <v>87351</v>
      </c>
      <c r="H56" s="12">
        <v>27499</v>
      </c>
      <c r="I56" s="12">
        <v>9179</v>
      </c>
      <c r="J56" t="s">
        <v>13</v>
      </c>
      <c r="K56" t="s">
        <v>19</v>
      </c>
    </row>
    <row r="57" spans="1:11">
      <c r="A57" s="11" t="s">
        <v>148</v>
      </c>
      <c r="B57" s="12">
        <v>45620</v>
      </c>
      <c r="C57" s="12">
        <v>58067</v>
      </c>
      <c r="D57" s="12">
        <v>58176</v>
      </c>
      <c r="E57" s="12">
        <v>43216</v>
      </c>
      <c r="F57" s="12">
        <v>55803</v>
      </c>
      <c r="G57" s="12">
        <v>57162</v>
      </c>
      <c r="H57" s="12">
        <v>40751</v>
      </c>
      <c r="I57" s="12">
        <v>52909</v>
      </c>
      <c r="J57" t="s">
        <v>13</v>
      </c>
      <c r="K57" t="s">
        <v>20</v>
      </c>
    </row>
    <row r="58" spans="1:11">
      <c r="A58" s="11" t="s">
        <v>283</v>
      </c>
      <c r="B58" s="12">
        <v>46506</v>
      </c>
      <c r="C58" s="12">
        <v>61275</v>
      </c>
      <c r="D58" s="12">
        <v>51139</v>
      </c>
      <c r="E58" s="12">
        <v>49120</v>
      </c>
      <c r="F58" s="12">
        <v>58145</v>
      </c>
      <c r="G58" s="12">
        <v>41350</v>
      </c>
      <c r="H58" s="12">
        <v>59737</v>
      </c>
      <c r="I58" s="12">
        <v>39221</v>
      </c>
      <c r="J58" t="s">
        <v>13</v>
      </c>
      <c r="K58" t="s">
        <v>20</v>
      </c>
    </row>
    <row r="59" spans="1:11">
      <c r="A59" s="11" t="s">
        <v>195</v>
      </c>
      <c r="B59" s="12">
        <v>51488</v>
      </c>
      <c r="C59" s="12">
        <v>49734</v>
      </c>
      <c r="D59" s="12">
        <v>49021</v>
      </c>
      <c r="E59" s="12">
        <v>49561</v>
      </c>
      <c r="F59" s="12">
        <v>50126</v>
      </c>
      <c r="G59" s="12">
        <v>51273</v>
      </c>
      <c r="H59" s="12">
        <v>49089</v>
      </c>
      <c r="I59" s="12">
        <v>50531</v>
      </c>
      <c r="J59" t="s">
        <v>13</v>
      </c>
      <c r="K59" t="s">
        <v>21</v>
      </c>
    </row>
    <row r="60" spans="1:11">
      <c r="A60" s="11" t="s">
        <v>188</v>
      </c>
      <c r="B60" s="12">
        <v>47151</v>
      </c>
      <c r="C60" s="12">
        <v>20114</v>
      </c>
      <c r="D60" s="12">
        <v>142125</v>
      </c>
      <c r="E60" s="12">
        <v>26323</v>
      </c>
      <c r="F60" s="12">
        <v>42693</v>
      </c>
      <c r="G60" s="12">
        <v>41622</v>
      </c>
      <c r="H60" s="12">
        <v>23827</v>
      </c>
      <c r="I60" s="12">
        <v>55882</v>
      </c>
      <c r="J60" t="s">
        <v>13</v>
      </c>
      <c r="K60" t="s">
        <v>19</v>
      </c>
    </row>
    <row r="61" spans="1:11">
      <c r="A61" s="11" t="s">
        <v>143</v>
      </c>
      <c r="B61" s="12">
        <v>67640</v>
      </c>
      <c r="C61" s="12">
        <v>33667</v>
      </c>
      <c r="D61" s="12">
        <v>14718</v>
      </c>
      <c r="E61" s="12">
        <v>9758</v>
      </c>
      <c r="F61" s="12">
        <v>36253</v>
      </c>
      <c r="G61" s="12">
        <v>64690</v>
      </c>
      <c r="H61" s="12">
        <v>86899</v>
      </c>
      <c r="I61" s="12">
        <v>84503</v>
      </c>
      <c r="J61" t="s">
        <v>13</v>
      </c>
      <c r="K61" t="s">
        <v>19</v>
      </c>
    </row>
    <row r="62" spans="1:11">
      <c r="A62" s="11" t="s">
        <v>178</v>
      </c>
      <c r="B62" s="12">
        <v>48337</v>
      </c>
      <c r="C62" s="12">
        <v>57844</v>
      </c>
      <c r="D62" s="12">
        <v>56994</v>
      </c>
      <c r="E62" s="12">
        <v>41926</v>
      </c>
      <c r="F62" s="12">
        <v>53313</v>
      </c>
      <c r="G62" s="12">
        <v>38963</v>
      </c>
      <c r="H62" s="12">
        <v>37324</v>
      </c>
      <c r="I62" s="12">
        <v>48874</v>
      </c>
      <c r="J62" t="s">
        <v>13</v>
      </c>
      <c r="K62" t="s">
        <v>20</v>
      </c>
    </row>
    <row r="63" spans="1:11">
      <c r="A63" s="11" t="s">
        <v>71</v>
      </c>
      <c r="B63" s="12">
        <v>47320</v>
      </c>
      <c r="C63" s="12">
        <v>49256</v>
      </c>
      <c r="D63" s="12">
        <v>45913</v>
      </c>
      <c r="E63" s="12">
        <v>47903</v>
      </c>
      <c r="F63" s="12">
        <v>48456</v>
      </c>
      <c r="G63" s="12">
        <v>46614</v>
      </c>
      <c r="H63" s="12">
        <v>49763</v>
      </c>
      <c r="I63" s="12">
        <v>46776</v>
      </c>
      <c r="J63" t="s">
        <v>13</v>
      </c>
      <c r="K63" t="s">
        <v>21</v>
      </c>
    </row>
    <row r="64" spans="1:11">
      <c r="A64" s="11" t="s">
        <v>111</v>
      </c>
      <c r="B64" s="12">
        <v>51900</v>
      </c>
      <c r="C64" s="12">
        <v>47917</v>
      </c>
      <c r="D64" s="12">
        <v>36259</v>
      </c>
      <c r="E64" s="12">
        <v>31414</v>
      </c>
      <c r="F64" s="12">
        <v>56909</v>
      </c>
      <c r="G64" s="12">
        <v>52536</v>
      </c>
      <c r="H64" s="12">
        <v>52328</v>
      </c>
      <c r="I64" s="12">
        <v>51986</v>
      </c>
      <c r="J64" t="s">
        <v>13</v>
      </c>
      <c r="K64" t="s">
        <v>20</v>
      </c>
    </row>
    <row r="65" spans="1:11">
      <c r="A65" s="11" t="s">
        <v>221</v>
      </c>
      <c r="B65" s="12">
        <v>49366</v>
      </c>
      <c r="C65" s="12">
        <v>45316</v>
      </c>
      <c r="D65" s="12">
        <v>48873</v>
      </c>
      <c r="E65" s="12">
        <v>95488</v>
      </c>
      <c r="F65" s="12">
        <v>19964</v>
      </c>
      <c r="G65" s="12">
        <v>43563</v>
      </c>
      <c r="H65" s="12">
        <v>49453</v>
      </c>
      <c r="I65" s="12">
        <v>24952</v>
      </c>
      <c r="J65" t="s">
        <v>13</v>
      </c>
      <c r="K65" t="s">
        <v>19</v>
      </c>
    </row>
    <row r="66" spans="1:11">
      <c r="A66" s="11" t="s">
        <v>219</v>
      </c>
      <c r="B66" s="12">
        <v>43488</v>
      </c>
      <c r="C66" s="12">
        <v>43113</v>
      </c>
      <c r="D66" s="12">
        <v>48418</v>
      </c>
      <c r="E66" s="12">
        <v>61574</v>
      </c>
      <c r="F66" s="12">
        <v>39499</v>
      </c>
      <c r="G66" s="12">
        <v>50893</v>
      </c>
      <c r="H66" s="12">
        <v>52155</v>
      </c>
      <c r="I66" s="12">
        <v>33935</v>
      </c>
      <c r="J66" t="s">
        <v>13</v>
      </c>
      <c r="K66" t="s">
        <v>20</v>
      </c>
    </row>
    <row r="67" spans="1:11">
      <c r="A67" s="11" t="s">
        <v>66</v>
      </c>
      <c r="B67" s="12">
        <v>9609</v>
      </c>
      <c r="C67" s="12">
        <v>20194</v>
      </c>
      <c r="D67" s="12">
        <v>35315</v>
      </c>
      <c r="E67" s="12">
        <v>73940</v>
      </c>
      <c r="F67" s="12">
        <v>43757</v>
      </c>
      <c r="G67" s="12">
        <v>73362</v>
      </c>
      <c r="H67" s="12">
        <v>41513</v>
      </c>
      <c r="I67" s="12">
        <v>72137</v>
      </c>
      <c r="J67" t="s">
        <v>13</v>
      </c>
      <c r="K67" t="s">
        <v>19</v>
      </c>
    </row>
    <row r="68" spans="1:11">
      <c r="A68" s="11" t="s">
        <v>83</v>
      </c>
      <c r="B68" s="12">
        <v>33655</v>
      </c>
      <c r="C68" s="12">
        <v>9947</v>
      </c>
      <c r="D68" s="12">
        <v>104523</v>
      </c>
      <c r="E68" s="12">
        <v>41111</v>
      </c>
      <c r="F68" s="12">
        <v>16925</v>
      </c>
      <c r="G68" s="12">
        <v>16654</v>
      </c>
      <c r="H68" s="12">
        <v>108643</v>
      </c>
      <c r="I68" s="12">
        <v>29524</v>
      </c>
      <c r="J68" t="s">
        <v>13</v>
      </c>
      <c r="K68" t="s">
        <v>19</v>
      </c>
    </row>
    <row r="69" spans="1:11">
      <c r="A69" s="11" t="s">
        <v>132</v>
      </c>
      <c r="B69" s="12">
        <v>46384</v>
      </c>
      <c r="C69" s="12">
        <v>43125</v>
      </c>
      <c r="D69" s="12">
        <v>45077</v>
      </c>
      <c r="E69" s="12">
        <v>43826</v>
      </c>
      <c r="F69" s="12">
        <v>43465</v>
      </c>
      <c r="G69" s="12">
        <v>46569</v>
      </c>
      <c r="H69" s="12">
        <v>43220</v>
      </c>
      <c r="I69" s="12">
        <v>45720</v>
      </c>
      <c r="J69" t="s">
        <v>13</v>
      </c>
      <c r="K69" t="s">
        <v>21</v>
      </c>
    </row>
    <row r="70" spans="1:11">
      <c r="A70" s="11" t="s">
        <v>245</v>
      </c>
      <c r="B70" s="12">
        <v>13010</v>
      </c>
      <c r="C70" s="12">
        <v>70578</v>
      </c>
      <c r="D70" s="12">
        <v>34251</v>
      </c>
      <c r="E70" s="12">
        <v>22727</v>
      </c>
      <c r="F70" s="12">
        <v>77156</v>
      </c>
      <c r="G70" s="12">
        <v>16158</v>
      </c>
      <c r="H70" s="12">
        <v>91851</v>
      </c>
      <c r="I70" s="12">
        <v>27734</v>
      </c>
      <c r="J70" t="s">
        <v>13</v>
      </c>
      <c r="K70" t="s">
        <v>19</v>
      </c>
    </row>
    <row r="71" spans="1:11">
      <c r="A71" s="11" t="s">
        <v>187</v>
      </c>
      <c r="B71" s="12">
        <v>45230</v>
      </c>
      <c r="C71" s="12">
        <v>44695</v>
      </c>
      <c r="D71" s="12">
        <v>44115</v>
      </c>
      <c r="E71" s="12">
        <v>41889</v>
      </c>
      <c r="F71" s="12">
        <v>44814</v>
      </c>
      <c r="G71" s="12">
        <v>45202</v>
      </c>
      <c r="H71" s="12">
        <v>43796</v>
      </c>
      <c r="I71" s="12">
        <v>41883</v>
      </c>
      <c r="J71" t="s">
        <v>13</v>
      </c>
      <c r="K71" t="s">
        <v>21</v>
      </c>
    </row>
    <row r="72" spans="1:11">
      <c r="A72" s="11" t="s">
        <v>250</v>
      </c>
      <c r="B72" s="12">
        <v>44255</v>
      </c>
      <c r="C72" s="12">
        <v>42649</v>
      </c>
      <c r="D72" s="12">
        <v>44932</v>
      </c>
      <c r="E72" s="12">
        <v>44423</v>
      </c>
      <c r="F72" s="12">
        <v>42970</v>
      </c>
      <c r="G72" s="12">
        <v>42357</v>
      </c>
      <c r="H72" s="12">
        <v>42862</v>
      </c>
      <c r="I72" s="12">
        <v>45849</v>
      </c>
      <c r="J72" t="s">
        <v>13</v>
      </c>
      <c r="K72" t="s">
        <v>21</v>
      </c>
    </row>
    <row r="73" spans="1:11">
      <c r="A73" s="11" t="s">
        <v>179</v>
      </c>
      <c r="B73" s="12">
        <v>40569</v>
      </c>
      <c r="C73" s="12">
        <v>41105</v>
      </c>
      <c r="D73" s="12">
        <v>43258</v>
      </c>
      <c r="E73" s="12">
        <v>43067</v>
      </c>
      <c r="F73" s="12">
        <v>42733</v>
      </c>
      <c r="G73" s="12">
        <v>42935</v>
      </c>
      <c r="H73" s="12">
        <v>43071</v>
      </c>
      <c r="I73" s="12">
        <v>40895</v>
      </c>
      <c r="J73" t="s">
        <v>13</v>
      </c>
      <c r="K73" t="s">
        <v>21</v>
      </c>
    </row>
    <row r="74" spans="1:11">
      <c r="A74" s="11" t="s">
        <v>171</v>
      </c>
      <c r="B74" s="12">
        <v>41353</v>
      </c>
      <c r="C74" s="12">
        <v>42191</v>
      </c>
      <c r="D74" s="12">
        <v>42202</v>
      </c>
      <c r="E74" s="12">
        <v>42542</v>
      </c>
      <c r="F74" s="12">
        <v>42021</v>
      </c>
      <c r="G74" s="12">
        <v>41713</v>
      </c>
      <c r="H74" s="12">
        <v>41260</v>
      </c>
      <c r="I74" s="12">
        <v>40252</v>
      </c>
      <c r="J74" t="s">
        <v>13</v>
      </c>
      <c r="K74" t="s">
        <v>21</v>
      </c>
    </row>
    <row r="75" spans="1:11">
      <c r="A75" s="11" t="s">
        <v>157</v>
      </c>
      <c r="B75" s="12">
        <v>76750</v>
      </c>
      <c r="C75" s="12">
        <v>80234</v>
      </c>
      <c r="D75" s="12">
        <v>12547</v>
      </c>
      <c r="E75" s="12">
        <v>27129</v>
      </c>
      <c r="F75" s="12">
        <v>9455</v>
      </c>
      <c r="G75" s="12">
        <v>28056</v>
      </c>
      <c r="H75" s="12">
        <v>28827</v>
      </c>
      <c r="I75" s="12">
        <v>65293</v>
      </c>
      <c r="J75" t="s">
        <v>13</v>
      </c>
      <c r="K75" t="s">
        <v>19</v>
      </c>
    </row>
    <row r="76" spans="1:11">
      <c r="A76" s="11" t="s">
        <v>269</v>
      </c>
      <c r="B76" s="12">
        <v>40035</v>
      </c>
      <c r="C76" s="12">
        <v>39468</v>
      </c>
      <c r="D76" s="12">
        <v>41101</v>
      </c>
      <c r="E76" s="12">
        <v>41783</v>
      </c>
      <c r="F76" s="12">
        <v>39789</v>
      </c>
      <c r="G76" s="12">
        <v>41318</v>
      </c>
      <c r="H76" s="12">
        <v>40624</v>
      </c>
      <c r="I76" s="12">
        <v>39941</v>
      </c>
      <c r="J76" t="s">
        <v>13</v>
      </c>
      <c r="K76" t="s">
        <v>21</v>
      </c>
    </row>
    <row r="77" spans="1:11">
      <c r="A77" s="11" t="s">
        <v>176</v>
      </c>
      <c r="B77" s="12">
        <v>41622</v>
      </c>
      <c r="C77" s="12">
        <v>29519</v>
      </c>
      <c r="D77" s="12">
        <v>48951</v>
      </c>
      <c r="E77" s="12">
        <v>33257</v>
      </c>
      <c r="F77" s="12">
        <v>41302</v>
      </c>
      <c r="G77" s="12">
        <v>43373</v>
      </c>
      <c r="H77" s="12">
        <v>45425</v>
      </c>
      <c r="I77" s="12">
        <v>35399</v>
      </c>
      <c r="J77" t="s">
        <v>13</v>
      </c>
      <c r="K77" t="s">
        <v>20</v>
      </c>
    </row>
    <row r="78" spans="1:11">
      <c r="A78" s="11" t="s">
        <v>223</v>
      </c>
      <c r="B78" s="12">
        <v>53529</v>
      </c>
      <c r="C78" s="12">
        <v>13498</v>
      </c>
      <c r="D78" s="12">
        <v>57839</v>
      </c>
      <c r="E78" s="12">
        <v>8592</v>
      </c>
      <c r="F78" s="12">
        <v>72409</v>
      </c>
      <c r="G78" s="12">
        <v>33350</v>
      </c>
      <c r="H78" s="12">
        <v>23063</v>
      </c>
      <c r="I78" s="12">
        <v>54944</v>
      </c>
      <c r="J78" t="s">
        <v>13</v>
      </c>
      <c r="K78" t="s">
        <v>19</v>
      </c>
    </row>
    <row r="79" spans="1:11">
      <c r="A79" s="11" t="s">
        <v>113</v>
      </c>
      <c r="B79" s="12">
        <v>21359</v>
      </c>
      <c r="C79" s="12">
        <v>25065</v>
      </c>
      <c r="D79" s="12">
        <v>69542</v>
      </c>
      <c r="E79" s="12">
        <v>23946</v>
      </c>
      <c r="F79" s="12">
        <v>56491</v>
      </c>
      <c r="G79" s="12">
        <v>13752</v>
      </c>
      <c r="H79" s="12">
        <v>22240</v>
      </c>
      <c r="I79" s="12">
        <v>68646</v>
      </c>
      <c r="J79" t="s">
        <v>13</v>
      </c>
      <c r="K79" t="s">
        <v>19</v>
      </c>
    </row>
    <row r="80" spans="1:11">
      <c r="A80" s="11" t="s">
        <v>150</v>
      </c>
      <c r="B80" s="12">
        <v>36121</v>
      </c>
      <c r="C80" s="12">
        <v>37378</v>
      </c>
      <c r="D80" s="12">
        <v>38450</v>
      </c>
      <c r="E80" s="12">
        <v>36074</v>
      </c>
      <c r="F80" s="12">
        <v>35988</v>
      </c>
      <c r="G80" s="12">
        <v>38611</v>
      </c>
      <c r="H80" s="12">
        <v>36199</v>
      </c>
      <c r="I80" s="12">
        <v>37546</v>
      </c>
      <c r="J80" t="s">
        <v>13</v>
      </c>
      <c r="K80" t="s">
        <v>21</v>
      </c>
    </row>
    <row r="81" spans="1:11">
      <c r="A81" s="11" t="s">
        <v>264</v>
      </c>
      <c r="B81" s="12">
        <v>29931</v>
      </c>
      <c r="C81" s="12">
        <v>34706</v>
      </c>
      <c r="D81" s="12">
        <v>40542</v>
      </c>
      <c r="E81" s="12">
        <v>43369</v>
      </c>
      <c r="F81" s="12">
        <v>35015</v>
      </c>
      <c r="G81" s="12">
        <v>30652</v>
      </c>
      <c r="H81" s="12">
        <v>35399</v>
      </c>
      <c r="I81" s="12">
        <v>33547</v>
      </c>
      <c r="J81" t="s">
        <v>14</v>
      </c>
      <c r="K81" t="s">
        <v>20</v>
      </c>
    </row>
    <row r="82" spans="1:11">
      <c r="A82" s="11" t="s">
        <v>222</v>
      </c>
      <c r="B82" s="12">
        <v>34493</v>
      </c>
      <c r="C82" s="12">
        <v>35320</v>
      </c>
      <c r="D82" s="12">
        <v>35880</v>
      </c>
      <c r="E82" s="12">
        <v>36188</v>
      </c>
      <c r="F82" s="12">
        <v>35888</v>
      </c>
      <c r="G82" s="12">
        <v>33771</v>
      </c>
      <c r="H82" s="12">
        <v>33205</v>
      </c>
      <c r="I82" s="12">
        <v>35164</v>
      </c>
      <c r="J82" t="s">
        <v>14</v>
      </c>
      <c r="K82" t="s">
        <v>21</v>
      </c>
    </row>
    <row r="83" spans="1:11">
      <c r="A83" s="11" t="s">
        <v>165</v>
      </c>
      <c r="B83" s="12">
        <v>38303</v>
      </c>
      <c r="C83" s="12">
        <v>41648</v>
      </c>
      <c r="D83" s="12">
        <v>37715</v>
      </c>
      <c r="E83" s="12">
        <v>24105</v>
      </c>
      <c r="F83" s="12">
        <v>27900</v>
      </c>
      <c r="G83" s="12">
        <v>29316</v>
      </c>
      <c r="H83" s="12">
        <v>40531</v>
      </c>
      <c r="I83" s="12">
        <v>36466</v>
      </c>
      <c r="J83" t="s">
        <v>14</v>
      </c>
      <c r="K83" t="s">
        <v>20</v>
      </c>
    </row>
    <row r="84" spans="1:11">
      <c r="A84" s="11" t="s">
        <v>190</v>
      </c>
      <c r="B84" s="12">
        <v>43140</v>
      </c>
      <c r="C84" s="12">
        <v>56059</v>
      </c>
      <c r="D84" s="12">
        <v>51975</v>
      </c>
      <c r="E84" s="12">
        <v>14061</v>
      </c>
      <c r="F84" s="12">
        <v>7541</v>
      </c>
      <c r="G84" s="12">
        <v>20557</v>
      </c>
      <c r="H84" s="12">
        <v>57460</v>
      </c>
      <c r="I84" s="12">
        <v>22868</v>
      </c>
      <c r="J84" t="s">
        <v>14</v>
      </c>
      <c r="K84" t="s">
        <v>19</v>
      </c>
    </row>
    <row r="85" spans="1:11">
      <c r="A85" s="11" t="s">
        <v>177</v>
      </c>
      <c r="B85" s="12">
        <v>31846</v>
      </c>
      <c r="C85" s="12">
        <v>38550</v>
      </c>
      <c r="D85" s="12">
        <v>32691</v>
      </c>
      <c r="E85" s="12">
        <v>28136</v>
      </c>
      <c r="F85" s="12">
        <v>40001</v>
      </c>
      <c r="G85" s="12">
        <v>36667</v>
      </c>
      <c r="H85" s="12">
        <v>25861</v>
      </c>
      <c r="I85" s="12">
        <v>28328</v>
      </c>
      <c r="J85" t="s">
        <v>14</v>
      </c>
      <c r="K85" t="s">
        <v>20</v>
      </c>
    </row>
    <row r="86" spans="1:11">
      <c r="A86" s="11" t="s">
        <v>60</v>
      </c>
      <c r="B86" s="12">
        <v>23669</v>
      </c>
      <c r="C86" s="12">
        <v>47231</v>
      </c>
      <c r="D86" s="12">
        <v>20674</v>
      </c>
      <c r="E86" s="12">
        <v>26491</v>
      </c>
      <c r="F86" s="12">
        <v>19442</v>
      </c>
      <c r="G86" s="12">
        <v>62021</v>
      </c>
      <c r="H86" s="12">
        <v>9851</v>
      </c>
      <c r="I86" s="12">
        <v>50405</v>
      </c>
      <c r="J86" t="s">
        <v>14</v>
      </c>
      <c r="K86" t="s">
        <v>19</v>
      </c>
    </row>
    <row r="87" spans="1:11">
      <c r="A87" s="11" t="s">
        <v>164</v>
      </c>
      <c r="B87" s="12">
        <v>29501</v>
      </c>
      <c r="C87" s="12">
        <v>28833</v>
      </c>
      <c r="D87" s="12">
        <v>29182</v>
      </c>
      <c r="E87" s="12">
        <v>27855</v>
      </c>
      <c r="F87" s="12">
        <v>31814</v>
      </c>
      <c r="G87" s="12">
        <v>28314</v>
      </c>
      <c r="H87" s="12">
        <v>38704</v>
      </c>
      <c r="I87" s="12">
        <v>43776</v>
      </c>
      <c r="J87" t="s">
        <v>14</v>
      </c>
      <c r="K87" t="s">
        <v>20</v>
      </c>
    </row>
    <row r="88" spans="1:11">
      <c r="A88" s="11" t="s">
        <v>180</v>
      </c>
      <c r="B88" s="12">
        <v>32072</v>
      </c>
      <c r="C88" s="12">
        <v>30676</v>
      </c>
      <c r="D88" s="12">
        <v>31793</v>
      </c>
      <c r="E88" s="12">
        <v>30810</v>
      </c>
      <c r="F88" s="12">
        <v>31805</v>
      </c>
      <c r="G88" s="12">
        <v>30472</v>
      </c>
      <c r="H88" s="12">
        <v>29975</v>
      </c>
      <c r="I88" s="12">
        <v>30862</v>
      </c>
      <c r="J88" t="s">
        <v>14</v>
      </c>
      <c r="K88" t="s">
        <v>21</v>
      </c>
    </row>
    <row r="89" spans="1:11">
      <c r="A89" s="11" t="s">
        <v>127</v>
      </c>
      <c r="B89" s="12">
        <v>23255</v>
      </c>
      <c r="C89" s="12">
        <v>26163</v>
      </c>
      <c r="D89" s="12">
        <v>33186</v>
      </c>
      <c r="E89" s="12">
        <v>28178</v>
      </c>
      <c r="F89" s="12">
        <v>38498</v>
      </c>
      <c r="G89" s="12">
        <v>36108</v>
      </c>
      <c r="H89" s="12">
        <v>24688</v>
      </c>
      <c r="I89" s="12">
        <v>36095</v>
      </c>
      <c r="J89" t="s">
        <v>14</v>
      </c>
      <c r="K89" t="s">
        <v>20</v>
      </c>
    </row>
    <row r="90" spans="1:11">
      <c r="A90" s="11" t="s">
        <v>116</v>
      </c>
      <c r="B90" s="12">
        <v>29767</v>
      </c>
      <c r="C90" s="12">
        <v>28681</v>
      </c>
      <c r="D90" s="12">
        <v>29069</v>
      </c>
      <c r="E90" s="12">
        <v>29243</v>
      </c>
      <c r="F90" s="12">
        <v>29630</v>
      </c>
      <c r="G90" s="12">
        <v>31119</v>
      </c>
      <c r="H90" s="12">
        <v>30536</v>
      </c>
      <c r="I90" s="12">
        <v>29325</v>
      </c>
      <c r="J90" t="s">
        <v>14</v>
      </c>
      <c r="K90" t="s">
        <v>21</v>
      </c>
    </row>
    <row r="91" spans="1:11">
      <c r="A91" s="11" t="s">
        <v>67</v>
      </c>
      <c r="B91" s="12">
        <v>29653</v>
      </c>
      <c r="C91" s="12">
        <v>30502</v>
      </c>
      <c r="D91" s="12">
        <v>29110</v>
      </c>
      <c r="E91" s="12">
        <v>29250</v>
      </c>
      <c r="F91" s="12">
        <v>30987</v>
      </c>
      <c r="G91" s="12">
        <v>28645</v>
      </c>
      <c r="H91" s="12">
        <v>29403</v>
      </c>
      <c r="I91" s="12">
        <v>29283</v>
      </c>
      <c r="J91" t="s">
        <v>14</v>
      </c>
      <c r="K91" t="s">
        <v>21</v>
      </c>
    </row>
    <row r="92" spans="1:11">
      <c r="A92" s="11" t="s">
        <v>65</v>
      </c>
      <c r="B92" s="12">
        <v>39150</v>
      </c>
      <c r="C92" s="12">
        <v>35955</v>
      </c>
      <c r="D92" s="12">
        <v>40142</v>
      </c>
      <c r="E92" s="12">
        <v>5200</v>
      </c>
      <c r="F92" s="12">
        <v>9034</v>
      </c>
      <c r="G92" s="12">
        <v>7447</v>
      </c>
      <c r="H92" s="12">
        <v>53022</v>
      </c>
      <c r="I92" s="12">
        <v>45130</v>
      </c>
      <c r="J92" t="s">
        <v>14</v>
      </c>
      <c r="K92" t="s">
        <v>19</v>
      </c>
    </row>
    <row r="93" spans="1:11">
      <c r="A93" s="11" t="s">
        <v>234</v>
      </c>
      <c r="B93" s="12">
        <v>10025</v>
      </c>
      <c r="C93" s="12">
        <v>8097</v>
      </c>
      <c r="D93" s="12">
        <v>20081</v>
      </c>
      <c r="E93" s="12">
        <v>9882</v>
      </c>
      <c r="F93" s="12">
        <v>49497</v>
      </c>
      <c r="G93" s="12">
        <v>46977</v>
      </c>
      <c r="H93" s="12">
        <v>49061</v>
      </c>
      <c r="I93" s="12">
        <v>40442</v>
      </c>
      <c r="J93" t="s">
        <v>14</v>
      </c>
      <c r="K93" t="s">
        <v>19</v>
      </c>
    </row>
    <row r="94" spans="1:11">
      <c r="A94" s="11" t="s">
        <v>198</v>
      </c>
      <c r="B94" s="12">
        <v>28977</v>
      </c>
      <c r="C94" s="12">
        <v>28677</v>
      </c>
      <c r="D94" s="12">
        <v>29855</v>
      </c>
      <c r="E94" s="12">
        <v>28303</v>
      </c>
      <c r="F94" s="12">
        <v>29824</v>
      </c>
      <c r="G94" s="12">
        <v>29306</v>
      </c>
      <c r="H94" s="12">
        <v>29287</v>
      </c>
      <c r="I94" s="12">
        <v>28687</v>
      </c>
      <c r="J94" t="s">
        <v>14</v>
      </c>
      <c r="K94" t="s">
        <v>21</v>
      </c>
    </row>
    <row r="95" spans="1:11">
      <c r="A95" s="11" t="s">
        <v>254</v>
      </c>
      <c r="B95" s="12">
        <v>30966</v>
      </c>
      <c r="C95" s="12">
        <v>29260</v>
      </c>
      <c r="D95" s="12">
        <v>28964</v>
      </c>
      <c r="E95" s="12">
        <v>27338</v>
      </c>
      <c r="F95" s="12">
        <v>24481</v>
      </c>
      <c r="G95" s="12">
        <v>29211</v>
      </c>
      <c r="H95" s="12">
        <v>33652</v>
      </c>
      <c r="I95" s="12">
        <v>28631</v>
      </c>
      <c r="J95" t="s">
        <v>14</v>
      </c>
      <c r="K95" t="s">
        <v>21</v>
      </c>
    </row>
    <row r="96" spans="1:11">
      <c r="A96" s="11" t="s">
        <v>160</v>
      </c>
      <c r="B96" s="12">
        <v>28178</v>
      </c>
      <c r="C96" s="12">
        <v>30131</v>
      </c>
      <c r="D96" s="12">
        <v>29783</v>
      </c>
      <c r="E96" s="12">
        <v>28272</v>
      </c>
      <c r="F96" s="12">
        <v>28253</v>
      </c>
      <c r="G96" s="12">
        <v>30452</v>
      </c>
      <c r="H96" s="12">
        <v>29219</v>
      </c>
      <c r="I96" s="12">
        <v>28043</v>
      </c>
      <c r="J96" t="s">
        <v>14</v>
      </c>
      <c r="K96" t="s">
        <v>21</v>
      </c>
    </row>
    <row r="97" spans="1:11">
      <c r="A97" s="11" t="s">
        <v>181</v>
      </c>
      <c r="B97" s="12">
        <v>28364</v>
      </c>
      <c r="C97" s="12">
        <v>27330</v>
      </c>
      <c r="D97" s="12">
        <v>28572</v>
      </c>
      <c r="E97" s="12">
        <v>27462</v>
      </c>
      <c r="F97" s="12">
        <v>27127</v>
      </c>
      <c r="G97" s="12">
        <v>28599</v>
      </c>
      <c r="H97" s="12">
        <v>28958</v>
      </c>
      <c r="I97" s="12">
        <v>29083</v>
      </c>
      <c r="J97" t="s">
        <v>14</v>
      </c>
      <c r="K97" t="s">
        <v>21</v>
      </c>
    </row>
    <row r="98" spans="1:11">
      <c r="A98" s="11" t="s">
        <v>126</v>
      </c>
      <c r="B98" s="12">
        <v>27572</v>
      </c>
      <c r="C98" s="12">
        <v>28021</v>
      </c>
      <c r="D98" s="12">
        <v>27217</v>
      </c>
      <c r="E98" s="12">
        <v>28992</v>
      </c>
      <c r="F98" s="12">
        <v>26957</v>
      </c>
      <c r="G98" s="12">
        <v>28690</v>
      </c>
      <c r="H98" s="12">
        <v>28829</v>
      </c>
      <c r="I98" s="12">
        <v>28123</v>
      </c>
      <c r="J98" t="s">
        <v>14</v>
      </c>
      <c r="K98" t="s">
        <v>21</v>
      </c>
    </row>
    <row r="99" spans="1:11">
      <c r="A99" s="11" t="s">
        <v>266</v>
      </c>
      <c r="B99" s="12">
        <v>51010</v>
      </c>
      <c r="C99" s="12">
        <v>20853</v>
      </c>
      <c r="D99" s="12">
        <v>24351</v>
      </c>
      <c r="E99" s="12">
        <v>14050</v>
      </c>
      <c r="F99" s="12">
        <v>56793</v>
      </c>
      <c r="G99" s="12">
        <v>6795</v>
      </c>
      <c r="H99" s="12">
        <v>28515</v>
      </c>
      <c r="I99" s="12">
        <v>21050</v>
      </c>
      <c r="J99" t="s">
        <v>14</v>
      </c>
      <c r="K99" t="s">
        <v>19</v>
      </c>
    </row>
    <row r="100" spans="1:11">
      <c r="A100" s="11" t="s">
        <v>185</v>
      </c>
      <c r="B100" s="12">
        <v>26852</v>
      </c>
      <c r="C100" s="12">
        <v>20580</v>
      </c>
      <c r="D100" s="12">
        <v>31402</v>
      </c>
      <c r="E100" s="12">
        <v>24970</v>
      </c>
      <c r="F100" s="12">
        <v>35818</v>
      </c>
      <c r="G100" s="12">
        <v>21166</v>
      </c>
      <c r="H100" s="12">
        <v>24076</v>
      </c>
      <c r="I100" s="12">
        <v>36839</v>
      </c>
      <c r="J100" t="s">
        <v>14</v>
      </c>
      <c r="K100" t="s">
        <v>20</v>
      </c>
    </row>
    <row r="101" spans="1:11">
      <c r="A101" s="11" t="s">
        <v>85</v>
      </c>
      <c r="B101" s="12">
        <v>7009</v>
      </c>
      <c r="C101" s="12">
        <v>47284</v>
      </c>
      <c r="D101" s="12">
        <v>13989</v>
      </c>
      <c r="E101" s="12">
        <v>16052</v>
      </c>
      <c r="F101" s="12">
        <v>40433</v>
      </c>
      <c r="G101" s="12">
        <v>10056</v>
      </c>
      <c r="H101" s="12">
        <v>40430</v>
      </c>
      <c r="I101" s="12">
        <v>46274</v>
      </c>
      <c r="J101" t="s">
        <v>14</v>
      </c>
      <c r="K101" t="s">
        <v>19</v>
      </c>
    </row>
    <row r="102" spans="1:11">
      <c r="A102" s="11" t="s">
        <v>197</v>
      </c>
      <c r="B102" s="12">
        <v>26597</v>
      </c>
      <c r="C102" s="12">
        <v>25290</v>
      </c>
      <c r="D102" s="12">
        <v>26575</v>
      </c>
      <c r="E102" s="12">
        <v>26962</v>
      </c>
      <c r="F102" s="12">
        <v>27248</v>
      </c>
      <c r="G102" s="12">
        <v>27593</v>
      </c>
      <c r="H102" s="12">
        <v>27234</v>
      </c>
      <c r="I102" s="12">
        <v>26045</v>
      </c>
      <c r="J102" t="s">
        <v>14</v>
      </c>
      <c r="K102" t="s">
        <v>21</v>
      </c>
    </row>
    <row r="103" spans="1:11">
      <c r="A103" s="11" t="s">
        <v>260</v>
      </c>
      <c r="B103" s="12">
        <v>28699</v>
      </c>
      <c r="C103" s="12">
        <v>5676</v>
      </c>
      <c r="D103" s="12">
        <v>31283</v>
      </c>
      <c r="E103" s="12">
        <v>29406</v>
      </c>
      <c r="F103" s="12">
        <v>25560</v>
      </c>
      <c r="G103" s="12">
        <v>34507</v>
      </c>
      <c r="H103" s="12">
        <v>33587</v>
      </c>
      <c r="I103" s="12">
        <v>24075</v>
      </c>
      <c r="J103" t="s">
        <v>14</v>
      </c>
      <c r="K103" t="s">
        <v>19</v>
      </c>
    </row>
    <row r="104" spans="1:11">
      <c r="A104" s="11" t="s">
        <v>76</v>
      </c>
      <c r="B104" s="12">
        <v>22347</v>
      </c>
      <c r="C104" s="12">
        <v>30055</v>
      </c>
      <c r="D104" s="12">
        <v>21814</v>
      </c>
      <c r="E104" s="12">
        <v>20468</v>
      </c>
      <c r="F104" s="12">
        <v>33119</v>
      </c>
      <c r="G104" s="12">
        <v>31550</v>
      </c>
      <c r="H104" s="12">
        <v>26866</v>
      </c>
      <c r="I104" s="12">
        <v>19855</v>
      </c>
      <c r="J104" t="s">
        <v>14</v>
      </c>
      <c r="K104" t="s">
        <v>20</v>
      </c>
    </row>
    <row r="105" spans="1:11">
      <c r="A105" s="11" t="s">
        <v>243</v>
      </c>
      <c r="B105" s="12">
        <v>35201</v>
      </c>
      <c r="C105" s="12">
        <v>11403</v>
      </c>
      <c r="D105" s="12">
        <v>42285</v>
      </c>
      <c r="E105" s="12">
        <v>41842</v>
      </c>
      <c r="F105" s="12">
        <v>5200</v>
      </c>
      <c r="G105" s="12">
        <v>39873</v>
      </c>
      <c r="H105" s="12">
        <v>14029</v>
      </c>
      <c r="I105" s="12">
        <v>7468</v>
      </c>
      <c r="J105" t="s">
        <v>14</v>
      </c>
      <c r="K105" t="s">
        <v>19</v>
      </c>
    </row>
    <row r="106" spans="1:11">
      <c r="A106" s="11" t="s">
        <v>151</v>
      </c>
      <c r="B106" s="12">
        <v>22573</v>
      </c>
      <c r="C106" s="12">
        <v>16491</v>
      </c>
      <c r="D106" s="12">
        <v>28947</v>
      </c>
      <c r="E106" s="12">
        <v>28098</v>
      </c>
      <c r="F106" s="12">
        <v>24871</v>
      </c>
      <c r="G106" s="12">
        <v>26883</v>
      </c>
      <c r="H106" s="12">
        <v>24484</v>
      </c>
      <c r="I106" s="12">
        <v>21854</v>
      </c>
      <c r="J106" t="s">
        <v>14</v>
      </c>
      <c r="K106" t="s">
        <v>20</v>
      </c>
    </row>
    <row r="107" spans="1:11">
      <c r="A107" s="11" t="s">
        <v>175</v>
      </c>
      <c r="B107" s="12">
        <v>20928</v>
      </c>
      <c r="C107" s="12">
        <v>17822</v>
      </c>
      <c r="D107" s="12">
        <v>29109</v>
      </c>
      <c r="E107" s="12">
        <v>28398</v>
      </c>
      <c r="F107" s="12">
        <v>25871</v>
      </c>
      <c r="G107" s="12">
        <v>18303</v>
      </c>
      <c r="H107" s="12">
        <v>25788</v>
      </c>
      <c r="I107" s="12">
        <v>27559</v>
      </c>
      <c r="J107" t="s">
        <v>14</v>
      </c>
      <c r="K107" t="s">
        <v>20</v>
      </c>
    </row>
    <row r="108" spans="1:11">
      <c r="A108" s="11" t="s">
        <v>50</v>
      </c>
      <c r="B108" s="12">
        <v>24544</v>
      </c>
      <c r="C108" s="12">
        <v>24336</v>
      </c>
      <c r="D108" s="12">
        <v>24068</v>
      </c>
      <c r="E108" s="12">
        <v>24363</v>
      </c>
      <c r="F108" s="12">
        <v>23753</v>
      </c>
      <c r="G108" s="12">
        <v>23409</v>
      </c>
      <c r="H108" s="12">
        <v>23126</v>
      </c>
      <c r="I108" s="12">
        <v>24374</v>
      </c>
      <c r="J108" t="s">
        <v>14</v>
      </c>
      <c r="K108" t="s">
        <v>21</v>
      </c>
    </row>
    <row r="109" spans="1:11">
      <c r="A109" s="11" t="s">
        <v>194</v>
      </c>
      <c r="B109" s="12">
        <v>23641</v>
      </c>
      <c r="C109" s="12">
        <v>24364</v>
      </c>
      <c r="D109" s="12">
        <v>24658</v>
      </c>
      <c r="E109" s="12">
        <v>23459</v>
      </c>
      <c r="F109" s="12">
        <v>24295</v>
      </c>
      <c r="G109" s="12">
        <v>23649</v>
      </c>
      <c r="H109" s="12">
        <v>22818</v>
      </c>
      <c r="I109" s="12">
        <v>22622</v>
      </c>
      <c r="J109" t="s">
        <v>14</v>
      </c>
      <c r="K109" t="s">
        <v>21</v>
      </c>
    </row>
    <row r="110" spans="1:11">
      <c r="A110" s="11" t="s">
        <v>89</v>
      </c>
      <c r="B110" s="12">
        <v>19433</v>
      </c>
      <c r="C110" s="12">
        <v>19651</v>
      </c>
      <c r="D110" s="12">
        <v>28199</v>
      </c>
      <c r="E110" s="12">
        <v>25972</v>
      </c>
      <c r="F110" s="12">
        <v>19614</v>
      </c>
      <c r="G110" s="12">
        <v>25425</v>
      </c>
      <c r="H110" s="12">
        <v>25804</v>
      </c>
      <c r="I110" s="12">
        <v>22467</v>
      </c>
      <c r="J110" t="s">
        <v>14</v>
      </c>
      <c r="K110" t="s">
        <v>20</v>
      </c>
    </row>
    <row r="111" spans="1:11">
      <c r="A111" s="11" t="s">
        <v>103</v>
      </c>
      <c r="B111" s="12">
        <v>26791</v>
      </c>
      <c r="C111" s="12">
        <v>29969</v>
      </c>
      <c r="D111" s="12">
        <v>29297</v>
      </c>
      <c r="E111" s="12">
        <v>30819</v>
      </c>
      <c r="F111" s="12">
        <v>28910</v>
      </c>
      <c r="G111" s="12">
        <v>9907</v>
      </c>
      <c r="H111" s="12">
        <v>16415</v>
      </c>
      <c r="I111" s="12">
        <v>14245</v>
      </c>
      <c r="J111" t="s">
        <v>14</v>
      </c>
      <c r="K111" t="s">
        <v>19</v>
      </c>
    </row>
    <row r="112" spans="1:11">
      <c r="A112" s="11" t="s">
        <v>240</v>
      </c>
      <c r="B112" s="12">
        <v>27143</v>
      </c>
      <c r="C112" s="12">
        <v>19102</v>
      </c>
      <c r="D112" s="12">
        <v>27320</v>
      </c>
      <c r="E112" s="12">
        <v>18959</v>
      </c>
      <c r="F112" s="12">
        <v>26504</v>
      </c>
      <c r="G112" s="12">
        <v>18767</v>
      </c>
      <c r="H112" s="12">
        <v>26621</v>
      </c>
      <c r="I112" s="12">
        <v>21034</v>
      </c>
      <c r="J112" t="s">
        <v>14</v>
      </c>
      <c r="K112" t="s">
        <v>20</v>
      </c>
    </row>
    <row r="113" spans="1:11">
      <c r="A113" s="11" t="s">
        <v>146</v>
      </c>
      <c r="B113" s="12">
        <v>23190</v>
      </c>
      <c r="C113" s="12">
        <v>23629</v>
      </c>
      <c r="D113" s="12">
        <v>22459</v>
      </c>
      <c r="E113" s="12">
        <v>22927</v>
      </c>
      <c r="F113" s="12">
        <v>23774</v>
      </c>
      <c r="G113" s="12">
        <v>23534</v>
      </c>
      <c r="H113" s="12">
        <v>22996</v>
      </c>
      <c r="I113" s="12">
        <v>22833</v>
      </c>
      <c r="J113" t="s">
        <v>14</v>
      </c>
      <c r="K113" t="s">
        <v>21</v>
      </c>
    </row>
    <row r="114" spans="1:11">
      <c r="A114" s="11" t="s">
        <v>274</v>
      </c>
      <c r="B114" s="12">
        <v>23141</v>
      </c>
      <c r="C114" s="12">
        <v>22804</v>
      </c>
      <c r="D114" s="12">
        <v>22240</v>
      </c>
      <c r="E114" s="12">
        <v>23285</v>
      </c>
      <c r="F114" s="12">
        <v>23660</v>
      </c>
      <c r="G114" s="12">
        <v>23057</v>
      </c>
      <c r="H114" s="12">
        <v>23153</v>
      </c>
      <c r="I114" s="12">
        <v>23012</v>
      </c>
      <c r="J114" t="s">
        <v>14</v>
      </c>
      <c r="K114" t="s">
        <v>21</v>
      </c>
    </row>
    <row r="115" spans="1:11">
      <c r="A115" s="11" t="s">
        <v>142</v>
      </c>
      <c r="B115" s="12">
        <v>16289</v>
      </c>
      <c r="C115" s="12">
        <v>35641</v>
      </c>
      <c r="D115" s="12">
        <v>39134</v>
      </c>
      <c r="E115" s="12">
        <v>6568</v>
      </c>
      <c r="F115" s="12">
        <v>45238</v>
      </c>
      <c r="G115" s="12">
        <v>5495</v>
      </c>
      <c r="H115" s="12">
        <v>20746</v>
      </c>
      <c r="I115" s="12">
        <v>8990</v>
      </c>
      <c r="J115" t="s">
        <v>14</v>
      </c>
      <c r="K115" t="s">
        <v>19</v>
      </c>
    </row>
    <row r="116" spans="1:11">
      <c r="A116" s="11" t="s">
        <v>105</v>
      </c>
      <c r="B116" s="12">
        <v>26113</v>
      </c>
      <c r="C116" s="12">
        <v>20683</v>
      </c>
      <c r="D116" s="12">
        <v>18749</v>
      </c>
      <c r="E116" s="12">
        <v>23043</v>
      </c>
      <c r="F116" s="12">
        <v>26891</v>
      </c>
      <c r="G116" s="12">
        <v>24023</v>
      </c>
      <c r="H116" s="12">
        <v>19508</v>
      </c>
      <c r="I116" s="12">
        <v>19067</v>
      </c>
      <c r="J116" t="s">
        <v>14</v>
      </c>
      <c r="K116" t="s">
        <v>20</v>
      </c>
    </row>
    <row r="117" spans="1:11">
      <c r="A117" s="11" t="s">
        <v>202</v>
      </c>
      <c r="B117" s="12">
        <v>22658</v>
      </c>
      <c r="C117" s="12">
        <v>21715</v>
      </c>
      <c r="D117" s="12">
        <v>22110</v>
      </c>
      <c r="E117" s="12">
        <v>22302</v>
      </c>
      <c r="F117" s="12">
        <v>21793</v>
      </c>
      <c r="G117" s="12">
        <v>21696</v>
      </c>
      <c r="H117" s="12">
        <v>22298</v>
      </c>
      <c r="I117" s="12">
        <v>22106</v>
      </c>
      <c r="J117" t="s">
        <v>14</v>
      </c>
      <c r="K117" t="s">
        <v>21</v>
      </c>
    </row>
    <row r="118" spans="1:11">
      <c r="A118" s="11" t="s">
        <v>233</v>
      </c>
      <c r="B118" s="12">
        <v>24947</v>
      </c>
      <c r="C118" s="12">
        <v>18158</v>
      </c>
      <c r="D118" s="12">
        <v>23681</v>
      </c>
      <c r="E118" s="12">
        <v>16970</v>
      </c>
      <c r="F118" s="12">
        <v>23760</v>
      </c>
      <c r="G118" s="12">
        <v>22713</v>
      </c>
      <c r="H118" s="12">
        <v>24691</v>
      </c>
      <c r="I118" s="12">
        <v>20425</v>
      </c>
      <c r="J118" t="s">
        <v>14</v>
      </c>
      <c r="K118" t="s">
        <v>20</v>
      </c>
    </row>
    <row r="119" spans="1:11">
      <c r="A119" s="11" t="s">
        <v>90</v>
      </c>
      <c r="B119" s="12">
        <v>7267</v>
      </c>
      <c r="C119" s="12">
        <v>35400</v>
      </c>
      <c r="D119" s="12">
        <v>28867</v>
      </c>
      <c r="E119" s="12">
        <v>10045</v>
      </c>
      <c r="F119" s="12">
        <v>27470</v>
      </c>
      <c r="G119" s="12">
        <v>35964</v>
      </c>
      <c r="H119" s="12">
        <v>13475</v>
      </c>
      <c r="I119" s="12">
        <v>14744</v>
      </c>
      <c r="J119" t="s">
        <v>14</v>
      </c>
      <c r="K119" t="s">
        <v>19</v>
      </c>
    </row>
    <row r="120" spans="1:11">
      <c r="A120" s="11" t="s">
        <v>47</v>
      </c>
      <c r="B120" s="12">
        <v>22141</v>
      </c>
      <c r="C120" s="12">
        <v>20664</v>
      </c>
      <c r="D120" s="12">
        <v>21213</v>
      </c>
      <c r="E120" s="12">
        <v>20992</v>
      </c>
      <c r="F120" s="12">
        <v>22372</v>
      </c>
      <c r="G120" s="12">
        <v>21019</v>
      </c>
      <c r="H120" s="12">
        <v>21828</v>
      </c>
      <c r="I120" s="12">
        <v>22060</v>
      </c>
      <c r="J120" t="s">
        <v>14</v>
      </c>
      <c r="K120" t="s">
        <v>21</v>
      </c>
    </row>
    <row r="121" spans="1:11">
      <c r="A121" s="11" t="s">
        <v>80</v>
      </c>
      <c r="B121" s="12">
        <v>27885</v>
      </c>
      <c r="C121" s="12">
        <v>6329</v>
      </c>
      <c r="D121" s="12">
        <v>14342</v>
      </c>
      <c r="E121" s="12">
        <v>36441</v>
      </c>
      <c r="F121" s="12">
        <v>35262</v>
      </c>
      <c r="G121" s="12">
        <v>5200</v>
      </c>
      <c r="H121" s="12">
        <v>31725</v>
      </c>
      <c r="I121" s="12">
        <v>14878</v>
      </c>
      <c r="J121" t="s">
        <v>14</v>
      </c>
      <c r="K121" t="s">
        <v>19</v>
      </c>
    </row>
    <row r="122" spans="1:11">
      <c r="A122" s="11" t="s">
        <v>241</v>
      </c>
      <c r="B122" s="12">
        <v>20438</v>
      </c>
      <c r="C122" s="12">
        <v>19118</v>
      </c>
      <c r="D122" s="12">
        <v>17476</v>
      </c>
      <c r="E122" s="12">
        <v>22066</v>
      </c>
      <c r="F122" s="12">
        <v>19567</v>
      </c>
      <c r="G122" s="12">
        <v>28805</v>
      </c>
      <c r="H122" s="12">
        <v>23288</v>
      </c>
      <c r="I122" s="12">
        <v>19346</v>
      </c>
      <c r="J122" t="s">
        <v>14</v>
      </c>
      <c r="K122" t="s">
        <v>20</v>
      </c>
    </row>
    <row r="123" spans="1:11">
      <c r="A123" s="11" t="s">
        <v>226</v>
      </c>
      <c r="B123" s="12">
        <v>21523</v>
      </c>
      <c r="C123" s="12">
        <v>22166</v>
      </c>
      <c r="D123" s="12">
        <v>20510</v>
      </c>
      <c r="E123" s="12">
        <v>20651</v>
      </c>
      <c r="F123" s="12">
        <v>21149</v>
      </c>
      <c r="G123" s="12">
        <v>21805</v>
      </c>
      <c r="H123" s="12">
        <v>21171</v>
      </c>
      <c r="I123" s="12">
        <v>21044</v>
      </c>
      <c r="J123" t="s">
        <v>14</v>
      </c>
      <c r="K123" t="s">
        <v>21</v>
      </c>
    </row>
    <row r="124" spans="1:11">
      <c r="A124" s="11" t="s">
        <v>238</v>
      </c>
      <c r="B124" s="12">
        <v>22811</v>
      </c>
      <c r="C124" s="12">
        <v>15605</v>
      </c>
      <c r="D124" s="12">
        <v>19038</v>
      </c>
      <c r="E124" s="12">
        <v>26044</v>
      </c>
      <c r="F124" s="12">
        <v>17675</v>
      </c>
      <c r="G124" s="12">
        <v>26715</v>
      </c>
      <c r="H124" s="12">
        <v>21760</v>
      </c>
      <c r="I124" s="12">
        <v>20337</v>
      </c>
      <c r="J124" t="s">
        <v>14</v>
      </c>
      <c r="K124" t="s">
        <v>20</v>
      </c>
    </row>
    <row r="125" spans="1:11">
      <c r="A125" s="11" t="s">
        <v>249</v>
      </c>
      <c r="B125" s="12">
        <v>23230</v>
      </c>
      <c r="C125" s="12">
        <v>24027</v>
      </c>
      <c r="D125" s="12">
        <v>16065</v>
      </c>
      <c r="E125" s="12">
        <v>21302</v>
      </c>
      <c r="F125" s="12">
        <v>18180</v>
      </c>
      <c r="G125" s="12">
        <v>26481</v>
      </c>
      <c r="H125" s="12">
        <v>18128</v>
      </c>
      <c r="I125" s="12">
        <v>21762</v>
      </c>
      <c r="J125" t="s">
        <v>14</v>
      </c>
      <c r="K125" t="s">
        <v>20</v>
      </c>
    </row>
    <row r="126" spans="1:11">
      <c r="A126" s="11" t="s">
        <v>75</v>
      </c>
      <c r="B126" s="12">
        <v>7030</v>
      </c>
      <c r="C126" s="12">
        <v>58642</v>
      </c>
      <c r="D126" s="12">
        <v>18565</v>
      </c>
      <c r="E126" s="12">
        <v>9987</v>
      </c>
      <c r="F126" s="12">
        <v>18942</v>
      </c>
      <c r="G126" s="12">
        <v>23522</v>
      </c>
      <c r="H126" s="12">
        <v>5799</v>
      </c>
      <c r="I126" s="12">
        <v>26400</v>
      </c>
      <c r="J126" t="s">
        <v>14</v>
      </c>
      <c r="K126" t="s">
        <v>19</v>
      </c>
    </row>
    <row r="127" spans="1:11">
      <c r="A127" s="11" t="s">
        <v>275</v>
      </c>
      <c r="B127" s="12">
        <v>20168</v>
      </c>
      <c r="C127" s="12">
        <v>20881</v>
      </c>
      <c r="D127" s="12">
        <v>20801</v>
      </c>
      <c r="E127" s="12">
        <v>21382</v>
      </c>
      <c r="F127" s="12">
        <v>20110</v>
      </c>
      <c r="G127" s="12">
        <v>21500</v>
      </c>
      <c r="H127" s="12">
        <v>19928</v>
      </c>
      <c r="I127" s="12">
        <v>20524</v>
      </c>
      <c r="J127" t="s">
        <v>14</v>
      </c>
      <c r="K127" t="s">
        <v>21</v>
      </c>
    </row>
    <row r="128" spans="1:11">
      <c r="A128" s="11" t="s">
        <v>193</v>
      </c>
      <c r="B128" s="12">
        <v>18274</v>
      </c>
      <c r="C128" s="12">
        <v>15538</v>
      </c>
      <c r="D128" s="12">
        <v>17812</v>
      </c>
      <c r="E128" s="12">
        <v>21297</v>
      </c>
      <c r="F128" s="12">
        <v>23636</v>
      </c>
      <c r="G128" s="12">
        <v>25476</v>
      </c>
      <c r="H128" s="12">
        <v>20615</v>
      </c>
      <c r="I128" s="12">
        <v>18197</v>
      </c>
      <c r="J128" t="s">
        <v>14</v>
      </c>
      <c r="K128" t="s">
        <v>20</v>
      </c>
    </row>
    <row r="129" spans="1:11">
      <c r="A129" s="11" t="s">
        <v>244</v>
      </c>
      <c r="B129" s="12">
        <v>13846</v>
      </c>
      <c r="C129" s="12">
        <v>19012</v>
      </c>
      <c r="D129" s="12">
        <v>16975</v>
      </c>
      <c r="E129" s="12">
        <v>19591</v>
      </c>
      <c r="F129" s="12">
        <v>13043</v>
      </c>
      <c r="G129" s="12">
        <v>10276</v>
      </c>
      <c r="H129" s="12">
        <v>17880</v>
      </c>
      <c r="I129" s="12">
        <v>43754</v>
      </c>
      <c r="J129" t="s">
        <v>14</v>
      </c>
      <c r="K129" t="s">
        <v>19</v>
      </c>
    </row>
    <row r="130" spans="1:11">
      <c r="A130" s="11" t="s">
        <v>130</v>
      </c>
      <c r="B130" s="12">
        <v>18320</v>
      </c>
      <c r="C130" s="12">
        <v>18924</v>
      </c>
      <c r="D130" s="12">
        <v>19618</v>
      </c>
      <c r="E130" s="12">
        <v>19425</v>
      </c>
      <c r="F130" s="12">
        <v>19631</v>
      </c>
      <c r="G130" s="12">
        <v>18958</v>
      </c>
      <c r="H130" s="12">
        <v>19282</v>
      </c>
      <c r="I130" s="12">
        <v>18276</v>
      </c>
      <c r="J130" t="s">
        <v>14</v>
      </c>
      <c r="K130" t="s">
        <v>21</v>
      </c>
    </row>
    <row r="131" spans="1:11">
      <c r="A131" s="11" t="s">
        <v>201</v>
      </c>
      <c r="B131" s="12">
        <v>18278</v>
      </c>
      <c r="C131" s="12">
        <v>19227</v>
      </c>
      <c r="D131" s="12">
        <v>19244</v>
      </c>
      <c r="E131" s="12">
        <v>18102</v>
      </c>
      <c r="F131" s="12">
        <v>19500</v>
      </c>
      <c r="G131" s="12">
        <v>18128</v>
      </c>
      <c r="H131" s="12">
        <v>19035</v>
      </c>
      <c r="I131" s="12">
        <v>19007</v>
      </c>
      <c r="J131" t="s">
        <v>14</v>
      </c>
      <c r="K131" t="s">
        <v>21</v>
      </c>
    </row>
    <row r="132" spans="1:11">
      <c r="A132" s="11" t="s">
        <v>156</v>
      </c>
      <c r="B132" s="12">
        <v>5222</v>
      </c>
      <c r="C132" s="12">
        <v>15568</v>
      </c>
      <c r="D132" s="12">
        <v>14086</v>
      </c>
      <c r="E132" s="12">
        <v>15698</v>
      </c>
      <c r="F132" s="12">
        <v>6152</v>
      </c>
      <c r="G132" s="12">
        <v>36762</v>
      </c>
      <c r="H132" s="12">
        <v>28706</v>
      </c>
      <c r="I132" s="12">
        <v>28266</v>
      </c>
      <c r="J132" t="s">
        <v>14</v>
      </c>
      <c r="K132" t="s">
        <v>19</v>
      </c>
    </row>
    <row r="133" spans="1:11">
      <c r="A133" s="11" t="s">
        <v>170</v>
      </c>
      <c r="B133" s="12">
        <v>18334</v>
      </c>
      <c r="C133" s="12">
        <v>19276</v>
      </c>
      <c r="D133" s="12">
        <v>19420</v>
      </c>
      <c r="E133" s="12">
        <v>18191</v>
      </c>
      <c r="F133" s="12">
        <v>18299</v>
      </c>
      <c r="G133" s="12">
        <v>18263</v>
      </c>
      <c r="H133" s="12">
        <v>19174</v>
      </c>
      <c r="I133" s="12">
        <v>18814</v>
      </c>
      <c r="J133" t="s">
        <v>14</v>
      </c>
      <c r="K133" t="s">
        <v>21</v>
      </c>
    </row>
    <row r="134" spans="1:11">
      <c r="A134" s="11" t="s">
        <v>192</v>
      </c>
      <c r="B134" s="12">
        <v>18609</v>
      </c>
      <c r="C134" s="12">
        <v>18752</v>
      </c>
      <c r="D134" s="12">
        <v>17879</v>
      </c>
      <c r="E134" s="12">
        <v>18354</v>
      </c>
      <c r="F134" s="12">
        <v>18707</v>
      </c>
      <c r="G134" s="12">
        <v>17907</v>
      </c>
      <c r="H134" s="12">
        <v>17314</v>
      </c>
      <c r="I134" s="12">
        <v>18659</v>
      </c>
      <c r="J134" t="s">
        <v>14</v>
      </c>
      <c r="K134" t="s">
        <v>21</v>
      </c>
    </row>
    <row r="135" spans="1:11">
      <c r="A135" s="11" t="s">
        <v>217</v>
      </c>
      <c r="B135" s="12">
        <v>21865</v>
      </c>
      <c r="C135" s="12">
        <v>17117</v>
      </c>
      <c r="D135" s="12">
        <v>17662</v>
      </c>
      <c r="E135" s="12">
        <v>17742</v>
      </c>
      <c r="F135" s="12">
        <v>16136</v>
      </c>
      <c r="G135" s="12">
        <v>15898</v>
      </c>
      <c r="H135" s="12">
        <v>16135</v>
      </c>
      <c r="I135" s="12">
        <v>21635</v>
      </c>
      <c r="J135" t="s">
        <v>14</v>
      </c>
      <c r="K135" t="s">
        <v>20</v>
      </c>
    </row>
    <row r="136" spans="1:11">
      <c r="A136" s="11" t="s">
        <v>141</v>
      </c>
      <c r="B136" s="12">
        <v>17202</v>
      </c>
      <c r="C136" s="12">
        <v>17951</v>
      </c>
      <c r="D136" s="12">
        <v>17268</v>
      </c>
      <c r="E136" s="12">
        <v>17161</v>
      </c>
      <c r="F136" s="12">
        <v>18735</v>
      </c>
      <c r="G136" s="12">
        <v>18402</v>
      </c>
      <c r="H136" s="12">
        <v>18563</v>
      </c>
      <c r="I136" s="12">
        <v>18689</v>
      </c>
      <c r="J136" t="s">
        <v>14</v>
      </c>
      <c r="K136" t="s">
        <v>21</v>
      </c>
    </row>
    <row r="137" spans="1:11">
      <c r="A137" s="11" t="s">
        <v>77</v>
      </c>
      <c r="B137" s="12">
        <v>26765</v>
      </c>
      <c r="C137" s="12">
        <v>7928</v>
      </c>
      <c r="D137" s="12">
        <v>26683</v>
      </c>
      <c r="E137" s="12">
        <v>21491</v>
      </c>
      <c r="F137" s="12">
        <v>23027</v>
      </c>
      <c r="G137" s="12">
        <v>25191</v>
      </c>
      <c r="H137" s="12">
        <v>5200</v>
      </c>
      <c r="I137" s="12">
        <v>5200</v>
      </c>
      <c r="J137" t="s">
        <v>14</v>
      </c>
      <c r="K137" t="s">
        <v>19</v>
      </c>
    </row>
    <row r="138" spans="1:11">
      <c r="A138" s="11" t="s">
        <v>214</v>
      </c>
      <c r="B138" s="12">
        <v>14539</v>
      </c>
      <c r="C138" s="12">
        <v>17598</v>
      </c>
      <c r="D138" s="12">
        <v>18210</v>
      </c>
      <c r="E138" s="12">
        <v>19637</v>
      </c>
      <c r="F138" s="12">
        <v>15988</v>
      </c>
      <c r="G138" s="12">
        <v>17243</v>
      </c>
      <c r="H138" s="12">
        <v>18713</v>
      </c>
      <c r="I138" s="12">
        <v>18656</v>
      </c>
      <c r="J138" t="s">
        <v>14</v>
      </c>
      <c r="K138" t="s">
        <v>21</v>
      </c>
    </row>
    <row r="139" spans="1:11">
      <c r="A139" s="11" t="s">
        <v>131</v>
      </c>
      <c r="B139" s="12">
        <v>17727</v>
      </c>
      <c r="C139" s="12">
        <v>17280</v>
      </c>
      <c r="D139" s="12">
        <v>16794</v>
      </c>
      <c r="E139" s="12">
        <v>17049</v>
      </c>
      <c r="F139" s="12">
        <v>16894</v>
      </c>
      <c r="G139" s="12">
        <v>17992</v>
      </c>
      <c r="H139" s="12">
        <v>18278</v>
      </c>
      <c r="I139" s="12">
        <v>18215</v>
      </c>
      <c r="J139" t="s">
        <v>14</v>
      </c>
      <c r="K139" t="s">
        <v>21</v>
      </c>
    </row>
    <row r="140" spans="1:11">
      <c r="A140" s="11" t="s">
        <v>207</v>
      </c>
      <c r="B140" s="12">
        <v>9389</v>
      </c>
      <c r="C140" s="12">
        <v>33492</v>
      </c>
      <c r="D140" s="12">
        <v>13124</v>
      </c>
      <c r="E140" s="12">
        <v>5200</v>
      </c>
      <c r="F140" s="12">
        <v>8371</v>
      </c>
      <c r="G140" s="12">
        <v>5994</v>
      </c>
      <c r="H140" s="12">
        <v>29784</v>
      </c>
      <c r="I140" s="12">
        <v>33951</v>
      </c>
      <c r="J140" t="s">
        <v>14</v>
      </c>
      <c r="K140" t="s">
        <v>19</v>
      </c>
    </row>
    <row r="141" spans="1:11">
      <c r="A141" s="11" t="s">
        <v>231</v>
      </c>
      <c r="B141" s="12">
        <v>20762</v>
      </c>
      <c r="C141" s="12">
        <v>14776</v>
      </c>
      <c r="D141" s="12">
        <v>12501</v>
      </c>
      <c r="E141" s="12">
        <v>21434</v>
      </c>
      <c r="F141" s="12">
        <v>21717</v>
      </c>
      <c r="G141" s="12">
        <v>19524</v>
      </c>
      <c r="H141" s="12">
        <v>14937</v>
      </c>
      <c r="I141" s="12">
        <v>13422</v>
      </c>
      <c r="J141" t="s">
        <v>14</v>
      </c>
      <c r="K141" t="s">
        <v>20</v>
      </c>
    </row>
    <row r="142" spans="1:11">
      <c r="A142" s="11" t="s">
        <v>261</v>
      </c>
      <c r="B142" s="12">
        <v>17970</v>
      </c>
      <c r="C142" s="12">
        <v>16684</v>
      </c>
      <c r="D142" s="12">
        <v>17372</v>
      </c>
      <c r="E142" s="12">
        <v>17566</v>
      </c>
      <c r="F142" s="12">
        <v>18039</v>
      </c>
      <c r="G142" s="12">
        <v>16962</v>
      </c>
      <c r="H142" s="12">
        <v>16985</v>
      </c>
      <c r="I142" s="12">
        <v>17188</v>
      </c>
      <c r="J142" t="s">
        <v>14</v>
      </c>
      <c r="K142" t="s">
        <v>21</v>
      </c>
    </row>
    <row r="143" spans="1:11">
      <c r="A143" s="11" t="s">
        <v>88</v>
      </c>
      <c r="B143" s="12">
        <v>17035</v>
      </c>
      <c r="C143" s="12">
        <v>17865</v>
      </c>
      <c r="D143" s="12">
        <v>17024</v>
      </c>
      <c r="E143" s="12">
        <v>17261</v>
      </c>
      <c r="F143" s="12">
        <v>17157</v>
      </c>
      <c r="G143" s="12">
        <v>16715</v>
      </c>
      <c r="H143" s="12">
        <v>16703</v>
      </c>
      <c r="I143" s="12">
        <v>17820</v>
      </c>
      <c r="J143" t="s">
        <v>14</v>
      </c>
      <c r="K143" t="s">
        <v>21</v>
      </c>
    </row>
    <row r="144" spans="1:11">
      <c r="A144" s="11" t="s">
        <v>174</v>
      </c>
      <c r="B144" s="12">
        <v>22502</v>
      </c>
      <c r="C144" s="12">
        <v>24732</v>
      </c>
      <c r="D144" s="12">
        <v>16582</v>
      </c>
      <c r="E144" s="12">
        <v>5200</v>
      </c>
      <c r="F144" s="12">
        <v>18442</v>
      </c>
      <c r="G144" s="12">
        <v>18253</v>
      </c>
      <c r="H144" s="12">
        <v>23010</v>
      </c>
      <c r="I144" s="12">
        <v>8207</v>
      </c>
      <c r="J144" t="s">
        <v>14</v>
      </c>
      <c r="K144" t="s">
        <v>19</v>
      </c>
    </row>
    <row r="145" spans="1:11">
      <c r="A145" s="11" t="s">
        <v>199</v>
      </c>
      <c r="B145" s="12">
        <v>18739</v>
      </c>
      <c r="C145" s="12">
        <v>19654</v>
      </c>
      <c r="D145" s="12">
        <v>20306</v>
      </c>
      <c r="E145" s="12">
        <v>22426</v>
      </c>
      <c r="F145" s="12">
        <v>6170</v>
      </c>
      <c r="G145" s="12">
        <v>21734</v>
      </c>
      <c r="H145" s="12">
        <v>6532</v>
      </c>
      <c r="I145" s="12">
        <v>20736</v>
      </c>
      <c r="J145" t="s">
        <v>14</v>
      </c>
      <c r="K145" t="s">
        <v>19</v>
      </c>
    </row>
    <row r="146" spans="1:11">
      <c r="A146" s="11" t="s">
        <v>153</v>
      </c>
      <c r="B146" s="12">
        <v>30073</v>
      </c>
      <c r="C146" s="12">
        <v>11603</v>
      </c>
      <c r="D146" s="12">
        <v>23001</v>
      </c>
      <c r="E146" s="12">
        <v>9281</v>
      </c>
      <c r="F146" s="12">
        <v>6209</v>
      </c>
      <c r="G146" s="12">
        <v>27805</v>
      </c>
      <c r="H146" s="12">
        <v>5200</v>
      </c>
      <c r="I146" s="12">
        <v>21884</v>
      </c>
      <c r="J146" t="s">
        <v>14</v>
      </c>
      <c r="K146" t="s">
        <v>19</v>
      </c>
    </row>
    <row r="147" spans="1:11">
      <c r="A147" s="11" t="s">
        <v>208</v>
      </c>
      <c r="B147" s="12">
        <v>19004</v>
      </c>
      <c r="C147" s="12">
        <v>17346</v>
      </c>
      <c r="D147" s="12">
        <v>17504</v>
      </c>
      <c r="E147" s="12">
        <v>14275</v>
      </c>
      <c r="F147" s="12">
        <v>18148</v>
      </c>
      <c r="G147" s="12">
        <v>19077</v>
      </c>
      <c r="H147" s="12">
        <v>16765</v>
      </c>
      <c r="I147" s="12">
        <v>12109</v>
      </c>
      <c r="J147" t="s">
        <v>14</v>
      </c>
      <c r="K147" t="s">
        <v>20</v>
      </c>
    </row>
    <row r="148" spans="1:11">
      <c r="A148" s="11" t="s">
        <v>120</v>
      </c>
      <c r="B148" s="12">
        <v>16659</v>
      </c>
      <c r="C148" s="12">
        <v>18140</v>
      </c>
      <c r="D148" s="12">
        <v>18671</v>
      </c>
      <c r="E148" s="12">
        <v>15226</v>
      </c>
      <c r="F148" s="12">
        <v>19303</v>
      </c>
      <c r="G148" s="12">
        <v>13754</v>
      </c>
      <c r="H148" s="12">
        <v>15566</v>
      </c>
      <c r="I148" s="12">
        <v>16529</v>
      </c>
      <c r="J148" t="s">
        <v>14</v>
      </c>
      <c r="K148" t="s">
        <v>20</v>
      </c>
    </row>
    <row r="149" spans="1:11">
      <c r="A149" s="11" t="s">
        <v>69</v>
      </c>
      <c r="B149" s="12">
        <v>38539</v>
      </c>
      <c r="C149" s="12">
        <v>6273</v>
      </c>
      <c r="D149" s="12">
        <v>37823</v>
      </c>
      <c r="E149" s="12">
        <v>11912</v>
      </c>
      <c r="F149" s="12">
        <v>7763</v>
      </c>
      <c r="G149" s="12">
        <v>13336</v>
      </c>
      <c r="H149" s="12">
        <v>5200</v>
      </c>
      <c r="I149" s="12">
        <v>12275</v>
      </c>
      <c r="J149" t="s">
        <v>14</v>
      </c>
      <c r="K149" t="s">
        <v>19</v>
      </c>
    </row>
    <row r="150" spans="1:11">
      <c r="A150" s="11" t="s">
        <v>259</v>
      </c>
      <c r="B150" s="12">
        <v>15943</v>
      </c>
      <c r="C150" s="12">
        <v>16002</v>
      </c>
      <c r="D150" s="12">
        <v>16288</v>
      </c>
      <c r="E150" s="12">
        <v>17019</v>
      </c>
      <c r="F150" s="12">
        <v>16911</v>
      </c>
      <c r="G150" s="12">
        <v>16568</v>
      </c>
      <c r="H150" s="12">
        <v>16305</v>
      </c>
      <c r="I150" s="12">
        <v>17055</v>
      </c>
      <c r="J150" t="s">
        <v>14</v>
      </c>
      <c r="K150" t="s">
        <v>21</v>
      </c>
    </row>
    <row r="151" spans="1:11">
      <c r="A151" s="11" t="s">
        <v>136</v>
      </c>
      <c r="B151" s="12">
        <v>6117</v>
      </c>
      <c r="C151" s="12">
        <v>6600</v>
      </c>
      <c r="D151" s="12">
        <v>21713</v>
      </c>
      <c r="E151" s="12">
        <v>19286</v>
      </c>
      <c r="F151" s="12">
        <v>42018</v>
      </c>
      <c r="G151" s="12">
        <v>7441</v>
      </c>
      <c r="H151" s="12">
        <v>17768</v>
      </c>
      <c r="I151" s="12">
        <v>10059</v>
      </c>
      <c r="J151" t="s">
        <v>14</v>
      </c>
      <c r="K151" t="s">
        <v>19</v>
      </c>
    </row>
    <row r="152" spans="1:11">
      <c r="A152" s="11" t="s">
        <v>79</v>
      </c>
      <c r="B152" s="12">
        <v>19022</v>
      </c>
      <c r="C152" s="12">
        <v>12386</v>
      </c>
      <c r="D152" s="12">
        <v>13871</v>
      </c>
      <c r="E152" s="12">
        <v>13567</v>
      </c>
      <c r="F152" s="12">
        <v>20767</v>
      </c>
      <c r="G152" s="12">
        <v>15532</v>
      </c>
      <c r="H152" s="12">
        <v>13769</v>
      </c>
      <c r="I152" s="12">
        <v>21437</v>
      </c>
      <c r="J152" t="s">
        <v>14</v>
      </c>
      <c r="K152" t="s">
        <v>20</v>
      </c>
    </row>
    <row r="153" spans="1:11">
      <c r="A153" s="11" t="s">
        <v>262</v>
      </c>
      <c r="B153" s="12">
        <v>16581</v>
      </c>
      <c r="C153" s="12">
        <v>16778</v>
      </c>
      <c r="D153" s="12">
        <v>16635</v>
      </c>
      <c r="E153" s="12">
        <v>16117</v>
      </c>
      <c r="F153" s="12">
        <v>15593</v>
      </c>
      <c r="G153" s="12">
        <v>15659</v>
      </c>
      <c r="H153" s="12">
        <v>15744</v>
      </c>
      <c r="I153" s="12">
        <v>16715</v>
      </c>
      <c r="J153" t="s">
        <v>14</v>
      </c>
      <c r="K153" t="s">
        <v>21</v>
      </c>
    </row>
    <row r="154" spans="1:11">
      <c r="A154" s="11" t="s">
        <v>129</v>
      </c>
      <c r="B154" s="12">
        <v>11993</v>
      </c>
      <c r="C154" s="12">
        <v>16416</v>
      </c>
      <c r="D154" s="12">
        <v>18321</v>
      </c>
      <c r="E154" s="12">
        <v>14683</v>
      </c>
      <c r="F154" s="12">
        <v>14784</v>
      </c>
      <c r="G154" s="12">
        <v>18469</v>
      </c>
      <c r="H154" s="12">
        <v>12823</v>
      </c>
      <c r="I154" s="12">
        <v>18761</v>
      </c>
      <c r="J154" t="s">
        <v>14</v>
      </c>
      <c r="K154" t="s">
        <v>20</v>
      </c>
    </row>
    <row r="155" spans="1:11">
      <c r="A155" s="11" t="s">
        <v>273</v>
      </c>
      <c r="B155" s="12">
        <v>15580</v>
      </c>
      <c r="C155" s="12">
        <v>15373</v>
      </c>
      <c r="D155" s="12">
        <v>15883</v>
      </c>
      <c r="E155" s="12">
        <v>15766</v>
      </c>
      <c r="F155" s="12">
        <v>15888</v>
      </c>
      <c r="G155" s="12">
        <v>15343</v>
      </c>
      <c r="H155" s="12">
        <v>15186</v>
      </c>
      <c r="I155" s="12">
        <v>16135</v>
      </c>
      <c r="J155" t="s">
        <v>14</v>
      </c>
      <c r="K155" t="s">
        <v>21</v>
      </c>
    </row>
    <row r="156" spans="1:11">
      <c r="A156" s="11" t="s">
        <v>218</v>
      </c>
      <c r="B156" s="12">
        <v>13217</v>
      </c>
      <c r="C156" s="12">
        <v>11859</v>
      </c>
      <c r="D156" s="12">
        <v>14223</v>
      </c>
      <c r="E156" s="12">
        <v>18071</v>
      </c>
      <c r="F156" s="12">
        <v>19511</v>
      </c>
      <c r="G156" s="12">
        <v>14423</v>
      </c>
      <c r="H156" s="12">
        <v>16076</v>
      </c>
      <c r="I156" s="12">
        <v>17386</v>
      </c>
      <c r="J156" t="s">
        <v>14</v>
      </c>
      <c r="K156" t="s">
        <v>20</v>
      </c>
    </row>
    <row r="157" spans="1:11">
      <c r="A157" s="11" t="s">
        <v>267</v>
      </c>
      <c r="B157" s="12">
        <v>15868</v>
      </c>
      <c r="C157" s="12">
        <v>14844</v>
      </c>
      <c r="D157" s="12">
        <v>15959</v>
      </c>
      <c r="E157" s="12">
        <v>15364</v>
      </c>
      <c r="F157" s="12">
        <v>15600</v>
      </c>
      <c r="G157" s="12">
        <v>15359</v>
      </c>
      <c r="H157" s="12">
        <v>15873</v>
      </c>
      <c r="I157" s="12">
        <v>15715</v>
      </c>
      <c r="J157" t="s">
        <v>14</v>
      </c>
      <c r="K157" t="s">
        <v>21</v>
      </c>
    </row>
    <row r="158" spans="1:11">
      <c r="A158" s="11" t="s">
        <v>147</v>
      </c>
      <c r="B158" s="12">
        <v>15736</v>
      </c>
      <c r="C158" s="12">
        <v>16035</v>
      </c>
      <c r="D158" s="12">
        <v>15252</v>
      </c>
      <c r="E158" s="12">
        <v>15267</v>
      </c>
      <c r="F158" s="12">
        <v>14952</v>
      </c>
      <c r="G158" s="12">
        <v>15970</v>
      </c>
      <c r="H158" s="12">
        <v>14802</v>
      </c>
      <c r="I158" s="12">
        <v>15762</v>
      </c>
      <c r="J158" t="s">
        <v>15</v>
      </c>
      <c r="K158" t="s">
        <v>21</v>
      </c>
    </row>
    <row r="159" spans="1:11">
      <c r="A159" s="11" t="s">
        <v>200</v>
      </c>
      <c r="B159" s="12">
        <v>17497</v>
      </c>
      <c r="C159" s="12">
        <v>16643</v>
      </c>
      <c r="D159" s="12">
        <v>14375</v>
      </c>
      <c r="E159" s="12">
        <v>16236</v>
      </c>
      <c r="F159" s="12">
        <v>13874</v>
      </c>
      <c r="G159" s="12">
        <v>16036</v>
      </c>
      <c r="H159" s="12">
        <v>12380</v>
      </c>
      <c r="I159" s="12">
        <v>16183</v>
      </c>
      <c r="J159" t="s">
        <v>15</v>
      </c>
      <c r="K159" t="s">
        <v>20</v>
      </c>
    </row>
    <row r="160" spans="1:11">
      <c r="A160" s="11" t="s">
        <v>52</v>
      </c>
      <c r="B160" s="12">
        <v>15664</v>
      </c>
      <c r="C160" s="12">
        <v>15441</v>
      </c>
      <c r="D160" s="12">
        <v>14982</v>
      </c>
      <c r="E160" s="12">
        <v>14822</v>
      </c>
      <c r="F160" s="12">
        <v>15760</v>
      </c>
      <c r="G160" s="12">
        <v>15648</v>
      </c>
      <c r="H160" s="12">
        <v>15708</v>
      </c>
      <c r="I160" s="12">
        <v>15096</v>
      </c>
      <c r="J160" t="s">
        <v>15</v>
      </c>
      <c r="K160" t="s">
        <v>21</v>
      </c>
    </row>
    <row r="161" spans="1:11">
      <c r="A161" s="11" t="s">
        <v>246</v>
      </c>
      <c r="B161" s="12">
        <v>14912</v>
      </c>
      <c r="C161" s="12">
        <v>15947</v>
      </c>
      <c r="D161" s="12">
        <v>15926</v>
      </c>
      <c r="E161" s="12">
        <v>15440</v>
      </c>
      <c r="F161" s="12">
        <v>14716</v>
      </c>
      <c r="G161" s="12">
        <v>15940</v>
      </c>
      <c r="H161" s="12">
        <v>14769</v>
      </c>
      <c r="I161" s="12">
        <v>15335</v>
      </c>
      <c r="J161" t="s">
        <v>15</v>
      </c>
      <c r="K161" t="s">
        <v>21</v>
      </c>
    </row>
    <row r="162" spans="1:11">
      <c r="A162" s="11" t="s">
        <v>215</v>
      </c>
      <c r="B162" s="12">
        <v>12898</v>
      </c>
      <c r="C162" s="12">
        <v>9759</v>
      </c>
      <c r="D162" s="12">
        <v>6233</v>
      </c>
      <c r="E162" s="12">
        <v>8157</v>
      </c>
      <c r="F162" s="12">
        <v>27439</v>
      </c>
      <c r="G162" s="12">
        <v>22015</v>
      </c>
      <c r="H162" s="12">
        <v>29149</v>
      </c>
      <c r="I162" s="12">
        <v>6245</v>
      </c>
      <c r="J162" t="s">
        <v>15</v>
      </c>
      <c r="K162" t="s">
        <v>19</v>
      </c>
    </row>
    <row r="163" spans="1:11">
      <c r="A163" s="11" t="s">
        <v>140</v>
      </c>
      <c r="B163" s="12">
        <v>14195</v>
      </c>
      <c r="C163" s="12">
        <v>15460</v>
      </c>
      <c r="D163" s="12">
        <v>14826</v>
      </c>
      <c r="E163" s="12">
        <v>14327</v>
      </c>
      <c r="F163" s="12">
        <v>14788</v>
      </c>
      <c r="G163" s="12">
        <v>15315</v>
      </c>
      <c r="H163" s="12">
        <v>14558</v>
      </c>
      <c r="I163" s="12">
        <v>15196</v>
      </c>
      <c r="J163" t="s">
        <v>15</v>
      </c>
      <c r="K163" t="s">
        <v>21</v>
      </c>
    </row>
    <row r="164" spans="1:11">
      <c r="A164" s="11" t="s">
        <v>86</v>
      </c>
      <c r="B164" s="12">
        <v>14238</v>
      </c>
      <c r="C164" s="12">
        <v>14908</v>
      </c>
      <c r="D164" s="12">
        <v>15287</v>
      </c>
      <c r="E164" s="12">
        <v>14305</v>
      </c>
      <c r="F164" s="12">
        <v>15395</v>
      </c>
      <c r="G164" s="12">
        <v>15478</v>
      </c>
      <c r="H164" s="12">
        <v>14643</v>
      </c>
      <c r="I164" s="12">
        <v>14397</v>
      </c>
      <c r="J164" t="s">
        <v>15</v>
      </c>
      <c r="K164" t="s">
        <v>21</v>
      </c>
    </row>
    <row r="165" spans="1:11">
      <c r="A165" s="11" t="s">
        <v>227</v>
      </c>
      <c r="B165" s="12">
        <v>13407</v>
      </c>
      <c r="C165" s="12">
        <v>24765</v>
      </c>
      <c r="D165" s="12">
        <v>14559</v>
      </c>
      <c r="E165" s="12">
        <v>5200</v>
      </c>
      <c r="F165" s="12">
        <v>33664</v>
      </c>
      <c r="G165" s="12">
        <v>6540</v>
      </c>
      <c r="H165" s="12">
        <v>14710</v>
      </c>
      <c r="I165" s="12">
        <v>5200</v>
      </c>
      <c r="J165" t="s">
        <v>15</v>
      </c>
      <c r="K165" t="s">
        <v>19</v>
      </c>
    </row>
    <row r="166" spans="1:11">
      <c r="A166" s="11" t="s">
        <v>263</v>
      </c>
      <c r="B166" s="12">
        <v>16679</v>
      </c>
      <c r="C166" s="12">
        <v>15619</v>
      </c>
      <c r="D166" s="12">
        <v>16718</v>
      </c>
      <c r="E166" s="12">
        <v>12244</v>
      </c>
      <c r="F166" s="12">
        <v>12007</v>
      </c>
      <c r="G166" s="12">
        <v>19052</v>
      </c>
      <c r="H166" s="12">
        <v>11507</v>
      </c>
      <c r="I166" s="12">
        <v>14000</v>
      </c>
      <c r="J166" t="s">
        <v>15</v>
      </c>
      <c r="K166" t="s">
        <v>20</v>
      </c>
    </row>
    <row r="167" spans="1:11">
      <c r="A167" s="11" t="s">
        <v>128</v>
      </c>
      <c r="B167" s="12">
        <v>5200</v>
      </c>
      <c r="C167" s="12">
        <v>20726</v>
      </c>
      <c r="D167" s="12">
        <v>11582</v>
      </c>
      <c r="E167" s="12">
        <v>9371</v>
      </c>
      <c r="F167" s="12">
        <v>9448</v>
      </c>
      <c r="G167" s="12">
        <v>26665</v>
      </c>
      <c r="H167" s="12">
        <v>25159</v>
      </c>
      <c r="I167" s="12">
        <v>5200</v>
      </c>
      <c r="J167" t="s">
        <v>15</v>
      </c>
      <c r="K167" t="s">
        <v>19</v>
      </c>
    </row>
    <row r="168" spans="1:11">
      <c r="A168" s="11" t="s">
        <v>184</v>
      </c>
      <c r="B168" s="12">
        <v>7140</v>
      </c>
      <c r="C168" s="12">
        <v>21598</v>
      </c>
      <c r="D168" s="12">
        <v>25132</v>
      </c>
      <c r="E168" s="12">
        <v>19948</v>
      </c>
      <c r="F168" s="12">
        <v>5200</v>
      </c>
      <c r="G168" s="12">
        <v>23862</v>
      </c>
      <c r="H168" s="12">
        <v>5200</v>
      </c>
      <c r="I168" s="12">
        <v>5200</v>
      </c>
      <c r="J168" t="s">
        <v>15</v>
      </c>
      <c r="K168" t="s">
        <v>19</v>
      </c>
    </row>
    <row r="169" spans="1:11">
      <c r="A169" s="11" t="s">
        <v>281</v>
      </c>
      <c r="B169" s="12">
        <v>20238</v>
      </c>
      <c r="C169" s="12">
        <v>10095</v>
      </c>
      <c r="D169" s="12">
        <v>5911</v>
      </c>
      <c r="E169" s="12">
        <v>5200</v>
      </c>
      <c r="F169" s="12">
        <v>7641</v>
      </c>
      <c r="G169" s="12">
        <v>27731</v>
      </c>
      <c r="H169" s="12">
        <v>23637</v>
      </c>
      <c r="I169" s="12">
        <v>12460</v>
      </c>
      <c r="J169" t="s">
        <v>15</v>
      </c>
      <c r="K169" t="s">
        <v>19</v>
      </c>
    </row>
    <row r="170" spans="1:11">
      <c r="A170" s="11" t="s">
        <v>64</v>
      </c>
      <c r="B170" s="12">
        <v>14687</v>
      </c>
      <c r="C170" s="12">
        <v>13627</v>
      </c>
      <c r="D170" s="12">
        <v>14426</v>
      </c>
      <c r="E170" s="12">
        <v>14042</v>
      </c>
      <c r="F170" s="12">
        <v>13658</v>
      </c>
      <c r="G170" s="12">
        <v>14814</v>
      </c>
      <c r="H170" s="12">
        <v>14019</v>
      </c>
      <c r="I170" s="12">
        <v>13621</v>
      </c>
      <c r="J170" t="s">
        <v>15</v>
      </c>
      <c r="K170" t="s">
        <v>21</v>
      </c>
    </row>
    <row r="171" spans="1:11">
      <c r="A171" s="11" t="s">
        <v>102</v>
      </c>
      <c r="B171" s="12">
        <v>15522</v>
      </c>
      <c r="C171" s="12">
        <v>14877</v>
      </c>
      <c r="D171" s="12">
        <v>14726</v>
      </c>
      <c r="E171" s="12">
        <v>12696</v>
      </c>
      <c r="F171" s="12">
        <v>10224</v>
      </c>
      <c r="G171" s="12">
        <v>14498</v>
      </c>
      <c r="H171" s="12">
        <v>18372</v>
      </c>
      <c r="I171" s="12">
        <v>11714</v>
      </c>
      <c r="J171" t="s">
        <v>15</v>
      </c>
      <c r="K171" t="s">
        <v>20</v>
      </c>
    </row>
    <row r="172" spans="1:11">
      <c r="A172" s="11" t="s">
        <v>242</v>
      </c>
      <c r="B172" s="12">
        <v>22620</v>
      </c>
      <c r="C172" s="12">
        <v>6191</v>
      </c>
      <c r="D172" s="12">
        <v>15729</v>
      </c>
      <c r="E172" s="12">
        <v>17610</v>
      </c>
      <c r="F172" s="12">
        <v>23081</v>
      </c>
      <c r="G172" s="12">
        <v>16888</v>
      </c>
      <c r="H172" s="12">
        <v>5200</v>
      </c>
      <c r="I172" s="12">
        <v>5200</v>
      </c>
      <c r="J172" t="s">
        <v>15</v>
      </c>
      <c r="K172" t="s">
        <v>19</v>
      </c>
    </row>
    <row r="173" spans="1:11">
      <c r="A173" s="11" t="s">
        <v>196</v>
      </c>
      <c r="B173" s="12">
        <v>10184</v>
      </c>
      <c r="C173" s="12">
        <v>13198</v>
      </c>
      <c r="D173" s="12">
        <v>14332</v>
      </c>
      <c r="E173" s="12">
        <v>15077</v>
      </c>
      <c r="F173" s="12">
        <v>12930</v>
      </c>
      <c r="G173" s="12">
        <v>15272</v>
      </c>
      <c r="H173" s="12">
        <v>14797</v>
      </c>
      <c r="I173" s="12">
        <v>15137</v>
      </c>
      <c r="J173" t="s">
        <v>15</v>
      </c>
      <c r="K173" t="s">
        <v>20</v>
      </c>
    </row>
    <row r="174" spans="1:11">
      <c r="A174" s="11" t="s">
        <v>280</v>
      </c>
      <c r="B174" s="12">
        <v>13158</v>
      </c>
      <c r="C174" s="12">
        <v>14258</v>
      </c>
      <c r="D174" s="12">
        <v>13699</v>
      </c>
      <c r="E174" s="12">
        <v>13142</v>
      </c>
      <c r="F174" s="12">
        <v>13924</v>
      </c>
      <c r="G174" s="12">
        <v>13125</v>
      </c>
      <c r="H174" s="12">
        <v>14220</v>
      </c>
      <c r="I174" s="12">
        <v>14206</v>
      </c>
      <c r="J174" t="s">
        <v>15</v>
      </c>
      <c r="K174" t="s">
        <v>21</v>
      </c>
    </row>
    <row r="175" spans="1:11">
      <c r="A175" s="11" t="s">
        <v>135</v>
      </c>
      <c r="B175" s="12">
        <v>13700</v>
      </c>
      <c r="C175" s="12">
        <v>13569</v>
      </c>
      <c r="D175" s="12">
        <v>13942</v>
      </c>
      <c r="E175" s="12">
        <v>13238</v>
      </c>
      <c r="F175" s="12">
        <v>14218</v>
      </c>
      <c r="G175" s="12">
        <v>13571</v>
      </c>
      <c r="H175" s="12">
        <v>13706</v>
      </c>
      <c r="I175" s="12">
        <v>13276</v>
      </c>
      <c r="J175" t="s">
        <v>15</v>
      </c>
      <c r="K175" t="s">
        <v>21</v>
      </c>
    </row>
    <row r="176" spans="1:11">
      <c r="A176" s="11" t="s">
        <v>117</v>
      </c>
      <c r="B176" s="12">
        <v>13737</v>
      </c>
      <c r="C176" s="12">
        <v>10434</v>
      </c>
      <c r="D176" s="12">
        <v>12135</v>
      </c>
      <c r="E176" s="12">
        <v>11576</v>
      </c>
      <c r="F176" s="12">
        <v>18495</v>
      </c>
      <c r="G176" s="12">
        <v>16692</v>
      </c>
      <c r="H176" s="12">
        <v>11290</v>
      </c>
      <c r="I176" s="12">
        <v>14643</v>
      </c>
      <c r="J176" t="s">
        <v>15</v>
      </c>
      <c r="K176" t="s">
        <v>20</v>
      </c>
    </row>
    <row r="177" spans="1:11">
      <c r="A177" s="11" t="s">
        <v>155</v>
      </c>
      <c r="B177" s="12">
        <v>11842</v>
      </c>
      <c r="C177" s="12">
        <v>15788</v>
      </c>
      <c r="D177" s="12">
        <v>13220</v>
      </c>
      <c r="E177" s="12">
        <v>16717</v>
      </c>
      <c r="F177" s="12">
        <v>11211</v>
      </c>
      <c r="G177" s="12">
        <v>11873</v>
      </c>
      <c r="H177" s="12">
        <v>12324</v>
      </c>
      <c r="I177" s="12">
        <v>15963</v>
      </c>
      <c r="J177" t="s">
        <v>15</v>
      </c>
      <c r="K177" t="s">
        <v>20</v>
      </c>
    </row>
    <row r="178" spans="1:11">
      <c r="A178" s="11" t="s">
        <v>152</v>
      </c>
      <c r="B178" s="12">
        <v>13424</v>
      </c>
      <c r="C178" s="12">
        <v>15742</v>
      </c>
      <c r="D178" s="12">
        <v>15435</v>
      </c>
      <c r="E178" s="12">
        <v>14255</v>
      </c>
      <c r="F178" s="12">
        <v>13370</v>
      </c>
      <c r="G178" s="12">
        <v>15088</v>
      </c>
      <c r="H178" s="12">
        <v>9201</v>
      </c>
      <c r="I178" s="12">
        <v>11510</v>
      </c>
      <c r="J178" t="s">
        <v>15</v>
      </c>
      <c r="K178" t="s">
        <v>20</v>
      </c>
    </row>
    <row r="179" spans="1:11">
      <c r="A179" s="11" t="s">
        <v>94</v>
      </c>
      <c r="B179" s="12">
        <v>8917</v>
      </c>
      <c r="C179" s="12">
        <v>5239</v>
      </c>
      <c r="D179" s="12">
        <v>5200</v>
      </c>
      <c r="E179" s="12">
        <v>23785</v>
      </c>
      <c r="F179" s="12">
        <v>25653</v>
      </c>
      <c r="G179" s="12">
        <v>11181</v>
      </c>
      <c r="H179" s="12">
        <v>5200</v>
      </c>
      <c r="I179" s="12">
        <v>22577</v>
      </c>
      <c r="J179" t="s">
        <v>15</v>
      </c>
      <c r="K179" t="s">
        <v>19</v>
      </c>
    </row>
    <row r="180" spans="1:11">
      <c r="A180" s="11" t="s">
        <v>272</v>
      </c>
      <c r="B180" s="12">
        <v>13234</v>
      </c>
      <c r="C180" s="12">
        <v>13924</v>
      </c>
      <c r="D180" s="12">
        <v>13313</v>
      </c>
      <c r="E180" s="12">
        <v>13846</v>
      </c>
      <c r="F180" s="12">
        <v>13219</v>
      </c>
      <c r="G180" s="12">
        <v>12950</v>
      </c>
      <c r="H180" s="12">
        <v>13840</v>
      </c>
      <c r="I180" s="12">
        <v>12843</v>
      </c>
      <c r="J180" t="s">
        <v>15</v>
      </c>
      <c r="K180" t="s">
        <v>21</v>
      </c>
    </row>
    <row r="181" spans="1:11">
      <c r="A181" s="11" t="s">
        <v>139</v>
      </c>
      <c r="B181" s="12">
        <v>10633</v>
      </c>
      <c r="C181" s="12">
        <v>10779</v>
      </c>
      <c r="D181" s="12">
        <v>15556</v>
      </c>
      <c r="E181" s="12">
        <v>14837</v>
      </c>
      <c r="F181" s="12">
        <v>13841</v>
      </c>
      <c r="G181" s="12">
        <v>15701</v>
      </c>
      <c r="H181" s="12">
        <v>11902</v>
      </c>
      <c r="I181" s="12">
        <v>13919</v>
      </c>
      <c r="J181" t="s">
        <v>15</v>
      </c>
      <c r="K181" t="s">
        <v>20</v>
      </c>
    </row>
    <row r="182" spans="1:11">
      <c r="A182" s="11" t="s">
        <v>55</v>
      </c>
      <c r="B182" s="12">
        <v>17182</v>
      </c>
      <c r="C182" s="12">
        <v>12909</v>
      </c>
      <c r="D182" s="12">
        <v>10467</v>
      </c>
      <c r="E182" s="12">
        <v>15295</v>
      </c>
      <c r="F182" s="12">
        <v>16988</v>
      </c>
      <c r="G182" s="12">
        <v>9834</v>
      </c>
      <c r="H182" s="12">
        <v>11182</v>
      </c>
      <c r="I182" s="12">
        <v>13081</v>
      </c>
      <c r="J182" t="s">
        <v>15</v>
      </c>
      <c r="K182" t="s">
        <v>20</v>
      </c>
    </row>
    <row r="183" spans="1:11">
      <c r="A183" s="11" t="s">
        <v>256</v>
      </c>
      <c r="B183" s="12">
        <v>14014</v>
      </c>
      <c r="C183" s="12">
        <v>13324</v>
      </c>
      <c r="D183" s="12">
        <v>12879</v>
      </c>
      <c r="E183" s="12">
        <v>13464</v>
      </c>
      <c r="F183" s="12">
        <v>13081</v>
      </c>
      <c r="G183" s="12">
        <v>14025</v>
      </c>
      <c r="H183" s="12">
        <v>13015</v>
      </c>
      <c r="I183" s="12">
        <v>12890</v>
      </c>
      <c r="J183" t="s">
        <v>15</v>
      </c>
      <c r="K183" t="s">
        <v>21</v>
      </c>
    </row>
    <row r="184" spans="1:11">
      <c r="A184" s="11" t="s">
        <v>205</v>
      </c>
      <c r="B184" s="12">
        <v>15435</v>
      </c>
      <c r="C184" s="12">
        <v>13953</v>
      </c>
      <c r="D184" s="12">
        <v>15068</v>
      </c>
      <c r="E184" s="12">
        <v>14865</v>
      </c>
      <c r="F184" s="12">
        <v>11927</v>
      </c>
      <c r="G184" s="12">
        <v>12804</v>
      </c>
      <c r="H184" s="12">
        <v>11077</v>
      </c>
      <c r="I184" s="12">
        <v>11562</v>
      </c>
      <c r="J184" t="s">
        <v>15</v>
      </c>
      <c r="K184" t="s">
        <v>20</v>
      </c>
    </row>
    <row r="185" spans="1:11">
      <c r="A185" s="11" t="s">
        <v>186</v>
      </c>
      <c r="B185" s="12">
        <v>13261</v>
      </c>
      <c r="C185" s="12">
        <v>13573</v>
      </c>
      <c r="D185" s="12">
        <v>12761</v>
      </c>
      <c r="E185" s="12">
        <v>12819</v>
      </c>
      <c r="F185" s="12">
        <v>13708</v>
      </c>
      <c r="G185" s="12">
        <v>13264</v>
      </c>
      <c r="H185" s="12">
        <v>13560</v>
      </c>
      <c r="I185" s="12">
        <v>13233</v>
      </c>
      <c r="J185" t="s">
        <v>15</v>
      </c>
      <c r="K185" t="s">
        <v>21</v>
      </c>
    </row>
    <row r="186" spans="1:11">
      <c r="A186" s="11" t="s">
        <v>138</v>
      </c>
      <c r="B186" s="12">
        <v>13392</v>
      </c>
      <c r="C186" s="12">
        <v>13671</v>
      </c>
      <c r="D186" s="12">
        <v>12976</v>
      </c>
      <c r="E186" s="12">
        <v>12645</v>
      </c>
      <c r="F186" s="12">
        <v>13351</v>
      </c>
      <c r="G186" s="12">
        <v>13176</v>
      </c>
      <c r="H186" s="12">
        <v>13503</v>
      </c>
      <c r="I186" s="12">
        <v>12728</v>
      </c>
      <c r="J186" t="s">
        <v>15</v>
      </c>
      <c r="K186" t="s">
        <v>21</v>
      </c>
    </row>
    <row r="187" spans="1:11">
      <c r="A187" s="11" t="s">
        <v>237</v>
      </c>
      <c r="B187" s="12">
        <v>5200</v>
      </c>
      <c r="C187" s="12">
        <v>5200</v>
      </c>
      <c r="D187" s="12">
        <v>23429</v>
      </c>
      <c r="E187" s="12">
        <v>8094</v>
      </c>
      <c r="F187" s="12">
        <v>5200</v>
      </c>
      <c r="G187" s="12">
        <v>27576</v>
      </c>
      <c r="H187" s="12">
        <v>24914</v>
      </c>
      <c r="I187" s="12">
        <v>5200</v>
      </c>
      <c r="J187" t="s">
        <v>15</v>
      </c>
      <c r="K187" t="s">
        <v>19</v>
      </c>
    </row>
    <row r="188" spans="1:11">
      <c r="A188" s="11" t="s">
        <v>282</v>
      </c>
      <c r="B188" s="12">
        <v>12784</v>
      </c>
      <c r="C188" s="12">
        <v>13341</v>
      </c>
      <c r="D188" s="12">
        <v>12808</v>
      </c>
      <c r="E188" s="12">
        <v>12640</v>
      </c>
      <c r="F188" s="12">
        <v>13406</v>
      </c>
      <c r="G188" s="12">
        <v>13379</v>
      </c>
      <c r="H188" s="12">
        <v>12703</v>
      </c>
      <c r="I188" s="12">
        <v>13142</v>
      </c>
      <c r="J188" t="s">
        <v>15</v>
      </c>
      <c r="K188" t="s">
        <v>21</v>
      </c>
    </row>
    <row r="189" spans="1:11">
      <c r="A189" s="11" t="s">
        <v>81</v>
      </c>
      <c r="B189" s="12">
        <v>14801</v>
      </c>
      <c r="C189" s="12">
        <v>10441</v>
      </c>
      <c r="D189" s="12">
        <v>16001</v>
      </c>
      <c r="E189" s="12">
        <v>9682</v>
      </c>
      <c r="F189" s="12">
        <v>11804</v>
      </c>
      <c r="G189" s="12">
        <v>13060</v>
      </c>
      <c r="H189" s="12">
        <v>15424</v>
      </c>
      <c r="I189" s="12">
        <v>12973</v>
      </c>
      <c r="J189" t="s">
        <v>15</v>
      </c>
      <c r="K189" t="s">
        <v>20</v>
      </c>
    </row>
    <row r="190" spans="1:11">
      <c r="A190" s="11" t="s">
        <v>213</v>
      </c>
      <c r="B190" s="12">
        <v>12229</v>
      </c>
      <c r="C190" s="12">
        <v>13282</v>
      </c>
      <c r="D190" s="12">
        <v>13160</v>
      </c>
      <c r="E190" s="12">
        <v>13078</v>
      </c>
      <c r="F190" s="12">
        <v>13237</v>
      </c>
      <c r="G190" s="12">
        <v>12841</v>
      </c>
      <c r="H190" s="12">
        <v>13328</v>
      </c>
      <c r="I190" s="12">
        <v>12723</v>
      </c>
      <c r="J190" t="s">
        <v>15</v>
      </c>
      <c r="K190" t="s">
        <v>21</v>
      </c>
    </row>
    <row r="191" spans="1:11">
      <c r="A191" s="11" t="s">
        <v>257</v>
      </c>
      <c r="B191" s="12">
        <v>19996</v>
      </c>
      <c r="C191" s="12">
        <v>5200</v>
      </c>
      <c r="D191" s="12">
        <v>5200</v>
      </c>
      <c r="E191" s="12">
        <v>11238</v>
      </c>
      <c r="F191" s="12">
        <v>24303</v>
      </c>
      <c r="G191" s="12">
        <v>8010</v>
      </c>
      <c r="H191" s="12">
        <v>21847</v>
      </c>
      <c r="I191" s="12">
        <v>7645</v>
      </c>
      <c r="J191" t="s">
        <v>15</v>
      </c>
      <c r="K191" t="s">
        <v>19</v>
      </c>
    </row>
    <row r="192" spans="1:11">
      <c r="A192" s="11" t="s">
        <v>228</v>
      </c>
      <c r="B192" s="12">
        <v>13370</v>
      </c>
      <c r="C192" s="12">
        <v>12716</v>
      </c>
      <c r="D192" s="12">
        <v>12950</v>
      </c>
      <c r="E192" s="12">
        <v>13244</v>
      </c>
      <c r="F192" s="12">
        <v>12759</v>
      </c>
      <c r="G192" s="12">
        <v>12609</v>
      </c>
      <c r="H192" s="12">
        <v>12720</v>
      </c>
      <c r="I192" s="12">
        <v>12816</v>
      </c>
      <c r="J192" t="s">
        <v>15</v>
      </c>
      <c r="K192" t="s">
        <v>21</v>
      </c>
    </row>
    <row r="193" spans="1:11">
      <c r="A193" s="11" t="s">
        <v>78</v>
      </c>
      <c r="B193" s="12">
        <v>9697</v>
      </c>
      <c r="C193" s="12">
        <v>13382</v>
      </c>
      <c r="D193" s="12">
        <v>12999</v>
      </c>
      <c r="E193" s="12">
        <v>9698</v>
      </c>
      <c r="F193" s="12">
        <v>12106</v>
      </c>
      <c r="G193" s="12">
        <v>14759</v>
      </c>
      <c r="H193" s="12">
        <v>16576</v>
      </c>
      <c r="I193" s="12">
        <v>13920</v>
      </c>
      <c r="J193" t="s">
        <v>15</v>
      </c>
      <c r="K193" t="s">
        <v>20</v>
      </c>
    </row>
    <row r="194" spans="1:11">
      <c r="A194" s="11" t="s">
        <v>59</v>
      </c>
      <c r="B194" s="12">
        <v>12745</v>
      </c>
      <c r="C194" s="12">
        <v>13104</v>
      </c>
      <c r="D194" s="12">
        <v>12450</v>
      </c>
      <c r="E194" s="12">
        <v>13130</v>
      </c>
      <c r="F194" s="12">
        <v>13107</v>
      </c>
      <c r="G194" s="12">
        <v>13044</v>
      </c>
      <c r="H194" s="12">
        <v>12567</v>
      </c>
      <c r="I194" s="12">
        <v>12793</v>
      </c>
      <c r="J194" t="s">
        <v>15</v>
      </c>
      <c r="K194" t="s">
        <v>21</v>
      </c>
    </row>
    <row r="195" spans="1:11">
      <c r="A195" s="11" t="s">
        <v>278</v>
      </c>
      <c r="B195" s="12">
        <v>14357</v>
      </c>
      <c r="C195" s="12">
        <v>12075</v>
      </c>
      <c r="D195" s="12">
        <v>15426</v>
      </c>
      <c r="E195" s="12">
        <v>13275</v>
      </c>
      <c r="F195" s="12">
        <v>12612</v>
      </c>
      <c r="G195" s="12">
        <v>9426</v>
      </c>
      <c r="H195" s="12">
        <v>10126</v>
      </c>
      <c r="I195" s="12">
        <v>15211</v>
      </c>
      <c r="J195" t="s">
        <v>15</v>
      </c>
      <c r="K195" t="s">
        <v>20</v>
      </c>
    </row>
    <row r="196" spans="1:11">
      <c r="A196" s="11" t="s">
        <v>161</v>
      </c>
      <c r="B196" s="12">
        <v>10607</v>
      </c>
      <c r="C196" s="12">
        <v>10986</v>
      </c>
      <c r="D196" s="12">
        <v>15912</v>
      </c>
      <c r="E196" s="12">
        <v>14482</v>
      </c>
      <c r="F196" s="12">
        <v>15363</v>
      </c>
      <c r="G196" s="12">
        <v>9540</v>
      </c>
      <c r="H196" s="12">
        <v>15560</v>
      </c>
      <c r="I196" s="12">
        <v>9272</v>
      </c>
      <c r="J196" t="s">
        <v>15</v>
      </c>
      <c r="K196" t="s">
        <v>20</v>
      </c>
    </row>
    <row r="197" spans="1:11">
      <c r="A197" s="11" t="s">
        <v>149</v>
      </c>
      <c r="B197" s="12">
        <v>12316</v>
      </c>
      <c r="C197" s="12">
        <v>12072</v>
      </c>
      <c r="D197" s="12">
        <v>13197</v>
      </c>
      <c r="E197" s="12">
        <v>12365</v>
      </c>
      <c r="F197" s="12">
        <v>12604</v>
      </c>
      <c r="G197" s="12">
        <v>12626</v>
      </c>
      <c r="H197" s="12">
        <v>12695</v>
      </c>
      <c r="I197" s="12">
        <v>12318</v>
      </c>
      <c r="J197" t="s">
        <v>15</v>
      </c>
      <c r="K197" t="s">
        <v>21</v>
      </c>
    </row>
    <row r="198" spans="1:11">
      <c r="A198" s="11" t="s">
        <v>224</v>
      </c>
      <c r="B198" s="12">
        <v>12139</v>
      </c>
      <c r="C198" s="12">
        <v>12253</v>
      </c>
      <c r="D198" s="12">
        <v>12414</v>
      </c>
      <c r="E198" s="12">
        <v>12205</v>
      </c>
      <c r="F198" s="12">
        <v>13032</v>
      </c>
      <c r="G198" s="12">
        <v>12805</v>
      </c>
      <c r="H198" s="12">
        <v>12553</v>
      </c>
      <c r="I198" s="12">
        <v>12669</v>
      </c>
      <c r="J198" t="s">
        <v>15</v>
      </c>
      <c r="K198" t="s">
        <v>21</v>
      </c>
    </row>
    <row r="199" spans="1:11">
      <c r="A199" s="11" t="s">
        <v>255</v>
      </c>
      <c r="B199" s="12">
        <v>8621</v>
      </c>
      <c r="C199" s="12">
        <v>22924</v>
      </c>
      <c r="D199" s="12">
        <v>17639</v>
      </c>
      <c r="E199" s="12">
        <v>5200</v>
      </c>
      <c r="F199" s="12">
        <v>5200</v>
      </c>
      <c r="G199" s="12">
        <v>25547</v>
      </c>
      <c r="H199" s="12">
        <v>5200</v>
      </c>
      <c r="I199" s="12">
        <v>9648</v>
      </c>
      <c r="J199" t="s">
        <v>15</v>
      </c>
      <c r="K199" t="s">
        <v>19</v>
      </c>
    </row>
    <row r="200" spans="1:11">
      <c r="A200" s="11" t="s">
        <v>191</v>
      </c>
      <c r="B200" s="12">
        <v>11913</v>
      </c>
      <c r="C200" s="12">
        <v>12823</v>
      </c>
      <c r="D200" s="12">
        <v>12046</v>
      </c>
      <c r="E200" s="12">
        <v>12438</v>
      </c>
      <c r="F200" s="12">
        <v>12396</v>
      </c>
      <c r="G200" s="12">
        <v>12164</v>
      </c>
      <c r="H200" s="12">
        <v>12702</v>
      </c>
      <c r="I200" s="12">
        <v>12949</v>
      </c>
      <c r="J200" t="s">
        <v>15</v>
      </c>
      <c r="K200" t="s">
        <v>21</v>
      </c>
    </row>
    <row r="201" spans="1:11">
      <c r="A201" s="11" t="s">
        <v>104</v>
      </c>
      <c r="B201" s="12">
        <v>12631</v>
      </c>
      <c r="C201" s="12">
        <v>12838</v>
      </c>
      <c r="D201" s="12">
        <v>12136</v>
      </c>
      <c r="E201" s="12">
        <v>12453</v>
      </c>
      <c r="F201" s="12">
        <v>12037</v>
      </c>
      <c r="G201" s="12">
        <v>12218</v>
      </c>
      <c r="H201" s="12">
        <v>12425</v>
      </c>
      <c r="I201" s="12">
        <v>12468</v>
      </c>
      <c r="J201" t="s">
        <v>15</v>
      </c>
      <c r="K201" t="s">
        <v>21</v>
      </c>
    </row>
    <row r="202" spans="1:11">
      <c r="A202" s="11" t="s">
        <v>48</v>
      </c>
      <c r="B202" s="12">
        <v>11887</v>
      </c>
      <c r="C202" s="12">
        <v>12867</v>
      </c>
      <c r="D202" s="12">
        <v>12889</v>
      </c>
      <c r="E202" s="12">
        <v>12041</v>
      </c>
      <c r="F202" s="12">
        <v>11879</v>
      </c>
      <c r="G202" s="12">
        <v>12671</v>
      </c>
      <c r="H202" s="12">
        <v>12140</v>
      </c>
      <c r="I202" s="12">
        <v>12806</v>
      </c>
      <c r="J202" t="s">
        <v>15</v>
      </c>
      <c r="K202" t="s">
        <v>21</v>
      </c>
    </row>
    <row r="203" spans="1:11">
      <c r="A203" s="11" t="s">
        <v>168</v>
      </c>
      <c r="B203" s="12">
        <v>12119</v>
      </c>
      <c r="C203" s="12">
        <v>12045</v>
      </c>
      <c r="D203" s="12">
        <v>12006</v>
      </c>
      <c r="E203" s="12">
        <v>12195</v>
      </c>
      <c r="F203" s="12">
        <v>12889</v>
      </c>
      <c r="G203" s="12">
        <v>12046</v>
      </c>
      <c r="H203" s="12">
        <v>12617</v>
      </c>
      <c r="I203" s="12">
        <v>12533</v>
      </c>
      <c r="J203" t="s">
        <v>15</v>
      </c>
      <c r="K203" t="s">
        <v>21</v>
      </c>
    </row>
    <row r="204" spans="1:11">
      <c r="A204" s="11" t="s">
        <v>247</v>
      </c>
      <c r="B204" s="12">
        <v>11930</v>
      </c>
      <c r="C204" s="12">
        <v>12897</v>
      </c>
      <c r="D204" s="12">
        <v>11858</v>
      </c>
      <c r="E204" s="12">
        <v>12154</v>
      </c>
      <c r="F204" s="12">
        <v>12630</v>
      </c>
      <c r="G204" s="12">
        <v>12520</v>
      </c>
      <c r="H204" s="12">
        <v>12027</v>
      </c>
      <c r="I204" s="12">
        <v>12268</v>
      </c>
      <c r="J204" t="s">
        <v>15</v>
      </c>
      <c r="K204" t="s">
        <v>21</v>
      </c>
    </row>
    <row r="205" spans="1:11">
      <c r="A205" s="11" t="s">
        <v>248</v>
      </c>
      <c r="B205" s="12">
        <v>9766</v>
      </c>
      <c r="C205" s="12">
        <v>14815</v>
      </c>
      <c r="D205" s="12">
        <v>12972</v>
      </c>
      <c r="E205" s="12">
        <v>12894</v>
      </c>
      <c r="F205" s="12">
        <v>11634</v>
      </c>
      <c r="G205" s="12">
        <v>9535</v>
      </c>
      <c r="H205" s="12">
        <v>10768</v>
      </c>
      <c r="I205" s="12">
        <v>15487</v>
      </c>
      <c r="J205" t="s">
        <v>15</v>
      </c>
      <c r="K205" t="s">
        <v>20</v>
      </c>
    </row>
    <row r="206" spans="1:11">
      <c r="A206" s="11" t="s">
        <v>57</v>
      </c>
      <c r="B206" s="12">
        <v>11857</v>
      </c>
      <c r="C206" s="12">
        <v>14624</v>
      </c>
      <c r="D206" s="12">
        <v>11379</v>
      </c>
      <c r="E206" s="12">
        <v>9486</v>
      </c>
      <c r="F206" s="12">
        <v>14812</v>
      </c>
      <c r="G206" s="12">
        <v>14050</v>
      </c>
      <c r="H206" s="12">
        <v>11643</v>
      </c>
      <c r="I206" s="12">
        <v>9998</v>
      </c>
      <c r="J206" t="s">
        <v>15</v>
      </c>
      <c r="K206" t="s">
        <v>20</v>
      </c>
    </row>
    <row r="207" spans="1:11">
      <c r="A207" s="11" t="s">
        <v>216</v>
      </c>
      <c r="B207" s="12">
        <v>12199</v>
      </c>
      <c r="C207" s="12">
        <v>12282</v>
      </c>
      <c r="D207" s="12">
        <v>12237</v>
      </c>
      <c r="E207" s="12">
        <v>12139</v>
      </c>
      <c r="F207" s="12">
        <v>11766</v>
      </c>
      <c r="G207" s="12">
        <v>12727</v>
      </c>
      <c r="H207" s="12">
        <v>11776</v>
      </c>
      <c r="I207" s="12">
        <v>12502</v>
      </c>
      <c r="J207" t="s">
        <v>15</v>
      </c>
      <c r="K207" t="s">
        <v>21</v>
      </c>
    </row>
    <row r="208" spans="1:11">
      <c r="A208" s="11" t="s">
        <v>225</v>
      </c>
      <c r="B208" s="12">
        <v>23917</v>
      </c>
      <c r="C208" s="12">
        <v>5200</v>
      </c>
      <c r="D208" s="12">
        <v>9385</v>
      </c>
      <c r="E208" s="12">
        <v>28304</v>
      </c>
      <c r="F208" s="12">
        <v>11460</v>
      </c>
      <c r="G208" s="12">
        <v>5200</v>
      </c>
      <c r="H208" s="12">
        <v>5200</v>
      </c>
      <c r="I208" s="12">
        <v>8147</v>
      </c>
      <c r="J208" t="s">
        <v>15</v>
      </c>
      <c r="K208" t="s">
        <v>19</v>
      </c>
    </row>
    <row r="209" spans="1:11">
      <c r="A209" s="11" t="s">
        <v>95</v>
      </c>
      <c r="B209" s="12">
        <v>19694</v>
      </c>
      <c r="C209" s="12">
        <v>5200</v>
      </c>
      <c r="D209" s="12">
        <v>5200</v>
      </c>
      <c r="E209" s="12">
        <v>5200</v>
      </c>
      <c r="F209" s="12">
        <v>22220</v>
      </c>
      <c r="G209" s="12">
        <v>22910</v>
      </c>
      <c r="H209" s="12">
        <v>5200</v>
      </c>
      <c r="I209" s="12">
        <v>10815</v>
      </c>
      <c r="J209" t="s">
        <v>15</v>
      </c>
      <c r="K209" t="s">
        <v>19</v>
      </c>
    </row>
    <row r="210" spans="1:11">
      <c r="A210" s="11" t="s">
        <v>206</v>
      </c>
      <c r="B210" s="12">
        <v>11591</v>
      </c>
      <c r="C210" s="12">
        <v>8603</v>
      </c>
      <c r="D210" s="12">
        <v>13333</v>
      </c>
      <c r="E210" s="12">
        <v>13971</v>
      </c>
      <c r="F210" s="12">
        <v>15745</v>
      </c>
      <c r="G210" s="12">
        <v>11168</v>
      </c>
      <c r="H210" s="12">
        <v>10303</v>
      </c>
      <c r="I210" s="12">
        <v>9953</v>
      </c>
      <c r="J210" t="s">
        <v>15</v>
      </c>
      <c r="K210" t="s">
        <v>20</v>
      </c>
    </row>
    <row r="211" spans="1:11">
      <c r="A211" s="11" t="s">
        <v>110</v>
      </c>
      <c r="B211" s="12">
        <v>12199</v>
      </c>
      <c r="C211" s="12">
        <v>11841</v>
      </c>
      <c r="D211" s="12">
        <v>11661</v>
      </c>
      <c r="E211" s="12">
        <v>11331</v>
      </c>
      <c r="F211" s="12">
        <v>11501</v>
      </c>
      <c r="G211" s="12">
        <v>11863</v>
      </c>
      <c r="H211" s="12">
        <v>11920</v>
      </c>
      <c r="I211" s="12">
        <v>12155</v>
      </c>
      <c r="J211" t="s">
        <v>15</v>
      </c>
      <c r="K211" t="s">
        <v>21</v>
      </c>
    </row>
    <row r="212" spans="1:11">
      <c r="A212" s="11" t="s">
        <v>63</v>
      </c>
      <c r="B212" s="12">
        <v>11664</v>
      </c>
      <c r="C212" s="12">
        <v>12235</v>
      </c>
      <c r="D212" s="12">
        <v>11787</v>
      </c>
      <c r="E212" s="12">
        <v>11309</v>
      </c>
      <c r="F212" s="12">
        <v>11692</v>
      </c>
      <c r="G212" s="12">
        <v>12067</v>
      </c>
      <c r="H212" s="12">
        <v>11538</v>
      </c>
      <c r="I212" s="12">
        <v>11936</v>
      </c>
      <c r="J212" t="s">
        <v>15</v>
      </c>
      <c r="K212" t="s">
        <v>21</v>
      </c>
    </row>
    <row r="213" spans="1:11">
      <c r="A213" s="11" t="s">
        <v>230</v>
      </c>
      <c r="B213" s="12">
        <v>11883</v>
      </c>
      <c r="C213" s="12">
        <v>12097</v>
      </c>
      <c r="D213" s="12">
        <v>11284</v>
      </c>
      <c r="E213" s="12">
        <v>11451</v>
      </c>
      <c r="F213" s="12">
        <v>11671</v>
      </c>
      <c r="G213" s="12">
        <v>11596</v>
      </c>
      <c r="H213" s="12">
        <v>12242</v>
      </c>
      <c r="I213" s="12">
        <v>11654</v>
      </c>
      <c r="J213" t="s">
        <v>15</v>
      </c>
      <c r="K213" t="s">
        <v>21</v>
      </c>
    </row>
    <row r="214" spans="1:11">
      <c r="A214" s="11" t="s">
        <v>87</v>
      </c>
      <c r="B214" s="12">
        <v>11165</v>
      </c>
      <c r="C214" s="12">
        <v>11322</v>
      </c>
      <c r="D214" s="12">
        <v>10163</v>
      </c>
      <c r="E214" s="12">
        <v>12839</v>
      </c>
      <c r="F214" s="12">
        <v>10315</v>
      </c>
      <c r="G214" s="12">
        <v>12160</v>
      </c>
      <c r="H214" s="12">
        <v>15636</v>
      </c>
      <c r="I214" s="12">
        <v>10226</v>
      </c>
      <c r="J214" t="s">
        <v>15</v>
      </c>
      <c r="K214" t="s">
        <v>20</v>
      </c>
    </row>
    <row r="215" spans="1:11">
      <c r="A215" s="11" t="s">
        <v>125</v>
      </c>
      <c r="B215" s="12">
        <v>10652</v>
      </c>
      <c r="C215" s="12">
        <v>14732</v>
      </c>
      <c r="D215" s="12">
        <v>13131</v>
      </c>
      <c r="E215" s="12">
        <v>11091</v>
      </c>
      <c r="F215" s="12">
        <v>10062</v>
      </c>
      <c r="G215" s="12">
        <v>10814</v>
      </c>
      <c r="H215" s="12">
        <v>12257</v>
      </c>
      <c r="I215" s="12">
        <v>10986</v>
      </c>
      <c r="J215" t="s">
        <v>15</v>
      </c>
      <c r="K215" t="s">
        <v>20</v>
      </c>
    </row>
    <row r="216" spans="1:11">
      <c r="A216" s="11" t="s">
        <v>118</v>
      </c>
      <c r="B216" s="12">
        <v>11899</v>
      </c>
      <c r="C216" s="12">
        <v>11858</v>
      </c>
      <c r="D216" s="12">
        <v>12194</v>
      </c>
      <c r="E216" s="12">
        <v>11698</v>
      </c>
      <c r="F216" s="12">
        <v>11562</v>
      </c>
      <c r="G216" s="12">
        <v>11180</v>
      </c>
      <c r="H216" s="12">
        <v>11978</v>
      </c>
      <c r="I216" s="12">
        <v>11312</v>
      </c>
      <c r="J216" t="s">
        <v>15</v>
      </c>
      <c r="K216" t="s">
        <v>21</v>
      </c>
    </row>
    <row r="217" spans="1:11">
      <c r="A217" s="11" t="s">
        <v>265</v>
      </c>
      <c r="B217" s="12">
        <v>11760</v>
      </c>
      <c r="C217" s="12">
        <v>11188</v>
      </c>
      <c r="D217" s="12">
        <v>11796</v>
      </c>
      <c r="E217" s="12">
        <v>11163</v>
      </c>
      <c r="F217" s="12">
        <v>11934</v>
      </c>
      <c r="G217" s="12">
        <v>11657</v>
      </c>
      <c r="H217" s="12">
        <v>11808</v>
      </c>
      <c r="I217" s="12">
        <v>11738</v>
      </c>
      <c r="J217" t="s">
        <v>15</v>
      </c>
      <c r="K217" t="s">
        <v>21</v>
      </c>
    </row>
    <row r="218" spans="1:11">
      <c r="A218" s="11" t="s">
        <v>162</v>
      </c>
      <c r="B218" s="12">
        <v>11234</v>
      </c>
      <c r="C218" s="12">
        <v>12075</v>
      </c>
      <c r="D218" s="12">
        <v>11703</v>
      </c>
      <c r="E218" s="12">
        <v>11846</v>
      </c>
      <c r="F218" s="12">
        <v>11518</v>
      </c>
      <c r="G218" s="12">
        <v>11450</v>
      </c>
      <c r="H218" s="12">
        <v>11482</v>
      </c>
      <c r="I218" s="12">
        <v>11545</v>
      </c>
      <c r="J218" t="s">
        <v>15</v>
      </c>
      <c r="K218" t="s">
        <v>21</v>
      </c>
    </row>
    <row r="219" spans="1:11">
      <c r="A219" s="11" t="s">
        <v>173</v>
      </c>
      <c r="B219" s="12">
        <v>5200</v>
      </c>
      <c r="C219" s="12">
        <v>5200</v>
      </c>
      <c r="D219" s="12">
        <v>6582</v>
      </c>
      <c r="E219" s="12">
        <v>21578</v>
      </c>
      <c r="F219" s="12">
        <v>20319</v>
      </c>
      <c r="G219" s="12">
        <v>5200</v>
      </c>
      <c r="H219" s="12">
        <v>22978</v>
      </c>
      <c r="I219" s="12">
        <v>5200</v>
      </c>
      <c r="J219" t="s">
        <v>15</v>
      </c>
      <c r="K219" t="s">
        <v>19</v>
      </c>
    </row>
    <row r="220" spans="1:11">
      <c r="A220" s="11" t="s">
        <v>122</v>
      </c>
      <c r="B220" s="12">
        <v>6843</v>
      </c>
      <c r="C220" s="12">
        <v>11759</v>
      </c>
      <c r="D220" s="12">
        <v>36169</v>
      </c>
      <c r="E220" s="12">
        <v>7178</v>
      </c>
      <c r="F220" s="12">
        <v>5821</v>
      </c>
      <c r="G220" s="12">
        <v>7310</v>
      </c>
      <c r="H220" s="12">
        <v>11160</v>
      </c>
      <c r="I220" s="12">
        <v>5200</v>
      </c>
      <c r="J220" t="s">
        <v>15</v>
      </c>
      <c r="K220" t="s">
        <v>19</v>
      </c>
    </row>
    <row r="221" spans="1:11">
      <c r="A221" s="11" t="s">
        <v>154</v>
      </c>
      <c r="B221" s="12">
        <v>10903</v>
      </c>
      <c r="C221" s="12">
        <v>11226</v>
      </c>
      <c r="D221" s="12">
        <v>11092</v>
      </c>
      <c r="E221" s="12">
        <v>10932</v>
      </c>
      <c r="F221" s="12">
        <v>11866</v>
      </c>
      <c r="G221" s="12">
        <v>11627</v>
      </c>
      <c r="H221" s="12">
        <v>11873</v>
      </c>
      <c r="I221" s="12">
        <v>11595</v>
      </c>
      <c r="J221" t="s">
        <v>15</v>
      </c>
      <c r="K221" t="s">
        <v>21</v>
      </c>
    </row>
    <row r="222" spans="1:11">
      <c r="A222" s="11" t="s">
        <v>62</v>
      </c>
      <c r="B222" s="12">
        <v>11340</v>
      </c>
      <c r="C222" s="12">
        <v>9281</v>
      </c>
      <c r="D222" s="12">
        <v>8734</v>
      </c>
      <c r="E222" s="12">
        <v>12208</v>
      </c>
      <c r="F222" s="12">
        <v>13841</v>
      </c>
      <c r="G222" s="12">
        <v>13253</v>
      </c>
      <c r="H222" s="12">
        <v>9808</v>
      </c>
      <c r="I222" s="12">
        <v>12446</v>
      </c>
      <c r="J222" t="s">
        <v>15</v>
      </c>
      <c r="K222" t="s">
        <v>20</v>
      </c>
    </row>
    <row r="223" spans="1:11">
      <c r="A223" s="11" t="s">
        <v>68</v>
      </c>
      <c r="B223" s="12">
        <v>8474</v>
      </c>
      <c r="C223" s="12">
        <v>9880</v>
      </c>
      <c r="D223" s="12">
        <v>5200</v>
      </c>
      <c r="E223" s="12">
        <v>5200</v>
      </c>
      <c r="F223" s="12">
        <v>24100</v>
      </c>
      <c r="G223" s="12">
        <v>5200</v>
      </c>
      <c r="H223" s="12">
        <v>9170</v>
      </c>
      <c r="I223" s="12">
        <v>23365</v>
      </c>
      <c r="J223" t="s">
        <v>15</v>
      </c>
      <c r="K223" t="s">
        <v>19</v>
      </c>
    </row>
    <row r="224" spans="1:11">
      <c r="A224" s="11" t="s">
        <v>119</v>
      </c>
      <c r="B224" s="12">
        <v>5200</v>
      </c>
      <c r="C224" s="12">
        <v>9339</v>
      </c>
      <c r="D224" s="12">
        <v>5200</v>
      </c>
      <c r="E224" s="12">
        <v>5200</v>
      </c>
      <c r="F224" s="12">
        <v>11110</v>
      </c>
      <c r="G224" s="12">
        <v>23606</v>
      </c>
      <c r="H224" s="12">
        <v>8524</v>
      </c>
      <c r="I224" s="12">
        <v>21589</v>
      </c>
      <c r="J224" t="s">
        <v>15</v>
      </c>
      <c r="K224" t="s">
        <v>19</v>
      </c>
    </row>
    <row r="225" spans="1:11">
      <c r="A225" s="11" t="s">
        <v>253</v>
      </c>
      <c r="B225" s="12">
        <v>5200</v>
      </c>
      <c r="C225" s="12">
        <v>21602</v>
      </c>
      <c r="D225" s="12">
        <v>7664</v>
      </c>
      <c r="E225" s="12">
        <v>5200</v>
      </c>
      <c r="F225" s="12">
        <v>17021</v>
      </c>
      <c r="G225" s="12">
        <v>5200</v>
      </c>
      <c r="H225" s="12">
        <v>22400</v>
      </c>
      <c r="I225" s="12">
        <v>5200</v>
      </c>
      <c r="J225" t="s">
        <v>15</v>
      </c>
      <c r="K225" t="s">
        <v>19</v>
      </c>
    </row>
    <row r="226" spans="1:11">
      <c r="A226" s="11" t="s">
        <v>229</v>
      </c>
      <c r="B226" s="12">
        <v>10783</v>
      </c>
      <c r="C226" s="12">
        <v>11194</v>
      </c>
      <c r="D226" s="12">
        <v>11414</v>
      </c>
      <c r="E226" s="12">
        <v>11597</v>
      </c>
      <c r="F226" s="12">
        <v>10837</v>
      </c>
      <c r="G226" s="12">
        <v>10789</v>
      </c>
      <c r="H226" s="12">
        <v>11472</v>
      </c>
      <c r="I226" s="12">
        <v>11291</v>
      </c>
      <c r="J226" t="s">
        <v>15</v>
      </c>
      <c r="K226" t="s">
        <v>21</v>
      </c>
    </row>
    <row r="227" spans="1:11">
      <c r="A227" s="11" t="s">
        <v>112</v>
      </c>
      <c r="B227" s="12">
        <v>11328</v>
      </c>
      <c r="C227" s="12">
        <v>10983</v>
      </c>
      <c r="D227" s="12">
        <v>11113</v>
      </c>
      <c r="E227" s="12">
        <v>11371</v>
      </c>
      <c r="F227" s="12">
        <v>11250</v>
      </c>
      <c r="G227" s="12">
        <v>11033</v>
      </c>
      <c r="H227" s="12">
        <v>10763</v>
      </c>
      <c r="I227" s="12">
        <v>11010</v>
      </c>
      <c r="J227" t="s">
        <v>15</v>
      </c>
      <c r="K227" t="s">
        <v>21</v>
      </c>
    </row>
    <row r="228" spans="1:11">
      <c r="A228" s="11" t="s">
        <v>169</v>
      </c>
      <c r="B228" s="12">
        <v>11063</v>
      </c>
      <c r="C228" s="12">
        <v>10479</v>
      </c>
      <c r="D228" s="12">
        <v>10519</v>
      </c>
      <c r="E228" s="12">
        <v>10560</v>
      </c>
      <c r="F228" s="12">
        <v>10622</v>
      </c>
      <c r="G228" s="12">
        <v>10996</v>
      </c>
      <c r="H228" s="12">
        <v>10501</v>
      </c>
      <c r="I228" s="12">
        <v>11198</v>
      </c>
      <c r="J228" t="s">
        <v>15</v>
      </c>
      <c r="K228" t="s">
        <v>21</v>
      </c>
    </row>
    <row r="229" spans="1:11">
      <c r="A229" s="11" t="s">
        <v>271</v>
      </c>
      <c r="B229" s="12">
        <v>5200</v>
      </c>
      <c r="C229" s="12">
        <v>23790</v>
      </c>
      <c r="D229" s="12">
        <v>10955</v>
      </c>
      <c r="E229" s="12">
        <v>5200</v>
      </c>
      <c r="F229" s="12">
        <v>9922</v>
      </c>
      <c r="G229" s="12">
        <v>5200</v>
      </c>
      <c r="H229" s="12">
        <v>19649</v>
      </c>
      <c r="I229" s="12">
        <v>5200</v>
      </c>
      <c r="J229" t="s">
        <v>15</v>
      </c>
      <c r="K229" t="s">
        <v>19</v>
      </c>
    </row>
    <row r="230" spans="1:11">
      <c r="A230" s="11" t="s">
        <v>51</v>
      </c>
      <c r="B230" s="12">
        <v>5200</v>
      </c>
      <c r="C230" s="12">
        <v>20654</v>
      </c>
      <c r="D230" s="12">
        <v>8019</v>
      </c>
      <c r="E230" s="12">
        <v>20525</v>
      </c>
      <c r="F230" s="12">
        <v>9752</v>
      </c>
      <c r="G230" s="12">
        <v>6043</v>
      </c>
      <c r="H230" s="12">
        <v>7671</v>
      </c>
      <c r="I230" s="12">
        <v>7196</v>
      </c>
      <c r="J230" t="s">
        <v>15</v>
      </c>
      <c r="K230" t="s">
        <v>19</v>
      </c>
    </row>
    <row r="231" spans="1:11">
      <c r="A231" s="11" t="s">
        <v>236</v>
      </c>
      <c r="B231" s="12">
        <v>8679</v>
      </c>
      <c r="C231" s="12">
        <v>9286</v>
      </c>
      <c r="D231" s="12">
        <v>10662</v>
      </c>
      <c r="E231" s="12">
        <v>10815</v>
      </c>
      <c r="F231" s="12">
        <v>10615</v>
      </c>
      <c r="G231" s="12">
        <v>12253</v>
      </c>
      <c r="H231" s="12">
        <v>10245</v>
      </c>
      <c r="I231" s="12">
        <v>12012</v>
      </c>
      <c r="J231" t="s">
        <v>15</v>
      </c>
      <c r="K231" t="s">
        <v>20</v>
      </c>
    </row>
    <row r="232" spans="1:11">
      <c r="A232" s="11" t="s">
        <v>279</v>
      </c>
      <c r="B232" s="12">
        <v>8376</v>
      </c>
      <c r="C232" s="12">
        <v>10108</v>
      </c>
      <c r="D232" s="12">
        <v>13835</v>
      </c>
      <c r="E232" s="12">
        <v>11691</v>
      </c>
      <c r="F232" s="12">
        <v>8044</v>
      </c>
      <c r="G232" s="12">
        <v>13729</v>
      </c>
      <c r="H232" s="12">
        <v>8850</v>
      </c>
      <c r="I232" s="12">
        <v>9411</v>
      </c>
      <c r="J232" t="s">
        <v>15</v>
      </c>
      <c r="K232" t="s">
        <v>20</v>
      </c>
    </row>
    <row r="233" spans="1:11">
      <c r="A233" s="11" t="s">
        <v>232</v>
      </c>
      <c r="B233" s="12">
        <v>10033</v>
      </c>
      <c r="C233" s="12">
        <v>13345</v>
      </c>
      <c r="D233" s="12">
        <v>7858</v>
      </c>
      <c r="E233" s="12">
        <v>11221</v>
      </c>
      <c r="F233" s="12">
        <v>7905</v>
      </c>
      <c r="G233" s="12">
        <v>11530</v>
      </c>
      <c r="H233" s="12">
        <v>13546</v>
      </c>
      <c r="I233" s="12">
        <v>8133</v>
      </c>
      <c r="J233" t="s">
        <v>15</v>
      </c>
      <c r="K233" t="s">
        <v>20</v>
      </c>
    </row>
    <row r="234" spans="1:11">
      <c r="A234" s="11" t="s">
        <v>56</v>
      </c>
      <c r="B234" s="12">
        <v>6349</v>
      </c>
      <c r="C234" s="12">
        <v>28114</v>
      </c>
      <c r="D234" s="12">
        <v>13193</v>
      </c>
      <c r="E234" s="12">
        <v>5200</v>
      </c>
      <c r="F234" s="12">
        <v>5854</v>
      </c>
      <c r="G234" s="12">
        <v>9601</v>
      </c>
      <c r="H234" s="12">
        <v>6034</v>
      </c>
      <c r="I234" s="12">
        <v>8213</v>
      </c>
      <c r="J234" t="s">
        <v>15</v>
      </c>
      <c r="K234" t="s">
        <v>19</v>
      </c>
    </row>
    <row r="235" spans="1:11">
      <c r="A235" s="11" t="s">
        <v>258</v>
      </c>
      <c r="B235" s="12">
        <v>24397</v>
      </c>
      <c r="C235" s="12">
        <v>7726</v>
      </c>
      <c r="D235" s="12">
        <v>5200</v>
      </c>
      <c r="E235" s="12">
        <v>5200</v>
      </c>
      <c r="F235" s="12">
        <v>5200</v>
      </c>
      <c r="G235" s="12">
        <v>21728</v>
      </c>
      <c r="H235" s="12">
        <v>5200</v>
      </c>
      <c r="I235" s="12">
        <v>5652</v>
      </c>
      <c r="J235" t="s">
        <v>15</v>
      </c>
      <c r="K235" t="s">
        <v>19</v>
      </c>
    </row>
    <row r="236" spans="1:11">
      <c r="A236" s="11" t="s">
        <v>121</v>
      </c>
      <c r="B236" s="12">
        <v>5200</v>
      </c>
      <c r="C236" s="12">
        <v>5200</v>
      </c>
      <c r="D236" s="12">
        <v>25506</v>
      </c>
      <c r="E236" s="12">
        <v>9100</v>
      </c>
      <c r="F236" s="12">
        <v>5200</v>
      </c>
      <c r="G236" s="12">
        <v>5200</v>
      </c>
      <c r="H236" s="12">
        <v>8752</v>
      </c>
      <c r="I236" s="12">
        <v>10903</v>
      </c>
      <c r="J236" t="s">
        <v>15</v>
      </c>
      <c r="K236" t="s">
        <v>19</v>
      </c>
    </row>
    <row r="237" spans="1:11">
      <c r="A237" s="11" t="s">
        <v>163</v>
      </c>
      <c r="B237" s="12">
        <v>5200</v>
      </c>
      <c r="C237" s="12">
        <v>5200</v>
      </c>
      <c r="D237" s="12">
        <v>5200</v>
      </c>
      <c r="E237" s="12">
        <v>5200</v>
      </c>
      <c r="F237" s="12">
        <v>5200</v>
      </c>
      <c r="G237" s="12">
        <v>5200</v>
      </c>
      <c r="H237" s="12">
        <v>22056</v>
      </c>
      <c r="I237" s="12">
        <v>19216</v>
      </c>
      <c r="J237" t="s">
        <v>15</v>
      </c>
      <c r="K237" t="s">
        <v>19</v>
      </c>
    </row>
    <row r="238" spans="1:11">
      <c r="A238" s="11" t="s">
        <v>268</v>
      </c>
      <c r="B238" s="12">
        <v>5200</v>
      </c>
      <c r="C238" s="12">
        <v>5200</v>
      </c>
      <c r="D238" s="12">
        <v>5200</v>
      </c>
      <c r="E238" s="12">
        <v>9780</v>
      </c>
      <c r="F238" s="12">
        <v>5200</v>
      </c>
      <c r="G238" s="12">
        <v>5200</v>
      </c>
      <c r="H238" s="12">
        <v>20111</v>
      </c>
      <c r="I238" s="12">
        <v>6181</v>
      </c>
      <c r="J238" t="s">
        <v>15</v>
      </c>
      <c r="K238" t="s">
        <v>19</v>
      </c>
    </row>
    <row r="239" spans="1:11">
      <c r="A239" s="11" t="s">
        <v>285</v>
      </c>
      <c r="B239" s="12"/>
      <c r="C239" s="12"/>
      <c r="D239" s="12"/>
      <c r="E239" s="12"/>
      <c r="F239" s="12"/>
      <c r="G239" s="12"/>
      <c r="H239" s="12"/>
      <c r="I239" s="12"/>
      <c r="K239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107B-5220-40EC-BC43-CECE0D6BE1C9}">
  <dimension ref="A1:V239"/>
  <sheetViews>
    <sheetView workbookViewId="0">
      <selection activeCell="P12" sqref="P12"/>
    </sheetView>
  </sheetViews>
  <sheetFormatPr defaultRowHeight="15"/>
  <cols>
    <col min="1" max="1" width="32" style="4" customWidth="1"/>
    <col min="2" max="9" width="9.140625" style="4"/>
    <col min="10" max="11" width="9.140625" style="6"/>
  </cols>
  <sheetData>
    <row r="1" spans="1:22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22">
      <c r="A2" s="4" t="s">
        <v>74</v>
      </c>
      <c r="B2" s="4">
        <v>130728</v>
      </c>
      <c r="C2" s="4">
        <v>236463</v>
      </c>
      <c r="D2" s="4">
        <v>286103</v>
      </c>
      <c r="E2" s="4">
        <v>95959</v>
      </c>
      <c r="F2" s="4">
        <v>273948</v>
      </c>
      <c r="G2" s="4">
        <v>37731</v>
      </c>
      <c r="H2" s="4">
        <v>226890</v>
      </c>
      <c r="I2" s="4">
        <v>128512</v>
      </c>
      <c r="J2" s="6" t="s">
        <v>13</v>
      </c>
      <c r="K2" s="6" t="s">
        <v>19</v>
      </c>
      <c r="L2" t="str">
        <f>J2&amp;K2</f>
        <v>AZ</v>
      </c>
      <c r="M2">
        <f>SUM(B2:I2)</f>
        <v>1416334</v>
      </c>
      <c r="S2" s="4"/>
      <c r="T2" s="4" t="s">
        <v>21</v>
      </c>
      <c r="U2" s="4" t="s">
        <v>20</v>
      </c>
      <c r="V2" s="4" t="s">
        <v>19</v>
      </c>
    </row>
    <row r="3" spans="1:22">
      <c r="A3" s="4" t="s">
        <v>159</v>
      </c>
      <c r="B3" s="4">
        <v>105877</v>
      </c>
      <c r="C3" s="4">
        <v>355725</v>
      </c>
      <c r="D3" s="4">
        <v>295403</v>
      </c>
      <c r="E3" s="4">
        <v>136486</v>
      </c>
      <c r="F3" s="4">
        <v>50753</v>
      </c>
      <c r="G3" s="4">
        <v>63301</v>
      </c>
      <c r="H3" s="4">
        <v>334894</v>
      </c>
      <c r="I3" s="4">
        <v>45493</v>
      </c>
      <c r="J3" s="6" t="s">
        <v>13</v>
      </c>
      <c r="K3" s="6" t="s">
        <v>19</v>
      </c>
      <c r="L3" t="str">
        <f t="shared" ref="L3:L66" si="0">J3&amp;K3</f>
        <v>AZ</v>
      </c>
      <c r="M3">
        <f t="shared" ref="M3:M66" si="1">SUM(B3:I3)</f>
        <v>1387932</v>
      </c>
      <c r="S3" s="4" t="s">
        <v>13</v>
      </c>
      <c r="T3" s="4" t="e" cm="1">
        <f t="array" ref="T3">A</f>
        <v>#NAME?</v>
      </c>
      <c r="U3" s="4"/>
      <c r="V3" s="4"/>
    </row>
    <row r="4" spans="1:22">
      <c r="A4" s="4" t="s">
        <v>108</v>
      </c>
      <c r="B4" s="4">
        <v>169102</v>
      </c>
      <c r="C4" s="4">
        <v>196966</v>
      </c>
      <c r="D4" s="4">
        <v>139459</v>
      </c>
      <c r="E4" s="4">
        <v>177120</v>
      </c>
      <c r="F4" s="4">
        <v>184836</v>
      </c>
      <c r="G4" s="4">
        <v>166902</v>
      </c>
      <c r="H4" s="4">
        <v>145568</v>
      </c>
      <c r="I4" s="4">
        <v>151307</v>
      </c>
      <c r="J4" s="6" t="s">
        <v>13</v>
      </c>
      <c r="K4" s="6" t="s">
        <v>20</v>
      </c>
      <c r="L4" t="str">
        <f t="shared" si="0"/>
        <v>AY</v>
      </c>
      <c r="M4">
        <f t="shared" si="1"/>
        <v>1331260</v>
      </c>
      <c r="S4" s="4" t="s">
        <v>14</v>
      </c>
      <c r="T4" s="4"/>
      <c r="U4" s="4"/>
      <c r="V4" s="4"/>
    </row>
    <row r="5" spans="1:22">
      <c r="A5" s="4" t="s">
        <v>133</v>
      </c>
      <c r="B5" s="4">
        <v>211636</v>
      </c>
      <c r="C5" s="4">
        <v>30490</v>
      </c>
      <c r="D5" s="4">
        <v>197476</v>
      </c>
      <c r="E5" s="4">
        <v>82485</v>
      </c>
      <c r="F5" s="4">
        <v>242676</v>
      </c>
      <c r="G5" s="4">
        <v>89540</v>
      </c>
      <c r="H5" s="4">
        <v>212049</v>
      </c>
      <c r="I5" s="4">
        <v>218590</v>
      </c>
      <c r="J5" s="6" t="s">
        <v>13</v>
      </c>
      <c r="K5" s="6" t="s">
        <v>19</v>
      </c>
      <c r="L5" t="str">
        <f t="shared" si="0"/>
        <v>AZ</v>
      </c>
      <c r="M5">
        <f t="shared" si="1"/>
        <v>1284942</v>
      </c>
      <c r="S5" s="4" t="s">
        <v>15</v>
      </c>
      <c r="T5" s="4"/>
      <c r="U5" s="4"/>
      <c r="V5" s="4"/>
    </row>
    <row r="6" spans="1:22">
      <c r="A6" s="4" t="s">
        <v>109</v>
      </c>
      <c r="B6" s="4">
        <v>157450</v>
      </c>
      <c r="C6" s="4">
        <v>155569</v>
      </c>
      <c r="D6" s="4">
        <v>152316</v>
      </c>
      <c r="E6" s="4">
        <v>153106</v>
      </c>
      <c r="F6" s="4">
        <v>153987</v>
      </c>
      <c r="G6" s="4">
        <v>160418</v>
      </c>
      <c r="H6" s="4">
        <v>158953</v>
      </c>
      <c r="I6" s="4">
        <v>152940</v>
      </c>
      <c r="J6" s="6" t="s">
        <v>13</v>
      </c>
      <c r="K6" s="6" t="s">
        <v>21</v>
      </c>
      <c r="L6" t="str">
        <f t="shared" si="0"/>
        <v>AX</v>
      </c>
      <c r="M6">
        <f t="shared" si="1"/>
        <v>1244739</v>
      </c>
    </row>
    <row r="7" spans="1:22">
      <c r="A7" s="4" t="s">
        <v>84</v>
      </c>
      <c r="B7" s="4">
        <v>301051</v>
      </c>
      <c r="C7" s="4">
        <v>43950</v>
      </c>
      <c r="D7" s="4">
        <v>36063</v>
      </c>
      <c r="E7" s="4">
        <v>237377</v>
      </c>
      <c r="F7" s="4">
        <v>255939</v>
      </c>
      <c r="G7" s="4">
        <v>204030</v>
      </c>
      <c r="H7" s="4">
        <v>46386</v>
      </c>
      <c r="I7" s="4">
        <v>119785</v>
      </c>
      <c r="J7" s="6" t="s">
        <v>13</v>
      </c>
      <c r="K7" s="6" t="s">
        <v>19</v>
      </c>
      <c r="L7" t="str">
        <f t="shared" si="0"/>
        <v>AZ</v>
      </c>
      <c r="M7">
        <f t="shared" si="1"/>
        <v>1244581</v>
      </c>
    </row>
    <row r="8" spans="1:22">
      <c r="A8" s="4" t="s">
        <v>93</v>
      </c>
      <c r="B8" s="4">
        <v>217580</v>
      </c>
      <c r="C8" s="4">
        <v>108546</v>
      </c>
      <c r="D8" s="4">
        <v>76494</v>
      </c>
      <c r="E8" s="4">
        <v>74759</v>
      </c>
      <c r="F8" s="4">
        <v>200230</v>
      </c>
      <c r="G8" s="4">
        <v>73810</v>
      </c>
      <c r="H8" s="4">
        <v>205076</v>
      </c>
      <c r="I8" s="4">
        <v>247366</v>
      </c>
      <c r="J8" s="6" t="s">
        <v>13</v>
      </c>
      <c r="K8" s="6" t="s">
        <v>19</v>
      </c>
      <c r="L8" t="str">
        <f t="shared" si="0"/>
        <v>AZ</v>
      </c>
      <c r="M8">
        <f t="shared" si="1"/>
        <v>1203861</v>
      </c>
    </row>
    <row r="9" spans="1:22">
      <c r="A9" s="4" t="s">
        <v>251</v>
      </c>
      <c r="B9" s="4">
        <v>134375</v>
      </c>
      <c r="C9" s="4">
        <v>183477</v>
      </c>
      <c r="D9" s="4">
        <v>177917</v>
      </c>
      <c r="E9" s="4">
        <v>121428</v>
      </c>
      <c r="F9" s="4">
        <v>169078</v>
      </c>
      <c r="G9" s="4">
        <v>105832</v>
      </c>
      <c r="H9" s="4">
        <v>165602</v>
      </c>
      <c r="I9" s="4">
        <v>101023</v>
      </c>
      <c r="J9" s="6" t="s">
        <v>13</v>
      </c>
      <c r="K9" s="6" t="s">
        <v>20</v>
      </c>
      <c r="L9" t="str">
        <f t="shared" si="0"/>
        <v>AY</v>
      </c>
      <c r="M9">
        <f t="shared" si="1"/>
        <v>1158732</v>
      </c>
    </row>
    <row r="10" spans="1:22">
      <c r="A10" s="4" t="s">
        <v>72</v>
      </c>
      <c r="B10" s="4">
        <v>146330</v>
      </c>
      <c r="C10" s="4">
        <v>147088</v>
      </c>
      <c r="D10" s="4">
        <v>144669</v>
      </c>
      <c r="E10" s="4">
        <v>138884</v>
      </c>
      <c r="F10" s="4">
        <v>144049</v>
      </c>
      <c r="G10" s="4">
        <v>146224</v>
      </c>
      <c r="H10" s="4">
        <v>143984</v>
      </c>
      <c r="I10" s="4">
        <v>147500</v>
      </c>
      <c r="J10" s="6" t="s">
        <v>13</v>
      </c>
      <c r="K10" s="6" t="s">
        <v>21</v>
      </c>
      <c r="L10" t="str">
        <f t="shared" si="0"/>
        <v>AX</v>
      </c>
      <c r="M10">
        <f t="shared" si="1"/>
        <v>1158728</v>
      </c>
    </row>
    <row r="11" spans="1:22">
      <c r="A11" s="4" t="s">
        <v>97</v>
      </c>
      <c r="B11" s="4">
        <v>145098</v>
      </c>
      <c r="C11" s="4">
        <v>139525</v>
      </c>
      <c r="D11" s="4">
        <v>145161</v>
      </c>
      <c r="E11" s="4">
        <v>145167</v>
      </c>
      <c r="F11" s="4">
        <v>141327</v>
      </c>
      <c r="G11" s="4">
        <v>140648</v>
      </c>
      <c r="H11" s="4">
        <v>142149</v>
      </c>
      <c r="I11" s="4">
        <v>143023</v>
      </c>
      <c r="J11" s="6" t="s">
        <v>13</v>
      </c>
      <c r="K11" s="6" t="s">
        <v>21</v>
      </c>
      <c r="L11" t="str">
        <f t="shared" si="0"/>
        <v>AX</v>
      </c>
      <c r="M11">
        <f t="shared" si="1"/>
        <v>1142098</v>
      </c>
    </row>
    <row r="12" spans="1:22">
      <c r="A12" s="4" t="s">
        <v>54</v>
      </c>
      <c r="B12" s="4">
        <v>134590</v>
      </c>
      <c r="C12" s="4">
        <v>138973</v>
      </c>
      <c r="D12" s="4">
        <v>139993</v>
      </c>
      <c r="E12" s="4">
        <v>135060</v>
      </c>
      <c r="F12" s="4">
        <v>140198</v>
      </c>
      <c r="G12" s="4">
        <v>136701</v>
      </c>
      <c r="H12" s="4">
        <v>138431</v>
      </c>
      <c r="I12" s="4">
        <v>137475</v>
      </c>
      <c r="J12" s="6" t="s">
        <v>13</v>
      </c>
      <c r="K12" s="6" t="s">
        <v>21</v>
      </c>
      <c r="L12" t="str">
        <f t="shared" si="0"/>
        <v>AX</v>
      </c>
      <c r="M12">
        <f t="shared" si="1"/>
        <v>1101421</v>
      </c>
    </row>
    <row r="13" spans="1:22">
      <c r="A13" s="4" t="s">
        <v>277</v>
      </c>
      <c r="B13" s="4">
        <v>23888</v>
      </c>
      <c r="C13" s="4">
        <v>165036</v>
      </c>
      <c r="D13" s="4">
        <v>32906</v>
      </c>
      <c r="E13" s="4">
        <v>198319</v>
      </c>
      <c r="F13" s="4">
        <v>188123</v>
      </c>
      <c r="G13" s="4">
        <v>161296</v>
      </c>
      <c r="H13" s="4">
        <v>222477</v>
      </c>
      <c r="I13" s="4">
        <v>84130</v>
      </c>
      <c r="J13" s="6" t="s">
        <v>13</v>
      </c>
      <c r="K13" s="6" t="s">
        <v>19</v>
      </c>
      <c r="L13" t="str">
        <f t="shared" si="0"/>
        <v>AZ</v>
      </c>
      <c r="M13">
        <f t="shared" si="1"/>
        <v>1076175</v>
      </c>
    </row>
    <row r="14" spans="1:22">
      <c r="A14" s="4" t="s">
        <v>98</v>
      </c>
      <c r="B14" s="4">
        <v>112582</v>
      </c>
      <c r="C14" s="4">
        <v>102164</v>
      </c>
      <c r="D14" s="4">
        <v>155967</v>
      </c>
      <c r="E14" s="4">
        <v>120652</v>
      </c>
      <c r="F14" s="4">
        <v>105806</v>
      </c>
      <c r="G14" s="4">
        <v>179051</v>
      </c>
      <c r="H14" s="4">
        <v>130975</v>
      </c>
      <c r="I14" s="4">
        <v>167377</v>
      </c>
      <c r="J14" s="6" t="s">
        <v>13</v>
      </c>
      <c r="K14" s="6" t="s">
        <v>20</v>
      </c>
      <c r="L14" t="str">
        <f t="shared" si="0"/>
        <v>AY</v>
      </c>
      <c r="M14">
        <f t="shared" si="1"/>
        <v>1074574</v>
      </c>
    </row>
    <row r="15" spans="1:22">
      <c r="A15" s="4" t="s">
        <v>107</v>
      </c>
      <c r="B15" s="4">
        <v>157895</v>
      </c>
      <c r="C15" s="4">
        <v>174828</v>
      </c>
      <c r="D15" s="4">
        <v>25666</v>
      </c>
      <c r="E15" s="4">
        <v>172912</v>
      </c>
      <c r="F15" s="4">
        <v>58834</v>
      </c>
      <c r="G15" s="4">
        <v>205205</v>
      </c>
      <c r="H15" s="4">
        <v>56632</v>
      </c>
      <c r="I15" s="4">
        <v>222102</v>
      </c>
      <c r="J15" s="6" t="s">
        <v>13</v>
      </c>
      <c r="K15" s="6" t="s">
        <v>19</v>
      </c>
      <c r="L15" t="str">
        <f t="shared" si="0"/>
        <v>AZ</v>
      </c>
      <c r="M15">
        <f t="shared" si="1"/>
        <v>1074074</v>
      </c>
    </row>
    <row r="16" spans="1:22">
      <c r="A16" s="4" t="s">
        <v>92</v>
      </c>
      <c r="B16" s="4">
        <v>126605</v>
      </c>
      <c r="C16" s="4">
        <v>125252</v>
      </c>
      <c r="D16" s="4">
        <v>131843</v>
      </c>
      <c r="E16" s="4">
        <v>131957</v>
      </c>
      <c r="F16" s="4">
        <v>129881</v>
      </c>
      <c r="G16" s="4">
        <v>136681</v>
      </c>
      <c r="H16" s="4">
        <v>129338</v>
      </c>
      <c r="I16" s="4">
        <v>126114</v>
      </c>
      <c r="J16" s="6" t="s">
        <v>13</v>
      </c>
      <c r="K16" s="6" t="s">
        <v>21</v>
      </c>
      <c r="L16" t="str">
        <f t="shared" si="0"/>
        <v>AX</v>
      </c>
      <c r="M16">
        <f t="shared" si="1"/>
        <v>1037671</v>
      </c>
    </row>
    <row r="17" spans="1:13">
      <c r="A17" s="4" t="s">
        <v>204</v>
      </c>
      <c r="B17" s="4">
        <v>126994</v>
      </c>
      <c r="C17" s="4">
        <v>127269</v>
      </c>
      <c r="D17" s="4">
        <v>117992</v>
      </c>
      <c r="E17" s="4">
        <v>119303</v>
      </c>
      <c r="F17" s="4">
        <v>124751</v>
      </c>
      <c r="G17" s="4">
        <v>122833</v>
      </c>
      <c r="H17" s="4">
        <v>126323</v>
      </c>
      <c r="I17" s="4">
        <v>124048</v>
      </c>
      <c r="J17" s="6" t="s">
        <v>13</v>
      </c>
      <c r="K17" s="6" t="s">
        <v>21</v>
      </c>
      <c r="L17" t="str">
        <f t="shared" si="0"/>
        <v>AX</v>
      </c>
      <c r="M17">
        <f t="shared" si="1"/>
        <v>989513</v>
      </c>
    </row>
    <row r="18" spans="1:13">
      <c r="A18" s="4" t="s">
        <v>123</v>
      </c>
      <c r="B18" s="4">
        <v>115315</v>
      </c>
      <c r="C18" s="4">
        <v>112197</v>
      </c>
      <c r="D18" s="4">
        <v>119596</v>
      </c>
      <c r="E18" s="4">
        <v>112638</v>
      </c>
      <c r="F18" s="4">
        <v>116769</v>
      </c>
      <c r="G18" s="4">
        <v>113243</v>
      </c>
      <c r="H18" s="4">
        <v>119227</v>
      </c>
      <c r="I18" s="4">
        <v>116809</v>
      </c>
      <c r="J18" s="6" t="s">
        <v>13</v>
      </c>
      <c r="K18" s="6" t="s">
        <v>21</v>
      </c>
      <c r="L18" t="str">
        <f t="shared" si="0"/>
        <v>AX</v>
      </c>
      <c r="M18">
        <f t="shared" si="1"/>
        <v>925794</v>
      </c>
    </row>
    <row r="19" spans="1:13">
      <c r="A19" s="4" t="s">
        <v>106</v>
      </c>
      <c r="B19" s="4">
        <v>70719</v>
      </c>
      <c r="C19" s="4">
        <v>48284</v>
      </c>
      <c r="D19" s="4">
        <v>49683</v>
      </c>
      <c r="E19" s="4">
        <v>166019</v>
      </c>
      <c r="F19" s="4">
        <v>136536</v>
      </c>
      <c r="G19" s="4">
        <v>166050</v>
      </c>
      <c r="H19" s="4">
        <v>122081</v>
      </c>
      <c r="I19" s="4">
        <v>136941</v>
      </c>
      <c r="J19" s="6" t="s">
        <v>13</v>
      </c>
      <c r="K19" s="6" t="s">
        <v>19</v>
      </c>
      <c r="L19" t="str">
        <f t="shared" si="0"/>
        <v>AZ</v>
      </c>
      <c r="M19">
        <f t="shared" si="1"/>
        <v>896313</v>
      </c>
    </row>
    <row r="20" spans="1:13">
      <c r="A20" s="4" t="s">
        <v>172</v>
      </c>
      <c r="B20" s="4">
        <v>117937</v>
      </c>
      <c r="C20" s="4">
        <v>124879</v>
      </c>
      <c r="D20" s="4">
        <v>104705</v>
      </c>
      <c r="E20" s="4">
        <v>123525</v>
      </c>
      <c r="F20" s="4">
        <v>111447</v>
      </c>
      <c r="G20" s="4">
        <v>98585</v>
      </c>
      <c r="H20" s="4">
        <v>79518</v>
      </c>
      <c r="I20" s="4">
        <v>134750</v>
      </c>
      <c r="J20" s="6" t="s">
        <v>13</v>
      </c>
      <c r="K20" s="6" t="s">
        <v>20</v>
      </c>
      <c r="L20" t="str">
        <f t="shared" si="0"/>
        <v>AY</v>
      </c>
      <c r="M20">
        <f t="shared" si="1"/>
        <v>895346</v>
      </c>
    </row>
    <row r="21" spans="1:13">
      <c r="A21" s="4" t="s">
        <v>183</v>
      </c>
      <c r="B21" s="4">
        <v>107457</v>
      </c>
      <c r="C21" s="4">
        <v>115140</v>
      </c>
      <c r="D21" s="4">
        <v>114070</v>
      </c>
      <c r="E21" s="4">
        <v>111511</v>
      </c>
      <c r="F21" s="4">
        <v>112505</v>
      </c>
      <c r="G21" s="4">
        <v>113713</v>
      </c>
      <c r="H21" s="4">
        <v>106830</v>
      </c>
      <c r="I21" s="4">
        <v>110195</v>
      </c>
      <c r="J21" s="6" t="s">
        <v>13</v>
      </c>
      <c r="K21" s="6" t="s">
        <v>21</v>
      </c>
      <c r="L21" t="str">
        <f t="shared" si="0"/>
        <v>AX</v>
      </c>
      <c r="M21">
        <f t="shared" si="1"/>
        <v>891421</v>
      </c>
    </row>
    <row r="22" spans="1:13">
      <c r="A22" s="4" t="s">
        <v>53</v>
      </c>
      <c r="B22" s="4">
        <v>120049</v>
      </c>
      <c r="C22" s="4">
        <v>87487</v>
      </c>
      <c r="D22" s="4">
        <v>133354</v>
      </c>
      <c r="E22" s="4">
        <v>136275</v>
      </c>
      <c r="F22" s="4">
        <v>96969</v>
      </c>
      <c r="G22" s="4">
        <v>89559</v>
      </c>
      <c r="H22" s="4">
        <v>108537</v>
      </c>
      <c r="I22" s="4">
        <v>106705</v>
      </c>
      <c r="J22" s="6" t="s">
        <v>13</v>
      </c>
      <c r="K22" s="6" t="s">
        <v>20</v>
      </c>
      <c r="L22" t="str">
        <f t="shared" si="0"/>
        <v>AY</v>
      </c>
      <c r="M22">
        <f t="shared" si="1"/>
        <v>878935</v>
      </c>
    </row>
    <row r="23" spans="1:13">
      <c r="A23" s="4" t="s">
        <v>100</v>
      </c>
      <c r="B23" s="4">
        <v>20629</v>
      </c>
      <c r="C23" s="4">
        <v>62167</v>
      </c>
      <c r="D23" s="4">
        <v>221204</v>
      </c>
      <c r="E23" s="4">
        <v>41138</v>
      </c>
      <c r="F23" s="4">
        <v>186877</v>
      </c>
      <c r="G23" s="4">
        <v>24919</v>
      </c>
      <c r="H23" s="4">
        <v>86747</v>
      </c>
      <c r="I23" s="4">
        <v>180138</v>
      </c>
      <c r="J23" s="6" t="s">
        <v>13</v>
      </c>
      <c r="K23" s="6" t="s">
        <v>19</v>
      </c>
      <c r="L23" t="str">
        <f t="shared" si="0"/>
        <v>AZ</v>
      </c>
      <c r="M23">
        <f t="shared" si="1"/>
        <v>823819</v>
      </c>
    </row>
    <row r="24" spans="1:13">
      <c r="A24" s="4" t="s">
        <v>270</v>
      </c>
      <c r="B24" s="4">
        <v>105397</v>
      </c>
      <c r="C24" s="4">
        <v>97560</v>
      </c>
      <c r="D24" s="4">
        <v>135115</v>
      </c>
      <c r="E24" s="4">
        <v>94085</v>
      </c>
      <c r="F24" s="4">
        <v>99918</v>
      </c>
      <c r="G24" s="4">
        <v>85577</v>
      </c>
      <c r="H24" s="4">
        <v>81643</v>
      </c>
      <c r="I24" s="4">
        <v>115003</v>
      </c>
      <c r="J24" s="6" t="s">
        <v>13</v>
      </c>
      <c r="K24" s="6" t="s">
        <v>20</v>
      </c>
      <c r="L24" t="str">
        <f t="shared" si="0"/>
        <v>AY</v>
      </c>
      <c r="M24">
        <f t="shared" si="1"/>
        <v>814298</v>
      </c>
    </row>
    <row r="25" spans="1:13">
      <c r="A25" s="4" t="s">
        <v>124</v>
      </c>
      <c r="B25" s="4">
        <v>96556</v>
      </c>
      <c r="C25" s="4">
        <v>99448</v>
      </c>
      <c r="D25" s="4">
        <v>97184</v>
      </c>
      <c r="E25" s="4">
        <v>100709</v>
      </c>
      <c r="F25" s="4">
        <v>103179</v>
      </c>
      <c r="G25" s="4">
        <v>96824</v>
      </c>
      <c r="H25" s="4">
        <v>97076</v>
      </c>
      <c r="I25" s="4">
        <v>103779</v>
      </c>
      <c r="J25" s="6" t="s">
        <v>13</v>
      </c>
      <c r="K25" s="6" t="s">
        <v>21</v>
      </c>
      <c r="L25" t="str">
        <f t="shared" si="0"/>
        <v>AX</v>
      </c>
      <c r="M25">
        <f t="shared" si="1"/>
        <v>794755</v>
      </c>
    </row>
    <row r="26" spans="1:13">
      <c r="A26" s="4" t="s">
        <v>145</v>
      </c>
      <c r="B26" s="4">
        <v>96208</v>
      </c>
      <c r="C26" s="4">
        <v>98719</v>
      </c>
      <c r="D26" s="4">
        <v>102235</v>
      </c>
      <c r="E26" s="4">
        <v>98526</v>
      </c>
      <c r="F26" s="4">
        <v>96461</v>
      </c>
      <c r="G26" s="4">
        <v>93947</v>
      </c>
      <c r="H26" s="4">
        <v>94262</v>
      </c>
      <c r="I26" s="4">
        <v>101589</v>
      </c>
      <c r="J26" s="6" t="s">
        <v>13</v>
      </c>
      <c r="K26" s="6" t="s">
        <v>21</v>
      </c>
      <c r="L26" t="str">
        <f t="shared" si="0"/>
        <v>AX</v>
      </c>
      <c r="M26">
        <f t="shared" si="1"/>
        <v>781947</v>
      </c>
    </row>
    <row r="27" spans="1:13">
      <c r="A27" s="4" t="s">
        <v>58</v>
      </c>
      <c r="B27" s="4">
        <v>92739</v>
      </c>
      <c r="C27" s="4">
        <v>95212</v>
      </c>
      <c r="D27" s="4">
        <v>91172</v>
      </c>
      <c r="E27" s="4">
        <v>96387</v>
      </c>
      <c r="F27" s="4">
        <v>94445</v>
      </c>
      <c r="G27" s="4">
        <v>96911</v>
      </c>
      <c r="H27" s="4">
        <v>92954</v>
      </c>
      <c r="I27" s="4">
        <v>92102</v>
      </c>
      <c r="J27" s="6" t="s">
        <v>13</v>
      </c>
      <c r="K27" s="6" t="s">
        <v>21</v>
      </c>
      <c r="L27" t="str">
        <f t="shared" si="0"/>
        <v>AX</v>
      </c>
      <c r="M27">
        <f t="shared" si="1"/>
        <v>751922</v>
      </c>
    </row>
    <row r="28" spans="1:13">
      <c r="A28" s="4" t="s">
        <v>99</v>
      </c>
      <c r="B28" s="4">
        <v>88967</v>
      </c>
      <c r="C28" s="4">
        <v>70548</v>
      </c>
      <c r="D28" s="4">
        <v>129734</v>
      </c>
      <c r="E28" s="4">
        <v>76967</v>
      </c>
      <c r="F28" s="4">
        <v>107626</v>
      </c>
      <c r="G28" s="4">
        <v>99913</v>
      </c>
      <c r="H28" s="4">
        <v>79430</v>
      </c>
      <c r="I28" s="4">
        <v>97069</v>
      </c>
      <c r="J28" s="6" t="s">
        <v>13</v>
      </c>
      <c r="K28" s="6" t="s">
        <v>20</v>
      </c>
      <c r="L28" t="str">
        <f t="shared" si="0"/>
        <v>AY</v>
      </c>
      <c r="M28">
        <f t="shared" si="1"/>
        <v>750254</v>
      </c>
    </row>
    <row r="29" spans="1:13">
      <c r="A29" s="4" t="s">
        <v>252</v>
      </c>
      <c r="B29" s="4">
        <v>88665</v>
      </c>
      <c r="C29" s="4">
        <v>94299</v>
      </c>
      <c r="D29" s="4">
        <v>89547</v>
      </c>
      <c r="E29" s="4">
        <v>89125</v>
      </c>
      <c r="F29" s="4">
        <v>93010</v>
      </c>
      <c r="G29" s="4">
        <v>90737</v>
      </c>
      <c r="H29" s="4">
        <v>94879</v>
      </c>
      <c r="I29" s="4">
        <v>89197</v>
      </c>
      <c r="J29" s="6" t="s">
        <v>13</v>
      </c>
      <c r="K29" s="6" t="s">
        <v>21</v>
      </c>
      <c r="L29" t="str">
        <f t="shared" si="0"/>
        <v>AX</v>
      </c>
      <c r="M29">
        <f t="shared" si="1"/>
        <v>729459</v>
      </c>
    </row>
    <row r="30" spans="1:13">
      <c r="A30" s="4" t="s">
        <v>189</v>
      </c>
      <c r="B30" s="4">
        <v>85060</v>
      </c>
      <c r="C30" s="4">
        <v>83385</v>
      </c>
      <c r="D30" s="4">
        <v>72696</v>
      </c>
      <c r="E30" s="4">
        <v>114327</v>
      </c>
      <c r="F30" s="4">
        <v>91162</v>
      </c>
      <c r="G30" s="4">
        <v>86396</v>
      </c>
      <c r="H30" s="4">
        <v>105449</v>
      </c>
      <c r="I30" s="4">
        <v>78454</v>
      </c>
      <c r="J30" s="6" t="s">
        <v>13</v>
      </c>
      <c r="K30" s="6" t="s">
        <v>20</v>
      </c>
      <c r="L30" t="str">
        <f t="shared" si="0"/>
        <v>AY</v>
      </c>
      <c r="M30">
        <f t="shared" si="1"/>
        <v>716929</v>
      </c>
    </row>
    <row r="31" spans="1:13">
      <c r="A31" s="4" t="s">
        <v>239</v>
      </c>
      <c r="B31" s="4">
        <v>69139</v>
      </c>
      <c r="C31" s="4">
        <v>78328</v>
      </c>
      <c r="D31" s="4">
        <v>91553</v>
      </c>
      <c r="E31" s="4">
        <v>89146</v>
      </c>
      <c r="F31" s="4">
        <v>98518</v>
      </c>
      <c r="G31" s="4">
        <v>126451</v>
      </c>
      <c r="H31" s="4">
        <v>69511</v>
      </c>
      <c r="I31" s="4">
        <v>76886</v>
      </c>
      <c r="J31" s="6" t="s">
        <v>13</v>
      </c>
      <c r="K31" s="6" t="s">
        <v>20</v>
      </c>
      <c r="L31" t="str">
        <f t="shared" si="0"/>
        <v>AY</v>
      </c>
      <c r="M31">
        <f t="shared" si="1"/>
        <v>699532</v>
      </c>
    </row>
    <row r="32" spans="1:13">
      <c r="A32" s="4" t="s">
        <v>209</v>
      </c>
      <c r="B32" s="4">
        <v>81870</v>
      </c>
      <c r="C32" s="4">
        <v>82733</v>
      </c>
      <c r="D32" s="4">
        <v>83336</v>
      </c>
      <c r="E32" s="4">
        <v>86269</v>
      </c>
      <c r="F32" s="4">
        <v>82848</v>
      </c>
      <c r="G32" s="4">
        <v>81061</v>
      </c>
      <c r="H32" s="4">
        <v>86034</v>
      </c>
      <c r="I32" s="4">
        <v>84409</v>
      </c>
      <c r="J32" s="6" t="s">
        <v>13</v>
      </c>
      <c r="K32" s="6" t="s">
        <v>21</v>
      </c>
      <c r="L32" t="str">
        <f t="shared" si="0"/>
        <v>AX</v>
      </c>
      <c r="M32">
        <f t="shared" si="1"/>
        <v>668560</v>
      </c>
    </row>
    <row r="33" spans="1:13">
      <c r="A33" s="4" t="s">
        <v>166</v>
      </c>
      <c r="B33" s="4">
        <v>78913</v>
      </c>
      <c r="C33" s="4">
        <v>78530</v>
      </c>
      <c r="D33" s="4">
        <v>84026</v>
      </c>
      <c r="E33" s="4">
        <v>83719</v>
      </c>
      <c r="F33" s="4">
        <v>77952</v>
      </c>
      <c r="G33" s="4">
        <v>83097</v>
      </c>
      <c r="H33" s="4">
        <v>78100</v>
      </c>
      <c r="I33" s="4">
        <v>80249</v>
      </c>
      <c r="J33" s="6" t="s">
        <v>13</v>
      </c>
      <c r="K33" s="6" t="s">
        <v>21</v>
      </c>
      <c r="L33" t="str">
        <f t="shared" si="0"/>
        <v>AX</v>
      </c>
      <c r="M33">
        <f t="shared" si="1"/>
        <v>644586</v>
      </c>
    </row>
    <row r="34" spans="1:13">
      <c r="A34" s="4" t="s">
        <v>134</v>
      </c>
      <c r="B34" s="4">
        <v>77602</v>
      </c>
      <c r="C34" s="4">
        <v>98935</v>
      </c>
      <c r="D34" s="4">
        <v>59707</v>
      </c>
      <c r="E34" s="4">
        <v>90156</v>
      </c>
      <c r="F34" s="4">
        <v>67534</v>
      </c>
      <c r="G34" s="4">
        <v>77949</v>
      </c>
      <c r="H34" s="4">
        <v>68753</v>
      </c>
      <c r="I34" s="4">
        <v>95319</v>
      </c>
      <c r="J34" s="6" t="s">
        <v>13</v>
      </c>
      <c r="K34" s="6" t="s">
        <v>20</v>
      </c>
      <c r="L34" t="str">
        <f t="shared" si="0"/>
        <v>AY</v>
      </c>
      <c r="M34">
        <f t="shared" si="1"/>
        <v>635955</v>
      </c>
    </row>
    <row r="35" spans="1:13">
      <c r="A35" s="4" t="s">
        <v>61</v>
      </c>
      <c r="B35" s="4">
        <v>71905</v>
      </c>
      <c r="C35" s="4">
        <v>24092</v>
      </c>
      <c r="D35" s="4">
        <v>32444</v>
      </c>
      <c r="E35" s="4">
        <v>175694</v>
      </c>
      <c r="F35" s="4">
        <v>20174</v>
      </c>
      <c r="G35" s="4">
        <v>152402</v>
      </c>
      <c r="H35" s="4">
        <v>23707</v>
      </c>
      <c r="I35" s="4">
        <v>125274</v>
      </c>
      <c r="J35" s="6" t="s">
        <v>13</v>
      </c>
      <c r="K35" s="6" t="s">
        <v>19</v>
      </c>
      <c r="L35" t="str">
        <f t="shared" si="0"/>
        <v>AZ</v>
      </c>
      <c r="M35">
        <f t="shared" si="1"/>
        <v>625692</v>
      </c>
    </row>
    <row r="36" spans="1:13">
      <c r="A36" s="4" t="s">
        <v>114</v>
      </c>
      <c r="B36" s="4">
        <v>96120</v>
      </c>
      <c r="C36" s="4">
        <v>69488</v>
      </c>
      <c r="D36" s="4">
        <v>69811</v>
      </c>
      <c r="E36" s="4">
        <v>61619</v>
      </c>
      <c r="F36" s="4">
        <v>68592</v>
      </c>
      <c r="G36" s="4">
        <v>89718</v>
      </c>
      <c r="H36" s="4">
        <v>91685</v>
      </c>
      <c r="I36" s="4">
        <v>62678</v>
      </c>
      <c r="J36" s="6" t="s">
        <v>13</v>
      </c>
      <c r="K36" s="6" t="s">
        <v>20</v>
      </c>
      <c r="L36" t="str">
        <f t="shared" si="0"/>
        <v>AY</v>
      </c>
      <c r="M36">
        <f t="shared" si="1"/>
        <v>609711</v>
      </c>
    </row>
    <row r="37" spans="1:13">
      <c r="A37" s="4" t="s">
        <v>49</v>
      </c>
      <c r="B37" s="4">
        <v>75679</v>
      </c>
      <c r="C37" s="4">
        <v>74191</v>
      </c>
      <c r="D37" s="4">
        <v>73434</v>
      </c>
      <c r="E37" s="4">
        <v>77093</v>
      </c>
      <c r="F37" s="4">
        <v>74181</v>
      </c>
      <c r="G37" s="4">
        <v>77100</v>
      </c>
      <c r="H37" s="4">
        <v>75121</v>
      </c>
      <c r="I37" s="4">
        <v>74477</v>
      </c>
      <c r="J37" s="6" t="s">
        <v>13</v>
      </c>
      <c r="K37" s="6" t="s">
        <v>21</v>
      </c>
      <c r="L37" t="str">
        <f t="shared" si="0"/>
        <v>AX</v>
      </c>
      <c r="M37">
        <f t="shared" si="1"/>
        <v>601276</v>
      </c>
    </row>
    <row r="38" spans="1:13">
      <c r="A38" s="4" t="s">
        <v>182</v>
      </c>
      <c r="B38" s="4">
        <v>26723</v>
      </c>
      <c r="C38" s="4">
        <v>41581</v>
      </c>
      <c r="D38" s="4">
        <v>131523</v>
      </c>
      <c r="E38" s="4">
        <v>42565</v>
      </c>
      <c r="F38" s="4">
        <v>96958</v>
      </c>
      <c r="G38" s="4">
        <v>94718</v>
      </c>
      <c r="H38" s="4">
        <v>121767</v>
      </c>
      <c r="I38" s="4">
        <v>40911</v>
      </c>
      <c r="J38" s="6" t="s">
        <v>13</v>
      </c>
      <c r="K38" s="6" t="s">
        <v>19</v>
      </c>
      <c r="L38" t="str">
        <f t="shared" si="0"/>
        <v>AZ</v>
      </c>
      <c r="M38">
        <f t="shared" si="1"/>
        <v>596746</v>
      </c>
    </row>
    <row r="39" spans="1:13">
      <c r="A39" s="4" t="s">
        <v>235</v>
      </c>
      <c r="B39" s="4">
        <v>79078</v>
      </c>
      <c r="C39" s="4">
        <v>57526</v>
      </c>
      <c r="D39" s="4">
        <v>89888</v>
      </c>
      <c r="E39" s="4">
        <v>77964</v>
      </c>
      <c r="F39" s="4">
        <v>69779</v>
      </c>
      <c r="G39" s="4">
        <v>67996</v>
      </c>
      <c r="H39" s="4">
        <v>70373</v>
      </c>
      <c r="I39" s="4">
        <v>71721</v>
      </c>
      <c r="J39" s="6" t="s">
        <v>13</v>
      </c>
      <c r="K39" s="6" t="s">
        <v>20</v>
      </c>
      <c r="L39" t="str">
        <f t="shared" si="0"/>
        <v>AY</v>
      </c>
      <c r="M39">
        <f t="shared" si="1"/>
        <v>584325</v>
      </c>
    </row>
    <row r="40" spans="1:13">
      <c r="A40" s="4" t="s">
        <v>210</v>
      </c>
      <c r="B40" s="4">
        <v>73628</v>
      </c>
      <c r="C40" s="4">
        <v>72770</v>
      </c>
      <c r="D40" s="4">
        <v>70103</v>
      </c>
      <c r="E40" s="4">
        <v>72011</v>
      </c>
      <c r="F40" s="4">
        <v>75656</v>
      </c>
      <c r="G40" s="4">
        <v>71585</v>
      </c>
      <c r="H40" s="4">
        <v>72417</v>
      </c>
      <c r="I40" s="4">
        <v>70735</v>
      </c>
      <c r="J40" s="6" t="s">
        <v>13</v>
      </c>
      <c r="K40" s="6" t="s">
        <v>21</v>
      </c>
      <c r="L40" t="str">
        <f t="shared" si="0"/>
        <v>AX</v>
      </c>
      <c r="M40">
        <f t="shared" si="1"/>
        <v>578905</v>
      </c>
    </row>
    <row r="41" spans="1:13">
      <c r="A41" s="4" t="s">
        <v>115</v>
      </c>
      <c r="B41" s="4">
        <v>67027</v>
      </c>
      <c r="C41" s="4">
        <v>68405</v>
      </c>
      <c r="D41" s="4">
        <v>70208</v>
      </c>
      <c r="E41" s="4">
        <v>68565</v>
      </c>
      <c r="F41" s="4">
        <v>71876</v>
      </c>
      <c r="G41" s="4">
        <v>68668</v>
      </c>
      <c r="H41" s="4">
        <v>71160</v>
      </c>
      <c r="I41" s="4">
        <v>68626</v>
      </c>
      <c r="J41" s="6" t="s">
        <v>13</v>
      </c>
      <c r="K41" s="6" t="s">
        <v>21</v>
      </c>
      <c r="L41" t="str">
        <f t="shared" si="0"/>
        <v>AX</v>
      </c>
      <c r="M41">
        <f t="shared" si="1"/>
        <v>554535</v>
      </c>
    </row>
    <row r="42" spans="1:13">
      <c r="A42" s="4" t="s">
        <v>276</v>
      </c>
      <c r="B42" s="4">
        <v>56331</v>
      </c>
      <c r="C42" s="4">
        <v>77453</v>
      </c>
      <c r="D42" s="4">
        <v>49464</v>
      </c>
      <c r="E42" s="4">
        <v>79807</v>
      </c>
      <c r="F42" s="4">
        <v>76630</v>
      </c>
      <c r="G42" s="4">
        <v>77481</v>
      </c>
      <c r="H42" s="4">
        <v>56459</v>
      </c>
      <c r="I42" s="4">
        <v>60757</v>
      </c>
      <c r="J42" s="6" t="s">
        <v>13</v>
      </c>
      <c r="K42" s="6" t="s">
        <v>20</v>
      </c>
      <c r="L42" t="str">
        <f t="shared" si="0"/>
        <v>AY</v>
      </c>
      <c r="M42">
        <f t="shared" si="1"/>
        <v>534382</v>
      </c>
    </row>
    <row r="43" spans="1:13">
      <c r="A43" s="4" t="s">
        <v>73</v>
      </c>
      <c r="B43" s="4">
        <v>48838</v>
      </c>
      <c r="C43" s="4">
        <v>70380</v>
      </c>
      <c r="D43" s="4">
        <v>71926</v>
      </c>
      <c r="E43" s="4">
        <v>72903</v>
      </c>
      <c r="F43" s="4">
        <v>73024</v>
      </c>
      <c r="G43" s="4">
        <v>49235</v>
      </c>
      <c r="H43" s="4">
        <v>75527</v>
      </c>
      <c r="I43" s="4">
        <v>72489</v>
      </c>
      <c r="J43" s="6" t="s">
        <v>13</v>
      </c>
      <c r="K43" s="6" t="s">
        <v>20</v>
      </c>
      <c r="L43" t="str">
        <f t="shared" si="0"/>
        <v>AY</v>
      </c>
      <c r="M43">
        <f t="shared" si="1"/>
        <v>534322</v>
      </c>
    </row>
    <row r="44" spans="1:13">
      <c r="A44" s="4" t="s">
        <v>211</v>
      </c>
      <c r="B44" s="4">
        <v>54165</v>
      </c>
      <c r="C44" s="4">
        <v>136608</v>
      </c>
      <c r="D44" s="4">
        <v>102739</v>
      </c>
      <c r="E44" s="4">
        <v>17201</v>
      </c>
      <c r="F44" s="4">
        <v>17215</v>
      </c>
      <c r="G44" s="4">
        <v>120409</v>
      </c>
      <c r="H44" s="4">
        <v>24802</v>
      </c>
      <c r="I44" s="4">
        <v>45711</v>
      </c>
      <c r="J44" s="6" t="s">
        <v>13</v>
      </c>
      <c r="K44" s="6" t="s">
        <v>19</v>
      </c>
      <c r="L44" t="str">
        <f t="shared" si="0"/>
        <v>AZ</v>
      </c>
      <c r="M44">
        <f t="shared" si="1"/>
        <v>518850</v>
      </c>
    </row>
    <row r="45" spans="1:13">
      <c r="A45" s="4" t="s">
        <v>212</v>
      </c>
      <c r="B45" s="4">
        <v>32525</v>
      </c>
      <c r="C45" s="4">
        <v>65497</v>
      </c>
      <c r="D45" s="4">
        <v>133894</v>
      </c>
      <c r="E45" s="4">
        <v>26936</v>
      </c>
      <c r="F45" s="4">
        <v>169888</v>
      </c>
      <c r="G45" s="4">
        <v>43037</v>
      </c>
      <c r="H45" s="4">
        <v>20236</v>
      </c>
      <c r="I45" s="4">
        <v>25065</v>
      </c>
      <c r="J45" s="6" t="s">
        <v>13</v>
      </c>
      <c r="K45" s="6" t="s">
        <v>19</v>
      </c>
      <c r="L45" t="str">
        <f t="shared" si="0"/>
        <v>AZ</v>
      </c>
      <c r="M45">
        <f t="shared" si="1"/>
        <v>517078</v>
      </c>
    </row>
    <row r="46" spans="1:13">
      <c r="A46" s="4" t="s">
        <v>220</v>
      </c>
      <c r="B46" s="4">
        <v>109212</v>
      </c>
      <c r="C46" s="4">
        <v>95815</v>
      </c>
      <c r="D46" s="4">
        <v>11766</v>
      </c>
      <c r="E46" s="4">
        <v>92607</v>
      </c>
      <c r="F46" s="4">
        <v>22646</v>
      </c>
      <c r="G46" s="4">
        <v>45272</v>
      </c>
      <c r="H46" s="4">
        <v>17810</v>
      </c>
      <c r="I46" s="4">
        <v>119302</v>
      </c>
      <c r="J46" s="6" t="s">
        <v>13</v>
      </c>
      <c r="K46" s="6" t="s">
        <v>19</v>
      </c>
      <c r="L46" t="str">
        <f t="shared" si="0"/>
        <v>AZ</v>
      </c>
      <c r="M46">
        <f t="shared" si="1"/>
        <v>514430</v>
      </c>
    </row>
    <row r="47" spans="1:13">
      <c r="A47" s="4" t="s">
        <v>101</v>
      </c>
      <c r="B47" s="4">
        <v>61374</v>
      </c>
      <c r="C47" s="4">
        <v>62343</v>
      </c>
      <c r="D47" s="4">
        <v>62460</v>
      </c>
      <c r="E47" s="4">
        <v>64696</v>
      </c>
      <c r="F47" s="4">
        <v>63928</v>
      </c>
      <c r="G47" s="4">
        <v>61933</v>
      </c>
      <c r="H47" s="4">
        <v>64828</v>
      </c>
      <c r="I47" s="4">
        <v>66715</v>
      </c>
      <c r="J47" s="6" t="s">
        <v>13</v>
      </c>
      <c r="K47" s="6" t="s">
        <v>21</v>
      </c>
      <c r="L47" t="str">
        <f t="shared" si="0"/>
        <v>AX</v>
      </c>
      <c r="M47">
        <f t="shared" si="1"/>
        <v>508277</v>
      </c>
    </row>
    <row r="48" spans="1:13">
      <c r="A48" s="4" t="s">
        <v>167</v>
      </c>
      <c r="B48" s="4">
        <v>63968</v>
      </c>
      <c r="C48" s="4">
        <v>62331</v>
      </c>
      <c r="D48" s="4">
        <v>62773</v>
      </c>
      <c r="E48" s="4">
        <v>60490</v>
      </c>
      <c r="F48" s="4">
        <v>60180</v>
      </c>
      <c r="G48" s="4">
        <v>60164</v>
      </c>
      <c r="H48" s="4">
        <v>61157</v>
      </c>
      <c r="I48" s="4">
        <v>63049</v>
      </c>
      <c r="J48" s="6" t="s">
        <v>13</v>
      </c>
      <c r="K48" s="6" t="s">
        <v>21</v>
      </c>
      <c r="L48" t="str">
        <f t="shared" si="0"/>
        <v>AX</v>
      </c>
      <c r="M48">
        <f t="shared" si="1"/>
        <v>494112</v>
      </c>
    </row>
    <row r="49" spans="1:13">
      <c r="A49" s="4" t="s">
        <v>203</v>
      </c>
      <c r="B49" s="4">
        <v>61467</v>
      </c>
      <c r="C49" s="4">
        <v>61445</v>
      </c>
      <c r="D49" s="4">
        <v>63000</v>
      </c>
      <c r="E49" s="4">
        <v>64206</v>
      </c>
      <c r="F49" s="4">
        <v>62351</v>
      </c>
      <c r="G49" s="4">
        <v>61115</v>
      </c>
      <c r="H49" s="4">
        <v>59870</v>
      </c>
      <c r="I49" s="4">
        <v>59830</v>
      </c>
      <c r="J49" s="6" t="s">
        <v>13</v>
      </c>
      <c r="K49" s="6" t="s">
        <v>21</v>
      </c>
      <c r="L49" t="str">
        <f t="shared" si="0"/>
        <v>AX</v>
      </c>
      <c r="M49">
        <f t="shared" si="1"/>
        <v>493284</v>
      </c>
    </row>
    <row r="50" spans="1:13">
      <c r="A50" s="4" t="s">
        <v>96</v>
      </c>
      <c r="B50" s="4">
        <v>60509</v>
      </c>
      <c r="C50" s="4">
        <v>59322</v>
      </c>
      <c r="D50" s="4">
        <v>60385</v>
      </c>
      <c r="E50" s="4">
        <v>61043</v>
      </c>
      <c r="F50" s="4">
        <v>58484</v>
      </c>
      <c r="G50" s="4">
        <v>60486</v>
      </c>
      <c r="H50" s="4">
        <v>62646</v>
      </c>
      <c r="I50" s="4">
        <v>60074</v>
      </c>
      <c r="J50" s="6" t="s">
        <v>13</v>
      </c>
      <c r="K50" s="6" t="s">
        <v>21</v>
      </c>
      <c r="L50" t="str">
        <f t="shared" si="0"/>
        <v>AX</v>
      </c>
      <c r="M50">
        <f t="shared" si="1"/>
        <v>482949</v>
      </c>
    </row>
    <row r="51" spans="1:13">
      <c r="A51" s="4" t="s">
        <v>91</v>
      </c>
      <c r="B51" s="4">
        <v>58789</v>
      </c>
      <c r="C51" s="4">
        <v>59473</v>
      </c>
      <c r="D51" s="4">
        <v>59888</v>
      </c>
      <c r="E51" s="4">
        <v>59985</v>
      </c>
      <c r="F51" s="4">
        <v>58721</v>
      </c>
      <c r="G51" s="4">
        <v>60561</v>
      </c>
      <c r="H51" s="4">
        <v>60676</v>
      </c>
      <c r="I51" s="4">
        <v>58573</v>
      </c>
      <c r="J51" s="6" t="s">
        <v>13</v>
      </c>
      <c r="K51" s="6" t="s">
        <v>21</v>
      </c>
      <c r="L51" t="str">
        <f t="shared" si="0"/>
        <v>AX</v>
      </c>
      <c r="M51">
        <f t="shared" si="1"/>
        <v>476666</v>
      </c>
    </row>
    <row r="52" spans="1:13">
      <c r="A52" s="4" t="s">
        <v>70</v>
      </c>
      <c r="B52" s="4">
        <v>55121</v>
      </c>
      <c r="C52" s="4">
        <v>58030</v>
      </c>
      <c r="D52" s="4">
        <v>57144</v>
      </c>
      <c r="E52" s="4">
        <v>56558</v>
      </c>
      <c r="F52" s="4">
        <v>55464</v>
      </c>
      <c r="G52" s="4">
        <v>56974</v>
      </c>
      <c r="H52" s="4">
        <v>57724</v>
      </c>
      <c r="I52" s="4">
        <v>54719</v>
      </c>
      <c r="J52" s="6" t="s">
        <v>13</v>
      </c>
      <c r="K52" s="6" t="s">
        <v>21</v>
      </c>
      <c r="L52" t="str">
        <f t="shared" si="0"/>
        <v>AX</v>
      </c>
      <c r="M52">
        <f t="shared" si="1"/>
        <v>451734</v>
      </c>
    </row>
    <row r="53" spans="1:13">
      <c r="A53" s="4" t="s">
        <v>158</v>
      </c>
      <c r="B53" s="4">
        <v>65000</v>
      </c>
      <c r="C53" s="4">
        <v>56193</v>
      </c>
      <c r="D53" s="4">
        <v>48933</v>
      </c>
      <c r="E53" s="4">
        <v>61567</v>
      </c>
      <c r="F53" s="4">
        <v>47436</v>
      </c>
      <c r="G53" s="4">
        <v>75259</v>
      </c>
      <c r="H53" s="4">
        <v>41925</v>
      </c>
      <c r="I53" s="4">
        <v>45582</v>
      </c>
      <c r="J53" s="6" t="s">
        <v>13</v>
      </c>
      <c r="K53" s="6" t="s">
        <v>20</v>
      </c>
      <c r="L53" t="str">
        <f t="shared" si="0"/>
        <v>AY</v>
      </c>
      <c r="M53">
        <f t="shared" si="1"/>
        <v>441895</v>
      </c>
    </row>
    <row r="54" spans="1:13">
      <c r="A54" s="4" t="s">
        <v>144</v>
      </c>
      <c r="B54" s="4">
        <v>55775</v>
      </c>
      <c r="C54" s="4">
        <v>52298</v>
      </c>
      <c r="D54" s="4">
        <v>56383</v>
      </c>
      <c r="E54" s="4">
        <v>52305</v>
      </c>
      <c r="F54" s="4">
        <v>54090</v>
      </c>
      <c r="G54" s="4">
        <v>52671</v>
      </c>
      <c r="H54" s="4">
        <v>53799</v>
      </c>
      <c r="I54" s="4">
        <v>56121</v>
      </c>
      <c r="J54" s="6" t="s">
        <v>13</v>
      </c>
      <c r="K54" s="6" t="s">
        <v>21</v>
      </c>
      <c r="L54" t="str">
        <f t="shared" si="0"/>
        <v>AX</v>
      </c>
      <c r="M54">
        <f t="shared" si="1"/>
        <v>433442</v>
      </c>
    </row>
    <row r="55" spans="1:13">
      <c r="A55" s="4" t="s">
        <v>137</v>
      </c>
      <c r="B55" s="4">
        <v>89169</v>
      </c>
      <c r="C55" s="4">
        <v>12378</v>
      </c>
      <c r="D55" s="4">
        <v>18578</v>
      </c>
      <c r="E55" s="4">
        <v>102619</v>
      </c>
      <c r="F55" s="4">
        <v>15826</v>
      </c>
      <c r="G55" s="4">
        <v>84688</v>
      </c>
      <c r="H55" s="4">
        <v>92993</v>
      </c>
      <c r="I55" s="4">
        <v>9372</v>
      </c>
      <c r="J55" s="6" t="s">
        <v>13</v>
      </c>
      <c r="K55" s="6" t="s">
        <v>19</v>
      </c>
      <c r="L55" t="str">
        <f t="shared" si="0"/>
        <v>AZ</v>
      </c>
      <c r="M55">
        <f t="shared" si="1"/>
        <v>425623</v>
      </c>
    </row>
    <row r="56" spans="1:13">
      <c r="A56" s="4" t="s">
        <v>82</v>
      </c>
      <c r="B56" s="4">
        <v>103854</v>
      </c>
      <c r="C56" s="4">
        <v>68992</v>
      </c>
      <c r="D56" s="4">
        <v>19728</v>
      </c>
      <c r="E56" s="4">
        <v>80505</v>
      </c>
      <c r="F56" s="4">
        <v>18382</v>
      </c>
      <c r="G56" s="4">
        <v>87351</v>
      </c>
      <c r="H56" s="4">
        <v>27499</v>
      </c>
      <c r="I56" s="4">
        <v>9179</v>
      </c>
      <c r="J56" s="6" t="s">
        <v>13</v>
      </c>
      <c r="K56" s="6" t="s">
        <v>19</v>
      </c>
      <c r="L56" t="str">
        <f t="shared" si="0"/>
        <v>AZ</v>
      </c>
      <c r="M56">
        <f t="shared" si="1"/>
        <v>415490</v>
      </c>
    </row>
    <row r="57" spans="1:13">
      <c r="A57" s="4" t="s">
        <v>148</v>
      </c>
      <c r="B57" s="4">
        <v>45620</v>
      </c>
      <c r="C57" s="4">
        <v>58067</v>
      </c>
      <c r="D57" s="4">
        <v>58176</v>
      </c>
      <c r="E57" s="4">
        <v>43216</v>
      </c>
      <c r="F57" s="4">
        <v>55803</v>
      </c>
      <c r="G57" s="4">
        <v>57162</v>
      </c>
      <c r="H57" s="4">
        <v>40751</v>
      </c>
      <c r="I57" s="4">
        <v>52909</v>
      </c>
      <c r="J57" s="6" t="s">
        <v>13</v>
      </c>
      <c r="K57" s="6" t="s">
        <v>20</v>
      </c>
      <c r="L57" t="str">
        <f t="shared" si="0"/>
        <v>AY</v>
      </c>
      <c r="M57">
        <f t="shared" si="1"/>
        <v>411704</v>
      </c>
    </row>
    <row r="58" spans="1:13">
      <c r="A58" s="4" t="s">
        <v>283</v>
      </c>
      <c r="B58" s="4">
        <v>46506</v>
      </c>
      <c r="C58" s="4">
        <v>61275</v>
      </c>
      <c r="D58" s="4">
        <v>51139</v>
      </c>
      <c r="E58" s="4">
        <v>49120</v>
      </c>
      <c r="F58" s="4">
        <v>58145</v>
      </c>
      <c r="G58" s="4">
        <v>41350</v>
      </c>
      <c r="H58" s="4">
        <v>59737</v>
      </c>
      <c r="I58" s="4">
        <v>39221</v>
      </c>
      <c r="J58" s="6" t="s">
        <v>13</v>
      </c>
      <c r="K58" s="6" t="s">
        <v>20</v>
      </c>
      <c r="L58" t="str">
        <f t="shared" si="0"/>
        <v>AY</v>
      </c>
      <c r="M58">
        <f t="shared" si="1"/>
        <v>406493</v>
      </c>
    </row>
    <row r="59" spans="1:13">
      <c r="A59" s="4" t="s">
        <v>195</v>
      </c>
      <c r="B59" s="4">
        <v>51488</v>
      </c>
      <c r="C59" s="4">
        <v>49734</v>
      </c>
      <c r="D59" s="4">
        <v>49021</v>
      </c>
      <c r="E59" s="4">
        <v>49561</v>
      </c>
      <c r="F59" s="4">
        <v>50126</v>
      </c>
      <c r="G59" s="4">
        <v>51273</v>
      </c>
      <c r="H59" s="4">
        <v>49089</v>
      </c>
      <c r="I59" s="4">
        <v>50531</v>
      </c>
      <c r="J59" s="6" t="s">
        <v>13</v>
      </c>
      <c r="K59" s="6" t="s">
        <v>21</v>
      </c>
      <c r="L59" t="str">
        <f t="shared" si="0"/>
        <v>AX</v>
      </c>
      <c r="M59">
        <f t="shared" si="1"/>
        <v>400823</v>
      </c>
    </row>
    <row r="60" spans="1:13">
      <c r="A60" s="4" t="s">
        <v>188</v>
      </c>
      <c r="B60" s="4">
        <v>47151</v>
      </c>
      <c r="C60" s="4">
        <v>20114</v>
      </c>
      <c r="D60" s="4">
        <v>142125</v>
      </c>
      <c r="E60" s="4">
        <v>26323</v>
      </c>
      <c r="F60" s="4">
        <v>42693</v>
      </c>
      <c r="G60" s="4">
        <v>41622</v>
      </c>
      <c r="H60" s="4">
        <v>23827</v>
      </c>
      <c r="I60" s="4">
        <v>55882</v>
      </c>
      <c r="J60" s="6" t="s">
        <v>13</v>
      </c>
      <c r="K60" s="6" t="s">
        <v>19</v>
      </c>
      <c r="L60" t="str">
        <f t="shared" si="0"/>
        <v>AZ</v>
      </c>
      <c r="M60">
        <f t="shared" si="1"/>
        <v>399737</v>
      </c>
    </row>
    <row r="61" spans="1:13">
      <c r="A61" s="4" t="s">
        <v>143</v>
      </c>
      <c r="B61" s="4">
        <v>67640</v>
      </c>
      <c r="C61" s="4">
        <v>33667</v>
      </c>
      <c r="D61" s="4">
        <v>14718</v>
      </c>
      <c r="E61" s="4">
        <v>9758</v>
      </c>
      <c r="F61" s="4">
        <v>36253</v>
      </c>
      <c r="G61" s="4">
        <v>64690</v>
      </c>
      <c r="H61" s="4">
        <v>86899</v>
      </c>
      <c r="I61" s="4">
        <v>84503</v>
      </c>
      <c r="J61" s="6" t="s">
        <v>13</v>
      </c>
      <c r="K61" s="6" t="s">
        <v>19</v>
      </c>
      <c r="L61" t="str">
        <f t="shared" si="0"/>
        <v>AZ</v>
      </c>
      <c r="M61">
        <f t="shared" si="1"/>
        <v>398128</v>
      </c>
    </row>
    <row r="62" spans="1:13">
      <c r="A62" s="4" t="s">
        <v>178</v>
      </c>
      <c r="B62" s="4">
        <v>48337</v>
      </c>
      <c r="C62" s="4">
        <v>57844</v>
      </c>
      <c r="D62" s="4">
        <v>56994</v>
      </c>
      <c r="E62" s="4">
        <v>41926</v>
      </c>
      <c r="F62" s="4">
        <v>53313</v>
      </c>
      <c r="G62" s="4">
        <v>38963</v>
      </c>
      <c r="H62" s="4">
        <v>37324</v>
      </c>
      <c r="I62" s="4">
        <v>48874</v>
      </c>
      <c r="J62" s="6" t="s">
        <v>13</v>
      </c>
      <c r="K62" s="6" t="s">
        <v>20</v>
      </c>
      <c r="L62" t="str">
        <f t="shared" si="0"/>
        <v>AY</v>
      </c>
      <c r="M62">
        <f t="shared" si="1"/>
        <v>383575</v>
      </c>
    </row>
    <row r="63" spans="1:13">
      <c r="A63" s="4" t="s">
        <v>71</v>
      </c>
      <c r="B63" s="4">
        <v>47320</v>
      </c>
      <c r="C63" s="4">
        <v>49256</v>
      </c>
      <c r="D63" s="4">
        <v>45913</v>
      </c>
      <c r="E63" s="4">
        <v>47903</v>
      </c>
      <c r="F63" s="4">
        <v>48456</v>
      </c>
      <c r="G63" s="4">
        <v>46614</v>
      </c>
      <c r="H63" s="4">
        <v>49763</v>
      </c>
      <c r="I63" s="4">
        <v>46776</v>
      </c>
      <c r="J63" s="6" t="s">
        <v>13</v>
      </c>
      <c r="K63" s="6" t="s">
        <v>21</v>
      </c>
      <c r="L63" t="str">
        <f t="shared" si="0"/>
        <v>AX</v>
      </c>
      <c r="M63">
        <f t="shared" si="1"/>
        <v>382001</v>
      </c>
    </row>
    <row r="64" spans="1:13">
      <c r="A64" s="4" t="s">
        <v>111</v>
      </c>
      <c r="B64" s="4">
        <v>51900</v>
      </c>
      <c r="C64" s="4">
        <v>47917</v>
      </c>
      <c r="D64" s="4">
        <v>36259</v>
      </c>
      <c r="E64" s="4">
        <v>31414</v>
      </c>
      <c r="F64" s="4">
        <v>56909</v>
      </c>
      <c r="G64" s="4">
        <v>52536</v>
      </c>
      <c r="H64" s="4">
        <v>52328</v>
      </c>
      <c r="I64" s="4">
        <v>51986</v>
      </c>
      <c r="J64" s="6" t="s">
        <v>13</v>
      </c>
      <c r="K64" s="6" t="s">
        <v>20</v>
      </c>
      <c r="L64" t="str">
        <f t="shared" si="0"/>
        <v>AY</v>
      </c>
      <c r="M64">
        <f t="shared" si="1"/>
        <v>381249</v>
      </c>
    </row>
    <row r="65" spans="1:13">
      <c r="A65" s="4" t="s">
        <v>221</v>
      </c>
      <c r="B65" s="4">
        <v>49366</v>
      </c>
      <c r="C65" s="4">
        <v>45316</v>
      </c>
      <c r="D65" s="4">
        <v>48873</v>
      </c>
      <c r="E65" s="4">
        <v>95488</v>
      </c>
      <c r="F65" s="4">
        <v>19964</v>
      </c>
      <c r="G65" s="4">
        <v>43563</v>
      </c>
      <c r="H65" s="4">
        <v>49453</v>
      </c>
      <c r="I65" s="4">
        <v>24952</v>
      </c>
      <c r="J65" s="6" t="s">
        <v>13</v>
      </c>
      <c r="K65" s="6" t="s">
        <v>19</v>
      </c>
      <c r="L65" t="str">
        <f t="shared" si="0"/>
        <v>AZ</v>
      </c>
      <c r="M65">
        <f t="shared" si="1"/>
        <v>376975</v>
      </c>
    </row>
    <row r="66" spans="1:13">
      <c r="A66" s="4" t="s">
        <v>219</v>
      </c>
      <c r="B66" s="4">
        <v>43488</v>
      </c>
      <c r="C66" s="4">
        <v>43113</v>
      </c>
      <c r="D66" s="4">
        <v>48418</v>
      </c>
      <c r="E66" s="4">
        <v>61574</v>
      </c>
      <c r="F66" s="4">
        <v>39499</v>
      </c>
      <c r="G66" s="4">
        <v>50893</v>
      </c>
      <c r="H66" s="4">
        <v>52155</v>
      </c>
      <c r="I66" s="4">
        <v>33935</v>
      </c>
      <c r="J66" s="6" t="s">
        <v>13</v>
      </c>
      <c r="K66" s="6" t="s">
        <v>20</v>
      </c>
      <c r="L66" t="str">
        <f t="shared" si="0"/>
        <v>AY</v>
      </c>
      <c r="M66">
        <f t="shared" si="1"/>
        <v>373075</v>
      </c>
    </row>
    <row r="67" spans="1:13">
      <c r="A67" s="4" t="s">
        <v>66</v>
      </c>
      <c r="B67" s="4">
        <v>9609</v>
      </c>
      <c r="C67" s="4">
        <v>20194</v>
      </c>
      <c r="D67" s="4">
        <v>35315</v>
      </c>
      <c r="E67" s="4">
        <v>73940</v>
      </c>
      <c r="F67" s="4">
        <v>43757</v>
      </c>
      <c r="G67" s="4">
        <v>73362</v>
      </c>
      <c r="H67" s="4">
        <v>41513</v>
      </c>
      <c r="I67" s="4">
        <v>72137</v>
      </c>
      <c r="J67" s="6" t="s">
        <v>13</v>
      </c>
      <c r="K67" s="6" t="s">
        <v>19</v>
      </c>
      <c r="L67" t="str">
        <f t="shared" ref="L67:L130" si="2">J67&amp;K67</f>
        <v>AZ</v>
      </c>
      <c r="M67">
        <f t="shared" ref="M67:M130" si="3">SUM(B67:I67)</f>
        <v>369827</v>
      </c>
    </row>
    <row r="68" spans="1:13">
      <c r="A68" s="4" t="s">
        <v>83</v>
      </c>
      <c r="B68" s="4">
        <v>33655</v>
      </c>
      <c r="C68" s="4">
        <v>9947</v>
      </c>
      <c r="D68" s="4">
        <v>104523</v>
      </c>
      <c r="E68" s="4">
        <v>41111</v>
      </c>
      <c r="F68" s="4">
        <v>16925</v>
      </c>
      <c r="G68" s="4">
        <v>16654</v>
      </c>
      <c r="H68" s="4">
        <v>108643</v>
      </c>
      <c r="I68" s="4">
        <v>29524</v>
      </c>
      <c r="J68" s="6" t="s">
        <v>13</v>
      </c>
      <c r="K68" s="6" t="s">
        <v>19</v>
      </c>
      <c r="L68" t="str">
        <f t="shared" si="2"/>
        <v>AZ</v>
      </c>
      <c r="M68">
        <f t="shared" si="3"/>
        <v>360982</v>
      </c>
    </row>
    <row r="69" spans="1:13">
      <c r="A69" s="4" t="s">
        <v>132</v>
      </c>
      <c r="B69" s="4">
        <v>46384</v>
      </c>
      <c r="C69" s="4">
        <v>43125</v>
      </c>
      <c r="D69" s="4">
        <v>45077</v>
      </c>
      <c r="E69" s="4">
        <v>43826</v>
      </c>
      <c r="F69" s="4">
        <v>43465</v>
      </c>
      <c r="G69" s="4">
        <v>46569</v>
      </c>
      <c r="H69" s="4">
        <v>43220</v>
      </c>
      <c r="I69" s="4">
        <v>45720</v>
      </c>
      <c r="J69" s="6" t="s">
        <v>13</v>
      </c>
      <c r="K69" s="6" t="s">
        <v>21</v>
      </c>
      <c r="L69" t="str">
        <f t="shared" si="2"/>
        <v>AX</v>
      </c>
      <c r="M69">
        <f t="shared" si="3"/>
        <v>357386</v>
      </c>
    </row>
    <row r="70" spans="1:13">
      <c r="A70" s="4" t="s">
        <v>245</v>
      </c>
      <c r="B70" s="4">
        <v>13010</v>
      </c>
      <c r="C70" s="4">
        <v>70578</v>
      </c>
      <c r="D70" s="4">
        <v>34251</v>
      </c>
      <c r="E70" s="4">
        <v>22727</v>
      </c>
      <c r="F70" s="4">
        <v>77156</v>
      </c>
      <c r="G70" s="4">
        <v>16158</v>
      </c>
      <c r="H70" s="4">
        <v>91851</v>
      </c>
      <c r="I70" s="4">
        <v>27734</v>
      </c>
      <c r="J70" s="6" t="s">
        <v>13</v>
      </c>
      <c r="K70" s="6" t="s">
        <v>19</v>
      </c>
      <c r="L70" t="str">
        <f t="shared" si="2"/>
        <v>AZ</v>
      </c>
      <c r="M70">
        <f t="shared" si="3"/>
        <v>353465</v>
      </c>
    </row>
    <row r="71" spans="1:13">
      <c r="A71" s="4" t="s">
        <v>187</v>
      </c>
      <c r="B71" s="4">
        <v>45230</v>
      </c>
      <c r="C71" s="4">
        <v>44695</v>
      </c>
      <c r="D71" s="4">
        <v>44115</v>
      </c>
      <c r="E71" s="4">
        <v>41889</v>
      </c>
      <c r="F71" s="4">
        <v>44814</v>
      </c>
      <c r="G71" s="4">
        <v>45202</v>
      </c>
      <c r="H71" s="4">
        <v>43796</v>
      </c>
      <c r="I71" s="4">
        <v>41883</v>
      </c>
      <c r="J71" s="6" t="s">
        <v>13</v>
      </c>
      <c r="K71" s="6" t="s">
        <v>21</v>
      </c>
      <c r="L71" t="str">
        <f t="shared" si="2"/>
        <v>AX</v>
      </c>
      <c r="M71">
        <f t="shared" si="3"/>
        <v>351624</v>
      </c>
    </row>
    <row r="72" spans="1:13">
      <c r="A72" s="4" t="s">
        <v>250</v>
      </c>
      <c r="B72" s="4">
        <v>44255</v>
      </c>
      <c r="C72" s="4">
        <v>42649</v>
      </c>
      <c r="D72" s="4">
        <v>44932</v>
      </c>
      <c r="E72" s="4">
        <v>44423</v>
      </c>
      <c r="F72" s="4">
        <v>42970</v>
      </c>
      <c r="G72" s="4">
        <v>42357</v>
      </c>
      <c r="H72" s="4">
        <v>42862</v>
      </c>
      <c r="I72" s="4">
        <v>45849</v>
      </c>
      <c r="J72" s="6" t="s">
        <v>13</v>
      </c>
      <c r="K72" s="6" t="s">
        <v>21</v>
      </c>
      <c r="L72" t="str">
        <f t="shared" si="2"/>
        <v>AX</v>
      </c>
      <c r="M72">
        <f t="shared" si="3"/>
        <v>350297</v>
      </c>
    </row>
    <row r="73" spans="1:13">
      <c r="A73" s="4" t="s">
        <v>179</v>
      </c>
      <c r="B73" s="4">
        <v>40569</v>
      </c>
      <c r="C73" s="4">
        <v>41105</v>
      </c>
      <c r="D73" s="4">
        <v>43258</v>
      </c>
      <c r="E73" s="4">
        <v>43067</v>
      </c>
      <c r="F73" s="4">
        <v>42733</v>
      </c>
      <c r="G73" s="4">
        <v>42935</v>
      </c>
      <c r="H73" s="4">
        <v>43071</v>
      </c>
      <c r="I73" s="4">
        <v>40895</v>
      </c>
      <c r="J73" s="6" t="s">
        <v>13</v>
      </c>
      <c r="K73" s="6" t="s">
        <v>21</v>
      </c>
      <c r="L73" t="str">
        <f t="shared" si="2"/>
        <v>AX</v>
      </c>
      <c r="M73">
        <f t="shared" si="3"/>
        <v>337633</v>
      </c>
    </row>
    <row r="74" spans="1:13">
      <c r="A74" s="4" t="s">
        <v>171</v>
      </c>
      <c r="B74" s="4">
        <v>41353</v>
      </c>
      <c r="C74" s="4">
        <v>42191</v>
      </c>
      <c r="D74" s="4">
        <v>42202</v>
      </c>
      <c r="E74" s="4">
        <v>42542</v>
      </c>
      <c r="F74" s="4">
        <v>42021</v>
      </c>
      <c r="G74" s="4">
        <v>41713</v>
      </c>
      <c r="H74" s="4">
        <v>41260</v>
      </c>
      <c r="I74" s="4">
        <v>40252</v>
      </c>
      <c r="J74" s="6" t="s">
        <v>13</v>
      </c>
      <c r="K74" s="6" t="s">
        <v>21</v>
      </c>
      <c r="L74" t="str">
        <f t="shared" si="2"/>
        <v>AX</v>
      </c>
      <c r="M74">
        <f t="shared" si="3"/>
        <v>333534</v>
      </c>
    </row>
    <row r="75" spans="1:13">
      <c r="A75" s="4" t="s">
        <v>157</v>
      </c>
      <c r="B75" s="4">
        <v>76750</v>
      </c>
      <c r="C75" s="4">
        <v>80234</v>
      </c>
      <c r="D75" s="4">
        <v>12547</v>
      </c>
      <c r="E75" s="4">
        <v>27129</v>
      </c>
      <c r="F75" s="4">
        <v>9455</v>
      </c>
      <c r="G75" s="4">
        <v>28056</v>
      </c>
      <c r="H75" s="4">
        <v>28827</v>
      </c>
      <c r="I75" s="4">
        <v>65293</v>
      </c>
      <c r="J75" s="6" t="s">
        <v>13</v>
      </c>
      <c r="K75" s="6" t="s">
        <v>19</v>
      </c>
      <c r="L75" t="str">
        <f t="shared" si="2"/>
        <v>AZ</v>
      </c>
      <c r="M75">
        <f t="shared" si="3"/>
        <v>328291</v>
      </c>
    </row>
    <row r="76" spans="1:13">
      <c r="A76" s="4" t="s">
        <v>269</v>
      </c>
      <c r="B76" s="4">
        <v>40035</v>
      </c>
      <c r="C76" s="4">
        <v>39468</v>
      </c>
      <c r="D76" s="4">
        <v>41101</v>
      </c>
      <c r="E76" s="4">
        <v>41783</v>
      </c>
      <c r="F76" s="4">
        <v>39789</v>
      </c>
      <c r="G76" s="4">
        <v>41318</v>
      </c>
      <c r="H76" s="4">
        <v>40624</v>
      </c>
      <c r="I76" s="4">
        <v>39941</v>
      </c>
      <c r="J76" s="6" t="s">
        <v>13</v>
      </c>
      <c r="K76" s="6" t="s">
        <v>21</v>
      </c>
      <c r="L76" t="str">
        <f t="shared" si="2"/>
        <v>AX</v>
      </c>
      <c r="M76">
        <f t="shared" si="3"/>
        <v>324059</v>
      </c>
    </row>
    <row r="77" spans="1:13">
      <c r="A77" s="4" t="s">
        <v>176</v>
      </c>
      <c r="B77" s="4">
        <v>41622</v>
      </c>
      <c r="C77" s="4">
        <v>29519</v>
      </c>
      <c r="D77" s="4">
        <v>48951</v>
      </c>
      <c r="E77" s="4">
        <v>33257</v>
      </c>
      <c r="F77" s="4">
        <v>41302</v>
      </c>
      <c r="G77" s="4">
        <v>43373</v>
      </c>
      <c r="H77" s="4">
        <v>45425</v>
      </c>
      <c r="I77" s="4">
        <v>35399</v>
      </c>
      <c r="J77" s="6" t="s">
        <v>13</v>
      </c>
      <c r="K77" s="6" t="s">
        <v>20</v>
      </c>
      <c r="L77" t="str">
        <f t="shared" si="2"/>
        <v>AY</v>
      </c>
      <c r="M77">
        <f t="shared" si="3"/>
        <v>318848</v>
      </c>
    </row>
    <row r="78" spans="1:13">
      <c r="A78" s="4" t="s">
        <v>223</v>
      </c>
      <c r="B78" s="4">
        <v>53529</v>
      </c>
      <c r="C78" s="4">
        <v>13498</v>
      </c>
      <c r="D78" s="4">
        <v>57839</v>
      </c>
      <c r="E78" s="4">
        <v>8592</v>
      </c>
      <c r="F78" s="4">
        <v>72409</v>
      </c>
      <c r="G78" s="4">
        <v>33350</v>
      </c>
      <c r="H78" s="4">
        <v>23063</v>
      </c>
      <c r="I78" s="4">
        <v>54944</v>
      </c>
      <c r="J78" s="6" t="s">
        <v>13</v>
      </c>
      <c r="K78" s="6" t="s">
        <v>19</v>
      </c>
      <c r="L78" t="str">
        <f t="shared" si="2"/>
        <v>AZ</v>
      </c>
      <c r="M78">
        <f t="shared" si="3"/>
        <v>317224</v>
      </c>
    </row>
    <row r="79" spans="1:13">
      <c r="A79" s="4" t="s">
        <v>113</v>
      </c>
      <c r="B79" s="4">
        <v>21359</v>
      </c>
      <c r="C79" s="4">
        <v>25065</v>
      </c>
      <c r="D79" s="4">
        <v>69542</v>
      </c>
      <c r="E79" s="4">
        <v>23946</v>
      </c>
      <c r="F79" s="4">
        <v>56491</v>
      </c>
      <c r="G79" s="4">
        <v>13752</v>
      </c>
      <c r="H79" s="4">
        <v>22240</v>
      </c>
      <c r="I79" s="4">
        <v>68646</v>
      </c>
      <c r="J79" s="6" t="s">
        <v>13</v>
      </c>
      <c r="K79" s="6" t="s">
        <v>19</v>
      </c>
      <c r="L79" t="str">
        <f t="shared" si="2"/>
        <v>AZ</v>
      </c>
      <c r="M79">
        <f t="shared" si="3"/>
        <v>301041</v>
      </c>
    </row>
    <row r="80" spans="1:13">
      <c r="A80" s="4" t="s">
        <v>150</v>
      </c>
      <c r="B80" s="4">
        <v>36121</v>
      </c>
      <c r="C80" s="4">
        <v>37378</v>
      </c>
      <c r="D80" s="4">
        <v>38450</v>
      </c>
      <c r="E80" s="4">
        <v>36074</v>
      </c>
      <c r="F80" s="4">
        <v>35988</v>
      </c>
      <c r="G80" s="4">
        <v>38611</v>
      </c>
      <c r="H80" s="4">
        <v>36199</v>
      </c>
      <c r="I80" s="4">
        <v>37546</v>
      </c>
      <c r="J80" s="6" t="s">
        <v>13</v>
      </c>
      <c r="K80" s="6" t="s">
        <v>21</v>
      </c>
      <c r="L80" t="str">
        <f t="shared" si="2"/>
        <v>AX</v>
      </c>
      <c r="M80">
        <f t="shared" si="3"/>
        <v>296367</v>
      </c>
    </row>
    <row r="81" spans="1:13">
      <c r="A81" s="4" t="s">
        <v>264</v>
      </c>
      <c r="B81" s="4">
        <v>29931</v>
      </c>
      <c r="C81" s="4">
        <v>34706</v>
      </c>
      <c r="D81" s="4">
        <v>40542</v>
      </c>
      <c r="E81" s="4">
        <v>43369</v>
      </c>
      <c r="F81" s="4">
        <v>35015</v>
      </c>
      <c r="G81" s="4">
        <v>30652</v>
      </c>
      <c r="H81" s="4">
        <v>35399</v>
      </c>
      <c r="I81" s="4">
        <v>33547</v>
      </c>
      <c r="J81" s="6" t="s">
        <v>14</v>
      </c>
      <c r="K81" s="6" t="s">
        <v>20</v>
      </c>
      <c r="L81" t="str">
        <f t="shared" si="2"/>
        <v>BY</v>
      </c>
      <c r="M81">
        <f t="shared" si="3"/>
        <v>283161</v>
      </c>
    </row>
    <row r="82" spans="1:13">
      <c r="A82" s="4" t="s">
        <v>222</v>
      </c>
      <c r="B82" s="4">
        <v>34493</v>
      </c>
      <c r="C82" s="4">
        <v>35320</v>
      </c>
      <c r="D82" s="4">
        <v>35880</v>
      </c>
      <c r="E82" s="4">
        <v>36188</v>
      </c>
      <c r="F82" s="4">
        <v>35888</v>
      </c>
      <c r="G82" s="4">
        <v>33771</v>
      </c>
      <c r="H82" s="4">
        <v>33205</v>
      </c>
      <c r="I82" s="4">
        <v>35164</v>
      </c>
      <c r="J82" s="6" t="s">
        <v>14</v>
      </c>
      <c r="K82" s="6" t="s">
        <v>21</v>
      </c>
      <c r="L82" t="str">
        <f t="shared" si="2"/>
        <v>BX</v>
      </c>
      <c r="M82">
        <f t="shared" si="3"/>
        <v>279909</v>
      </c>
    </row>
    <row r="83" spans="1:13">
      <c r="A83" s="4" t="s">
        <v>165</v>
      </c>
      <c r="B83" s="4">
        <v>38303</v>
      </c>
      <c r="C83" s="4">
        <v>41648</v>
      </c>
      <c r="D83" s="4">
        <v>37715</v>
      </c>
      <c r="E83" s="4">
        <v>24105</v>
      </c>
      <c r="F83" s="4">
        <v>27900</v>
      </c>
      <c r="G83" s="4">
        <v>29316</v>
      </c>
      <c r="H83" s="4">
        <v>40531</v>
      </c>
      <c r="I83" s="4">
        <v>36466</v>
      </c>
      <c r="J83" s="6" t="s">
        <v>14</v>
      </c>
      <c r="K83" s="6" t="s">
        <v>20</v>
      </c>
      <c r="L83" t="str">
        <f t="shared" si="2"/>
        <v>BY</v>
      </c>
      <c r="M83">
        <f t="shared" si="3"/>
        <v>275984</v>
      </c>
    </row>
    <row r="84" spans="1:13">
      <c r="A84" s="4" t="s">
        <v>190</v>
      </c>
      <c r="B84" s="4">
        <v>43140</v>
      </c>
      <c r="C84" s="4">
        <v>56059</v>
      </c>
      <c r="D84" s="4">
        <v>51975</v>
      </c>
      <c r="E84" s="4">
        <v>14061</v>
      </c>
      <c r="F84" s="4">
        <v>7541</v>
      </c>
      <c r="G84" s="4">
        <v>20557</v>
      </c>
      <c r="H84" s="4">
        <v>57460</v>
      </c>
      <c r="I84" s="4">
        <v>22868</v>
      </c>
      <c r="J84" s="6" t="s">
        <v>14</v>
      </c>
      <c r="K84" s="6" t="s">
        <v>19</v>
      </c>
      <c r="L84" t="str">
        <f t="shared" si="2"/>
        <v>BZ</v>
      </c>
      <c r="M84">
        <f t="shared" si="3"/>
        <v>273661</v>
      </c>
    </row>
    <row r="85" spans="1:13">
      <c r="A85" s="4" t="s">
        <v>177</v>
      </c>
      <c r="B85" s="4">
        <v>31846</v>
      </c>
      <c r="C85" s="4">
        <v>38550</v>
      </c>
      <c r="D85" s="4">
        <v>32691</v>
      </c>
      <c r="E85" s="4">
        <v>28136</v>
      </c>
      <c r="F85" s="4">
        <v>40001</v>
      </c>
      <c r="G85" s="4">
        <v>36667</v>
      </c>
      <c r="H85" s="4">
        <v>25861</v>
      </c>
      <c r="I85" s="4">
        <v>28328</v>
      </c>
      <c r="J85" s="6" t="s">
        <v>14</v>
      </c>
      <c r="K85" s="6" t="s">
        <v>20</v>
      </c>
      <c r="L85" t="str">
        <f t="shared" si="2"/>
        <v>BY</v>
      </c>
      <c r="M85">
        <f t="shared" si="3"/>
        <v>262080</v>
      </c>
    </row>
    <row r="86" spans="1:13">
      <c r="A86" s="4" t="s">
        <v>60</v>
      </c>
      <c r="B86" s="4">
        <v>23669</v>
      </c>
      <c r="C86" s="4">
        <v>47231</v>
      </c>
      <c r="D86" s="4">
        <v>20674</v>
      </c>
      <c r="E86" s="4">
        <v>26491</v>
      </c>
      <c r="F86" s="4">
        <v>19442</v>
      </c>
      <c r="G86" s="4">
        <v>62021</v>
      </c>
      <c r="H86" s="4">
        <v>9851</v>
      </c>
      <c r="I86" s="4">
        <v>50405</v>
      </c>
      <c r="J86" s="6" t="s">
        <v>14</v>
      </c>
      <c r="K86" s="6" t="s">
        <v>19</v>
      </c>
      <c r="L86" t="str">
        <f t="shared" si="2"/>
        <v>BZ</v>
      </c>
      <c r="M86">
        <f t="shared" si="3"/>
        <v>259784</v>
      </c>
    </row>
    <row r="87" spans="1:13">
      <c r="A87" s="4" t="s">
        <v>164</v>
      </c>
      <c r="B87" s="4">
        <v>29501</v>
      </c>
      <c r="C87" s="4">
        <v>28833</v>
      </c>
      <c r="D87" s="4">
        <v>29182</v>
      </c>
      <c r="E87" s="4">
        <v>27855</v>
      </c>
      <c r="F87" s="4">
        <v>31814</v>
      </c>
      <c r="G87" s="4">
        <v>28314</v>
      </c>
      <c r="H87" s="4">
        <v>38704</v>
      </c>
      <c r="I87" s="4">
        <v>43776</v>
      </c>
      <c r="J87" s="6" t="s">
        <v>14</v>
      </c>
      <c r="K87" s="6" t="s">
        <v>20</v>
      </c>
      <c r="L87" t="str">
        <f t="shared" si="2"/>
        <v>BY</v>
      </c>
      <c r="M87">
        <f t="shared" si="3"/>
        <v>257979</v>
      </c>
    </row>
    <row r="88" spans="1:13">
      <c r="A88" s="4" t="s">
        <v>180</v>
      </c>
      <c r="B88" s="4">
        <v>32072</v>
      </c>
      <c r="C88" s="4">
        <v>30676</v>
      </c>
      <c r="D88" s="4">
        <v>31793</v>
      </c>
      <c r="E88" s="4">
        <v>30810</v>
      </c>
      <c r="F88" s="4">
        <v>31805</v>
      </c>
      <c r="G88" s="4">
        <v>30472</v>
      </c>
      <c r="H88" s="4">
        <v>29975</v>
      </c>
      <c r="I88" s="4">
        <v>30862</v>
      </c>
      <c r="J88" s="6" t="s">
        <v>14</v>
      </c>
      <c r="K88" s="6" t="s">
        <v>21</v>
      </c>
      <c r="L88" t="str">
        <f t="shared" si="2"/>
        <v>BX</v>
      </c>
      <c r="M88">
        <f t="shared" si="3"/>
        <v>248465</v>
      </c>
    </row>
    <row r="89" spans="1:13">
      <c r="A89" s="4" t="s">
        <v>127</v>
      </c>
      <c r="B89" s="4">
        <v>23255</v>
      </c>
      <c r="C89" s="4">
        <v>26163</v>
      </c>
      <c r="D89" s="4">
        <v>33186</v>
      </c>
      <c r="E89" s="4">
        <v>28178</v>
      </c>
      <c r="F89" s="4">
        <v>38498</v>
      </c>
      <c r="G89" s="4">
        <v>36108</v>
      </c>
      <c r="H89" s="4">
        <v>24688</v>
      </c>
      <c r="I89" s="4">
        <v>36095</v>
      </c>
      <c r="J89" s="6" t="s">
        <v>14</v>
      </c>
      <c r="K89" s="6" t="s">
        <v>20</v>
      </c>
      <c r="L89" t="str">
        <f t="shared" si="2"/>
        <v>BY</v>
      </c>
      <c r="M89">
        <f t="shared" si="3"/>
        <v>246171</v>
      </c>
    </row>
    <row r="90" spans="1:13">
      <c r="A90" s="4" t="s">
        <v>116</v>
      </c>
      <c r="B90" s="4">
        <v>29767</v>
      </c>
      <c r="C90" s="4">
        <v>28681</v>
      </c>
      <c r="D90" s="4">
        <v>29069</v>
      </c>
      <c r="E90" s="4">
        <v>29243</v>
      </c>
      <c r="F90" s="4">
        <v>29630</v>
      </c>
      <c r="G90" s="4">
        <v>31119</v>
      </c>
      <c r="H90" s="4">
        <v>30536</v>
      </c>
      <c r="I90" s="4">
        <v>29325</v>
      </c>
      <c r="J90" s="6" t="s">
        <v>14</v>
      </c>
      <c r="K90" s="6" t="s">
        <v>21</v>
      </c>
      <c r="L90" t="str">
        <f t="shared" si="2"/>
        <v>BX</v>
      </c>
      <c r="M90">
        <f t="shared" si="3"/>
        <v>237370</v>
      </c>
    </row>
    <row r="91" spans="1:13">
      <c r="A91" s="4" t="s">
        <v>67</v>
      </c>
      <c r="B91" s="4">
        <v>29653</v>
      </c>
      <c r="C91" s="4">
        <v>30502</v>
      </c>
      <c r="D91" s="4">
        <v>29110</v>
      </c>
      <c r="E91" s="4">
        <v>29250</v>
      </c>
      <c r="F91" s="4">
        <v>30987</v>
      </c>
      <c r="G91" s="4">
        <v>28645</v>
      </c>
      <c r="H91" s="4">
        <v>29403</v>
      </c>
      <c r="I91" s="4">
        <v>29283</v>
      </c>
      <c r="J91" s="6" t="s">
        <v>14</v>
      </c>
      <c r="K91" s="6" t="s">
        <v>21</v>
      </c>
      <c r="L91" t="str">
        <f t="shared" si="2"/>
        <v>BX</v>
      </c>
      <c r="M91">
        <f t="shared" si="3"/>
        <v>236833</v>
      </c>
    </row>
    <row r="92" spans="1:13">
      <c r="A92" s="4" t="s">
        <v>65</v>
      </c>
      <c r="B92" s="4">
        <v>39150</v>
      </c>
      <c r="C92" s="4">
        <v>35955</v>
      </c>
      <c r="D92" s="4">
        <v>40142</v>
      </c>
      <c r="E92" s="4">
        <v>5200</v>
      </c>
      <c r="F92" s="4">
        <v>9034</v>
      </c>
      <c r="G92" s="4">
        <v>7447</v>
      </c>
      <c r="H92" s="4">
        <v>53022</v>
      </c>
      <c r="I92" s="4">
        <v>45130</v>
      </c>
      <c r="J92" s="6" t="s">
        <v>14</v>
      </c>
      <c r="K92" s="6" t="s">
        <v>19</v>
      </c>
      <c r="L92" t="str">
        <f t="shared" si="2"/>
        <v>BZ</v>
      </c>
      <c r="M92">
        <f t="shared" si="3"/>
        <v>235080</v>
      </c>
    </row>
    <row r="93" spans="1:13">
      <c r="A93" s="4" t="s">
        <v>234</v>
      </c>
      <c r="B93" s="4">
        <v>10025</v>
      </c>
      <c r="C93" s="4">
        <v>8097</v>
      </c>
      <c r="D93" s="4">
        <v>20081</v>
      </c>
      <c r="E93" s="4">
        <v>9882</v>
      </c>
      <c r="F93" s="4">
        <v>49497</v>
      </c>
      <c r="G93" s="4">
        <v>46977</v>
      </c>
      <c r="H93" s="4">
        <v>49061</v>
      </c>
      <c r="I93" s="4">
        <v>40442</v>
      </c>
      <c r="J93" s="6" t="s">
        <v>14</v>
      </c>
      <c r="K93" s="6" t="s">
        <v>19</v>
      </c>
      <c r="L93" t="str">
        <f t="shared" si="2"/>
        <v>BZ</v>
      </c>
      <c r="M93">
        <f t="shared" si="3"/>
        <v>234062</v>
      </c>
    </row>
    <row r="94" spans="1:13">
      <c r="A94" s="4" t="s">
        <v>198</v>
      </c>
      <c r="B94" s="4">
        <v>28977</v>
      </c>
      <c r="C94" s="4">
        <v>28677</v>
      </c>
      <c r="D94" s="4">
        <v>29855</v>
      </c>
      <c r="E94" s="4">
        <v>28303</v>
      </c>
      <c r="F94" s="4">
        <v>29824</v>
      </c>
      <c r="G94" s="4">
        <v>29306</v>
      </c>
      <c r="H94" s="4">
        <v>29287</v>
      </c>
      <c r="I94" s="4">
        <v>28687</v>
      </c>
      <c r="J94" s="6" t="s">
        <v>14</v>
      </c>
      <c r="K94" s="6" t="s">
        <v>21</v>
      </c>
      <c r="L94" t="str">
        <f t="shared" si="2"/>
        <v>BX</v>
      </c>
      <c r="M94">
        <f t="shared" si="3"/>
        <v>232916</v>
      </c>
    </row>
    <row r="95" spans="1:13">
      <c r="A95" s="4" t="s">
        <v>254</v>
      </c>
      <c r="B95" s="4">
        <v>30966</v>
      </c>
      <c r="C95" s="4">
        <v>29260</v>
      </c>
      <c r="D95" s="4">
        <v>28964</v>
      </c>
      <c r="E95" s="4">
        <v>27338</v>
      </c>
      <c r="F95" s="4">
        <v>24481</v>
      </c>
      <c r="G95" s="4">
        <v>29211</v>
      </c>
      <c r="H95" s="4">
        <v>33652</v>
      </c>
      <c r="I95" s="4">
        <v>28631</v>
      </c>
      <c r="J95" s="6" t="s">
        <v>14</v>
      </c>
      <c r="K95" s="6" t="s">
        <v>21</v>
      </c>
      <c r="L95" t="str">
        <f t="shared" si="2"/>
        <v>BX</v>
      </c>
      <c r="M95">
        <f t="shared" si="3"/>
        <v>232503</v>
      </c>
    </row>
    <row r="96" spans="1:13">
      <c r="A96" s="4" t="s">
        <v>160</v>
      </c>
      <c r="B96" s="4">
        <v>28178</v>
      </c>
      <c r="C96" s="4">
        <v>30131</v>
      </c>
      <c r="D96" s="4">
        <v>29783</v>
      </c>
      <c r="E96" s="4">
        <v>28272</v>
      </c>
      <c r="F96" s="4">
        <v>28253</v>
      </c>
      <c r="G96" s="4">
        <v>30452</v>
      </c>
      <c r="H96" s="4">
        <v>29219</v>
      </c>
      <c r="I96" s="4">
        <v>28043</v>
      </c>
      <c r="J96" s="6" t="s">
        <v>14</v>
      </c>
      <c r="K96" s="6" t="s">
        <v>21</v>
      </c>
      <c r="L96" t="str">
        <f t="shared" si="2"/>
        <v>BX</v>
      </c>
      <c r="M96">
        <f t="shared" si="3"/>
        <v>232331</v>
      </c>
    </row>
    <row r="97" spans="1:13">
      <c r="A97" s="4" t="s">
        <v>181</v>
      </c>
      <c r="B97" s="4">
        <v>28364</v>
      </c>
      <c r="C97" s="4">
        <v>27330</v>
      </c>
      <c r="D97" s="4">
        <v>28572</v>
      </c>
      <c r="E97" s="4">
        <v>27462</v>
      </c>
      <c r="F97" s="4">
        <v>27127</v>
      </c>
      <c r="G97" s="4">
        <v>28599</v>
      </c>
      <c r="H97" s="4">
        <v>28958</v>
      </c>
      <c r="I97" s="4">
        <v>29083</v>
      </c>
      <c r="J97" s="6" t="s">
        <v>14</v>
      </c>
      <c r="K97" s="6" t="s">
        <v>21</v>
      </c>
      <c r="L97" t="str">
        <f t="shared" si="2"/>
        <v>BX</v>
      </c>
      <c r="M97">
        <f t="shared" si="3"/>
        <v>225495</v>
      </c>
    </row>
    <row r="98" spans="1:13">
      <c r="A98" s="4" t="s">
        <v>126</v>
      </c>
      <c r="B98" s="4">
        <v>27572</v>
      </c>
      <c r="C98" s="4">
        <v>28021</v>
      </c>
      <c r="D98" s="4">
        <v>27217</v>
      </c>
      <c r="E98" s="4">
        <v>28992</v>
      </c>
      <c r="F98" s="4">
        <v>26957</v>
      </c>
      <c r="G98" s="4">
        <v>28690</v>
      </c>
      <c r="H98" s="4">
        <v>28829</v>
      </c>
      <c r="I98" s="4">
        <v>28123</v>
      </c>
      <c r="J98" s="6" t="s">
        <v>14</v>
      </c>
      <c r="K98" s="6" t="s">
        <v>21</v>
      </c>
      <c r="L98" t="str">
        <f t="shared" si="2"/>
        <v>BX</v>
      </c>
      <c r="M98">
        <f t="shared" si="3"/>
        <v>224401</v>
      </c>
    </row>
    <row r="99" spans="1:13">
      <c r="A99" s="4" t="s">
        <v>266</v>
      </c>
      <c r="B99" s="4">
        <v>51010</v>
      </c>
      <c r="C99" s="4">
        <v>20853</v>
      </c>
      <c r="D99" s="4">
        <v>24351</v>
      </c>
      <c r="E99" s="4">
        <v>14050</v>
      </c>
      <c r="F99" s="4">
        <v>56793</v>
      </c>
      <c r="G99" s="4">
        <v>6795</v>
      </c>
      <c r="H99" s="4">
        <v>28515</v>
      </c>
      <c r="I99" s="4">
        <v>21050</v>
      </c>
      <c r="J99" s="6" t="s">
        <v>14</v>
      </c>
      <c r="K99" s="6" t="s">
        <v>19</v>
      </c>
      <c r="L99" t="str">
        <f t="shared" si="2"/>
        <v>BZ</v>
      </c>
      <c r="M99">
        <f t="shared" si="3"/>
        <v>223417</v>
      </c>
    </row>
    <row r="100" spans="1:13">
      <c r="A100" s="4" t="s">
        <v>185</v>
      </c>
      <c r="B100" s="4">
        <v>26852</v>
      </c>
      <c r="C100" s="4">
        <v>20580</v>
      </c>
      <c r="D100" s="4">
        <v>31402</v>
      </c>
      <c r="E100" s="4">
        <v>24970</v>
      </c>
      <c r="F100" s="4">
        <v>35818</v>
      </c>
      <c r="G100" s="4">
        <v>21166</v>
      </c>
      <c r="H100" s="4">
        <v>24076</v>
      </c>
      <c r="I100" s="4">
        <v>36839</v>
      </c>
      <c r="J100" s="6" t="s">
        <v>14</v>
      </c>
      <c r="K100" s="6" t="s">
        <v>20</v>
      </c>
      <c r="L100" t="str">
        <f t="shared" si="2"/>
        <v>BY</v>
      </c>
      <c r="M100">
        <f t="shared" si="3"/>
        <v>221703</v>
      </c>
    </row>
    <row r="101" spans="1:13">
      <c r="A101" s="4" t="s">
        <v>85</v>
      </c>
      <c r="B101" s="4">
        <v>7009</v>
      </c>
      <c r="C101" s="4">
        <v>47284</v>
      </c>
      <c r="D101" s="4">
        <v>13989</v>
      </c>
      <c r="E101" s="4">
        <v>16052</v>
      </c>
      <c r="F101" s="4">
        <v>40433</v>
      </c>
      <c r="G101" s="4">
        <v>10056</v>
      </c>
      <c r="H101" s="4">
        <v>40430</v>
      </c>
      <c r="I101" s="4">
        <v>46274</v>
      </c>
      <c r="J101" s="6" t="s">
        <v>14</v>
      </c>
      <c r="K101" s="6" t="s">
        <v>19</v>
      </c>
      <c r="L101" t="str">
        <f t="shared" si="2"/>
        <v>BZ</v>
      </c>
      <c r="M101">
        <f t="shared" si="3"/>
        <v>221527</v>
      </c>
    </row>
    <row r="102" spans="1:13">
      <c r="A102" s="4" t="s">
        <v>197</v>
      </c>
      <c r="B102" s="4">
        <v>26597</v>
      </c>
      <c r="C102" s="4">
        <v>25290</v>
      </c>
      <c r="D102" s="4">
        <v>26575</v>
      </c>
      <c r="E102" s="4">
        <v>26962</v>
      </c>
      <c r="F102" s="4">
        <v>27248</v>
      </c>
      <c r="G102" s="4">
        <v>27593</v>
      </c>
      <c r="H102" s="4">
        <v>27234</v>
      </c>
      <c r="I102" s="4">
        <v>26045</v>
      </c>
      <c r="J102" s="6" t="s">
        <v>14</v>
      </c>
      <c r="K102" s="6" t="s">
        <v>21</v>
      </c>
      <c r="L102" t="str">
        <f t="shared" si="2"/>
        <v>BX</v>
      </c>
      <c r="M102">
        <f t="shared" si="3"/>
        <v>213544</v>
      </c>
    </row>
    <row r="103" spans="1:13">
      <c r="A103" s="4" t="s">
        <v>260</v>
      </c>
      <c r="B103" s="4">
        <v>28699</v>
      </c>
      <c r="C103" s="4">
        <v>5676</v>
      </c>
      <c r="D103" s="4">
        <v>31283</v>
      </c>
      <c r="E103" s="4">
        <v>29406</v>
      </c>
      <c r="F103" s="4">
        <v>25560</v>
      </c>
      <c r="G103" s="4">
        <v>34507</v>
      </c>
      <c r="H103" s="4">
        <v>33587</v>
      </c>
      <c r="I103" s="4">
        <v>24075</v>
      </c>
      <c r="J103" s="6" t="s">
        <v>14</v>
      </c>
      <c r="K103" s="6" t="s">
        <v>19</v>
      </c>
      <c r="L103" t="str">
        <f t="shared" si="2"/>
        <v>BZ</v>
      </c>
      <c r="M103">
        <f t="shared" si="3"/>
        <v>212793</v>
      </c>
    </row>
    <row r="104" spans="1:13">
      <c r="A104" s="4" t="s">
        <v>76</v>
      </c>
      <c r="B104" s="4">
        <v>22347</v>
      </c>
      <c r="C104" s="4">
        <v>30055</v>
      </c>
      <c r="D104" s="4">
        <v>21814</v>
      </c>
      <c r="E104" s="4">
        <v>20468</v>
      </c>
      <c r="F104" s="4">
        <v>33119</v>
      </c>
      <c r="G104" s="4">
        <v>31550</v>
      </c>
      <c r="H104" s="4">
        <v>26866</v>
      </c>
      <c r="I104" s="4">
        <v>19855</v>
      </c>
      <c r="J104" s="6" t="s">
        <v>14</v>
      </c>
      <c r="K104" s="6" t="s">
        <v>20</v>
      </c>
      <c r="L104" t="str">
        <f t="shared" si="2"/>
        <v>BY</v>
      </c>
      <c r="M104">
        <f t="shared" si="3"/>
        <v>206074</v>
      </c>
    </row>
    <row r="105" spans="1:13">
      <c r="A105" s="4" t="s">
        <v>243</v>
      </c>
      <c r="B105" s="4">
        <v>35201</v>
      </c>
      <c r="C105" s="4">
        <v>11403</v>
      </c>
      <c r="D105" s="4">
        <v>42285</v>
      </c>
      <c r="E105" s="4">
        <v>41842</v>
      </c>
      <c r="F105" s="4">
        <v>5200</v>
      </c>
      <c r="G105" s="4">
        <v>39873</v>
      </c>
      <c r="H105" s="4">
        <v>14029</v>
      </c>
      <c r="I105" s="4">
        <v>7468</v>
      </c>
      <c r="J105" s="6" t="s">
        <v>14</v>
      </c>
      <c r="K105" s="6" t="s">
        <v>19</v>
      </c>
      <c r="L105" t="str">
        <f t="shared" si="2"/>
        <v>BZ</v>
      </c>
      <c r="M105">
        <f t="shared" si="3"/>
        <v>197301</v>
      </c>
    </row>
    <row r="106" spans="1:13">
      <c r="A106" s="4" t="s">
        <v>151</v>
      </c>
      <c r="B106" s="4">
        <v>22573</v>
      </c>
      <c r="C106" s="4">
        <v>16491</v>
      </c>
      <c r="D106" s="4">
        <v>28947</v>
      </c>
      <c r="E106" s="4">
        <v>28098</v>
      </c>
      <c r="F106" s="4">
        <v>24871</v>
      </c>
      <c r="G106" s="4">
        <v>26883</v>
      </c>
      <c r="H106" s="4">
        <v>24484</v>
      </c>
      <c r="I106" s="4">
        <v>21854</v>
      </c>
      <c r="J106" s="6" t="s">
        <v>14</v>
      </c>
      <c r="K106" s="6" t="s">
        <v>20</v>
      </c>
      <c r="L106" t="str">
        <f t="shared" si="2"/>
        <v>BY</v>
      </c>
      <c r="M106">
        <f t="shared" si="3"/>
        <v>194201</v>
      </c>
    </row>
    <row r="107" spans="1:13">
      <c r="A107" s="4" t="s">
        <v>175</v>
      </c>
      <c r="B107" s="4">
        <v>20928</v>
      </c>
      <c r="C107" s="4">
        <v>17822</v>
      </c>
      <c r="D107" s="4">
        <v>29109</v>
      </c>
      <c r="E107" s="4">
        <v>28398</v>
      </c>
      <c r="F107" s="4">
        <v>25871</v>
      </c>
      <c r="G107" s="4">
        <v>18303</v>
      </c>
      <c r="H107" s="4">
        <v>25788</v>
      </c>
      <c r="I107" s="4">
        <v>27559</v>
      </c>
      <c r="J107" s="6" t="s">
        <v>14</v>
      </c>
      <c r="K107" s="6" t="s">
        <v>20</v>
      </c>
      <c r="L107" t="str">
        <f t="shared" si="2"/>
        <v>BY</v>
      </c>
      <c r="M107">
        <f t="shared" si="3"/>
        <v>193778</v>
      </c>
    </row>
    <row r="108" spans="1:13">
      <c r="A108" s="4" t="s">
        <v>50</v>
      </c>
      <c r="B108" s="4">
        <v>24544</v>
      </c>
      <c r="C108" s="4">
        <v>24336</v>
      </c>
      <c r="D108" s="4">
        <v>24068</v>
      </c>
      <c r="E108" s="4">
        <v>24363</v>
      </c>
      <c r="F108" s="4">
        <v>23753</v>
      </c>
      <c r="G108" s="4">
        <v>23409</v>
      </c>
      <c r="H108" s="4">
        <v>23126</v>
      </c>
      <c r="I108" s="4">
        <v>24374</v>
      </c>
      <c r="J108" s="6" t="s">
        <v>14</v>
      </c>
      <c r="K108" s="6" t="s">
        <v>21</v>
      </c>
      <c r="L108" t="str">
        <f t="shared" si="2"/>
        <v>BX</v>
      </c>
      <c r="M108">
        <f t="shared" si="3"/>
        <v>191973</v>
      </c>
    </row>
    <row r="109" spans="1:13">
      <c r="A109" s="4" t="s">
        <v>194</v>
      </c>
      <c r="B109" s="4">
        <v>23641</v>
      </c>
      <c r="C109" s="4">
        <v>24364</v>
      </c>
      <c r="D109" s="4">
        <v>24658</v>
      </c>
      <c r="E109" s="4">
        <v>23459</v>
      </c>
      <c r="F109" s="4">
        <v>24295</v>
      </c>
      <c r="G109" s="4">
        <v>23649</v>
      </c>
      <c r="H109" s="4">
        <v>22818</v>
      </c>
      <c r="I109" s="4">
        <v>22622</v>
      </c>
      <c r="J109" s="6" t="s">
        <v>14</v>
      </c>
      <c r="K109" s="6" t="s">
        <v>21</v>
      </c>
      <c r="L109" t="str">
        <f t="shared" si="2"/>
        <v>BX</v>
      </c>
      <c r="M109">
        <f t="shared" si="3"/>
        <v>189506</v>
      </c>
    </row>
    <row r="110" spans="1:13">
      <c r="A110" s="4" t="s">
        <v>89</v>
      </c>
      <c r="B110" s="4">
        <v>19433</v>
      </c>
      <c r="C110" s="4">
        <v>19651</v>
      </c>
      <c r="D110" s="4">
        <v>28199</v>
      </c>
      <c r="E110" s="4">
        <v>25972</v>
      </c>
      <c r="F110" s="4">
        <v>19614</v>
      </c>
      <c r="G110" s="4">
        <v>25425</v>
      </c>
      <c r="H110" s="4">
        <v>25804</v>
      </c>
      <c r="I110" s="4">
        <v>22467</v>
      </c>
      <c r="J110" s="6" t="s">
        <v>14</v>
      </c>
      <c r="K110" s="6" t="s">
        <v>20</v>
      </c>
      <c r="L110" t="str">
        <f t="shared" si="2"/>
        <v>BY</v>
      </c>
      <c r="M110">
        <f t="shared" si="3"/>
        <v>186565</v>
      </c>
    </row>
    <row r="111" spans="1:13">
      <c r="A111" s="4" t="s">
        <v>103</v>
      </c>
      <c r="B111" s="4">
        <v>26791</v>
      </c>
      <c r="C111" s="4">
        <v>29969</v>
      </c>
      <c r="D111" s="4">
        <v>29297</v>
      </c>
      <c r="E111" s="4">
        <v>30819</v>
      </c>
      <c r="F111" s="4">
        <v>28910</v>
      </c>
      <c r="G111" s="4">
        <v>9907</v>
      </c>
      <c r="H111" s="4">
        <v>16415</v>
      </c>
      <c r="I111" s="4">
        <v>14245</v>
      </c>
      <c r="J111" s="6" t="s">
        <v>14</v>
      </c>
      <c r="K111" s="6" t="s">
        <v>19</v>
      </c>
      <c r="L111" t="str">
        <f t="shared" si="2"/>
        <v>BZ</v>
      </c>
      <c r="M111">
        <f t="shared" si="3"/>
        <v>186353</v>
      </c>
    </row>
    <row r="112" spans="1:13">
      <c r="A112" s="4" t="s">
        <v>240</v>
      </c>
      <c r="B112" s="4">
        <v>27143</v>
      </c>
      <c r="C112" s="4">
        <v>19102</v>
      </c>
      <c r="D112" s="4">
        <v>27320</v>
      </c>
      <c r="E112" s="4">
        <v>18959</v>
      </c>
      <c r="F112" s="4">
        <v>26504</v>
      </c>
      <c r="G112" s="4">
        <v>18767</v>
      </c>
      <c r="H112" s="4">
        <v>26621</v>
      </c>
      <c r="I112" s="4">
        <v>21034</v>
      </c>
      <c r="J112" s="6" t="s">
        <v>14</v>
      </c>
      <c r="K112" s="6" t="s">
        <v>20</v>
      </c>
      <c r="L112" t="str">
        <f t="shared" si="2"/>
        <v>BY</v>
      </c>
      <c r="M112">
        <f t="shared" si="3"/>
        <v>185450</v>
      </c>
    </row>
    <row r="113" spans="1:13">
      <c r="A113" s="4" t="s">
        <v>146</v>
      </c>
      <c r="B113" s="4">
        <v>23190</v>
      </c>
      <c r="C113" s="4">
        <v>23629</v>
      </c>
      <c r="D113" s="4">
        <v>22459</v>
      </c>
      <c r="E113" s="4">
        <v>22927</v>
      </c>
      <c r="F113" s="4">
        <v>23774</v>
      </c>
      <c r="G113" s="4">
        <v>23534</v>
      </c>
      <c r="H113" s="4">
        <v>22996</v>
      </c>
      <c r="I113" s="4">
        <v>22833</v>
      </c>
      <c r="J113" s="6" t="s">
        <v>14</v>
      </c>
      <c r="K113" s="6" t="s">
        <v>21</v>
      </c>
      <c r="L113" t="str">
        <f t="shared" si="2"/>
        <v>BX</v>
      </c>
      <c r="M113">
        <f t="shared" si="3"/>
        <v>185342</v>
      </c>
    </row>
    <row r="114" spans="1:13">
      <c r="A114" s="4" t="s">
        <v>274</v>
      </c>
      <c r="B114" s="4">
        <v>23141</v>
      </c>
      <c r="C114" s="4">
        <v>22804</v>
      </c>
      <c r="D114" s="4">
        <v>22240</v>
      </c>
      <c r="E114" s="4">
        <v>23285</v>
      </c>
      <c r="F114" s="4">
        <v>23660</v>
      </c>
      <c r="G114" s="4">
        <v>23057</v>
      </c>
      <c r="H114" s="4">
        <v>23153</v>
      </c>
      <c r="I114" s="4">
        <v>23012</v>
      </c>
      <c r="J114" s="6" t="s">
        <v>14</v>
      </c>
      <c r="K114" s="6" t="s">
        <v>21</v>
      </c>
      <c r="L114" t="str">
        <f t="shared" si="2"/>
        <v>BX</v>
      </c>
      <c r="M114">
        <f t="shared" si="3"/>
        <v>184352</v>
      </c>
    </row>
    <row r="115" spans="1:13">
      <c r="A115" s="4" t="s">
        <v>142</v>
      </c>
      <c r="B115" s="4">
        <v>16289</v>
      </c>
      <c r="C115" s="4">
        <v>35641</v>
      </c>
      <c r="D115" s="4">
        <v>39134</v>
      </c>
      <c r="E115" s="4">
        <v>6568</v>
      </c>
      <c r="F115" s="4">
        <v>45238</v>
      </c>
      <c r="G115" s="4">
        <v>5495</v>
      </c>
      <c r="H115" s="4">
        <v>20746</v>
      </c>
      <c r="I115" s="4">
        <v>8990</v>
      </c>
      <c r="J115" s="6" t="s">
        <v>14</v>
      </c>
      <c r="K115" s="6" t="s">
        <v>19</v>
      </c>
      <c r="L115" t="str">
        <f t="shared" si="2"/>
        <v>BZ</v>
      </c>
      <c r="M115">
        <f t="shared" si="3"/>
        <v>178101</v>
      </c>
    </row>
    <row r="116" spans="1:13">
      <c r="A116" s="4" t="s">
        <v>105</v>
      </c>
      <c r="B116" s="4">
        <v>26113</v>
      </c>
      <c r="C116" s="4">
        <v>20683</v>
      </c>
      <c r="D116" s="4">
        <v>18749</v>
      </c>
      <c r="E116" s="4">
        <v>23043</v>
      </c>
      <c r="F116" s="4">
        <v>26891</v>
      </c>
      <c r="G116" s="4">
        <v>24023</v>
      </c>
      <c r="H116" s="4">
        <v>19508</v>
      </c>
      <c r="I116" s="4">
        <v>19067</v>
      </c>
      <c r="J116" s="6" t="s">
        <v>14</v>
      </c>
      <c r="K116" s="6" t="s">
        <v>20</v>
      </c>
      <c r="L116" t="str">
        <f t="shared" si="2"/>
        <v>BY</v>
      </c>
      <c r="M116">
        <f t="shared" si="3"/>
        <v>178077</v>
      </c>
    </row>
    <row r="117" spans="1:13">
      <c r="A117" s="4" t="s">
        <v>202</v>
      </c>
      <c r="B117" s="4">
        <v>22658</v>
      </c>
      <c r="C117" s="4">
        <v>21715</v>
      </c>
      <c r="D117" s="4">
        <v>22110</v>
      </c>
      <c r="E117" s="4">
        <v>22302</v>
      </c>
      <c r="F117" s="4">
        <v>21793</v>
      </c>
      <c r="G117" s="4">
        <v>21696</v>
      </c>
      <c r="H117" s="4">
        <v>22298</v>
      </c>
      <c r="I117" s="4">
        <v>22106</v>
      </c>
      <c r="J117" s="6" t="s">
        <v>14</v>
      </c>
      <c r="K117" s="6" t="s">
        <v>21</v>
      </c>
      <c r="L117" t="str">
        <f t="shared" si="2"/>
        <v>BX</v>
      </c>
      <c r="M117">
        <f t="shared" si="3"/>
        <v>176678</v>
      </c>
    </row>
    <row r="118" spans="1:13">
      <c r="A118" s="4" t="s">
        <v>233</v>
      </c>
      <c r="B118" s="4">
        <v>24947</v>
      </c>
      <c r="C118" s="4">
        <v>18158</v>
      </c>
      <c r="D118" s="4">
        <v>23681</v>
      </c>
      <c r="E118" s="4">
        <v>16970</v>
      </c>
      <c r="F118" s="4">
        <v>23760</v>
      </c>
      <c r="G118" s="4">
        <v>22713</v>
      </c>
      <c r="H118" s="4">
        <v>24691</v>
      </c>
      <c r="I118" s="4">
        <v>20425</v>
      </c>
      <c r="J118" s="6" t="s">
        <v>14</v>
      </c>
      <c r="K118" s="6" t="s">
        <v>20</v>
      </c>
      <c r="L118" t="str">
        <f t="shared" si="2"/>
        <v>BY</v>
      </c>
      <c r="M118">
        <f t="shared" si="3"/>
        <v>175345</v>
      </c>
    </row>
    <row r="119" spans="1:13">
      <c r="A119" s="4" t="s">
        <v>90</v>
      </c>
      <c r="B119" s="4">
        <v>7267</v>
      </c>
      <c r="C119" s="4">
        <v>35400</v>
      </c>
      <c r="D119" s="4">
        <v>28867</v>
      </c>
      <c r="E119" s="4">
        <v>10045</v>
      </c>
      <c r="F119" s="4">
        <v>27470</v>
      </c>
      <c r="G119" s="4">
        <v>35964</v>
      </c>
      <c r="H119" s="4">
        <v>13475</v>
      </c>
      <c r="I119" s="4">
        <v>14744</v>
      </c>
      <c r="J119" s="6" t="s">
        <v>14</v>
      </c>
      <c r="K119" s="6" t="s">
        <v>19</v>
      </c>
      <c r="L119" t="str">
        <f t="shared" si="2"/>
        <v>BZ</v>
      </c>
      <c r="M119">
        <f t="shared" si="3"/>
        <v>173232</v>
      </c>
    </row>
    <row r="120" spans="1:13">
      <c r="A120" s="4" t="s">
        <v>47</v>
      </c>
      <c r="B120" s="4">
        <v>22141</v>
      </c>
      <c r="C120" s="4">
        <v>20664</v>
      </c>
      <c r="D120" s="4">
        <v>21213</v>
      </c>
      <c r="E120" s="4">
        <v>20992</v>
      </c>
      <c r="F120" s="4">
        <v>22372</v>
      </c>
      <c r="G120" s="4">
        <v>21019</v>
      </c>
      <c r="H120" s="4">
        <v>21828</v>
      </c>
      <c r="I120" s="4">
        <v>22060</v>
      </c>
      <c r="J120" s="6" t="s">
        <v>14</v>
      </c>
      <c r="K120" s="6" t="s">
        <v>21</v>
      </c>
      <c r="L120" t="str">
        <f t="shared" si="2"/>
        <v>BX</v>
      </c>
      <c r="M120">
        <f t="shared" si="3"/>
        <v>172289</v>
      </c>
    </row>
    <row r="121" spans="1:13">
      <c r="A121" s="4" t="s">
        <v>80</v>
      </c>
      <c r="B121" s="4">
        <v>27885</v>
      </c>
      <c r="C121" s="4">
        <v>6329</v>
      </c>
      <c r="D121" s="4">
        <v>14342</v>
      </c>
      <c r="E121" s="4">
        <v>36441</v>
      </c>
      <c r="F121" s="4">
        <v>35262</v>
      </c>
      <c r="G121" s="4">
        <v>5200</v>
      </c>
      <c r="H121" s="4">
        <v>31725</v>
      </c>
      <c r="I121" s="4">
        <v>14878</v>
      </c>
      <c r="J121" s="6" t="s">
        <v>14</v>
      </c>
      <c r="K121" s="6" t="s">
        <v>19</v>
      </c>
      <c r="L121" t="str">
        <f t="shared" si="2"/>
        <v>BZ</v>
      </c>
      <c r="M121">
        <f t="shared" si="3"/>
        <v>172062</v>
      </c>
    </row>
    <row r="122" spans="1:13">
      <c r="A122" s="4" t="s">
        <v>241</v>
      </c>
      <c r="B122" s="4">
        <v>20438</v>
      </c>
      <c r="C122" s="4">
        <v>19118</v>
      </c>
      <c r="D122" s="4">
        <v>17476</v>
      </c>
      <c r="E122" s="4">
        <v>22066</v>
      </c>
      <c r="F122" s="4">
        <v>19567</v>
      </c>
      <c r="G122" s="4">
        <v>28805</v>
      </c>
      <c r="H122" s="4">
        <v>23288</v>
      </c>
      <c r="I122" s="4">
        <v>19346</v>
      </c>
      <c r="J122" s="6" t="s">
        <v>14</v>
      </c>
      <c r="K122" s="6" t="s">
        <v>20</v>
      </c>
      <c r="L122" t="str">
        <f t="shared" si="2"/>
        <v>BY</v>
      </c>
      <c r="M122">
        <f t="shared" si="3"/>
        <v>170104</v>
      </c>
    </row>
    <row r="123" spans="1:13">
      <c r="A123" s="4" t="s">
        <v>226</v>
      </c>
      <c r="B123" s="4">
        <v>21523</v>
      </c>
      <c r="C123" s="4">
        <v>22166</v>
      </c>
      <c r="D123" s="4">
        <v>20510</v>
      </c>
      <c r="E123" s="4">
        <v>20651</v>
      </c>
      <c r="F123" s="4">
        <v>21149</v>
      </c>
      <c r="G123" s="4">
        <v>21805</v>
      </c>
      <c r="H123" s="4">
        <v>21171</v>
      </c>
      <c r="I123" s="4">
        <v>21044</v>
      </c>
      <c r="J123" s="6" t="s">
        <v>14</v>
      </c>
      <c r="K123" s="6" t="s">
        <v>21</v>
      </c>
      <c r="L123" t="str">
        <f t="shared" si="2"/>
        <v>BX</v>
      </c>
      <c r="M123">
        <f t="shared" si="3"/>
        <v>170019</v>
      </c>
    </row>
    <row r="124" spans="1:13">
      <c r="A124" s="4" t="s">
        <v>238</v>
      </c>
      <c r="B124" s="4">
        <v>22811</v>
      </c>
      <c r="C124" s="4">
        <v>15605</v>
      </c>
      <c r="D124" s="4">
        <v>19038</v>
      </c>
      <c r="E124" s="4">
        <v>26044</v>
      </c>
      <c r="F124" s="4">
        <v>17675</v>
      </c>
      <c r="G124" s="4">
        <v>26715</v>
      </c>
      <c r="H124" s="4">
        <v>21760</v>
      </c>
      <c r="I124" s="4">
        <v>20337</v>
      </c>
      <c r="J124" s="6" t="s">
        <v>14</v>
      </c>
      <c r="K124" s="6" t="s">
        <v>20</v>
      </c>
      <c r="L124" t="str">
        <f t="shared" si="2"/>
        <v>BY</v>
      </c>
      <c r="M124">
        <f t="shared" si="3"/>
        <v>169985</v>
      </c>
    </row>
    <row r="125" spans="1:13">
      <c r="A125" s="4" t="s">
        <v>249</v>
      </c>
      <c r="B125" s="4">
        <v>23230</v>
      </c>
      <c r="C125" s="4">
        <v>24027</v>
      </c>
      <c r="D125" s="4">
        <v>16065</v>
      </c>
      <c r="E125" s="4">
        <v>21302</v>
      </c>
      <c r="F125" s="4">
        <v>18180</v>
      </c>
      <c r="G125" s="4">
        <v>26481</v>
      </c>
      <c r="H125" s="4">
        <v>18128</v>
      </c>
      <c r="I125" s="4">
        <v>21762</v>
      </c>
      <c r="J125" s="6" t="s">
        <v>14</v>
      </c>
      <c r="K125" s="6" t="s">
        <v>20</v>
      </c>
      <c r="L125" t="str">
        <f t="shared" si="2"/>
        <v>BY</v>
      </c>
      <c r="M125">
        <f t="shared" si="3"/>
        <v>169175</v>
      </c>
    </row>
    <row r="126" spans="1:13">
      <c r="A126" s="4" t="s">
        <v>75</v>
      </c>
      <c r="B126" s="4">
        <v>7030</v>
      </c>
      <c r="C126" s="4">
        <v>58642</v>
      </c>
      <c r="D126" s="4">
        <v>18565</v>
      </c>
      <c r="E126" s="4">
        <v>9987</v>
      </c>
      <c r="F126" s="4">
        <v>18942</v>
      </c>
      <c r="G126" s="4">
        <v>23522</v>
      </c>
      <c r="H126" s="4">
        <v>5799</v>
      </c>
      <c r="I126" s="4">
        <v>26400</v>
      </c>
      <c r="J126" s="6" t="s">
        <v>14</v>
      </c>
      <c r="K126" s="6" t="s">
        <v>19</v>
      </c>
      <c r="L126" t="str">
        <f t="shared" si="2"/>
        <v>BZ</v>
      </c>
      <c r="M126">
        <f t="shared" si="3"/>
        <v>168887</v>
      </c>
    </row>
    <row r="127" spans="1:13">
      <c r="A127" s="4" t="s">
        <v>275</v>
      </c>
      <c r="B127" s="4">
        <v>20168</v>
      </c>
      <c r="C127" s="4">
        <v>20881</v>
      </c>
      <c r="D127" s="4">
        <v>20801</v>
      </c>
      <c r="E127" s="4">
        <v>21382</v>
      </c>
      <c r="F127" s="4">
        <v>20110</v>
      </c>
      <c r="G127" s="4">
        <v>21500</v>
      </c>
      <c r="H127" s="4">
        <v>19928</v>
      </c>
      <c r="I127" s="4">
        <v>20524</v>
      </c>
      <c r="J127" s="6" t="s">
        <v>14</v>
      </c>
      <c r="K127" s="6" t="s">
        <v>21</v>
      </c>
      <c r="L127" t="str">
        <f t="shared" si="2"/>
        <v>BX</v>
      </c>
      <c r="M127">
        <f t="shared" si="3"/>
        <v>165294</v>
      </c>
    </row>
    <row r="128" spans="1:13">
      <c r="A128" s="4" t="s">
        <v>193</v>
      </c>
      <c r="B128" s="4">
        <v>18274</v>
      </c>
      <c r="C128" s="4">
        <v>15538</v>
      </c>
      <c r="D128" s="4">
        <v>17812</v>
      </c>
      <c r="E128" s="4">
        <v>21297</v>
      </c>
      <c r="F128" s="4">
        <v>23636</v>
      </c>
      <c r="G128" s="4">
        <v>25476</v>
      </c>
      <c r="H128" s="4">
        <v>20615</v>
      </c>
      <c r="I128" s="4">
        <v>18197</v>
      </c>
      <c r="J128" s="6" t="s">
        <v>14</v>
      </c>
      <c r="K128" s="6" t="s">
        <v>20</v>
      </c>
      <c r="L128" t="str">
        <f t="shared" si="2"/>
        <v>BY</v>
      </c>
      <c r="M128">
        <f t="shared" si="3"/>
        <v>160845</v>
      </c>
    </row>
    <row r="129" spans="1:13">
      <c r="A129" s="4" t="s">
        <v>244</v>
      </c>
      <c r="B129" s="4">
        <v>13846</v>
      </c>
      <c r="C129" s="4">
        <v>19012</v>
      </c>
      <c r="D129" s="4">
        <v>16975</v>
      </c>
      <c r="E129" s="4">
        <v>19591</v>
      </c>
      <c r="F129" s="4">
        <v>13043</v>
      </c>
      <c r="G129" s="4">
        <v>10276</v>
      </c>
      <c r="H129" s="4">
        <v>17880</v>
      </c>
      <c r="I129" s="4">
        <v>43754</v>
      </c>
      <c r="J129" s="6" t="s">
        <v>14</v>
      </c>
      <c r="K129" s="6" t="s">
        <v>19</v>
      </c>
      <c r="L129" t="str">
        <f t="shared" si="2"/>
        <v>BZ</v>
      </c>
      <c r="M129">
        <f t="shared" si="3"/>
        <v>154377</v>
      </c>
    </row>
    <row r="130" spans="1:13">
      <c r="A130" s="4" t="s">
        <v>130</v>
      </c>
      <c r="B130" s="4">
        <v>18320</v>
      </c>
      <c r="C130" s="4">
        <v>18924</v>
      </c>
      <c r="D130" s="4">
        <v>19618</v>
      </c>
      <c r="E130" s="4">
        <v>19425</v>
      </c>
      <c r="F130" s="4">
        <v>19631</v>
      </c>
      <c r="G130" s="4">
        <v>18958</v>
      </c>
      <c r="H130" s="4">
        <v>19282</v>
      </c>
      <c r="I130" s="4">
        <v>18276</v>
      </c>
      <c r="J130" s="6" t="s">
        <v>14</v>
      </c>
      <c r="K130" s="6" t="s">
        <v>21</v>
      </c>
      <c r="L130" t="str">
        <f t="shared" si="2"/>
        <v>BX</v>
      </c>
      <c r="M130">
        <f t="shared" si="3"/>
        <v>152434</v>
      </c>
    </row>
    <row r="131" spans="1:13">
      <c r="A131" s="4" t="s">
        <v>201</v>
      </c>
      <c r="B131" s="4">
        <v>18278</v>
      </c>
      <c r="C131" s="4">
        <v>19227</v>
      </c>
      <c r="D131" s="4">
        <v>19244</v>
      </c>
      <c r="E131" s="4">
        <v>18102</v>
      </c>
      <c r="F131" s="4">
        <v>19500</v>
      </c>
      <c r="G131" s="4">
        <v>18128</v>
      </c>
      <c r="H131" s="4">
        <v>19035</v>
      </c>
      <c r="I131" s="4">
        <v>19007</v>
      </c>
      <c r="J131" s="6" t="s">
        <v>14</v>
      </c>
      <c r="K131" s="6" t="s">
        <v>21</v>
      </c>
      <c r="L131" t="str">
        <f t="shared" ref="L131:L194" si="4">J131&amp;K131</f>
        <v>BX</v>
      </c>
      <c r="M131">
        <f t="shared" ref="M131:M194" si="5">SUM(B131:I131)</f>
        <v>150521</v>
      </c>
    </row>
    <row r="132" spans="1:13">
      <c r="A132" s="4" t="s">
        <v>156</v>
      </c>
      <c r="B132" s="4">
        <v>5222</v>
      </c>
      <c r="C132" s="4">
        <v>15568</v>
      </c>
      <c r="D132" s="4">
        <v>14086</v>
      </c>
      <c r="E132" s="4">
        <v>15698</v>
      </c>
      <c r="F132" s="4">
        <v>6152</v>
      </c>
      <c r="G132" s="4">
        <v>36762</v>
      </c>
      <c r="H132" s="4">
        <v>28706</v>
      </c>
      <c r="I132" s="4">
        <v>28266</v>
      </c>
      <c r="J132" s="6" t="s">
        <v>14</v>
      </c>
      <c r="K132" s="6" t="s">
        <v>19</v>
      </c>
      <c r="L132" t="str">
        <f t="shared" si="4"/>
        <v>BZ</v>
      </c>
      <c r="M132">
        <f t="shared" si="5"/>
        <v>150460</v>
      </c>
    </row>
    <row r="133" spans="1:13">
      <c r="A133" s="4" t="s">
        <v>170</v>
      </c>
      <c r="B133" s="4">
        <v>18334</v>
      </c>
      <c r="C133" s="4">
        <v>19276</v>
      </c>
      <c r="D133" s="4">
        <v>19420</v>
      </c>
      <c r="E133" s="4">
        <v>18191</v>
      </c>
      <c r="F133" s="4">
        <v>18299</v>
      </c>
      <c r="G133" s="4">
        <v>18263</v>
      </c>
      <c r="H133" s="4">
        <v>19174</v>
      </c>
      <c r="I133" s="4">
        <v>18814</v>
      </c>
      <c r="J133" s="6" t="s">
        <v>14</v>
      </c>
      <c r="K133" s="6" t="s">
        <v>21</v>
      </c>
      <c r="L133" t="str">
        <f t="shared" si="4"/>
        <v>BX</v>
      </c>
      <c r="M133">
        <f t="shared" si="5"/>
        <v>149771</v>
      </c>
    </row>
    <row r="134" spans="1:13">
      <c r="A134" s="4" t="s">
        <v>192</v>
      </c>
      <c r="B134" s="4">
        <v>18609</v>
      </c>
      <c r="C134" s="4">
        <v>18752</v>
      </c>
      <c r="D134" s="4">
        <v>17879</v>
      </c>
      <c r="E134" s="4">
        <v>18354</v>
      </c>
      <c r="F134" s="4">
        <v>18707</v>
      </c>
      <c r="G134" s="4">
        <v>17907</v>
      </c>
      <c r="H134" s="4">
        <v>17314</v>
      </c>
      <c r="I134" s="4">
        <v>18659</v>
      </c>
      <c r="J134" s="6" t="s">
        <v>14</v>
      </c>
      <c r="K134" s="6" t="s">
        <v>21</v>
      </c>
      <c r="L134" t="str">
        <f t="shared" si="4"/>
        <v>BX</v>
      </c>
      <c r="M134">
        <f t="shared" si="5"/>
        <v>146181</v>
      </c>
    </row>
    <row r="135" spans="1:13">
      <c r="A135" s="4" t="s">
        <v>217</v>
      </c>
      <c r="B135" s="4">
        <v>21865</v>
      </c>
      <c r="C135" s="4">
        <v>17117</v>
      </c>
      <c r="D135" s="4">
        <v>17662</v>
      </c>
      <c r="E135" s="4">
        <v>17742</v>
      </c>
      <c r="F135" s="4">
        <v>16136</v>
      </c>
      <c r="G135" s="4">
        <v>15898</v>
      </c>
      <c r="H135" s="4">
        <v>16135</v>
      </c>
      <c r="I135" s="4">
        <v>21635</v>
      </c>
      <c r="J135" s="6" t="s">
        <v>14</v>
      </c>
      <c r="K135" s="6" t="s">
        <v>20</v>
      </c>
      <c r="L135" t="str">
        <f t="shared" si="4"/>
        <v>BY</v>
      </c>
      <c r="M135">
        <f t="shared" si="5"/>
        <v>144190</v>
      </c>
    </row>
    <row r="136" spans="1:13">
      <c r="A136" s="4" t="s">
        <v>141</v>
      </c>
      <c r="B136" s="4">
        <v>17202</v>
      </c>
      <c r="C136" s="4">
        <v>17951</v>
      </c>
      <c r="D136" s="4">
        <v>17268</v>
      </c>
      <c r="E136" s="4">
        <v>17161</v>
      </c>
      <c r="F136" s="4">
        <v>18735</v>
      </c>
      <c r="G136" s="4">
        <v>18402</v>
      </c>
      <c r="H136" s="4">
        <v>18563</v>
      </c>
      <c r="I136" s="4">
        <v>18689</v>
      </c>
      <c r="J136" s="6" t="s">
        <v>14</v>
      </c>
      <c r="K136" s="6" t="s">
        <v>21</v>
      </c>
      <c r="L136" t="str">
        <f t="shared" si="4"/>
        <v>BX</v>
      </c>
      <c r="M136">
        <f t="shared" si="5"/>
        <v>143971</v>
      </c>
    </row>
    <row r="137" spans="1:13">
      <c r="A137" s="4" t="s">
        <v>77</v>
      </c>
      <c r="B137" s="4">
        <v>26765</v>
      </c>
      <c r="C137" s="4">
        <v>7928</v>
      </c>
      <c r="D137" s="4">
        <v>26683</v>
      </c>
      <c r="E137" s="4">
        <v>21491</v>
      </c>
      <c r="F137" s="4">
        <v>23027</v>
      </c>
      <c r="G137" s="4">
        <v>25191</v>
      </c>
      <c r="H137" s="4">
        <v>5200</v>
      </c>
      <c r="I137" s="4">
        <v>5200</v>
      </c>
      <c r="J137" s="6" t="s">
        <v>14</v>
      </c>
      <c r="K137" s="6" t="s">
        <v>19</v>
      </c>
      <c r="L137" t="str">
        <f t="shared" si="4"/>
        <v>BZ</v>
      </c>
      <c r="M137">
        <f t="shared" si="5"/>
        <v>141485</v>
      </c>
    </row>
    <row r="138" spans="1:13">
      <c r="A138" s="4" t="s">
        <v>214</v>
      </c>
      <c r="B138" s="4">
        <v>14539</v>
      </c>
      <c r="C138" s="4">
        <v>17598</v>
      </c>
      <c r="D138" s="4">
        <v>18210</v>
      </c>
      <c r="E138" s="4">
        <v>19637</v>
      </c>
      <c r="F138" s="4">
        <v>15988</v>
      </c>
      <c r="G138" s="4">
        <v>17243</v>
      </c>
      <c r="H138" s="4">
        <v>18713</v>
      </c>
      <c r="I138" s="4">
        <v>18656</v>
      </c>
      <c r="J138" s="6" t="s">
        <v>14</v>
      </c>
      <c r="K138" s="6" t="s">
        <v>21</v>
      </c>
      <c r="L138" t="str">
        <f t="shared" si="4"/>
        <v>BX</v>
      </c>
      <c r="M138">
        <f t="shared" si="5"/>
        <v>140584</v>
      </c>
    </row>
    <row r="139" spans="1:13">
      <c r="A139" s="4" t="s">
        <v>131</v>
      </c>
      <c r="B139" s="4">
        <v>17727</v>
      </c>
      <c r="C139" s="4">
        <v>17280</v>
      </c>
      <c r="D139" s="4">
        <v>16794</v>
      </c>
      <c r="E139" s="4">
        <v>17049</v>
      </c>
      <c r="F139" s="4">
        <v>16894</v>
      </c>
      <c r="G139" s="4">
        <v>17992</v>
      </c>
      <c r="H139" s="4">
        <v>18278</v>
      </c>
      <c r="I139" s="4">
        <v>18215</v>
      </c>
      <c r="J139" s="6" t="s">
        <v>14</v>
      </c>
      <c r="K139" s="6" t="s">
        <v>21</v>
      </c>
      <c r="L139" t="str">
        <f t="shared" si="4"/>
        <v>BX</v>
      </c>
      <c r="M139">
        <f t="shared" si="5"/>
        <v>140229</v>
      </c>
    </row>
    <row r="140" spans="1:13">
      <c r="A140" s="4" t="s">
        <v>207</v>
      </c>
      <c r="B140" s="4">
        <v>9389</v>
      </c>
      <c r="C140" s="4">
        <v>33492</v>
      </c>
      <c r="D140" s="4">
        <v>13124</v>
      </c>
      <c r="E140" s="4">
        <v>5200</v>
      </c>
      <c r="F140" s="4">
        <v>8371</v>
      </c>
      <c r="G140" s="4">
        <v>5994</v>
      </c>
      <c r="H140" s="4">
        <v>29784</v>
      </c>
      <c r="I140" s="4">
        <v>33951</v>
      </c>
      <c r="J140" s="6" t="s">
        <v>14</v>
      </c>
      <c r="K140" s="6" t="s">
        <v>19</v>
      </c>
      <c r="L140" t="str">
        <f t="shared" si="4"/>
        <v>BZ</v>
      </c>
      <c r="M140">
        <f t="shared" si="5"/>
        <v>139305</v>
      </c>
    </row>
    <row r="141" spans="1:13">
      <c r="A141" s="4" t="s">
        <v>231</v>
      </c>
      <c r="B141" s="4">
        <v>20762</v>
      </c>
      <c r="C141" s="4">
        <v>14776</v>
      </c>
      <c r="D141" s="4">
        <v>12501</v>
      </c>
      <c r="E141" s="4">
        <v>21434</v>
      </c>
      <c r="F141" s="4">
        <v>21717</v>
      </c>
      <c r="G141" s="4">
        <v>19524</v>
      </c>
      <c r="H141" s="4">
        <v>14937</v>
      </c>
      <c r="I141" s="4">
        <v>13422</v>
      </c>
      <c r="J141" s="6" t="s">
        <v>14</v>
      </c>
      <c r="K141" s="6" t="s">
        <v>20</v>
      </c>
      <c r="L141" t="str">
        <f t="shared" si="4"/>
        <v>BY</v>
      </c>
      <c r="M141">
        <f t="shared" si="5"/>
        <v>139073</v>
      </c>
    </row>
    <row r="142" spans="1:13">
      <c r="A142" s="4" t="s">
        <v>261</v>
      </c>
      <c r="B142" s="4">
        <v>17970</v>
      </c>
      <c r="C142" s="4">
        <v>16684</v>
      </c>
      <c r="D142" s="4">
        <v>17372</v>
      </c>
      <c r="E142" s="4">
        <v>17566</v>
      </c>
      <c r="F142" s="4">
        <v>18039</v>
      </c>
      <c r="G142" s="4">
        <v>16962</v>
      </c>
      <c r="H142" s="4">
        <v>16985</v>
      </c>
      <c r="I142" s="4">
        <v>17188</v>
      </c>
      <c r="J142" s="6" t="s">
        <v>14</v>
      </c>
      <c r="K142" s="6" t="s">
        <v>21</v>
      </c>
      <c r="L142" t="str">
        <f t="shared" si="4"/>
        <v>BX</v>
      </c>
      <c r="M142">
        <f t="shared" si="5"/>
        <v>138766</v>
      </c>
    </row>
    <row r="143" spans="1:13">
      <c r="A143" s="4" t="s">
        <v>88</v>
      </c>
      <c r="B143" s="4">
        <v>17035</v>
      </c>
      <c r="C143" s="4">
        <v>17865</v>
      </c>
      <c r="D143" s="4">
        <v>17024</v>
      </c>
      <c r="E143" s="4">
        <v>17261</v>
      </c>
      <c r="F143" s="4">
        <v>17157</v>
      </c>
      <c r="G143" s="4">
        <v>16715</v>
      </c>
      <c r="H143" s="4">
        <v>16703</v>
      </c>
      <c r="I143" s="4">
        <v>17820</v>
      </c>
      <c r="J143" s="6" t="s">
        <v>14</v>
      </c>
      <c r="K143" s="6" t="s">
        <v>21</v>
      </c>
      <c r="L143" t="str">
        <f t="shared" si="4"/>
        <v>BX</v>
      </c>
      <c r="M143">
        <f t="shared" si="5"/>
        <v>137580</v>
      </c>
    </row>
    <row r="144" spans="1:13">
      <c r="A144" s="4" t="s">
        <v>174</v>
      </c>
      <c r="B144" s="4">
        <v>22502</v>
      </c>
      <c r="C144" s="4">
        <v>24732</v>
      </c>
      <c r="D144" s="4">
        <v>16582</v>
      </c>
      <c r="E144" s="4">
        <v>5200</v>
      </c>
      <c r="F144" s="4">
        <v>18442</v>
      </c>
      <c r="G144" s="4">
        <v>18253</v>
      </c>
      <c r="H144" s="4">
        <v>23010</v>
      </c>
      <c r="I144" s="4">
        <v>8207</v>
      </c>
      <c r="J144" s="6" t="s">
        <v>14</v>
      </c>
      <c r="K144" s="6" t="s">
        <v>19</v>
      </c>
      <c r="L144" t="str">
        <f t="shared" si="4"/>
        <v>BZ</v>
      </c>
      <c r="M144">
        <f t="shared" si="5"/>
        <v>136928</v>
      </c>
    </row>
    <row r="145" spans="1:13">
      <c r="A145" s="4" t="s">
        <v>199</v>
      </c>
      <c r="B145" s="4">
        <v>18739</v>
      </c>
      <c r="C145" s="4">
        <v>19654</v>
      </c>
      <c r="D145" s="4">
        <v>20306</v>
      </c>
      <c r="E145" s="4">
        <v>22426</v>
      </c>
      <c r="F145" s="4">
        <v>6170</v>
      </c>
      <c r="G145" s="4">
        <v>21734</v>
      </c>
      <c r="H145" s="4">
        <v>6532</v>
      </c>
      <c r="I145" s="4">
        <v>20736</v>
      </c>
      <c r="J145" s="6" t="s">
        <v>14</v>
      </c>
      <c r="K145" s="6" t="s">
        <v>19</v>
      </c>
      <c r="L145" t="str">
        <f t="shared" si="4"/>
        <v>BZ</v>
      </c>
      <c r="M145">
        <f t="shared" si="5"/>
        <v>136297</v>
      </c>
    </row>
    <row r="146" spans="1:13">
      <c r="A146" s="4" t="s">
        <v>153</v>
      </c>
      <c r="B146" s="4">
        <v>30073</v>
      </c>
      <c r="C146" s="4">
        <v>11603</v>
      </c>
      <c r="D146" s="4">
        <v>23001</v>
      </c>
      <c r="E146" s="4">
        <v>9281</v>
      </c>
      <c r="F146" s="4">
        <v>6209</v>
      </c>
      <c r="G146" s="4">
        <v>27805</v>
      </c>
      <c r="H146" s="4">
        <v>5200</v>
      </c>
      <c r="I146" s="4">
        <v>21884</v>
      </c>
      <c r="J146" s="6" t="s">
        <v>14</v>
      </c>
      <c r="K146" s="6" t="s">
        <v>19</v>
      </c>
      <c r="L146" t="str">
        <f t="shared" si="4"/>
        <v>BZ</v>
      </c>
      <c r="M146">
        <f t="shared" si="5"/>
        <v>135056</v>
      </c>
    </row>
    <row r="147" spans="1:13">
      <c r="A147" s="4" t="s">
        <v>208</v>
      </c>
      <c r="B147" s="4">
        <v>19004</v>
      </c>
      <c r="C147" s="4">
        <v>17346</v>
      </c>
      <c r="D147" s="4">
        <v>17504</v>
      </c>
      <c r="E147" s="4">
        <v>14275</v>
      </c>
      <c r="F147" s="4">
        <v>18148</v>
      </c>
      <c r="G147" s="4">
        <v>19077</v>
      </c>
      <c r="H147" s="4">
        <v>16765</v>
      </c>
      <c r="I147" s="4">
        <v>12109</v>
      </c>
      <c r="J147" s="6" t="s">
        <v>14</v>
      </c>
      <c r="K147" s="6" t="s">
        <v>20</v>
      </c>
      <c r="L147" t="str">
        <f t="shared" si="4"/>
        <v>BY</v>
      </c>
      <c r="M147">
        <f t="shared" si="5"/>
        <v>134228</v>
      </c>
    </row>
    <row r="148" spans="1:13">
      <c r="A148" s="4" t="s">
        <v>120</v>
      </c>
      <c r="B148" s="4">
        <v>16659</v>
      </c>
      <c r="C148" s="4">
        <v>18140</v>
      </c>
      <c r="D148" s="4">
        <v>18671</v>
      </c>
      <c r="E148" s="4">
        <v>15226</v>
      </c>
      <c r="F148" s="4">
        <v>19303</v>
      </c>
      <c r="G148" s="4">
        <v>13754</v>
      </c>
      <c r="H148" s="4">
        <v>15566</v>
      </c>
      <c r="I148" s="4">
        <v>16529</v>
      </c>
      <c r="J148" s="6" t="s">
        <v>14</v>
      </c>
      <c r="K148" s="6" t="s">
        <v>20</v>
      </c>
      <c r="L148" t="str">
        <f t="shared" si="4"/>
        <v>BY</v>
      </c>
      <c r="M148">
        <f t="shared" si="5"/>
        <v>133848</v>
      </c>
    </row>
    <row r="149" spans="1:13">
      <c r="A149" s="4" t="s">
        <v>69</v>
      </c>
      <c r="B149" s="4">
        <v>38539</v>
      </c>
      <c r="C149" s="4">
        <v>6273</v>
      </c>
      <c r="D149" s="4">
        <v>37823</v>
      </c>
      <c r="E149" s="4">
        <v>11912</v>
      </c>
      <c r="F149" s="4">
        <v>7763</v>
      </c>
      <c r="G149" s="4">
        <v>13336</v>
      </c>
      <c r="H149" s="4">
        <v>5200</v>
      </c>
      <c r="I149" s="4">
        <v>12275</v>
      </c>
      <c r="J149" s="6" t="s">
        <v>14</v>
      </c>
      <c r="K149" s="6" t="s">
        <v>19</v>
      </c>
      <c r="L149" t="str">
        <f t="shared" si="4"/>
        <v>BZ</v>
      </c>
      <c r="M149">
        <f t="shared" si="5"/>
        <v>133121</v>
      </c>
    </row>
    <row r="150" spans="1:13">
      <c r="A150" s="4" t="s">
        <v>259</v>
      </c>
      <c r="B150" s="4">
        <v>15943</v>
      </c>
      <c r="C150" s="4">
        <v>16002</v>
      </c>
      <c r="D150" s="4">
        <v>16288</v>
      </c>
      <c r="E150" s="4">
        <v>17019</v>
      </c>
      <c r="F150" s="4">
        <v>16911</v>
      </c>
      <c r="G150" s="4">
        <v>16568</v>
      </c>
      <c r="H150" s="4">
        <v>16305</v>
      </c>
      <c r="I150" s="4">
        <v>17055</v>
      </c>
      <c r="J150" s="6" t="s">
        <v>14</v>
      </c>
      <c r="K150" s="6" t="s">
        <v>21</v>
      </c>
      <c r="L150" t="str">
        <f t="shared" si="4"/>
        <v>BX</v>
      </c>
      <c r="M150">
        <f t="shared" si="5"/>
        <v>132091</v>
      </c>
    </row>
    <row r="151" spans="1:13">
      <c r="A151" s="4" t="s">
        <v>136</v>
      </c>
      <c r="B151" s="4">
        <v>6117</v>
      </c>
      <c r="C151" s="4">
        <v>6600</v>
      </c>
      <c r="D151" s="4">
        <v>21713</v>
      </c>
      <c r="E151" s="4">
        <v>19286</v>
      </c>
      <c r="F151" s="4">
        <v>42018</v>
      </c>
      <c r="G151" s="4">
        <v>7441</v>
      </c>
      <c r="H151" s="4">
        <v>17768</v>
      </c>
      <c r="I151" s="4">
        <v>10059</v>
      </c>
      <c r="J151" s="6" t="s">
        <v>14</v>
      </c>
      <c r="K151" s="6" t="s">
        <v>19</v>
      </c>
      <c r="L151" t="str">
        <f t="shared" si="4"/>
        <v>BZ</v>
      </c>
      <c r="M151">
        <f t="shared" si="5"/>
        <v>131002</v>
      </c>
    </row>
    <row r="152" spans="1:13">
      <c r="A152" s="4" t="s">
        <v>79</v>
      </c>
      <c r="B152" s="4">
        <v>19022</v>
      </c>
      <c r="C152" s="4">
        <v>12386</v>
      </c>
      <c r="D152" s="4">
        <v>13871</v>
      </c>
      <c r="E152" s="4">
        <v>13567</v>
      </c>
      <c r="F152" s="4">
        <v>20767</v>
      </c>
      <c r="G152" s="4">
        <v>15532</v>
      </c>
      <c r="H152" s="4">
        <v>13769</v>
      </c>
      <c r="I152" s="4">
        <v>21437</v>
      </c>
      <c r="J152" s="6" t="s">
        <v>14</v>
      </c>
      <c r="K152" s="6" t="s">
        <v>20</v>
      </c>
      <c r="L152" t="str">
        <f t="shared" si="4"/>
        <v>BY</v>
      </c>
      <c r="M152">
        <f t="shared" si="5"/>
        <v>130351</v>
      </c>
    </row>
    <row r="153" spans="1:13">
      <c r="A153" s="4" t="s">
        <v>262</v>
      </c>
      <c r="B153" s="4">
        <v>16581</v>
      </c>
      <c r="C153" s="4">
        <v>16778</v>
      </c>
      <c r="D153" s="4">
        <v>16635</v>
      </c>
      <c r="E153" s="4">
        <v>16117</v>
      </c>
      <c r="F153" s="4">
        <v>15593</v>
      </c>
      <c r="G153" s="4">
        <v>15659</v>
      </c>
      <c r="H153" s="4">
        <v>15744</v>
      </c>
      <c r="I153" s="4">
        <v>16715</v>
      </c>
      <c r="J153" s="6" t="s">
        <v>14</v>
      </c>
      <c r="K153" s="6" t="s">
        <v>21</v>
      </c>
      <c r="L153" t="str">
        <f t="shared" si="4"/>
        <v>BX</v>
      </c>
      <c r="M153">
        <f t="shared" si="5"/>
        <v>129822</v>
      </c>
    </row>
    <row r="154" spans="1:13">
      <c r="A154" s="4" t="s">
        <v>129</v>
      </c>
      <c r="B154" s="4">
        <v>11993</v>
      </c>
      <c r="C154" s="4">
        <v>16416</v>
      </c>
      <c r="D154" s="4">
        <v>18321</v>
      </c>
      <c r="E154" s="4">
        <v>14683</v>
      </c>
      <c r="F154" s="4">
        <v>14784</v>
      </c>
      <c r="G154" s="4">
        <v>18469</v>
      </c>
      <c r="H154" s="4">
        <v>12823</v>
      </c>
      <c r="I154" s="4">
        <v>18761</v>
      </c>
      <c r="J154" s="6" t="s">
        <v>14</v>
      </c>
      <c r="K154" s="6" t="s">
        <v>20</v>
      </c>
      <c r="L154" t="str">
        <f t="shared" si="4"/>
        <v>BY</v>
      </c>
      <c r="M154">
        <f t="shared" si="5"/>
        <v>126250</v>
      </c>
    </row>
    <row r="155" spans="1:13">
      <c r="A155" s="4" t="s">
        <v>273</v>
      </c>
      <c r="B155" s="4">
        <v>15580</v>
      </c>
      <c r="C155" s="4">
        <v>15373</v>
      </c>
      <c r="D155" s="4">
        <v>15883</v>
      </c>
      <c r="E155" s="4">
        <v>15766</v>
      </c>
      <c r="F155" s="4">
        <v>15888</v>
      </c>
      <c r="G155" s="4">
        <v>15343</v>
      </c>
      <c r="H155" s="4">
        <v>15186</v>
      </c>
      <c r="I155" s="4">
        <v>16135</v>
      </c>
      <c r="J155" s="6" t="s">
        <v>14</v>
      </c>
      <c r="K155" s="6" t="s">
        <v>21</v>
      </c>
      <c r="L155" t="str">
        <f t="shared" si="4"/>
        <v>BX</v>
      </c>
      <c r="M155">
        <f t="shared" si="5"/>
        <v>125154</v>
      </c>
    </row>
    <row r="156" spans="1:13">
      <c r="A156" s="4" t="s">
        <v>218</v>
      </c>
      <c r="B156" s="4">
        <v>13217</v>
      </c>
      <c r="C156" s="4">
        <v>11859</v>
      </c>
      <c r="D156" s="4">
        <v>14223</v>
      </c>
      <c r="E156" s="4">
        <v>18071</v>
      </c>
      <c r="F156" s="4">
        <v>19511</v>
      </c>
      <c r="G156" s="4">
        <v>14423</v>
      </c>
      <c r="H156" s="4">
        <v>16076</v>
      </c>
      <c r="I156" s="4">
        <v>17386</v>
      </c>
      <c r="J156" s="6" t="s">
        <v>14</v>
      </c>
      <c r="K156" s="6" t="s">
        <v>20</v>
      </c>
      <c r="L156" t="str">
        <f t="shared" si="4"/>
        <v>BY</v>
      </c>
      <c r="M156">
        <f t="shared" si="5"/>
        <v>124766</v>
      </c>
    </row>
    <row r="157" spans="1:13">
      <c r="A157" s="4" t="s">
        <v>267</v>
      </c>
      <c r="B157" s="4">
        <v>15868</v>
      </c>
      <c r="C157" s="4">
        <v>14844</v>
      </c>
      <c r="D157" s="4">
        <v>15959</v>
      </c>
      <c r="E157" s="4">
        <v>15364</v>
      </c>
      <c r="F157" s="4">
        <v>15600</v>
      </c>
      <c r="G157" s="4">
        <v>15359</v>
      </c>
      <c r="H157" s="4">
        <v>15873</v>
      </c>
      <c r="I157" s="4">
        <v>15715</v>
      </c>
      <c r="J157" s="6" t="s">
        <v>14</v>
      </c>
      <c r="K157" s="6" t="s">
        <v>21</v>
      </c>
      <c r="L157" t="str">
        <f t="shared" si="4"/>
        <v>BX</v>
      </c>
      <c r="M157">
        <f t="shared" si="5"/>
        <v>124582</v>
      </c>
    </row>
    <row r="158" spans="1:13">
      <c r="A158" s="4" t="s">
        <v>147</v>
      </c>
      <c r="B158" s="4">
        <v>15736</v>
      </c>
      <c r="C158" s="4">
        <v>16035</v>
      </c>
      <c r="D158" s="4">
        <v>15252</v>
      </c>
      <c r="E158" s="4">
        <v>15267</v>
      </c>
      <c r="F158" s="4">
        <v>14952</v>
      </c>
      <c r="G158" s="4">
        <v>15970</v>
      </c>
      <c r="H158" s="4">
        <v>14802</v>
      </c>
      <c r="I158" s="4">
        <v>15762</v>
      </c>
      <c r="J158" s="6" t="s">
        <v>15</v>
      </c>
      <c r="K158" s="6" t="s">
        <v>21</v>
      </c>
      <c r="L158" t="str">
        <f t="shared" si="4"/>
        <v>CX</v>
      </c>
      <c r="M158">
        <f t="shared" si="5"/>
        <v>123776</v>
      </c>
    </row>
    <row r="159" spans="1:13">
      <c r="A159" s="4" t="s">
        <v>200</v>
      </c>
      <c r="B159" s="4">
        <v>17497</v>
      </c>
      <c r="C159" s="4">
        <v>16643</v>
      </c>
      <c r="D159" s="4">
        <v>14375</v>
      </c>
      <c r="E159" s="4">
        <v>16236</v>
      </c>
      <c r="F159" s="4">
        <v>13874</v>
      </c>
      <c r="G159" s="4">
        <v>16036</v>
      </c>
      <c r="H159" s="4">
        <v>12380</v>
      </c>
      <c r="I159" s="4">
        <v>16183</v>
      </c>
      <c r="J159" s="6" t="s">
        <v>15</v>
      </c>
      <c r="K159" s="6" t="s">
        <v>20</v>
      </c>
      <c r="L159" t="str">
        <f t="shared" si="4"/>
        <v>CY</v>
      </c>
      <c r="M159">
        <f t="shared" si="5"/>
        <v>123224</v>
      </c>
    </row>
    <row r="160" spans="1:13">
      <c r="A160" s="4" t="s">
        <v>52</v>
      </c>
      <c r="B160" s="4">
        <v>15664</v>
      </c>
      <c r="C160" s="4">
        <v>15441</v>
      </c>
      <c r="D160" s="4">
        <v>14982</v>
      </c>
      <c r="E160" s="4">
        <v>14822</v>
      </c>
      <c r="F160" s="4">
        <v>15760</v>
      </c>
      <c r="G160" s="4">
        <v>15648</v>
      </c>
      <c r="H160" s="4">
        <v>15708</v>
      </c>
      <c r="I160" s="4">
        <v>15096</v>
      </c>
      <c r="J160" s="6" t="s">
        <v>15</v>
      </c>
      <c r="K160" s="6" t="s">
        <v>21</v>
      </c>
      <c r="L160" t="str">
        <f t="shared" si="4"/>
        <v>CX</v>
      </c>
      <c r="M160">
        <f t="shared" si="5"/>
        <v>123121</v>
      </c>
    </row>
    <row r="161" spans="1:13">
      <c r="A161" s="4" t="s">
        <v>246</v>
      </c>
      <c r="B161" s="4">
        <v>14912</v>
      </c>
      <c r="C161" s="4">
        <v>15947</v>
      </c>
      <c r="D161" s="4">
        <v>15926</v>
      </c>
      <c r="E161" s="4">
        <v>15440</v>
      </c>
      <c r="F161" s="4">
        <v>14716</v>
      </c>
      <c r="G161" s="4">
        <v>15940</v>
      </c>
      <c r="H161" s="4">
        <v>14769</v>
      </c>
      <c r="I161" s="4">
        <v>15335</v>
      </c>
      <c r="J161" s="6" t="s">
        <v>15</v>
      </c>
      <c r="K161" s="6" t="s">
        <v>21</v>
      </c>
      <c r="L161" t="str">
        <f t="shared" si="4"/>
        <v>CX</v>
      </c>
      <c r="M161">
        <f t="shared" si="5"/>
        <v>122985</v>
      </c>
    </row>
    <row r="162" spans="1:13">
      <c r="A162" s="4" t="s">
        <v>215</v>
      </c>
      <c r="B162" s="4">
        <v>12898</v>
      </c>
      <c r="C162" s="4">
        <v>9759</v>
      </c>
      <c r="D162" s="4">
        <v>6233</v>
      </c>
      <c r="E162" s="4">
        <v>8157</v>
      </c>
      <c r="F162" s="4">
        <v>27439</v>
      </c>
      <c r="G162" s="4">
        <v>22015</v>
      </c>
      <c r="H162" s="4">
        <v>29149</v>
      </c>
      <c r="I162" s="4">
        <v>6245</v>
      </c>
      <c r="J162" s="6" t="s">
        <v>15</v>
      </c>
      <c r="K162" s="6" t="s">
        <v>19</v>
      </c>
      <c r="L162" t="str">
        <f t="shared" si="4"/>
        <v>CZ</v>
      </c>
      <c r="M162">
        <f t="shared" si="5"/>
        <v>121895</v>
      </c>
    </row>
    <row r="163" spans="1:13">
      <c r="A163" s="4" t="s">
        <v>140</v>
      </c>
      <c r="B163" s="4">
        <v>14195</v>
      </c>
      <c r="C163" s="4">
        <v>15460</v>
      </c>
      <c r="D163" s="4">
        <v>14826</v>
      </c>
      <c r="E163" s="4">
        <v>14327</v>
      </c>
      <c r="F163" s="4">
        <v>14788</v>
      </c>
      <c r="G163" s="4">
        <v>15315</v>
      </c>
      <c r="H163" s="4">
        <v>14558</v>
      </c>
      <c r="I163" s="4">
        <v>15196</v>
      </c>
      <c r="J163" s="6" t="s">
        <v>15</v>
      </c>
      <c r="K163" s="6" t="s">
        <v>21</v>
      </c>
      <c r="L163" t="str">
        <f t="shared" si="4"/>
        <v>CX</v>
      </c>
      <c r="M163">
        <f t="shared" si="5"/>
        <v>118665</v>
      </c>
    </row>
    <row r="164" spans="1:13">
      <c r="A164" s="4" t="s">
        <v>86</v>
      </c>
      <c r="B164" s="4">
        <v>14238</v>
      </c>
      <c r="C164" s="4">
        <v>14908</v>
      </c>
      <c r="D164" s="4">
        <v>15287</v>
      </c>
      <c r="E164" s="4">
        <v>14305</v>
      </c>
      <c r="F164" s="4">
        <v>15395</v>
      </c>
      <c r="G164" s="4">
        <v>15478</v>
      </c>
      <c r="H164" s="4">
        <v>14643</v>
      </c>
      <c r="I164" s="4">
        <v>14397</v>
      </c>
      <c r="J164" s="6" t="s">
        <v>15</v>
      </c>
      <c r="K164" s="6" t="s">
        <v>21</v>
      </c>
      <c r="L164" t="str">
        <f t="shared" si="4"/>
        <v>CX</v>
      </c>
      <c r="M164">
        <f t="shared" si="5"/>
        <v>118651</v>
      </c>
    </row>
    <row r="165" spans="1:13">
      <c r="A165" s="4" t="s">
        <v>227</v>
      </c>
      <c r="B165" s="4">
        <v>13407</v>
      </c>
      <c r="C165" s="4">
        <v>24765</v>
      </c>
      <c r="D165" s="4">
        <v>14559</v>
      </c>
      <c r="E165" s="4">
        <v>5200</v>
      </c>
      <c r="F165" s="4">
        <v>33664</v>
      </c>
      <c r="G165" s="4">
        <v>6540</v>
      </c>
      <c r="H165" s="4">
        <v>14710</v>
      </c>
      <c r="I165" s="4">
        <v>5200</v>
      </c>
      <c r="J165" s="6" t="s">
        <v>15</v>
      </c>
      <c r="K165" s="6" t="s">
        <v>19</v>
      </c>
      <c r="L165" t="str">
        <f t="shared" si="4"/>
        <v>CZ</v>
      </c>
      <c r="M165">
        <f t="shared" si="5"/>
        <v>118045</v>
      </c>
    </row>
    <row r="166" spans="1:13">
      <c r="A166" s="4" t="s">
        <v>263</v>
      </c>
      <c r="B166" s="4">
        <v>16679</v>
      </c>
      <c r="C166" s="4">
        <v>15619</v>
      </c>
      <c r="D166" s="4">
        <v>16718</v>
      </c>
      <c r="E166" s="4">
        <v>12244</v>
      </c>
      <c r="F166" s="4">
        <v>12007</v>
      </c>
      <c r="G166" s="4">
        <v>19052</v>
      </c>
      <c r="H166" s="4">
        <v>11507</v>
      </c>
      <c r="I166" s="4">
        <v>14000</v>
      </c>
      <c r="J166" s="6" t="s">
        <v>15</v>
      </c>
      <c r="K166" s="6" t="s">
        <v>20</v>
      </c>
      <c r="L166" t="str">
        <f t="shared" si="4"/>
        <v>CY</v>
      </c>
      <c r="M166">
        <f t="shared" si="5"/>
        <v>117826</v>
      </c>
    </row>
    <row r="167" spans="1:13">
      <c r="A167" s="4" t="s">
        <v>128</v>
      </c>
      <c r="B167" s="4">
        <v>5200</v>
      </c>
      <c r="C167" s="4">
        <v>20726</v>
      </c>
      <c r="D167" s="4">
        <v>11582</v>
      </c>
      <c r="E167" s="4">
        <v>9371</v>
      </c>
      <c r="F167" s="4">
        <v>9448</v>
      </c>
      <c r="G167" s="4">
        <v>26665</v>
      </c>
      <c r="H167" s="4">
        <v>25159</v>
      </c>
      <c r="I167" s="4">
        <v>5200</v>
      </c>
      <c r="J167" s="6" t="s">
        <v>15</v>
      </c>
      <c r="K167" s="6" t="s">
        <v>19</v>
      </c>
      <c r="L167" t="str">
        <f t="shared" si="4"/>
        <v>CZ</v>
      </c>
      <c r="M167">
        <f t="shared" si="5"/>
        <v>113351</v>
      </c>
    </row>
    <row r="168" spans="1:13">
      <c r="A168" s="4" t="s">
        <v>184</v>
      </c>
      <c r="B168" s="4">
        <v>7140</v>
      </c>
      <c r="C168" s="4">
        <v>21598</v>
      </c>
      <c r="D168" s="4">
        <v>25132</v>
      </c>
      <c r="E168" s="4">
        <v>19948</v>
      </c>
      <c r="F168" s="4">
        <v>5200</v>
      </c>
      <c r="G168" s="4">
        <v>23862</v>
      </c>
      <c r="H168" s="4">
        <v>5200</v>
      </c>
      <c r="I168" s="4">
        <v>5200</v>
      </c>
      <c r="J168" s="6" t="s">
        <v>15</v>
      </c>
      <c r="K168" s="6" t="s">
        <v>19</v>
      </c>
      <c r="L168" t="str">
        <f t="shared" si="4"/>
        <v>CZ</v>
      </c>
      <c r="M168">
        <f t="shared" si="5"/>
        <v>113280</v>
      </c>
    </row>
    <row r="169" spans="1:13">
      <c r="A169" s="4" t="s">
        <v>281</v>
      </c>
      <c r="B169" s="4">
        <v>20238</v>
      </c>
      <c r="C169" s="4">
        <v>10095</v>
      </c>
      <c r="D169" s="4">
        <v>5911</v>
      </c>
      <c r="E169" s="4">
        <v>5200</v>
      </c>
      <c r="F169" s="4">
        <v>7641</v>
      </c>
      <c r="G169" s="4">
        <v>27731</v>
      </c>
      <c r="H169" s="4">
        <v>23637</v>
      </c>
      <c r="I169" s="4">
        <v>12460</v>
      </c>
      <c r="J169" s="6" t="s">
        <v>15</v>
      </c>
      <c r="K169" s="6" t="s">
        <v>19</v>
      </c>
      <c r="L169" t="str">
        <f t="shared" si="4"/>
        <v>CZ</v>
      </c>
      <c r="M169">
        <f t="shared" si="5"/>
        <v>112913</v>
      </c>
    </row>
    <row r="170" spans="1:13">
      <c r="A170" s="4" t="s">
        <v>64</v>
      </c>
      <c r="B170" s="4">
        <v>14687</v>
      </c>
      <c r="C170" s="4">
        <v>13627</v>
      </c>
      <c r="D170" s="4">
        <v>14426</v>
      </c>
      <c r="E170" s="4">
        <v>14042</v>
      </c>
      <c r="F170" s="4">
        <v>13658</v>
      </c>
      <c r="G170" s="4">
        <v>14814</v>
      </c>
      <c r="H170" s="4">
        <v>14019</v>
      </c>
      <c r="I170" s="4">
        <v>13621</v>
      </c>
      <c r="J170" s="6" t="s">
        <v>15</v>
      </c>
      <c r="K170" s="6" t="s">
        <v>21</v>
      </c>
      <c r="L170" t="str">
        <f t="shared" si="4"/>
        <v>CX</v>
      </c>
      <c r="M170">
        <f t="shared" si="5"/>
        <v>112894</v>
      </c>
    </row>
    <row r="171" spans="1:13">
      <c r="A171" s="4" t="s">
        <v>102</v>
      </c>
      <c r="B171" s="4">
        <v>15522</v>
      </c>
      <c r="C171" s="4">
        <v>14877</v>
      </c>
      <c r="D171" s="4">
        <v>14726</v>
      </c>
      <c r="E171" s="4">
        <v>12696</v>
      </c>
      <c r="F171" s="4">
        <v>10224</v>
      </c>
      <c r="G171" s="4">
        <v>14498</v>
      </c>
      <c r="H171" s="4">
        <v>18372</v>
      </c>
      <c r="I171" s="4">
        <v>11714</v>
      </c>
      <c r="J171" s="6" t="s">
        <v>15</v>
      </c>
      <c r="K171" s="6" t="s">
        <v>20</v>
      </c>
      <c r="L171" t="str">
        <f t="shared" si="4"/>
        <v>CY</v>
      </c>
      <c r="M171">
        <f t="shared" si="5"/>
        <v>112629</v>
      </c>
    </row>
    <row r="172" spans="1:13">
      <c r="A172" s="4" t="s">
        <v>242</v>
      </c>
      <c r="B172" s="4">
        <v>22620</v>
      </c>
      <c r="C172" s="4">
        <v>6191</v>
      </c>
      <c r="D172" s="4">
        <v>15729</v>
      </c>
      <c r="E172" s="4">
        <v>17610</v>
      </c>
      <c r="F172" s="4">
        <v>23081</v>
      </c>
      <c r="G172" s="4">
        <v>16888</v>
      </c>
      <c r="H172" s="4">
        <v>5200</v>
      </c>
      <c r="I172" s="4">
        <v>5200</v>
      </c>
      <c r="J172" s="6" t="s">
        <v>15</v>
      </c>
      <c r="K172" s="6" t="s">
        <v>19</v>
      </c>
      <c r="L172" t="str">
        <f t="shared" si="4"/>
        <v>CZ</v>
      </c>
      <c r="M172">
        <f t="shared" si="5"/>
        <v>112519</v>
      </c>
    </row>
    <row r="173" spans="1:13">
      <c r="A173" s="4" t="s">
        <v>196</v>
      </c>
      <c r="B173" s="4">
        <v>10184</v>
      </c>
      <c r="C173" s="4">
        <v>13198</v>
      </c>
      <c r="D173" s="4">
        <v>14332</v>
      </c>
      <c r="E173" s="4">
        <v>15077</v>
      </c>
      <c r="F173" s="4">
        <v>12930</v>
      </c>
      <c r="G173" s="4">
        <v>15272</v>
      </c>
      <c r="H173" s="4">
        <v>14797</v>
      </c>
      <c r="I173" s="4">
        <v>15137</v>
      </c>
      <c r="J173" s="6" t="s">
        <v>15</v>
      </c>
      <c r="K173" s="6" t="s">
        <v>20</v>
      </c>
      <c r="L173" t="str">
        <f t="shared" si="4"/>
        <v>CY</v>
      </c>
      <c r="M173">
        <f t="shared" si="5"/>
        <v>110927</v>
      </c>
    </row>
    <row r="174" spans="1:13">
      <c r="A174" s="4" t="s">
        <v>280</v>
      </c>
      <c r="B174" s="4">
        <v>13158</v>
      </c>
      <c r="C174" s="4">
        <v>14258</v>
      </c>
      <c r="D174" s="4">
        <v>13699</v>
      </c>
      <c r="E174" s="4">
        <v>13142</v>
      </c>
      <c r="F174" s="4">
        <v>13924</v>
      </c>
      <c r="G174" s="4">
        <v>13125</v>
      </c>
      <c r="H174" s="4">
        <v>14220</v>
      </c>
      <c r="I174" s="4">
        <v>14206</v>
      </c>
      <c r="J174" s="6" t="s">
        <v>15</v>
      </c>
      <c r="K174" s="6" t="s">
        <v>21</v>
      </c>
      <c r="L174" t="str">
        <f t="shared" si="4"/>
        <v>CX</v>
      </c>
      <c r="M174">
        <f t="shared" si="5"/>
        <v>109732</v>
      </c>
    </row>
    <row r="175" spans="1:13">
      <c r="A175" s="4" t="s">
        <v>135</v>
      </c>
      <c r="B175" s="4">
        <v>13700</v>
      </c>
      <c r="C175" s="4">
        <v>13569</v>
      </c>
      <c r="D175" s="4">
        <v>13942</v>
      </c>
      <c r="E175" s="4">
        <v>13238</v>
      </c>
      <c r="F175" s="4">
        <v>14218</v>
      </c>
      <c r="G175" s="4">
        <v>13571</v>
      </c>
      <c r="H175" s="4">
        <v>13706</v>
      </c>
      <c r="I175" s="4">
        <v>13276</v>
      </c>
      <c r="J175" s="6" t="s">
        <v>15</v>
      </c>
      <c r="K175" s="6" t="s">
        <v>21</v>
      </c>
      <c r="L175" t="str">
        <f t="shared" si="4"/>
        <v>CX</v>
      </c>
      <c r="M175">
        <f t="shared" si="5"/>
        <v>109220</v>
      </c>
    </row>
    <row r="176" spans="1:13">
      <c r="A176" s="4" t="s">
        <v>117</v>
      </c>
      <c r="B176" s="4">
        <v>13737</v>
      </c>
      <c r="C176" s="4">
        <v>10434</v>
      </c>
      <c r="D176" s="4">
        <v>12135</v>
      </c>
      <c r="E176" s="4">
        <v>11576</v>
      </c>
      <c r="F176" s="4">
        <v>18495</v>
      </c>
      <c r="G176" s="4">
        <v>16692</v>
      </c>
      <c r="H176" s="4">
        <v>11290</v>
      </c>
      <c r="I176" s="4">
        <v>14643</v>
      </c>
      <c r="J176" s="6" t="s">
        <v>15</v>
      </c>
      <c r="K176" s="6" t="s">
        <v>20</v>
      </c>
      <c r="L176" t="str">
        <f t="shared" si="4"/>
        <v>CY</v>
      </c>
      <c r="M176">
        <f t="shared" si="5"/>
        <v>109002</v>
      </c>
    </row>
    <row r="177" spans="1:13">
      <c r="A177" s="4" t="s">
        <v>155</v>
      </c>
      <c r="B177" s="4">
        <v>11842</v>
      </c>
      <c r="C177" s="4">
        <v>15788</v>
      </c>
      <c r="D177" s="4">
        <v>13220</v>
      </c>
      <c r="E177" s="4">
        <v>16717</v>
      </c>
      <c r="F177" s="4">
        <v>11211</v>
      </c>
      <c r="G177" s="4">
        <v>11873</v>
      </c>
      <c r="H177" s="4">
        <v>12324</v>
      </c>
      <c r="I177" s="4">
        <v>15963</v>
      </c>
      <c r="J177" s="6" t="s">
        <v>15</v>
      </c>
      <c r="K177" s="6" t="s">
        <v>20</v>
      </c>
      <c r="L177" t="str">
        <f t="shared" si="4"/>
        <v>CY</v>
      </c>
      <c r="M177">
        <f t="shared" si="5"/>
        <v>108938</v>
      </c>
    </row>
    <row r="178" spans="1:13">
      <c r="A178" s="4" t="s">
        <v>152</v>
      </c>
      <c r="B178" s="4">
        <v>13424</v>
      </c>
      <c r="C178" s="4">
        <v>15742</v>
      </c>
      <c r="D178" s="4">
        <v>15435</v>
      </c>
      <c r="E178" s="4">
        <v>14255</v>
      </c>
      <c r="F178" s="4">
        <v>13370</v>
      </c>
      <c r="G178" s="4">
        <v>15088</v>
      </c>
      <c r="H178" s="4">
        <v>9201</v>
      </c>
      <c r="I178" s="4">
        <v>11510</v>
      </c>
      <c r="J178" s="6" t="s">
        <v>15</v>
      </c>
      <c r="K178" s="6" t="s">
        <v>20</v>
      </c>
      <c r="L178" t="str">
        <f t="shared" si="4"/>
        <v>CY</v>
      </c>
      <c r="M178">
        <f t="shared" si="5"/>
        <v>108025</v>
      </c>
    </row>
    <row r="179" spans="1:13">
      <c r="A179" s="4" t="s">
        <v>94</v>
      </c>
      <c r="B179" s="4">
        <v>8917</v>
      </c>
      <c r="C179" s="4">
        <v>5239</v>
      </c>
      <c r="D179" s="4">
        <v>5200</v>
      </c>
      <c r="E179" s="4">
        <v>23785</v>
      </c>
      <c r="F179" s="4">
        <v>25653</v>
      </c>
      <c r="G179" s="4">
        <v>11181</v>
      </c>
      <c r="H179" s="4">
        <v>5200</v>
      </c>
      <c r="I179" s="4">
        <v>22577</v>
      </c>
      <c r="J179" s="6" t="s">
        <v>15</v>
      </c>
      <c r="K179" s="6" t="s">
        <v>19</v>
      </c>
      <c r="L179" t="str">
        <f t="shared" si="4"/>
        <v>CZ</v>
      </c>
      <c r="M179">
        <f t="shared" si="5"/>
        <v>107752</v>
      </c>
    </row>
    <row r="180" spans="1:13">
      <c r="A180" s="4" t="s">
        <v>272</v>
      </c>
      <c r="B180" s="4">
        <v>13234</v>
      </c>
      <c r="C180" s="4">
        <v>13924</v>
      </c>
      <c r="D180" s="4">
        <v>13313</v>
      </c>
      <c r="E180" s="4">
        <v>13846</v>
      </c>
      <c r="F180" s="4">
        <v>13219</v>
      </c>
      <c r="G180" s="4">
        <v>12950</v>
      </c>
      <c r="H180" s="4">
        <v>13840</v>
      </c>
      <c r="I180" s="4">
        <v>12843</v>
      </c>
      <c r="J180" s="6" t="s">
        <v>15</v>
      </c>
      <c r="K180" s="6" t="s">
        <v>21</v>
      </c>
      <c r="L180" t="str">
        <f t="shared" si="4"/>
        <v>CX</v>
      </c>
      <c r="M180">
        <f t="shared" si="5"/>
        <v>107169</v>
      </c>
    </row>
    <row r="181" spans="1:13">
      <c r="A181" s="4" t="s">
        <v>139</v>
      </c>
      <c r="B181" s="4">
        <v>10633</v>
      </c>
      <c r="C181" s="4">
        <v>10779</v>
      </c>
      <c r="D181" s="4">
        <v>15556</v>
      </c>
      <c r="E181" s="4">
        <v>14837</v>
      </c>
      <c r="F181" s="4">
        <v>13841</v>
      </c>
      <c r="G181" s="4">
        <v>15701</v>
      </c>
      <c r="H181" s="4">
        <v>11902</v>
      </c>
      <c r="I181" s="4">
        <v>13919</v>
      </c>
      <c r="J181" s="6" t="s">
        <v>15</v>
      </c>
      <c r="K181" s="6" t="s">
        <v>20</v>
      </c>
      <c r="L181" t="str">
        <f t="shared" si="4"/>
        <v>CY</v>
      </c>
      <c r="M181">
        <f t="shared" si="5"/>
        <v>107168</v>
      </c>
    </row>
    <row r="182" spans="1:13">
      <c r="A182" s="4" t="s">
        <v>55</v>
      </c>
      <c r="B182" s="4">
        <v>17182</v>
      </c>
      <c r="C182" s="4">
        <v>12909</v>
      </c>
      <c r="D182" s="4">
        <v>10467</v>
      </c>
      <c r="E182" s="4">
        <v>15295</v>
      </c>
      <c r="F182" s="4">
        <v>16988</v>
      </c>
      <c r="G182" s="4">
        <v>9834</v>
      </c>
      <c r="H182" s="4">
        <v>11182</v>
      </c>
      <c r="I182" s="4">
        <v>13081</v>
      </c>
      <c r="J182" s="6" t="s">
        <v>15</v>
      </c>
      <c r="K182" s="6" t="s">
        <v>20</v>
      </c>
      <c r="L182" t="str">
        <f t="shared" si="4"/>
        <v>CY</v>
      </c>
      <c r="M182">
        <f t="shared" si="5"/>
        <v>106938</v>
      </c>
    </row>
    <row r="183" spans="1:13">
      <c r="A183" s="4" t="s">
        <v>256</v>
      </c>
      <c r="B183" s="4">
        <v>14014</v>
      </c>
      <c r="C183" s="4">
        <v>13324</v>
      </c>
      <c r="D183" s="4">
        <v>12879</v>
      </c>
      <c r="E183" s="4">
        <v>13464</v>
      </c>
      <c r="F183" s="4">
        <v>13081</v>
      </c>
      <c r="G183" s="4">
        <v>14025</v>
      </c>
      <c r="H183" s="4">
        <v>13015</v>
      </c>
      <c r="I183" s="4">
        <v>12890</v>
      </c>
      <c r="J183" s="6" t="s">
        <v>15</v>
      </c>
      <c r="K183" s="6" t="s">
        <v>21</v>
      </c>
      <c r="L183" t="str">
        <f t="shared" si="4"/>
        <v>CX</v>
      </c>
      <c r="M183">
        <f t="shared" si="5"/>
        <v>106692</v>
      </c>
    </row>
    <row r="184" spans="1:13">
      <c r="A184" s="4" t="s">
        <v>205</v>
      </c>
      <c r="B184" s="4">
        <v>15435</v>
      </c>
      <c r="C184" s="4">
        <v>13953</v>
      </c>
      <c r="D184" s="4">
        <v>15068</v>
      </c>
      <c r="E184" s="4">
        <v>14865</v>
      </c>
      <c r="F184" s="4">
        <v>11927</v>
      </c>
      <c r="G184" s="4">
        <v>12804</v>
      </c>
      <c r="H184" s="4">
        <v>11077</v>
      </c>
      <c r="I184" s="4">
        <v>11562</v>
      </c>
      <c r="J184" s="6" t="s">
        <v>15</v>
      </c>
      <c r="K184" s="6" t="s">
        <v>20</v>
      </c>
      <c r="L184" t="str">
        <f t="shared" si="4"/>
        <v>CY</v>
      </c>
      <c r="M184">
        <f t="shared" si="5"/>
        <v>106691</v>
      </c>
    </row>
    <row r="185" spans="1:13">
      <c r="A185" s="4" t="s">
        <v>186</v>
      </c>
      <c r="B185" s="4">
        <v>13261</v>
      </c>
      <c r="C185" s="4">
        <v>13573</v>
      </c>
      <c r="D185" s="4">
        <v>12761</v>
      </c>
      <c r="E185" s="4">
        <v>12819</v>
      </c>
      <c r="F185" s="4">
        <v>13708</v>
      </c>
      <c r="G185" s="4">
        <v>13264</v>
      </c>
      <c r="H185" s="4">
        <v>13560</v>
      </c>
      <c r="I185" s="4">
        <v>13233</v>
      </c>
      <c r="J185" s="6" t="s">
        <v>15</v>
      </c>
      <c r="K185" s="6" t="s">
        <v>21</v>
      </c>
      <c r="L185" t="str">
        <f t="shared" si="4"/>
        <v>CX</v>
      </c>
      <c r="M185">
        <f t="shared" si="5"/>
        <v>106179</v>
      </c>
    </row>
    <row r="186" spans="1:13">
      <c r="A186" s="4" t="s">
        <v>138</v>
      </c>
      <c r="B186" s="4">
        <v>13392</v>
      </c>
      <c r="C186" s="4">
        <v>13671</v>
      </c>
      <c r="D186" s="4">
        <v>12976</v>
      </c>
      <c r="E186" s="4">
        <v>12645</v>
      </c>
      <c r="F186" s="4">
        <v>13351</v>
      </c>
      <c r="G186" s="4">
        <v>13176</v>
      </c>
      <c r="H186" s="4">
        <v>13503</v>
      </c>
      <c r="I186" s="4">
        <v>12728</v>
      </c>
      <c r="J186" s="6" t="s">
        <v>15</v>
      </c>
      <c r="K186" s="6" t="s">
        <v>21</v>
      </c>
      <c r="L186" t="str">
        <f t="shared" si="4"/>
        <v>CX</v>
      </c>
      <c r="M186">
        <f t="shared" si="5"/>
        <v>105442</v>
      </c>
    </row>
    <row r="187" spans="1:13">
      <c r="A187" s="4" t="s">
        <v>237</v>
      </c>
      <c r="B187" s="4">
        <v>5200</v>
      </c>
      <c r="C187" s="4">
        <v>5200</v>
      </c>
      <c r="D187" s="4">
        <v>23429</v>
      </c>
      <c r="E187" s="4">
        <v>8094</v>
      </c>
      <c r="F187" s="4">
        <v>5200</v>
      </c>
      <c r="G187" s="4">
        <v>27576</v>
      </c>
      <c r="H187" s="4">
        <v>24914</v>
      </c>
      <c r="I187" s="4">
        <v>5200</v>
      </c>
      <c r="J187" s="6" t="s">
        <v>15</v>
      </c>
      <c r="K187" s="6" t="s">
        <v>19</v>
      </c>
      <c r="L187" t="str">
        <f t="shared" si="4"/>
        <v>CZ</v>
      </c>
      <c r="M187">
        <f t="shared" si="5"/>
        <v>104813</v>
      </c>
    </row>
    <row r="188" spans="1:13">
      <c r="A188" s="4" t="s">
        <v>282</v>
      </c>
      <c r="B188" s="4">
        <v>12784</v>
      </c>
      <c r="C188" s="4">
        <v>13341</v>
      </c>
      <c r="D188" s="4">
        <v>12808</v>
      </c>
      <c r="E188" s="4">
        <v>12640</v>
      </c>
      <c r="F188" s="4">
        <v>13406</v>
      </c>
      <c r="G188" s="4">
        <v>13379</v>
      </c>
      <c r="H188" s="4">
        <v>12703</v>
      </c>
      <c r="I188" s="4">
        <v>13142</v>
      </c>
      <c r="J188" s="6" t="s">
        <v>15</v>
      </c>
      <c r="K188" s="6" t="s">
        <v>21</v>
      </c>
      <c r="L188" t="str">
        <f t="shared" si="4"/>
        <v>CX</v>
      </c>
      <c r="M188">
        <f t="shared" si="5"/>
        <v>104203</v>
      </c>
    </row>
    <row r="189" spans="1:13">
      <c r="A189" s="4" t="s">
        <v>81</v>
      </c>
      <c r="B189" s="4">
        <v>14801</v>
      </c>
      <c r="C189" s="4">
        <v>10441</v>
      </c>
      <c r="D189" s="4">
        <v>16001</v>
      </c>
      <c r="E189" s="4">
        <v>9682</v>
      </c>
      <c r="F189" s="4">
        <v>11804</v>
      </c>
      <c r="G189" s="4">
        <v>13060</v>
      </c>
      <c r="H189" s="4">
        <v>15424</v>
      </c>
      <c r="I189" s="4">
        <v>12973</v>
      </c>
      <c r="J189" s="6" t="s">
        <v>15</v>
      </c>
      <c r="K189" s="6" t="s">
        <v>20</v>
      </c>
      <c r="L189" t="str">
        <f t="shared" si="4"/>
        <v>CY</v>
      </c>
      <c r="M189">
        <f t="shared" si="5"/>
        <v>104186</v>
      </c>
    </row>
    <row r="190" spans="1:13">
      <c r="A190" s="4" t="s">
        <v>213</v>
      </c>
      <c r="B190" s="4">
        <v>12229</v>
      </c>
      <c r="C190" s="4">
        <v>13282</v>
      </c>
      <c r="D190" s="4">
        <v>13160</v>
      </c>
      <c r="E190" s="4">
        <v>13078</v>
      </c>
      <c r="F190" s="4">
        <v>13237</v>
      </c>
      <c r="G190" s="4">
        <v>12841</v>
      </c>
      <c r="H190" s="4">
        <v>13328</v>
      </c>
      <c r="I190" s="4">
        <v>12723</v>
      </c>
      <c r="J190" s="6" t="s">
        <v>15</v>
      </c>
      <c r="K190" s="6" t="s">
        <v>21</v>
      </c>
      <c r="L190" t="str">
        <f t="shared" si="4"/>
        <v>CX</v>
      </c>
      <c r="M190">
        <f t="shared" si="5"/>
        <v>103878</v>
      </c>
    </row>
    <row r="191" spans="1:13">
      <c r="A191" s="4" t="s">
        <v>257</v>
      </c>
      <c r="B191" s="4">
        <v>19996</v>
      </c>
      <c r="C191" s="4">
        <v>5200</v>
      </c>
      <c r="D191" s="4">
        <v>5200</v>
      </c>
      <c r="E191" s="4">
        <v>11238</v>
      </c>
      <c r="F191" s="4">
        <v>24303</v>
      </c>
      <c r="G191" s="4">
        <v>8010</v>
      </c>
      <c r="H191" s="4">
        <v>21847</v>
      </c>
      <c r="I191" s="4">
        <v>7645</v>
      </c>
      <c r="J191" s="6" t="s">
        <v>15</v>
      </c>
      <c r="K191" s="6" t="s">
        <v>19</v>
      </c>
      <c r="L191" t="str">
        <f t="shared" si="4"/>
        <v>CZ</v>
      </c>
      <c r="M191">
        <f t="shared" si="5"/>
        <v>103439</v>
      </c>
    </row>
    <row r="192" spans="1:13">
      <c r="A192" s="4" t="s">
        <v>228</v>
      </c>
      <c r="B192" s="4">
        <v>13370</v>
      </c>
      <c r="C192" s="4">
        <v>12716</v>
      </c>
      <c r="D192" s="4">
        <v>12950</v>
      </c>
      <c r="E192" s="4">
        <v>13244</v>
      </c>
      <c r="F192" s="4">
        <v>12759</v>
      </c>
      <c r="G192" s="4">
        <v>12609</v>
      </c>
      <c r="H192" s="4">
        <v>12720</v>
      </c>
      <c r="I192" s="4">
        <v>12816</v>
      </c>
      <c r="J192" s="6" t="s">
        <v>15</v>
      </c>
      <c r="K192" s="6" t="s">
        <v>21</v>
      </c>
      <c r="L192" t="str">
        <f t="shared" si="4"/>
        <v>CX</v>
      </c>
      <c r="M192">
        <f t="shared" si="5"/>
        <v>103184</v>
      </c>
    </row>
    <row r="193" spans="1:13">
      <c r="A193" s="4" t="s">
        <v>78</v>
      </c>
      <c r="B193" s="4">
        <v>9697</v>
      </c>
      <c r="C193" s="4">
        <v>13382</v>
      </c>
      <c r="D193" s="4">
        <v>12999</v>
      </c>
      <c r="E193" s="4">
        <v>9698</v>
      </c>
      <c r="F193" s="4">
        <v>12106</v>
      </c>
      <c r="G193" s="4">
        <v>14759</v>
      </c>
      <c r="H193" s="4">
        <v>16576</v>
      </c>
      <c r="I193" s="4">
        <v>13920</v>
      </c>
      <c r="J193" s="6" t="s">
        <v>15</v>
      </c>
      <c r="K193" s="6" t="s">
        <v>20</v>
      </c>
      <c r="L193" t="str">
        <f t="shared" si="4"/>
        <v>CY</v>
      </c>
      <c r="M193">
        <f t="shared" si="5"/>
        <v>103137</v>
      </c>
    </row>
    <row r="194" spans="1:13">
      <c r="A194" s="4" t="s">
        <v>59</v>
      </c>
      <c r="B194" s="4">
        <v>12745</v>
      </c>
      <c r="C194" s="4">
        <v>13104</v>
      </c>
      <c r="D194" s="4">
        <v>12450</v>
      </c>
      <c r="E194" s="4">
        <v>13130</v>
      </c>
      <c r="F194" s="4">
        <v>13107</v>
      </c>
      <c r="G194" s="4">
        <v>13044</v>
      </c>
      <c r="H194" s="4">
        <v>12567</v>
      </c>
      <c r="I194" s="4">
        <v>12793</v>
      </c>
      <c r="J194" s="6" t="s">
        <v>15</v>
      </c>
      <c r="K194" s="6" t="s">
        <v>21</v>
      </c>
      <c r="L194" t="str">
        <f t="shared" si="4"/>
        <v>CX</v>
      </c>
      <c r="M194">
        <f t="shared" si="5"/>
        <v>102940</v>
      </c>
    </row>
    <row r="195" spans="1:13">
      <c r="A195" s="4" t="s">
        <v>278</v>
      </c>
      <c r="B195" s="4">
        <v>14357</v>
      </c>
      <c r="C195" s="4">
        <v>12075</v>
      </c>
      <c r="D195" s="4">
        <v>15426</v>
      </c>
      <c r="E195" s="4">
        <v>13275</v>
      </c>
      <c r="F195" s="4">
        <v>12612</v>
      </c>
      <c r="G195" s="4">
        <v>9426</v>
      </c>
      <c r="H195" s="4">
        <v>10126</v>
      </c>
      <c r="I195" s="4">
        <v>15211</v>
      </c>
      <c r="J195" s="6" t="s">
        <v>15</v>
      </c>
      <c r="K195" s="6" t="s">
        <v>20</v>
      </c>
      <c r="L195" t="str">
        <f t="shared" ref="L195:L239" si="6">J195&amp;K195</f>
        <v>CY</v>
      </c>
      <c r="M195">
        <f t="shared" ref="M195:M239" si="7">SUM(B195:I195)</f>
        <v>102508</v>
      </c>
    </row>
    <row r="196" spans="1:13">
      <c r="A196" s="4" t="s">
        <v>161</v>
      </c>
      <c r="B196" s="4">
        <v>10607</v>
      </c>
      <c r="C196" s="4">
        <v>10986</v>
      </c>
      <c r="D196" s="4">
        <v>15912</v>
      </c>
      <c r="E196" s="4">
        <v>14482</v>
      </c>
      <c r="F196" s="4">
        <v>15363</v>
      </c>
      <c r="G196" s="4">
        <v>9540</v>
      </c>
      <c r="H196" s="4">
        <v>15560</v>
      </c>
      <c r="I196" s="4">
        <v>9272</v>
      </c>
      <c r="J196" s="6" t="s">
        <v>15</v>
      </c>
      <c r="K196" s="6" t="s">
        <v>20</v>
      </c>
      <c r="L196" t="str">
        <f t="shared" si="6"/>
        <v>CY</v>
      </c>
      <c r="M196">
        <f t="shared" si="7"/>
        <v>101722</v>
      </c>
    </row>
    <row r="197" spans="1:13">
      <c r="A197" s="4" t="s">
        <v>149</v>
      </c>
      <c r="B197" s="4">
        <v>12316</v>
      </c>
      <c r="C197" s="4">
        <v>12072</v>
      </c>
      <c r="D197" s="4">
        <v>13197</v>
      </c>
      <c r="E197" s="4">
        <v>12365</v>
      </c>
      <c r="F197" s="4">
        <v>12604</v>
      </c>
      <c r="G197" s="4">
        <v>12626</v>
      </c>
      <c r="H197" s="4">
        <v>12695</v>
      </c>
      <c r="I197" s="4">
        <v>12318</v>
      </c>
      <c r="J197" s="6" t="s">
        <v>15</v>
      </c>
      <c r="K197" s="6" t="s">
        <v>21</v>
      </c>
      <c r="L197" t="str">
        <f t="shared" si="6"/>
        <v>CX</v>
      </c>
      <c r="M197">
        <f t="shared" si="7"/>
        <v>100193</v>
      </c>
    </row>
    <row r="198" spans="1:13">
      <c r="A198" s="4" t="s">
        <v>224</v>
      </c>
      <c r="B198" s="4">
        <v>12139</v>
      </c>
      <c r="C198" s="4">
        <v>12253</v>
      </c>
      <c r="D198" s="4">
        <v>12414</v>
      </c>
      <c r="E198" s="4">
        <v>12205</v>
      </c>
      <c r="F198" s="4">
        <v>13032</v>
      </c>
      <c r="G198" s="4">
        <v>12805</v>
      </c>
      <c r="H198" s="4">
        <v>12553</v>
      </c>
      <c r="I198" s="4">
        <v>12669</v>
      </c>
      <c r="J198" s="6" t="s">
        <v>15</v>
      </c>
      <c r="K198" s="6" t="s">
        <v>21</v>
      </c>
      <c r="L198" t="str">
        <f t="shared" si="6"/>
        <v>CX</v>
      </c>
      <c r="M198">
        <f t="shared" si="7"/>
        <v>100070</v>
      </c>
    </row>
    <row r="199" spans="1:13">
      <c r="A199" s="4" t="s">
        <v>255</v>
      </c>
      <c r="B199" s="4">
        <v>8621</v>
      </c>
      <c r="C199" s="4">
        <v>22924</v>
      </c>
      <c r="D199" s="4">
        <v>17639</v>
      </c>
      <c r="E199" s="4">
        <v>5200</v>
      </c>
      <c r="F199" s="4">
        <v>5200</v>
      </c>
      <c r="G199" s="4">
        <v>25547</v>
      </c>
      <c r="H199" s="4">
        <v>5200</v>
      </c>
      <c r="I199" s="4">
        <v>9648</v>
      </c>
      <c r="J199" s="6" t="s">
        <v>15</v>
      </c>
      <c r="K199" s="6" t="s">
        <v>19</v>
      </c>
      <c r="L199" t="str">
        <f t="shared" si="6"/>
        <v>CZ</v>
      </c>
      <c r="M199">
        <f t="shared" si="7"/>
        <v>99979</v>
      </c>
    </row>
    <row r="200" spans="1:13">
      <c r="A200" s="4" t="s">
        <v>191</v>
      </c>
      <c r="B200" s="4">
        <v>11913</v>
      </c>
      <c r="C200" s="4">
        <v>12823</v>
      </c>
      <c r="D200" s="4">
        <v>12046</v>
      </c>
      <c r="E200" s="4">
        <v>12438</v>
      </c>
      <c r="F200" s="4">
        <v>12396</v>
      </c>
      <c r="G200" s="4">
        <v>12164</v>
      </c>
      <c r="H200" s="4">
        <v>12702</v>
      </c>
      <c r="I200" s="4">
        <v>12949</v>
      </c>
      <c r="J200" s="6" t="s">
        <v>15</v>
      </c>
      <c r="K200" s="6" t="s">
        <v>21</v>
      </c>
      <c r="L200" t="str">
        <f t="shared" si="6"/>
        <v>CX</v>
      </c>
      <c r="M200">
        <f t="shared" si="7"/>
        <v>99431</v>
      </c>
    </row>
    <row r="201" spans="1:13">
      <c r="A201" s="4" t="s">
        <v>104</v>
      </c>
      <c r="B201" s="4">
        <v>12631</v>
      </c>
      <c r="C201" s="4">
        <v>12838</v>
      </c>
      <c r="D201" s="4">
        <v>12136</v>
      </c>
      <c r="E201" s="4">
        <v>12453</v>
      </c>
      <c r="F201" s="4">
        <v>12037</v>
      </c>
      <c r="G201" s="4">
        <v>12218</v>
      </c>
      <c r="H201" s="4">
        <v>12425</v>
      </c>
      <c r="I201" s="4">
        <v>12468</v>
      </c>
      <c r="J201" s="6" t="s">
        <v>15</v>
      </c>
      <c r="K201" s="6" t="s">
        <v>21</v>
      </c>
      <c r="L201" t="str">
        <f t="shared" si="6"/>
        <v>CX</v>
      </c>
      <c r="M201">
        <f t="shared" si="7"/>
        <v>99206</v>
      </c>
    </row>
    <row r="202" spans="1:13">
      <c r="A202" s="4" t="s">
        <v>48</v>
      </c>
      <c r="B202" s="4">
        <v>11887</v>
      </c>
      <c r="C202" s="4">
        <v>12867</v>
      </c>
      <c r="D202" s="4">
        <v>12889</v>
      </c>
      <c r="E202" s="4">
        <v>12041</v>
      </c>
      <c r="F202" s="4">
        <v>11879</v>
      </c>
      <c r="G202" s="4">
        <v>12671</v>
      </c>
      <c r="H202" s="4">
        <v>12140</v>
      </c>
      <c r="I202" s="4">
        <v>12806</v>
      </c>
      <c r="J202" s="6" t="s">
        <v>15</v>
      </c>
      <c r="K202" s="6" t="s">
        <v>21</v>
      </c>
      <c r="L202" t="str">
        <f t="shared" si="6"/>
        <v>CX</v>
      </c>
      <c r="M202">
        <f t="shared" si="7"/>
        <v>99180</v>
      </c>
    </row>
    <row r="203" spans="1:13">
      <c r="A203" s="4" t="s">
        <v>168</v>
      </c>
      <c r="B203" s="4">
        <v>12119</v>
      </c>
      <c r="C203" s="4">
        <v>12045</v>
      </c>
      <c r="D203" s="4">
        <v>12006</v>
      </c>
      <c r="E203" s="4">
        <v>12195</v>
      </c>
      <c r="F203" s="4">
        <v>12889</v>
      </c>
      <c r="G203" s="4">
        <v>12046</v>
      </c>
      <c r="H203" s="4">
        <v>12617</v>
      </c>
      <c r="I203" s="4">
        <v>12533</v>
      </c>
      <c r="J203" s="6" t="s">
        <v>15</v>
      </c>
      <c r="K203" s="6" t="s">
        <v>21</v>
      </c>
      <c r="L203" t="str">
        <f t="shared" si="6"/>
        <v>CX</v>
      </c>
      <c r="M203">
        <f t="shared" si="7"/>
        <v>98450</v>
      </c>
    </row>
    <row r="204" spans="1:13">
      <c r="A204" s="4" t="s">
        <v>247</v>
      </c>
      <c r="B204" s="4">
        <v>11930</v>
      </c>
      <c r="C204" s="4">
        <v>12897</v>
      </c>
      <c r="D204" s="4">
        <v>11858</v>
      </c>
      <c r="E204" s="4">
        <v>12154</v>
      </c>
      <c r="F204" s="4">
        <v>12630</v>
      </c>
      <c r="G204" s="4">
        <v>12520</v>
      </c>
      <c r="H204" s="4">
        <v>12027</v>
      </c>
      <c r="I204" s="4">
        <v>12268</v>
      </c>
      <c r="J204" s="6" t="s">
        <v>15</v>
      </c>
      <c r="K204" s="6" t="s">
        <v>21</v>
      </c>
      <c r="L204" t="str">
        <f t="shared" si="6"/>
        <v>CX</v>
      </c>
      <c r="M204">
        <f t="shared" si="7"/>
        <v>98284</v>
      </c>
    </row>
    <row r="205" spans="1:13">
      <c r="A205" s="4" t="s">
        <v>248</v>
      </c>
      <c r="B205" s="4">
        <v>9766</v>
      </c>
      <c r="C205" s="4">
        <v>14815</v>
      </c>
      <c r="D205" s="4">
        <v>12972</v>
      </c>
      <c r="E205" s="4">
        <v>12894</v>
      </c>
      <c r="F205" s="4">
        <v>11634</v>
      </c>
      <c r="G205" s="4">
        <v>9535</v>
      </c>
      <c r="H205" s="4">
        <v>10768</v>
      </c>
      <c r="I205" s="4">
        <v>15487</v>
      </c>
      <c r="J205" s="6" t="s">
        <v>15</v>
      </c>
      <c r="K205" s="6" t="s">
        <v>20</v>
      </c>
      <c r="L205" t="str">
        <f t="shared" si="6"/>
        <v>CY</v>
      </c>
      <c r="M205">
        <f t="shared" si="7"/>
        <v>97871</v>
      </c>
    </row>
    <row r="206" spans="1:13">
      <c r="A206" s="4" t="s">
        <v>57</v>
      </c>
      <c r="B206" s="4">
        <v>11857</v>
      </c>
      <c r="C206" s="4">
        <v>14624</v>
      </c>
      <c r="D206" s="4">
        <v>11379</v>
      </c>
      <c r="E206" s="4">
        <v>9486</v>
      </c>
      <c r="F206" s="4">
        <v>14812</v>
      </c>
      <c r="G206" s="4">
        <v>14050</v>
      </c>
      <c r="H206" s="4">
        <v>11643</v>
      </c>
      <c r="I206" s="4">
        <v>9998</v>
      </c>
      <c r="J206" s="6" t="s">
        <v>15</v>
      </c>
      <c r="K206" s="6" t="s">
        <v>20</v>
      </c>
      <c r="L206" t="str">
        <f t="shared" si="6"/>
        <v>CY</v>
      </c>
      <c r="M206">
        <f t="shared" si="7"/>
        <v>97849</v>
      </c>
    </row>
    <row r="207" spans="1:13">
      <c r="A207" s="4" t="s">
        <v>216</v>
      </c>
      <c r="B207" s="4">
        <v>12199</v>
      </c>
      <c r="C207" s="4">
        <v>12282</v>
      </c>
      <c r="D207" s="4">
        <v>12237</v>
      </c>
      <c r="E207" s="4">
        <v>12139</v>
      </c>
      <c r="F207" s="4">
        <v>11766</v>
      </c>
      <c r="G207" s="4">
        <v>12727</v>
      </c>
      <c r="H207" s="4">
        <v>11776</v>
      </c>
      <c r="I207" s="4">
        <v>12502</v>
      </c>
      <c r="J207" s="6" t="s">
        <v>15</v>
      </c>
      <c r="K207" s="6" t="s">
        <v>21</v>
      </c>
      <c r="L207" t="str">
        <f t="shared" si="6"/>
        <v>CX</v>
      </c>
      <c r="M207">
        <f t="shared" si="7"/>
        <v>97628</v>
      </c>
    </row>
    <row r="208" spans="1:13">
      <c r="A208" s="4" t="s">
        <v>225</v>
      </c>
      <c r="B208" s="4">
        <v>23917</v>
      </c>
      <c r="C208" s="4">
        <v>5200</v>
      </c>
      <c r="D208" s="4">
        <v>9385</v>
      </c>
      <c r="E208" s="4">
        <v>28304</v>
      </c>
      <c r="F208" s="4">
        <v>11460</v>
      </c>
      <c r="G208" s="4">
        <v>5200</v>
      </c>
      <c r="H208" s="4">
        <v>5200</v>
      </c>
      <c r="I208" s="4">
        <v>8147</v>
      </c>
      <c r="J208" s="6" t="s">
        <v>15</v>
      </c>
      <c r="K208" s="6" t="s">
        <v>19</v>
      </c>
      <c r="L208" t="str">
        <f t="shared" si="6"/>
        <v>CZ</v>
      </c>
      <c r="M208">
        <f t="shared" si="7"/>
        <v>96813</v>
      </c>
    </row>
    <row r="209" spans="1:13">
      <c r="A209" s="4" t="s">
        <v>95</v>
      </c>
      <c r="B209" s="4">
        <v>19694</v>
      </c>
      <c r="C209" s="4">
        <v>5200</v>
      </c>
      <c r="D209" s="4">
        <v>5200</v>
      </c>
      <c r="E209" s="4">
        <v>5200</v>
      </c>
      <c r="F209" s="4">
        <v>22220</v>
      </c>
      <c r="G209" s="4">
        <v>22910</v>
      </c>
      <c r="H209" s="4">
        <v>5200</v>
      </c>
      <c r="I209" s="4">
        <v>10815</v>
      </c>
      <c r="J209" s="6" t="s">
        <v>15</v>
      </c>
      <c r="K209" s="6" t="s">
        <v>19</v>
      </c>
      <c r="L209" t="str">
        <f t="shared" si="6"/>
        <v>CZ</v>
      </c>
      <c r="M209">
        <f t="shared" si="7"/>
        <v>96439</v>
      </c>
    </row>
    <row r="210" spans="1:13">
      <c r="A210" s="4" t="s">
        <v>206</v>
      </c>
      <c r="B210" s="4">
        <v>11591</v>
      </c>
      <c r="C210" s="4">
        <v>8603</v>
      </c>
      <c r="D210" s="4">
        <v>13333</v>
      </c>
      <c r="E210" s="4">
        <v>13971</v>
      </c>
      <c r="F210" s="4">
        <v>15745</v>
      </c>
      <c r="G210" s="4">
        <v>11168</v>
      </c>
      <c r="H210" s="4">
        <v>10303</v>
      </c>
      <c r="I210" s="4">
        <v>9953</v>
      </c>
      <c r="J210" s="6" t="s">
        <v>15</v>
      </c>
      <c r="K210" s="6" t="s">
        <v>20</v>
      </c>
      <c r="L210" t="str">
        <f t="shared" si="6"/>
        <v>CY</v>
      </c>
      <c r="M210">
        <f t="shared" si="7"/>
        <v>94667</v>
      </c>
    </row>
    <row r="211" spans="1:13">
      <c r="A211" s="4" t="s">
        <v>110</v>
      </c>
      <c r="B211" s="4">
        <v>12199</v>
      </c>
      <c r="C211" s="4">
        <v>11841</v>
      </c>
      <c r="D211" s="4">
        <v>11661</v>
      </c>
      <c r="E211" s="4">
        <v>11331</v>
      </c>
      <c r="F211" s="4">
        <v>11501</v>
      </c>
      <c r="G211" s="4">
        <v>11863</v>
      </c>
      <c r="H211" s="4">
        <v>11920</v>
      </c>
      <c r="I211" s="4">
        <v>12155</v>
      </c>
      <c r="J211" s="6" t="s">
        <v>15</v>
      </c>
      <c r="K211" s="6" t="s">
        <v>21</v>
      </c>
      <c r="L211" t="str">
        <f t="shared" si="6"/>
        <v>CX</v>
      </c>
      <c r="M211">
        <f t="shared" si="7"/>
        <v>94471</v>
      </c>
    </row>
    <row r="212" spans="1:13">
      <c r="A212" s="4" t="s">
        <v>63</v>
      </c>
      <c r="B212" s="4">
        <v>11664</v>
      </c>
      <c r="C212" s="4">
        <v>12235</v>
      </c>
      <c r="D212" s="4">
        <v>11787</v>
      </c>
      <c r="E212" s="4">
        <v>11309</v>
      </c>
      <c r="F212" s="4">
        <v>11692</v>
      </c>
      <c r="G212" s="4">
        <v>12067</v>
      </c>
      <c r="H212" s="4">
        <v>11538</v>
      </c>
      <c r="I212" s="4">
        <v>11936</v>
      </c>
      <c r="J212" s="6" t="s">
        <v>15</v>
      </c>
      <c r="K212" s="6" t="s">
        <v>21</v>
      </c>
      <c r="L212" t="str">
        <f t="shared" si="6"/>
        <v>CX</v>
      </c>
      <c r="M212">
        <f t="shared" si="7"/>
        <v>94228</v>
      </c>
    </row>
    <row r="213" spans="1:13">
      <c r="A213" s="4" t="s">
        <v>230</v>
      </c>
      <c r="B213" s="4">
        <v>11883</v>
      </c>
      <c r="C213" s="4">
        <v>12097</v>
      </c>
      <c r="D213" s="4">
        <v>11284</v>
      </c>
      <c r="E213" s="4">
        <v>11451</v>
      </c>
      <c r="F213" s="4">
        <v>11671</v>
      </c>
      <c r="G213" s="4">
        <v>11596</v>
      </c>
      <c r="H213" s="4">
        <v>12242</v>
      </c>
      <c r="I213" s="4">
        <v>11654</v>
      </c>
      <c r="J213" s="6" t="s">
        <v>15</v>
      </c>
      <c r="K213" s="6" t="s">
        <v>21</v>
      </c>
      <c r="L213" t="str">
        <f t="shared" si="6"/>
        <v>CX</v>
      </c>
      <c r="M213">
        <f t="shared" si="7"/>
        <v>93878</v>
      </c>
    </row>
    <row r="214" spans="1:13">
      <c r="A214" s="4" t="s">
        <v>87</v>
      </c>
      <c r="B214" s="4">
        <v>11165</v>
      </c>
      <c r="C214" s="4">
        <v>11322</v>
      </c>
      <c r="D214" s="4">
        <v>10163</v>
      </c>
      <c r="E214" s="4">
        <v>12839</v>
      </c>
      <c r="F214" s="4">
        <v>10315</v>
      </c>
      <c r="G214" s="4">
        <v>12160</v>
      </c>
      <c r="H214" s="4">
        <v>15636</v>
      </c>
      <c r="I214" s="4">
        <v>10226</v>
      </c>
      <c r="J214" s="6" t="s">
        <v>15</v>
      </c>
      <c r="K214" s="6" t="s">
        <v>20</v>
      </c>
      <c r="L214" t="str">
        <f t="shared" si="6"/>
        <v>CY</v>
      </c>
      <c r="M214">
        <f t="shared" si="7"/>
        <v>93826</v>
      </c>
    </row>
    <row r="215" spans="1:13">
      <c r="A215" s="4" t="s">
        <v>125</v>
      </c>
      <c r="B215" s="4">
        <v>10652</v>
      </c>
      <c r="C215" s="4">
        <v>14732</v>
      </c>
      <c r="D215" s="4">
        <v>13131</v>
      </c>
      <c r="E215" s="4">
        <v>11091</v>
      </c>
      <c r="F215" s="4">
        <v>10062</v>
      </c>
      <c r="G215" s="4">
        <v>10814</v>
      </c>
      <c r="H215" s="4">
        <v>12257</v>
      </c>
      <c r="I215" s="4">
        <v>10986</v>
      </c>
      <c r="J215" s="6" t="s">
        <v>15</v>
      </c>
      <c r="K215" s="6" t="s">
        <v>20</v>
      </c>
      <c r="L215" t="str">
        <f t="shared" si="6"/>
        <v>CY</v>
      </c>
      <c r="M215">
        <f t="shared" si="7"/>
        <v>93725</v>
      </c>
    </row>
    <row r="216" spans="1:13">
      <c r="A216" s="4" t="s">
        <v>118</v>
      </c>
      <c r="B216" s="4">
        <v>11899</v>
      </c>
      <c r="C216" s="4">
        <v>11858</v>
      </c>
      <c r="D216" s="4">
        <v>12194</v>
      </c>
      <c r="E216" s="4">
        <v>11698</v>
      </c>
      <c r="F216" s="4">
        <v>11562</v>
      </c>
      <c r="G216" s="4">
        <v>11180</v>
      </c>
      <c r="H216" s="4">
        <v>11978</v>
      </c>
      <c r="I216" s="4">
        <v>11312</v>
      </c>
      <c r="J216" s="6" t="s">
        <v>15</v>
      </c>
      <c r="K216" s="6" t="s">
        <v>21</v>
      </c>
      <c r="L216" t="str">
        <f t="shared" si="6"/>
        <v>CX</v>
      </c>
      <c r="M216">
        <f t="shared" si="7"/>
        <v>93681</v>
      </c>
    </row>
    <row r="217" spans="1:13">
      <c r="A217" s="4" t="s">
        <v>265</v>
      </c>
      <c r="B217" s="4">
        <v>11760</v>
      </c>
      <c r="C217" s="4">
        <v>11188</v>
      </c>
      <c r="D217" s="4">
        <v>11796</v>
      </c>
      <c r="E217" s="4">
        <v>11163</v>
      </c>
      <c r="F217" s="4">
        <v>11934</v>
      </c>
      <c r="G217" s="4">
        <v>11657</v>
      </c>
      <c r="H217" s="4">
        <v>11808</v>
      </c>
      <c r="I217" s="4">
        <v>11738</v>
      </c>
      <c r="J217" s="6" t="s">
        <v>15</v>
      </c>
      <c r="K217" s="6" t="s">
        <v>21</v>
      </c>
      <c r="L217" t="str">
        <f t="shared" si="6"/>
        <v>CX</v>
      </c>
      <c r="M217">
        <f t="shared" si="7"/>
        <v>93044</v>
      </c>
    </row>
    <row r="218" spans="1:13">
      <c r="A218" s="4" t="s">
        <v>162</v>
      </c>
      <c r="B218" s="4">
        <v>11234</v>
      </c>
      <c r="C218" s="4">
        <v>12075</v>
      </c>
      <c r="D218" s="4">
        <v>11703</v>
      </c>
      <c r="E218" s="4">
        <v>11846</v>
      </c>
      <c r="F218" s="4">
        <v>11518</v>
      </c>
      <c r="G218" s="4">
        <v>11450</v>
      </c>
      <c r="H218" s="4">
        <v>11482</v>
      </c>
      <c r="I218" s="4">
        <v>11545</v>
      </c>
      <c r="J218" s="6" t="s">
        <v>15</v>
      </c>
      <c r="K218" s="6" t="s">
        <v>21</v>
      </c>
      <c r="L218" t="str">
        <f t="shared" si="6"/>
        <v>CX</v>
      </c>
      <c r="M218">
        <f t="shared" si="7"/>
        <v>92853</v>
      </c>
    </row>
    <row r="219" spans="1:13">
      <c r="A219" s="4" t="s">
        <v>173</v>
      </c>
      <c r="B219" s="4">
        <v>5200</v>
      </c>
      <c r="C219" s="4">
        <v>5200</v>
      </c>
      <c r="D219" s="4">
        <v>6582</v>
      </c>
      <c r="E219" s="4">
        <v>21578</v>
      </c>
      <c r="F219" s="4">
        <v>20319</v>
      </c>
      <c r="G219" s="4">
        <v>5200</v>
      </c>
      <c r="H219" s="4">
        <v>22978</v>
      </c>
      <c r="I219" s="4">
        <v>5200</v>
      </c>
      <c r="J219" s="6" t="s">
        <v>15</v>
      </c>
      <c r="K219" s="6" t="s">
        <v>19</v>
      </c>
      <c r="L219" t="str">
        <f t="shared" si="6"/>
        <v>CZ</v>
      </c>
      <c r="M219">
        <f t="shared" si="7"/>
        <v>92257</v>
      </c>
    </row>
    <row r="220" spans="1:13">
      <c r="A220" s="4" t="s">
        <v>122</v>
      </c>
      <c r="B220" s="4">
        <v>6843</v>
      </c>
      <c r="C220" s="4">
        <v>11759</v>
      </c>
      <c r="D220" s="4">
        <v>36169</v>
      </c>
      <c r="E220" s="4">
        <v>7178</v>
      </c>
      <c r="F220" s="4">
        <v>5821</v>
      </c>
      <c r="G220" s="4">
        <v>7310</v>
      </c>
      <c r="H220" s="4">
        <v>11160</v>
      </c>
      <c r="I220" s="4">
        <v>5200</v>
      </c>
      <c r="J220" s="6" t="s">
        <v>15</v>
      </c>
      <c r="K220" s="6" t="s">
        <v>19</v>
      </c>
      <c r="L220" t="str">
        <f t="shared" si="6"/>
        <v>CZ</v>
      </c>
      <c r="M220">
        <f t="shared" si="7"/>
        <v>91440</v>
      </c>
    </row>
    <row r="221" spans="1:13">
      <c r="A221" s="4" t="s">
        <v>154</v>
      </c>
      <c r="B221" s="4">
        <v>10903</v>
      </c>
      <c r="C221" s="4">
        <v>11226</v>
      </c>
      <c r="D221" s="4">
        <v>11092</v>
      </c>
      <c r="E221" s="4">
        <v>10932</v>
      </c>
      <c r="F221" s="4">
        <v>11866</v>
      </c>
      <c r="G221" s="4">
        <v>11627</v>
      </c>
      <c r="H221" s="4">
        <v>11873</v>
      </c>
      <c r="I221" s="4">
        <v>11595</v>
      </c>
      <c r="J221" s="6" t="s">
        <v>15</v>
      </c>
      <c r="K221" s="6" t="s">
        <v>21</v>
      </c>
      <c r="L221" t="str">
        <f t="shared" si="6"/>
        <v>CX</v>
      </c>
      <c r="M221">
        <f t="shared" si="7"/>
        <v>91114</v>
      </c>
    </row>
    <row r="222" spans="1:13">
      <c r="A222" s="4" t="s">
        <v>62</v>
      </c>
      <c r="B222" s="4">
        <v>11340</v>
      </c>
      <c r="C222" s="4">
        <v>9281</v>
      </c>
      <c r="D222" s="4">
        <v>8734</v>
      </c>
      <c r="E222" s="4">
        <v>12208</v>
      </c>
      <c r="F222" s="4">
        <v>13841</v>
      </c>
      <c r="G222" s="4">
        <v>13253</v>
      </c>
      <c r="H222" s="4">
        <v>9808</v>
      </c>
      <c r="I222" s="4">
        <v>12446</v>
      </c>
      <c r="J222" s="6" t="s">
        <v>15</v>
      </c>
      <c r="K222" s="6" t="s">
        <v>20</v>
      </c>
      <c r="L222" t="str">
        <f t="shared" si="6"/>
        <v>CY</v>
      </c>
      <c r="M222">
        <f t="shared" si="7"/>
        <v>90911</v>
      </c>
    </row>
    <row r="223" spans="1:13">
      <c r="A223" s="4" t="s">
        <v>68</v>
      </c>
      <c r="B223" s="4">
        <v>8474</v>
      </c>
      <c r="C223" s="4">
        <v>9880</v>
      </c>
      <c r="D223" s="4">
        <v>5200</v>
      </c>
      <c r="E223" s="4">
        <v>5200</v>
      </c>
      <c r="F223" s="4">
        <v>24100</v>
      </c>
      <c r="G223" s="4">
        <v>5200</v>
      </c>
      <c r="H223" s="4">
        <v>9170</v>
      </c>
      <c r="I223" s="4">
        <v>23365</v>
      </c>
      <c r="J223" s="6" t="s">
        <v>15</v>
      </c>
      <c r="K223" s="6" t="s">
        <v>19</v>
      </c>
      <c r="L223" t="str">
        <f t="shared" si="6"/>
        <v>CZ</v>
      </c>
      <c r="M223">
        <f t="shared" si="7"/>
        <v>90589</v>
      </c>
    </row>
    <row r="224" spans="1:13">
      <c r="A224" s="4" t="s">
        <v>119</v>
      </c>
      <c r="B224" s="4">
        <v>5200</v>
      </c>
      <c r="C224" s="4">
        <v>9339</v>
      </c>
      <c r="D224" s="4">
        <v>5200</v>
      </c>
      <c r="E224" s="4">
        <v>5200</v>
      </c>
      <c r="F224" s="4">
        <v>11110</v>
      </c>
      <c r="G224" s="4">
        <v>23606</v>
      </c>
      <c r="H224" s="4">
        <v>8524</v>
      </c>
      <c r="I224" s="4">
        <v>21589</v>
      </c>
      <c r="J224" s="6" t="s">
        <v>15</v>
      </c>
      <c r="K224" s="6" t="s">
        <v>19</v>
      </c>
      <c r="L224" t="str">
        <f t="shared" si="6"/>
        <v>CZ</v>
      </c>
      <c r="M224">
        <f t="shared" si="7"/>
        <v>89768</v>
      </c>
    </row>
    <row r="225" spans="1:13">
      <c r="A225" s="4" t="s">
        <v>253</v>
      </c>
      <c r="B225" s="4">
        <v>5200</v>
      </c>
      <c r="C225" s="4">
        <v>21602</v>
      </c>
      <c r="D225" s="4">
        <v>7664</v>
      </c>
      <c r="E225" s="4">
        <v>5200</v>
      </c>
      <c r="F225" s="4">
        <v>17021</v>
      </c>
      <c r="G225" s="4">
        <v>5200</v>
      </c>
      <c r="H225" s="4">
        <v>22400</v>
      </c>
      <c r="I225" s="4">
        <v>5200</v>
      </c>
      <c r="J225" s="6" t="s">
        <v>15</v>
      </c>
      <c r="K225" s="6" t="s">
        <v>19</v>
      </c>
      <c r="L225" t="str">
        <f t="shared" si="6"/>
        <v>CZ</v>
      </c>
      <c r="M225">
        <f t="shared" si="7"/>
        <v>89487</v>
      </c>
    </row>
    <row r="226" spans="1:13">
      <c r="A226" s="4" t="s">
        <v>229</v>
      </c>
      <c r="B226" s="4">
        <v>10783</v>
      </c>
      <c r="C226" s="4">
        <v>11194</v>
      </c>
      <c r="D226" s="4">
        <v>11414</v>
      </c>
      <c r="E226" s="4">
        <v>11597</v>
      </c>
      <c r="F226" s="4">
        <v>10837</v>
      </c>
      <c r="G226" s="4">
        <v>10789</v>
      </c>
      <c r="H226" s="4">
        <v>11472</v>
      </c>
      <c r="I226" s="4">
        <v>11291</v>
      </c>
      <c r="J226" s="6" t="s">
        <v>15</v>
      </c>
      <c r="K226" s="6" t="s">
        <v>21</v>
      </c>
      <c r="L226" t="str">
        <f t="shared" si="6"/>
        <v>CX</v>
      </c>
      <c r="M226">
        <f t="shared" si="7"/>
        <v>89377</v>
      </c>
    </row>
    <row r="227" spans="1:13">
      <c r="A227" s="4" t="s">
        <v>112</v>
      </c>
      <c r="B227" s="4">
        <v>11328</v>
      </c>
      <c r="C227" s="4">
        <v>10983</v>
      </c>
      <c r="D227" s="4">
        <v>11113</v>
      </c>
      <c r="E227" s="4">
        <v>11371</v>
      </c>
      <c r="F227" s="4">
        <v>11250</v>
      </c>
      <c r="G227" s="4">
        <v>11033</v>
      </c>
      <c r="H227" s="4">
        <v>10763</v>
      </c>
      <c r="I227" s="4">
        <v>11010</v>
      </c>
      <c r="J227" s="6" t="s">
        <v>15</v>
      </c>
      <c r="K227" s="6" t="s">
        <v>21</v>
      </c>
      <c r="L227" t="str">
        <f t="shared" si="6"/>
        <v>CX</v>
      </c>
      <c r="M227">
        <f t="shared" si="7"/>
        <v>88851</v>
      </c>
    </row>
    <row r="228" spans="1:13">
      <c r="A228" s="4" t="s">
        <v>169</v>
      </c>
      <c r="B228" s="4">
        <v>11063</v>
      </c>
      <c r="C228" s="4">
        <v>10479</v>
      </c>
      <c r="D228" s="4">
        <v>10519</v>
      </c>
      <c r="E228" s="4">
        <v>10560</v>
      </c>
      <c r="F228" s="4">
        <v>10622</v>
      </c>
      <c r="G228" s="4">
        <v>10996</v>
      </c>
      <c r="H228" s="4">
        <v>10501</v>
      </c>
      <c r="I228" s="4">
        <v>11198</v>
      </c>
      <c r="J228" s="6" t="s">
        <v>15</v>
      </c>
      <c r="K228" s="6" t="s">
        <v>21</v>
      </c>
      <c r="L228" t="str">
        <f t="shared" si="6"/>
        <v>CX</v>
      </c>
      <c r="M228">
        <f t="shared" si="7"/>
        <v>85938</v>
      </c>
    </row>
    <row r="229" spans="1:13">
      <c r="A229" s="4" t="s">
        <v>271</v>
      </c>
      <c r="B229" s="4">
        <v>5200</v>
      </c>
      <c r="C229" s="4">
        <v>23790</v>
      </c>
      <c r="D229" s="4">
        <v>10955</v>
      </c>
      <c r="E229" s="4">
        <v>5200</v>
      </c>
      <c r="F229" s="4">
        <v>9922</v>
      </c>
      <c r="G229" s="4">
        <v>5200</v>
      </c>
      <c r="H229" s="4">
        <v>19649</v>
      </c>
      <c r="I229" s="4">
        <v>5200</v>
      </c>
      <c r="J229" s="6" t="s">
        <v>15</v>
      </c>
      <c r="K229" s="6" t="s">
        <v>19</v>
      </c>
      <c r="L229" t="str">
        <f t="shared" si="6"/>
        <v>CZ</v>
      </c>
      <c r="M229">
        <f t="shared" si="7"/>
        <v>85116</v>
      </c>
    </row>
    <row r="230" spans="1:13">
      <c r="A230" s="4" t="s">
        <v>51</v>
      </c>
      <c r="B230" s="4">
        <v>5200</v>
      </c>
      <c r="C230" s="4">
        <v>20654</v>
      </c>
      <c r="D230" s="4">
        <v>8019</v>
      </c>
      <c r="E230" s="4">
        <v>20525</v>
      </c>
      <c r="F230" s="4">
        <v>9752</v>
      </c>
      <c r="G230" s="4">
        <v>6043</v>
      </c>
      <c r="H230" s="4">
        <v>7671</v>
      </c>
      <c r="I230" s="4">
        <v>7196</v>
      </c>
      <c r="J230" s="6" t="s">
        <v>15</v>
      </c>
      <c r="K230" s="6" t="s">
        <v>19</v>
      </c>
      <c r="L230" t="str">
        <f t="shared" si="6"/>
        <v>CZ</v>
      </c>
      <c r="M230">
        <f t="shared" si="7"/>
        <v>85060</v>
      </c>
    </row>
    <row r="231" spans="1:13">
      <c r="A231" s="4" t="s">
        <v>236</v>
      </c>
      <c r="B231" s="4">
        <v>8679</v>
      </c>
      <c r="C231" s="4">
        <v>9286</v>
      </c>
      <c r="D231" s="4">
        <v>10662</v>
      </c>
      <c r="E231" s="4">
        <v>10815</v>
      </c>
      <c r="F231" s="4">
        <v>10615</v>
      </c>
      <c r="G231" s="4">
        <v>12253</v>
      </c>
      <c r="H231" s="4">
        <v>10245</v>
      </c>
      <c r="I231" s="4">
        <v>12012</v>
      </c>
      <c r="J231" s="6" t="s">
        <v>15</v>
      </c>
      <c r="K231" s="6" t="s">
        <v>20</v>
      </c>
      <c r="L231" t="str">
        <f t="shared" si="6"/>
        <v>CY</v>
      </c>
      <c r="M231">
        <f t="shared" si="7"/>
        <v>84567</v>
      </c>
    </row>
    <row r="232" spans="1:13">
      <c r="A232" s="4" t="s">
        <v>279</v>
      </c>
      <c r="B232" s="4">
        <v>8376</v>
      </c>
      <c r="C232" s="4">
        <v>10108</v>
      </c>
      <c r="D232" s="4">
        <v>13835</v>
      </c>
      <c r="E232" s="4">
        <v>11691</v>
      </c>
      <c r="F232" s="4">
        <v>8044</v>
      </c>
      <c r="G232" s="4">
        <v>13729</v>
      </c>
      <c r="H232" s="4">
        <v>8850</v>
      </c>
      <c r="I232" s="4">
        <v>9411</v>
      </c>
      <c r="J232" s="6" t="s">
        <v>15</v>
      </c>
      <c r="K232" s="6" t="s">
        <v>20</v>
      </c>
      <c r="L232" t="str">
        <f t="shared" si="6"/>
        <v>CY</v>
      </c>
      <c r="M232">
        <f t="shared" si="7"/>
        <v>84044</v>
      </c>
    </row>
    <row r="233" spans="1:13">
      <c r="A233" s="4" t="s">
        <v>232</v>
      </c>
      <c r="B233" s="4">
        <v>10033</v>
      </c>
      <c r="C233" s="4">
        <v>13345</v>
      </c>
      <c r="D233" s="4">
        <v>7858</v>
      </c>
      <c r="E233" s="4">
        <v>11221</v>
      </c>
      <c r="F233" s="4">
        <v>7905</v>
      </c>
      <c r="G233" s="4">
        <v>11530</v>
      </c>
      <c r="H233" s="4">
        <v>13546</v>
      </c>
      <c r="I233" s="4">
        <v>8133</v>
      </c>
      <c r="J233" s="6" t="s">
        <v>15</v>
      </c>
      <c r="K233" s="6" t="s">
        <v>20</v>
      </c>
      <c r="L233" t="str">
        <f t="shared" si="6"/>
        <v>CY</v>
      </c>
      <c r="M233">
        <f t="shared" si="7"/>
        <v>83571</v>
      </c>
    </row>
    <row r="234" spans="1:13">
      <c r="A234" s="4" t="s">
        <v>56</v>
      </c>
      <c r="B234" s="4">
        <v>6349</v>
      </c>
      <c r="C234" s="4">
        <v>28114</v>
      </c>
      <c r="D234" s="4">
        <v>13193</v>
      </c>
      <c r="E234" s="4">
        <v>5200</v>
      </c>
      <c r="F234" s="4">
        <v>5854</v>
      </c>
      <c r="G234" s="4">
        <v>9601</v>
      </c>
      <c r="H234" s="4">
        <v>6034</v>
      </c>
      <c r="I234" s="4">
        <v>8213</v>
      </c>
      <c r="J234" s="6" t="s">
        <v>15</v>
      </c>
      <c r="K234" s="6" t="s">
        <v>19</v>
      </c>
      <c r="L234" t="str">
        <f t="shared" si="6"/>
        <v>CZ</v>
      </c>
      <c r="M234">
        <f t="shared" si="7"/>
        <v>82558</v>
      </c>
    </row>
    <row r="235" spans="1:13">
      <c r="A235" s="4" t="s">
        <v>258</v>
      </c>
      <c r="B235" s="4">
        <v>24397</v>
      </c>
      <c r="C235" s="4">
        <v>7726</v>
      </c>
      <c r="D235" s="4">
        <v>5200</v>
      </c>
      <c r="E235" s="4">
        <v>5200</v>
      </c>
      <c r="F235" s="4">
        <v>5200</v>
      </c>
      <c r="G235" s="4">
        <v>21728</v>
      </c>
      <c r="H235" s="4">
        <v>5200</v>
      </c>
      <c r="I235" s="4">
        <v>5652</v>
      </c>
      <c r="J235" s="6" t="s">
        <v>15</v>
      </c>
      <c r="K235" s="6" t="s">
        <v>19</v>
      </c>
      <c r="L235" t="str">
        <f t="shared" si="6"/>
        <v>CZ</v>
      </c>
      <c r="M235">
        <f t="shared" si="7"/>
        <v>80303</v>
      </c>
    </row>
    <row r="236" spans="1:13">
      <c r="A236" s="4" t="s">
        <v>121</v>
      </c>
      <c r="B236" s="4">
        <v>5200</v>
      </c>
      <c r="C236" s="4">
        <v>5200</v>
      </c>
      <c r="D236" s="4">
        <v>25506</v>
      </c>
      <c r="E236" s="4">
        <v>9100</v>
      </c>
      <c r="F236" s="4">
        <v>5200</v>
      </c>
      <c r="G236" s="4">
        <v>5200</v>
      </c>
      <c r="H236" s="4">
        <v>8752</v>
      </c>
      <c r="I236" s="4">
        <v>10903</v>
      </c>
      <c r="J236" s="6" t="s">
        <v>15</v>
      </c>
      <c r="K236" s="6" t="s">
        <v>19</v>
      </c>
      <c r="L236" t="str">
        <f t="shared" si="6"/>
        <v>CZ</v>
      </c>
      <c r="M236">
        <f t="shared" si="7"/>
        <v>75061</v>
      </c>
    </row>
    <row r="237" spans="1:13">
      <c r="A237" s="4" t="s">
        <v>163</v>
      </c>
      <c r="B237" s="4">
        <v>5200</v>
      </c>
      <c r="C237" s="4">
        <v>5200</v>
      </c>
      <c r="D237" s="4">
        <v>5200</v>
      </c>
      <c r="E237" s="4">
        <v>5200</v>
      </c>
      <c r="F237" s="4">
        <v>5200</v>
      </c>
      <c r="G237" s="4">
        <v>5200</v>
      </c>
      <c r="H237" s="4">
        <v>22056</v>
      </c>
      <c r="I237" s="4">
        <v>19216</v>
      </c>
      <c r="J237" s="6" t="s">
        <v>15</v>
      </c>
      <c r="K237" s="6" t="s">
        <v>19</v>
      </c>
      <c r="L237" t="str">
        <f t="shared" si="6"/>
        <v>CZ</v>
      </c>
      <c r="M237">
        <f t="shared" si="7"/>
        <v>72472</v>
      </c>
    </row>
    <row r="238" spans="1:13">
      <c r="A238" s="4" t="s">
        <v>268</v>
      </c>
      <c r="B238" s="4">
        <v>5200</v>
      </c>
      <c r="C238" s="4">
        <v>5200</v>
      </c>
      <c r="D238" s="4">
        <v>5200</v>
      </c>
      <c r="E238" s="4">
        <v>9780</v>
      </c>
      <c r="F238" s="4">
        <v>5200</v>
      </c>
      <c r="G238" s="4">
        <v>5200</v>
      </c>
      <c r="H238" s="4">
        <v>20111</v>
      </c>
      <c r="I238" s="4">
        <v>6181</v>
      </c>
      <c r="J238" s="6" t="s">
        <v>15</v>
      </c>
      <c r="K238" s="6" t="s">
        <v>19</v>
      </c>
      <c r="L238" t="str">
        <f t="shared" si="6"/>
        <v>CZ</v>
      </c>
      <c r="M238">
        <f t="shared" si="7"/>
        <v>62072</v>
      </c>
    </row>
    <row r="239" spans="1:13">
      <c r="A239" s="4" t="s">
        <v>285</v>
      </c>
      <c r="K239" s="6" t="s">
        <v>21</v>
      </c>
      <c r="L239" t="str">
        <f t="shared" si="6"/>
        <v>X</v>
      </c>
      <c r="M239">
        <f t="shared" si="7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2D2B-7A91-4AB1-ACC0-CFAB73E4A3A5}">
  <dimension ref="A1:S239"/>
  <sheetViews>
    <sheetView workbookViewId="0">
      <selection activeCell="P2" sqref="P2:S5"/>
    </sheetView>
  </sheetViews>
  <sheetFormatPr defaultRowHeight="15"/>
  <cols>
    <col min="1" max="1" width="32" style="4" customWidth="1"/>
    <col min="2" max="9" width="9.140625" style="4"/>
    <col min="10" max="11" width="9.140625" style="6"/>
  </cols>
  <sheetData>
    <row r="1" spans="1:19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9">
      <c r="A2" s="4" t="s">
        <v>109</v>
      </c>
      <c r="B2" s="4">
        <v>157450</v>
      </c>
      <c r="C2" s="4">
        <v>155569</v>
      </c>
      <c r="D2" s="4">
        <v>152316</v>
      </c>
      <c r="E2" s="4">
        <v>153106</v>
      </c>
      <c r="F2" s="4">
        <v>153987</v>
      </c>
      <c r="G2" s="4">
        <v>160418</v>
      </c>
      <c r="H2" s="4">
        <v>158953</v>
      </c>
      <c r="I2" s="4">
        <v>152940</v>
      </c>
      <c r="J2" s="6" t="s">
        <v>13</v>
      </c>
      <c r="K2" s="6" t="s">
        <v>21</v>
      </c>
      <c r="L2">
        <f>SUM(B2:I2)</f>
        <v>1244739</v>
      </c>
      <c r="P2" s="4"/>
      <c r="Q2" s="4" t="s">
        <v>21</v>
      </c>
      <c r="R2" s="4" t="s">
        <v>20</v>
      </c>
      <c r="S2" s="4" t="s">
        <v>19</v>
      </c>
    </row>
    <row r="3" spans="1:19">
      <c r="A3" s="4" t="s">
        <v>72</v>
      </c>
      <c r="B3" s="4">
        <v>146330</v>
      </c>
      <c r="C3" s="4">
        <v>147088</v>
      </c>
      <c r="D3" s="4">
        <v>144669</v>
      </c>
      <c r="E3" s="4">
        <v>138884</v>
      </c>
      <c r="F3" s="4">
        <v>144049</v>
      </c>
      <c r="G3" s="4">
        <v>146224</v>
      </c>
      <c r="H3" s="4">
        <v>143984</v>
      </c>
      <c r="I3" s="4">
        <v>147500</v>
      </c>
      <c r="J3" s="6" t="s">
        <v>13</v>
      </c>
      <c r="K3" s="6" t="s">
        <v>21</v>
      </c>
      <c r="L3">
        <f t="shared" ref="L3:L66" si="0">SUM(B3:I3)</f>
        <v>1158728</v>
      </c>
      <c r="P3" s="4" t="s">
        <v>13</v>
      </c>
      <c r="Q3" s="4">
        <f>SUMIFS($L:$L,$K:$K,Q$2,$J:$J,$P3)</f>
        <v>23816764</v>
      </c>
      <c r="R3" s="4">
        <f t="shared" ref="R3:S5" si="1">SUMIFS($L:$L,$K:$K,R$2,$J:$J,$P3)</f>
        <v>16448540</v>
      </c>
      <c r="S3" s="4">
        <f t="shared" si="1"/>
        <v>19271588</v>
      </c>
    </row>
    <row r="4" spans="1:19">
      <c r="A4" s="4" t="s">
        <v>97</v>
      </c>
      <c r="B4" s="4">
        <v>145098</v>
      </c>
      <c r="C4" s="4">
        <v>139525</v>
      </c>
      <c r="D4" s="4">
        <v>145161</v>
      </c>
      <c r="E4" s="4">
        <v>145167</v>
      </c>
      <c r="F4" s="4">
        <v>141327</v>
      </c>
      <c r="G4" s="4">
        <v>140648</v>
      </c>
      <c r="H4" s="4">
        <v>142149</v>
      </c>
      <c r="I4" s="4">
        <v>143023</v>
      </c>
      <c r="J4" s="6" t="s">
        <v>13</v>
      </c>
      <c r="K4" s="6" t="s">
        <v>21</v>
      </c>
      <c r="L4">
        <f t="shared" si="0"/>
        <v>1142098</v>
      </c>
      <c r="P4" s="4" t="s">
        <v>14</v>
      </c>
      <c r="Q4" s="4">
        <f t="shared" ref="Q4:Q5" si="2">SUMIFS($L:$L,$K:$K,Q$2,$J:$J,$P4)</f>
        <v>4644391</v>
      </c>
      <c r="R4" s="4">
        <f t="shared" si="1"/>
        <v>3479158</v>
      </c>
      <c r="S4" s="4">
        <f t="shared" si="1"/>
        <v>2958320</v>
      </c>
    </row>
    <row r="5" spans="1:19">
      <c r="A5" s="4" t="s">
        <v>54</v>
      </c>
      <c r="B5" s="4">
        <v>134590</v>
      </c>
      <c r="C5" s="4">
        <v>138973</v>
      </c>
      <c r="D5" s="4">
        <v>139993</v>
      </c>
      <c r="E5" s="4">
        <v>135060</v>
      </c>
      <c r="F5" s="4">
        <v>140198</v>
      </c>
      <c r="G5" s="4">
        <v>136701</v>
      </c>
      <c r="H5" s="4">
        <v>138431</v>
      </c>
      <c r="I5" s="4">
        <v>137475</v>
      </c>
      <c r="J5" s="6" t="s">
        <v>13</v>
      </c>
      <c r="K5" s="6" t="s">
        <v>21</v>
      </c>
      <c r="L5">
        <f t="shared" si="0"/>
        <v>1101421</v>
      </c>
      <c r="P5" s="4" t="s">
        <v>15</v>
      </c>
      <c r="Q5" s="4">
        <f t="shared" si="2"/>
        <v>1709877</v>
      </c>
      <c r="R5" s="4">
        <f t="shared" si="1"/>
        <v>821031</v>
      </c>
      <c r="S5" s="4">
        <f t="shared" si="1"/>
        <v>1289414</v>
      </c>
    </row>
    <row r="6" spans="1:19">
      <c r="A6" s="4" t="s">
        <v>92</v>
      </c>
      <c r="B6" s="4">
        <v>126605</v>
      </c>
      <c r="C6" s="4">
        <v>125252</v>
      </c>
      <c r="D6" s="4">
        <v>131843</v>
      </c>
      <c r="E6" s="4">
        <v>131957</v>
      </c>
      <c r="F6" s="4">
        <v>129881</v>
      </c>
      <c r="G6" s="4">
        <v>136681</v>
      </c>
      <c r="H6" s="4">
        <v>129338</v>
      </c>
      <c r="I6" s="4">
        <v>126114</v>
      </c>
      <c r="J6" s="6" t="s">
        <v>13</v>
      </c>
      <c r="K6" s="6" t="s">
        <v>21</v>
      </c>
      <c r="L6">
        <f t="shared" si="0"/>
        <v>1037671</v>
      </c>
    </row>
    <row r="7" spans="1:19">
      <c r="A7" s="4" t="s">
        <v>204</v>
      </c>
      <c r="B7" s="4">
        <v>126994</v>
      </c>
      <c r="C7" s="4">
        <v>127269</v>
      </c>
      <c r="D7" s="4">
        <v>117992</v>
      </c>
      <c r="E7" s="4">
        <v>119303</v>
      </c>
      <c r="F7" s="4">
        <v>124751</v>
      </c>
      <c r="G7" s="4">
        <v>122833</v>
      </c>
      <c r="H7" s="4">
        <v>126323</v>
      </c>
      <c r="I7" s="4">
        <v>124048</v>
      </c>
      <c r="J7" s="6" t="s">
        <v>13</v>
      </c>
      <c r="K7" s="6" t="s">
        <v>21</v>
      </c>
      <c r="L7">
        <f t="shared" si="0"/>
        <v>989513</v>
      </c>
    </row>
    <row r="8" spans="1:19">
      <c r="A8" s="4" t="s">
        <v>123</v>
      </c>
      <c r="B8" s="4">
        <v>115315</v>
      </c>
      <c r="C8" s="4">
        <v>112197</v>
      </c>
      <c r="D8" s="4">
        <v>119596</v>
      </c>
      <c r="E8" s="4">
        <v>112638</v>
      </c>
      <c r="F8" s="4">
        <v>116769</v>
      </c>
      <c r="G8" s="4">
        <v>113243</v>
      </c>
      <c r="H8" s="4">
        <v>119227</v>
      </c>
      <c r="I8" s="4">
        <v>116809</v>
      </c>
      <c r="J8" s="6" t="s">
        <v>13</v>
      </c>
      <c r="K8" s="6" t="s">
        <v>21</v>
      </c>
      <c r="L8">
        <f t="shared" si="0"/>
        <v>925794</v>
      </c>
    </row>
    <row r="9" spans="1:19">
      <c r="A9" s="4" t="s">
        <v>183</v>
      </c>
      <c r="B9" s="4">
        <v>107457</v>
      </c>
      <c r="C9" s="4">
        <v>115140</v>
      </c>
      <c r="D9" s="4">
        <v>114070</v>
      </c>
      <c r="E9" s="4">
        <v>111511</v>
      </c>
      <c r="F9" s="4">
        <v>112505</v>
      </c>
      <c r="G9" s="4">
        <v>113713</v>
      </c>
      <c r="H9" s="4">
        <v>106830</v>
      </c>
      <c r="I9" s="4">
        <v>110195</v>
      </c>
      <c r="J9" s="6" t="s">
        <v>13</v>
      </c>
      <c r="K9" s="6" t="s">
        <v>21</v>
      </c>
      <c r="L9">
        <f t="shared" si="0"/>
        <v>891421</v>
      </c>
    </row>
    <row r="10" spans="1:19">
      <c r="A10" s="4" t="s">
        <v>124</v>
      </c>
      <c r="B10" s="4">
        <v>96556</v>
      </c>
      <c r="C10" s="4">
        <v>99448</v>
      </c>
      <c r="D10" s="4">
        <v>97184</v>
      </c>
      <c r="E10" s="4">
        <v>100709</v>
      </c>
      <c r="F10" s="4">
        <v>103179</v>
      </c>
      <c r="G10" s="4">
        <v>96824</v>
      </c>
      <c r="H10" s="4">
        <v>97076</v>
      </c>
      <c r="I10" s="4">
        <v>103779</v>
      </c>
      <c r="J10" s="6" t="s">
        <v>13</v>
      </c>
      <c r="K10" s="6" t="s">
        <v>21</v>
      </c>
      <c r="L10">
        <f t="shared" si="0"/>
        <v>794755</v>
      </c>
    </row>
    <row r="11" spans="1:19">
      <c r="A11" s="4" t="s">
        <v>145</v>
      </c>
      <c r="B11" s="4">
        <v>96208</v>
      </c>
      <c r="C11" s="4">
        <v>98719</v>
      </c>
      <c r="D11" s="4">
        <v>102235</v>
      </c>
      <c r="E11" s="4">
        <v>98526</v>
      </c>
      <c r="F11" s="4">
        <v>96461</v>
      </c>
      <c r="G11" s="4">
        <v>93947</v>
      </c>
      <c r="H11" s="4">
        <v>94262</v>
      </c>
      <c r="I11" s="4">
        <v>101589</v>
      </c>
      <c r="J11" s="6" t="s">
        <v>13</v>
      </c>
      <c r="K11" s="6" t="s">
        <v>21</v>
      </c>
      <c r="L11">
        <f t="shared" si="0"/>
        <v>781947</v>
      </c>
    </row>
    <row r="12" spans="1:19">
      <c r="A12" s="4" t="s">
        <v>58</v>
      </c>
      <c r="B12" s="4">
        <v>92739</v>
      </c>
      <c r="C12" s="4">
        <v>95212</v>
      </c>
      <c r="D12" s="4">
        <v>91172</v>
      </c>
      <c r="E12" s="4">
        <v>96387</v>
      </c>
      <c r="F12" s="4">
        <v>94445</v>
      </c>
      <c r="G12" s="4">
        <v>96911</v>
      </c>
      <c r="H12" s="4">
        <v>92954</v>
      </c>
      <c r="I12" s="4">
        <v>92102</v>
      </c>
      <c r="J12" s="6" t="s">
        <v>13</v>
      </c>
      <c r="K12" s="6" t="s">
        <v>21</v>
      </c>
      <c r="L12">
        <f t="shared" si="0"/>
        <v>751922</v>
      </c>
    </row>
    <row r="13" spans="1:19">
      <c r="A13" s="4" t="s">
        <v>252</v>
      </c>
      <c r="B13" s="4">
        <v>88665</v>
      </c>
      <c r="C13" s="4">
        <v>94299</v>
      </c>
      <c r="D13" s="4">
        <v>89547</v>
      </c>
      <c r="E13" s="4">
        <v>89125</v>
      </c>
      <c r="F13" s="4">
        <v>93010</v>
      </c>
      <c r="G13" s="4">
        <v>90737</v>
      </c>
      <c r="H13" s="4">
        <v>94879</v>
      </c>
      <c r="I13" s="4">
        <v>89197</v>
      </c>
      <c r="J13" s="6" t="s">
        <v>13</v>
      </c>
      <c r="K13" s="6" t="s">
        <v>21</v>
      </c>
      <c r="L13">
        <f t="shared" si="0"/>
        <v>729459</v>
      </c>
    </row>
    <row r="14" spans="1:19">
      <c r="A14" s="4" t="s">
        <v>209</v>
      </c>
      <c r="B14" s="4">
        <v>81870</v>
      </c>
      <c r="C14" s="4">
        <v>82733</v>
      </c>
      <c r="D14" s="4">
        <v>83336</v>
      </c>
      <c r="E14" s="4">
        <v>86269</v>
      </c>
      <c r="F14" s="4">
        <v>82848</v>
      </c>
      <c r="G14" s="4">
        <v>81061</v>
      </c>
      <c r="H14" s="4">
        <v>86034</v>
      </c>
      <c r="I14" s="4">
        <v>84409</v>
      </c>
      <c r="J14" s="6" t="s">
        <v>13</v>
      </c>
      <c r="K14" s="6" t="s">
        <v>21</v>
      </c>
      <c r="L14">
        <f t="shared" si="0"/>
        <v>668560</v>
      </c>
    </row>
    <row r="15" spans="1:19">
      <c r="A15" s="4" t="s">
        <v>166</v>
      </c>
      <c r="B15" s="4">
        <v>78913</v>
      </c>
      <c r="C15" s="4">
        <v>78530</v>
      </c>
      <c r="D15" s="4">
        <v>84026</v>
      </c>
      <c r="E15" s="4">
        <v>83719</v>
      </c>
      <c r="F15" s="4">
        <v>77952</v>
      </c>
      <c r="G15" s="4">
        <v>83097</v>
      </c>
      <c r="H15" s="4">
        <v>78100</v>
      </c>
      <c r="I15" s="4">
        <v>80249</v>
      </c>
      <c r="J15" s="6" t="s">
        <v>13</v>
      </c>
      <c r="K15" s="6" t="s">
        <v>21</v>
      </c>
      <c r="L15">
        <f t="shared" si="0"/>
        <v>644586</v>
      </c>
    </row>
    <row r="16" spans="1:19">
      <c r="A16" s="4" t="s">
        <v>49</v>
      </c>
      <c r="B16" s="4">
        <v>75679</v>
      </c>
      <c r="C16" s="4">
        <v>74191</v>
      </c>
      <c r="D16" s="4">
        <v>73434</v>
      </c>
      <c r="E16" s="4">
        <v>77093</v>
      </c>
      <c r="F16" s="4">
        <v>74181</v>
      </c>
      <c r="G16" s="4">
        <v>77100</v>
      </c>
      <c r="H16" s="4">
        <v>75121</v>
      </c>
      <c r="I16" s="4">
        <v>74477</v>
      </c>
      <c r="J16" s="6" t="s">
        <v>13</v>
      </c>
      <c r="K16" s="6" t="s">
        <v>21</v>
      </c>
      <c r="L16">
        <f t="shared" si="0"/>
        <v>601276</v>
      </c>
    </row>
    <row r="17" spans="1:12">
      <c r="A17" s="4" t="s">
        <v>210</v>
      </c>
      <c r="B17" s="4">
        <v>73628</v>
      </c>
      <c r="C17" s="4">
        <v>72770</v>
      </c>
      <c r="D17" s="4">
        <v>70103</v>
      </c>
      <c r="E17" s="4">
        <v>72011</v>
      </c>
      <c r="F17" s="4">
        <v>75656</v>
      </c>
      <c r="G17" s="4">
        <v>71585</v>
      </c>
      <c r="H17" s="4">
        <v>72417</v>
      </c>
      <c r="I17" s="4">
        <v>70735</v>
      </c>
      <c r="J17" s="6" t="s">
        <v>13</v>
      </c>
      <c r="K17" s="6" t="s">
        <v>21</v>
      </c>
      <c r="L17">
        <f t="shared" si="0"/>
        <v>578905</v>
      </c>
    </row>
    <row r="18" spans="1:12">
      <c r="A18" s="4" t="s">
        <v>115</v>
      </c>
      <c r="B18" s="4">
        <v>67027</v>
      </c>
      <c r="C18" s="4">
        <v>68405</v>
      </c>
      <c r="D18" s="4">
        <v>70208</v>
      </c>
      <c r="E18" s="4">
        <v>68565</v>
      </c>
      <c r="F18" s="4">
        <v>71876</v>
      </c>
      <c r="G18" s="4">
        <v>68668</v>
      </c>
      <c r="H18" s="4">
        <v>71160</v>
      </c>
      <c r="I18" s="4">
        <v>68626</v>
      </c>
      <c r="J18" s="6" t="s">
        <v>13</v>
      </c>
      <c r="K18" s="6" t="s">
        <v>21</v>
      </c>
      <c r="L18">
        <f t="shared" si="0"/>
        <v>554535</v>
      </c>
    </row>
    <row r="19" spans="1:12">
      <c r="A19" s="4" t="s">
        <v>101</v>
      </c>
      <c r="B19" s="4">
        <v>61374</v>
      </c>
      <c r="C19" s="4">
        <v>62343</v>
      </c>
      <c r="D19" s="4">
        <v>62460</v>
      </c>
      <c r="E19" s="4">
        <v>64696</v>
      </c>
      <c r="F19" s="4">
        <v>63928</v>
      </c>
      <c r="G19" s="4">
        <v>61933</v>
      </c>
      <c r="H19" s="4">
        <v>64828</v>
      </c>
      <c r="I19" s="4">
        <v>66715</v>
      </c>
      <c r="J19" s="6" t="s">
        <v>13</v>
      </c>
      <c r="K19" s="6" t="s">
        <v>21</v>
      </c>
      <c r="L19">
        <f t="shared" si="0"/>
        <v>508277</v>
      </c>
    </row>
    <row r="20" spans="1:12">
      <c r="A20" s="4" t="s">
        <v>167</v>
      </c>
      <c r="B20" s="4">
        <v>63968</v>
      </c>
      <c r="C20" s="4">
        <v>62331</v>
      </c>
      <c r="D20" s="4">
        <v>62773</v>
      </c>
      <c r="E20" s="4">
        <v>60490</v>
      </c>
      <c r="F20" s="4">
        <v>60180</v>
      </c>
      <c r="G20" s="4">
        <v>60164</v>
      </c>
      <c r="H20" s="4">
        <v>61157</v>
      </c>
      <c r="I20" s="4">
        <v>63049</v>
      </c>
      <c r="J20" s="6" t="s">
        <v>13</v>
      </c>
      <c r="K20" s="6" t="s">
        <v>21</v>
      </c>
      <c r="L20">
        <f t="shared" si="0"/>
        <v>494112</v>
      </c>
    </row>
    <row r="21" spans="1:12">
      <c r="A21" s="4" t="s">
        <v>203</v>
      </c>
      <c r="B21" s="4">
        <v>61467</v>
      </c>
      <c r="C21" s="4">
        <v>61445</v>
      </c>
      <c r="D21" s="4">
        <v>63000</v>
      </c>
      <c r="E21" s="4">
        <v>64206</v>
      </c>
      <c r="F21" s="4">
        <v>62351</v>
      </c>
      <c r="G21" s="4">
        <v>61115</v>
      </c>
      <c r="H21" s="4">
        <v>59870</v>
      </c>
      <c r="I21" s="4">
        <v>59830</v>
      </c>
      <c r="J21" s="6" t="s">
        <v>13</v>
      </c>
      <c r="K21" s="6" t="s">
        <v>21</v>
      </c>
      <c r="L21">
        <f t="shared" si="0"/>
        <v>493284</v>
      </c>
    </row>
    <row r="22" spans="1:12">
      <c r="A22" s="4" t="s">
        <v>96</v>
      </c>
      <c r="B22" s="4">
        <v>60509</v>
      </c>
      <c r="C22" s="4">
        <v>59322</v>
      </c>
      <c r="D22" s="4">
        <v>60385</v>
      </c>
      <c r="E22" s="4">
        <v>61043</v>
      </c>
      <c r="F22" s="4">
        <v>58484</v>
      </c>
      <c r="G22" s="4">
        <v>60486</v>
      </c>
      <c r="H22" s="4">
        <v>62646</v>
      </c>
      <c r="I22" s="4">
        <v>60074</v>
      </c>
      <c r="J22" s="6" t="s">
        <v>13</v>
      </c>
      <c r="K22" s="6" t="s">
        <v>21</v>
      </c>
      <c r="L22">
        <f t="shared" si="0"/>
        <v>482949</v>
      </c>
    </row>
    <row r="23" spans="1:12">
      <c r="A23" s="4" t="s">
        <v>91</v>
      </c>
      <c r="B23" s="4">
        <v>58789</v>
      </c>
      <c r="C23" s="4">
        <v>59473</v>
      </c>
      <c r="D23" s="4">
        <v>59888</v>
      </c>
      <c r="E23" s="4">
        <v>59985</v>
      </c>
      <c r="F23" s="4">
        <v>58721</v>
      </c>
      <c r="G23" s="4">
        <v>60561</v>
      </c>
      <c r="H23" s="4">
        <v>60676</v>
      </c>
      <c r="I23" s="4">
        <v>58573</v>
      </c>
      <c r="J23" s="6" t="s">
        <v>13</v>
      </c>
      <c r="K23" s="6" t="s">
        <v>21</v>
      </c>
      <c r="L23">
        <f t="shared" si="0"/>
        <v>476666</v>
      </c>
    </row>
    <row r="24" spans="1:12">
      <c r="A24" s="4" t="s">
        <v>70</v>
      </c>
      <c r="B24" s="4">
        <v>55121</v>
      </c>
      <c r="C24" s="4">
        <v>58030</v>
      </c>
      <c r="D24" s="4">
        <v>57144</v>
      </c>
      <c r="E24" s="4">
        <v>56558</v>
      </c>
      <c r="F24" s="4">
        <v>55464</v>
      </c>
      <c r="G24" s="4">
        <v>56974</v>
      </c>
      <c r="H24" s="4">
        <v>57724</v>
      </c>
      <c r="I24" s="4">
        <v>54719</v>
      </c>
      <c r="J24" s="6" t="s">
        <v>13</v>
      </c>
      <c r="K24" s="6" t="s">
        <v>21</v>
      </c>
      <c r="L24">
        <f t="shared" si="0"/>
        <v>451734</v>
      </c>
    </row>
    <row r="25" spans="1:12">
      <c r="A25" s="4" t="s">
        <v>144</v>
      </c>
      <c r="B25" s="4">
        <v>55775</v>
      </c>
      <c r="C25" s="4">
        <v>52298</v>
      </c>
      <c r="D25" s="4">
        <v>56383</v>
      </c>
      <c r="E25" s="4">
        <v>52305</v>
      </c>
      <c r="F25" s="4">
        <v>54090</v>
      </c>
      <c r="G25" s="4">
        <v>52671</v>
      </c>
      <c r="H25" s="4">
        <v>53799</v>
      </c>
      <c r="I25" s="4">
        <v>56121</v>
      </c>
      <c r="J25" s="6" t="s">
        <v>13</v>
      </c>
      <c r="K25" s="6" t="s">
        <v>21</v>
      </c>
      <c r="L25">
        <f t="shared" si="0"/>
        <v>433442</v>
      </c>
    </row>
    <row r="26" spans="1:12">
      <c r="A26" s="4" t="s">
        <v>195</v>
      </c>
      <c r="B26" s="4">
        <v>51488</v>
      </c>
      <c r="C26" s="4">
        <v>49734</v>
      </c>
      <c r="D26" s="4">
        <v>49021</v>
      </c>
      <c r="E26" s="4">
        <v>49561</v>
      </c>
      <c r="F26" s="4">
        <v>50126</v>
      </c>
      <c r="G26" s="4">
        <v>51273</v>
      </c>
      <c r="H26" s="4">
        <v>49089</v>
      </c>
      <c r="I26" s="4">
        <v>50531</v>
      </c>
      <c r="J26" s="6" t="s">
        <v>13</v>
      </c>
      <c r="K26" s="6" t="s">
        <v>21</v>
      </c>
      <c r="L26">
        <f t="shared" si="0"/>
        <v>400823</v>
      </c>
    </row>
    <row r="27" spans="1:12">
      <c r="A27" s="4" t="s">
        <v>71</v>
      </c>
      <c r="B27" s="4">
        <v>47320</v>
      </c>
      <c r="C27" s="4">
        <v>49256</v>
      </c>
      <c r="D27" s="4">
        <v>45913</v>
      </c>
      <c r="E27" s="4">
        <v>47903</v>
      </c>
      <c r="F27" s="4">
        <v>48456</v>
      </c>
      <c r="G27" s="4">
        <v>46614</v>
      </c>
      <c r="H27" s="4">
        <v>49763</v>
      </c>
      <c r="I27" s="4">
        <v>46776</v>
      </c>
      <c r="J27" s="6" t="s">
        <v>13</v>
      </c>
      <c r="K27" s="6" t="s">
        <v>21</v>
      </c>
      <c r="L27">
        <f t="shared" si="0"/>
        <v>382001</v>
      </c>
    </row>
    <row r="28" spans="1:12">
      <c r="A28" s="4" t="s">
        <v>132</v>
      </c>
      <c r="B28" s="4">
        <v>46384</v>
      </c>
      <c r="C28" s="4">
        <v>43125</v>
      </c>
      <c r="D28" s="4">
        <v>45077</v>
      </c>
      <c r="E28" s="4">
        <v>43826</v>
      </c>
      <c r="F28" s="4">
        <v>43465</v>
      </c>
      <c r="G28" s="4">
        <v>46569</v>
      </c>
      <c r="H28" s="4">
        <v>43220</v>
      </c>
      <c r="I28" s="4">
        <v>45720</v>
      </c>
      <c r="J28" s="6" t="s">
        <v>13</v>
      </c>
      <c r="K28" s="6" t="s">
        <v>21</v>
      </c>
      <c r="L28">
        <f t="shared" si="0"/>
        <v>357386</v>
      </c>
    </row>
    <row r="29" spans="1:12">
      <c r="A29" s="4" t="s">
        <v>187</v>
      </c>
      <c r="B29" s="4">
        <v>45230</v>
      </c>
      <c r="C29" s="4">
        <v>44695</v>
      </c>
      <c r="D29" s="4">
        <v>44115</v>
      </c>
      <c r="E29" s="4">
        <v>41889</v>
      </c>
      <c r="F29" s="4">
        <v>44814</v>
      </c>
      <c r="G29" s="4">
        <v>45202</v>
      </c>
      <c r="H29" s="4">
        <v>43796</v>
      </c>
      <c r="I29" s="4">
        <v>41883</v>
      </c>
      <c r="J29" s="6" t="s">
        <v>13</v>
      </c>
      <c r="K29" s="6" t="s">
        <v>21</v>
      </c>
      <c r="L29">
        <f t="shared" si="0"/>
        <v>351624</v>
      </c>
    </row>
    <row r="30" spans="1:12">
      <c r="A30" s="4" t="s">
        <v>250</v>
      </c>
      <c r="B30" s="4">
        <v>44255</v>
      </c>
      <c r="C30" s="4">
        <v>42649</v>
      </c>
      <c r="D30" s="4">
        <v>44932</v>
      </c>
      <c r="E30" s="4">
        <v>44423</v>
      </c>
      <c r="F30" s="4">
        <v>42970</v>
      </c>
      <c r="G30" s="4">
        <v>42357</v>
      </c>
      <c r="H30" s="4">
        <v>42862</v>
      </c>
      <c r="I30" s="4">
        <v>45849</v>
      </c>
      <c r="J30" s="6" t="s">
        <v>13</v>
      </c>
      <c r="K30" s="6" t="s">
        <v>21</v>
      </c>
      <c r="L30">
        <f t="shared" si="0"/>
        <v>350297</v>
      </c>
    </row>
    <row r="31" spans="1:12">
      <c r="A31" s="4" t="s">
        <v>179</v>
      </c>
      <c r="B31" s="4">
        <v>40569</v>
      </c>
      <c r="C31" s="4">
        <v>41105</v>
      </c>
      <c r="D31" s="4">
        <v>43258</v>
      </c>
      <c r="E31" s="4">
        <v>43067</v>
      </c>
      <c r="F31" s="4">
        <v>42733</v>
      </c>
      <c r="G31" s="4">
        <v>42935</v>
      </c>
      <c r="H31" s="4">
        <v>43071</v>
      </c>
      <c r="I31" s="4">
        <v>40895</v>
      </c>
      <c r="J31" s="6" t="s">
        <v>13</v>
      </c>
      <c r="K31" s="6" t="s">
        <v>21</v>
      </c>
      <c r="L31">
        <f t="shared" si="0"/>
        <v>337633</v>
      </c>
    </row>
    <row r="32" spans="1:12">
      <c r="A32" s="4" t="s">
        <v>171</v>
      </c>
      <c r="B32" s="4">
        <v>41353</v>
      </c>
      <c r="C32" s="4">
        <v>42191</v>
      </c>
      <c r="D32" s="4">
        <v>42202</v>
      </c>
      <c r="E32" s="4">
        <v>42542</v>
      </c>
      <c r="F32" s="4">
        <v>42021</v>
      </c>
      <c r="G32" s="4">
        <v>41713</v>
      </c>
      <c r="H32" s="4">
        <v>41260</v>
      </c>
      <c r="I32" s="4">
        <v>40252</v>
      </c>
      <c r="J32" s="6" t="s">
        <v>13</v>
      </c>
      <c r="K32" s="6" t="s">
        <v>21</v>
      </c>
      <c r="L32">
        <f t="shared" si="0"/>
        <v>333534</v>
      </c>
    </row>
    <row r="33" spans="1:12">
      <c r="A33" s="4" t="s">
        <v>269</v>
      </c>
      <c r="B33" s="4">
        <v>40035</v>
      </c>
      <c r="C33" s="4">
        <v>39468</v>
      </c>
      <c r="D33" s="4">
        <v>41101</v>
      </c>
      <c r="E33" s="4">
        <v>41783</v>
      </c>
      <c r="F33" s="4">
        <v>39789</v>
      </c>
      <c r="G33" s="4">
        <v>41318</v>
      </c>
      <c r="H33" s="4">
        <v>40624</v>
      </c>
      <c r="I33" s="4">
        <v>39941</v>
      </c>
      <c r="J33" s="6" t="s">
        <v>13</v>
      </c>
      <c r="K33" s="6" t="s">
        <v>21</v>
      </c>
      <c r="L33">
        <f t="shared" si="0"/>
        <v>324059</v>
      </c>
    </row>
    <row r="34" spans="1:12">
      <c r="A34" s="4" t="s">
        <v>150</v>
      </c>
      <c r="B34" s="4">
        <v>36121</v>
      </c>
      <c r="C34" s="4">
        <v>37378</v>
      </c>
      <c r="D34" s="4">
        <v>38450</v>
      </c>
      <c r="E34" s="4">
        <v>36074</v>
      </c>
      <c r="F34" s="4">
        <v>35988</v>
      </c>
      <c r="G34" s="4">
        <v>38611</v>
      </c>
      <c r="H34" s="4">
        <v>36199</v>
      </c>
      <c r="I34" s="4">
        <v>37546</v>
      </c>
      <c r="J34" s="6" t="s">
        <v>13</v>
      </c>
      <c r="K34" s="6" t="s">
        <v>21</v>
      </c>
      <c r="L34">
        <f t="shared" si="0"/>
        <v>296367</v>
      </c>
    </row>
    <row r="35" spans="1:12">
      <c r="A35" s="4" t="s">
        <v>222</v>
      </c>
      <c r="B35" s="4">
        <v>34493</v>
      </c>
      <c r="C35" s="4">
        <v>35320</v>
      </c>
      <c r="D35" s="4">
        <v>35880</v>
      </c>
      <c r="E35" s="4">
        <v>36188</v>
      </c>
      <c r="F35" s="4">
        <v>35888</v>
      </c>
      <c r="G35" s="4">
        <v>33771</v>
      </c>
      <c r="H35" s="4">
        <v>33205</v>
      </c>
      <c r="I35" s="4">
        <v>35164</v>
      </c>
      <c r="J35" s="6" t="s">
        <v>13</v>
      </c>
      <c r="K35" s="6" t="s">
        <v>21</v>
      </c>
      <c r="L35">
        <f t="shared" si="0"/>
        <v>279909</v>
      </c>
    </row>
    <row r="36" spans="1:12">
      <c r="A36" s="4" t="s">
        <v>180</v>
      </c>
      <c r="B36" s="4">
        <v>32072</v>
      </c>
      <c r="C36" s="4">
        <v>30676</v>
      </c>
      <c r="D36" s="4">
        <v>31793</v>
      </c>
      <c r="E36" s="4">
        <v>30810</v>
      </c>
      <c r="F36" s="4">
        <v>31805</v>
      </c>
      <c r="G36" s="4">
        <v>30472</v>
      </c>
      <c r="H36" s="4">
        <v>29975</v>
      </c>
      <c r="I36" s="4">
        <v>30862</v>
      </c>
      <c r="J36" s="6" t="s">
        <v>13</v>
      </c>
      <c r="K36" s="6" t="s">
        <v>21</v>
      </c>
      <c r="L36">
        <f t="shared" si="0"/>
        <v>248465</v>
      </c>
    </row>
    <row r="37" spans="1:12">
      <c r="A37" s="4" t="s">
        <v>116</v>
      </c>
      <c r="B37" s="4">
        <v>29767</v>
      </c>
      <c r="C37" s="4">
        <v>28681</v>
      </c>
      <c r="D37" s="4">
        <v>29069</v>
      </c>
      <c r="E37" s="4">
        <v>29243</v>
      </c>
      <c r="F37" s="4">
        <v>29630</v>
      </c>
      <c r="G37" s="4">
        <v>31119</v>
      </c>
      <c r="H37" s="4">
        <v>30536</v>
      </c>
      <c r="I37" s="4">
        <v>29325</v>
      </c>
      <c r="J37" s="6" t="s">
        <v>13</v>
      </c>
      <c r="K37" s="6" t="s">
        <v>21</v>
      </c>
      <c r="L37">
        <f t="shared" si="0"/>
        <v>237370</v>
      </c>
    </row>
    <row r="38" spans="1:12">
      <c r="A38" s="4" t="s">
        <v>67</v>
      </c>
      <c r="B38" s="4">
        <v>29653</v>
      </c>
      <c r="C38" s="4">
        <v>30502</v>
      </c>
      <c r="D38" s="4">
        <v>29110</v>
      </c>
      <c r="E38" s="4">
        <v>29250</v>
      </c>
      <c r="F38" s="4">
        <v>30987</v>
      </c>
      <c r="G38" s="4">
        <v>28645</v>
      </c>
      <c r="H38" s="4">
        <v>29403</v>
      </c>
      <c r="I38" s="4">
        <v>29283</v>
      </c>
      <c r="J38" s="6" t="s">
        <v>13</v>
      </c>
      <c r="K38" s="6" t="s">
        <v>21</v>
      </c>
      <c r="L38">
        <f t="shared" si="0"/>
        <v>236833</v>
      </c>
    </row>
    <row r="39" spans="1:12">
      <c r="A39" s="4" t="s">
        <v>198</v>
      </c>
      <c r="B39" s="4">
        <v>28977</v>
      </c>
      <c r="C39" s="4">
        <v>28677</v>
      </c>
      <c r="D39" s="4">
        <v>29855</v>
      </c>
      <c r="E39" s="4">
        <v>28303</v>
      </c>
      <c r="F39" s="4">
        <v>29824</v>
      </c>
      <c r="G39" s="4">
        <v>29306</v>
      </c>
      <c r="H39" s="4">
        <v>29287</v>
      </c>
      <c r="I39" s="4">
        <v>28687</v>
      </c>
      <c r="J39" s="6" t="s">
        <v>13</v>
      </c>
      <c r="K39" s="6" t="s">
        <v>21</v>
      </c>
      <c r="L39">
        <f t="shared" si="0"/>
        <v>232916</v>
      </c>
    </row>
    <row r="40" spans="1:12">
      <c r="A40" s="4" t="s">
        <v>254</v>
      </c>
      <c r="B40" s="4">
        <v>30966</v>
      </c>
      <c r="C40" s="4">
        <v>29260</v>
      </c>
      <c r="D40" s="4">
        <v>28964</v>
      </c>
      <c r="E40" s="4">
        <v>27338</v>
      </c>
      <c r="F40" s="4">
        <v>24481</v>
      </c>
      <c r="G40" s="4">
        <v>29211</v>
      </c>
      <c r="H40" s="4">
        <v>33652</v>
      </c>
      <c r="I40" s="4">
        <v>28631</v>
      </c>
      <c r="J40" s="6" t="s">
        <v>13</v>
      </c>
      <c r="K40" s="6" t="s">
        <v>21</v>
      </c>
      <c r="L40">
        <f t="shared" si="0"/>
        <v>232503</v>
      </c>
    </row>
    <row r="41" spans="1:12">
      <c r="A41" s="4" t="s">
        <v>160</v>
      </c>
      <c r="B41" s="4">
        <v>28178</v>
      </c>
      <c r="C41" s="4">
        <v>30131</v>
      </c>
      <c r="D41" s="4">
        <v>29783</v>
      </c>
      <c r="E41" s="4">
        <v>28272</v>
      </c>
      <c r="F41" s="4">
        <v>28253</v>
      </c>
      <c r="G41" s="4">
        <v>30452</v>
      </c>
      <c r="H41" s="4">
        <v>29219</v>
      </c>
      <c r="I41" s="4">
        <v>28043</v>
      </c>
      <c r="J41" s="6" t="s">
        <v>13</v>
      </c>
      <c r="K41" s="6" t="s">
        <v>21</v>
      </c>
      <c r="L41">
        <f t="shared" si="0"/>
        <v>232331</v>
      </c>
    </row>
    <row r="42" spans="1:12">
      <c r="A42" s="4" t="s">
        <v>181</v>
      </c>
      <c r="B42" s="4">
        <v>28364</v>
      </c>
      <c r="C42" s="4">
        <v>27330</v>
      </c>
      <c r="D42" s="4">
        <v>28572</v>
      </c>
      <c r="E42" s="4">
        <v>27462</v>
      </c>
      <c r="F42" s="4">
        <v>27127</v>
      </c>
      <c r="G42" s="4">
        <v>28599</v>
      </c>
      <c r="H42" s="4">
        <v>28958</v>
      </c>
      <c r="I42" s="4">
        <v>29083</v>
      </c>
      <c r="J42" s="6" t="s">
        <v>13</v>
      </c>
      <c r="K42" s="6" t="s">
        <v>21</v>
      </c>
      <c r="L42">
        <f t="shared" si="0"/>
        <v>225495</v>
      </c>
    </row>
    <row r="43" spans="1:12">
      <c r="A43" s="4" t="s">
        <v>126</v>
      </c>
      <c r="B43" s="4">
        <v>27572</v>
      </c>
      <c r="C43" s="4">
        <v>28021</v>
      </c>
      <c r="D43" s="4">
        <v>27217</v>
      </c>
      <c r="E43" s="4">
        <v>28992</v>
      </c>
      <c r="F43" s="4">
        <v>26957</v>
      </c>
      <c r="G43" s="4">
        <v>28690</v>
      </c>
      <c r="H43" s="4">
        <v>28829</v>
      </c>
      <c r="I43" s="4">
        <v>28123</v>
      </c>
      <c r="J43" s="6" t="s">
        <v>13</v>
      </c>
      <c r="K43" s="6" t="s">
        <v>21</v>
      </c>
      <c r="L43">
        <f t="shared" si="0"/>
        <v>224401</v>
      </c>
    </row>
    <row r="44" spans="1:12">
      <c r="A44" s="4" t="s">
        <v>197</v>
      </c>
      <c r="B44" s="4">
        <v>26597</v>
      </c>
      <c r="C44" s="4">
        <v>25290</v>
      </c>
      <c r="D44" s="4">
        <v>26575</v>
      </c>
      <c r="E44" s="4">
        <v>26962</v>
      </c>
      <c r="F44" s="4">
        <v>27248</v>
      </c>
      <c r="G44" s="4">
        <v>27593</v>
      </c>
      <c r="H44" s="4">
        <v>27234</v>
      </c>
      <c r="I44" s="4">
        <v>26045</v>
      </c>
      <c r="J44" s="6" t="s">
        <v>13</v>
      </c>
      <c r="K44" s="6" t="s">
        <v>21</v>
      </c>
      <c r="L44">
        <f t="shared" si="0"/>
        <v>213544</v>
      </c>
    </row>
    <row r="45" spans="1:12">
      <c r="A45" s="4" t="s">
        <v>50</v>
      </c>
      <c r="B45" s="4">
        <v>24544</v>
      </c>
      <c r="C45" s="4">
        <v>24336</v>
      </c>
      <c r="D45" s="4">
        <v>24068</v>
      </c>
      <c r="E45" s="4">
        <v>24363</v>
      </c>
      <c r="F45" s="4">
        <v>23753</v>
      </c>
      <c r="G45" s="4">
        <v>23409</v>
      </c>
      <c r="H45" s="4">
        <v>23126</v>
      </c>
      <c r="I45" s="4">
        <v>24374</v>
      </c>
      <c r="J45" s="6" t="s">
        <v>13</v>
      </c>
      <c r="K45" s="6" t="s">
        <v>21</v>
      </c>
      <c r="L45">
        <f t="shared" si="0"/>
        <v>191973</v>
      </c>
    </row>
    <row r="46" spans="1:12">
      <c r="A46" s="4" t="s">
        <v>194</v>
      </c>
      <c r="B46" s="4">
        <v>23641</v>
      </c>
      <c r="C46" s="4">
        <v>24364</v>
      </c>
      <c r="D46" s="4">
        <v>24658</v>
      </c>
      <c r="E46" s="4">
        <v>23459</v>
      </c>
      <c r="F46" s="4">
        <v>24295</v>
      </c>
      <c r="G46" s="4">
        <v>23649</v>
      </c>
      <c r="H46" s="4">
        <v>22818</v>
      </c>
      <c r="I46" s="4">
        <v>22622</v>
      </c>
      <c r="J46" s="6" t="s">
        <v>13</v>
      </c>
      <c r="K46" s="6" t="s">
        <v>21</v>
      </c>
      <c r="L46">
        <f t="shared" si="0"/>
        <v>189506</v>
      </c>
    </row>
    <row r="47" spans="1:12">
      <c r="A47" s="4" t="s">
        <v>108</v>
      </c>
      <c r="B47" s="4">
        <v>169102</v>
      </c>
      <c r="C47" s="4">
        <v>196966</v>
      </c>
      <c r="D47" s="4">
        <v>139459</v>
      </c>
      <c r="E47" s="4">
        <v>177120</v>
      </c>
      <c r="F47" s="4">
        <v>184836</v>
      </c>
      <c r="G47" s="4">
        <v>166902</v>
      </c>
      <c r="H47" s="4">
        <v>145568</v>
      </c>
      <c r="I47" s="4">
        <v>151307</v>
      </c>
      <c r="J47" s="6" t="s">
        <v>13</v>
      </c>
      <c r="K47" s="6" t="s">
        <v>20</v>
      </c>
      <c r="L47">
        <f t="shared" si="0"/>
        <v>1331260</v>
      </c>
    </row>
    <row r="48" spans="1:12">
      <c r="A48" s="4" t="s">
        <v>251</v>
      </c>
      <c r="B48" s="4">
        <v>134375</v>
      </c>
      <c r="C48" s="4">
        <v>183477</v>
      </c>
      <c r="D48" s="4">
        <v>177917</v>
      </c>
      <c r="E48" s="4">
        <v>121428</v>
      </c>
      <c r="F48" s="4">
        <v>169078</v>
      </c>
      <c r="G48" s="4">
        <v>105832</v>
      </c>
      <c r="H48" s="4">
        <v>165602</v>
      </c>
      <c r="I48" s="4">
        <v>101023</v>
      </c>
      <c r="J48" s="6" t="s">
        <v>13</v>
      </c>
      <c r="K48" s="6" t="s">
        <v>20</v>
      </c>
      <c r="L48">
        <f t="shared" si="0"/>
        <v>1158732</v>
      </c>
    </row>
    <row r="49" spans="1:12">
      <c r="A49" s="4" t="s">
        <v>98</v>
      </c>
      <c r="B49" s="4">
        <v>112582</v>
      </c>
      <c r="C49" s="4">
        <v>102164</v>
      </c>
      <c r="D49" s="4">
        <v>155967</v>
      </c>
      <c r="E49" s="4">
        <v>120652</v>
      </c>
      <c r="F49" s="4">
        <v>105806</v>
      </c>
      <c r="G49" s="4">
        <v>179051</v>
      </c>
      <c r="H49" s="4">
        <v>130975</v>
      </c>
      <c r="I49" s="4">
        <v>167377</v>
      </c>
      <c r="J49" s="6" t="s">
        <v>13</v>
      </c>
      <c r="K49" s="6" t="s">
        <v>20</v>
      </c>
      <c r="L49">
        <f t="shared" si="0"/>
        <v>1074574</v>
      </c>
    </row>
    <row r="50" spans="1:12">
      <c r="A50" s="4" t="s">
        <v>172</v>
      </c>
      <c r="B50" s="4">
        <v>117937</v>
      </c>
      <c r="C50" s="4">
        <v>124879</v>
      </c>
      <c r="D50" s="4">
        <v>104705</v>
      </c>
      <c r="E50" s="4">
        <v>123525</v>
      </c>
      <c r="F50" s="4">
        <v>111447</v>
      </c>
      <c r="G50" s="4">
        <v>98585</v>
      </c>
      <c r="H50" s="4">
        <v>79518</v>
      </c>
      <c r="I50" s="4">
        <v>134750</v>
      </c>
      <c r="J50" s="6" t="s">
        <v>13</v>
      </c>
      <c r="K50" s="6" t="s">
        <v>20</v>
      </c>
      <c r="L50">
        <f t="shared" si="0"/>
        <v>895346</v>
      </c>
    </row>
    <row r="51" spans="1:12">
      <c r="A51" s="4" t="s">
        <v>53</v>
      </c>
      <c r="B51" s="4">
        <v>120049</v>
      </c>
      <c r="C51" s="4">
        <v>87487</v>
      </c>
      <c r="D51" s="4">
        <v>133354</v>
      </c>
      <c r="E51" s="4">
        <v>136275</v>
      </c>
      <c r="F51" s="4">
        <v>96969</v>
      </c>
      <c r="G51" s="4">
        <v>89559</v>
      </c>
      <c r="H51" s="4">
        <v>108537</v>
      </c>
      <c r="I51" s="4">
        <v>106705</v>
      </c>
      <c r="J51" s="6" t="s">
        <v>13</v>
      </c>
      <c r="K51" s="6" t="s">
        <v>20</v>
      </c>
      <c r="L51">
        <f t="shared" si="0"/>
        <v>878935</v>
      </c>
    </row>
    <row r="52" spans="1:12">
      <c r="A52" s="4" t="s">
        <v>270</v>
      </c>
      <c r="B52" s="4">
        <v>105397</v>
      </c>
      <c r="C52" s="4">
        <v>97560</v>
      </c>
      <c r="D52" s="4">
        <v>135115</v>
      </c>
      <c r="E52" s="4">
        <v>94085</v>
      </c>
      <c r="F52" s="4">
        <v>99918</v>
      </c>
      <c r="G52" s="4">
        <v>85577</v>
      </c>
      <c r="H52" s="4">
        <v>81643</v>
      </c>
      <c r="I52" s="4">
        <v>115003</v>
      </c>
      <c r="J52" s="6" t="s">
        <v>13</v>
      </c>
      <c r="K52" s="6" t="s">
        <v>20</v>
      </c>
      <c r="L52">
        <f t="shared" si="0"/>
        <v>814298</v>
      </c>
    </row>
    <row r="53" spans="1:12">
      <c r="A53" s="4" t="s">
        <v>99</v>
      </c>
      <c r="B53" s="4">
        <v>88967</v>
      </c>
      <c r="C53" s="4">
        <v>70548</v>
      </c>
      <c r="D53" s="4">
        <v>129734</v>
      </c>
      <c r="E53" s="4">
        <v>76967</v>
      </c>
      <c r="F53" s="4">
        <v>107626</v>
      </c>
      <c r="G53" s="4">
        <v>99913</v>
      </c>
      <c r="H53" s="4">
        <v>79430</v>
      </c>
      <c r="I53" s="4">
        <v>97069</v>
      </c>
      <c r="J53" s="6" t="s">
        <v>13</v>
      </c>
      <c r="K53" s="6" t="s">
        <v>20</v>
      </c>
      <c r="L53">
        <f t="shared" si="0"/>
        <v>750254</v>
      </c>
    </row>
    <row r="54" spans="1:12">
      <c r="A54" s="4" t="s">
        <v>189</v>
      </c>
      <c r="B54" s="4">
        <v>85060</v>
      </c>
      <c r="C54" s="4">
        <v>83385</v>
      </c>
      <c r="D54" s="4">
        <v>72696</v>
      </c>
      <c r="E54" s="4">
        <v>114327</v>
      </c>
      <c r="F54" s="4">
        <v>91162</v>
      </c>
      <c r="G54" s="4">
        <v>86396</v>
      </c>
      <c r="H54" s="4">
        <v>105449</v>
      </c>
      <c r="I54" s="4">
        <v>78454</v>
      </c>
      <c r="J54" s="6" t="s">
        <v>13</v>
      </c>
      <c r="K54" s="6" t="s">
        <v>20</v>
      </c>
      <c r="L54">
        <f t="shared" si="0"/>
        <v>716929</v>
      </c>
    </row>
    <row r="55" spans="1:12">
      <c r="A55" s="4" t="s">
        <v>239</v>
      </c>
      <c r="B55" s="4">
        <v>69139</v>
      </c>
      <c r="C55" s="4">
        <v>78328</v>
      </c>
      <c r="D55" s="4">
        <v>91553</v>
      </c>
      <c r="E55" s="4">
        <v>89146</v>
      </c>
      <c r="F55" s="4">
        <v>98518</v>
      </c>
      <c r="G55" s="4">
        <v>126451</v>
      </c>
      <c r="H55" s="4">
        <v>69511</v>
      </c>
      <c r="I55" s="4">
        <v>76886</v>
      </c>
      <c r="J55" s="6" t="s">
        <v>13</v>
      </c>
      <c r="K55" s="6" t="s">
        <v>20</v>
      </c>
      <c r="L55">
        <f t="shared" si="0"/>
        <v>699532</v>
      </c>
    </row>
    <row r="56" spans="1:12">
      <c r="A56" s="4" t="s">
        <v>134</v>
      </c>
      <c r="B56" s="4">
        <v>77602</v>
      </c>
      <c r="C56" s="4">
        <v>98935</v>
      </c>
      <c r="D56" s="4">
        <v>59707</v>
      </c>
      <c r="E56" s="4">
        <v>90156</v>
      </c>
      <c r="F56" s="4">
        <v>67534</v>
      </c>
      <c r="G56" s="4">
        <v>77949</v>
      </c>
      <c r="H56" s="4">
        <v>68753</v>
      </c>
      <c r="I56" s="4">
        <v>95319</v>
      </c>
      <c r="J56" s="6" t="s">
        <v>13</v>
      </c>
      <c r="K56" s="6" t="s">
        <v>20</v>
      </c>
      <c r="L56">
        <f t="shared" si="0"/>
        <v>635955</v>
      </c>
    </row>
    <row r="57" spans="1:12">
      <c r="A57" s="4" t="s">
        <v>114</v>
      </c>
      <c r="B57" s="4">
        <v>96120</v>
      </c>
      <c r="C57" s="4">
        <v>69488</v>
      </c>
      <c r="D57" s="4">
        <v>69811</v>
      </c>
      <c r="E57" s="4">
        <v>61619</v>
      </c>
      <c r="F57" s="4">
        <v>68592</v>
      </c>
      <c r="G57" s="4">
        <v>89718</v>
      </c>
      <c r="H57" s="4">
        <v>91685</v>
      </c>
      <c r="I57" s="4">
        <v>62678</v>
      </c>
      <c r="J57" s="6" t="s">
        <v>13</v>
      </c>
      <c r="K57" s="6" t="s">
        <v>20</v>
      </c>
      <c r="L57">
        <f t="shared" si="0"/>
        <v>609711</v>
      </c>
    </row>
    <row r="58" spans="1:12">
      <c r="A58" s="4" t="s">
        <v>235</v>
      </c>
      <c r="B58" s="4">
        <v>79078</v>
      </c>
      <c r="C58" s="4">
        <v>57526</v>
      </c>
      <c r="D58" s="4">
        <v>89888</v>
      </c>
      <c r="E58" s="4">
        <v>77964</v>
      </c>
      <c r="F58" s="4">
        <v>69779</v>
      </c>
      <c r="G58" s="4">
        <v>67996</v>
      </c>
      <c r="H58" s="4">
        <v>70373</v>
      </c>
      <c r="I58" s="4">
        <v>71721</v>
      </c>
      <c r="J58" s="6" t="s">
        <v>13</v>
      </c>
      <c r="K58" s="6" t="s">
        <v>20</v>
      </c>
      <c r="L58">
        <f t="shared" si="0"/>
        <v>584325</v>
      </c>
    </row>
    <row r="59" spans="1:12">
      <c r="A59" s="4" t="s">
        <v>276</v>
      </c>
      <c r="B59" s="4">
        <v>56331</v>
      </c>
      <c r="C59" s="4">
        <v>77453</v>
      </c>
      <c r="D59" s="4">
        <v>49464</v>
      </c>
      <c r="E59" s="4">
        <v>79807</v>
      </c>
      <c r="F59" s="4">
        <v>76630</v>
      </c>
      <c r="G59" s="4">
        <v>77481</v>
      </c>
      <c r="H59" s="4">
        <v>56459</v>
      </c>
      <c r="I59" s="4">
        <v>60757</v>
      </c>
      <c r="J59" s="6" t="s">
        <v>13</v>
      </c>
      <c r="K59" s="6" t="s">
        <v>20</v>
      </c>
      <c r="L59">
        <f t="shared" si="0"/>
        <v>534382</v>
      </c>
    </row>
    <row r="60" spans="1:12">
      <c r="A60" s="4" t="s">
        <v>73</v>
      </c>
      <c r="B60" s="4">
        <v>48838</v>
      </c>
      <c r="C60" s="4">
        <v>70380</v>
      </c>
      <c r="D60" s="4">
        <v>71926</v>
      </c>
      <c r="E60" s="4">
        <v>72903</v>
      </c>
      <c r="F60" s="4">
        <v>73024</v>
      </c>
      <c r="G60" s="4">
        <v>49235</v>
      </c>
      <c r="H60" s="4">
        <v>75527</v>
      </c>
      <c r="I60" s="4">
        <v>72489</v>
      </c>
      <c r="J60" s="6" t="s">
        <v>13</v>
      </c>
      <c r="K60" s="6" t="s">
        <v>20</v>
      </c>
      <c r="L60">
        <f t="shared" si="0"/>
        <v>534322</v>
      </c>
    </row>
    <row r="61" spans="1:12">
      <c r="A61" s="4" t="s">
        <v>158</v>
      </c>
      <c r="B61" s="4">
        <v>65000</v>
      </c>
      <c r="C61" s="4">
        <v>56193</v>
      </c>
      <c r="D61" s="4">
        <v>48933</v>
      </c>
      <c r="E61" s="4">
        <v>61567</v>
      </c>
      <c r="F61" s="4">
        <v>47436</v>
      </c>
      <c r="G61" s="4">
        <v>75259</v>
      </c>
      <c r="H61" s="4">
        <v>41925</v>
      </c>
      <c r="I61" s="4">
        <v>45582</v>
      </c>
      <c r="J61" s="6" t="s">
        <v>13</v>
      </c>
      <c r="K61" s="6" t="s">
        <v>20</v>
      </c>
      <c r="L61">
        <f t="shared" si="0"/>
        <v>441895</v>
      </c>
    </row>
    <row r="62" spans="1:12">
      <c r="A62" s="4" t="s">
        <v>148</v>
      </c>
      <c r="B62" s="4">
        <v>45620</v>
      </c>
      <c r="C62" s="4">
        <v>58067</v>
      </c>
      <c r="D62" s="4">
        <v>58176</v>
      </c>
      <c r="E62" s="4">
        <v>43216</v>
      </c>
      <c r="F62" s="4">
        <v>55803</v>
      </c>
      <c r="G62" s="4">
        <v>57162</v>
      </c>
      <c r="H62" s="4">
        <v>40751</v>
      </c>
      <c r="I62" s="4">
        <v>52909</v>
      </c>
      <c r="J62" s="6" t="s">
        <v>13</v>
      </c>
      <c r="K62" s="6" t="s">
        <v>20</v>
      </c>
      <c r="L62">
        <f t="shared" si="0"/>
        <v>411704</v>
      </c>
    </row>
    <row r="63" spans="1:12">
      <c r="A63" s="4" t="s">
        <v>283</v>
      </c>
      <c r="B63" s="4">
        <v>46506</v>
      </c>
      <c r="C63" s="4">
        <v>61275</v>
      </c>
      <c r="D63" s="4">
        <v>51139</v>
      </c>
      <c r="E63" s="4">
        <v>49120</v>
      </c>
      <c r="F63" s="4">
        <v>58145</v>
      </c>
      <c r="G63" s="4">
        <v>41350</v>
      </c>
      <c r="H63" s="4">
        <v>59737</v>
      </c>
      <c r="I63" s="4">
        <v>39221</v>
      </c>
      <c r="J63" s="6" t="s">
        <v>13</v>
      </c>
      <c r="K63" s="6" t="s">
        <v>20</v>
      </c>
      <c r="L63">
        <f t="shared" si="0"/>
        <v>406493</v>
      </c>
    </row>
    <row r="64" spans="1:12">
      <c r="A64" s="4" t="s">
        <v>178</v>
      </c>
      <c r="B64" s="4">
        <v>48337</v>
      </c>
      <c r="C64" s="4">
        <v>57844</v>
      </c>
      <c r="D64" s="4">
        <v>56994</v>
      </c>
      <c r="E64" s="4">
        <v>41926</v>
      </c>
      <c r="F64" s="4">
        <v>53313</v>
      </c>
      <c r="G64" s="4">
        <v>38963</v>
      </c>
      <c r="H64" s="4">
        <v>37324</v>
      </c>
      <c r="I64" s="4">
        <v>48874</v>
      </c>
      <c r="J64" s="6" t="s">
        <v>13</v>
      </c>
      <c r="K64" s="6" t="s">
        <v>20</v>
      </c>
      <c r="L64">
        <f t="shared" si="0"/>
        <v>383575</v>
      </c>
    </row>
    <row r="65" spans="1:12">
      <c r="A65" s="4" t="s">
        <v>111</v>
      </c>
      <c r="B65" s="4">
        <v>51900</v>
      </c>
      <c r="C65" s="4">
        <v>47917</v>
      </c>
      <c r="D65" s="4">
        <v>36259</v>
      </c>
      <c r="E65" s="4">
        <v>31414</v>
      </c>
      <c r="F65" s="4">
        <v>56909</v>
      </c>
      <c r="G65" s="4">
        <v>52536</v>
      </c>
      <c r="H65" s="4">
        <v>52328</v>
      </c>
      <c r="I65" s="4">
        <v>51986</v>
      </c>
      <c r="J65" s="6" t="s">
        <v>13</v>
      </c>
      <c r="K65" s="6" t="s">
        <v>20</v>
      </c>
      <c r="L65">
        <f t="shared" si="0"/>
        <v>381249</v>
      </c>
    </row>
    <row r="66" spans="1:12">
      <c r="A66" s="4" t="s">
        <v>219</v>
      </c>
      <c r="B66" s="4">
        <v>43488</v>
      </c>
      <c r="C66" s="4">
        <v>43113</v>
      </c>
      <c r="D66" s="4">
        <v>48418</v>
      </c>
      <c r="E66" s="4">
        <v>61574</v>
      </c>
      <c r="F66" s="4">
        <v>39499</v>
      </c>
      <c r="G66" s="4">
        <v>50893</v>
      </c>
      <c r="H66" s="4">
        <v>52155</v>
      </c>
      <c r="I66" s="4">
        <v>33935</v>
      </c>
      <c r="J66" s="6" t="s">
        <v>13</v>
      </c>
      <c r="K66" s="6" t="s">
        <v>20</v>
      </c>
      <c r="L66">
        <f t="shared" si="0"/>
        <v>373075</v>
      </c>
    </row>
    <row r="67" spans="1:12">
      <c r="A67" s="4" t="s">
        <v>176</v>
      </c>
      <c r="B67" s="4">
        <v>41622</v>
      </c>
      <c r="C67" s="4">
        <v>29519</v>
      </c>
      <c r="D67" s="4">
        <v>48951</v>
      </c>
      <c r="E67" s="4">
        <v>33257</v>
      </c>
      <c r="F67" s="4">
        <v>41302</v>
      </c>
      <c r="G67" s="4">
        <v>43373</v>
      </c>
      <c r="H67" s="4">
        <v>45425</v>
      </c>
      <c r="I67" s="4">
        <v>35399</v>
      </c>
      <c r="J67" s="6" t="s">
        <v>13</v>
      </c>
      <c r="K67" s="6" t="s">
        <v>20</v>
      </c>
      <c r="L67">
        <f t="shared" ref="L67:L130" si="3">SUM(B67:I67)</f>
        <v>318848</v>
      </c>
    </row>
    <row r="68" spans="1:12">
      <c r="A68" s="4" t="s">
        <v>264</v>
      </c>
      <c r="B68" s="4">
        <v>29931</v>
      </c>
      <c r="C68" s="4">
        <v>34706</v>
      </c>
      <c r="D68" s="4">
        <v>40542</v>
      </c>
      <c r="E68" s="4">
        <v>43369</v>
      </c>
      <c r="F68" s="4">
        <v>35015</v>
      </c>
      <c r="G68" s="4">
        <v>30652</v>
      </c>
      <c r="H68" s="4">
        <v>35399</v>
      </c>
      <c r="I68" s="4">
        <v>33547</v>
      </c>
      <c r="J68" s="6" t="s">
        <v>13</v>
      </c>
      <c r="K68" s="6" t="s">
        <v>20</v>
      </c>
      <c r="L68">
        <f t="shared" si="3"/>
        <v>283161</v>
      </c>
    </row>
    <row r="69" spans="1:12">
      <c r="A69" s="4" t="s">
        <v>165</v>
      </c>
      <c r="B69" s="4">
        <v>38303</v>
      </c>
      <c r="C69" s="4">
        <v>41648</v>
      </c>
      <c r="D69" s="4">
        <v>37715</v>
      </c>
      <c r="E69" s="4">
        <v>24105</v>
      </c>
      <c r="F69" s="4">
        <v>27900</v>
      </c>
      <c r="G69" s="4">
        <v>29316</v>
      </c>
      <c r="H69" s="4">
        <v>40531</v>
      </c>
      <c r="I69" s="4">
        <v>36466</v>
      </c>
      <c r="J69" s="6" t="s">
        <v>13</v>
      </c>
      <c r="K69" s="6" t="s">
        <v>20</v>
      </c>
      <c r="L69">
        <f t="shared" si="3"/>
        <v>275984</v>
      </c>
    </row>
    <row r="70" spans="1:12">
      <c r="A70" s="4" t="s">
        <v>177</v>
      </c>
      <c r="B70" s="4">
        <v>31846</v>
      </c>
      <c r="C70" s="4">
        <v>38550</v>
      </c>
      <c r="D70" s="4">
        <v>32691</v>
      </c>
      <c r="E70" s="4">
        <v>28136</v>
      </c>
      <c r="F70" s="4">
        <v>40001</v>
      </c>
      <c r="G70" s="4">
        <v>36667</v>
      </c>
      <c r="H70" s="4">
        <v>25861</v>
      </c>
      <c r="I70" s="4">
        <v>28328</v>
      </c>
      <c r="J70" s="6" t="s">
        <v>13</v>
      </c>
      <c r="K70" s="6" t="s">
        <v>20</v>
      </c>
      <c r="L70">
        <f t="shared" si="3"/>
        <v>262080</v>
      </c>
    </row>
    <row r="71" spans="1:12">
      <c r="A71" s="4" t="s">
        <v>164</v>
      </c>
      <c r="B71" s="4">
        <v>29501</v>
      </c>
      <c r="C71" s="4">
        <v>28833</v>
      </c>
      <c r="D71" s="4">
        <v>29182</v>
      </c>
      <c r="E71" s="4">
        <v>27855</v>
      </c>
      <c r="F71" s="4">
        <v>31814</v>
      </c>
      <c r="G71" s="4">
        <v>28314</v>
      </c>
      <c r="H71" s="4">
        <v>38704</v>
      </c>
      <c r="I71" s="4">
        <v>43776</v>
      </c>
      <c r="J71" s="6" t="s">
        <v>13</v>
      </c>
      <c r="K71" s="6" t="s">
        <v>20</v>
      </c>
      <c r="L71">
        <f t="shared" si="3"/>
        <v>257979</v>
      </c>
    </row>
    <row r="72" spans="1:12">
      <c r="A72" s="4" t="s">
        <v>127</v>
      </c>
      <c r="B72" s="4">
        <v>23255</v>
      </c>
      <c r="C72" s="4">
        <v>26163</v>
      </c>
      <c r="D72" s="4">
        <v>33186</v>
      </c>
      <c r="E72" s="4">
        <v>28178</v>
      </c>
      <c r="F72" s="4">
        <v>38498</v>
      </c>
      <c r="G72" s="4">
        <v>36108</v>
      </c>
      <c r="H72" s="4">
        <v>24688</v>
      </c>
      <c r="I72" s="4">
        <v>36095</v>
      </c>
      <c r="J72" s="6" t="s">
        <v>13</v>
      </c>
      <c r="K72" s="6" t="s">
        <v>20</v>
      </c>
      <c r="L72">
        <f t="shared" si="3"/>
        <v>246171</v>
      </c>
    </row>
    <row r="73" spans="1:12">
      <c r="A73" s="4" t="s">
        <v>185</v>
      </c>
      <c r="B73" s="4">
        <v>26852</v>
      </c>
      <c r="C73" s="4">
        <v>20580</v>
      </c>
      <c r="D73" s="4">
        <v>31402</v>
      </c>
      <c r="E73" s="4">
        <v>24970</v>
      </c>
      <c r="F73" s="4">
        <v>35818</v>
      </c>
      <c r="G73" s="4">
        <v>21166</v>
      </c>
      <c r="H73" s="4">
        <v>24076</v>
      </c>
      <c r="I73" s="4">
        <v>36839</v>
      </c>
      <c r="J73" s="6" t="s">
        <v>13</v>
      </c>
      <c r="K73" s="6" t="s">
        <v>20</v>
      </c>
      <c r="L73">
        <f t="shared" si="3"/>
        <v>221703</v>
      </c>
    </row>
    <row r="74" spans="1:12">
      <c r="A74" s="4" t="s">
        <v>76</v>
      </c>
      <c r="B74" s="4">
        <v>22347</v>
      </c>
      <c r="C74" s="4">
        <v>30055</v>
      </c>
      <c r="D74" s="4">
        <v>21814</v>
      </c>
      <c r="E74" s="4">
        <v>20468</v>
      </c>
      <c r="F74" s="4">
        <v>33119</v>
      </c>
      <c r="G74" s="4">
        <v>31550</v>
      </c>
      <c r="H74" s="4">
        <v>26866</v>
      </c>
      <c r="I74" s="4">
        <v>19855</v>
      </c>
      <c r="J74" s="6" t="s">
        <v>13</v>
      </c>
      <c r="K74" s="6" t="s">
        <v>20</v>
      </c>
      <c r="L74">
        <f t="shared" si="3"/>
        <v>206074</v>
      </c>
    </row>
    <row r="75" spans="1:12">
      <c r="A75" s="4" t="s">
        <v>151</v>
      </c>
      <c r="B75" s="4">
        <v>22573</v>
      </c>
      <c r="C75" s="4">
        <v>16491</v>
      </c>
      <c r="D75" s="4">
        <v>28947</v>
      </c>
      <c r="E75" s="4">
        <v>28098</v>
      </c>
      <c r="F75" s="4">
        <v>24871</v>
      </c>
      <c r="G75" s="4">
        <v>26883</v>
      </c>
      <c r="H75" s="4">
        <v>24484</v>
      </c>
      <c r="I75" s="4">
        <v>21854</v>
      </c>
      <c r="J75" s="6" t="s">
        <v>13</v>
      </c>
      <c r="K75" s="6" t="s">
        <v>20</v>
      </c>
      <c r="L75">
        <f t="shared" si="3"/>
        <v>194201</v>
      </c>
    </row>
    <row r="76" spans="1:12">
      <c r="A76" s="4" t="s">
        <v>175</v>
      </c>
      <c r="B76" s="4">
        <v>20928</v>
      </c>
      <c r="C76" s="4">
        <v>17822</v>
      </c>
      <c r="D76" s="4">
        <v>29109</v>
      </c>
      <c r="E76" s="4">
        <v>28398</v>
      </c>
      <c r="F76" s="4">
        <v>25871</v>
      </c>
      <c r="G76" s="4">
        <v>18303</v>
      </c>
      <c r="H76" s="4">
        <v>25788</v>
      </c>
      <c r="I76" s="4">
        <v>27559</v>
      </c>
      <c r="J76" s="6" t="s">
        <v>13</v>
      </c>
      <c r="K76" s="6" t="s">
        <v>20</v>
      </c>
      <c r="L76">
        <f t="shared" si="3"/>
        <v>193778</v>
      </c>
    </row>
    <row r="77" spans="1:12">
      <c r="A77" s="4" t="s">
        <v>89</v>
      </c>
      <c r="B77" s="4">
        <v>19433</v>
      </c>
      <c r="C77" s="4">
        <v>19651</v>
      </c>
      <c r="D77" s="4">
        <v>28199</v>
      </c>
      <c r="E77" s="4">
        <v>25972</v>
      </c>
      <c r="F77" s="4">
        <v>19614</v>
      </c>
      <c r="G77" s="4">
        <v>25425</v>
      </c>
      <c r="H77" s="4">
        <v>25804</v>
      </c>
      <c r="I77" s="4">
        <v>22467</v>
      </c>
      <c r="J77" s="6" t="s">
        <v>13</v>
      </c>
      <c r="K77" s="6" t="s">
        <v>20</v>
      </c>
      <c r="L77">
        <f t="shared" si="3"/>
        <v>186565</v>
      </c>
    </row>
    <row r="78" spans="1:12">
      <c r="A78" s="4" t="s">
        <v>240</v>
      </c>
      <c r="B78" s="4">
        <v>27143</v>
      </c>
      <c r="C78" s="4">
        <v>19102</v>
      </c>
      <c r="D78" s="4">
        <v>27320</v>
      </c>
      <c r="E78" s="4">
        <v>18959</v>
      </c>
      <c r="F78" s="4">
        <v>26504</v>
      </c>
      <c r="G78" s="4">
        <v>18767</v>
      </c>
      <c r="H78" s="4">
        <v>26621</v>
      </c>
      <c r="I78" s="4">
        <v>21034</v>
      </c>
      <c r="J78" s="6" t="s">
        <v>13</v>
      </c>
      <c r="K78" s="6" t="s">
        <v>20</v>
      </c>
      <c r="L78">
        <f t="shared" si="3"/>
        <v>185450</v>
      </c>
    </row>
    <row r="79" spans="1:12">
      <c r="A79" s="4" t="s">
        <v>74</v>
      </c>
      <c r="B79" s="4">
        <v>130728</v>
      </c>
      <c r="C79" s="4">
        <v>236463</v>
      </c>
      <c r="D79" s="4">
        <v>286103</v>
      </c>
      <c r="E79" s="4">
        <v>95959</v>
      </c>
      <c r="F79" s="4">
        <v>273948</v>
      </c>
      <c r="G79" s="4">
        <v>37731</v>
      </c>
      <c r="H79" s="4">
        <v>226890</v>
      </c>
      <c r="I79" s="4">
        <v>128512</v>
      </c>
      <c r="J79" s="6" t="s">
        <v>13</v>
      </c>
      <c r="K79" s="6" t="s">
        <v>19</v>
      </c>
      <c r="L79">
        <f t="shared" si="3"/>
        <v>1416334</v>
      </c>
    </row>
    <row r="80" spans="1:12">
      <c r="A80" s="4" t="s">
        <v>159</v>
      </c>
      <c r="B80" s="4">
        <v>105877</v>
      </c>
      <c r="C80" s="4">
        <v>355725</v>
      </c>
      <c r="D80" s="4">
        <v>295403</v>
      </c>
      <c r="E80" s="4">
        <v>136486</v>
      </c>
      <c r="F80" s="4">
        <v>50753</v>
      </c>
      <c r="G80" s="4">
        <v>63301</v>
      </c>
      <c r="H80" s="4">
        <v>334894</v>
      </c>
      <c r="I80" s="4">
        <v>45493</v>
      </c>
      <c r="J80" s="6" t="s">
        <v>13</v>
      </c>
      <c r="K80" s="6" t="s">
        <v>19</v>
      </c>
      <c r="L80">
        <f t="shared" si="3"/>
        <v>1387932</v>
      </c>
    </row>
    <row r="81" spans="1:12">
      <c r="A81" s="4" t="s">
        <v>133</v>
      </c>
      <c r="B81" s="4">
        <v>211636</v>
      </c>
      <c r="C81" s="4">
        <v>30490</v>
      </c>
      <c r="D81" s="4">
        <v>197476</v>
      </c>
      <c r="E81" s="4">
        <v>82485</v>
      </c>
      <c r="F81" s="4">
        <v>242676</v>
      </c>
      <c r="G81" s="4">
        <v>89540</v>
      </c>
      <c r="H81" s="4">
        <v>212049</v>
      </c>
      <c r="I81" s="4">
        <v>218590</v>
      </c>
      <c r="J81" s="6" t="s">
        <v>13</v>
      </c>
      <c r="K81" s="6" t="s">
        <v>19</v>
      </c>
      <c r="L81">
        <f t="shared" si="3"/>
        <v>1284942</v>
      </c>
    </row>
    <row r="82" spans="1:12">
      <c r="A82" s="4" t="s">
        <v>84</v>
      </c>
      <c r="B82" s="4">
        <v>301051</v>
      </c>
      <c r="C82" s="4">
        <v>43950</v>
      </c>
      <c r="D82" s="4">
        <v>36063</v>
      </c>
      <c r="E82" s="4">
        <v>237377</v>
      </c>
      <c r="F82" s="4">
        <v>255939</v>
      </c>
      <c r="G82" s="4">
        <v>204030</v>
      </c>
      <c r="H82" s="4">
        <v>46386</v>
      </c>
      <c r="I82" s="4">
        <v>119785</v>
      </c>
      <c r="J82" s="6" t="s">
        <v>13</v>
      </c>
      <c r="K82" s="6" t="s">
        <v>19</v>
      </c>
      <c r="L82">
        <f t="shared" si="3"/>
        <v>1244581</v>
      </c>
    </row>
    <row r="83" spans="1:12">
      <c r="A83" s="4" t="s">
        <v>93</v>
      </c>
      <c r="B83" s="4">
        <v>217580</v>
      </c>
      <c r="C83" s="4">
        <v>108546</v>
      </c>
      <c r="D83" s="4">
        <v>76494</v>
      </c>
      <c r="E83" s="4">
        <v>74759</v>
      </c>
      <c r="F83" s="4">
        <v>200230</v>
      </c>
      <c r="G83" s="4">
        <v>73810</v>
      </c>
      <c r="H83" s="4">
        <v>205076</v>
      </c>
      <c r="I83" s="4">
        <v>247366</v>
      </c>
      <c r="J83" s="6" t="s">
        <v>13</v>
      </c>
      <c r="K83" s="6" t="s">
        <v>19</v>
      </c>
      <c r="L83">
        <f t="shared" si="3"/>
        <v>1203861</v>
      </c>
    </row>
    <row r="84" spans="1:12">
      <c r="A84" s="4" t="s">
        <v>277</v>
      </c>
      <c r="B84" s="4">
        <v>23888</v>
      </c>
      <c r="C84" s="4">
        <v>165036</v>
      </c>
      <c r="D84" s="4">
        <v>32906</v>
      </c>
      <c r="E84" s="4">
        <v>198319</v>
      </c>
      <c r="F84" s="4">
        <v>188123</v>
      </c>
      <c r="G84" s="4">
        <v>161296</v>
      </c>
      <c r="H84" s="4">
        <v>222477</v>
      </c>
      <c r="I84" s="4">
        <v>84130</v>
      </c>
      <c r="J84" s="6" t="s">
        <v>13</v>
      </c>
      <c r="K84" s="6" t="s">
        <v>19</v>
      </c>
      <c r="L84">
        <f t="shared" si="3"/>
        <v>1076175</v>
      </c>
    </row>
    <row r="85" spans="1:12">
      <c r="A85" s="4" t="s">
        <v>107</v>
      </c>
      <c r="B85" s="4">
        <v>157895</v>
      </c>
      <c r="C85" s="4">
        <v>174828</v>
      </c>
      <c r="D85" s="4">
        <v>25666</v>
      </c>
      <c r="E85" s="4">
        <v>172912</v>
      </c>
      <c r="F85" s="4">
        <v>58834</v>
      </c>
      <c r="G85" s="4">
        <v>205205</v>
      </c>
      <c r="H85" s="4">
        <v>56632</v>
      </c>
      <c r="I85" s="4">
        <v>222102</v>
      </c>
      <c r="J85" s="6" t="s">
        <v>13</v>
      </c>
      <c r="K85" s="6" t="s">
        <v>19</v>
      </c>
      <c r="L85">
        <f t="shared" si="3"/>
        <v>1074074</v>
      </c>
    </row>
    <row r="86" spans="1:12">
      <c r="A86" s="4" t="s">
        <v>106</v>
      </c>
      <c r="B86" s="4">
        <v>70719</v>
      </c>
      <c r="C86" s="4">
        <v>48284</v>
      </c>
      <c r="D86" s="4">
        <v>49683</v>
      </c>
      <c r="E86" s="4">
        <v>166019</v>
      </c>
      <c r="F86" s="4">
        <v>136536</v>
      </c>
      <c r="G86" s="4">
        <v>166050</v>
      </c>
      <c r="H86" s="4">
        <v>122081</v>
      </c>
      <c r="I86" s="4">
        <v>136941</v>
      </c>
      <c r="J86" s="6" t="s">
        <v>13</v>
      </c>
      <c r="K86" s="6" t="s">
        <v>19</v>
      </c>
      <c r="L86">
        <f t="shared" si="3"/>
        <v>896313</v>
      </c>
    </row>
    <row r="87" spans="1:12">
      <c r="A87" s="4" t="s">
        <v>100</v>
      </c>
      <c r="B87" s="4">
        <v>20629</v>
      </c>
      <c r="C87" s="4">
        <v>62167</v>
      </c>
      <c r="D87" s="4">
        <v>221204</v>
      </c>
      <c r="E87" s="4">
        <v>41138</v>
      </c>
      <c r="F87" s="4">
        <v>186877</v>
      </c>
      <c r="G87" s="4">
        <v>24919</v>
      </c>
      <c r="H87" s="4">
        <v>86747</v>
      </c>
      <c r="I87" s="4">
        <v>180138</v>
      </c>
      <c r="J87" s="6" t="s">
        <v>13</v>
      </c>
      <c r="K87" s="6" t="s">
        <v>19</v>
      </c>
      <c r="L87">
        <f t="shared" si="3"/>
        <v>823819</v>
      </c>
    </row>
    <row r="88" spans="1:12">
      <c r="A88" s="4" t="s">
        <v>61</v>
      </c>
      <c r="B88" s="4">
        <v>71905</v>
      </c>
      <c r="C88" s="4">
        <v>24092</v>
      </c>
      <c r="D88" s="4">
        <v>32444</v>
      </c>
      <c r="E88" s="4">
        <v>175694</v>
      </c>
      <c r="F88" s="4">
        <v>20174</v>
      </c>
      <c r="G88" s="4">
        <v>152402</v>
      </c>
      <c r="H88" s="4">
        <v>23707</v>
      </c>
      <c r="I88" s="4">
        <v>125274</v>
      </c>
      <c r="J88" s="6" t="s">
        <v>13</v>
      </c>
      <c r="K88" s="6" t="s">
        <v>19</v>
      </c>
      <c r="L88">
        <f t="shared" si="3"/>
        <v>625692</v>
      </c>
    </row>
    <row r="89" spans="1:12">
      <c r="A89" s="4" t="s">
        <v>182</v>
      </c>
      <c r="B89" s="4">
        <v>26723</v>
      </c>
      <c r="C89" s="4">
        <v>41581</v>
      </c>
      <c r="D89" s="4">
        <v>131523</v>
      </c>
      <c r="E89" s="4">
        <v>42565</v>
      </c>
      <c r="F89" s="4">
        <v>96958</v>
      </c>
      <c r="G89" s="4">
        <v>94718</v>
      </c>
      <c r="H89" s="4">
        <v>121767</v>
      </c>
      <c r="I89" s="4">
        <v>40911</v>
      </c>
      <c r="J89" s="6" t="s">
        <v>13</v>
      </c>
      <c r="K89" s="6" t="s">
        <v>19</v>
      </c>
      <c r="L89">
        <f t="shared" si="3"/>
        <v>596746</v>
      </c>
    </row>
    <row r="90" spans="1:12">
      <c r="A90" s="4" t="s">
        <v>211</v>
      </c>
      <c r="B90" s="4">
        <v>54165</v>
      </c>
      <c r="C90" s="4">
        <v>136608</v>
      </c>
      <c r="D90" s="4">
        <v>102739</v>
      </c>
      <c r="E90" s="4">
        <v>17201</v>
      </c>
      <c r="F90" s="4">
        <v>17215</v>
      </c>
      <c r="G90" s="4">
        <v>120409</v>
      </c>
      <c r="H90" s="4">
        <v>24802</v>
      </c>
      <c r="I90" s="4">
        <v>45711</v>
      </c>
      <c r="J90" s="6" t="s">
        <v>13</v>
      </c>
      <c r="K90" s="6" t="s">
        <v>19</v>
      </c>
      <c r="L90">
        <f t="shared" si="3"/>
        <v>518850</v>
      </c>
    </row>
    <row r="91" spans="1:12">
      <c r="A91" s="4" t="s">
        <v>212</v>
      </c>
      <c r="B91" s="4">
        <v>32525</v>
      </c>
      <c r="C91" s="4">
        <v>65497</v>
      </c>
      <c r="D91" s="4">
        <v>133894</v>
      </c>
      <c r="E91" s="4">
        <v>26936</v>
      </c>
      <c r="F91" s="4">
        <v>169888</v>
      </c>
      <c r="G91" s="4">
        <v>43037</v>
      </c>
      <c r="H91" s="4">
        <v>20236</v>
      </c>
      <c r="I91" s="4">
        <v>25065</v>
      </c>
      <c r="J91" s="6" t="s">
        <v>13</v>
      </c>
      <c r="K91" s="6" t="s">
        <v>19</v>
      </c>
      <c r="L91">
        <f t="shared" si="3"/>
        <v>517078</v>
      </c>
    </row>
    <row r="92" spans="1:12">
      <c r="A92" s="4" t="s">
        <v>220</v>
      </c>
      <c r="B92" s="4">
        <v>109212</v>
      </c>
      <c r="C92" s="4">
        <v>95815</v>
      </c>
      <c r="D92" s="4">
        <v>11766</v>
      </c>
      <c r="E92" s="4">
        <v>92607</v>
      </c>
      <c r="F92" s="4">
        <v>22646</v>
      </c>
      <c r="G92" s="4">
        <v>45272</v>
      </c>
      <c r="H92" s="4">
        <v>17810</v>
      </c>
      <c r="I92" s="4">
        <v>119302</v>
      </c>
      <c r="J92" s="6" t="s">
        <v>13</v>
      </c>
      <c r="K92" s="6" t="s">
        <v>19</v>
      </c>
      <c r="L92">
        <f t="shared" si="3"/>
        <v>514430</v>
      </c>
    </row>
    <row r="93" spans="1:12">
      <c r="A93" s="4" t="s">
        <v>137</v>
      </c>
      <c r="B93" s="4">
        <v>89169</v>
      </c>
      <c r="C93" s="4">
        <v>12378</v>
      </c>
      <c r="D93" s="4">
        <v>18578</v>
      </c>
      <c r="E93" s="4">
        <v>102619</v>
      </c>
      <c r="F93" s="4">
        <v>15826</v>
      </c>
      <c r="G93" s="4">
        <v>84688</v>
      </c>
      <c r="H93" s="4">
        <v>92993</v>
      </c>
      <c r="I93" s="4">
        <v>9372</v>
      </c>
      <c r="J93" s="6" t="s">
        <v>13</v>
      </c>
      <c r="K93" s="6" t="s">
        <v>19</v>
      </c>
      <c r="L93">
        <f t="shared" si="3"/>
        <v>425623</v>
      </c>
    </row>
    <row r="94" spans="1:12">
      <c r="A94" s="4" t="s">
        <v>82</v>
      </c>
      <c r="B94" s="4">
        <v>103854</v>
      </c>
      <c r="C94" s="4">
        <v>68992</v>
      </c>
      <c r="D94" s="4">
        <v>19728</v>
      </c>
      <c r="E94" s="4">
        <v>80505</v>
      </c>
      <c r="F94" s="4">
        <v>18382</v>
      </c>
      <c r="G94" s="4">
        <v>87351</v>
      </c>
      <c r="H94" s="4">
        <v>27499</v>
      </c>
      <c r="I94" s="4">
        <v>9179</v>
      </c>
      <c r="J94" s="6" t="s">
        <v>13</v>
      </c>
      <c r="K94" s="6" t="s">
        <v>19</v>
      </c>
      <c r="L94">
        <f t="shared" si="3"/>
        <v>415490</v>
      </c>
    </row>
    <row r="95" spans="1:12">
      <c r="A95" s="4" t="s">
        <v>188</v>
      </c>
      <c r="B95" s="4">
        <v>47151</v>
      </c>
      <c r="C95" s="4">
        <v>20114</v>
      </c>
      <c r="D95" s="4">
        <v>142125</v>
      </c>
      <c r="E95" s="4">
        <v>26323</v>
      </c>
      <c r="F95" s="4">
        <v>42693</v>
      </c>
      <c r="G95" s="4">
        <v>41622</v>
      </c>
      <c r="H95" s="4">
        <v>23827</v>
      </c>
      <c r="I95" s="4">
        <v>55882</v>
      </c>
      <c r="J95" s="6" t="s">
        <v>13</v>
      </c>
      <c r="K95" s="6" t="s">
        <v>19</v>
      </c>
      <c r="L95">
        <f t="shared" si="3"/>
        <v>399737</v>
      </c>
    </row>
    <row r="96" spans="1:12">
      <c r="A96" s="4" t="s">
        <v>143</v>
      </c>
      <c r="B96" s="4">
        <v>67640</v>
      </c>
      <c r="C96" s="4">
        <v>33667</v>
      </c>
      <c r="D96" s="4">
        <v>14718</v>
      </c>
      <c r="E96" s="4">
        <v>9758</v>
      </c>
      <c r="F96" s="4">
        <v>36253</v>
      </c>
      <c r="G96" s="4">
        <v>64690</v>
      </c>
      <c r="H96" s="4">
        <v>86899</v>
      </c>
      <c r="I96" s="4">
        <v>84503</v>
      </c>
      <c r="J96" s="6" t="s">
        <v>13</v>
      </c>
      <c r="K96" s="6" t="s">
        <v>19</v>
      </c>
      <c r="L96">
        <f t="shared" si="3"/>
        <v>398128</v>
      </c>
    </row>
    <row r="97" spans="1:12">
      <c r="A97" s="4" t="s">
        <v>221</v>
      </c>
      <c r="B97" s="4">
        <v>49366</v>
      </c>
      <c r="C97" s="4">
        <v>45316</v>
      </c>
      <c r="D97" s="4">
        <v>48873</v>
      </c>
      <c r="E97" s="4">
        <v>95488</v>
      </c>
      <c r="F97" s="4">
        <v>19964</v>
      </c>
      <c r="G97" s="4">
        <v>43563</v>
      </c>
      <c r="H97" s="4">
        <v>49453</v>
      </c>
      <c r="I97" s="4">
        <v>24952</v>
      </c>
      <c r="J97" s="6" t="s">
        <v>13</v>
      </c>
      <c r="K97" s="6" t="s">
        <v>19</v>
      </c>
      <c r="L97">
        <f t="shared" si="3"/>
        <v>376975</v>
      </c>
    </row>
    <row r="98" spans="1:12">
      <c r="A98" s="4" t="s">
        <v>66</v>
      </c>
      <c r="B98" s="4">
        <v>9609</v>
      </c>
      <c r="C98" s="4">
        <v>20194</v>
      </c>
      <c r="D98" s="4">
        <v>35315</v>
      </c>
      <c r="E98" s="4">
        <v>73940</v>
      </c>
      <c r="F98" s="4">
        <v>43757</v>
      </c>
      <c r="G98" s="4">
        <v>73362</v>
      </c>
      <c r="H98" s="4">
        <v>41513</v>
      </c>
      <c r="I98" s="4">
        <v>72137</v>
      </c>
      <c r="J98" s="6" t="s">
        <v>13</v>
      </c>
      <c r="K98" s="6" t="s">
        <v>19</v>
      </c>
      <c r="L98">
        <f t="shared" si="3"/>
        <v>369827</v>
      </c>
    </row>
    <row r="99" spans="1:12">
      <c r="A99" s="4" t="s">
        <v>83</v>
      </c>
      <c r="B99" s="4">
        <v>33655</v>
      </c>
      <c r="C99" s="4">
        <v>9947</v>
      </c>
      <c r="D99" s="4">
        <v>104523</v>
      </c>
      <c r="E99" s="4">
        <v>41111</v>
      </c>
      <c r="F99" s="4">
        <v>16925</v>
      </c>
      <c r="G99" s="4">
        <v>16654</v>
      </c>
      <c r="H99" s="4">
        <v>108643</v>
      </c>
      <c r="I99" s="4">
        <v>29524</v>
      </c>
      <c r="J99" s="6" t="s">
        <v>13</v>
      </c>
      <c r="K99" s="6" t="s">
        <v>19</v>
      </c>
      <c r="L99">
        <f t="shared" si="3"/>
        <v>360982</v>
      </c>
    </row>
    <row r="100" spans="1:12">
      <c r="A100" s="4" t="s">
        <v>245</v>
      </c>
      <c r="B100" s="4">
        <v>13010</v>
      </c>
      <c r="C100" s="4">
        <v>70578</v>
      </c>
      <c r="D100" s="4">
        <v>34251</v>
      </c>
      <c r="E100" s="4">
        <v>22727</v>
      </c>
      <c r="F100" s="4">
        <v>77156</v>
      </c>
      <c r="G100" s="4">
        <v>16158</v>
      </c>
      <c r="H100" s="4">
        <v>91851</v>
      </c>
      <c r="I100" s="4">
        <v>27734</v>
      </c>
      <c r="J100" s="6" t="s">
        <v>13</v>
      </c>
      <c r="K100" s="6" t="s">
        <v>19</v>
      </c>
      <c r="L100">
        <f t="shared" si="3"/>
        <v>353465</v>
      </c>
    </row>
    <row r="101" spans="1:12">
      <c r="A101" s="4" t="s">
        <v>157</v>
      </c>
      <c r="B101" s="4">
        <v>76750</v>
      </c>
      <c r="C101" s="4">
        <v>80234</v>
      </c>
      <c r="D101" s="4">
        <v>12547</v>
      </c>
      <c r="E101" s="4">
        <v>27129</v>
      </c>
      <c r="F101" s="4">
        <v>9455</v>
      </c>
      <c r="G101" s="4">
        <v>28056</v>
      </c>
      <c r="H101" s="4">
        <v>28827</v>
      </c>
      <c r="I101" s="4">
        <v>65293</v>
      </c>
      <c r="J101" s="6" t="s">
        <v>13</v>
      </c>
      <c r="K101" s="6" t="s">
        <v>19</v>
      </c>
      <c r="L101">
        <f t="shared" si="3"/>
        <v>328291</v>
      </c>
    </row>
    <row r="102" spans="1:12">
      <c r="A102" s="4" t="s">
        <v>223</v>
      </c>
      <c r="B102" s="4">
        <v>53529</v>
      </c>
      <c r="C102" s="4">
        <v>13498</v>
      </c>
      <c r="D102" s="4">
        <v>57839</v>
      </c>
      <c r="E102" s="4">
        <v>8592</v>
      </c>
      <c r="F102" s="4">
        <v>72409</v>
      </c>
      <c r="G102" s="4">
        <v>33350</v>
      </c>
      <c r="H102" s="4">
        <v>23063</v>
      </c>
      <c r="I102" s="4">
        <v>54944</v>
      </c>
      <c r="J102" s="6" t="s">
        <v>13</v>
      </c>
      <c r="K102" s="6" t="s">
        <v>19</v>
      </c>
      <c r="L102">
        <f t="shared" si="3"/>
        <v>317224</v>
      </c>
    </row>
    <row r="103" spans="1:12">
      <c r="A103" s="4" t="s">
        <v>113</v>
      </c>
      <c r="B103" s="4">
        <v>21359</v>
      </c>
      <c r="C103" s="4">
        <v>25065</v>
      </c>
      <c r="D103" s="4">
        <v>69542</v>
      </c>
      <c r="E103" s="4">
        <v>23946</v>
      </c>
      <c r="F103" s="4">
        <v>56491</v>
      </c>
      <c r="G103" s="4">
        <v>13752</v>
      </c>
      <c r="H103" s="4">
        <v>22240</v>
      </c>
      <c r="I103" s="4">
        <v>68646</v>
      </c>
      <c r="J103" s="6" t="s">
        <v>13</v>
      </c>
      <c r="K103" s="6" t="s">
        <v>19</v>
      </c>
      <c r="L103">
        <f t="shared" si="3"/>
        <v>301041</v>
      </c>
    </row>
    <row r="104" spans="1:12">
      <c r="A104" s="4" t="s">
        <v>190</v>
      </c>
      <c r="B104" s="4">
        <v>43140</v>
      </c>
      <c r="C104" s="4">
        <v>56059</v>
      </c>
      <c r="D104" s="4">
        <v>51975</v>
      </c>
      <c r="E104" s="4">
        <v>14061</v>
      </c>
      <c r="F104" s="4">
        <v>7541</v>
      </c>
      <c r="G104" s="4">
        <v>20557</v>
      </c>
      <c r="H104" s="4">
        <v>57460</v>
      </c>
      <c r="I104" s="4">
        <v>22868</v>
      </c>
      <c r="J104" s="6" t="s">
        <v>13</v>
      </c>
      <c r="K104" s="6" t="s">
        <v>19</v>
      </c>
      <c r="L104">
        <f t="shared" si="3"/>
        <v>273661</v>
      </c>
    </row>
    <row r="105" spans="1:12">
      <c r="A105" s="4" t="s">
        <v>60</v>
      </c>
      <c r="B105" s="4">
        <v>23669</v>
      </c>
      <c r="C105" s="4">
        <v>47231</v>
      </c>
      <c r="D105" s="4">
        <v>20674</v>
      </c>
      <c r="E105" s="4">
        <v>26491</v>
      </c>
      <c r="F105" s="4">
        <v>19442</v>
      </c>
      <c r="G105" s="4">
        <v>62021</v>
      </c>
      <c r="H105" s="4">
        <v>9851</v>
      </c>
      <c r="I105" s="4">
        <v>50405</v>
      </c>
      <c r="J105" s="6" t="s">
        <v>13</v>
      </c>
      <c r="K105" s="6" t="s">
        <v>19</v>
      </c>
      <c r="L105">
        <f t="shared" si="3"/>
        <v>259784</v>
      </c>
    </row>
    <row r="106" spans="1:12">
      <c r="A106" s="4" t="s">
        <v>65</v>
      </c>
      <c r="B106" s="4">
        <v>39150</v>
      </c>
      <c r="C106" s="4">
        <v>35955</v>
      </c>
      <c r="D106" s="4">
        <v>40142</v>
      </c>
      <c r="E106" s="4">
        <v>5200</v>
      </c>
      <c r="F106" s="4">
        <v>9034</v>
      </c>
      <c r="G106" s="4">
        <v>7447</v>
      </c>
      <c r="H106" s="4">
        <v>53022</v>
      </c>
      <c r="I106" s="4">
        <v>45130</v>
      </c>
      <c r="J106" s="6" t="s">
        <v>13</v>
      </c>
      <c r="K106" s="6" t="s">
        <v>19</v>
      </c>
      <c r="L106">
        <f t="shared" si="3"/>
        <v>235080</v>
      </c>
    </row>
    <row r="107" spans="1:12">
      <c r="A107" s="4" t="s">
        <v>234</v>
      </c>
      <c r="B107" s="4">
        <v>10025</v>
      </c>
      <c r="C107" s="4">
        <v>8097</v>
      </c>
      <c r="D107" s="4">
        <v>20081</v>
      </c>
      <c r="E107" s="4">
        <v>9882</v>
      </c>
      <c r="F107" s="4">
        <v>49497</v>
      </c>
      <c r="G107" s="4">
        <v>46977</v>
      </c>
      <c r="H107" s="4">
        <v>49061</v>
      </c>
      <c r="I107" s="4">
        <v>40442</v>
      </c>
      <c r="J107" s="6" t="s">
        <v>13</v>
      </c>
      <c r="K107" s="6" t="s">
        <v>19</v>
      </c>
      <c r="L107">
        <f t="shared" si="3"/>
        <v>234062</v>
      </c>
    </row>
    <row r="108" spans="1:12">
      <c r="A108" s="4" t="s">
        <v>266</v>
      </c>
      <c r="B108" s="4">
        <v>51010</v>
      </c>
      <c r="C108" s="4">
        <v>20853</v>
      </c>
      <c r="D108" s="4">
        <v>24351</v>
      </c>
      <c r="E108" s="4">
        <v>14050</v>
      </c>
      <c r="F108" s="4">
        <v>56793</v>
      </c>
      <c r="G108" s="4">
        <v>6795</v>
      </c>
      <c r="H108" s="4">
        <v>28515</v>
      </c>
      <c r="I108" s="4">
        <v>21050</v>
      </c>
      <c r="J108" s="6" t="s">
        <v>13</v>
      </c>
      <c r="K108" s="6" t="s">
        <v>19</v>
      </c>
      <c r="L108">
        <f t="shared" si="3"/>
        <v>223417</v>
      </c>
    </row>
    <row r="109" spans="1:12">
      <c r="A109" s="4" t="s">
        <v>85</v>
      </c>
      <c r="B109" s="4">
        <v>7009</v>
      </c>
      <c r="C109" s="4">
        <v>47284</v>
      </c>
      <c r="D109" s="4">
        <v>13989</v>
      </c>
      <c r="E109" s="4">
        <v>16052</v>
      </c>
      <c r="F109" s="4">
        <v>40433</v>
      </c>
      <c r="G109" s="4">
        <v>10056</v>
      </c>
      <c r="H109" s="4">
        <v>40430</v>
      </c>
      <c r="I109" s="4">
        <v>46274</v>
      </c>
      <c r="J109" s="6" t="s">
        <v>13</v>
      </c>
      <c r="K109" s="6" t="s">
        <v>19</v>
      </c>
      <c r="L109">
        <f t="shared" si="3"/>
        <v>221527</v>
      </c>
    </row>
    <row r="110" spans="1:12">
      <c r="A110" s="4" t="s">
        <v>260</v>
      </c>
      <c r="B110" s="4">
        <v>28699</v>
      </c>
      <c r="C110" s="4">
        <v>5676</v>
      </c>
      <c r="D110" s="4">
        <v>31283</v>
      </c>
      <c r="E110" s="4">
        <v>29406</v>
      </c>
      <c r="F110" s="4">
        <v>25560</v>
      </c>
      <c r="G110" s="4">
        <v>34507</v>
      </c>
      <c r="H110" s="4">
        <v>33587</v>
      </c>
      <c r="I110" s="4">
        <v>24075</v>
      </c>
      <c r="J110" s="6" t="s">
        <v>13</v>
      </c>
      <c r="K110" s="6" t="s">
        <v>19</v>
      </c>
      <c r="L110">
        <f t="shared" si="3"/>
        <v>212793</v>
      </c>
    </row>
    <row r="111" spans="1:12">
      <c r="A111" s="4" t="s">
        <v>243</v>
      </c>
      <c r="B111" s="4">
        <v>35201</v>
      </c>
      <c r="C111" s="4">
        <v>11403</v>
      </c>
      <c r="D111" s="4">
        <v>42285</v>
      </c>
      <c r="E111" s="4">
        <v>41842</v>
      </c>
      <c r="F111" s="4">
        <v>5200</v>
      </c>
      <c r="G111" s="4">
        <v>39873</v>
      </c>
      <c r="H111" s="4">
        <v>14029</v>
      </c>
      <c r="I111" s="4">
        <v>7468</v>
      </c>
      <c r="J111" s="6" t="s">
        <v>13</v>
      </c>
      <c r="K111" s="6" t="s">
        <v>19</v>
      </c>
      <c r="L111">
        <f t="shared" si="3"/>
        <v>197301</v>
      </c>
    </row>
    <row r="112" spans="1:12">
      <c r="A112" s="4" t="s">
        <v>103</v>
      </c>
      <c r="B112" s="4">
        <v>26791</v>
      </c>
      <c r="C112" s="4">
        <v>29969</v>
      </c>
      <c r="D112" s="4">
        <v>29297</v>
      </c>
      <c r="E112" s="4">
        <v>30819</v>
      </c>
      <c r="F112" s="4">
        <v>28910</v>
      </c>
      <c r="G112" s="4">
        <v>9907</v>
      </c>
      <c r="H112" s="4">
        <v>16415</v>
      </c>
      <c r="I112" s="4">
        <v>14245</v>
      </c>
      <c r="J112" s="6" t="s">
        <v>13</v>
      </c>
      <c r="K112" s="6" t="s">
        <v>19</v>
      </c>
      <c r="L112">
        <f t="shared" si="3"/>
        <v>186353</v>
      </c>
    </row>
    <row r="113" spans="1:12">
      <c r="A113" s="4" t="s">
        <v>146</v>
      </c>
      <c r="B113" s="4">
        <v>23190</v>
      </c>
      <c r="C113" s="4">
        <v>23629</v>
      </c>
      <c r="D113" s="4">
        <v>22459</v>
      </c>
      <c r="E113" s="4">
        <v>22927</v>
      </c>
      <c r="F113" s="4">
        <v>23774</v>
      </c>
      <c r="G113" s="4">
        <v>23534</v>
      </c>
      <c r="H113" s="4">
        <v>22996</v>
      </c>
      <c r="I113" s="4">
        <v>22833</v>
      </c>
      <c r="J113" s="6" t="s">
        <v>14</v>
      </c>
      <c r="K113" s="6" t="s">
        <v>21</v>
      </c>
      <c r="L113">
        <f t="shared" si="3"/>
        <v>185342</v>
      </c>
    </row>
    <row r="114" spans="1:12">
      <c r="A114" s="4" t="s">
        <v>274</v>
      </c>
      <c r="B114" s="4">
        <v>23141</v>
      </c>
      <c r="C114" s="4">
        <v>22804</v>
      </c>
      <c r="D114" s="4">
        <v>22240</v>
      </c>
      <c r="E114" s="4">
        <v>23285</v>
      </c>
      <c r="F114" s="4">
        <v>23660</v>
      </c>
      <c r="G114" s="4">
        <v>23057</v>
      </c>
      <c r="H114" s="4">
        <v>23153</v>
      </c>
      <c r="I114" s="4">
        <v>23012</v>
      </c>
      <c r="J114" s="6" t="s">
        <v>14</v>
      </c>
      <c r="K114" s="6" t="s">
        <v>21</v>
      </c>
      <c r="L114">
        <f t="shared" si="3"/>
        <v>184352</v>
      </c>
    </row>
    <row r="115" spans="1:12">
      <c r="A115" s="4" t="s">
        <v>202</v>
      </c>
      <c r="B115" s="4">
        <v>22658</v>
      </c>
      <c r="C115" s="4">
        <v>21715</v>
      </c>
      <c r="D115" s="4">
        <v>22110</v>
      </c>
      <c r="E115" s="4">
        <v>22302</v>
      </c>
      <c r="F115" s="4">
        <v>21793</v>
      </c>
      <c r="G115" s="4">
        <v>21696</v>
      </c>
      <c r="H115" s="4">
        <v>22298</v>
      </c>
      <c r="I115" s="4">
        <v>22106</v>
      </c>
      <c r="J115" s="6" t="s">
        <v>14</v>
      </c>
      <c r="K115" s="6" t="s">
        <v>21</v>
      </c>
      <c r="L115">
        <f t="shared" si="3"/>
        <v>176678</v>
      </c>
    </row>
    <row r="116" spans="1:12">
      <c r="A116" s="4" t="s">
        <v>47</v>
      </c>
      <c r="B116" s="4">
        <v>22141</v>
      </c>
      <c r="C116" s="4">
        <v>20664</v>
      </c>
      <c r="D116" s="4">
        <v>21213</v>
      </c>
      <c r="E116" s="4">
        <v>20992</v>
      </c>
      <c r="F116" s="4">
        <v>22372</v>
      </c>
      <c r="G116" s="4">
        <v>21019</v>
      </c>
      <c r="H116" s="4">
        <v>21828</v>
      </c>
      <c r="I116" s="4">
        <v>22060</v>
      </c>
      <c r="J116" s="6" t="s">
        <v>14</v>
      </c>
      <c r="K116" s="6" t="s">
        <v>21</v>
      </c>
      <c r="L116">
        <f t="shared" si="3"/>
        <v>172289</v>
      </c>
    </row>
    <row r="117" spans="1:12">
      <c r="A117" s="4" t="s">
        <v>226</v>
      </c>
      <c r="B117" s="4">
        <v>21523</v>
      </c>
      <c r="C117" s="4">
        <v>22166</v>
      </c>
      <c r="D117" s="4">
        <v>20510</v>
      </c>
      <c r="E117" s="4">
        <v>20651</v>
      </c>
      <c r="F117" s="4">
        <v>21149</v>
      </c>
      <c r="G117" s="4">
        <v>21805</v>
      </c>
      <c r="H117" s="4">
        <v>21171</v>
      </c>
      <c r="I117" s="4">
        <v>21044</v>
      </c>
      <c r="J117" s="6" t="s">
        <v>14</v>
      </c>
      <c r="K117" s="6" t="s">
        <v>21</v>
      </c>
      <c r="L117">
        <f t="shared" si="3"/>
        <v>170019</v>
      </c>
    </row>
    <row r="118" spans="1:12">
      <c r="A118" s="4" t="s">
        <v>275</v>
      </c>
      <c r="B118" s="4">
        <v>20168</v>
      </c>
      <c r="C118" s="4">
        <v>20881</v>
      </c>
      <c r="D118" s="4">
        <v>20801</v>
      </c>
      <c r="E118" s="4">
        <v>21382</v>
      </c>
      <c r="F118" s="4">
        <v>20110</v>
      </c>
      <c r="G118" s="4">
        <v>21500</v>
      </c>
      <c r="H118" s="4">
        <v>19928</v>
      </c>
      <c r="I118" s="4">
        <v>20524</v>
      </c>
      <c r="J118" s="6" t="s">
        <v>14</v>
      </c>
      <c r="K118" s="6" t="s">
        <v>21</v>
      </c>
      <c r="L118">
        <f t="shared" si="3"/>
        <v>165294</v>
      </c>
    </row>
    <row r="119" spans="1:12">
      <c r="A119" s="4" t="s">
        <v>130</v>
      </c>
      <c r="B119" s="4">
        <v>18320</v>
      </c>
      <c r="C119" s="4">
        <v>18924</v>
      </c>
      <c r="D119" s="4">
        <v>19618</v>
      </c>
      <c r="E119" s="4">
        <v>19425</v>
      </c>
      <c r="F119" s="4">
        <v>19631</v>
      </c>
      <c r="G119" s="4">
        <v>18958</v>
      </c>
      <c r="H119" s="4">
        <v>19282</v>
      </c>
      <c r="I119" s="4">
        <v>18276</v>
      </c>
      <c r="J119" s="6" t="s">
        <v>14</v>
      </c>
      <c r="K119" s="6" t="s">
        <v>21</v>
      </c>
      <c r="L119">
        <f t="shared" si="3"/>
        <v>152434</v>
      </c>
    </row>
    <row r="120" spans="1:12">
      <c r="A120" s="4" t="s">
        <v>201</v>
      </c>
      <c r="B120" s="4">
        <v>18278</v>
      </c>
      <c r="C120" s="4">
        <v>19227</v>
      </c>
      <c r="D120" s="4">
        <v>19244</v>
      </c>
      <c r="E120" s="4">
        <v>18102</v>
      </c>
      <c r="F120" s="4">
        <v>19500</v>
      </c>
      <c r="G120" s="4">
        <v>18128</v>
      </c>
      <c r="H120" s="4">
        <v>19035</v>
      </c>
      <c r="I120" s="4">
        <v>19007</v>
      </c>
      <c r="J120" s="6" t="s">
        <v>14</v>
      </c>
      <c r="K120" s="6" t="s">
        <v>21</v>
      </c>
      <c r="L120">
        <f t="shared" si="3"/>
        <v>150521</v>
      </c>
    </row>
    <row r="121" spans="1:12">
      <c r="A121" s="4" t="s">
        <v>170</v>
      </c>
      <c r="B121" s="4">
        <v>18334</v>
      </c>
      <c r="C121" s="4">
        <v>19276</v>
      </c>
      <c r="D121" s="4">
        <v>19420</v>
      </c>
      <c r="E121" s="4">
        <v>18191</v>
      </c>
      <c r="F121" s="4">
        <v>18299</v>
      </c>
      <c r="G121" s="4">
        <v>18263</v>
      </c>
      <c r="H121" s="4">
        <v>19174</v>
      </c>
      <c r="I121" s="4">
        <v>18814</v>
      </c>
      <c r="J121" s="6" t="s">
        <v>14</v>
      </c>
      <c r="K121" s="6" t="s">
        <v>21</v>
      </c>
      <c r="L121">
        <f t="shared" si="3"/>
        <v>149771</v>
      </c>
    </row>
    <row r="122" spans="1:12">
      <c r="A122" s="4" t="s">
        <v>192</v>
      </c>
      <c r="B122" s="4">
        <v>18609</v>
      </c>
      <c r="C122" s="4">
        <v>18752</v>
      </c>
      <c r="D122" s="4">
        <v>17879</v>
      </c>
      <c r="E122" s="4">
        <v>18354</v>
      </c>
      <c r="F122" s="4">
        <v>18707</v>
      </c>
      <c r="G122" s="4">
        <v>17907</v>
      </c>
      <c r="H122" s="4">
        <v>17314</v>
      </c>
      <c r="I122" s="4">
        <v>18659</v>
      </c>
      <c r="J122" s="6" t="s">
        <v>14</v>
      </c>
      <c r="K122" s="6" t="s">
        <v>21</v>
      </c>
      <c r="L122">
        <f t="shared" si="3"/>
        <v>146181</v>
      </c>
    </row>
    <row r="123" spans="1:12">
      <c r="A123" s="4" t="s">
        <v>141</v>
      </c>
      <c r="B123" s="4">
        <v>17202</v>
      </c>
      <c r="C123" s="4">
        <v>17951</v>
      </c>
      <c r="D123" s="4">
        <v>17268</v>
      </c>
      <c r="E123" s="4">
        <v>17161</v>
      </c>
      <c r="F123" s="4">
        <v>18735</v>
      </c>
      <c r="G123" s="4">
        <v>18402</v>
      </c>
      <c r="H123" s="4">
        <v>18563</v>
      </c>
      <c r="I123" s="4">
        <v>18689</v>
      </c>
      <c r="J123" s="6" t="s">
        <v>14</v>
      </c>
      <c r="K123" s="6" t="s">
        <v>21</v>
      </c>
      <c r="L123">
        <f t="shared" si="3"/>
        <v>143971</v>
      </c>
    </row>
    <row r="124" spans="1:12">
      <c r="A124" s="4" t="s">
        <v>214</v>
      </c>
      <c r="B124" s="4">
        <v>14539</v>
      </c>
      <c r="C124" s="4">
        <v>17598</v>
      </c>
      <c r="D124" s="4">
        <v>18210</v>
      </c>
      <c r="E124" s="4">
        <v>19637</v>
      </c>
      <c r="F124" s="4">
        <v>15988</v>
      </c>
      <c r="G124" s="4">
        <v>17243</v>
      </c>
      <c r="H124" s="4">
        <v>18713</v>
      </c>
      <c r="I124" s="4">
        <v>18656</v>
      </c>
      <c r="J124" s="6" t="s">
        <v>14</v>
      </c>
      <c r="K124" s="6" t="s">
        <v>21</v>
      </c>
      <c r="L124">
        <f t="shared" si="3"/>
        <v>140584</v>
      </c>
    </row>
    <row r="125" spans="1:12">
      <c r="A125" s="4" t="s">
        <v>131</v>
      </c>
      <c r="B125" s="4">
        <v>17727</v>
      </c>
      <c r="C125" s="4">
        <v>17280</v>
      </c>
      <c r="D125" s="4">
        <v>16794</v>
      </c>
      <c r="E125" s="4">
        <v>17049</v>
      </c>
      <c r="F125" s="4">
        <v>16894</v>
      </c>
      <c r="G125" s="4">
        <v>17992</v>
      </c>
      <c r="H125" s="4">
        <v>18278</v>
      </c>
      <c r="I125" s="4">
        <v>18215</v>
      </c>
      <c r="J125" s="6" t="s">
        <v>14</v>
      </c>
      <c r="K125" s="6" t="s">
        <v>21</v>
      </c>
      <c r="L125">
        <f t="shared" si="3"/>
        <v>140229</v>
      </c>
    </row>
    <row r="126" spans="1:12">
      <c r="A126" s="4" t="s">
        <v>261</v>
      </c>
      <c r="B126" s="4">
        <v>17970</v>
      </c>
      <c r="C126" s="4">
        <v>16684</v>
      </c>
      <c r="D126" s="4">
        <v>17372</v>
      </c>
      <c r="E126" s="4">
        <v>17566</v>
      </c>
      <c r="F126" s="4">
        <v>18039</v>
      </c>
      <c r="G126" s="4">
        <v>16962</v>
      </c>
      <c r="H126" s="4">
        <v>16985</v>
      </c>
      <c r="I126" s="4">
        <v>17188</v>
      </c>
      <c r="J126" s="6" t="s">
        <v>14</v>
      </c>
      <c r="K126" s="6" t="s">
        <v>21</v>
      </c>
      <c r="L126">
        <f t="shared" si="3"/>
        <v>138766</v>
      </c>
    </row>
    <row r="127" spans="1:12">
      <c r="A127" s="4" t="s">
        <v>88</v>
      </c>
      <c r="B127" s="4">
        <v>17035</v>
      </c>
      <c r="C127" s="4">
        <v>17865</v>
      </c>
      <c r="D127" s="4">
        <v>17024</v>
      </c>
      <c r="E127" s="4">
        <v>17261</v>
      </c>
      <c r="F127" s="4">
        <v>17157</v>
      </c>
      <c r="G127" s="4">
        <v>16715</v>
      </c>
      <c r="H127" s="4">
        <v>16703</v>
      </c>
      <c r="I127" s="4">
        <v>17820</v>
      </c>
      <c r="J127" s="6" t="s">
        <v>14</v>
      </c>
      <c r="K127" s="6" t="s">
        <v>21</v>
      </c>
      <c r="L127">
        <f t="shared" si="3"/>
        <v>137580</v>
      </c>
    </row>
    <row r="128" spans="1:12">
      <c r="A128" s="4" t="s">
        <v>259</v>
      </c>
      <c r="B128" s="4">
        <v>15943</v>
      </c>
      <c r="C128" s="4">
        <v>16002</v>
      </c>
      <c r="D128" s="4">
        <v>16288</v>
      </c>
      <c r="E128" s="4">
        <v>17019</v>
      </c>
      <c r="F128" s="4">
        <v>16911</v>
      </c>
      <c r="G128" s="4">
        <v>16568</v>
      </c>
      <c r="H128" s="4">
        <v>16305</v>
      </c>
      <c r="I128" s="4">
        <v>17055</v>
      </c>
      <c r="J128" s="6" t="s">
        <v>14</v>
      </c>
      <c r="K128" s="6" t="s">
        <v>21</v>
      </c>
      <c r="L128">
        <f t="shared" si="3"/>
        <v>132091</v>
      </c>
    </row>
    <row r="129" spans="1:12">
      <c r="A129" s="4" t="s">
        <v>262</v>
      </c>
      <c r="B129" s="4">
        <v>16581</v>
      </c>
      <c r="C129" s="4">
        <v>16778</v>
      </c>
      <c r="D129" s="4">
        <v>16635</v>
      </c>
      <c r="E129" s="4">
        <v>16117</v>
      </c>
      <c r="F129" s="4">
        <v>15593</v>
      </c>
      <c r="G129" s="4">
        <v>15659</v>
      </c>
      <c r="H129" s="4">
        <v>15744</v>
      </c>
      <c r="I129" s="4">
        <v>16715</v>
      </c>
      <c r="J129" s="6" t="s">
        <v>14</v>
      </c>
      <c r="K129" s="6" t="s">
        <v>21</v>
      </c>
      <c r="L129">
        <f t="shared" si="3"/>
        <v>129822</v>
      </c>
    </row>
    <row r="130" spans="1:12">
      <c r="A130" s="4" t="s">
        <v>273</v>
      </c>
      <c r="B130" s="4">
        <v>15580</v>
      </c>
      <c r="C130" s="4">
        <v>15373</v>
      </c>
      <c r="D130" s="4">
        <v>15883</v>
      </c>
      <c r="E130" s="4">
        <v>15766</v>
      </c>
      <c r="F130" s="4">
        <v>15888</v>
      </c>
      <c r="G130" s="4">
        <v>15343</v>
      </c>
      <c r="H130" s="4">
        <v>15186</v>
      </c>
      <c r="I130" s="4">
        <v>16135</v>
      </c>
      <c r="J130" s="6" t="s">
        <v>14</v>
      </c>
      <c r="K130" s="6" t="s">
        <v>21</v>
      </c>
      <c r="L130">
        <f t="shared" si="3"/>
        <v>125154</v>
      </c>
    </row>
    <row r="131" spans="1:12">
      <c r="A131" s="4" t="s">
        <v>267</v>
      </c>
      <c r="B131" s="4">
        <v>15868</v>
      </c>
      <c r="C131" s="4">
        <v>14844</v>
      </c>
      <c r="D131" s="4">
        <v>15959</v>
      </c>
      <c r="E131" s="4">
        <v>15364</v>
      </c>
      <c r="F131" s="4">
        <v>15600</v>
      </c>
      <c r="G131" s="4">
        <v>15359</v>
      </c>
      <c r="H131" s="4">
        <v>15873</v>
      </c>
      <c r="I131" s="4">
        <v>15715</v>
      </c>
      <c r="J131" s="6" t="s">
        <v>14</v>
      </c>
      <c r="K131" s="6" t="s">
        <v>21</v>
      </c>
      <c r="L131">
        <f t="shared" ref="L131:L194" si="4">SUM(B131:I131)</f>
        <v>124582</v>
      </c>
    </row>
    <row r="132" spans="1:12">
      <c r="A132" s="4" t="s">
        <v>147</v>
      </c>
      <c r="B132" s="4">
        <v>15736</v>
      </c>
      <c r="C132" s="4">
        <v>16035</v>
      </c>
      <c r="D132" s="4">
        <v>15252</v>
      </c>
      <c r="E132" s="4">
        <v>15267</v>
      </c>
      <c r="F132" s="4">
        <v>14952</v>
      </c>
      <c r="G132" s="4">
        <v>15970</v>
      </c>
      <c r="H132" s="4">
        <v>14802</v>
      </c>
      <c r="I132" s="4">
        <v>15762</v>
      </c>
      <c r="J132" s="6" t="s">
        <v>14</v>
      </c>
      <c r="K132" s="6" t="s">
        <v>21</v>
      </c>
      <c r="L132">
        <f t="shared" si="4"/>
        <v>123776</v>
      </c>
    </row>
    <row r="133" spans="1:12">
      <c r="A133" s="4" t="s">
        <v>52</v>
      </c>
      <c r="B133" s="4">
        <v>15664</v>
      </c>
      <c r="C133" s="4">
        <v>15441</v>
      </c>
      <c r="D133" s="4">
        <v>14982</v>
      </c>
      <c r="E133" s="4">
        <v>14822</v>
      </c>
      <c r="F133" s="4">
        <v>15760</v>
      </c>
      <c r="G133" s="4">
        <v>15648</v>
      </c>
      <c r="H133" s="4">
        <v>15708</v>
      </c>
      <c r="I133" s="4">
        <v>15096</v>
      </c>
      <c r="J133" s="6" t="s">
        <v>14</v>
      </c>
      <c r="K133" s="6" t="s">
        <v>21</v>
      </c>
      <c r="L133">
        <f t="shared" si="4"/>
        <v>123121</v>
      </c>
    </row>
    <row r="134" spans="1:12">
      <c r="A134" s="4" t="s">
        <v>246</v>
      </c>
      <c r="B134" s="4">
        <v>14912</v>
      </c>
      <c r="C134" s="4">
        <v>15947</v>
      </c>
      <c r="D134" s="4">
        <v>15926</v>
      </c>
      <c r="E134" s="4">
        <v>15440</v>
      </c>
      <c r="F134" s="4">
        <v>14716</v>
      </c>
      <c r="G134" s="4">
        <v>15940</v>
      </c>
      <c r="H134" s="4">
        <v>14769</v>
      </c>
      <c r="I134" s="4">
        <v>15335</v>
      </c>
      <c r="J134" s="6" t="s">
        <v>14</v>
      </c>
      <c r="K134" s="6" t="s">
        <v>21</v>
      </c>
      <c r="L134">
        <f t="shared" si="4"/>
        <v>122985</v>
      </c>
    </row>
    <row r="135" spans="1:12">
      <c r="A135" s="4" t="s">
        <v>140</v>
      </c>
      <c r="B135" s="4">
        <v>14195</v>
      </c>
      <c r="C135" s="4">
        <v>15460</v>
      </c>
      <c r="D135" s="4">
        <v>14826</v>
      </c>
      <c r="E135" s="4">
        <v>14327</v>
      </c>
      <c r="F135" s="4">
        <v>14788</v>
      </c>
      <c r="G135" s="4">
        <v>15315</v>
      </c>
      <c r="H135" s="4">
        <v>14558</v>
      </c>
      <c r="I135" s="4">
        <v>15196</v>
      </c>
      <c r="J135" s="6" t="s">
        <v>14</v>
      </c>
      <c r="K135" s="6" t="s">
        <v>21</v>
      </c>
      <c r="L135">
        <f t="shared" si="4"/>
        <v>118665</v>
      </c>
    </row>
    <row r="136" spans="1:12">
      <c r="A136" s="4" t="s">
        <v>86</v>
      </c>
      <c r="B136" s="4">
        <v>14238</v>
      </c>
      <c r="C136" s="4">
        <v>14908</v>
      </c>
      <c r="D136" s="4">
        <v>15287</v>
      </c>
      <c r="E136" s="4">
        <v>14305</v>
      </c>
      <c r="F136" s="4">
        <v>15395</v>
      </c>
      <c r="G136" s="4">
        <v>15478</v>
      </c>
      <c r="H136" s="4">
        <v>14643</v>
      </c>
      <c r="I136" s="4">
        <v>14397</v>
      </c>
      <c r="J136" s="6" t="s">
        <v>14</v>
      </c>
      <c r="K136" s="6" t="s">
        <v>21</v>
      </c>
      <c r="L136">
        <f t="shared" si="4"/>
        <v>118651</v>
      </c>
    </row>
    <row r="137" spans="1:12">
      <c r="A137" s="4" t="s">
        <v>64</v>
      </c>
      <c r="B137" s="4">
        <v>14687</v>
      </c>
      <c r="C137" s="4">
        <v>13627</v>
      </c>
      <c r="D137" s="4">
        <v>14426</v>
      </c>
      <c r="E137" s="4">
        <v>14042</v>
      </c>
      <c r="F137" s="4">
        <v>13658</v>
      </c>
      <c r="G137" s="4">
        <v>14814</v>
      </c>
      <c r="H137" s="4">
        <v>14019</v>
      </c>
      <c r="I137" s="4">
        <v>13621</v>
      </c>
      <c r="J137" s="6" t="s">
        <v>14</v>
      </c>
      <c r="K137" s="6" t="s">
        <v>21</v>
      </c>
      <c r="L137">
        <f t="shared" si="4"/>
        <v>112894</v>
      </c>
    </row>
    <row r="138" spans="1:12">
      <c r="A138" s="4" t="s">
        <v>280</v>
      </c>
      <c r="B138" s="4">
        <v>13158</v>
      </c>
      <c r="C138" s="4">
        <v>14258</v>
      </c>
      <c r="D138" s="4">
        <v>13699</v>
      </c>
      <c r="E138" s="4">
        <v>13142</v>
      </c>
      <c r="F138" s="4">
        <v>13924</v>
      </c>
      <c r="G138" s="4">
        <v>13125</v>
      </c>
      <c r="H138" s="4">
        <v>14220</v>
      </c>
      <c r="I138" s="4">
        <v>14206</v>
      </c>
      <c r="J138" s="6" t="s">
        <v>14</v>
      </c>
      <c r="K138" s="6" t="s">
        <v>21</v>
      </c>
      <c r="L138">
        <f t="shared" si="4"/>
        <v>109732</v>
      </c>
    </row>
    <row r="139" spans="1:12">
      <c r="A139" s="4" t="s">
        <v>135</v>
      </c>
      <c r="B139" s="4">
        <v>13700</v>
      </c>
      <c r="C139" s="4">
        <v>13569</v>
      </c>
      <c r="D139" s="4">
        <v>13942</v>
      </c>
      <c r="E139" s="4">
        <v>13238</v>
      </c>
      <c r="F139" s="4">
        <v>14218</v>
      </c>
      <c r="G139" s="4">
        <v>13571</v>
      </c>
      <c r="H139" s="4">
        <v>13706</v>
      </c>
      <c r="I139" s="4">
        <v>13276</v>
      </c>
      <c r="J139" s="6" t="s">
        <v>14</v>
      </c>
      <c r="K139" s="6" t="s">
        <v>21</v>
      </c>
      <c r="L139">
        <f t="shared" si="4"/>
        <v>109220</v>
      </c>
    </row>
    <row r="140" spans="1:12">
      <c r="A140" s="4" t="s">
        <v>272</v>
      </c>
      <c r="B140" s="4">
        <v>13234</v>
      </c>
      <c r="C140" s="4">
        <v>13924</v>
      </c>
      <c r="D140" s="4">
        <v>13313</v>
      </c>
      <c r="E140" s="4">
        <v>13846</v>
      </c>
      <c r="F140" s="4">
        <v>13219</v>
      </c>
      <c r="G140" s="4">
        <v>12950</v>
      </c>
      <c r="H140" s="4">
        <v>13840</v>
      </c>
      <c r="I140" s="4">
        <v>12843</v>
      </c>
      <c r="J140" s="6" t="s">
        <v>14</v>
      </c>
      <c r="K140" s="6" t="s">
        <v>21</v>
      </c>
      <c r="L140">
        <f t="shared" si="4"/>
        <v>107169</v>
      </c>
    </row>
    <row r="141" spans="1:12">
      <c r="A141" s="4" t="s">
        <v>256</v>
      </c>
      <c r="B141" s="4">
        <v>14014</v>
      </c>
      <c r="C141" s="4">
        <v>13324</v>
      </c>
      <c r="D141" s="4">
        <v>12879</v>
      </c>
      <c r="E141" s="4">
        <v>13464</v>
      </c>
      <c r="F141" s="4">
        <v>13081</v>
      </c>
      <c r="G141" s="4">
        <v>14025</v>
      </c>
      <c r="H141" s="4">
        <v>13015</v>
      </c>
      <c r="I141" s="4">
        <v>12890</v>
      </c>
      <c r="J141" s="6" t="s">
        <v>14</v>
      </c>
      <c r="K141" s="6" t="s">
        <v>21</v>
      </c>
      <c r="L141">
        <f t="shared" si="4"/>
        <v>106692</v>
      </c>
    </row>
    <row r="142" spans="1:12">
      <c r="A142" s="4" t="s">
        <v>186</v>
      </c>
      <c r="B142" s="4">
        <v>13261</v>
      </c>
      <c r="C142" s="4">
        <v>13573</v>
      </c>
      <c r="D142" s="4">
        <v>12761</v>
      </c>
      <c r="E142" s="4">
        <v>12819</v>
      </c>
      <c r="F142" s="4">
        <v>13708</v>
      </c>
      <c r="G142" s="4">
        <v>13264</v>
      </c>
      <c r="H142" s="4">
        <v>13560</v>
      </c>
      <c r="I142" s="4">
        <v>13233</v>
      </c>
      <c r="J142" s="6" t="s">
        <v>14</v>
      </c>
      <c r="K142" s="6" t="s">
        <v>21</v>
      </c>
      <c r="L142">
        <f t="shared" si="4"/>
        <v>106179</v>
      </c>
    </row>
    <row r="143" spans="1:12">
      <c r="A143" s="4" t="s">
        <v>138</v>
      </c>
      <c r="B143" s="4">
        <v>13392</v>
      </c>
      <c r="C143" s="4">
        <v>13671</v>
      </c>
      <c r="D143" s="4">
        <v>12976</v>
      </c>
      <c r="E143" s="4">
        <v>12645</v>
      </c>
      <c r="F143" s="4">
        <v>13351</v>
      </c>
      <c r="G143" s="4">
        <v>13176</v>
      </c>
      <c r="H143" s="4">
        <v>13503</v>
      </c>
      <c r="I143" s="4">
        <v>12728</v>
      </c>
      <c r="J143" s="6" t="s">
        <v>14</v>
      </c>
      <c r="K143" s="6" t="s">
        <v>21</v>
      </c>
      <c r="L143">
        <f t="shared" si="4"/>
        <v>105442</v>
      </c>
    </row>
    <row r="144" spans="1:12">
      <c r="A144" s="4" t="s">
        <v>282</v>
      </c>
      <c r="B144" s="4">
        <v>12784</v>
      </c>
      <c r="C144" s="4">
        <v>13341</v>
      </c>
      <c r="D144" s="4">
        <v>12808</v>
      </c>
      <c r="E144" s="4">
        <v>12640</v>
      </c>
      <c r="F144" s="4">
        <v>13406</v>
      </c>
      <c r="G144" s="4">
        <v>13379</v>
      </c>
      <c r="H144" s="4">
        <v>12703</v>
      </c>
      <c r="I144" s="4">
        <v>13142</v>
      </c>
      <c r="J144" s="6" t="s">
        <v>14</v>
      </c>
      <c r="K144" s="6" t="s">
        <v>21</v>
      </c>
      <c r="L144">
        <f t="shared" si="4"/>
        <v>104203</v>
      </c>
    </row>
    <row r="145" spans="1:12">
      <c r="A145" s="4" t="s">
        <v>213</v>
      </c>
      <c r="B145" s="4">
        <v>12229</v>
      </c>
      <c r="C145" s="4">
        <v>13282</v>
      </c>
      <c r="D145" s="4">
        <v>13160</v>
      </c>
      <c r="E145" s="4">
        <v>13078</v>
      </c>
      <c r="F145" s="4">
        <v>13237</v>
      </c>
      <c r="G145" s="4">
        <v>12841</v>
      </c>
      <c r="H145" s="4">
        <v>13328</v>
      </c>
      <c r="I145" s="4">
        <v>12723</v>
      </c>
      <c r="J145" s="6" t="s">
        <v>14</v>
      </c>
      <c r="K145" s="6" t="s">
        <v>21</v>
      </c>
      <c r="L145">
        <f t="shared" si="4"/>
        <v>103878</v>
      </c>
    </row>
    <row r="146" spans="1:12">
      <c r="A146" s="4" t="s">
        <v>228</v>
      </c>
      <c r="B146" s="4">
        <v>13370</v>
      </c>
      <c r="C146" s="4">
        <v>12716</v>
      </c>
      <c r="D146" s="4">
        <v>12950</v>
      </c>
      <c r="E146" s="4">
        <v>13244</v>
      </c>
      <c r="F146" s="4">
        <v>12759</v>
      </c>
      <c r="G146" s="4">
        <v>12609</v>
      </c>
      <c r="H146" s="4">
        <v>12720</v>
      </c>
      <c r="I146" s="4">
        <v>12816</v>
      </c>
      <c r="J146" s="6" t="s">
        <v>14</v>
      </c>
      <c r="K146" s="6" t="s">
        <v>21</v>
      </c>
      <c r="L146">
        <f t="shared" si="4"/>
        <v>103184</v>
      </c>
    </row>
    <row r="147" spans="1:12">
      <c r="A147" s="4" t="s">
        <v>59</v>
      </c>
      <c r="B147" s="4">
        <v>12745</v>
      </c>
      <c r="C147" s="4">
        <v>13104</v>
      </c>
      <c r="D147" s="4">
        <v>12450</v>
      </c>
      <c r="E147" s="4">
        <v>13130</v>
      </c>
      <c r="F147" s="4">
        <v>13107</v>
      </c>
      <c r="G147" s="4">
        <v>13044</v>
      </c>
      <c r="H147" s="4">
        <v>12567</v>
      </c>
      <c r="I147" s="4">
        <v>12793</v>
      </c>
      <c r="J147" s="6" t="s">
        <v>14</v>
      </c>
      <c r="K147" s="6" t="s">
        <v>21</v>
      </c>
      <c r="L147">
        <f t="shared" si="4"/>
        <v>102940</v>
      </c>
    </row>
    <row r="148" spans="1:12">
      <c r="A148" s="4" t="s">
        <v>105</v>
      </c>
      <c r="B148" s="4">
        <v>26113</v>
      </c>
      <c r="C148" s="4">
        <v>20683</v>
      </c>
      <c r="D148" s="4">
        <v>18749</v>
      </c>
      <c r="E148" s="4">
        <v>23043</v>
      </c>
      <c r="F148" s="4">
        <v>26891</v>
      </c>
      <c r="G148" s="4">
        <v>24023</v>
      </c>
      <c r="H148" s="4">
        <v>19508</v>
      </c>
      <c r="I148" s="4">
        <v>19067</v>
      </c>
      <c r="J148" s="6" t="s">
        <v>14</v>
      </c>
      <c r="K148" s="6" t="s">
        <v>20</v>
      </c>
      <c r="L148">
        <f t="shared" si="4"/>
        <v>178077</v>
      </c>
    </row>
    <row r="149" spans="1:12">
      <c r="A149" s="4" t="s">
        <v>233</v>
      </c>
      <c r="B149" s="4">
        <v>24947</v>
      </c>
      <c r="C149" s="4">
        <v>18158</v>
      </c>
      <c r="D149" s="4">
        <v>23681</v>
      </c>
      <c r="E149" s="4">
        <v>16970</v>
      </c>
      <c r="F149" s="4">
        <v>23760</v>
      </c>
      <c r="G149" s="4">
        <v>22713</v>
      </c>
      <c r="H149" s="4">
        <v>24691</v>
      </c>
      <c r="I149" s="4">
        <v>20425</v>
      </c>
      <c r="J149" s="6" t="s">
        <v>14</v>
      </c>
      <c r="K149" s="6" t="s">
        <v>20</v>
      </c>
      <c r="L149">
        <f t="shared" si="4"/>
        <v>175345</v>
      </c>
    </row>
    <row r="150" spans="1:12">
      <c r="A150" s="4" t="s">
        <v>241</v>
      </c>
      <c r="B150" s="4">
        <v>20438</v>
      </c>
      <c r="C150" s="4">
        <v>19118</v>
      </c>
      <c r="D150" s="4">
        <v>17476</v>
      </c>
      <c r="E150" s="4">
        <v>22066</v>
      </c>
      <c r="F150" s="4">
        <v>19567</v>
      </c>
      <c r="G150" s="4">
        <v>28805</v>
      </c>
      <c r="H150" s="4">
        <v>23288</v>
      </c>
      <c r="I150" s="4">
        <v>19346</v>
      </c>
      <c r="J150" s="6" t="s">
        <v>14</v>
      </c>
      <c r="K150" s="6" t="s">
        <v>20</v>
      </c>
      <c r="L150">
        <f t="shared" si="4"/>
        <v>170104</v>
      </c>
    </row>
    <row r="151" spans="1:12">
      <c r="A151" s="4" t="s">
        <v>238</v>
      </c>
      <c r="B151" s="4">
        <v>22811</v>
      </c>
      <c r="C151" s="4">
        <v>15605</v>
      </c>
      <c r="D151" s="4">
        <v>19038</v>
      </c>
      <c r="E151" s="4">
        <v>26044</v>
      </c>
      <c r="F151" s="4">
        <v>17675</v>
      </c>
      <c r="G151" s="4">
        <v>26715</v>
      </c>
      <c r="H151" s="4">
        <v>21760</v>
      </c>
      <c r="I151" s="4">
        <v>20337</v>
      </c>
      <c r="J151" s="6" t="s">
        <v>14</v>
      </c>
      <c r="K151" s="6" t="s">
        <v>20</v>
      </c>
      <c r="L151">
        <f t="shared" si="4"/>
        <v>169985</v>
      </c>
    </row>
    <row r="152" spans="1:12">
      <c r="A152" s="4" t="s">
        <v>249</v>
      </c>
      <c r="B152" s="4">
        <v>23230</v>
      </c>
      <c r="C152" s="4">
        <v>24027</v>
      </c>
      <c r="D152" s="4">
        <v>16065</v>
      </c>
      <c r="E152" s="4">
        <v>21302</v>
      </c>
      <c r="F152" s="4">
        <v>18180</v>
      </c>
      <c r="G152" s="4">
        <v>26481</v>
      </c>
      <c r="H152" s="4">
        <v>18128</v>
      </c>
      <c r="I152" s="4">
        <v>21762</v>
      </c>
      <c r="J152" s="6" t="s">
        <v>14</v>
      </c>
      <c r="K152" s="6" t="s">
        <v>20</v>
      </c>
      <c r="L152">
        <f t="shared" si="4"/>
        <v>169175</v>
      </c>
    </row>
    <row r="153" spans="1:12">
      <c r="A153" s="4" t="s">
        <v>193</v>
      </c>
      <c r="B153" s="4">
        <v>18274</v>
      </c>
      <c r="C153" s="4">
        <v>15538</v>
      </c>
      <c r="D153" s="4">
        <v>17812</v>
      </c>
      <c r="E153" s="4">
        <v>21297</v>
      </c>
      <c r="F153" s="4">
        <v>23636</v>
      </c>
      <c r="G153" s="4">
        <v>25476</v>
      </c>
      <c r="H153" s="4">
        <v>20615</v>
      </c>
      <c r="I153" s="4">
        <v>18197</v>
      </c>
      <c r="J153" s="6" t="s">
        <v>14</v>
      </c>
      <c r="K153" s="6" t="s">
        <v>20</v>
      </c>
      <c r="L153">
        <f t="shared" si="4"/>
        <v>160845</v>
      </c>
    </row>
    <row r="154" spans="1:12">
      <c r="A154" s="4" t="s">
        <v>217</v>
      </c>
      <c r="B154" s="4">
        <v>21865</v>
      </c>
      <c r="C154" s="4">
        <v>17117</v>
      </c>
      <c r="D154" s="4">
        <v>17662</v>
      </c>
      <c r="E154" s="4">
        <v>17742</v>
      </c>
      <c r="F154" s="4">
        <v>16136</v>
      </c>
      <c r="G154" s="4">
        <v>15898</v>
      </c>
      <c r="H154" s="4">
        <v>16135</v>
      </c>
      <c r="I154" s="4">
        <v>21635</v>
      </c>
      <c r="J154" s="6" t="s">
        <v>14</v>
      </c>
      <c r="K154" s="6" t="s">
        <v>20</v>
      </c>
      <c r="L154">
        <f t="shared" si="4"/>
        <v>144190</v>
      </c>
    </row>
    <row r="155" spans="1:12">
      <c r="A155" s="4" t="s">
        <v>231</v>
      </c>
      <c r="B155" s="4">
        <v>20762</v>
      </c>
      <c r="C155" s="4">
        <v>14776</v>
      </c>
      <c r="D155" s="4">
        <v>12501</v>
      </c>
      <c r="E155" s="4">
        <v>21434</v>
      </c>
      <c r="F155" s="4">
        <v>21717</v>
      </c>
      <c r="G155" s="4">
        <v>19524</v>
      </c>
      <c r="H155" s="4">
        <v>14937</v>
      </c>
      <c r="I155" s="4">
        <v>13422</v>
      </c>
      <c r="J155" s="6" t="s">
        <v>14</v>
      </c>
      <c r="K155" s="6" t="s">
        <v>20</v>
      </c>
      <c r="L155">
        <f t="shared" si="4"/>
        <v>139073</v>
      </c>
    </row>
    <row r="156" spans="1:12">
      <c r="A156" s="4" t="s">
        <v>208</v>
      </c>
      <c r="B156" s="4">
        <v>19004</v>
      </c>
      <c r="C156" s="4">
        <v>17346</v>
      </c>
      <c r="D156" s="4">
        <v>17504</v>
      </c>
      <c r="E156" s="4">
        <v>14275</v>
      </c>
      <c r="F156" s="4">
        <v>18148</v>
      </c>
      <c r="G156" s="4">
        <v>19077</v>
      </c>
      <c r="H156" s="4">
        <v>16765</v>
      </c>
      <c r="I156" s="4">
        <v>12109</v>
      </c>
      <c r="J156" s="6" t="s">
        <v>14</v>
      </c>
      <c r="K156" s="6" t="s">
        <v>20</v>
      </c>
      <c r="L156">
        <f t="shared" si="4"/>
        <v>134228</v>
      </c>
    </row>
    <row r="157" spans="1:12">
      <c r="A157" s="4" t="s">
        <v>120</v>
      </c>
      <c r="B157" s="4">
        <v>16659</v>
      </c>
      <c r="C157" s="4">
        <v>18140</v>
      </c>
      <c r="D157" s="4">
        <v>18671</v>
      </c>
      <c r="E157" s="4">
        <v>15226</v>
      </c>
      <c r="F157" s="4">
        <v>19303</v>
      </c>
      <c r="G157" s="4">
        <v>13754</v>
      </c>
      <c r="H157" s="4">
        <v>15566</v>
      </c>
      <c r="I157" s="4">
        <v>16529</v>
      </c>
      <c r="J157" s="6" t="s">
        <v>14</v>
      </c>
      <c r="K157" s="6" t="s">
        <v>20</v>
      </c>
      <c r="L157">
        <f t="shared" si="4"/>
        <v>133848</v>
      </c>
    </row>
    <row r="158" spans="1:12">
      <c r="A158" s="4" t="s">
        <v>79</v>
      </c>
      <c r="B158" s="4">
        <v>19022</v>
      </c>
      <c r="C158" s="4">
        <v>12386</v>
      </c>
      <c r="D158" s="4">
        <v>13871</v>
      </c>
      <c r="E158" s="4">
        <v>13567</v>
      </c>
      <c r="F158" s="4">
        <v>20767</v>
      </c>
      <c r="G158" s="4">
        <v>15532</v>
      </c>
      <c r="H158" s="4">
        <v>13769</v>
      </c>
      <c r="I158" s="4">
        <v>21437</v>
      </c>
      <c r="J158" s="6" t="s">
        <v>14</v>
      </c>
      <c r="K158" s="6" t="s">
        <v>20</v>
      </c>
      <c r="L158">
        <f t="shared" si="4"/>
        <v>130351</v>
      </c>
    </row>
    <row r="159" spans="1:12">
      <c r="A159" s="4" t="s">
        <v>129</v>
      </c>
      <c r="B159" s="4">
        <v>11993</v>
      </c>
      <c r="C159" s="4">
        <v>16416</v>
      </c>
      <c r="D159" s="4">
        <v>18321</v>
      </c>
      <c r="E159" s="4">
        <v>14683</v>
      </c>
      <c r="F159" s="4">
        <v>14784</v>
      </c>
      <c r="G159" s="4">
        <v>18469</v>
      </c>
      <c r="H159" s="4">
        <v>12823</v>
      </c>
      <c r="I159" s="4">
        <v>18761</v>
      </c>
      <c r="J159" s="6" t="s">
        <v>14</v>
      </c>
      <c r="K159" s="6" t="s">
        <v>20</v>
      </c>
      <c r="L159">
        <f t="shared" si="4"/>
        <v>126250</v>
      </c>
    </row>
    <row r="160" spans="1:12">
      <c r="A160" s="4" t="s">
        <v>218</v>
      </c>
      <c r="B160" s="4">
        <v>13217</v>
      </c>
      <c r="C160" s="4">
        <v>11859</v>
      </c>
      <c r="D160" s="4">
        <v>14223</v>
      </c>
      <c r="E160" s="4">
        <v>18071</v>
      </c>
      <c r="F160" s="4">
        <v>19511</v>
      </c>
      <c r="G160" s="4">
        <v>14423</v>
      </c>
      <c r="H160" s="4">
        <v>16076</v>
      </c>
      <c r="I160" s="4">
        <v>17386</v>
      </c>
      <c r="J160" s="6" t="s">
        <v>14</v>
      </c>
      <c r="K160" s="6" t="s">
        <v>20</v>
      </c>
      <c r="L160">
        <f t="shared" si="4"/>
        <v>124766</v>
      </c>
    </row>
    <row r="161" spans="1:12">
      <c r="A161" s="4" t="s">
        <v>200</v>
      </c>
      <c r="B161" s="4">
        <v>17497</v>
      </c>
      <c r="C161" s="4">
        <v>16643</v>
      </c>
      <c r="D161" s="4">
        <v>14375</v>
      </c>
      <c r="E161" s="4">
        <v>16236</v>
      </c>
      <c r="F161" s="4">
        <v>13874</v>
      </c>
      <c r="G161" s="4">
        <v>16036</v>
      </c>
      <c r="H161" s="4">
        <v>12380</v>
      </c>
      <c r="I161" s="4">
        <v>16183</v>
      </c>
      <c r="J161" s="6" t="s">
        <v>14</v>
      </c>
      <c r="K161" s="6" t="s">
        <v>20</v>
      </c>
      <c r="L161">
        <f t="shared" si="4"/>
        <v>123224</v>
      </c>
    </row>
    <row r="162" spans="1:12">
      <c r="A162" s="4" t="s">
        <v>263</v>
      </c>
      <c r="B162" s="4">
        <v>16679</v>
      </c>
      <c r="C162" s="4">
        <v>15619</v>
      </c>
      <c r="D162" s="4">
        <v>16718</v>
      </c>
      <c r="E162" s="4">
        <v>12244</v>
      </c>
      <c r="F162" s="4">
        <v>12007</v>
      </c>
      <c r="G162" s="4">
        <v>19052</v>
      </c>
      <c r="H162" s="4">
        <v>11507</v>
      </c>
      <c r="I162" s="4">
        <v>14000</v>
      </c>
      <c r="J162" s="6" t="s">
        <v>14</v>
      </c>
      <c r="K162" s="6" t="s">
        <v>20</v>
      </c>
      <c r="L162">
        <f t="shared" si="4"/>
        <v>117826</v>
      </c>
    </row>
    <row r="163" spans="1:12">
      <c r="A163" s="4" t="s">
        <v>102</v>
      </c>
      <c r="B163" s="4">
        <v>15522</v>
      </c>
      <c r="C163" s="4">
        <v>14877</v>
      </c>
      <c r="D163" s="4">
        <v>14726</v>
      </c>
      <c r="E163" s="4">
        <v>12696</v>
      </c>
      <c r="F163" s="4">
        <v>10224</v>
      </c>
      <c r="G163" s="4">
        <v>14498</v>
      </c>
      <c r="H163" s="4">
        <v>18372</v>
      </c>
      <c r="I163" s="4">
        <v>11714</v>
      </c>
      <c r="J163" s="6" t="s">
        <v>14</v>
      </c>
      <c r="K163" s="6" t="s">
        <v>20</v>
      </c>
      <c r="L163">
        <f t="shared" si="4"/>
        <v>112629</v>
      </c>
    </row>
    <row r="164" spans="1:12">
      <c r="A164" s="4" t="s">
        <v>196</v>
      </c>
      <c r="B164" s="4">
        <v>10184</v>
      </c>
      <c r="C164" s="4">
        <v>13198</v>
      </c>
      <c r="D164" s="4">
        <v>14332</v>
      </c>
      <c r="E164" s="4">
        <v>15077</v>
      </c>
      <c r="F164" s="4">
        <v>12930</v>
      </c>
      <c r="G164" s="4">
        <v>15272</v>
      </c>
      <c r="H164" s="4">
        <v>14797</v>
      </c>
      <c r="I164" s="4">
        <v>15137</v>
      </c>
      <c r="J164" s="6" t="s">
        <v>14</v>
      </c>
      <c r="K164" s="6" t="s">
        <v>20</v>
      </c>
      <c r="L164">
        <f t="shared" si="4"/>
        <v>110927</v>
      </c>
    </row>
    <row r="165" spans="1:12">
      <c r="A165" s="4" t="s">
        <v>117</v>
      </c>
      <c r="B165" s="4">
        <v>13737</v>
      </c>
      <c r="C165" s="4">
        <v>10434</v>
      </c>
      <c r="D165" s="4">
        <v>12135</v>
      </c>
      <c r="E165" s="4">
        <v>11576</v>
      </c>
      <c r="F165" s="4">
        <v>18495</v>
      </c>
      <c r="G165" s="4">
        <v>16692</v>
      </c>
      <c r="H165" s="4">
        <v>11290</v>
      </c>
      <c r="I165" s="4">
        <v>14643</v>
      </c>
      <c r="J165" s="6" t="s">
        <v>14</v>
      </c>
      <c r="K165" s="6" t="s">
        <v>20</v>
      </c>
      <c r="L165">
        <f t="shared" si="4"/>
        <v>109002</v>
      </c>
    </row>
    <row r="166" spans="1:12">
      <c r="A166" s="4" t="s">
        <v>155</v>
      </c>
      <c r="B166" s="4">
        <v>11842</v>
      </c>
      <c r="C166" s="4">
        <v>15788</v>
      </c>
      <c r="D166" s="4">
        <v>13220</v>
      </c>
      <c r="E166" s="4">
        <v>16717</v>
      </c>
      <c r="F166" s="4">
        <v>11211</v>
      </c>
      <c r="G166" s="4">
        <v>11873</v>
      </c>
      <c r="H166" s="4">
        <v>12324</v>
      </c>
      <c r="I166" s="4">
        <v>15963</v>
      </c>
      <c r="J166" s="6" t="s">
        <v>14</v>
      </c>
      <c r="K166" s="6" t="s">
        <v>20</v>
      </c>
      <c r="L166">
        <f t="shared" si="4"/>
        <v>108938</v>
      </c>
    </row>
    <row r="167" spans="1:12">
      <c r="A167" s="4" t="s">
        <v>152</v>
      </c>
      <c r="B167" s="4">
        <v>13424</v>
      </c>
      <c r="C167" s="4">
        <v>15742</v>
      </c>
      <c r="D167" s="4">
        <v>15435</v>
      </c>
      <c r="E167" s="4">
        <v>14255</v>
      </c>
      <c r="F167" s="4">
        <v>13370</v>
      </c>
      <c r="G167" s="4">
        <v>15088</v>
      </c>
      <c r="H167" s="4">
        <v>9201</v>
      </c>
      <c r="I167" s="4">
        <v>11510</v>
      </c>
      <c r="J167" s="6" t="s">
        <v>14</v>
      </c>
      <c r="K167" s="6" t="s">
        <v>20</v>
      </c>
      <c r="L167">
        <f t="shared" si="4"/>
        <v>108025</v>
      </c>
    </row>
    <row r="168" spans="1:12">
      <c r="A168" s="4" t="s">
        <v>139</v>
      </c>
      <c r="B168" s="4">
        <v>10633</v>
      </c>
      <c r="C168" s="4">
        <v>10779</v>
      </c>
      <c r="D168" s="4">
        <v>15556</v>
      </c>
      <c r="E168" s="4">
        <v>14837</v>
      </c>
      <c r="F168" s="4">
        <v>13841</v>
      </c>
      <c r="G168" s="4">
        <v>15701</v>
      </c>
      <c r="H168" s="4">
        <v>11902</v>
      </c>
      <c r="I168" s="4">
        <v>13919</v>
      </c>
      <c r="J168" s="6" t="s">
        <v>14</v>
      </c>
      <c r="K168" s="6" t="s">
        <v>20</v>
      </c>
      <c r="L168">
        <f t="shared" si="4"/>
        <v>107168</v>
      </c>
    </row>
    <row r="169" spans="1:12">
      <c r="A169" s="4" t="s">
        <v>55</v>
      </c>
      <c r="B169" s="4">
        <v>17182</v>
      </c>
      <c r="C169" s="4">
        <v>12909</v>
      </c>
      <c r="D169" s="4">
        <v>10467</v>
      </c>
      <c r="E169" s="4">
        <v>15295</v>
      </c>
      <c r="F169" s="4">
        <v>16988</v>
      </c>
      <c r="G169" s="4">
        <v>9834</v>
      </c>
      <c r="H169" s="4">
        <v>11182</v>
      </c>
      <c r="I169" s="4">
        <v>13081</v>
      </c>
      <c r="J169" s="6" t="s">
        <v>14</v>
      </c>
      <c r="K169" s="6" t="s">
        <v>20</v>
      </c>
      <c r="L169">
        <f t="shared" si="4"/>
        <v>106938</v>
      </c>
    </row>
    <row r="170" spans="1:12">
      <c r="A170" s="4" t="s">
        <v>205</v>
      </c>
      <c r="B170" s="4">
        <v>15435</v>
      </c>
      <c r="C170" s="4">
        <v>13953</v>
      </c>
      <c r="D170" s="4">
        <v>15068</v>
      </c>
      <c r="E170" s="4">
        <v>14865</v>
      </c>
      <c r="F170" s="4">
        <v>11927</v>
      </c>
      <c r="G170" s="4">
        <v>12804</v>
      </c>
      <c r="H170" s="4">
        <v>11077</v>
      </c>
      <c r="I170" s="4">
        <v>11562</v>
      </c>
      <c r="J170" s="6" t="s">
        <v>14</v>
      </c>
      <c r="K170" s="6" t="s">
        <v>20</v>
      </c>
      <c r="L170">
        <f t="shared" si="4"/>
        <v>106691</v>
      </c>
    </row>
    <row r="171" spans="1:12">
      <c r="A171" s="4" t="s">
        <v>81</v>
      </c>
      <c r="B171" s="4">
        <v>14801</v>
      </c>
      <c r="C171" s="4">
        <v>10441</v>
      </c>
      <c r="D171" s="4">
        <v>16001</v>
      </c>
      <c r="E171" s="4">
        <v>9682</v>
      </c>
      <c r="F171" s="4">
        <v>11804</v>
      </c>
      <c r="G171" s="4">
        <v>13060</v>
      </c>
      <c r="H171" s="4">
        <v>15424</v>
      </c>
      <c r="I171" s="4">
        <v>12973</v>
      </c>
      <c r="J171" s="6" t="s">
        <v>14</v>
      </c>
      <c r="K171" s="6" t="s">
        <v>20</v>
      </c>
      <c r="L171">
        <f t="shared" si="4"/>
        <v>104186</v>
      </c>
    </row>
    <row r="172" spans="1:12">
      <c r="A172" s="4" t="s">
        <v>78</v>
      </c>
      <c r="B172" s="4">
        <v>9697</v>
      </c>
      <c r="C172" s="4">
        <v>13382</v>
      </c>
      <c r="D172" s="4">
        <v>12999</v>
      </c>
      <c r="E172" s="4">
        <v>9698</v>
      </c>
      <c r="F172" s="4">
        <v>12106</v>
      </c>
      <c r="G172" s="4">
        <v>14759</v>
      </c>
      <c r="H172" s="4">
        <v>16576</v>
      </c>
      <c r="I172" s="4">
        <v>13920</v>
      </c>
      <c r="J172" s="6" t="s">
        <v>14</v>
      </c>
      <c r="K172" s="6" t="s">
        <v>20</v>
      </c>
      <c r="L172">
        <f t="shared" si="4"/>
        <v>103137</v>
      </c>
    </row>
    <row r="173" spans="1:12">
      <c r="A173" s="4" t="s">
        <v>278</v>
      </c>
      <c r="B173" s="4">
        <v>14357</v>
      </c>
      <c r="C173" s="4">
        <v>12075</v>
      </c>
      <c r="D173" s="4">
        <v>15426</v>
      </c>
      <c r="E173" s="4">
        <v>13275</v>
      </c>
      <c r="F173" s="4">
        <v>12612</v>
      </c>
      <c r="G173" s="4">
        <v>9426</v>
      </c>
      <c r="H173" s="4">
        <v>10126</v>
      </c>
      <c r="I173" s="4">
        <v>15211</v>
      </c>
      <c r="J173" s="6" t="s">
        <v>14</v>
      </c>
      <c r="K173" s="6" t="s">
        <v>20</v>
      </c>
      <c r="L173">
        <f t="shared" si="4"/>
        <v>102508</v>
      </c>
    </row>
    <row r="174" spans="1:12">
      <c r="A174" s="4" t="s">
        <v>161</v>
      </c>
      <c r="B174" s="4">
        <v>10607</v>
      </c>
      <c r="C174" s="4">
        <v>10986</v>
      </c>
      <c r="D174" s="4">
        <v>15912</v>
      </c>
      <c r="E174" s="4">
        <v>14482</v>
      </c>
      <c r="F174" s="4">
        <v>15363</v>
      </c>
      <c r="G174" s="4">
        <v>9540</v>
      </c>
      <c r="H174" s="4">
        <v>15560</v>
      </c>
      <c r="I174" s="4">
        <v>9272</v>
      </c>
      <c r="J174" s="6" t="s">
        <v>14</v>
      </c>
      <c r="K174" s="6" t="s">
        <v>20</v>
      </c>
      <c r="L174">
        <f t="shared" si="4"/>
        <v>101722</v>
      </c>
    </row>
    <row r="175" spans="1:12">
      <c r="A175" s="4" t="s">
        <v>142</v>
      </c>
      <c r="B175" s="4">
        <v>16289</v>
      </c>
      <c r="C175" s="4">
        <v>35641</v>
      </c>
      <c r="D175" s="4">
        <v>39134</v>
      </c>
      <c r="E175" s="4">
        <v>6568</v>
      </c>
      <c r="F175" s="4">
        <v>45238</v>
      </c>
      <c r="G175" s="4">
        <v>5495</v>
      </c>
      <c r="H175" s="4">
        <v>20746</v>
      </c>
      <c r="I175" s="4">
        <v>8990</v>
      </c>
      <c r="J175" s="6" t="s">
        <v>14</v>
      </c>
      <c r="K175" s="6" t="s">
        <v>19</v>
      </c>
      <c r="L175">
        <f t="shared" si="4"/>
        <v>178101</v>
      </c>
    </row>
    <row r="176" spans="1:12">
      <c r="A176" s="4" t="s">
        <v>90</v>
      </c>
      <c r="B176" s="4">
        <v>7267</v>
      </c>
      <c r="C176" s="4">
        <v>35400</v>
      </c>
      <c r="D176" s="4">
        <v>28867</v>
      </c>
      <c r="E176" s="4">
        <v>10045</v>
      </c>
      <c r="F176" s="4">
        <v>27470</v>
      </c>
      <c r="G176" s="4">
        <v>35964</v>
      </c>
      <c r="H176" s="4">
        <v>13475</v>
      </c>
      <c r="I176" s="4">
        <v>14744</v>
      </c>
      <c r="J176" s="6" t="s">
        <v>14</v>
      </c>
      <c r="K176" s="6" t="s">
        <v>19</v>
      </c>
      <c r="L176">
        <f t="shared" si="4"/>
        <v>173232</v>
      </c>
    </row>
    <row r="177" spans="1:12">
      <c r="A177" s="4" t="s">
        <v>80</v>
      </c>
      <c r="B177" s="4">
        <v>27885</v>
      </c>
      <c r="C177" s="4">
        <v>6329</v>
      </c>
      <c r="D177" s="4">
        <v>14342</v>
      </c>
      <c r="E177" s="4">
        <v>36441</v>
      </c>
      <c r="F177" s="4">
        <v>35262</v>
      </c>
      <c r="G177" s="4">
        <v>5200</v>
      </c>
      <c r="H177" s="4">
        <v>31725</v>
      </c>
      <c r="I177" s="4">
        <v>14878</v>
      </c>
      <c r="J177" s="6" t="s">
        <v>14</v>
      </c>
      <c r="K177" s="6" t="s">
        <v>19</v>
      </c>
      <c r="L177">
        <f t="shared" si="4"/>
        <v>172062</v>
      </c>
    </row>
    <row r="178" spans="1:12">
      <c r="A178" s="4" t="s">
        <v>75</v>
      </c>
      <c r="B178" s="4">
        <v>7030</v>
      </c>
      <c r="C178" s="4">
        <v>58642</v>
      </c>
      <c r="D178" s="4">
        <v>18565</v>
      </c>
      <c r="E178" s="4">
        <v>9987</v>
      </c>
      <c r="F178" s="4">
        <v>18942</v>
      </c>
      <c r="G178" s="4">
        <v>23522</v>
      </c>
      <c r="H178" s="4">
        <v>5799</v>
      </c>
      <c r="I178" s="4">
        <v>26400</v>
      </c>
      <c r="J178" s="6" t="s">
        <v>14</v>
      </c>
      <c r="K178" s="6" t="s">
        <v>19</v>
      </c>
      <c r="L178">
        <f t="shared" si="4"/>
        <v>168887</v>
      </c>
    </row>
    <row r="179" spans="1:12">
      <c r="A179" s="4" t="s">
        <v>244</v>
      </c>
      <c r="B179" s="4">
        <v>13846</v>
      </c>
      <c r="C179" s="4">
        <v>19012</v>
      </c>
      <c r="D179" s="4">
        <v>16975</v>
      </c>
      <c r="E179" s="4">
        <v>19591</v>
      </c>
      <c r="F179" s="4">
        <v>13043</v>
      </c>
      <c r="G179" s="4">
        <v>10276</v>
      </c>
      <c r="H179" s="4">
        <v>17880</v>
      </c>
      <c r="I179" s="4">
        <v>43754</v>
      </c>
      <c r="J179" s="6" t="s">
        <v>14</v>
      </c>
      <c r="K179" s="6" t="s">
        <v>19</v>
      </c>
      <c r="L179">
        <f t="shared" si="4"/>
        <v>154377</v>
      </c>
    </row>
    <row r="180" spans="1:12">
      <c r="A180" s="4" t="s">
        <v>156</v>
      </c>
      <c r="B180" s="4">
        <v>5222</v>
      </c>
      <c r="C180" s="4">
        <v>15568</v>
      </c>
      <c r="D180" s="4">
        <v>14086</v>
      </c>
      <c r="E180" s="4">
        <v>15698</v>
      </c>
      <c r="F180" s="4">
        <v>6152</v>
      </c>
      <c r="G180" s="4">
        <v>36762</v>
      </c>
      <c r="H180" s="4">
        <v>28706</v>
      </c>
      <c r="I180" s="4">
        <v>28266</v>
      </c>
      <c r="J180" s="6" t="s">
        <v>14</v>
      </c>
      <c r="K180" s="6" t="s">
        <v>19</v>
      </c>
      <c r="L180">
        <f t="shared" si="4"/>
        <v>150460</v>
      </c>
    </row>
    <row r="181" spans="1:12">
      <c r="A181" s="4" t="s">
        <v>77</v>
      </c>
      <c r="B181" s="4">
        <v>26765</v>
      </c>
      <c r="C181" s="4">
        <v>7928</v>
      </c>
      <c r="D181" s="4">
        <v>26683</v>
      </c>
      <c r="E181" s="4">
        <v>21491</v>
      </c>
      <c r="F181" s="4">
        <v>23027</v>
      </c>
      <c r="G181" s="4">
        <v>25191</v>
      </c>
      <c r="H181" s="4">
        <v>5200</v>
      </c>
      <c r="I181" s="4">
        <v>5200</v>
      </c>
      <c r="J181" s="6" t="s">
        <v>14</v>
      </c>
      <c r="K181" s="6" t="s">
        <v>19</v>
      </c>
      <c r="L181">
        <f t="shared" si="4"/>
        <v>141485</v>
      </c>
    </row>
    <row r="182" spans="1:12">
      <c r="A182" s="4" t="s">
        <v>207</v>
      </c>
      <c r="B182" s="4">
        <v>9389</v>
      </c>
      <c r="C182" s="4">
        <v>33492</v>
      </c>
      <c r="D182" s="4">
        <v>13124</v>
      </c>
      <c r="E182" s="4">
        <v>5200</v>
      </c>
      <c r="F182" s="4">
        <v>8371</v>
      </c>
      <c r="G182" s="4">
        <v>5994</v>
      </c>
      <c r="H182" s="4">
        <v>29784</v>
      </c>
      <c r="I182" s="4">
        <v>33951</v>
      </c>
      <c r="J182" s="6" t="s">
        <v>14</v>
      </c>
      <c r="K182" s="6" t="s">
        <v>19</v>
      </c>
      <c r="L182">
        <f t="shared" si="4"/>
        <v>139305</v>
      </c>
    </row>
    <row r="183" spans="1:12">
      <c r="A183" s="4" t="s">
        <v>174</v>
      </c>
      <c r="B183" s="4">
        <v>22502</v>
      </c>
      <c r="C183" s="4">
        <v>24732</v>
      </c>
      <c r="D183" s="4">
        <v>16582</v>
      </c>
      <c r="E183" s="4">
        <v>5200</v>
      </c>
      <c r="F183" s="4">
        <v>18442</v>
      </c>
      <c r="G183" s="4">
        <v>18253</v>
      </c>
      <c r="H183" s="4">
        <v>23010</v>
      </c>
      <c r="I183" s="4">
        <v>8207</v>
      </c>
      <c r="J183" s="6" t="s">
        <v>14</v>
      </c>
      <c r="K183" s="6" t="s">
        <v>19</v>
      </c>
      <c r="L183">
        <f t="shared" si="4"/>
        <v>136928</v>
      </c>
    </row>
    <row r="184" spans="1:12">
      <c r="A184" s="4" t="s">
        <v>199</v>
      </c>
      <c r="B184" s="4">
        <v>18739</v>
      </c>
      <c r="C184" s="4">
        <v>19654</v>
      </c>
      <c r="D184" s="4">
        <v>20306</v>
      </c>
      <c r="E184" s="4">
        <v>22426</v>
      </c>
      <c r="F184" s="4">
        <v>6170</v>
      </c>
      <c r="G184" s="4">
        <v>21734</v>
      </c>
      <c r="H184" s="4">
        <v>6532</v>
      </c>
      <c r="I184" s="4">
        <v>20736</v>
      </c>
      <c r="J184" s="6" t="s">
        <v>14</v>
      </c>
      <c r="K184" s="6" t="s">
        <v>19</v>
      </c>
      <c r="L184">
        <f t="shared" si="4"/>
        <v>136297</v>
      </c>
    </row>
    <row r="185" spans="1:12">
      <c r="A185" s="4" t="s">
        <v>153</v>
      </c>
      <c r="B185" s="4">
        <v>30073</v>
      </c>
      <c r="C185" s="4">
        <v>11603</v>
      </c>
      <c r="D185" s="4">
        <v>23001</v>
      </c>
      <c r="E185" s="4">
        <v>9281</v>
      </c>
      <c r="F185" s="4">
        <v>6209</v>
      </c>
      <c r="G185" s="4">
        <v>27805</v>
      </c>
      <c r="H185" s="4">
        <v>5200</v>
      </c>
      <c r="I185" s="4">
        <v>21884</v>
      </c>
      <c r="J185" s="6" t="s">
        <v>14</v>
      </c>
      <c r="K185" s="6" t="s">
        <v>19</v>
      </c>
      <c r="L185">
        <f t="shared" si="4"/>
        <v>135056</v>
      </c>
    </row>
    <row r="186" spans="1:12">
      <c r="A186" s="4" t="s">
        <v>69</v>
      </c>
      <c r="B186" s="4">
        <v>38539</v>
      </c>
      <c r="C186" s="4">
        <v>6273</v>
      </c>
      <c r="D186" s="4">
        <v>37823</v>
      </c>
      <c r="E186" s="4">
        <v>11912</v>
      </c>
      <c r="F186" s="4">
        <v>7763</v>
      </c>
      <c r="G186" s="4">
        <v>13336</v>
      </c>
      <c r="H186" s="4">
        <v>5200</v>
      </c>
      <c r="I186" s="4">
        <v>12275</v>
      </c>
      <c r="J186" s="6" t="s">
        <v>14</v>
      </c>
      <c r="K186" s="6" t="s">
        <v>19</v>
      </c>
      <c r="L186">
        <f t="shared" si="4"/>
        <v>133121</v>
      </c>
    </row>
    <row r="187" spans="1:12">
      <c r="A187" s="4" t="s">
        <v>136</v>
      </c>
      <c r="B187" s="4">
        <v>6117</v>
      </c>
      <c r="C187" s="4">
        <v>6600</v>
      </c>
      <c r="D187" s="4">
        <v>21713</v>
      </c>
      <c r="E187" s="4">
        <v>19286</v>
      </c>
      <c r="F187" s="4">
        <v>42018</v>
      </c>
      <c r="G187" s="4">
        <v>7441</v>
      </c>
      <c r="H187" s="4">
        <v>17768</v>
      </c>
      <c r="I187" s="4">
        <v>10059</v>
      </c>
      <c r="J187" s="6" t="s">
        <v>14</v>
      </c>
      <c r="K187" s="6" t="s">
        <v>19</v>
      </c>
      <c r="L187">
        <f t="shared" si="4"/>
        <v>131002</v>
      </c>
    </row>
    <row r="188" spans="1:12">
      <c r="A188" s="4" t="s">
        <v>215</v>
      </c>
      <c r="B188" s="4">
        <v>12898</v>
      </c>
      <c r="C188" s="4">
        <v>9759</v>
      </c>
      <c r="D188" s="4">
        <v>6233</v>
      </c>
      <c r="E188" s="4">
        <v>8157</v>
      </c>
      <c r="F188" s="4">
        <v>27439</v>
      </c>
      <c r="G188" s="4">
        <v>22015</v>
      </c>
      <c r="H188" s="4">
        <v>29149</v>
      </c>
      <c r="I188" s="4">
        <v>6245</v>
      </c>
      <c r="J188" s="6" t="s">
        <v>14</v>
      </c>
      <c r="K188" s="6" t="s">
        <v>19</v>
      </c>
      <c r="L188">
        <f t="shared" si="4"/>
        <v>121895</v>
      </c>
    </row>
    <row r="189" spans="1:12">
      <c r="A189" s="4" t="s">
        <v>227</v>
      </c>
      <c r="B189" s="4">
        <v>13407</v>
      </c>
      <c r="C189" s="4">
        <v>24765</v>
      </c>
      <c r="D189" s="4">
        <v>14559</v>
      </c>
      <c r="E189" s="4">
        <v>5200</v>
      </c>
      <c r="F189" s="4">
        <v>33664</v>
      </c>
      <c r="G189" s="4">
        <v>6540</v>
      </c>
      <c r="H189" s="4">
        <v>14710</v>
      </c>
      <c r="I189" s="4">
        <v>5200</v>
      </c>
      <c r="J189" s="6" t="s">
        <v>14</v>
      </c>
      <c r="K189" s="6" t="s">
        <v>19</v>
      </c>
      <c r="L189">
        <f t="shared" si="4"/>
        <v>118045</v>
      </c>
    </row>
    <row r="190" spans="1:12">
      <c r="A190" s="4" t="s">
        <v>128</v>
      </c>
      <c r="B190" s="4">
        <v>5200</v>
      </c>
      <c r="C190" s="4">
        <v>20726</v>
      </c>
      <c r="D190" s="4">
        <v>11582</v>
      </c>
      <c r="E190" s="4">
        <v>9371</v>
      </c>
      <c r="F190" s="4">
        <v>9448</v>
      </c>
      <c r="G190" s="4">
        <v>26665</v>
      </c>
      <c r="H190" s="4">
        <v>25159</v>
      </c>
      <c r="I190" s="4">
        <v>5200</v>
      </c>
      <c r="J190" s="6" t="s">
        <v>14</v>
      </c>
      <c r="K190" s="6" t="s">
        <v>19</v>
      </c>
      <c r="L190">
        <f t="shared" si="4"/>
        <v>113351</v>
      </c>
    </row>
    <row r="191" spans="1:12">
      <c r="A191" s="4" t="s">
        <v>184</v>
      </c>
      <c r="B191" s="4">
        <v>7140</v>
      </c>
      <c r="C191" s="4">
        <v>21598</v>
      </c>
      <c r="D191" s="4">
        <v>25132</v>
      </c>
      <c r="E191" s="4">
        <v>19948</v>
      </c>
      <c r="F191" s="4">
        <v>5200</v>
      </c>
      <c r="G191" s="4">
        <v>23862</v>
      </c>
      <c r="H191" s="4">
        <v>5200</v>
      </c>
      <c r="I191" s="4">
        <v>5200</v>
      </c>
      <c r="J191" s="6" t="s">
        <v>14</v>
      </c>
      <c r="K191" s="6" t="s">
        <v>19</v>
      </c>
      <c r="L191">
        <f t="shared" si="4"/>
        <v>113280</v>
      </c>
    </row>
    <row r="192" spans="1:12">
      <c r="A192" s="4" t="s">
        <v>281</v>
      </c>
      <c r="B192" s="4">
        <v>20238</v>
      </c>
      <c r="C192" s="4">
        <v>10095</v>
      </c>
      <c r="D192" s="4">
        <v>5911</v>
      </c>
      <c r="E192" s="4">
        <v>5200</v>
      </c>
      <c r="F192" s="4">
        <v>7641</v>
      </c>
      <c r="G192" s="4">
        <v>27731</v>
      </c>
      <c r="H192" s="4">
        <v>23637</v>
      </c>
      <c r="I192" s="4">
        <v>12460</v>
      </c>
      <c r="J192" s="6" t="s">
        <v>14</v>
      </c>
      <c r="K192" s="6" t="s">
        <v>19</v>
      </c>
      <c r="L192">
        <f t="shared" si="4"/>
        <v>112913</v>
      </c>
    </row>
    <row r="193" spans="1:12">
      <c r="A193" s="4" t="s">
        <v>242</v>
      </c>
      <c r="B193" s="4">
        <v>22620</v>
      </c>
      <c r="C193" s="4">
        <v>6191</v>
      </c>
      <c r="D193" s="4">
        <v>15729</v>
      </c>
      <c r="E193" s="4">
        <v>17610</v>
      </c>
      <c r="F193" s="4">
        <v>23081</v>
      </c>
      <c r="G193" s="4">
        <v>16888</v>
      </c>
      <c r="H193" s="4">
        <v>5200</v>
      </c>
      <c r="I193" s="4">
        <v>5200</v>
      </c>
      <c r="J193" s="6" t="s">
        <v>14</v>
      </c>
      <c r="K193" s="6" t="s">
        <v>19</v>
      </c>
      <c r="L193">
        <f t="shared" si="4"/>
        <v>112519</v>
      </c>
    </row>
    <row r="194" spans="1:12">
      <c r="A194" s="4" t="s">
        <v>94</v>
      </c>
      <c r="B194" s="4">
        <v>8917</v>
      </c>
      <c r="C194" s="4">
        <v>5239</v>
      </c>
      <c r="D194" s="4">
        <v>5200</v>
      </c>
      <c r="E194" s="4">
        <v>23785</v>
      </c>
      <c r="F194" s="4">
        <v>25653</v>
      </c>
      <c r="G194" s="4">
        <v>11181</v>
      </c>
      <c r="H194" s="4">
        <v>5200</v>
      </c>
      <c r="I194" s="4">
        <v>22577</v>
      </c>
      <c r="J194" s="6" t="s">
        <v>14</v>
      </c>
      <c r="K194" s="6" t="s">
        <v>19</v>
      </c>
      <c r="L194">
        <f t="shared" si="4"/>
        <v>107752</v>
      </c>
    </row>
    <row r="195" spans="1:12">
      <c r="A195" s="4" t="s">
        <v>237</v>
      </c>
      <c r="B195" s="4">
        <v>5200</v>
      </c>
      <c r="C195" s="4">
        <v>5200</v>
      </c>
      <c r="D195" s="4">
        <v>23429</v>
      </c>
      <c r="E195" s="4">
        <v>8094</v>
      </c>
      <c r="F195" s="4">
        <v>5200</v>
      </c>
      <c r="G195" s="4">
        <v>27576</v>
      </c>
      <c r="H195" s="4">
        <v>24914</v>
      </c>
      <c r="I195" s="4">
        <v>5200</v>
      </c>
      <c r="J195" s="6" t="s">
        <v>14</v>
      </c>
      <c r="K195" s="6" t="s">
        <v>19</v>
      </c>
      <c r="L195">
        <f t="shared" ref="L195:L239" si="5">SUM(B195:I195)</f>
        <v>104813</v>
      </c>
    </row>
    <row r="196" spans="1:12">
      <c r="A196" s="4" t="s">
        <v>257</v>
      </c>
      <c r="B196" s="4">
        <v>19996</v>
      </c>
      <c r="C196" s="4">
        <v>5200</v>
      </c>
      <c r="D196" s="4">
        <v>5200</v>
      </c>
      <c r="E196" s="4">
        <v>11238</v>
      </c>
      <c r="F196" s="4">
        <v>24303</v>
      </c>
      <c r="G196" s="4">
        <v>8010</v>
      </c>
      <c r="H196" s="4">
        <v>21847</v>
      </c>
      <c r="I196" s="4">
        <v>7645</v>
      </c>
      <c r="J196" s="6" t="s">
        <v>14</v>
      </c>
      <c r="K196" s="6" t="s">
        <v>19</v>
      </c>
      <c r="L196">
        <f t="shared" si="5"/>
        <v>103439</v>
      </c>
    </row>
    <row r="197" spans="1:12">
      <c r="A197" s="4" t="s">
        <v>149</v>
      </c>
      <c r="B197" s="4">
        <v>12316</v>
      </c>
      <c r="C197" s="4">
        <v>12072</v>
      </c>
      <c r="D197" s="4">
        <v>13197</v>
      </c>
      <c r="E197" s="4">
        <v>12365</v>
      </c>
      <c r="F197" s="4">
        <v>12604</v>
      </c>
      <c r="G197" s="4">
        <v>12626</v>
      </c>
      <c r="H197" s="4">
        <v>12695</v>
      </c>
      <c r="I197" s="4">
        <v>12318</v>
      </c>
      <c r="J197" s="6" t="s">
        <v>15</v>
      </c>
      <c r="K197" s="6" t="s">
        <v>21</v>
      </c>
      <c r="L197">
        <f t="shared" si="5"/>
        <v>100193</v>
      </c>
    </row>
    <row r="198" spans="1:12">
      <c r="A198" s="4" t="s">
        <v>224</v>
      </c>
      <c r="B198" s="4">
        <v>12139</v>
      </c>
      <c r="C198" s="4">
        <v>12253</v>
      </c>
      <c r="D198" s="4">
        <v>12414</v>
      </c>
      <c r="E198" s="4">
        <v>12205</v>
      </c>
      <c r="F198" s="4">
        <v>13032</v>
      </c>
      <c r="G198" s="4">
        <v>12805</v>
      </c>
      <c r="H198" s="4">
        <v>12553</v>
      </c>
      <c r="I198" s="4">
        <v>12669</v>
      </c>
      <c r="J198" s="6" t="s">
        <v>15</v>
      </c>
      <c r="K198" s="6" t="s">
        <v>21</v>
      </c>
      <c r="L198">
        <f t="shared" si="5"/>
        <v>100070</v>
      </c>
    </row>
    <row r="199" spans="1:12">
      <c r="A199" s="4" t="s">
        <v>191</v>
      </c>
      <c r="B199" s="4">
        <v>11913</v>
      </c>
      <c r="C199" s="4">
        <v>12823</v>
      </c>
      <c r="D199" s="4">
        <v>12046</v>
      </c>
      <c r="E199" s="4">
        <v>12438</v>
      </c>
      <c r="F199" s="4">
        <v>12396</v>
      </c>
      <c r="G199" s="4">
        <v>12164</v>
      </c>
      <c r="H199" s="4">
        <v>12702</v>
      </c>
      <c r="I199" s="4">
        <v>12949</v>
      </c>
      <c r="J199" s="6" t="s">
        <v>15</v>
      </c>
      <c r="K199" s="6" t="s">
        <v>21</v>
      </c>
      <c r="L199">
        <f t="shared" si="5"/>
        <v>99431</v>
      </c>
    </row>
    <row r="200" spans="1:12">
      <c r="A200" s="4" t="s">
        <v>104</v>
      </c>
      <c r="B200" s="4">
        <v>12631</v>
      </c>
      <c r="C200" s="4">
        <v>12838</v>
      </c>
      <c r="D200" s="4">
        <v>12136</v>
      </c>
      <c r="E200" s="4">
        <v>12453</v>
      </c>
      <c r="F200" s="4">
        <v>12037</v>
      </c>
      <c r="G200" s="4">
        <v>12218</v>
      </c>
      <c r="H200" s="4">
        <v>12425</v>
      </c>
      <c r="I200" s="4">
        <v>12468</v>
      </c>
      <c r="J200" s="6" t="s">
        <v>15</v>
      </c>
      <c r="K200" s="6" t="s">
        <v>21</v>
      </c>
      <c r="L200">
        <f t="shared" si="5"/>
        <v>99206</v>
      </c>
    </row>
    <row r="201" spans="1:12">
      <c r="A201" s="4" t="s">
        <v>48</v>
      </c>
      <c r="B201" s="4">
        <v>11887</v>
      </c>
      <c r="C201" s="4">
        <v>12867</v>
      </c>
      <c r="D201" s="4">
        <v>12889</v>
      </c>
      <c r="E201" s="4">
        <v>12041</v>
      </c>
      <c r="F201" s="4">
        <v>11879</v>
      </c>
      <c r="G201" s="4">
        <v>12671</v>
      </c>
      <c r="H201" s="4">
        <v>12140</v>
      </c>
      <c r="I201" s="4">
        <v>12806</v>
      </c>
      <c r="J201" s="6" t="s">
        <v>15</v>
      </c>
      <c r="K201" s="6" t="s">
        <v>21</v>
      </c>
      <c r="L201">
        <f t="shared" si="5"/>
        <v>99180</v>
      </c>
    </row>
    <row r="202" spans="1:12">
      <c r="A202" s="4" t="s">
        <v>168</v>
      </c>
      <c r="B202" s="4">
        <v>12119</v>
      </c>
      <c r="C202" s="4">
        <v>12045</v>
      </c>
      <c r="D202" s="4">
        <v>12006</v>
      </c>
      <c r="E202" s="4">
        <v>12195</v>
      </c>
      <c r="F202" s="4">
        <v>12889</v>
      </c>
      <c r="G202" s="4">
        <v>12046</v>
      </c>
      <c r="H202" s="4">
        <v>12617</v>
      </c>
      <c r="I202" s="4">
        <v>12533</v>
      </c>
      <c r="J202" s="6" t="s">
        <v>15</v>
      </c>
      <c r="K202" s="6" t="s">
        <v>21</v>
      </c>
      <c r="L202">
        <f t="shared" si="5"/>
        <v>98450</v>
      </c>
    </row>
    <row r="203" spans="1:12">
      <c r="A203" s="4" t="s">
        <v>247</v>
      </c>
      <c r="B203" s="4">
        <v>11930</v>
      </c>
      <c r="C203" s="4">
        <v>12897</v>
      </c>
      <c r="D203" s="4">
        <v>11858</v>
      </c>
      <c r="E203" s="4">
        <v>12154</v>
      </c>
      <c r="F203" s="4">
        <v>12630</v>
      </c>
      <c r="G203" s="4">
        <v>12520</v>
      </c>
      <c r="H203" s="4">
        <v>12027</v>
      </c>
      <c r="I203" s="4">
        <v>12268</v>
      </c>
      <c r="J203" s="6" t="s">
        <v>15</v>
      </c>
      <c r="K203" s="6" t="s">
        <v>21</v>
      </c>
      <c r="L203">
        <f t="shared" si="5"/>
        <v>98284</v>
      </c>
    </row>
    <row r="204" spans="1:12">
      <c r="A204" s="4" t="s">
        <v>216</v>
      </c>
      <c r="B204" s="4">
        <v>12199</v>
      </c>
      <c r="C204" s="4">
        <v>12282</v>
      </c>
      <c r="D204" s="4">
        <v>12237</v>
      </c>
      <c r="E204" s="4">
        <v>12139</v>
      </c>
      <c r="F204" s="4">
        <v>11766</v>
      </c>
      <c r="G204" s="4">
        <v>12727</v>
      </c>
      <c r="H204" s="4">
        <v>11776</v>
      </c>
      <c r="I204" s="4">
        <v>12502</v>
      </c>
      <c r="J204" s="6" t="s">
        <v>15</v>
      </c>
      <c r="K204" s="6" t="s">
        <v>21</v>
      </c>
      <c r="L204">
        <f t="shared" si="5"/>
        <v>97628</v>
      </c>
    </row>
    <row r="205" spans="1:12">
      <c r="A205" s="4" t="s">
        <v>110</v>
      </c>
      <c r="B205" s="4">
        <v>12199</v>
      </c>
      <c r="C205" s="4">
        <v>11841</v>
      </c>
      <c r="D205" s="4">
        <v>11661</v>
      </c>
      <c r="E205" s="4">
        <v>11331</v>
      </c>
      <c r="F205" s="4">
        <v>11501</v>
      </c>
      <c r="G205" s="4">
        <v>11863</v>
      </c>
      <c r="H205" s="4">
        <v>11920</v>
      </c>
      <c r="I205" s="4">
        <v>12155</v>
      </c>
      <c r="J205" s="6" t="s">
        <v>15</v>
      </c>
      <c r="K205" s="6" t="s">
        <v>21</v>
      </c>
      <c r="L205">
        <f t="shared" si="5"/>
        <v>94471</v>
      </c>
    </row>
    <row r="206" spans="1:12">
      <c r="A206" s="4" t="s">
        <v>63</v>
      </c>
      <c r="B206" s="4">
        <v>11664</v>
      </c>
      <c r="C206" s="4">
        <v>12235</v>
      </c>
      <c r="D206" s="4">
        <v>11787</v>
      </c>
      <c r="E206" s="4">
        <v>11309</v>
      </c>
      <c r="F206" s="4">
        <v>11692</v>
      </c>
      <c r="G206" s="4">
        <v>12067</v>
      </c>
      <c r="H206" s="4">
        <v>11538</v>
      </c>
      <c r="I206" s="4">
        <v>11936</v>
      </c>
      <c r="J206" s="6" t="s">
        <v>15</v>
      </c>
      <c r="K206" s="6" t="s">
        <v>21</v>
      </c>
      <c r="L206">
        <f t="shared" si="5"/>
        <v>94228</v>
      </c>
    </row>
    <row r="207" spans="1:12">
      <c r="A207" s="4" t="s">
        <v>230</v>
      </c>
      <c r="B207" s="4">
        <v>11883</v>
      </c>
      <c r="C207" s="4">
        <v>12097</v>
      </c>
      <c r="D207" s="4">
        <v>11284</v>
      </c>
      <c r="E207" s="4">
        <v>11451</v>
      </c>
      <c r="F207" s="4">
        <v>11671</v>
      </c>
      <c r="G207" s="4">
        <v>11596</v>
      </c>
      <c r="H207" s="4">
        <v>12242</v>
      </c>
      <c r="I207" s="4">
        <v>11654</v>
      </c>
      <c r="J207" s="6" t="s">
        <v>15</v>
      </c>
      <c r="K207" s="6" t="s">
        <v>21</v>
      </c>
      <c r="L207">
        <f t="shared" si="5"/>
        <v>93878</v>
      </c>
    </row>
    <row r="208" spans="1:12">
      <c r="A208" s="4" t="s">
        <v>118</v>
      </c>
      <c r="B208" s="4">
        <v>11899</v>
      </c>
      <c r="C208" s="4">
        <v>11858</v>
      </c>
      <c r="D208" s="4">
        <v>12194</v>
      </c>
      <c r="E208" s="4">
        <v>11698</v>
      </c>
      <c r="F208" s="4">
        <v>11562</v>
      </c>
      <c r="G208" s="4">
        <v>11180</v>
      </c>
      <c r="H208" s="4">
        <v>11978</v>
      </c>
      <c r="I208" s="4">
        <v>11312</v>
      </c>
      <c r="J208" s="6" t="s">
        <v>15</v>
      </c>
      <c r="K208" s="6" t="s">
        <v>21</v>
      </c>
      <c r="L208">
        <f t="shared" si="5"/>
        <v>93681</v>
      </c>
    </row>
    <row r="209" spans="1:12">
      <c r="A209" s="4" t="s">
        <v>265</v>
      </c>
      <c r="B209" s="4">
        <v>11760</v>
      </c>
      <c r="C209" s="4">
        <v>11188</v>
      </c>
      <c r="D209" s="4">
        <v>11796</v>
      </c>
      <c r="E209" s="4">
        <v>11163</v>
      </c>
      <c r="F209" s="4">
        <v>11934</v>
      </c>
      <c r="G209" s="4">
        <v>11657</v>
      </c>
      <c r="H209" s="4">
        <v>11808</v>
      </c>
      <c r="I209" s="4">
        <v>11738</v>
      </c>
      <c r="J209" s="6" t="s">
        <v>15</v>
      </c>
      <c r="K209" s="6" t="s">
        <v>21</v>
      </c>
      <c r="L209">
        <f t="shared" si="5"/>
        <v>93044</v>
      </c>
    </row>
    <row r="210" spans="1:12">
      <c r="A210" s="4" t="s">
        <v>162</v>
      </c>
      <c r="B210" s="4">
        <v>11234</v>
      </c>
      <c r="C210" s="4">
        <v>12075</v>
      </c>
      <c r="D210" s="4">
        <v>11703</v>
      </c>
      <c r="E210" s="4">
        <v>11846</v>
      </c>
      <c r="F210" s="4">
        <v>11518</v>
      </c>
      <c r="G210" s="4">
        <v>11450</v>
      </c>
      <c r="H210" s="4">
        <v>11482</v>
      </c>
      <c r="I210" s="4">
        <v>11545</v>
      </c>
      <c r="J210" s="6" t="s">
        <v>15</v>
      </c>
      <c r="K210" s="6" t="s">
        <v>21</v>
      </c>
      <c r="L210">
        <f t="shared" si="5"/>
        <v>92853</v>
      </c>
    </row>
    <row r="211" spans="1:12">
      <c r="A211" s="4" t="s">
        <v>154</v>
      </c>
      <c r="B211" s="4">
        <v>10903</v>
      </c>
      <c r="C211" s="4">
        <v>11226</v>
      </c>
      <c r="D211" s="4">
        <v>11092</v>
      </c>
      <c r="E211" s="4">
        <v>10932</v>
      </c>
      <c r="F211" s="4">
        <v>11866</v>
      </c>
      <c r="G211" s="4">
        <v>11627</v>
      </c>
      <c r="H211" s="4">
        <v>11873</v>
      </c>
      <c r="I211" s="4">
        <v>11595</v>
      </c>
      <c r="J211" s="6" t="s">
        <v>15</v>
      </c>
      <c r="K211" s="6" t="s">
        <v>21</v>
      </c>
      <c r="L211">
        <f t="shared" si="5"/>
        <v>91114</v>
      </c>
    </row>
    <row r="212" spans="1:12">
      <c r="A212" s="4" t="s">
        <v>229</v>
      </c>
      <c r="B212" s="4">
        <v>10783</v>
      </c>
      <c r="C212" s="4">
        <v>11194</v>
      </c>
      <c r="D212" s="4">
        <v>11414</v>
      </c>
      <c r="E212" s="4">
        <v>11597</v>
      </c>
      <c r="F212" s="4">
        <v>10837</v>
      </c>
      <c r="G212" s="4">
        <v>10789</v>
      </c>
      <c r="H212" s="4">
        <v>11472</v>
      </c>
      <c r="I212" s="4">
        <v>11291</v>
      </c>
      <c r="J212" s="6" t="s">
        <v>15</v>
      </c>
      <c r="K212" s="6" t="s">
        <v>21</v>
      </c>
      <c r="L212">
        <f t="shared" si="5"/>
        <v>89377</v>
      </c>
    </row>
    <row r="213" spans="1:12">
      <c r="A213" s="4" t="s">
        <v>112</v>
      </c>
      <c r="B213" s="4">
        <v>11328</v>
      </c>
      <c r="C213" s="4">
        <v>10983</v>
      </c>
      <c r="D213" s="4">
        <v>11113</v>
      </c>
      <c r="E213" s="4">
        <v>11371</v>
      </c>
      <c r="F213" s="4">
        <v>11250</v>
      </c>
      <c r="G213" s="4">
        <v>11033</v>
      </c>
      <c r="H213" s="4">
        <v>10763</v>
      </c>
      <c r="I213" s="4">
        <v>11010</v>
      </c>
      <c r="J213" s="6" t="s">
        <v>15</v>
      </c>
      <c r="K213" s="6" t="s">
        <v>21</v>
      </c>
      <c r="L213">
        <f t="shared" si="5"/>
        <v>88851</v>
      </c>
    </row>
    <row r="214" spans="1:12">
      <c r="A214" s="4" t="s">
        <v>169</v>
      </c>
      <c r="B214" s="4">
        <v>11063</v>
      </c>
      <c r="C214" s="4">
        <v>10479</v>
      </c>
      <c r="D214" s="4">
        <v>10519</v>
      </c>
      <c r="E214" s="4">
        <v>10560</v>
      </c>
      <c r="F214" s="4">
        <v>10622</v>
      </c>
      <c r="G214" s="4">
        <v>10996</v>
      </c>
      <c r="H214" s="4">
        <v>10501</v>
      </c>
      <c r="I214" s="4">
        <v>11198</v>
      </c>
      <c r="J214" s="6" t="s">
        <v>15</v>
      </c>
      <c r="K214" s="6" t="s">
        <v>21</v>
      </c>
      <c r="L214">
        <f t="shared" si="5"/>
        <v>85938</v>
      </c>
    </row>
    <row r="215" spans="1:12">
      <c r="A215" s="4" t="s">
        <v>248</v>
      </c>
      <c r="B215" s="4">
        <v>9766</v>
      </c>
      <c r="C215" s="4">
        <v>14815</v>
      </c>
      <c r="D215" s="4">
        <v>12972</v>
      </c>
      <c r="E215" s="4">
        <v>12894</v>
      </c>
      <c r="F215" s="4">
        <v>11634</v>
      </c>
      <c r="G215" s="4">
        <v>9535</v>
      </c>
      <c r="H215" s="4">
        <v>10768</v>
      </c>
      <c r="I215" s="4">
        <v>15487</v>
      </c>
      <c r="J215" s="6" t="s">
        <v>15</v>
      </c>
      <c r="K215" s="6" t="s">
        <v>20</v>
      </c>
      <c r="L215">
        <f t="shared" si="5"/>
        <v>97871</v>
      </c>
    </row>
    <row r="216" spans="1:12">
      <c r="A216" s="4" t="s">
        <v>57</v>
      </c>
      <c r="B216" s="4">
        <v>11857</v>
      </c>
      <c r="C216" s="4">
        <v>14624</v>
      </c>
      <c r="D216" s="4">
        <v>11379</v>
      </c>
      <c r="E216" s="4">
        <v>9486</v>
      </c>
      <c r="F216" s="4">
        <v>14812</v>
      </c>
      <c r="G216" s="4">
        <v>14050</v>
      </c>
      <c r="H216" s="4">
        <v>11643</v>
      </c>
      <c r="I216" s="4">
        <v>9998</v>
      </c>
      <c r="J216" s="6" t="s">
        <v>15</v>
      </c>
      <c r="K216" s="6" t="s">
        <v>20</v>
      </c>
      <c r="L216">
        <f t="shared" si="5"/>
        <v>97849</v>
      </c>
    </row>
    <row r="217" spans="1:12">
      <c r="A217" s="4" t="s">
        <v>206</v>
      </c>
      <c r="B217" s="4">
        <v>11591</v>
      </c>
      <c r="C217" s="4">
        <v>8603</v>
      </c>
      <c r="D217" s="4">
        <v>13333</v>
      </c>
      <c r="E217" s="4">
        <v>13971</v>
      </c>
      <c r="F217" s="4">
        <v>15745</v>
      </c>
      <c r="G217" s="4">
        <v>11168</v>
      </c>
      <c r="H217" s="4">
        <v>10303</v>
      </c>
      <c r="I217" s="4">
        <v>9953</v>
      </c>
      <c r="J217" s="6" t="s">
        <v>15</v>
      </c>
      <c r="K217" s="6" t="s">
        <v>20</v>
      </c>
      <c r="L217">
        <f t="shared" si="5"/>
        <v>94667</v>
      </c>
    </row>
    <row r="218" spans="1:12">
      <c r="A218" s="4" t="s">
        <v>87</v>
      </c>
      <c r="B218" s="4">
        <v>11165</v>
      </c>
      <c r="C218" s="4">
        <v>11322</v>
      </c>
      <c r="D218" s="4">
        <v>10163</v>
      </c>
      <c r="E218" s="4">
        <v>12839</v>
      </c>
      <c r="F218" s="4">
        <v>10315</v>
      </c>
      <c r="G218" s="4">
        <v>12160</v>
      </c>
      <c r="H218" s="4">
        <v>15636</v>
      </c>
      <c r="I218" s="4">
        <v>10226</v>
      </c>
      <c r="J218" s="6" t="s">
        <v>15</v>
      </c>
      <c r="K218" s="6" t="s">
        <v>20</v>
      </c>
      <c r="L218">
        <f t="shared" si="5"/>
        <v>93826</v>
      </c>
    </row>
    <row r="219" spans="1:12">
      <c r="A219" s="4" t="s">
        <v>125</v>
      </c>
      <c r="B219" s="4">
        <v>10652</v>
      </c>
      <c r="C219" s="4">
        <v>14732</v>
      </c>
      <c r="D219" s="4">
        <v>13131</v>
      </c>
      <c r="E219" s="4">
        <v>11091</v>
      </c>
      <c r="F219" s="4">
        <v>10062</v>
      </c>
      <c r="G219" s="4">
        <v>10814</v>
      </c>
      <c r="H219" s="4">
        <v>12257</v>
      </c>
      <c r="I219" s="4">
        <v>10986</v>
      </c>
      <c r="J219" s="6" t="s">
        <v>15</v>
      </c>
      <c r="K219" s="6" t="s">
        <v>20</v>
      </c>
      <c r="L219">
        <f t="shared" si="5"/>
        <v>93725</v>
      </c>
    </row>
    <row r="220" spans="1:12">
      <c r="A220" s="4" t="s">
        <v>62</v>
      </c>
      <c r="B220" s="4">
        <v>11340</v>
      </c>
      <c r="C220" s="4">
        <v>9281</v>
      </c>
      <c r="D220" s="4">
        <v>8734</v>
      </c>
      <c r="E220" s="4">
        <v>12208</v>
      </c>
      <c r="F220" s="4">
        <v>13841</v>
      </c>
      <c r="G220" s="4">
        <v>13253</v>
      </c>
      <c r="H220" s="4">
        <v>9808</v>
      </c>
      <c r="I220" s="4">
        <v>12446</v>
      </c>
      <c r="J220" s="6" t="s">
        <v>15</v>
      </c>
      <c r="K220" s="6" t="s">
        <v>20</v>
      </c>
      <c r="L220">
        <f t="shared" si="5"/>
        <v>90911</v>
      </c>
    </row>
    <row r="221" spans="1:12">
      <c r="A221" s="4" t="s">
        <v>236</v>
      </c>
      <c r="B221" s="4">
        <v>8679</v>
      </c>
      <c r="C221" s="4">
        <v>9286</v>
      </c>
      <c r="D221" s="4">
        <v>10662</v>
      </c>
      <c r="E221" s="4">
        <v>10815</v>
      </c>
      <c r="F221" s="4">
        <v>10615</v>
      </c>
      <c r="G221" s="4">
        <v>12253</v>
      </c>
      <c r="H221" s="4">
        <v>10245</v>
      </c>
      <c r="I221" s="4">
        <v>12012</v>
      </c>
      <c r="J221" s="6" t="s">
        <v>15</v>
      </c>
      <c r="K221" s="6" t="s">
        <v>20</v>
      </c>
      <c r="L221">
        <f t="shared" si="5"/>
        <v>84567</v>
      </c>
    </row>
    <row r="222" spans="1:12">
      <c r="A222" s="4" t="s">
        <v>279</v>
      </c>
      <c r="B222" s="4">
        <v>8376</v>
      </c>
      <c r="C222" s="4">
        <v>10108</v>
      </c>
      <c r="D222" s="4">
        <v>13835</v>
      </c>
      <c r="E222" s="4">
        <v>11691</v>
      </c>
      <c r="F222" s="4">
        <v>8044</v>
      </c>
      <c r="G222" s="4">
        <v>13729</v>
      </c>
      <c r="H222" s="4">
        <v>8850</v>
      </c>
      <c r="I222" s="4">
        <v>9411</v>
      </c>
      <c r="J222" s="6" t="s">
        <v>15</v>
      </c>
      <c r="K222" s="6" t="s">
        <v>20</v>
      </c>
      <c r="L222">
        <f t="shared" si="5"/>
        <v>84044</v>
      </c>
    </row>
    <row r="223" spans="1:12">
      <c r="A223" s="4" t="s">
        <v>232</v>
      </c>
      <c r="B223" s="4">
        <v>10033</v>
      </c>
      <c r="C223" s="4">
        <v>13345</v>
      </c>
      <c r="D223" s="4">
        <v>7858</v>
      </c>
      <c r="E223" s="4">
        <v>11221</v>
      </c>
      <c r="F223" s="4">
        <v>7905</v>
      </c>
      <c r="G223" s="4">
        <v>11530</v>
      </c>
      <c r="H223" s="4">
        <v>13546</v>
      </c>
      <c r="I223" s="4">
        <v>8133</v>
      </c>
      <c r="J223" s="6" t="s">
        <v>15</v>
      </c>
      <c r="K223" s="6" t="s">
        <v>20</v>
      </c>
      <c r="L223">
        <f t="shared" si="5"/>
        <v>83571</v>
      </c>
    </row>
    <row r="224" spans="1:12">
      <c r="A224" s="4" t="s">
        <v>255</v>
      </c>
      <c r="B224" s="4">
        <v>8621</v>
      </c>
      <c r="C224" s="4">
        <v>22924</v>
      </c>
      <c r="D224" s="4">
        <v>17639</v>
      </c>
      <c r="E224" s="4">
        <v>5200</v>
      </c>
      <c r="F224" s="4">
        <v>5200</v>
      </c>
      <c r="G224" s="4">
        <v>25547</v>
      </c>
      <c r="H224" s="4">
        <v>5200</v>
      </c>
      <c r="I224" s="4">
        <v>9648</v>
      </c>
      <c r="J224" s="6" t="s">
        <v>15</v>
      </c>
      <c r="K224" s="6" t="s">
        <v>19</v>
      </c>
      <c r="L224">
        <f t="shared" si="5"/>
        <v>99979</v>
      </c>
    </row>
    <row r="225" spans="1:12">
      <c r="A225" s="4" t="s">
        <v>225</v>
      </c>
      <c r="B225" s="4">
        <v>23917</v>
      </c>
      <c r="C225" s="4">
        <v>5200</v>
      </c>
      <c r="D225" s="4">
        <v>9385</v>
      </c>
      <c r="E225" s="4">
        <v>28304</v>
      </c>
      <c r="F225" s="4">
        <v>11460</v>
      </c>
      <c r="G225" s="4">
        <v>5200</v>
      </c>
      <c r="H225" s="4">
        <v>5200</v>
      </c>
      <c r="I225" s="4">
        <v>8147</v>
      </c>
      <c r="J225" s="6" t="s">
        <v>15</v>
      </c>
      <c r="K225" s="6" t="s">
        <v>19</v>
      </c>
      <c r="L225">
        <f t="shared" si="5"/>
        <v>96813</v>
      </c>
    </row>
    <row r="226" spans="1:12">
      <c r="A226" s="4" t="s">
        <v>95</v>
      </c>
      <c r="B226" s="4">
        <v>19694</v>
      </c>
      <c r="C226" s="4">
        <v>5200</v>
      </c>
      <c r="D226" s="4">
        <v>5200</v>
      </c>
      <c r="E226" s="4">
        <v>5200</v>
      </c>
      <c r="F226" s="4">
        <v>22220</v>
      </c>
      <c r="G226" s="4">
        <v>22910</v>
      </c>
      <c r="H226" s="4">
        <v>5200</v>
      </c>
      <c r="I226" s="4">
        <v>10815</v>
      </c>
      <c r="J226" s="6" t="s">
        <v>15</v>
      </c>
      <c r="K226" s="6" t="s">
        <v>19</v>
      </c>
      <c r="L226">
        <f t="shared" si="5"/>
        <v>96439</v>
      </c>
    </row>
    <row r="227" spans="1:12">
      <c r="A227" s="4" t="s">
        <v>173</v>
      </c>
      <c r="B227" s="4">
        <v>5200</v>
      </c>
      <c r="C227" s="4">
        <v>5200</v>
      </c>
      <c r="D227" s="4">
        <v>6582</v>
      </c>
      <c r="E227" s="4">
        <v>21578</v>
      </c>
      <c r="F227" s="4">
        <v>20319</v>
      </c>
      <c r="G227" s="4">
        <v>5200</v>
      </c>
      <c r="H227" s="4">
        <v>22978</v>
      </c>
      <c r="I227" s="4">
        <v>5200</v>
      </c>
      <c r="J227" s="6" t="s">
        <v>15</v>
      </c>
      <c r="K227" s="6" t="s">
        <v>19</v>
      </c>
      <c r="L227">
        <f t="shared" si="5"/>
        <v>92257</v>
      </c>
    </row>
    <row r="228" spans="1:12">
      <c r="A228" s="4" t="s">
        <v>122</v>
      </c>
      <c r="B228" s="4">
        <v>6843</v>
      </c>
      <c r="C228" s="4">
        <v>11759</v>
      </c>
      <c r="D228" s="4">
        <v>36169</v>
      </c>
      <c r="E228" s="4">
        <v>7178</v>
      </c>
      <c r="F228" s="4">
        <v>5821</v>
      </c>
      <c r="G228" s="4">
        <v>7310</v>
      </c>
      <c r="H228" s="4">
        <v>11160</v>
      </c>
      <c r="I228" s="4">
        <v>5200</v>
      </c>
      <c r="J228" s="6" t="s">
        <v>15</v>
      </c>
      <c r="K228" s="6" t="s">
        <v>19</v>
      </c>
      <c r="L228">
        <f t="shared" si="5"/>
        <v>91440</v>
      </c>
    </row>
    <row r="229" spans="1:12">
      <c r="A229" s="4" t="s">
        <v>68</v>
      </c>
      <c r="B229" s="4">
        <v>8474</v>
      </c>
      <c r="C229" s="4">
        <v>9880</v>
      </c>
      <c r="D229" s="4">
        <v>5200</v>
      </c>
      <c r="E229" s="4">
        <v>5200</v>
      </c>
      <c r="F229" s="4">
        <v>24100</v>
      </c>
      <c r="G229" s="4">
        <v>5200</v>
      </c>
      <c r="H229" s="4">
        <v>9170</v>
      </c>
      <c r="I229" s="4">
        <v>23365</v>
      </c>
      <c r="J229" s="6" t="s">
        <v>15</v>
      </c>
      <c r="K229" s="6" t="s">
        <v>19</v>
      </c>
      <c r="L229">
        <f t="shared" si="5"/>
        <v>90589</v>
      </c>
    </row>
    <row r="230" spans="1:12">
      <c r="A230" s="4" t="s">
        <v>119</v>
      </c>
      <c r="B230" s="4">
        <v>5200</v>
      </c>
      <c r="C230" s="4">
        <v>9339</v>
      </c>
      <c r="D230" s="4">
        <v>5200</v>
      </c>
      <c r="E230" s="4">
        <v>5200</v>
      </c>
      <c r="F230" s="4">
        <v>11110</v>
      </c>
      <c r="G230" s="4">
        <v>23606</v>
      </c>
      <c r="H230" s="4">
        <v>8524</v>
      </c>
      <c r="I230" s="4">
        <v>21589</v>
      </c>
      <c r="J230" s="6" t="s">
        <v>15</v>
      </c>
      <c r="K230" s="6" t="s">
        <v>19</v>
      </c>
      <c r="L230">
        <f t="shared" si="5"/>
        <v>89768</v>
      </c>
    </row>
    <row r="231" spans="1:12">
      <c r="A231" s="4" t="s">
        <v>253</v>
      </c>
      <c r="B231" s="4">
        <v>5200</v>
      </c>
      <c r="C231" s="4">
        <v>21602</v>
      </c>
      <c r="D231" s="4">
        <v>7664</v>
      </c>
      <c r="E231" s="4">
        <v>5200</v>
      </c>
      <c r="F231" s="4">
        <v>17021</v>
      </c>
      <c r="G231" s="4">
        <v>5200</v>
      </c>
      <c r="H231" s="4">
        <v>22400</v>
      </c>
      <c r="I231" s="4">
        <v>5200</v>
      </c>
      <c r="J231" s="6" t="s">
        <v>15</v>
      </c>
      <c r="K231" s="6" t="s">
        <v>19</v>
      </c>
      <c r="L231">
        <f t="shared" si="5"/>
        <v>89487</v>
      </c>
    </row>
    <row r="232" spans="1:12">
      <c r="A232" s="4" t="s">
        <v>271</v>
      </c>
      <c r="B232" s="4">
        <v>5200</v>
      </c>
      <c r="C232" s="4">
        <v>23790</v>
      </c>
      <c r="D232" s="4">
        <v>10955</v>
      </c>
      <c r="E232" s="4">
        <v>5200</v>
      </c>
      <c r="F232" s="4">
        <v>9922</v>
      </c>
      <c r="G232" s="4">
        <v>5200</v>
      </c>
      <c r="H232" s="4">
        <v>19649</v>
      </c>
      <c r="I232" s="4">
        <v>5200</v>
      </c>
      <c r="J232" s="6" t="s">
        <v>15</v>
      </c>
      <c r="K232" s="6" t="s">
        <v>19</v>
      </c>
      <c r="L232">
        <f t="shared" si="5"/>
        <v>85116</v>
      </c>
    </row>
    <row r="233" spans="1:12">
      <c r="A233" s="4" t="s">
        <v>51</v>
      </c>
      <c r="B233" s="4">
        <v>5200</v>
      </c>
      <c r="C233" s="4">
        <v>20654</v>
      </c>
      <c r="D233" s="4">
        <v>8019</v>
      </c>
      <c r="E233" s="4">
        <v>20525</v>
      </c>
      <c r="F233" s="4">
        <v>9752</v>
      </c>
      <c r="G233" s="4">
        <v>6043</v>
      </c>
      <c r="H233" s="4">
        <v>7671</v>
      </c>
      <c r="I233" s="4">
        <v>7196</v>
      </c>
      <c r="J233" s="6" t="s">
        <v>15</v>
      </c>
      <c r="K233" s="6" t="s">
        <v>19</v>
      </c>
      <c r="L233">
        <f t="shared" si="5"/>
        <v>85060</v>
      </c>
    </row>
    <row r="234" spans="1:12">
      <c r="A234" s="4" t="s">
        <v>56</v>
      </c>
      <c r="B234" s="4">
        <v>6349</v>
      </c>
      <c r="C234" s="4">
        <v>28114</v>
      </c>
      <c r="D234" s="4">
        <v>13193</v>
      </c>
      <c r="E234" s="4">
        <v>5200</v>
      </c>
      <c r="F234" s="4">
        <v>5854</v>
      </c>
      <c r="G234" s="4">
        <v>9601</v>
      </c>
      <c r="H234" s="4">
        <v>6034</v>
      </c>
      <c r="I234" s="4">
        <v>8213</v>
      </c>
      <c r="J234" s="6" t="s">
        <v>15</v>
      </c>
      <c r="K234" s="6" t="s">
        <v>19</v>
      </c>
      <c r="L234">
        <f t="shared" si="5"/>
        <v>82558</v>
      </c>
    </row>
    <row r="235" spans="1:12">
      <c r="A235" s="4" t="s">
        <v>258</v>
      </c>
      <c r="B235" s="4">
        <v>24397</v>
      </c>
      <c r="C235" s="4">
        <v>7726</v>
      </c>
      <c r="D235" s="4">
        <v>5200</v>
      </c>
      <c r="E235" s="4">
        <v>5200</v>
      </c>
      <c r="F235" s="4">
        <v>5200</v>
      </c>
      <c r="G235" s="4">
        <v>21728</v>
      </c>
      <c r="H235" s="4">
        <v>5200</v>
      </c>
      <c r="I235" s="4">
        <v>5652</v>
      </c>
      <c r="J235" s="6" t="s">
        <v>15</v>
      </c>
      <c r="K235" s="6" t="s">
        <v>19</v>
      </c>
      <c r="L235">
        <f t="shared" si="5"/>
        <v>80303</v>
      </c>
    </row>
    <row r="236" spans="1:12">
      <c r="A236" s="4" t="s">
        <v>121</v>
      </c>
      <c r="B236" s="4">
        <v>5200</v>
      </c>
      <c r="C236" s="4">
        <v>5200</v>
      </c>
      <c r="D236" s="4">
        <v>25506</v>
      </c>
      <c r="E236" s="4">
        <v>9100</v>
      </c>
      <c r="F236" s="4">
        <v>5200</v>
      </c>
      <c r="G236" s="4">
        <v>5200</v>
      </c>
      <c r="H236" s="4">
        <v>8752</v>
      </c>
      <c r="I236" s="4">
        <v>10903</v>
      </c>
      <c r="J236" s="6" t="s">
        <v>15</v>
      </c>
      <c r="K236" s="6" t="s">
        <v>19</v>
      </c>
      <c r="L236">
        <f t="shared" si="5"/>
        <v>75061</v>
      </c>
    </row>
    <row r="237" spans="1:12">
      <c r="A237" s="4" t="s">
        <v>163</v>
      </c>
      <c r="B237" s="4">
        <v>5200</v>
      </c>
      <c r="C237" s="4">
        <v>5200</v>
      </c>
      <c r="D237" s="4">
        <v>5200</v>
      </c>
      <c r="E237" s="4">
        <v>5200</v>
      </c>
      <c r="F237" s="4">
        <v>5200</v>
      </c>
      <c r="G237" s="4">
        <v>5200</v>
      </c>
      <c r="H237" s="4">
        <v>22056</v>
      </c>
      <c r="I237" s="4">
        <v>19216</v>
      </c>
      <c r="J237" s="6" t="s">
        <v>15</v>
      </c>
      <c r="K237" s="6" t="s">
        <v>19</v>
      </c>
      <c r="L237">
        <f t="shared" si="5"/>
        <v>72472</v>
      </c>
    </row>
    <row r="238" spans="1:12">
      <c r="A238" s="4" t="s">
        <v>268</v>
      </c>
      <c r="B238" s="4">
        <v>5200</v>
      </c>
      <c r="C238" s="4">
        <v>5200</v>
      </c>
      <c r="D238" s="4">
        <v>5200</v>
      </c>
      <c r="E238" s="4">
        <v>9780</v>
      </c>
      <c r="F238" s="4">
        <v>5200</v>
      </c>
      <c r="G238" s="4">
        <v>5200</v>
      </c>
      <c r="H238" s="4">
        <v>20111</v>
      </c>
      <c r="I238" s="4">
        <v>6181</v>
      </c>
      <c r="J238" s="6" t="s">
        <v>15</v>
      </c>
      <c r="K238" s="6" t="s">
        <v>19</v>
      </c>
      <c r="L238">
        <f t="shared" si="5"/>
        <v>62072</v>
      </c>
    </row>
    <row r="239" spans="1:12">
      <c r="A239" s="4" t="s">
        <v>285</v>
      </c>
      <c r="K239" s="6" t="s">
        <v>21</v>
      </c>
      <c r="L239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Данные</vt:lpstr>
      <vt:lpstr>ABC Менеджеры</vt:lpstr>
      <vt:lpstr>ABC_XYZ Клиенты</vt:lpstr>
      <vt:lpstr>ABC расчет менеджеры</vt:lpstr>
      <vt:lpstr>График ABC менеджеры</vt:lpstr>
      <vt:lpstr>ABC мен по кл график</vt:lpstr>
      <vt:lpstr>ABC клиенты</vt:lpstr>
      <vt:lpstr>ABC клиенты график </vt:lpstr>
      <vt:lpstr>Клиенты</vt:lpstr>
      <vt:lpstr>Лист8</vt:lpstr>
      <vt:lpstr>Лист9</vt:lpstr>
      <vt:lpstr>Лист10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Репин</cp:lastModifiedBy>
  <dcterms:created xsi:type="dcterms:W3CDTF">2025-11-13T20:18:22Z</dcterms:created>
  <dcterms:modified xsi:type="dcterms:W3CDTF">2026-10-05T07:34:03Z</dcterms:modified>
</cp:coreProperties>
</file>