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hidePivotFieldList="1"/>
  <mc:AlternateContent xmlns:mc="http://schemas.openxmlformats.org/markup-compatibility/2006">
    <mc:Choice Requires="x15">
      <x15ac:absPath xmlns:x15ac="http://schemas.microsoft.com/office/spreadsheetml/2010/11/ac" url="C:\Users\Anton\Desktop\BBI\"/>
    </mc:Choice>
  </mc:AlternateContent>
  <xr:revisionPtr revIDLastSave="0" documentId="8_{3FBD7187-4CF4-4365-96AB-052B8A7D2583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Данные" sheetId="1" r:id="rId1"/>
    <sheet name="результат" sheetId="2" r:id="rId2"/>
    <sheet name="Задача 1" sheetId="3" r:id="rId3"/>
    <sheet name="Задача 1(2)" sheetId="10" r:id="rId4"/>
    <sheet name="Задача 2" sheetId="5" r:id="rId5"/>
    <sheet name="Задача 2_1" sheetId="6" r:id="rId6"/>
    <sheet name="Задача 3_1" sheetId="7" r:id="rId7"/>
    <sheet name="Задача 3_2" sheetId="8" r:id="rId8"/>
    <sheet name="Задача 3_3" sheetId="9" r:id="rId9"/>
  </sheets>
  <definedNames>
    <definedName name="_xlnm._FilterDatabase" localSheetId="0" hidden="1">Данные!$B$1:$B$1001</definedName>
    <definedName name="_xlnm._FilterDatabase" localSheetId="4" hidden="1">'Задача 2'!$G$1:$H$1002</definedName>
    <definedName name="_xlnm._FilterDatabase" localSheetId="7" hidden="1">'Задача 3_2'!$V$1:$V$1002</definedName>
  </definedNames>
  <calcPr calcId="191029"/>
  <pivotCaches>
    <pivotCache cacheId="8" r:id="rId10"/>
    <pivotCache cacheId="17" r:id="rId11"/>
    <pivotCache cacheId="21" r:id="rId12"/>
    <pivotCache cacheId="27" r:id="rId1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N2" i="8" l="1"/>
  <c r="B3" i="8"/>
  <c r="C3" i="8"/>
  <c r="D3" i="8"/>
  <c r="E3" i="8"/>
  <c r="F3" i="8"/>
  <c r="G3" i="8"/>
  <c r="H3" i="8"/>
  <c r="I3" i="8"/>
  <c r="J3" i="8"/>
  <c r="K3" i="8"/>
  <c r="L3" i="8"/>
  <c r="M3" i="8"/>
  <c r="N3" i="8"/>
  <c r="B4" i="8"/>
  <c r="C4" i="8"/>
  <c r="D4" i="8"/>
  <c r="E4" i="8"/>
  <c r="F4" i="8"/>
  <c r="G4" i="8"/>
  <c r="H4" i="8"/>
  <c r="I4" i="8"/>
  <c r="J4" i="8"/>
  <c r="K4" i="8"/>
  <c r="L4" i="8"/>
  <c r="M4" i="8"/>
  <c r="N4" i="8"/>
  <c r="B5" i="8"/>
  <c r="C5" i="8"/>
  <c r="D5" i="8"/>
  <c r="E5" i="8"/>
  <c r="F5" i="8"/>
  <c r="G5" i="8"/>
  <c r="H5" i="8"/>
  <c r="I5" i="8"/>
  <c r="J5" i="8"/>
  <c r="K5" i="8"/>
  <c r="L5" i="8"/>
  <c r="M5" i="8"/>
  <c r="N5" i="8"/>
  <c r="B6" i="8"/>
  <c r="C6" i="8"/>
  <c r="D6" i="8"/>
  <c r="E6" i="8"/>
  <c r="F6" i="8"/>
  <c r="G6" i="8"/>
  <c r="H6" i="8"/>
  <c r="I6" i="8"/>
  <c r="J6" i="8"/>
  <c r="K6" i="8"/>
  <c r="L6" i="8"/>
  <c r="M6" i="8"/>
  <c r="N6" i="8"/>
  <c r="B7" i="8"/>
  <c r="C7" i="8"/>
  <c r="D7" i="8"/>
  <c r="E7" i="8"/>
  <c r="F7" i="8"/>
  <c r="G7" i="8"/>
  <c r="H7" i="8"/>
  <c r="I7" i="8"/>
  <c r="J7" i="8"/>
  <c r="K7" i="8"/>
  <c r="L7" i="8"/>
  <c r="M7" i="8"/>
  <c r="N7" i="8"/>
  <c r="B8" i="8"/>
  <c r="C8" i="8"/>
  <c r="D8" i="8"/>
  <c r="E8" i="8"/>
  <c r="F8" i="8"/>
  <c r="G8" i="8"/>
  <c r="H8" i="8"/>
  <c r="I8" i="8"/>
  <c r="J8" i="8"/>
  <c r="K8" i="8"/>
  <c r="L8" i="8"/>
  <c r="M8" i="8"/>
  <c r="N8" i="8"/>
  <c r="B9" i="8"/>
  <c r="C9" i="8"/>
  <c r="D9" i="8"/>
  <c r="E9" i="8"/>
  <c r="F9" i="8"/>
  <c r="G9" i="8"/>
  <c r="H9" i="8"/>
  <c r="I9" i="8"/>
  <c r="J9" i="8"/>
  <c r="K9" i="8"/>
  <c r="L9" i="8"/>
  <c r="M9" i="8"/>
  <c r="N9" i="8"/>
  <c r="B10" i="8"/>
  <c r="C10" i="8"/>
  <c r="D10" i="8"/>
  <c r="E10" i="8"/>
  <c r="F10" i="8"/>
  <c r="G10" i="8"/>
  <c r="H10" i="8"/>
  <c r="I10" i="8"/>
  <c r="J10" i="8"/>
  <c r="K10" i="8"/>
  <c r="L10" i="8"/>
  <c r="M10" i="8"/>
  <c r="N10" i="8"/>
  <c r="B11" i="8"/>
  <c r="C11" i="8"/>
  <c r="D11" i="8"/>
  <c r="E11" i="8"/>
  <c r="F11" i="8"/>
  <c r="G11" i="8"/>
  <c r="H11" i="8"/>
  <c r="I11" i="8"/>
  <c r="J11" i="8"/>
  <c r="K11" i="8"/>
  <c r="L11" i="8"/>
  <c r="M11" i="8"/>
  <c r="N11" i="8"/>
  <c r="B12" i="8"/>
  <c r="C12" i="8"/>
  <c r="D12" i="8"/>
  <c r="E12" i="8"/>
  <c r="F12" i="8"/>
  <c r="G12" i="8"/>
  <c r="H12" i="8"/>
  <c r="I12" i="8"/>
  <c r="J12" i="8"/>
  <c r="K12" i="8"/>
  <c r="L12" i="8"/>
  <c r="M12" i="8"/>
  <c r="N12" i="8"/>
  <c r="B13" i="8"/>
  <c r="C13" i="8"/>
  <c r="D13" i="8"/>
  <c r="E13" i="8"/>
  <c r="F13" i="8"/>
  <c r="G13" i="8"/>
  <c r="H13" i="8"/>
  <c r="I13" i="8"/>
  <c r="J13" i="8"/>
  <c r="K13" i="8"/>
  <c r="L13" i="8"/>
  <c r="M13" i="8"/>
  <c r="N13" i="8"/>
  <c r="C2" i="8"/>
  <c r="D2" i="8"/>
  <c r="E2" i="8"/>
  <c r="F2" i="8"/>
  <c r="G2" i="8"/>
  <c r="H2" i="8"/>
  <c r="I2" i="8"/>
  <c r="J2" i="8"/>
  <c r="K2" i="8"/>
  <c r="L2" i="8"/>
  <c r="M2" i="8"/>
  <c r="B2" i="8"/>
  <c r="K13" i="2"/>
  <c r="X813" i="8"/>
  <c r="W813" i="8"/>
  <c r="X400" i="8"/>
  <c r="W400" i="8"/>
  <c r="Y400" i="8" s="1"/>
  <c r="X308" i="8"/>
  <c r="W308" i="8"/>
  <c r="X895" i="8"/>
  <c r="W895" i="8"/>
  <c r="X894" i="8"/>
  <c r="W894" i="8"/>
  <c r="X812" i="8"/>
  <c r="W812" i="8"/>
  <c r="X811" i="8"/>
  <c r="W811" i="8"/>
  <c r="X644" i="8"/>
  <c r="W644" i="8"/>
  <c r="X399" i="8"/>
  <c r="W399" i="8"/>
  <c r="X893" i="8"/>
  <c r="W893" i="8"/>
  <c r="X398" i="8"/>
  <c r="W398" i="8"/>
  <c r="X235" i="8"/>
  <c r="W235" i="8"/>
  <c r="X736" i="8"/>
  <c r="W736" i="8"/>
  <c r="X810" i="8"/>
  <c r="W810" i="8"/>
  <c r="X397" i="8"/>
  <c r="W397" i="8"/>
  <c r="Y397" i="8" s="1"/>
  <c r="X78" i="8"/>
  <c r="W78" i="8"/>
  <c r="X735" i="8"/>
  <c r="W735" i="8"/>
  <c r="X77" i="8"/>
  <c r="W77" i="8"/>
  <c r="X892" i="8"/>
  <c r="W892" i="8"/>
  <c r="X1001" i="8"/>
  <c r="W1001" i="8"/>
  <c r="X891" i="8"/>
  <c r="W891" i="8"/>
  <c r="X76" i="8"/>
  <c r="W76" i="8"/>
  <c r="X485" i="8"/>
  <c r="W485" i="8"/>
  <c r="X396" i="8"/>
  <c r="W396" i="8"/>
  <c r="X1000" i="8"/>
  <c r="W1000" i="8"/>
  <c r="X559" i="8"/>
  <c r="W559" i="8"/>
  <c r="X558" i="8"/>
  <c r="W558" i="8"/>
  <c r="X156" i="8"/>
  <c r="W156" i="8"/>
  <c r="Y156" i="8" s="1"/>
  <c r="X484" i="8"/>
  <c r="W484" i="8"/>
  <c r="X75" i="8"/>
  <c r="W75" i="8"/>
  <c r="X999" i="8"/>
  <c r="W999" i="8"/>
  <c r="X809" i="8"/>
  <c r="W809" i="8"/>
  <c r="X890" i="8"/>
  <c r="W890" i="8"/>
  <c r="X483" i="8"/>
  <c r="W483" i="8"/>
  <c r="X155" i="8"/>
  <c r="W155" i="8"/>
  <c r="X998" i="8"/>
  <c r="W998" i="8"/>
  <c r="X482" i="8"/>
  <c r="W482" i="8"/>
  <c r="X557" i="8"/>
  <c r="W557" i="8"/>
  <c r="X889" i="8"/>
  <c r="W889" i="8"/>
  <c r="X154" i="8"/>
  <c r="W154" i="8"/>
  <c r="X643" i="8"/>
  <c r="W643" i="8"/>
  <c r="X74" i="8"/>
  <c r="W74" i="8"/>
  <c r="X481" i="8"/>
  <c r="W481" i="8"/>
  <c r="X734" i="8"/>
  <c r="W734" i="8"/>
  <c r="X556" i="8"/>
  <c r="W556" i="8"/>
  <c r="X234" i="8"/>
  <c r="W234" i="8"/>
  <c r="X888" i="8"/>
  <c r="W888" i="8"/>
  <c r="X153" i="8"/>
  <c r="W153" i="8"/>
  <c r="X233" i="8"/>
  <c r="W233" i="8"/>
  <c r="X887" i="8"/>
  <c r="W887" i="8"/>
  <c r="Y887" i="8" s="1"/>
  <c r="X886" i="8"/>
  <c r="W886" i="8"/>
  <c r="X307" i="8"/>
  <c r="W307" i="8"/>
  <c r="X395" i="8"/>
  <c r="W395" i="8"/>
  <c r="X808" i="8"/>
  <c r="W808" i="8"/>
  <c r="X642" i="8"/>
  <c r="W642" i="8"/>
  <c r="X152" i="8"/>
  <c r="W152" i="8"/>
  <c r="X997" i="8"/>
  <c r="W997" i="8"/>
  <c r="X306" i="8"/>
  <c r="W306" i="8"/>
  <c r="X555" i="8"/>
  <c r="W555" i="8"/>
  <c r="X885" i="8"/>
  <c r="W885" i="8"/>
  <c r="X232" i="8"/>
  <c r="W232" i="8"/>
  <c r="X73" i="8"/>
  <c r="W73" i="8"/>
  <c r="X884" i="8"/>
  <c r="W884" i="8"/>
  <c r="X733" i="8"/>
  <c r="W733" i="8"/>
  <c r="X807" i="8"/>
  <c r="W807" i="8"/>
  <c r="X554" i="8"/>
  <c r="W554" i="8"/>
  <c r="X732" i="8"/>
  <c r="W732" i="8"/>
  <c r="X806" i="8"/>
  <c r="W806" i="8"/>
  <c r="X394" i="8"/>
  <c r="W394" i="8"/>
  <c r="X805" i="8"/>
  <c r="W805" i="8"/>
  <c r="X151" i="8"/>
  <c r="W151" i="8"/>
  <c r="X150" i="8"/>
  <c r="W150" i="8"/>
  <c r="X883" i="8"/>
  <c r="W883" i="8"/>
  <c r="X393" i="8"/>
  <c r="W393" i="8"/>
  <c r="X149" i="8"/>
  <c r="W149" i="8"/>
  <c r="X641" i="8"/>
  <c r="W641" i="8"/>
  <c r="X804" i="8"/>
  <c r="W804" i="8"/>
  <c r="X803" i="8"/>
  <c r="W803" i="8"/>
  <c r="X392" i="8"/>
  <c r="W392" i="8"/>
  <c r="X802" i="8"/>
  <c r="W802" i="8"/>
  <c r="X480" i="8"/>
  <c r="W480" i="8"/>
  <c r="X479" i="8"/>
  <c r="W479" i="8"/>
  <c r="Y479" i="8" s="1"/>
  <c r="X305" i="8"/>
  <c r="W305" i="8"/>
  <c r="X640" i="8"/>
  <c r="W640" i="8"/>
  <c r="X231" i="8"/>
  <c r="W231" i="8"/>
  <c r="X230" i="8"/>
  <c r="W230" i="8"/>
  <c r="X882" i="8"/>
  <c r="W882" i="8"/>
  <c r="X801" i="8"/>
  <c r="W801" i="8"/>
  <c r="X478" i="8"/>
  <c r="W478" i="8"/>
  <c r="X639" i="8"/>
  <c r="W639" i="8"/>
  <c r="X731" i="8"/>
  <c r="W731" i="8"/>
  <c r="X800" i="8"/>
  <c r="W800" i="8"/>
  <c r="X391" i="8"/>
  <c r="W391" i="8"/>
  <c r="X638" i="8"/>
  <c r="W638" i="8"/>
  <c r="X799" i="8"/>
  <c r="W799" i="8"/>
  <c r="X72" i="8"/>
  <c r="W72" i="8"/>
  <c r="X304" i="8"/>
  <c r="W304" i="8"/>
  <c r="X303" i="8"/>
  <c r="W303" i="8"/>
  <c r="X553" i="8"/>
  <c r="W553" i="8"/>
  <c r="X390" i="8"/>
  <c r="W390" i="8"/>
  <c r="X229" i="8"/>
  <c r="W229" i="8"/>
  <c r="X637" i="8"/>
  <c r="Y637" i="8" s="1"/>
  <c r="W637" i="8"/>
  <c r="X552" i="8"/>
  <c r="W552" i="8"/>
  <c r="X477" i="8"/>
  <c r="W477" i="8"/>
  <c r="X389" i="8"/>
  <c r="W389" i="8"/>
  <c r="X71" i="8"/>
  <c r="W71" i="8"/>
  <c r="X798" i="8"/>
  <c r="W798" i="8"/>
  <c r="X476" i="8"/>
  <c r="W476" i="8"/>
  <c r="X797" i="8"/>
  <c r="W797" i="8"/>
  <c r="X996" i="8"/>
  <c r="W996" i="8"/>
  <c r="X995" i="8"/>
  <c r="W995" i="8"/>
  <c r="Y995" i="8" s="1"/>
  <c r="X475" i="8"/>
  <c r="W475" i="8"/>
  <c r="X796" i="8"/>
  <c r="W796" i="8"/>
  <c r="X551" i="8"/>
  <c r="Y551" i="8" s="1"/>
  <c r="W551" i="8"/>
  <c r="X228" i="8"/>
  <c r="W228" i="8"/>
  <c r="X795" i="8"/>
  <c r="W795" i="8"/>
  <c r="X70" i="8"/>
  <c r="W70" i="8"/>
  <c r="X881" i="8"/>
  <c r="W881" i="8"/>
  <c r="X994" i="8"/>
  <c r="W994" i="8"/>
  <c r="X730" i="8"/>
  <c r="Y730" i="8" s="1"/>
  <c r="W730" i="8"/>
  <c r="X227" i="8"/>
  <c r="W227" i="8"/>
  <c r="X388" i="8"/>
  <c r="W388" i="8"/>
  <c r="X550" i="8"/>
  <c r="W550" i="8"/>
  <c r="X69" i="8"/>
  <c r="W69" i="8"/>
  <c r="Y69" i="8" s="1"/>
  <c r="X302" i="8"/>
  <c r="W302" i="8"/>
  <c r="X549" i="8"/>
  <c r="Y549" i="8" s="1"/>
  <c r="W549" i="8"/>
  <c r="X301" i="8"/>
  <c r="W301" i="8"/>
  <c r="X880" i="8"/>
  <c r="W880" i="8"/>
  <c r="X148" i="8"/>
  <c r="W148" i="8"/>
  <c r="X879" i="8"/>
  <c r="W879" i="8"/>
  <c r="X993" i="8"/>
  <c r="W993" i="8"/>
  <c r="X68" i="8"/>
  <c r="Y68" i="8" s="1"/>
  <c r="W68" i="8"/>
  <c r="X147" i="8"/>
  <c r="W147" i="8"/>
  <c r="X67" i="8"/>
  <c r="W67" i="8"/>
  <c r="X226" i="8"/>
  <c r="W226" i="8"/>
  <c r="X794" i="8"/>
  <c r="W794" i="8"/>
  <c r="X548" i="8"/>
  <c r="W548" i="8"/>
  <c r="X793" i="8"/>
  <c r="W793" i="8"/>
  <c r="X146" i="8"/>
  <c r="W146" i="8"/>
  <c r="X474" i="8"/>
  <c r="W474" i="8"/>
  <c r="X387" i="8"/>
  <c r="W387" i="8"/>
  <c r="X386" i="8"/>
  <c r="W386" i="8"/>
  <c r="X992" i="8"/>
  <c r="W992" i="8"/>
  <c r="Y992" i="8" s="1"/>
  <c r="X636" i="8"/>
  <c r="W636" i="8"/>
  <c r="X991" i="8"/>
  <c r="W991" i="8"/>
  <c r="X66" i="8"/>
  <c r="W66" i="8"/>
  <c r="X300" i="8"/>
  <c r="W300" i="8"/>
  <c r="X878" i="8"/>
  <c r="W878" i="8"/>
  <c r="Y878" i="8" s="1"/>
  <c r="X792" i="8"/>
  <c r="W792" i="8"/>
  <c r="X729" i="8"/>
  <c r="W729" i="8"/>
  <c r="X990" i="8"/>
  <c r="W990" i="8"/>
  <c r="X145" i="8"/>
  <c r="W145" i="8"/>
  <c r="X728" i="8"/>
  <c r="W728" i="8"/>
  <c r="X547" i="8"/>
  <c r="W547" i="8"/>
  <c r="X299" i="8"/>
  <c r="W299" i="8"/>
  <c r="X546" i="8"/>
  <c r="W546" i="8"/>
  <c r="X791" i="8"/>
  <c r="W791" i="8"/>
  <c r="X144" i="8"/>
  <c r="W144" i="8"/>
  <c r="X727" i="8"/>
  <c r="W727" i="8"/>
  <c r="Y727" i="8" s="1"/>
  <c r="X225" i="8"/>
  <c r="W225" i="8"/>
  <c r="X143" i="8"/>
  <c r="W143" i="8"/>
  <c r="X385" i="8"/>
  <c r="W385" i="8"/>
  <c r="X545" i="8"/>
  <c r="W545" i="8"/>
  <c r="X473" i="8"/>
  <c r="W473" i="8"/>
  <c r="X635" i="8"/>
  <c r="W635" i="8"/>
  <c r="X384" i="8"/>
  <c r="W384" i="8"/>
  <c r="X989" i="8"/>
  <c r="W989" i="8"/>
  <c r="X142" i="8"/>
  <c r="W142" i="8"/>
  <c r="X988" i="8"/>
  <c r="W988" i="8"/>
  <c r="X298" i="8"/>
  <c r="W298" i="8"/>
  <c r="X790" i="8"/>
  <c r="W790" i="8"/>
  <c r="X987" i="8"/>
  <c r="W987" i="8"/>
  <c r="X297" i="8"/>
  <c r="W297" i="8"/>
  <c r="X224" i="8"/>
  <c r="W224" i="8"/>
  <c r="X634" i="8"/>
  <c r="W634" i="8"/>
  <c r="X141" i="8"/>
  <c r="W141" i="8"/>
  <c r="X986" i="8"/>
  <c r="W986" i="8"/>
  <c r="X383" i="8"/>
  <c r="W383" i="8"/>
  <c r="X633" i="8"/>
  <c r="W633" i="8"/>
  <c r="X985" i="8"/>
  <c r="W985" i="8"/>
  <c r="X382" i="8"/>
  <c r="W382" i="8"/>
  <c r="X223" i="8"/>
  <c r="W223" i="8"/>
  <c r="X877" i="8"/>
  <c r="W877" i="8"/>
  <c r="X140" i="8"/>
  <c r="W140" i="8"/>
  <c r="Y140" i="8" s="1"/>
  <c r="X65" i="8"/>
  <c r="W65" i="8"/>
  <c r="X64" i="8"/>
  <c r="W64" i="8"/>
  <c r="X876" i="8"/>
  <c r="W876" i="8"/>
  <c r="X222" i="8"/>
  <c r="W222" i="8"/>
  <c r="X221" i="8"/>
  <c r="W221" i="8"/>
  <c r="X220" i="8"/>
  <c r="W220" i="8"/>
  <c r="X984" i="8"/>
  <c r="W984" i="8"/>
  <c r="X726" i="8"/>
  <c r="W726" i="8"/>
  <c r="X789" i="8"/>
  <c r="W789" i="8"/>
  <c r="X472" i="8"/>
  <c r="W472" i="8"/>
  <c r="X632" i="8"/>
  <c r="W632" i="8"/>
  <c r="X875" i="8"/>
  <c r="W875" i="8"/>
  <c r="X788" i="8"/>
  <c r="W788" i="8"/>
  <c r="X874" i="8"/>
  <c r="W874" i="8"/>
  <c r="X787" i="8"/>
  <c r="W787" i="8"/>
  <c r="X219" i="8"/>
  <c r="W219" i="8"/>
  <c r="X725" i="8"/>
  <c r="W725" i="8"/>
  <c r="X983" i="8"/>
  <c r="W983" i="8"/>
  <c r="X873" i="8"/>
  <c r="W873" i="8"/>
  <c r="X786" i="8"/>
  <c r="W786" i="8"/>
  <c r="X381" i="8"/>
  <c r="W381" i="8"/>
  <c r="X724" i="8"/>
  <c r="W724" i="8"/>
  <c r="Y724" i="8" s="1"/>
  <c r="X631" i="8"/>
  <c r="W631" i="8"/>
  <c r="Y631" i="8" s="1"/>
  <c r="X139" i="8"/>
  <c r="W139" i="8"/>
  <c r="X872" i="8"/>
  <c r="W872" i="8"/>
  <c r="X63" i="8"/>
  <c r="W63" i="8"/>
  <c r="X544" i="8"/>
  <c r="W544" i="8"/>
  <c r="X62" i="8"/>
  <c r="W62" i="8"/>
  <c r="Y62" i="8" s="1"/>
  <c r="X723" i="8"/>
  <c r="W723" i="8"/>
  <c r="X871" i="8"/>
  <c r="W871" i="8"/>
  <c r="X785" i="8"/>
  <c r="W785" i="8"/>
  <c r="X380" i="8"/>
  <c r="W380" i="8"/>
  <c r="X138" i="8"/>
  <c r="W138" i="8"/>
  <c r="X61" i="8"/>
  <c r="W61" i="8"/>
  <c r="X630" i="8"/>
  <c r="W630" i="8"/>
  <c r="Y630" i="8" s="1"/>
  <c r="X379" i="8"/>
  <c r="W379" i="8"/>
  <c r="Y379" i="8" s="1"/>
  <c r="X471" i="8"/>
  <c r="W471" i="8"/>
  <c r="X722" i="8"/>
  <c r="W722" i="8"/>
  <c r="X378" i="8"/>
  <c r="W378" i="8"/>
  <c r="X982" i="8"/>
  <c r="W982" i="8"/>
  <c r="X296" i="8"/>
  <c r="W296" i="8"/>
  <c r="X295" i="8"/>
  <c r="W295" i="8"/>
  <c r="X60" i="8"/>
  <c r="W60" i="8"/>
  <c r="Y60" i="8" s="1"/>
  <c r="X470" i="8"/>
  <c r="W470" i="8"/>
  <c r="X137" i="8"/>
  <c r="W137" i="8"/>
  <c r="X469" i="8"/>
  <c r="W469" i="8"/>
  <c r="X218" i="8"/>
  <c r="W218" i="8"/>
  <c r="X377" i="8"/>
  <c r="W377" i="8"/>
  <c r="X543" i="8"/>
  <c r="W543" i="8"/>
  <c r="X629" i="8"/>
  <c r="W629" i="8"/>
  <c r="X721" i="8"/>
  <c r="W721" i="8"/>
  <c r="X542" i="8"/>
  <c r="W542" i="8"/>
  <c r="X628" i="8"/>
  <c r="W628" i="8"/>
  <c r="X294" i="8"/>
  <c r="W294" i="8"/>
  <c r="X981" i="8"/>
  <c r="W981" i="8"/>
  <c r="Y981" i="8" s="1"/>
  <c r="X720" i="8"/>
  <c r="W720" i="8"/>
  <c r="X293" i="8"/>
  <c r="W293" i="8"/>
  <c r="X980" i="8"/>
  <c r="W980" i="8"/>
  <c r="X870" i="8"/>
  <c r="W870" i="8"/>
  <c r="X292" i="8"/>
  <c r="W292" i="8"/>
  <c r="Y292" i="8" s="1"/>
  <c r="X627" i="8"/>
  <c r="W627" i="8"/>
  <c r="X376" i="8"/>
  <c r="Y376" i="8" s="1"/>
  <c r="W376" i="8"/>
  <c r="X869" i="8"/>
  <c r="W869" i="8"/>
  <c r="X468" i="8"/>
  <c r="W468" i="8"/>
  <c r="X467" i="8"/>
  <c r="W467" i="8"/>
  <c r="X541" i="8"/>
  <c r="W541" i="8"/>
  <c r="X217" i="8"/>
  <c r="W217" i="8"/>
  <c r="X466" i="8"/>
  <c r="W466" i="8"/>
  <c r="X626" i="8"/>
  <c r="W626" i="8"/>
  <c r="X291" i="8"/>
  <c r="W291" i="8"/>
  <c r="X719" i="8"/>
  <c r="W719" i="8"/>
  <c r="Y719" i="8" s="1"/>
  <c r="X465" i="8"/>
  <c r="W465" i="8"/>
  <c r="X464" i="8"/>
  <c r="W464" i="8"/>
  <c r="X290" i="8"/>
  <c r="W290" i="8"/>
  <c r="X979" i="8"/>
  <c r="W979" i="8"/>
  <c r="X375" i="8"/>
  <c r="W375" i="8"/>
  <c r="X136" i="8"/>
  <c r="W136" i="8"/>
  <c r="X463" i="8"/>
  <c r="W463" i="8"/>
  <c r="X718" i="8"/>
  <c r="W718" i="8"/>
  <c r="X540" i="8"/>
  <c r="W540" i="8"/>
  <c r="X462" i="8"/>
  <c r="W462" i="8"/>
  <c r="X539" i="8"/>
  <c r="W539" i="8"/>
  <c r="X978" i="8"/>
  <c r="W978" i="8"/>
  <c r="X538" i="8"/>
  <c r="W538" i="8"/>
  <c r="Y538" i="8" s="1"/>
  <c r="X59" i="8"/>
  <c r="W59" i="8"/>
  <c r="X374" i="8"/>
  <c r="W374" i="8"/>
  <c r="X784" i="8"/>
  <c r="W784" i="8"/>
  <c r="X717" i="8"/>
  <c r="W717" i="8"/>
  <c r="X216" i="8"/>
  <c r="W216" i="8"/>
  <c r="X537" i="8"/>
  <c r="W537" i="8"/>
  <c r="X373" i="8"/>
  <c r="W373" i="8"/>
  <c r="X58" i="8"/>
  <c r="Y58" i="8" s="1"/>
  <c r="W58" i="8"/>
  <c r="X461" i="8"/>
  <c r="W461" i="8"/>
  <c r="X783" i="8"/>
  <c r="W783" i="8"/>
  <c r="X625" i="8"/>
  <c r="W625" i="8"/>
  <c r="X536" i="8"/>
  <c r="W536" i="8"/>
  <c r="X215" i="8"/>
  <c r="W215" i="8"/>
  <c r="X782" i="8"/>
  <c r="W782" i="8"/>
  <c r="X624" i="8"/>
  <c r="W624" i="8"/>
  <c r="X460" i="8"/>
  <c r="W460" i="8"/>
  <c r="X716" i="8"/>
  <c r="W716" i="8"/>
  <c r="X372" i="8"/>
  <c r="W372" i="8"/>
  <c r="X214" i="8"/>
  <c r="W214" i="8"/>
  <c r="X781" i="8"/>
  <c r="Y781" i="8" s="1"/>
  <c r="W781" i="8"/>
  <c r="X289" i="8"/>
  <c r="W289" i="8"/>
  <c r="X213" i="8"/>
  <c r="W213" i="8"/>
  <c r="X371" i="8"/>
  <c r="W371" i="8"/>
  <c r="X288" i="8"/>
  <c r="W288" i="8"/>
  <c r="X977" i="8"/>
  <c r="W977" i="8"/>
  <c r="X976" i="8"/>
  <c r="Y976" i="8" s="1"/>
  <c r="W976" i="8"/>
  <c r="X212" i="8"/>
  <c r="W212" i="8"/>
  <c r="Y212" i="8" s="1"/>
  <c r="X975" i="8"/>
  <c r="W975" i="8"/>
  <c r="X623" i="8"/>
  <c r="W623" i="8"/>
  <c r="X974" i="8"/>
  <c r="W974" i="8"/>
  <c r="X868" i="8"/>
  <c r="W868" i="8"/>
  <c r="X211" i="8"/>
  <c r="Y211" i="8" s="1"/>
  <c r="W211" i="8"/>
  <c r="X715" i="8"/>
  <c r="W715" i="8"/>
  <c r="X535" i="8"/>
  <c r="W535" i="8"/>
  <c r="X287" i="8"/>
  <c r="W287" i="8"/>
  <c r="Y287" i="8" s="1"/>
  <c r="X286" i="8"/>
  <c r="W286" i="8"/>
  <c r="X534" i="8"/>
  <c r="W534" i="8"/>
  <c r="X370" i="8"/>
  <c r="W370" i="8"/>
  <c r="X533" i="8"/>
  <c r="W533" i="8"/>
  <c r="X973" i="8"/>
  <c r="W973" i="8"/>
  <c r="X622" i="8"/>
  <c r="W622" i="8"/>
  <c r="X135" i="8"/>
  <c r="W135" i="8"/>
  <c r="X621" i="8"/>
  <c r="W621" i="8"/>
  <c r="X867" i="8"/>
  <c r="W867" i="8"/>
  <c r="X210" i="8"/>
  <c r="W210" i="8"/>
  <c r="X369" i="8"/>
  <c r="W369" i="8"/>
  <c r="X368" i="8"/>
  <c r="W368" i="8"/>
  <c r="X209" i="8"/>
  <c r="W209" i="8"/>
  <c r="Y209" i="8" s="1"/>
  <c r="X367" i="8"/>
  <c r="W367" i="8"/>
  <c r="X972" i="8"/>
  <c r="Y972" i="8" s="1"/>
  <c r="W972" i="8"/>
  <c r="X620" i="8"/>
  <c r="W620" i="8"/>
  <c r="X714" i="8"/>
  <c r="W714" i="8"/>
  <c r="X285" i="8"/>
  <c r="W285" i="8"/>
  <c r="X713" i="8"/>
  <c r="W713" i="8"/>
  <c r="Y713" i="8" s="1"/>
  <c r="X459" i="8"/>
  <c r="W459" i="8"/>
  <c r="X971" i="8"/>
  <c r="W971" i="8"/>
  <c r="X970" i="8"/>
  <c r="W970" i="8"/>
  <c r="X969" i="8"/>
  <c r="W969" i="8"/>
  <c r="X57" i="8"/>
  <c r="W57" i="8"/>
  <c r="X458" i="8"/>
  <c r="W458" i="8"/>
  <c r="X712" i="8"/>
  <c r="W712" i="8"/>
  <c r="X968" i="8"/>
  <c r="W968" i="8"/>
  <c r="X56" i="8"/>
  <c r="W56" i="8"/>
  <c r="X532" i="8"/>
  <c r="W532" i="8"/>
  <c r="Y532" i="8" s="1"/>
  <c r="X619" i="8"/>
  <c r="W619" i="8"/>
  <c r="X134" i="8"/>
  <c r="W134" i="8"/>
  <c r="X284" i="8"/>
  <c r="W284" i="8"/>
  <c r="X283" i="8"/>
  <c r="W283" i="8"/>
  <c r="X366" i="8"/>
  <c r="W366" i="8"/>
  <c r="X711" i="8"/>
  <c r="W711" i="8"/>
  <c r="Y711" i="8" s="1"/>
  <c r="X618" i="8"/>
  <c r="W618" i="8"/>
  <c r="X208" i="8"/>
  <c r="W208" i="8"/>
  <c r="X866" i="8"/>
  <c r="W866" i="8"/>
  <c r="X282" i="8"/>
  <c r="W282" i="8"/>
  <c r="X207" i="8"/>
  <c r="W207" i="8"/>
  <c r="X710" i="8"/>
  <c r="W710" i="8"/>
  <c r="X967" i="8"/>
  <c r="W967" i="8"/>
  <c r="X617" i="8"/>
  <c r="W617" i="8"/>
  <c r="X365" i="8"/>
  <c r="W365" i="8"/>
  <c r="X616" i="8"/>
  <c r="W616" i="8"/>
  <c r="X966" i="8"/>
  <c r="W966" i="8"/>
  <c r="X55" i="8"/>
  <c r="W55" i="8"/>
  <c r="Y55" i="8" s="1"/>
  <c r="X865" i="8"/>
  <c r="W865" i="8"/>
  <c r="Y865" i="8" s="1"/>
  <c r="X364" i="8"/>
  <c r="W364" i="8"/>
  <c r="X206" i="8"/>
  <c r="W206" i="8"/>
  <c r="X363" i="8"/>
  <c r="W363" i="8"/>
  <c r="X281" i="8"/>
  <c r="W281" i="8"/>
  <c r="X280" i="8"/>
  <c r="W280" i="8"/>
  <c r="X615" i="8"/>
  <c r="W615" i="8"/>
  <c r="X780" i="8"/>
  <c r="W780" i="8"/>
  <c r="Y780" i="8" s="1"/>
  <c r="X205" i="8"/>
  <c r="W205" i="8"/>
  <c r="X864" i="8"/>
  <c r="W864" i="8"/>
  <c r="X457" i="8"/>
  <c r="W457" i="8"/>
  <c r="X614" i="8"/>
  <c r="W614" i="8"/>
  <c r="X531" i="8"/>
  <c r="W531" i="8"/>
  <c r="X863" i="8"/>
  <c r="W863" i="8"/>
  <c r="Y863" i="8" s="1"/>
  <c r="X709" i="8"/>
  <c r="W709" i="8"/>
  <c r="X862" i="8"/>
  <c r="W862" i="8"/>
  <c r="X779" i="8"/>
  <c r="W779" i="8"/>
  <c r="X613" i="8"/>
  <c r="W613" i="8"/>
  <c r="Y613" i="8" s="1"/>
  <c r="X612" i="8"/>
  <c r="W612" i="8"/>
  <c r="X362" i="8"/>
  <c r="W362" i="8"/>
  <c r="Y362" i="8" s="1"/>
  <c r="X708" i="8"/>
  <c r="W708" i="8"/>
  <c r="X204" i="8"/>
  <c r="W204" i="8"/>
  <c r="X530" i="8"/>
  <c r="W530" i="8"/>
  <c r="Y530" i="8" s="1"/>
  <c r="X965" i="8"/>
  <c r="W965" i="8"/>
  <c r="Y965" i="8" s="1"/>
  <c r="X456" i="8"/>
  <c r="W456" i="8"/>
  <c r="X861" i="8"/>
  <c r="W861" i="8"/>
  <c r="X611" i="8"/>
  <c r="W611" i="8"/>
  <c r="X964" i="8"/>
  <c r="W964" i="8"/>
  <c r="X54" i="8"/>
  <c r="W54" i="8"/>
  <c r="X455" i="8"/>
  <c r="W455" i="8"/>
  <c r="X279" i="8"/>
  <c r="W279" i="8"/>
  <c r="X454" i="8"/>
  <c r="W454" i="8"/>
  <c r="X963" i="8"/>
  <c r="W963" i="8"/>
  <c r="X962" i="8"/>
  <c r="W962" i="8"/>
  <c r="X860" i="8"/>
  <c r="W860" i="8"/>
  <c r="X133" i="8"/>
  <c r="W133" i="8"/>
  <c r="Y133" i="8" s="1"/>
  <c r="X453" i="8"/>
  <c r="W453" i="8"/>
  <c r="X707" i="8"/>
  <c r="W707" i="8"/>
  <c r="X53" i="8"/>
  <c r="W53" i="8"/>
  <c r="X52" i="8"/>
  <c r="W52" i="8"/>
  <c r="X778" i="8"/>
  <c r="W778" i="8"/>
  <c r="X777" i="8"/>
  <c r="W777" i="8"/>
  <c r="X610" i="8"/>
  <c r="W610" i="8"/>
  <c r="X132" i="8"/>
  <c r="W132" i="8"/>
  <c r="X361" i="8"/>
  <c r="W361" i="8"/>
  <c r="X278" i="8"/>
  <c r="W278" i="8"/>
  <c r="X961" i="8"/>
  <c r="W961" i="8"/>
  <c r="X452" i="8"/>
  <c r="W452" i="8"/>
  <c r="Y452" i="8" s="1"/>
  <c r="X277" i="8"/>
  <c r="W277" i="8"/>
  <c r="X203" i="8"/>
  <c r="W203" i="8"/>
  <c r="X131" i="8"/>
  <c r="W131" i="8"/>
  <c r="X202" i="8"/>
  <c r="W202" i="8"/>
  <c r="X276" i="8"/>
  <c r="W276" i="8"/>
  <c r="X51" i="8"/>
  <c r="W51" i="8"/>
  <c r="X706" i="8"/>
  <c r="W706" i="8"/>
  <c r="X859" i="8"/>
  <c r="W859" i="8"/>
  <c r="X275" i="8"/>
  <c r="W275" i="8"/>
  <c r="X609" i="8"/>
  <c r="Y609" i="8" s="1"/>
  <c r="W609" i="8"/>
  <c r="X858" i="8"/>
  <c r="W858" i="8"/>
  <c r="Y858" i="8" s="1"/>
  <c r="X705" i="8"/>
  <c r="W705" i="8"/>
  <c r="Y705" i="8" s="1"/>
  <c r="X201" i="8"/>
  <c r="W201" i="8"/>
  <c r="X529" i="8"/>
  <c r="W529" i="8"/>
  <c r="X200" i="8"/>
  <c r="W200" i="8"/>
  <c r="X528" i="8"/>
  <c r="W528" i="8"/>
  <c r="X704" i="8"/>
  <c r="W704" i="8"/>
  <c r="X199" i="8"/>
  <c r="W199" i="8"/>
  <c r="X360" i="8"/>
  <c r="W360" i="8"/>
  <c r="X960" i="8"/>
  <c r="W960" i="8"/>
  <c r="Y960" i="8" s="1"/>
  <c r="X359" i="8"/>
  <c r="W359" i="8"/>
  <c r="X527" i="8"/>
  <c r="W527" i="8"/>
  <c r="X857" i="8"/>
  <c r="W857" i="8"/>
  <c r="X451" i="8"/>
  <c r="W451" i="8"/>
  <c r="X959" i="8"/>
  <c r="W959" i="8"/>
  <c r="X703" i="8"/>
  <c r="W703" i="8"/>
  <c r="X702" i="8"/>
  <c r="W702" i="8"/>
  <c r="X130" i="8"/>
  <c r="W130" i="8"/>
  <c r="X274" i="8"/>
  <c r="W274" i="8"/>
  <c r="X450" i="8"/>
  <c r="W450" i="8"/>
  <c r="X958" i="8"/>
  <c r="W958" i="8"/>
  <c r="X776" i="8"/>
  <c r="W776" i="8"/>
  <c r="Y776" i="8" s="1"/>
  <c r="X608" i="8"/>
  <c r="W608" i="8"/>
  <c r="X856" i="8"/>
  <c r="W856" i="8"/>
  <c r="X957" i="8"/>
  <c r="W957" i="8"/>
  <c r="X526" i="8"/>
  <c r="W526" i="8"/>
  <c r="Y526" i="8" s="1"/>
  <c r="X50" i="8"/>
  <c r="W50" i="8"/>
  <c r="X449" i="8"/>
  <c r="W449" i="8"/>
  <c r="X273" i="8"/>
  <c r="W273" i="8"/>
  <c r="X855" i="8"/>
  <c r="W855" i="8"/>
  <c r="X607" i="8"/>
  <c r="W607" i="8"/>
  <c r="X448" i="8"/>
  <c r="W448" i="8"/>
  <c r="X129" i="8"/>
  <c r="W129" i="8"/>
  <c r="X49" i="8"/>
  <c r="W49" i="8"/>
  <c r="X854" i="8"/>
  <c r="W854" i="8"/>
  <c r="X956" i="8"/>
  <c r="W956" i="8"/>
  <c r="X775" i="8"/>
  <c r="W775" i="8"/>
  <c r="X198" i="8"/>
  <c r="W198" i="8"/>
  <c r="X447" i="8"/>
  <c r="W447" i="8"/>
  <c r="X272" i="8"/>
  <c r="W272" i="8"/>
  <c r="X606" i="8"/>
  <c r="W606" i="8"/>
  <c r="X128" i="8"/>
  <c r="W128" i="8"/>
  <c r="X701" i="8"/>
  <c r="W701" i="8"/>
  <c r="X358" i="8"/>
  <c r="W358" i="8"/>
  <c r="X525" i="8"/>
  <c r="W525" i="8"/>
  <c r="X700" i="8"/>
  <c r="W700" i="8"/>
  <c r="X524" i="8"/>
  <c r="W524" i="8"/>
  <c r="X48" i="8"/>
  <c r="W48" i="8"/>
  <c r="X853" i="8"/>
  <c r="W853" i="8"/>
  <c r="X271" i="8"/>
  <c r="W271" i="8"/>
  <c r="X127" i="8"/>
  <c r="W127" i="8"/>
  <c r="X446" i="8"/>
  <c r="W446" i="8"/>
  <c r="X699" i="8"/>
  <c r="W699" i="8"/>
  <c r="X698" i="8"/>
  <c r="W698" i="8"/>
  <c r="X357" i="8"/>
  <c r="W357" i="8"/>
  <c r="X47" i="8"/>
  <c r="W47" i="8"/>
  <c r="X523" i="8"/>
  <c r="W523" i="8"/>
  <c r="X126" i="8"/>
  <c r="W126" i="8"/>
  <c r="X522" i="8"/>
  <c r="W522" i="8"/>
  <c r="X46" i="8"/>
  <c r="W46" i="8"/>
  <c r="X125" i="8"/>
  <c r="W125" i="8"/>
  <c r="X697" i="8"/>
  <c r="W697" i="8"/>
  <c r="X852" i="8"/>
  <c r="W852" i="8"/>
  <c r="X124" i="8"/>
  <c r="W124" i="8"/>
  <c r="X45" i="8"/>
  <c r="W45" i="8"/>
  <c r="X521" i="8"/>
  <c r="W521" i="8"/>
  <c r="X445" i="8"/>
  <c r="W445" i="8"/>
  <c r="X356" i="8"/>
  <c r="W356" i="8"/>
  <c r="X270" i="8"/>
  <c r="W270" i="8"/>
  <c r="X520" i="8"/>
  <c r="W520" i="8"/>
  <c r="X519" i="8"/>
  <c r="W519" i="8"/>
  <c r="X696" i="8"/>
  <c r="W696" i="8"/>
  <c r="X123" i="8"/>
  <c r="W123" i="8"/>
  <c r="X355" i="8"/>
  <c r="W355" i="8"/>
  <c r="X518" i="8"/>
  <c r="W518" i="8"/>
  <c r="X122" i="8"/>
  <c r="W122" i="8"/>
  <c r="X955" i="8"/>
  <c r="W955" i="8"/>
  <c r="X774" i="8"/>
  <c r="W774" i="8"/>
  <c r="X354" i="8"/>
  <c r="W354" i="8"/>
  <c r="X44" i="8"/>
  <c r="W44" i="8"/>
  <c r="X954" i="8"/>
  <c r="W954" i="8"/>
  <c r="X517" i="8"/>
  <c r="W517" i="8"/>
  <c r="X197" i="8"/>
  <c r="W197" i="8"/>
  <c r="X444" i="8"/>
  <c r="W444" i="8"/>
  <c r="X121" i="8"/>
  <c r="W121" i="8"/>
  <c r="X605" i="8"/>
  <c r="W605" i="8"/>
  <c r="X196" i="8"/>
  <c r="W196" i="8"/>
  <c r="X353" i="8"/>
  <c r="W353" i="8"/>
  <c r="X120" i="8"/>
  <c r="W120" i="8"/>
  <c r="X119" i="8"/>
  <c r="W119" i="8"/>
  <c r="X953" i="8"/>
  <c r="W953" i="8"/>
  <c r="X773" i="8"/>
  <c r="W773" i="8"/>
  <c r="X952" i="8"/>
  <c r="W952" i="8"/>
  <c r="X695" i="8"/>
  <c r="W695" i="8"/>
  <c r="X269" i="8"/>
  <c r="W269" i="8"/>
  <c r="Y269" i="8" s="1"/>
  <c r="X443" i="8"/>
  <c r="W443" i="8"/>
  <c r="X772" i="8"/>
  <c r="W772" i="8"/>
  <c r="X442" i="8"/>
  <c r="W442" i="8"/>
  <c r="X43" i="8"/>
  <c r="W43" i="8"/>
  <c r="Y43" i="8" s="1"/>
  <c r="X118" i="8"/>
  <c r="W118" i="8"/>
  <c r="X951" i="8"/>
  <c r="W951" i="8"/>
  <c r="X950" i="8"/>
  <c r="W950" i="8"/>
  <c r="X42" i="8"/>
  <c r="W42" i="8"/>
  <c r="X117" i="8"/>
  <c r="W117" i="8"/>
  <c r="X604" i="8"/>
  <c r="W604" i="8"/>
  <c r="X771" i="8"/>
  <c r="W771" i="8"/>
  <c r="X603" i="8"/>
  <c r="W603" i="8"/>
  <c r="X694" i="8"/>
  <c r="W694" i="8"/>
  <c r="X602" i="8"/>
  <c r="W602" i="8"/>
  <c r="X693" i="8"/>
  <c r="W693" i="8"/>
  <c r="X268" i="8"/>
  <c r="W268" i="8"/>
  <c r="X352" i="8"/>
  <c r="W352" i="8"/>
  <c r="X351" i="8"/>
  <c r="W351" i="8"/>
  <c r="X267" i="8"/>
  <c r="W267" i="8"/>
  <c r="X195" i="8"/>
  <c r="W195" i="8"/>
  <c r="X194" i="8"/>
  <c r="W194" i="8"/>
  <c r="X949" i="8"/>
  <c r="W949" i="8"/>
  <c r="X350" i="8"/>
  <c r="W350" i="8"/>
  <c r="X266" i="8"/>
  <c r="W266" i="8"/>
  <c r="X349" i="8"/>
  <c r="W349" i="8"/>
  <c r="X116" i="8"/>
  <c r="W116" i="8"/>
  <c r="X851" i="8"/>
  <c r="W851" i="8"/>
  <c r="X441" i="8"/>
  <c r="W441" i="8"/>
  <c r="X348" i="8"/>
  <c r="W348" i="8"/>
  <c r="X347" i="8"/>
  <c r="W347" i="8"/>
  <c r="X193" i="8"/>
  <c r="W193" i="8"/>
  <c r="X692" i="8"/>
  <c r="W692" i="8"/>
  <c r="X691" i="8"/>
  <c r="W691" i="8"/>
  <c r="Y691" i="8" s="1"/>
  <c r="X516" i="8"/>
  <c r="W516" i="8"/>
  <c r="X41" i="8"/>
  <c r="W41" i="8"/>
  <c r="X440" i="8"/>
  <c r="W440" i="8"/>
  <c r="X115" i="8"/>
  <c r="W115" i="8"/>
  <c r="X690" i="8"/>
  <c r="W690" i="8"/>
  <c r="X439" i="8"/>
  <c r="W439" i="8"/>
  <c r="X346" i="8"/>
  <c r="W346" i="8"/>
  <c r="X850" i="8"/>
  <c r="W850" i="8"/>
  <c r="X689" i="8"/>
  <c r="W689" i="8"/>
  <c r="Y689" i="8" s="1"/>
  <c r="X948" i="8"/>
  <c r="W948" i="8"/>
  <c r="X947" i="8"/>
  <c r="W947" i="8"/>
  <c r="X946" i="8"/>
  <c r="W946" i="8"/>
  <c r="X601" i="8"/>
  <c r="W601" i="8"/>
  <c r="X114" i="8"/>
  <c r="W114" i="8"/>
  <c r="X192" i="8"/>
  <c r="W192" i="8"/>
  <c r="X40" i="8"/>
  <c r="W40" i="8"/>
  <c r="X515" i="8"/>
  <c r="W515" i="8"/>
  <c r="X345" i="8"/>
  <c r="W345" i="8"/>
  <c r="X770" i="8"/>
  <c r="W770" i="8"/>
  <c r="X945" i="8"/>
  <c r="W945" i="8"/>
  <c r="X688" i="8"/>
  <c r="W688" i="8"/>
  <c r="X438" i="8"/>
  <c r="W438" i="8"/>
  <c r="X344" i="8"/>
  <c r="W344" i="8"/>
  <c r="X600" i="8"/>
  <c r="W600" i="8"/>
  <c r="X265" i="8"/>
  <c r="W265" i="8"/>
  <c r="X849" i="8"/>
  <c r="W849" i="8"/>
  <c r="X944" i="8"/>
  <c r="W944" i="8"/>
  <c r="X848" i="8"/>
  <c r="W848" i="8"/>
  <c r="X943" i="8"/>
  <c r="W943" i="8"/>
  <c r="X514" i="8"/>
  <c r="W514" i="8"/>
  <c r="X599" i="8"/>
  <c r="W599" i="8"/>
  <c r="X942" i="8"/>
  <c r="W942" i="8"/>
  <c r="X598" i="8"/>
  <c r="W598" i="8"/>
  <c r="X687" i="8"/>
  <c r="W687" i="8"/>
  <c r="X437" i="8"/>
  <c r="W437" i="8"/>
  <c r="X513" i="8"/>
  <c r="W513" i="8"/>
  <c r="X941" i="8"/>
  <c r="W941" i="8"/>
  <c r="X597" i="8"/>
  <c r="W597" i="8"/>
  <c r="X436" i="8"/>
  <c r="W436" i="8"/>
  <c r="X343" i="8"/>
  <c r="W343" i="8"/>
  <c r="X847" i="8"/>
  <c r="W847" i="8"/>
  <c r="X342" i="8"/>
  <c r="W342" i="8"/>
  <c r="X596" i="8"/>
  <c r="W596" i="8"/>
  <c r="X264" i="8"/>
  <c r="W264" i="8"/>
  <c r="X686" i="8"/>
  <c r="W686" i="8"/>
  <c r="X769" i="8"/>
  <c r="W769" i="8"/>
  <c r="X595" i="8"/>
  <c r="W595" i="8"/>
  <c r="X435" i="8"/>
  <c r="W435" i="8"/>
  <c r="X685" i="8"/>
  <c r="W685" i="8"/>
  <c r="X434" i="8"/>
  <c r="W434" i="8"/>
  <c r="X433" i="8"/>
  <c r="W433" i="8"/>
  <c r="X846" i="8"/>
  <c r="W846" i="8"/>
  <c r="X684" i="8"/>
  <c r="W684" i="8"/>
  <c r="X845" i="8"/>
  <c r="W845" i="8"/>
  <c r="X940" i="8"/>
  <c r="W940" i="8"/>
  <c r="X512" i="8"/>
  <c r="W512" i="8"/>
  <c r="X39" i="8"/>
  <c r="W39" i="8"/>
  <c r="Y39" i="8" s="1"/>
  <c r="X594" i="8"/>
  <c r="W594" i="8"/>
  <c r="X511" i="8"/>
  <c r="W511" i="8"/>
  <c r="X939" i="8"/>
  <c r="W939" i="8"/>
  <c r="X113" i="8"/>
  <c r="W113" i="8"/>
  <c r="X683" i="8"/>
  <c r="W683" i="8"/>
  <c r="X38" i="8"/>
  <c r="W38" i="8"/>
  <c r="X938" i="8"/>
  <c r="W938" i="8"/>
  <c r="X191" i="8"/>
  <c r="W191" i="8"/>
  <c r="X682" i="8"/>
  <c r="W682" i="8"/>
  <c r="X263" i="8"/>
  <c r="W263" i="8"/>
  <c r="X262" i="8"/>
  <c r="W262" i="8"/>
  <c r="X341" i="8"/>
  <c r="W341" i="8"/>
  <c r="X112" i="8"/>
  <c r="W112" i="8"/>
  <c r="X593" i="8"/>
  <c r="W593" i="8"/>
  <c r="X592" i="8"/>
  <c r="W592" i="8"/>
  <c r="X261" i="8"/>
  <c r="W261" i="8"/>
  <c r="X37" i="8"/>
  <c r="W37" i="8"/>
  <c r="Y37" i="8" s="1"/>
  <c r="X340" i="8"/>
  <c r="W340" i="8"/>
  <c r="X591" i="8"/>
  <c r="W591" i="8"/>
  <c r="X339" i="8"/>
  <c r="W339" i="8"/>
  <c r="X432" i="8"/>
  <c r="W432" i="8"/>
  <c r="X844" i="8"/>
  <c r="W844" i="8"/>
  <c r="Y844" i="8" s="1"/>
  <c r="X590" i="8"/>
  <c r="W590" i="8"/>
  <c r="X589" i="8"/>
  <c r="W589" i="8"/>
  <c r="X510" i="8"/>
  <c r="W510" i="8"/>
  <c r="X588" i="8"/>
  <c r="W588" i="8"/>
  <c r="X190" i="8"/>
  <c r="W190" i="8"/>
  <c r="X937" i="8"/>
  <c r="W937" i="8"/>
  <c r="X338" i="8"/>
  <c r="W338" i="8"/>
  <c r="X189" i="8"/>
  <c r="W189" i="8"/>
  <c r="X843" i="8"/>
  <c r="W843" i="8"/>
  <c r="X188" i="8"/>
  <c r="W188" i="8"/>
  <c r="X587" i="8"/>
  <c r="W587" i="8"/>
  <c r="X509" i="8"/>
  <c r="W509" i="8"/>
  <c r="X36" i="8"/>
  <c r="W36" i="8"/>
  <c r="X35" i="8"/>
  <c r="W35" i="8"/>
  <c r="X187" i="8"/>
  <c r="W187" i="8"/>
  <c r="X337" i="8"/>
  <c r="W337" i="8"/>
  <c r="X431" i="8"/>
  <c r="W431" i="8"/>
  <c r="X111" i="8"/>
  <c r="W111" i="8"/>
  <c r="X430" i="8"/>
  <c r="W430" i="8"/>
  <c r="X260" i="8"/>
  <c r="W260" i="8"/>
  <c r="X936" i="8"/>
  <c r="W936" i="8"/>
  <c r="X508" i="8"/>
  <c r="W508" i="8"/>
  <c r="X429" i="8"/>
  <c r="W429" i="8"/>
  <c r="X842" i="8"/>
  <c r="W842" i="8"/>
  <c r="X935" i="8"/>
  <c r="W935" i="8"/>
  <c r="X768" i="8"/>
  <c r="W768" i="8"/>
  <c r="X681" i="8"/>
  <c r="W681" i="8"/>
  <c r="X428" i="8"/>
  <c r="W428" i="8"/>
  <c r="X507" i="8"/>
  <c r="W507" i="8"/>
  <c r="X934" i="8"/>
  <c r="W934" i="8"/>
  <c r="Y934" i="8" s="1"/>
  <c r="X336" i="8"/>
  <c r="W336" i="8"/>
  <c r="X680" i="8"/>
  <c r="W680" i="8"/>
  <c r="Y680" i="8" s="1"/>
  <c r="X335" i="8"/>
  <c r="W335" i="8"/>
  <c r="X34" i="8"/>
  <c r="W34" i="8"/>
  <c r="X841" i="8"/>
  <c r="W841" i="8"/>
  <c r="X427" i="8"/>
  <c r="W427" i="8"/>
  <c r="X334" i="8"/>
  <c r="W334" i="8"/>
  <c r="X679" i="8"/>
  <c r="W679" i="8"/>
  <c r="Y679" i="8" s="1"/>
  <c r="X678" i="8"/>
  <c r="W678" i="8"/>
  <c r="X426" i="8"/>
  <c r="W426" i="8"/>
  <c r="X110" i="8"/>
  <c r="W110" i="8"/>
  <c r="X425" i="8"/>
  <c r="W425" i="8"/>
  <c r="X933" i="8"/>
  <c r="W933" i="8"/>
  <c r="X767" i="8"/>
  <c r="W767" i="8"/>
  <c r="X109" i="8"/>
  <c r="W109" i="8"/>
  <c r="X506" i="8"/>
  <c r="W506" i="8"/>
  <c r="X108" i="8"/>
  <c r="W108" i="8"/>
  <c r="X424" i="8"/>
  <c r="W424" i="8"/>
  <c r="X259" i="8"/>
  <c r="W259" i="8"/>
  <c r="X932" i="8"/>
  <c r="W932" i="8"/>
  <c r="Y932" i="8" s="1"/>
  <c r="X33" i="8"/>
  <c r="W33" i="8"/>
  <c r="X505" i="8"/>
  <c r="W505" i="8"/>
  <c r="X32" i="8"/>
  <c r="W32" i="8"/>
  <c r="X766" i="8"/>
  <c r="W766" i="8"/>
  <c r="X258" i="8"/>
  <c r="W258" i="8"/>
  <c r="X677" i="8"/>
  <c r="W677" i="8"/>
  <c r="X423" i="8"/>
  <c r="W423" i="8"/>
  <c r="X931" i="8"/>
  <c r="W931" i="8"/>
  <c r="X586" i="8"/>
  <c r="W586" i="8"/>
  <c r="X31" i="8"/>
  <c r="W31" i="8"/>
  <c r="X930" i="8"/>
  <c r="W930" i="8"/>
  <c r="X585" i="8"/>
  <c r="W585" i="8"/>
  <c r="X257" i="8"/>
  <c r="W257" i="8"/>
  <c r="X422" i="8"/>
  <c r="W422" i="8"/>
  <c r="X256" i="8"/>
  <c r="W256" i="8"/>
  <c r="X333" i="8"/>
  <c r="W333" i="8"/>
  <c r="X30" i="8"/>
  <c r="W30" i="8"/>
  <c r="X840" i="8"/>
  <c r="W840" i="8"/>
  <c r="Y840" i="8" s="1"/>
  <c r="X584" i="8"/>
  <c r="W584" i="8"/>
  <c r="X332" i="8"/>
  <c r="W332" i="8"/>
  <c r="X504" i="8"/>
  <c r="W504" i="8"/>
  <c r="X186" i="8"/>
  <c r="W186" i="8"/>
  <c r="X929" i="8"/>
  <c r="W929" i="8"/>
  <c r="X928" i="8"/>
  <c r="W928" i="8"/>
  <c r="Y928" i="8" s="1"/>
  <c r="X839" i="8"/>
  <c r="W839" i="8"/>
  <c r="X331" i="8"/>
  <c r="W331" i="8"/>
  <c r="X29" i="8"/>
  <c r="W29" i="8"/>
  <c r="X421" i="8"/>
  <c r="W421" i="8"/>
  <c r="X676" i="8"/>
  <c r="W676" i="8"/>
  <c r="X185" i="8"/>
  <c r="W185" i="8"/>
  <c r="X28" i="8"/>
  <c r="W28" i="8"/>
  <c r="X27" i="8"/>
  <c r="W27" i="8"/>
  <c r="X420" i="8"/>
  <c r="W420" i="8"/>
  <c r="X107" i="8"/>
  <c r="W107" i="8"/>
  <c r="X583" i="8"/>
  <c r="W583" i="8"/>
  <c r="X582" i="8"/>
  <c r="W582" i="8"/>
  <c r="Y582" i="8" s="1"/>
  <c r="X330" i="8"/>
  <c r="W330" i="8"/>
  <c r="X26" i="8"/>
  <c r="W26" i="8"/>
  <c r="X255" i="8"/>
  <c r="W255" i="8"/>
  <c r="X254" i="8"/>
  <c r="W254" i="8"/>
  <c r="X25" i="8"/>
  <c r="W25" i="8"/>
  <c r="X765" i="8"/>
  <c r="W765" i="8"/>
  <c r="X675" i="8"/>
  <c r="W675" i="8"/>
  <c r="X329" i="8"/>
  <c r="W329" i="8"/>
  <c r="X927" i="8"/>
  <c r="W927" i="8"/>
  <c r="X581" i="8"/>
  <c r="W581" i="8"/>
  <c r="X106" i="8"/>
  <c r="W106" i="8"/>
  <c r="X24" i="8"/>
  <c r="W24" i="8"/>
  <c r="X184" i="8"/>
  <c r="W184" i="8"/>
  <c r="X253" i="8"/>
  <c r="W253" i="8"/>
  <c r="X183" i="8"/>
  <c r="W183" i="8"/>
  <c r="X252" i="8"/>
  <c r="W252" i="8"/>
  <c r="X182" i="8"/>
  <c r="W182" i="8"/>
  <c r="X251" i="8"/>
  <c r="W251" i="8"/>
  <c r="X328" i="8"/>
  <c r="W328" i="8"/>
  <c r="X764" i="8"/>
  <c r="W764" i="8"/>
  <c r="X763" i="8"/>
  <c r="W763" i="8"/>
  <c r="Y763" i="8" s="1"/>
  <c r="X674" i="8"/>
  <c r="W674" i="8"/>
  <c r="X762" i="8"/>
  <c r="W762" i="8"/>
  <c r="X105" i="8"/>
  <c r="W105" i="8"/>
  <c r="X104" i="8"/>
  <c r="W104" i="8"/>
  <c r="X580" i="8"/>
  <c r="W580" i="8"/>
  <c r="X926" i="8"/>
  <c r="W926" i="8"/>
  <c r="X925" i="8"/>
  <c r="W925" i="8"/>
  <c r="X579" i="8"/>
  <c r="W579" i="8"/>
  <c r="X181" i="8"/>
  <c r="W181" i="8"/>
  <c r="X924" i="8"/>
  <c r="W924" i="8"/>
  <c r="X923" i="8"/>
  <c r="W923" i="8"/>
  <c r="X673" i="8"/>
  <c r="W673" i="8"/>
  <c r="X922" i="8"/>
  <c r="W922" i="8"/>
  <c r="X921" i="8"/>
  <c r="W921" i="8"/>
  <c r="X672" i="8"/>
  <c r="W672" i="8"/>
  <c r="Y672" i="8" s="1"/>
  <c r="X103" i="8"/>
  <c r="W103" i="8"/>
  <c r="X920" i="8"/>
  <c r="W920" i="8"/>
  <c r="X180" i="8"/>
  <c r="W180" i="8"/>
  <c r="X838" i="8"/>
  <c r="W838" i="8"/>
  <c r="X419" i="8"/>
  <c r="W419" i="8"/>
  <c r="X761" i="8"/>
  <c r="W761" i="8"/>
  <c r="X503" i="8"/>
  <c r="Y503" i="8" s="1"/>
  <c r="W503" i="8"/>
  <c r="X837" i="8"/>
  <c r="W837" i="8"/>
  <c r="X671" i="8"/>
  <c r="W671" i="8"/>
  <c r="X23" i="8"/>
  <c r="W23" i="8"/>
  <c r="X502" i="8"/>
  <c r="W502" i="8"/>
  <c r="X836" i="8"/>
  <c r="W836" i="8"/>
  <c r="X670" i="8"/>
  <c r="W670" i="8"/>
  <c r="X250" i="8"/>
  <c r="W250" i="8"/>
  <c r="X760" i="8"/>
  <c r="W760" i="8"/>
  <c r="X249" i="8"/>
  <c r="W249" i="8"/>
  <c r="X919" i="8"/>
  <c r="W919" i="8"/>
  <c r="X669" i="8"/>
  <c r="W669" i="8"/>
  <c r="X578" i="8"/>
  <c r="W578" i="8"/>
  <c r="X22" i="8"/>
  <c r="W22" i="8"/>
  <c r="X835" i="8"/>
  <c r="W835" i="8"/>
  <c r="X21" i="8"/>
  <c r="W21" i="8"/>
  <c r="X20" i="8"/>
  <c r="W20" i="8"/>
  <c r="X759" i="8"/>
  <c r="W759" i="8"/>
  <c r="X834" i="8"/>
  <c r="W834" i="8"/>
  <c r="X19" i="8"/>
  <c r="W19" i="8"/>
  <c r="X327" i="8"/>
  <c r="W327" i="8"/>
  <c r="X668" i="8"/>
  <c r="W668" i="8"/>
  <c r="X418" i="8"/>
  <c r="W418" i="8"/>
  <c r="Y418" i="8" s="1"/>
  <c r="X667" i="8"/>
  <c r="W667" i="8"/>
  <c r="X248" i="8"/>
  <c r="W248" i="8"/>
  <c r="X758" i="8"/>
  <c r="W758" i="8"/>
  <c r="X666" i="8"/>
  <c r="W666" i="8"/>
  <c r="X18" i="8"/>
  <c r="W18" i="8"/>
  <c r="X757" i="8"/>
  <c r="W757" i="8"/>
  <c r="X102" i="8"/>
  <c r="W102" i="8"/>
  <c r="X17" i="8"/>
  <c r="W17" i="8"/>
  <c r="X756" i="8"/>
  <c r="W756" i="8"/>
  <c r="X16" i="8"/>
  <c r="W16" i="8"/>
  <c r="X501" i="8"/>
  <c r="W501" i="8"/>
  <c r="X417" i="8"/>
  <c r="W417" i="8"/>
  <c r="X247" i="8"/>
  <c r="W247" i="8"/>
  <c r="X326" i="8"/>
  <c r="W326" i="8"/>
  <c r="X500" i="8"/>
  <c r="W500" i="8"/>
  <c r="X246" i="8"/>
  <c r="W246" i="8"/>
  <c r="X101" i="8"/>
  <c r="W101" i="8"/>
  <c r="X100" i="8"/>
  <c r="W100" i="8"/>
  <c r="X179" i="8"/>
  <c r="W179" i="8"/>
  <c r="Y179" i="8" s="1"/>
  <c r="X15" i="8"/>
  <c r="W15" i="8"/>
  <c r="X833" i="8"/>
  <c r="W833" i="8"/>
  <c r="X99" i="8"/>
  <c r="W99" i="8"/>
  <c r="X325" i="8"/>
  <c r="W325" i="8"/>
  <c r="X98" i="8"/>
  <c r="W98" i="8"/>
  <c r="X178" i="8"/>
  <c r="W178" i="8"/>
  <c r="X832" i="8"/>
  <c r="W832" i="8"/>
  <c r="X665" i="8"/>
  <c r="W665" i="8"/>
  <c r="X97" i="8"/>
  <c r="W97" i="8"/>
  <c r="X14" i="8"/>
  <c r="W14" i="8"/>
  <c r="X918" i="8"/>
  <c r="W918" i="8"/>
  <c r="X755" i="8"/>
  <c r="W755" i="8"/>
  <c r="Y755" i="8" s="1"/>
  <c r="X96" i="8"/>
  <c r="W96" i="8"/>
  <c r="X754" i="8"/>
  <c r="W754" i="8"/>
  <c r="X917" i="8"/>
  <c r="W917" i="8"/>
  <c r="X831" i="8"/>
  <c r="W831" i="8"/>
  <c r="Y831" i="8" s="1"/>
  <c r="X177" i="8"/>
  <c r="W177" i="8"/>
  <c r="Y177" i="8" s="1"/>
  <c r="X324" i="8"/>
  <c r="W324" i="8"/>
  <c r="X916" i="8"/>
  <c r="W916" i="8"/>
  <c r="X577" i="8"/>
  <c r="W577" i="8"/>
  <c r="X323" i="8"/>
  <c r="W323" i="8"/>
  <c r="X322" i="8"/>
  <c r="W322" i="8"/>
  <c r="X576" i="8"/>
  <c r="W576" i="8"/>
  <c r="Y576" i="8" s="1"/>
  <c r="X830" i="8"/>
  <c r="W830" i="8"/>
  <c r="Y830" i="8" s="1"/>
  <c r="X915" i="8"/>
  <c r="W915" i="8"/>
  <c r="X829" i="8"/>
  <c r="W829" i="8"/>
  <c r="X914" i="8"/>
  <c r="W914" i="8"/>
  <c r="X575" i="8"/>
  <c r="W575" i="8"/>
  <c r="Y575" i="8" s="1"/>
  <c r="X321" i="8"/>
  <c r="W321" i="8"/>
  <c r="X245" i="8"/>
  <c r="W245" i="8"/>
  <c r="X664" i="8"/>
  <c r="W664" i="8"/>
  <c r="X416" i="8"/>
  <c r="W416" i="8"/>
  <c r="X753" i="8"/>
  <c r="W753" i="8"/>
  <c r="X574" i="8"/>
  <c r="W574" i="8"/>
  <c r="X913" i="8"/>
  <c r="W913" i="8"/>
  <c r="X415" i="8"/>
  <c r="W415" i="8"/>
  <c r="Y415" i="8" s="1"/>
  <c r="X663" i="8"/>
  <c r="W663" i="8"/>
  <c r="X95" i="8"/>
  <c r="W95" i="8"/>
  <c r="X176" i="8"/>
  <c r="W176" i="8"/>
  <c r="X244" i="8"/>
  <c r="W244" i="8"/>
  <c r="Y244" i="8" s="1"/>
  <c r="X320" i="8"/>
  <c r="W320" i="8"/>
  <c r="X13" i="8"/>
  <c r="W13" i="8"/>
  <c r="X573" i="8"/>
  <c r="W573" i="8"/>
  <c r="X175" i="8"/>
  <c r="W175" i="8"/>
  <c r="X12" i="8"/>
  <c r="W12" i="8"/>
  <c r="X319" i="8"/>
  <c r="W319" i="8"/>
  <c r="X414" i="8"/>
  <c r="W414" i="8"/>
  <c r="X662" i="8"/>
  <c r="W662" i="8"/>
  <c r="Y662" i="8" s="1"/>
  <c r="X912" i="8"/>
  <c r="Y912" i="8" s="1"/>
  <c r="W912" i="8"/>
  <c r="X318" i="8"/>
  <c r="W318" i="8"/>
  <c r="X174" i="8"/>
  <c r="W174" i="8"/>
  <c r="X173" i="8"/>
  <c r="W173" i="8"/>
  <c r="Y173" i="8" s="1"/>
  <c r="X499" i="8"/>
  <c r="W499" i="8"/>
  <c r="X572" i="8"/>
  <c r="W572" i="8"/>
  <c r="X828" i="8"/>
  <c r="W828" i="8"/>
  <c r="X661" i="8"/>
  <c r="W661" i="8"/>
  <c r="X317" i="8"/>
  <c r="W317" i="8"/>
  <c r="X94" i="8"/>
  <c r="W94" i="8"/>
  <c r="X571" i="8"/>
  <c r="W571" i="8"/>
  <c r="Y571" i="8" s="1"/>
  <c r="X93" i="8"/>
  <c r="W93" i="8"/>
  <c r="Y93" i="8" s="1"/>
  <c r="X827" i="8"/>
  <c r="Y827" i="8" s="1"/>
  <c r="W827" i="8"/>
  <c r="X660" i="8"/>
  <c r="W660" i="8"/>
  <c r="X659" i="8"/>
  <c r="W659" i="8"/>
  <c r="X752" i="8"/>
  <c r="W752" i="8"/>
  <c r="Y752" i="8" s="1"/>
  <c r="X413" i="8"/>
  <c r="W413" i="8"/>
  <c r="X412" i="8"/>
  <c r="W412" i="8"/>
  <c r="X911" i="8"/>
  <c r="Y911" i="8" s="1"/>
  <c r="W911" i="8"/>
  <c r="X11" i="8"/>
  <c r="W11" i="8"/>
  <c r="X172" i="8"/>
  <c r="W172" i="8"/>
  <c r="X243" i="8"/>
  <c r="W243" i="8"/>
  <c r="X658" i="8"/>
  <c r="W658" i="8"/>
  <c r="Y658" i="8" s="1"/>
  <c r="X910" i="8"/>
  <c r="W910" i="8"/>
  <c r="Y910" i="8" s="1"/>
  <c r="X498" i="8"/>
  <c r="Y498" i="8" s="1"/>
  <c r="W498" i="8"/>
  <c r="X171" i="8"/>
  <c r="W171" i="8"/>
  <c r="X411" i="8"/>
  <c r="W411" i="8"/>
  <c r="X657" i="8"/>
  <c r="W657" i="8"/>
  <c r="Y657" i="8" s="1"/>
  <c r="X410" i="8"/>
  <c r="W410" i="8"/>
  <c r="X909" i="8"/>
  <c r="W909" i="8"/>
  <c r="X908" i="8"/>
  <c r="Y908" i="8" s="1"/>
  <c r="W908" i="8"/>
  <c r="X409" i="8"/>
  <c r="W409" i="8"/>
  <c r="X170" i="8"/>
  <c r="W170" i="8"/>
  <c r="X656" i="8"/>
  <c r="W656" i="8"/>
  <c r="X10" i="8"/>
  <c r="W10" i="8"/>
  <c r="X408" i="8"/>
  <c r="W408" i="8"/>
  <c r="Y408" i="8" s="1"/>
  <c r="X751" i="8"/>
  <c r="Y751" i="8" s="1"/>
  <c r="W751" i="8"/>
  <c r="X907" i="8"/>
  <c r="W907" i="8"/>
  <c r="X169" i="8"/>
  <c r="W169" i="8"/>
  <c r="X242" i="8"/>
  <c r="W242" i="8"/>
  <c r="Y242" i="8" s="1"/>
  <c r="X316" i="8"/>
  <c r="W316" i="8"/>
  <c r="X315" i="8"/>
  <c r="W315" i="8"/>
  <c r="X497" i="8"/>
  <c r="Y497" i="8" s="1"/>
  <c r="W497" i="8"/>
  <c r="X750" i="8"/>
  <c r="W750" i="8"/>
  <c r="X407" i="8"/>
  <c r="W407" i="8"/>
  <c r="X314" i="8"/>
  <c r="W314" i="8"/>
  <c r="X168" i="8"/>
  <c r="W168" i="8"/>
  <c r="X496" i="8"/>
  <c r="W496" i="8"/>
  <c r="Y496" i="8" s="1"/>
  <c r="X167" i="8"/>
  <c r="Y167" i="8" s="1"/>
  <c r="W167" i="8"/>
  <c r="X495" i="8"/>
  <c r="W495" i="8"/>
  <c r="X570" i="8"/>
  <c r="W570" i="8"/>
  <c r="X826" i="8"/>
  <c r="W826" i="8"/>
  <c r="Y826" i="8" s="1"/>
  <c r="X166" i="8"/>
  <c r="W166" i="8"/>
  <c r="X9" i="8"/>
  <c r="W9" i="8"/>
  <c r="X92" i="8"/>
  <c r="W92" i="8"/>
  <c r="X749" i="8"/>
  <c r="W749" i="8"/>
  <c r="X748" i="8"/>
  <c r="W748" i="8"/>
  <c r="X825" i="8"/>
  <c r="W825" i="8"/>
  <c r="X8" i="8"/>
  <c r="W8" i="8"/>
  <c r="X165" i="8"/>
  <c r="W165" i="8"/>
  <c r="Y165" i="8" s="1"/>
  <c r="X655" i="8"/>
  <c r="Y655" i="8" s="1"/>
  <c r="W655" i="8"/>
  <c r="X313" i="8"/>
  <c r="W313" i="8"/>
  <c r="X241" i="8"/>
  <c r="W241" i="8"/>
  <c r="X406" i="8"/>
  <c r="W406" i="8"/>
  <c r="Y406" i="8" s="1"/>
  <c r="X824" i="8"/>
  <c r="W824" i="8"/>
  <c r="X654" i="8"/>
  <c r="W654" i="8"/>
  <c r="X91" i="8"/>
  <c r="Y91" i="8" s="1"/>
  <c r="W91" i="8"/>
  <c r="X405" i="8"/>
  <c r="W405" i="8"/>
  <c r="X90" i="8"/>
  <c r="W90" i="8"/>
  <c r="X89" i="8"/>
  <c r="W89" i="8"/>
  <c r="X7" i="8"/>
  <c r="W7" i="8"/>
  <c r="Y7" i="8" s="1"/>
  <c r="X747" i="8"/>
  <c r="W747" i="8"/>
  <c r="Y747" i="8" s="1"/>
  <c r="X494" i="8"/>
  <c r="Y494" i="8" s="1"/>
  <c r="W494" i="8"/>
  <c r="X88" i="8"/>
  <c r="W88" i="8"/>
  <c r="X906" i="8"/>
  <c r="W906" i="8"/>
  <c r="X905" i="8"/>
  <c r="W905" i="8"/>
  <c r="Y905" i="8" s="1"/>
  <c r="X746" i="8"/>
  <c r="W746" i="8"/>
  <c r="X240" i="8"/>
  <c r="W240" i="8"/>
  <c r="X745" i="8"/>
  <c r="Y745" i="8" s="1"/>
  <c r="W745" i="8"/>
  <c r="X87" i="8"/>
  <c r="W87" i="8"/>
  <c r="X823" i="8"/>
  <c r="W823" i="8"/>
  <c r="X164" i="8"/>
  <c r="W164" i="8"/>
  <c r="X163" i="8"/>
  <c r="W163" i="8"/>
  <c r="X86" i="8"/>
  <c r="W86" i="8"/>
  <c r="Y86" i="8" s="1"/>
  <c r="X653" i="8"/>
  <c r="Y653" i="8" s="1"/>
  <c r="W653" i="8"/>
  <c r="X652" i="8"/>
  <c r="W652" i="8"/>
  <c r="X904" i="8"/>
  <c r="W904" i="8"/>
  <c r="X312" i="8"/>
  <c r="W312" i="8"/>
  <c r="Y312" i="8" s="1"/>
  <c r="X569" i="8"/>
  <c r="W569" i="8"/>
  <c r="X568" i="8"/>
  <c r="W568" i="8"/>
  <c r="X404" i="8"/>
  <c r="Y404" i="8" s="1"/>
  <c r="W404" i="8"/>
  <c r="X744" i="8"/>
  <c r="W744" i="8"/>
  <c r="X162" i="8"/>
  <c r="W162" i="8"/>
  <c r="X903" i="8"/>
  <c r="W903" i="8"/>
  <c r="X493" i="8"/>
  <c r="W493" i="8"/>
  <c r="X85" i="8"/>
  <c r="W85" i="8"/>
  <c r="Y85" i="8" s="1"/>
  <c r="X567" i="8"/>
  <c r="Y567" i="8" s="1"/>
  <c r="W567" i="8"/>
  <c r="X6" i="8"/>
  <c r="W6" i="8"/>
  <c r="X651" i="8"/>
  <c r="W651" i="8"/>
  <c r="X5" i="8"/>
  <c r="W5" i="8"/>
  <c r="Y5" i="8" s="1"/>
  <c r="X650" i="8"/>
  <c r="W650" i="8"/>
  <c r="X743" i="8"/>
  <c r="W743" i="8"/>
  <c r="X566" i="8"/>
  <c r="W566" i="8"/>
  <c r="X565" i="8"/>
  <c r="W565" i="8"/>
  <c r="X492" i="8"/>
  <c r="W492" i="8"/>
  <c r="X491" i="8"/>
  <c r="W491" i="8"/>
  <c r="X564" i="8"/>
  <c r="W564" i="8"/>
  <c r="X649" i="8"/>
  <c r="W649" i="8"/>
  <c r="X822" i="8"/>
  <c r="Y822" i="8" s="1"/>
  <c r="W822" i="8"/>
  <c r="X563" i="8"/>
  <c r="W563" i="8"/>
  <c r="X902" i="8"/>
  <c r="W902" i="8"/>
  <c r="X821" i="8"/>
  <c r="W821" i="8"/>
  <c r="X84" i="8"/>
  <c r="W84" i="8"/>
  <c r="X311" i="8"/>
  <c r="W311" i="8"/>
  <c r="X403" i="8"/>
  <c r="Y403" i="8" s="1"/>
  <c r="W403" i="8"/>
  <c r="X161" i="8"/>
  <c r="W161" i="8"/>
  <c r="X402" i="8"/>
  <c r="W402" i="8"/>
  <c r="X820" i="8"/>
  <c r="W820" i="8"/>
  <c r="X819" i="8"/>
  <c r="W819" i="8"/>
  <c r="Y819" i="8" s="1"/>
  <c r="X742" i="8"/>
  <c r="W742" i="8"/>
  <c r="X239" i="8"/>
  <c r="Y239" i="8" s="1"/>
  <c r="W239" i="8"/>
  <c r="X741" i="8"/>
  <c r="W741" i="8"/>
  <c r="X310" i="8"/>
  <c r="W310" i="8"/>
  <c r="X562" i="8"/>
  <c r="W562" i="8"/>
  <c r="X901" i="8"/>
  <c r="W901" i="8"/>
  <c r="X900" i="8"/>
  <c r="W900" i="8"/>
  <c r="X83" i="8"/>
  <c r="Y83" i="8" s="1"/>
  <c r="W83" i="8"/>
  <c r="X82" i="8"/>
  <c r="W82" i="8"/>
  <c r="X81" i="8"/>
  <c r="W81" i="8"/>
  <c r="X648" i="8"/>
  <c r="W648" i="8"/>
  <c r="X4" i="8"/>
  <c r="W4" i="8"/>
  <c r="X899" i="8"/>
  <c r="W899" i="8"/>
  <c r="X818" i="8"/>
  <c r="Y818" i="8" s="1"/>
  <c r="W818" i="8"/>
  <c r="X160" i="8"/>
  <c r="W160" i="8"/>
  <c r="X740" i="8"/>
  <c r="W740" i="8"/>
  <c r="X898" i="8"/>
  <c r="W898" i="8"/>
  <c r="X739" i="8"/>
  <c r="W739" i="8"/>
  <c r="X738" i="8"/>
  <c r="W738" i="8"/>
  <c r="X238" i="8"/>
  <c r="Y238" i="8" s="1"/>
  <c r="W238" i="8"/>
  <c r="X897" i="8"/>
  <c r="W897" i="8"/>
  <c r="X237" i="8"/>
  <c r="W237" i="8"/>
  <c r="X401" i="8"/>
  <c r="W401" i="8"/>
  <c r="X309" i="8"/>
  <c r="W309" i="8"/>
  <c r="X490" i="8"/>
  <c r="W490" i="8"/>
  <c r="X489" i="8"/>
  <c r="Y489" i="8" s="1"/>
  <c r="W489" i="8"/>
  <c r="X817" i="8"/>
  <c r="W817" i="8"/>
  <c r="X236" i="8"/>
  <c r="W236" i="8"/>
  <c r="X647" i="8"/>
  <c r="W647" i="8"/>
  <c r="X646" i="8"/>
  <c r="W646" i="8"/>
  <c r="X816" i="8"/>
  <c r="W816" i="8"/>
  <c r="X815" i="8"/>
  <c r="W815" i="8"/>
  <c r="X3" i="8"/>
  <c r="W3" i="8"/>
  <c r="X159" i="8"/>
  <c r="W159" i="8"/>
  <c r="X896" i="8"/>
  <c r="W896" i="8"/>
  <c r="X737" i="8"/>
  <c r="W737" i="8"/>
  <c r="X2" i="8"/>
  <c r="W2" i="8"/>
  <c r="X488" i="8"/>
  <c r="Y488" i="8" s="1"/>
  <c r="W488" i="8"/>
  <c r="X561" i="8"/>
  <c r="W561" i="8"/>
  <c r="X158" i="8"/>
  <c r="W158" i="8"/>
  <c r="X487" i="8"/>
  <c r="W487" i="8"/>
  <c r="X486" i="8"/>
  <c r="W486" i="8"/>
  <c r="X814" i="8"/>
  <c r="W814" i="8"/>
  <c r="X80" i="8"/>
  <c r="Y80" i="8" s="1"/>
  <c r="W80" i="8"/>
  <c r="X157" i="8"/>
  <c r="W157" i="8"/>
  <c r="X560" i="8"/>
  <c r="W560" i="8"/>
  <c r="X645" i="8"/>
  <c r="W645" i="8"/>
  <c r="X79" i="8"/>
  <c r="W79" i="8"/>
  <c r="Y79" i="8" s="1"/>
  <c r="U3" i="7"/>
  <c r="V3" i="7"/>
  <c r="U4" i="7"/>
  <c r="V4" i="7"/>
  <c r="U5" i="7"/>
  <c r="V5" i="7"/>
  <c r="U6" i="7"/>
  <c r="V6" i="7"/>
  <c r="U7" i="7"/>
  <c r="V7" i="7"/>
  <c r="U8" i="7"/>
  <c r="V8" i="7"/>
  <c r="U9" i="7"/>
  <c r="V9" i="7"/>
  <c r="U10" i="7"/>
  <c r="V10" i="7"/>
  <c r="W10" i="7" s="1"/>
  <c r="U11" i="7"/>
  <c r="V11" i="7"/>
  <c r="W11" i="7" s="1"/>
  <c r="U12" i="7"/>
  <c r="V12" i="7"/>
  <c r="W12" i="7" s="1"/>
  <c r="U13" i="7"/>
  <c r="V13" i="7"/>
  <c r="W13" i="7" s="1"/>
  <c r="U14" i="7"/>
  <c r="V14" i="7"/>
  <c r="W14" i="7" s="1"/>
  <c r="U15" i="7"/>
  <c r="V15" i="7"/>
  <c r="U16" i="7"/>
  <c r="V16" i="7"/>
  <c r="U17" i="7"/>
  <c r="V17" i="7"/>
  <c r="W17" i="7" s="1"/>
  <c r="U18" i="7"/>
  <c r="V18" i="7"/>
  <c r="W18" i="7" s="1"/>
  <c r="U19" i="7"/>
  <c r="V19" i="7"/>
  <c r="W19" i="7" s="1"/>
  <c r="U20" i="7"/>
  <c r="V20" i="7"/>
  <c r="W20" i="7" s="1"/>
  <c r="U21" i="7"/>
  <c r="V21" i="7"/>
  <c r="U22" i="7"/>
  <c r="V22" i="7"/>
  <c r="W22" i="7" s="1"/>
  <c r="U23" i="7"/>
  <c r="V23" i="7"/>
  <c r="W23" i="7" s="1"/>
  <c r="U24" i="7"/>
  <c r="V24" i="7"/>
  <c r="U25" i="7"/>
  <c r="V25" i="7"/>
  <c r="W25" i="7" s="1"/>
  <c r="U26" i="7"/>
  <c r="V26" i="7"/>
  <c r="W26" i="7" s="1"/>
  <c r="U27" i="7"/>
  <c r="V27" i="7"/>
  <c r="U28" i="7"/>
  <c r="V28" i="7"/>
  <c r="U29" i="7"/>
  <c r="V29" i="7"/>
  <c r="W29" i="7" s="1"/>
  <c r="U30" i="7"/>
  <c r="V30" i="7"/>
  <c r="U31" i="7"/>
  <c r="V31" i="7"/>
  <c r="W31" i="7" s="1"/>
  <c r="U32" i="7"/>
  <c r="V32" i="7"/>
  <c r="W32" i="7" s="1"/>
  <c r="U33" i="7"/>
  <c r="V33" i="7"/>
  <c r="U34" i="7"/>
  <c r="V34" i="7"/>
  <c r="W34" i="7" s="1"/>
  <c r="U35" i="7"/>
  <c r="V35" i="7"/>
  <c r="W35" i="7" s="1"/>
  <c r="U36" i="7"/>
  <c r="V36" i="7"/>
  <c r="W36" i="7" s="1"/>
  <c r="U37" i="7"/>
  <c r="V37" i="7"/>
  <c r="W37" i="7" s="1"/>
  <c r="U38" i="7"/>
  <c r="V38" i="7"/>
  <c r="W38" i="7" s="1"/>
  <c r="U39" i="7"/>
  <c r="V39" i="7"/>
  <c r="U40" i="7"/>
  <c r="V40" i="7"/>
  <c r="W40" i="7" s="1"/>
  <c r="U41" i="7"/>
  <c r="V41" i="7"/>
  <c r="W41" i="7" s="1"/>
  <c r="U42" i="7"/>
  <c r="V42" i="7"/>
  <c r="W42" i="7" s="1"/>
  <c r="U43" i="7"/>
  <c r="V43" i="7"/>
  <c r="W43" i="7" s="1"/>
  <c r="U44" i="7"/>
  <c r="V44" i="7"/>
  <c r="W44" i="7" s="1"/>
  <c r="U45" i="7"/>
  <c r="V45" i="7"/>
  <c r="U46" i="7"/>
  <c r="V46" i="7"/>
  <c r="W46" i="7" s="1"/>
  <c r="U47" i="7"/>
  <c r="V47" i="7"/>
  <c r="W47" i="7" s="1"/>
  <c r="U48" i="7"/>
  <c r="V48" i="7"/>
  <c r="U49" i="7"/>
  <c r="V49" i="7"/>
  <c r="U50" i="7"/>
  <c r="V50" i="7"/>
  <c r="U51" i="7"/>
  <c r="V51" i="7"/>
  <c r="U52" i="7"/>
  <c r="V52" i="7"/>
  <c r="U53" i="7"/>
  <c r="V53" i="7"/>
  <c r="W53" i="7" s="1"/>
  <c r="U54" i="7"/>
  <c r="V54" i="7"/>
  <c r="W54" i="7" s="1"/>
  <c r="U55" i="7"/>
  <c r="V55" i="7"/>
  <c r="W55" i="7" s="1"/>
  <c r="U56" i="7"/>
  <c r="V56" i="7"/>
  <c r="W56" i="7" s="1"/>
  <c r="U57" i="7"/>
  <c r="V57" i="7"/>
  <c r="U58" i="7"/>
  <c r="V58" i="7"/>
  <c r="W58" i="7" s="1"/>
  <c r="U59" i="7"/>
  <c r="V59" i="7"/>
  <c r="W59" i="7" s="1"/>
  <c r="U60" i="7"/>
  <c r="V60" i="7"/>
  <c r="W60" i="7" s="1"/>
  <c r="U61" i="7"/>
  <c r="V61" i="7"/>
  <c r="W61" i="7" s="1"/>
  <c r="U62" i="7"/>
  <c r="V62" i="7"/>
  <c r="W62" i="7" s="1"/>
  <c r="U63" i="7"/>
  <c r="V63" i="7"/>
  <c r="U64" i="7"/>
  <c r="V64" i="7"/>
  <c r="U65" i="7"/>
  <c r="V65" i="7"/>
  <c r="U66" i="7"/>
  <c r="V66" i="7"/>
  <c r="W66" i="7" s="1"/>
  <c r="U67" i="7"/>
  <c r="V67" i="7"/>
  <c r="W67" i="7" s="1"/>
  <c r="U68" i="7"/>
  <c r="V68" i="7"/>
  <c r="W68" i="7" s="1"/>
  <c r="U69" i="7"/>
  <c r="V69" i="7"/>
  <c r="U70" i="7"/>
  <c r="V70" i="7"/>
  <c r="W70" i="7" s="1"/>
  <c r="U71" i="7"/>
  <c r="V71" i="7"/>
  <c r="W71" i="7" s="1"/>
  <c r="U72" i="7"/>
  <c r="V72" i="7"/>
  <c r="W72" i="7" s="1"/>
  <c r="U73" i="7"/>
  <c r="V73" i="7"/>
  <c r="U74" i="7"/>
  <c r="V74" i="7"/>
  <c r="W74" i="7" s="1"/>
  <c r="U75" i="7"/>
  <c r="V75" i="7"/>
  <c r="U76" i="7"/>
  <c r="V76" i="7"/>
  <c r="U77" i="7"/>
  <c r="V77" i="7"/>
  <c r="W77" i="7" s="1"/>
  <c r="U78" i="7"/>
  <c r="V78" i="7"/>
  <c r="W78" i="7" s="1"/>
  <c r="U79" i="7"/>
  <c r="V79" i="7"/>
  <c r="W79" i="7" s="1"/>
  <c r="U80" i="7"/>
  <c r="V80" i="7"/>
  <c r="W80" i="7" s="1"/>
  <c r="U81" i="7"/>
  <c r="V81" i="7"/>
  <c r="U82" i="7"/>
  <c r="V82" i="7"/>
  <c r="W82" i="7" s="1"/>
  <c r="U83" i="7"/>
  <c r="V83" i="7"/>
  <c r="W83" i="7" s="1"/>
  <c r="U84" i="7"/>
  <c r="V84" i="7"/>
  <c r="W84" i="7" s="1"/>
  <c r="U85" i="7"/>
  <c r="V85" i="7"/>
  <c r="W85" i="7" s="1"/>
  <c r="U86" i="7"/>
  <c r="V86" i="7"/>
  <c r="W86" i="7" s="1"/>
  <c r="U87" i="7"/>
  <c r="V87" i="7"/>
  <c r="U88" i="7"/>
  <c r="V88" i="7"/>
  <c r="U89" i="7"/>
  <c r="V89" i="7"/>
  <c r="U90" i="7"/>
  <c r="V90" i="7"/>
  <c r="U91" i="7"/>
  <c r="V91" i="7"/>
  <c r="W91" i="7" s="1"/>
  <c r="U92" i="7"/>
  <c r="V92" i="7"/>
  <c r="W92" i="7" s="1"/>
  <c r="U93" i="7"/>
  <c r="V93" i="7"/>
  <c r="U94" i="7"/>
  <c r="V94" i="7"/>
  <c r="W94" i="7" s="1"/>
  <c r="U95" i="7"/>
  <c r="V95" i="7"/>
  <c r="W95" i="7" s="1"/>
  <c r="U96" i="7"/>
  <c r="V96" i="7"/>
  <c r="W96" i="7" s="1"/>
  <c r="U97" i="7"/>
  <c r="V97" i="7"/>
  <c r="W97" i="7" s="1"/>
  <c r="U98" i="7"/>
  <c r="V98" i="7"/>
  <c r="W98" i="7" s="1"/>
  <c r="U99" i="7"/>
  <c r="V99" i="7"/>
  <c r="U100" i="7"/>
  <c r="V100" i="7"/>
  <c r="U101" i="7"/>
  <c r="V101" i="7"/>
  <c r="U102" i="7"/>
  <c r="V102" i="7"/>
  <c r="W102" i="7" s="1"/>
  <c r="U103" i="7"/>
  <c r="V103" i="7"/>
  <c r="W103" i="7" s="1"/>
  <c r="U104" i="7"/>
  <c r="V104" i="7"/>
  <c r="W104" i="7" s="1"/>
  <c r="U105" i="7"/>
  <c r="V105" i="7"/>
  <c r="U106" i="7"/>
  <c r="V106" i="7"/>
  <c r="W106" i="7" s="1"/>
  <c r="U107" i="7"/>
  <c r="V107" i="7"/>
  <c r="W107" i="7" s="1"/>
  <c r="U108" i="7"/>
  <c r="V108" i="7"/>
  <c r="W108" i="7" s="1"/>
  <c r="U109" i="7"/>
  <c r="V109" i="7"/>
  <c r="W109" i="7" s="1"/>
  <c r="U110" i="7"/>
  <c r="V110" i="7"/>
  <c r="W110" i="7" s="1"/>
  <c r="U111" i="7"/>
  <c r="V111" i="7"/>
  <c r="U112" i="7"/>
  <c r="V112" i="7"/>
  <c r="U113" i="7"/>
  <c r="V113" i="7"/>
  <c r="W113" i="7" s="1"/>
  <c r="U114" i="7"/>
  <c r="V114" i="7"/>
  <c r="W114" i="7" s="1"/>
  <c r="U115" i="7"/>
  <c r="V115" i="7"/>
  <c r="W115" i="7" s="1"/>
  <c r="U116" i="7"/>
  <c r="V116" i="7"/>
  <c r="W116" i="7" s="1"/>
  <c r="U117" i="7"/>
  <c r="V117" i="7"/>
  <c r="U118" i="7"/>
  <c r="V118" i="7"/>
  <c r="W118" i="7" s="1"/>
  <c r="U119" i="7"/>
  <c r="V119" i="7"/>
  <c r="U120" i="7"/>
  <c r="V120" i="7"/>
  <c r="W120" i="7" s="1"/>
  <c r="U121" i="7"/>
  <c r="V121" i="7"/>
  <c r="W121" i="7" s="1"/>
  <c r="U122" i="7"/>
  <c r="V122" i="7"/>
  <c r="W122" i="7" s="1"/>
  <c r="U123" i="7"/>
  <c r="V123" i="7"/>
  <c r="U124" i="7"/>
  <c r="V124" i="7"/>
  <c r="U125" i="7"/>
  <c r="V125" i="7"/>
  <c r="U126" i="7"/>
  <c r="V126" i="7"/>
  <c r="U127" i="7"/>
  <c r="V127" i="7"/>
  <c r="U128" i="7"/>
  <c r="V128" i="7"/>
  <c r="U129" i="7"/>
  <c r="V129" i="7"/>
  <c r="U130" i="7"/>
  <c r="V130" i="7"/>
  <c r="W130" i="7" s="1"/>
  <c r="U131" i="7"/>
  <c r="V131" i="7"/>
  <c r="W131" i="7" s="1"/>
  <c r="U132" i="7"/>
  <c r="V132" i="7"/>
  <c r="W132" i="7" s="1"/>
  <c r="U133" i="7"/>
  <c r="V133" i="7"/>
  <c r="W133" i="7" s="1"/>
  <c r="U134" i="7"/>
  <c r="V134" i="7"/>
  <c r="W134" i="7" s="1"/>
  <c r="U135" i="7"/>
  <c r="V135" i="7"/>
  <c r="U136" i="7"/>
  <c r="V136" i="7"/>
  <c r="U137" i="7"/>
  <c r="V137" i="7"/>
  <c r="W137" i="7" s="1"/>
  <c r="U138" i="7"/>
  <c r="V138" i="7"/>
  <c r="W138" i="7" s="1"/>
  <c r="U139" i="7"/>
  <c r="V139" i="7"/>
  <c r="W139" i="7" s="1"/>
  <c r="U140" i="7"/>
  <c r="V140" i="7"/>
  <c r="W140" i="7" s="1"/>
  <c r="U141" i="7"/>
  <c r="V141" i="7"/>
  <c r="U142" i="7"/>
  <c r="V142" i="7"/>
  <c r="W142" i="7" s="1"/>
  <c r="U143" i="7"/>
  <c r="V143" i="7"/>
  <c r="U144" i="7"/>
  <c r="V144" i="7"/>
  <c r="U145" i="7"/>
  <c r="V145" i="7"/>
  <c r="U146" i="7"/>
  <c r="V146" i="7"/>
  <c r="W146" i="7" s="1"/>
  <c r="U147" i="7"/>
  <c r="V147" i="7"/>
  <c r="U148" i="7"/>
  <c r="V148" i="7"/>
  <c r="W148" i="7" s="1"/>
  <c r="U149" i="7"/>
  <c r="V149" i="7"/>
  <c r="W149" i="7" s="1"/>
  <c r="U150" i="7"/>
  <c r="V150" i="7"/>
  <c r="W150" i="7" s="1"/>
  <c r="U151" i="7"/>
  <c r="V151" i="7"/>
  <c r="W151" i="7" s="1"/>
  <c r="U152" i="7"/>
  <c r="V152" i="7"/>
  <c r="W152" i="7" s="1"/>
  <c r="U153" i="7"/>
  <c r="V153" i="7"/>
  <c r="U154" i="7"/>
  <c r="V154" i="7"/>
  <c r="W154" i="7" s="1"/>
  <c r="U155" i="7"/>
  <c r="V155" i="7"/>
  <c r="W155" i="7" s="1"/>
  <c r="U156" i="7"/>
  <c r="V156" i="7"/>
  <c r="W156" i="7" s="1"/>
  <c r="U157" i="7"/>
  <c r="V157" i="7"/>
  <c r="W157" i="7" s="1"/>
  <c r="U158" i="7"/>
  <c r="V158" i="7"/>
  <c r="W158" i="7" s="1"/>
  <c r="U159" i="7"/>
  <c r="V159" i="7"/>
  <c r="U160" i="7"/>
  <c r="V160" i="7"/>
  <c r="W160" i="7" s="1"/>
  <c r="U161" i="7"/>
  <c r="V161" i="7"/>
  <c r="W161" i="7" s="1"/>
  <c r="U162" i="7"/>
  <c r="V162" i="7"/>
  <c r="W162" i="7" s="1"/>
  <c r="U163" i="7"/>
  <c r="V163" i="7"/>
  <c r="W163" i="7" s="1"/>
  <c r="U164" i="7"/>
  <c r="V164" i="7"/>
  <c r="W164" i="7" s="1"/>
  <c r="U165" i="7"/>
  <c r="V165" i="7"/>
  <c r="U166" i="7"/>
  <c r="V166" i="7"/>
  <c r="W166" i="7" s="1"/>
  <c r="U167" i="7"/>
  <c r="V167" i="7"/>
  <c r="U168" i="7"/>
  <c r="V168" i="7"/>
  <c r="W168" i="7" s="1"/>
  <c r="U169" i="7"/>
  <c r="V169" i="7"/>
  <c r="W169" i="7" s="1"/>
  <c r="U170" i="7"/>
  <c r="V170" i="7"/>
  <c r="W170" i="7" s="1"/>
  <c r="U171" i="7"/>
  <c r="V171" i="7"/>
  <c r="U172" i="7"/>
  <c r="V172" i="7"/>
  <c r="W172" i="7" s="1"/>
  <c r="U173" i="7"/>
  <c r="V173" i="7"/>
  <c r="W173" i="7" s="1"/>
  <c r="U174" i="7"/>
  <c r="V174" i="7"/>
  <c r="W174" i="7" s="1"/>
  <c r="U175" i="7"/>
  <c r="V175" i="7"/>
  <c r="W175" i="7" s="1"/>
  <c r="U176" i="7"/>
  <c r="V176" i="7"/>
  <c r="W176" i="7" s="1"/>
  <c r="U177" i="7"/>
  <c r="V177" i="7"/>
  <c r="U178" i="7"/>
  <c r="V178" i="7"/>
  <c r="W178" i="7" s="1"/>
  <c r="U179" i="7"/>
  <c r="V179" i="7"/>
  <c r="U180" i="7"/>
  <c r="V180" i="7"/>
  <c r="W180" i="7" s="1"/>
  <c r="U181" i="7"/>
  <c r="V181" i="7"/>
  <c r="W181" i="7" s="1"/>
  <c r="U182" i="7"/>
  <c r="V182" i="7"/>
  <c r="W182" i="7" s="1"/>
  <c r="U183" i="7"/>
  <c r="V183" i="7"/>
  <c r="U184" i="7"/>
  <c r="V184" i="7"/>
  <c r="U185" i="7"/>
  <c r="V185" i="7"/>
  <c r="W185" i="7" s="1"/>
  <c r="U186" i="7"/>
  <c r="V186" i="7"/>
  <c r="W186" i="7" s="1"/>
  <c r="U187" i="7"/>
  <c r="V187" i="7"/>
  <c r="W187" i="7" s="1"/>
  <c r="U188" i="7"/>
  <c r="V188" i="7"/>
  <c r="W188" i="7" s="1"/>
  <c r="U189" i="7"/>
  <c r="V189" i="7"/>
  <c r="U190" i="7"/>
  <c r="V190" i="7"/>
  <c r="W190" i="7" s="1"/>
  <c r="U191" i="7"/>
  <c r="V191" i="7"/>
  <c r="W191" i="7" s="1"/>
  <c r="U192" i="7"/>
  <c r="V192" i="7"/>
  <c r="W192" i="7" s="1"/>
  <c r="U193" i="7"/>
  <c r="V193" i="7"/>
  <c r="W193" i="7" s="1"/>
  <c r="U194" i="7"/>
  <c r="V194" i="7"/>
  <c r="W194" i="7" s="1"/>
  <c r="U195" i="7"/>
  <c r="V195" i="7"/>
  <c r="U196" i="7"/>
  <c r="V196" i="7"/>
  <c r="U197" i="7"/>
  <c r="V197" i="7"/>
  <c r="U198" i="7"/>
  <c r="V198" i="7"/>
  <c r="W198" i="7" s="1"/>
  <c r="U199" i="7"/>
  <c r="V199" i="7"/>
  <c r="W199" i="7" s="1"/>
  <c r="U200" i="7"/>
  <c r="V200" i="7"/>
  <c r="W200" i="7" s="1"/>
  <c r="U201" i="7"/>
  <c r="V201" i="7"/>
  <c r="U202" i="7"/>
  <c r="V202" i="7"/>
  <c r="W202" i="7" s="1"/>
  <c r="U203" i="7"/>
  <c r="V203" i="7"/>
  <c r="W203" i="7" s="1"/>
  <c r="U204" i="7"/>
  <c r="V204" i="7"/>
  <c r="U205" i="7"/>
  <c r="V205" i="7"/>
  <c r="U206" i="7"/>
  <c r="V206" i="7"/>
  <c r="W206" i="7" s="1"/>
  <c r="U207" i="7"/>
  <c r="V207" i="7"/>
  <c r="U208" i="7"/>
  <c r="V208" i="7"/>
  <c r="U209" i="7"/>
  <c r="V209" i="7"/>
  <c r="W209" i="7" s="1"/>
  <c r="U210" i="7"/>
  <c r="V210" i="7"/>
  <c r="W210" i="7" s="1"/>
  <c r="U211" i="7"/>
  <c r="V211" i="7"/>
  <c r="W211" i="7" s="1"/>
  <c r="U212" i="7"/>
  <c r="V212" i="7"/>
  <c r="W212" i="7" s="1"/>
  <c r="U213" i="7"/>
  <c r="V213" i="7"/>
  <c r="U214" i="7"/>
  <c r="V214" i="7"/>
  <c r="W214" i="7" s="1"/>
  <c r="U215" i="7"/>
  <c r="V215" i="7"/>
  <c r="W215" i="7" s="1"/>
  <c r="U216" i="7"/>
  <c r="V216" i="7"/>
  <c r="W216" i="7" s="1"/>
  <c r="U217" i="7"/>
  <c r="V217" i="7"/>
  <c r="W217" i="7" s="1"/>
  <c r="U218" i="7"/>
  <c r="V218" i="7"/>
  <c r="W218" i="7" s="1"/>
  <c r="U219" i="7"/>
  <c r="V219" i="7"/>
  <c r="U220" i="7"/>
  <c r="V220" i="7"/>
  <c r="U221" i="7"/>
  <c r="V221" i="7"/>
  <c r="U222" i="7"/>
  <c r="V222" i="7"/>
  <c r="U223" i="7"/>
  <c r="V223" i="7"/>
  <c r="U224" i="7"/>
  <c r="V224" i="7"/>
  <c r="W224" i="7" s="1"/>
  <c r="U225" i="7"/>
  <c r="V225" i="7"/>
  <c r="U226" i="7"/>
  <c r="V226" i="7"/>
  <c r="W226" i="7" s="1"/>
  <c r="U227" i="7"/>
  <c r="V227" i="7"/>
  <c r="W227" i="7" s="1"/>
  <c r="U228" i="7"/>
  <c r="V228" i="7"/>
  <c r="W228" i="7" s="1"/>
  <c r="U229" i="7"/>
  <c r="V229" i="7"/>
  <c r="W229" i="7" s="1"/>
  <c r="U230" i="7"/>
  <c r="V230" i="7"/>
  <c r="W230" i="7" s="1"/>
  <c r="U231" i="7"/>
  <c r="V231" i="7"/>
  <c r="U232" i="7"/>
  <c r="V232" i="7"/>
  <c r="U233" i="7"/>
  <c r="V233" i="7"/>
  <c r="W233" i="7" s="1"/>
  <c r="U234" i="7"/>
  <c r="V234" i="7"/>
  <c r="W234" i="7" s="1"/>
  <c r="U235" i="7"/>
  <c r="V235" i="7"/>
  <c r="W235" i="7" s="1"/>
  <c r="U236" i="7"/>
  <c r="V236" i="7"/>
  <c r="W236" i="7" s="1"/>
  <c r="U237" i="7"/>
  <c r="V237" i="7"/>
  <c r="U238" i="7"/>
  <c r="V238" i="7"/>
  <c r="W238" i="7" s="1"/>
  <c r="U239" i="7"/>
  <c r="V239" i="7"/>
  <c r="W239" i="7" s="1"/>
  <c r="U240" i="7"/>
  <c r="V240" i="7"/>
  <c r="W240" i="7" s="1"/>
  <c r="U241" i="7"/>
  <c r="V241" i="7"/>
  <c r="W241" i="7" s="1"/>
  <c r="U242" i="7"/>
  <c r="V242" i="7"/>
  <c r="W242" i="7" s="1"/>
  <c r="U243" i="7"/>
  <c r="V243" i="7"/>
  <c r="U244" i="7"/>
  <c r="V244" i="7"/>
  <c r="U245" i="7"/>
  <c r="V245" i="7"/>
  <c r="U246" i="7"/>
  <c r="V246" i="7"/>
  <c r="U247" i="7"/>
  <c r="V247" i="7"/>
  <c r="W247" i="7" s="1"/>
  <c r="U248" i="7"/>
  <c r="V248" i="7"/>
  <c r="W248" i="7" s="1"/>
  <c r="U249" i="7"/>
  <c r="V249" i="7"/>
  <c r="U250" i="7"/>
  <c r="V250" i="7"/>
  <c r="W250" i="7" s="1"/>
  <c r="U251" i="7"/>
  <c r="V251" i="7"/>
  <c r="W251" i="7" s="1"/>
  <c r="U252" i="7"/>
  <c r="V252" i="7"/>
  <c r="W252" i="7" s="1"/>
  <c r="U253" i="7"/>
  <c r="V253" i="7"/>
  <c r="W253" i="7" s="1"/>
  <c r="U254" i="7"/>
  <c r="V254" i="7"/>
  <c r="W254" i="7" s="1"/>
  <c r="U255" i="7"/>
  <c r="V255" i="7"/>
  <c r="U256" i="7"/>
  <c r="V256" i="7"/>
  <c r="U257" i="7"/>
  <c r="V257" i="7"/>
  <c r="U258" i="7"/>
  <c r="V258" i="7"/>
  <c r="W258" i="7" s="1"/>
  <c r="U259" i="7"/>
  <c r="V259" i="7"/>
  <c r="W259" i="7" s="1"/>
  <c r="U260" i="7"/>
  <c r="V260" i="7"/>
  <c r="W260" i="7" s="1"/>
  <c r="U261" i="7"/>
  <c r="V261" i="7"/>
  <c r="U262" i="7"/>
  <c r="V262" i="7"/>
  <c r="W262" i="7" s="1"/>
  <c r="U263" i="7"/>
  <c r="V263" i="7"/>
  <c r="U264" i="7"/>
  <c r="V264" i="7"/>
  <c r="W264" i="7" s="1"/>
  <c r="U265" i="7"/>
  <c r="V265" i="7"/>
  <c r="W265" i="7" s="1"/>
  <c r="U266" i="7"/>
  <c r="V266" i="7"/>
  <c r="W266" i="7" s="1"/>
  <c r="U267" i="7"/>
  <c r="V267" i="7"/>
  <c r="U268" i="7"/>
  <c r="V268" i="7"/>
  <c r="U269" i="7"/>
  <c r="V269" i="7"/>
  <c r="W269" i="7" s="1"/>
  <c r="U270" i="7"/>
  <c r="V270" i="7"/>
  <c r="W270" i="7" s="1"/>
  <c r="U271" i="7"/>
  <c r="V271" i="7"/>
  <c r="W271" i="7" s="1"/>
  <c r="U272" i="7"/>
  <c r="V272" i="7"/>
  <c r="W272" i="7" s="1"/>
  <c r="U273" i="7"/>
  <c r="V273" i="7"/>
  <c r="U274" i="7"/>
  <c r="V274" i="7"/>
  <c r="W274" i="7" s="1"/>
  <c r="U275" i="7"/>
  <c r="V275" i="7"/>
  <c r="U276" i="7"/>
  <c r="V276" i="7"/>
  <c r="U277" i="7"/>
  <c r="V277" i="7"/>
  <c r="W277" i="7" s="1"/>
  <c r="U278" i="7"/>
  <c r="V278" i="7"/>
  <c r="W278" i="7" s="1"/>
  <c r="U279" i="7"/>
  <c r="V279" i="7"/>
  <c r="U280" i="7"/>
  <c r="V280" i="7"/>
  <c r="U281" i="7"/>
  <c r="V281" i="7"/>
  <c r="W281" i="7" s="1"/>
  <c r="U282" i="7"/>
  <c r="V282" i="7"/>
  <c r="U283" i="7"/>
  <c r="V283" i="7"/>
  <c r="U284" i="7"/>
  <c r="V284" i="7"/>
  <c r="W284" i="7" s="1"/>
  <c r="U285" i="7"/>
  <c r="V285" i="7"/>
  <c r="U286" i="7"/>
  <c r="V286" i="7"/>
  <c r="W286" i="7" s="1"/>
  <c r="U287" i="7"/>
  <c r="V287" i="7"/>
  <c r="W287" i="7" s="1"/>
  <c r="U288" i="7"/>
  <c r="V288" i="7"/>
  <c r="W288" i="7" s="1"/>
  <c r="U289" i="7"/>
  <c r="V289" i="7"/>
  <c r="W289" i="7" s="1"/>
  <c r="U290" i="7"/>
  <c r="V290" i="7"/>
  <c r="W290" i="7" s="1"/>
  <c r="U291" i="7"/>
  <c r="V291" i="7"/>
  <c r="U292" i="7"/>
  <c r="V292" i="7"/>
  <c r="W292" i="7" s="1"/>
  <c r="U293" i="7"/>
  <c r="V293" i="7"/>
  <c r="W293" i="7" s="1"/>
  <c r="U294" i="7"/>
  <c r="V294" i="7"/>
  <c r="W294" i="7" s="1"/>
  <c r="U295" i="7"/>
  <c r="V295" i="7"/>
  <c r="W295" i="7" s="1"/>
  <c r="U296" i="7"/>
  <c r="V296" i="7"/>
  <c r="W296" i="7" s="1"/>
  <c r="U297" i="7"/>
  <c r="V297" i="7"/>
  <c r="U298" i="7"/>
  <c r="V298" i="7"/>
  <c r="W298" i="7" s="1"/>
  <c r="U299" i="7"/>
  <c r="V299" i="7"/>
  <c r="U300" i="7"/>
  <c r="V300" i="7"/>
  <c r="U301" i="7"/>
  <c r="V301" i="7"/>
  <c r="U302" i="7"/>
  <c r="V302" i="7"/>
  <c r="W302" i="7" s="1"/>
  <c r="U303" i="7"/>
  <c r="V303" i="7"/>
  <c r="U304" i="7"/>
  <c r="V304" i="7"/>
  <c r="W304" i="7" s="1"/>
  <c r="U305" i="7"/>
  <c r="V305" i="7"/>
  <c r="W305" i="7" s="1"/>
  <c r="U306" i="7"/>
  <c r="V306" i="7"/>
  <c r="W306" i="7" s="1"/>
  <c r="U307" i="7"/>
  <c r="V307" i="7"/>
  <c r="W307" i="7" s="1"/>
  <c r="U308" i="7"/>
  <c r="V308" i="7"/>
  <c r="W308" i="7" s="1"/>
  <c r="U309" i="7"/>
  <c r="V309" i="7"/>
  <c r="U310" i="7"/>
  <c r="V310" i="7"/>
  <c r="W310" i="7" s="1"/>
  <c r="U311" i="7"/>
  <c r="V311" i="7"/>
  <c r="W311" i="7" s="1"/>
  <c r="U312" i="7"/>
  <c r="V312" i="7"/>
  <c r="W312" i="7" s="1"/>
  <c r="U313" i="7"/>
  <c r="V313" i="7"/>
  <c r="W313" i="7" s="1"/>
  <c r="U314" i="7"/>
  <c r="V314" i="7"/>
  <c r="W314" i="7" s="1"/>
  <c r="U315" i="7"/>
  <c r="V315" i="7"/>
  <c r="U316" i="7"/>
  <c r="V316" i="7"/>
  <c r="W316" i="7" s="1"/>
  <c r="U317" i="7"/>
  <c r="V317" i="7"/>
  <c r="W317" i="7" s="1"/>
  <c r="U318" i="7"/>
  <c r="V318" i="7"/>
  <c r="W318" i="7" s="1"/>
  <c r="U319" i="7"/>
  <c r="V319" i="7"/>
  <c r="W319" i="7" s="1"/>
  <c r="U320" i="7"/>
  <c r="V320" i="7"/>
  <c r="W320" i="7" s="1"/>
  <c r="U321" i="7"/>
  <c r="V321" i="7"/>
  <c r="U322" i="7"/>
  <c r="V322" i="7"/>
  <c r="W322" i="7" s="1"/>
  <c r="U323" i="7"/>
  <c r="V323" i="7"/>
  <c r="U324" i="7"/>
  <c r="V324" i="7"/>
  <c r="U325" i="7"/>
  <c r="V325" i="7"/>
  <c r="W325" i="7" s="1"/>
  <c r="U326" i="7"/>
  <c r="V326" i="7"/>
  <c r="W326" i="7" s="1"/>
  <c r="U327" i="7"/>
  <c r="V327" i="7"/>
  <c r="U328" i="7"/>
  <c r="V328" i="7"/>
  <c r="U329" i="7"/>
  <c r="V329" i="7"/>
  <c r="W329" i="7" s="1"/>
  <c r="U330" i="7"/>
  <c r="V330" i="7"/>
  <c r="W330" i="7" s="1"/>
  <c r="U331" i="7"/>
  <c r="V331" i="7"/>
  <c r="W331" i="7" s="1"/>
  <c r="U332" i="7"/>
  <c r="V332" i="7"/>
  <c r="W332" i="7" s="1"/>
  <c r="U333" i="7"/>
  <c r="V333" i="7"/>
  <c r="U334" i="7"/>
  <c r="V334" i="7"/>
  <c r="W334" i="7" s="1"/>
  <c r="U335" i="7"/>
  <c r="V335" i="7"/>
  <c r="U336" i="7"/>
  <c r="V336" i="7"/>
  <c r="W336" i="7" s="1"/>
  <c r="U337" i="7"/>
  <c r="V337" i="7"/>
  <c r="W337" i="7" s="1"/>
  <c r="U338" i="7"/>
  <c r="V338" i="7"/>
  <c r="W338" i="7" s="1"/>
  <c r="U339" i="7"/>
  <c r="V339" i="7"/>
  <c r="U340" i="7"/>
  <c r="V340" i="7"/>
  <c r="U341" i="7"/>
  <c r="V341" i="7"/>
  <c r="U342" i="7"/>
  <c r="V342" i="7"/>
  <c r="W342" i="7" s="1"/>
  <c r="U343" i="7"/>
  <c r="V343" i="7"/>
  <c r="W343" i="7" s="1"/>
  <c r="U344" i="7"/>
  <c r="V344" i="7"/>
  <c r="W344" i="7" s="1"/>
  <c r="U345" i="7"/>
  <c r="V345" i="7"/>
  <c r="U346" i="7"/>
  <c r="V346" i="7"/>
  <c r="W346" i="7" s="1"/>
  <c r="U347" i="7"/>
  <c r="V347" i="7"/>
  <c r="W347" i="7" s="1"/>
  <c r="U348" i="7"/>
  <c r="V348" i="7"/>
  <c r="W348" i="7" s="1"/>
  <c r="U349" i="7"/>
  <c r="V349" i="7"/>
  <c r="W349" i="7" s="1"/>
  <c r="U350" i="7"/>
  <c r="V350" i="7"/>
  <c r="W350" i="7" s="1"/>
  <c r="U351" i="7"/>
  <c r="V351" i="7"/>
  <c r="U352" i="7"/>
  <c r="V352" i="7"/>
  <c r="U353" i="7"/>
  <c r="V353" i="7"/>
  <c r="U354" i="7"/>
  <c r="V354" i="7"/>
  <c r="U355" i="7"/>
  <c r="V355" i="7"/>
  <c r="W355" i="7" s="1"/>
  <c r="U356" i="7"/>
  <c r="V356" i="7"/>
  <c r="W356" i="7" s="1"/>
  <c r="U357" i="7"/>
  <c r="V357" i="7"/>
  <c r="U358" i="7"/>
  <c r="V358" i="7"/>
  <c r="W358" i="7" s="1"/>
  <c r="U359" i="7"/>
  <c r="V359" i="7"/>
  <c r="W359" i="7" s="1"/>
  <c r="U360" i="7"/>
  <c r="V360" i="7"/>
  <c r="W360" i="7" s="1"/>
  <c r="U361" i="7"/>
  <c r="V361" i="7"/>
  <c r="U362" i="7"/>
  <c r="V362" i="7"/>
  <c r="W362" i="7" s="1"/>
  <c r="U363" i="7"/>
  <c r="V363" i="7"/>
  <c r="U364" i="7"/>
  <c r="V364" i="7"/>
  <c r="U365" i="7"/>
  <c r="V365" i="7"/>
  <c r="W365" i="7" s="1"/>
  <c r="U366" i="7"/>
  <c r="V366" i="7"/>
  <c r="W366" i="7" s="1"/>
  <c r="U367" i="7"/>
  <c r="V367" i="7"/>
  <c r="W367" i="7" s="1"/>
  <c r="U368" i="7"/>
  <c r="V368" i="7"/>
  <c r="W368" i="7" s="1"/>
  <c r="U369" i="7"/>
  <c r="V369" i="7"/>
  <c r="U370" i="7"/>
  <c r="V370" i="7"/>
  <c r="W370" i="7" s="1"/>
  <c r="U371" i="7"/>
  <c r="V371" i="7"/>
  <c r="W371" i="7" s="1"/>
  <c r="U372" i="7"/>
  <c r="V372" i="7"/>
  <c r="W372" i="7" s="1"/>
  <c r="U373" i="7"/>
  <c r="V373" i="7"/>
  <c r="W373" i="7" s="1"/>
  <c r="U374" i="7"/>
  <c r="V374" i="7"/>
  <c r="W374" i="7" s="1"/>
  <c r="U375" i="7"/>
  <c r="V375" i="7"/>
  <c r="U376" i="7"/>
  <c r="V376" i="7"/>
  <c r="U377" i="7"/>
  <c r="V377" i="7"/>
  <c r="U378" i="7"/>
  <c r="V378" i="7"/>
  <c r="U379" i="7"/>
  <c r="V379" i="7"/>
  <c r="U380" i="7"/>
  <c r="V380" i="7"/>
  <c r="U381" i="7"/>
  <c r="V381" i="7"/>
  <c r="U382" i="7"/>
  <c r="V382" i="7"/>
  <c r="W382" i="7" s="1"/>
  <c r="U383" i="7"/>
  <c r="V383" i="7"/>
  <c r="W383" i="7" s="1"/>
  <c r="U384" i="7"/>
  <c r="V384" i="7"/>
  <c r="W384" i="7" s="1"/>
  <c r="U385" i="7"/>
  <c r="V385" i="7"/>
  <c r="W385" i="7" s="1"/>
  <c r="U386" i="7"/>
  <c r="V386" i="7"/>
  <c r="W386" i="7" s="1"/>
  <c r="U387" i="7"/>
  <c r="V387" i="7"/>
  <c r="U388" i="7"/>
  <c r="V388" i="7"/>
  <c r="U389" i="7"/>
  <c r="V389" i="7"/>
  <c r="W389" i="7" s="1"/>
  <c r="U390" i="7"/>
  <c r="V390" i="7"/>
  <c r="W390" i="7" s="1"/>
  <c r="U391" i="7"/>
  <c r="V391" i="7"/>
  <c r="W391" i="7" s="1"/>
  <c r="U392" i="7"/>
  <c r="V392" i="7"/>
  <c r="W392" i="7" s="1"/>
  <c r="U393" i="7"/>
  <c r="V393" i="7"/>
  <c r="U394" i="7"/>
  <c r="V394" i="7"/>
  <c r="W394" i="7" s="1"/>
  <c r="U395" i="7"/>
  <c r="V395" i="7"/>
  <c r="W395" i="7" s="1"/>
  <c r="U396" i="7"/>
  <c r="V396" i="7"/>
  <c r="W396" i="7" s="1"/>
  <c r="U397" i="7"/>
  <c r="V397" i="7"/>
  <c r="W397" i="7" s="1"/>
  <c r="U398" i="7"/>
  <c r="V398" i="7"/>
  <c r="W398" i="7" s="1"/>
  <c r="U399" i="7"/>
  <c r="V399" i="7"/>
  <c r="U400" i="7"/>
  <c r="V400" i="7"/>
  <c r="U401" i="7"/>
  <c r="V401" i="7"/>
  <c r="U402" i="7"/>
  <c r="V402" i="7"/>
  <c r="U403" i="7"/>
  <c r="V403" i="7"/>
  <c r="W403" i="7" s="1"/>
  <c r="U404" i="7"/>
  <c r="V404" i="7"/>
  <c r="W404" i="7" s="1"/>
  <c r="U405" i="7"/>
  <c r="V405" i="7"/>
  <c r="U406" i="7"/>
  <c r="V406" i="7"/>
  <c r="W406" i="7" s="1"/>
  <c r="U407" i="7"/>
  <c r="V407" i="7"/>
  <c r="W407" i="7" s="1"/>
  <c r="U408" i="7"/>
  <c r="V408" i="7"/>
  <c r="W408" i="7" s="1"/>
  <c r="U409" i="7"/>
  <c r="V409" i="7"/>
  <c r="W409" i="7" s="1"/>
  <c r="U410" i="7"/>
  <c r="V410" i="7"/>
  <c r="W410" i="7" s="1"/>
  <c r="U411" i="7"/>
  <c r="V411" i="7"/>
  <c r="U412" i="7"/>
  <c r="V412" i="7"/>
  <c r="U413" i="7"/>
  <c r="V413" i="7"/>
  <c r="U414" i="7"/>
  <c r="V414" i="7"/>
  <c r="U415" i="7"/>
  <c r="V415" i="7"/>
  <c r="W415" i="7" s="1"/>
  <c r="U416" i="7"/>
  <c r="V416" i="7"/>
  <c r="W416" i="7" s="1"/>
  <c r="U417" i="7"/>
  <c r="V417" i="7"/>
  <c r="U418" i="7"/>
  <c r="V418" i="7"/>
  <c r="W418" i="7" s="1"/>
  <c r="U419" i="7"/>
  <c r="V419" i="7"/>
  <c r="U420" i="7"/>
  <c r="V420" i="7"/>
  <c r="W420" i="7" s="1"/>
  <c r="U421" i="7"/>
  <c r="V421" i="7"/>
  <c r="W421" i="7" s="1"/>
  <c r="U422" i="7"/>
  <c r="V422" i="7"/>
  <c r="W422" i="7" s="1"/>
  <c r="U423" i="7"/>
  <c r="V423" i="7"/>
  <c r="U424" i="7"/>
  <c r="V424" i="7"/>
  <c r="U425" i="7"/>
  <c r="V425" i="7"/>
  <c r="W425" i="7" s="1"/>
  <c r="U426" i="7"/>
  <c r="V426" i="7"/>
  <c r="W426" i="7" s="1"/>
  <c r="U427" i="7"/>
  <c r="V427" i="7"/>
  <c r="W427" i="7" s="1"/>
  <c r="U428" i="7"/>
  <c r="V428" i="7"/>
  <c r="W428" i="7" s="1"/>
  <c r="U429" i="7"/>
  <c r="V429" i="7"/>
  <c r="U430" i="7"/>
  <c r="V430" i="7"/>
  <c r="W430" i="7" s="1"/>
  <c r="U431" i="7"/>
  <c r="V431" i="7"/>
  <c r="U432" i="7"/>
  <c r="V432" i="7"/>
  <c r="U433" i="7"/>
  <c r="V433" i="7"/>
  <c r="U434" i="7"/>
  <c r="V434" i="7"/>
  <c r="W434" i="7" s="1"/>
  <c r="U435" i="7"/>
  <c r="V435" i="7"/>
  <c r="U436" i="7"/>
  <c r="V436" i="7"/>
  <c r="W436" i="7" s="1"/>
  <c r="U437" i="7"/>
  <c r="V437" i="7"/>
  <c r="W437" i="7" s="1"/>
  <c r="U438" i="7"/>
  <c r="V438" i="7"/>
  <c r="W438" i="7" s="1"/>
  <c r="U439" i="7"/>
  <c r="V439" i="7"/>
  <c r="U440" i="7"/>
  <c r="V440" i="7"/>
  <c r="W440" i="7" s="1"/>
  <c r="U441" i="7"/>
  <c r="V441" i="7"/>
  <c r="U442" i="7"/>
  <c r="V442" i="7"/>
  <c r="W442" i="7" s="1"/>
  <c r="U443" i="7"/>
  <c r="V443" i="7"/>
  <c r="W443" i="7" s="1"/>
  <c r="U444" i="7"/>
  <c r="V444" i="7"/>
  <c r="W444" i="7" s="1"/>
  <c r="U445" i="7"/>
  <c r="V445" i="7"/>
  <c r="W445" i="7" s="1"/>
  <c r="U446" i="7"/>
  <c r="V446" i="7"/>
  <c r="W446" i="7" s="1"/>
  <c r="U447" i="7"/>
  <c r="V447" i="7"/>
  <c r="U448" i="7"/>
  <c r="V448" i="7"/>
  <c r="W448" i="7" s="1"/>
  <c r="U449" i="7"/>
  <c r="V449" i="7"/>
  <c r="W449" i="7" s="1"/>
  <c r="U450" i="7"/>
  <c r="V450" i="7"/>
  <c r="W450" i="7" s="1"/>
  <c r="U451" i="7"/>
  <c r="V451" i="7"/>
  <c r="W451" i="7" s="1"/>
  <c r="U452" i="7"/>
  <c r="V452" i="7"/>
  <c r="W452" i="7" s="1"/>
  <c r="U453" i="7"/>
  <c r="V453" i="7"/>
  <c r="U454" i="7"/>
  <c r="V454" i="7"/>
  <c r="W454" i="7" s="1"/>
  <c r="U455" i="7"/>
  <c r="V455" i="7"/>
  <c r="U456" i="7"/>
  <c r="V456" i="7"/>
  <c r="U457" i="7"/>
  <c r="V457" i="7"/>
  <c r="U458" i="7"/>
  <c r="V458" i="7"/>
  <c r="W458" i="7" s="1"/>
  <c r="U459" i="7"/>
  <c r="V459" i="7"/>
  <c r="U460" i="7"/>
  <c r="V460" i="7"/>
  <c r="W460" i="7" s="1"/>
  <c r="U461" i="7"/>
  <c r="V461" i="7"/>
  <c r="W461" i="7" s="1"/>
  <c r="U462" i="7"/>
  <c r="V462" i="7"/>
  <c r="W462" i="7" s="1"/>
  <c r="U463" i="7"/>
  <c r="V463" i="7"/>
  <c r="W463" i="7" s="1"/>
  <c r="U464" i="7"/>
  <c r="V464" i="7"/>
  <c r="W464" i="7" s="1"/>
  <c r="U465" i="7"/>
  <c r="V465" i="7"/>
  <c r="U466" i="7"/>
  <c r="V466" i="7"/>
  <c r="W466" i="7" s="1"/>
  <c r="U467" i="7"/>
  <c r="V467" i="7"/>
  <c r="W467" i="7" s="1"/>
  <c r="U468" i="7"/>
  <c r="V468" i="7"/>
  <c r="W468" i="7" s="1"/>
  <c r="U469" i="7"/>
  <c r="V469" i="7"/>
  <c r="W469" i="7" s="1"/>
  <c r="U470" i="7"/>
  <c r="V470" i="7"/>
  <c r="W470" i="7" s="1"/>
  <c r="U471" i="7"/>
  <c r="V471" i="7"/>
  <c r="U472" i="7"/>
  <c r="V472" i="7"/>
  <c r="U473" i="7"/>
  <c r="V473" i="7"/>
  <c r="W473" i="7" s="1"/>
  <c r="U474" i="7"/>
  <c r="V474" i="7"/>
  <c r="W474" i="7" s="1"/>
  <c r="U475" i="7"/>
  <c r="V475" i="7"/>
  <c r="W475" i="7" s="1"/>
  <c r="U476" i="7"/>
  <c r="V476" i="7"/>
  <c r="W476" i="7" s="1"/>
  <c r="U477" i="7"/>
  <c r="V477" i="7"/>
  <c r="U478" i="7"/>
  <c r="V478" i="7"/>
  <c r="W478" i="7" s="1"/>
  <c r="U479" i="7"/>
  <c r="V479" i="7"/>
  <c r="U480" i="7"/>
  <c r="V480" i="7"/>
  <c r="U481" i="7"/>
  <c r="V481" i="7"/>
  <c r="W481" i="7" s="1"/>
  <c r="U482" i="7"/>
  <c r="V482" i="7"/>
  <c r="W482" i="7" s="1"/>
  <c r="U483" i="7"/>
  <c r="V483" i="7"/>
  <c r="U484" i="7"/>
  <c r="V484" i="7"/>
  <c r="U485" i="7"/>
  <c r="V485" i="7"/>
  <c r="W485" i="7" s="1"/>
  <c r="U486" i="7"/>
  <c r="V486" i="7"/>
  <c r="W486" i="7" s="1"/>
  <c r="U487" i="7"/>
  <c r="V487" i="7"/>
  <c r="W487" i="7" s="1"/>
  <c r="U488" i="7"/>
  <c r="V488" i="7"/>
  <c r="W488" i="7" s="1"/>
  <c r="U489" i="7"/>
  <c r="V489" i="7"/>
  <c r="U490" i="7"/>
  <c r="V490" i="7"/>
  <c r="W490" i="7" s="1"/>
  <c r="U491" i="7"/>
  <c r="V491" i="7"/>
  <c r="W491" i="7" s="1"/>
  <c r="U492" i="7"/>
  <c r="V492" i="7"/>
  <c r="W492" i="7" s="1"/>
  <c r="U493" i="7"/>
  <c r="V493" i="7"/>
  <c r="W493" i="7" s="1"/>
  <c r="U494" i="7"/>
  <c r="V494" i="7"/>
  <c r="W494" i="7" s="1"/>
  <c r="U495" i="7"/>
  <c r="V495" i="7"/>
  <c r="U496" i="7"/>
  <c r="V496" i="7"/>
  <c r="U497" i="7"/>
  <c r="V497" i="7"/>
  <c r="U498" i="7"/>
  <c r="V498" i="7"/>
  <c r="W498" i="7" s="1"/>
  <c r="U499" i="7"/>
  <c r="V499" i="7"/>
  <c r="W499" i="7" s="1"/>
  <c r="U500" i="7"/>
  <c r="V500" i="7"/>
  <c r="W500" i="7" s="1"/>
  <c r="U501" i="7"/>
  <c r="V501" i="7"/>
  <c r="U502" i="7"/>
  <c r="V502" i="7"/>
  <c r="W502" i="7" s="1"/>
  <c r="U503" i="7"/>
  <c r="V503" i="7"/>
  <c r="W503" i="7" s="1"/>
  <c r="U504" i="7"/>
  <c r="V504" i="7"/>
  <c r="W504" i="7" s="1"/>
  <c r="U505" i="7"/>
  <c r="V505" i="7"/>
  <c r="W505" i="7" s="1"/>
  <c r="U506" i="7"/>
  <c r="V506" i="7"/>
  <c r="W506" i="7" s="1"/>
  <c r="U507" i="7"/>
  <c r="V507" i="7"/>
  <c r="U508" i="7"/>
  <c r="V508" i="7"/>
  <c r="U509" i="7"/>
  <c r="V509" i="7"/>
  <c r="U510" i="7"/>
  <c r="V510" i="7"/>
  <c r="U511" i="7"/>
  <c r="V511" i="7"/>
  <c r="W511" i="7" s="1"/>
  <c r="U512" i="7"/>
  <c r="V512" i="7"/>
  <c r="W512" i="7" s="1"/>
  <c r="U513" i="7"/>
  <c r="V513" i="7"/>
  <c r="U514" i="7"/>
  <c r="V514" i="7"/>
  <c r="W514" i="7" s="1"/>
  <c r="U515" i="7"/>
  <c r="V515" i="7"/>
  <c r="W515" i="7" s="1"/>
  <c r="U516" i="7"/>
  <c r="V516" i="7"/>
  <c r="W516" i="7" s="1"/>
  <c r="U517" i="7"/>
  <c r="V517" i="7"/>
  <c r="W517" i="7" s="1"/>
  <c r="U518" i="7"/>
  <c r="V518" i="7"/>
  <c r="W518" i="7" s="1"/>
  <c r="U519" i="7"/>
  <c r="V519" i="7"/>
  <c r="U520" i="7"/>
  <c r="V520" i="7"/>
  <c r="U521" i="7"/>
  <c r="V521" i="7"/>
  <c r="W521" i="7" s="1"/>
  <c r="U522" i="7"/>
  <c r="V522" i="7"/>
  <c r="W522" i="7" s="1"/>
  <c r="U523" i="7"/>
  <c r="V523" i="7"/>
  <c r="W523" i="7" s="1"/>
  <c r="U524" i="7"/>
  <c r="V524" i="7"/>
  <c r="W524" i="7" s="1"/>
  <c r="U525" i="7"/>
  <c r="V525" i="7"/>
  <c r="U526" i="7"/>
  <c r="V526" i="7"/>
  <c r="W526" i="7" s="1"/>
  <c r="U527" i="7"/>
  <c r="V527" i="7"/>
  <c r="W527" i="7" s="1"/>
  <c r="U528" i="7"/>
  <c r="V528" i="7"/>
  <c r="W528" i="7" s="1"/>
  <c r="U529" i="7"/>
  <c r="V529" i="7"/>
  <c r="W529" i="7" s="1"/>
  <c r="U530" i="7"/>
  <c r="V530" i="7"/>
  <c r="W530" i="7" s="1"/>
  <c r="U531" i="7"/>
  <c r="V531" i="7"/>
  <c r="U532" i="7"/>
  <c r="V532" i="7"/>
  <c r="U533" i="7"/>
  <c r="V533" i="7"/>
  <c r="U534" i="7"/>
  <c r="V534" i="7"/>
  <c r="U535" i="7"/>
  <c r="V535" i="7"/>
  <c r="U536" i="7"/>
  <c r="V536" i="7"/>
  <c r="U537" i="7"/>
  <c r="V537" i="7"/>
  <c r="U538" i="7"/>
  <c r="V538" i="7"/>
  <c r="W538" i="7" s="1"/>
  <c r="U539" i="7"/>
  <c r="V539" i="7"/>
  <c r="W539" i="7" s="1"/>
  <c r="U540" i="7"/>
  <c r="V540" i="7"/>
  <c r="W540" i="7" s="1"/>
  <c r="U541" i="7"/>
  <c r="V541" i="7"/>
  <c r="W541" i="7" s="1"/>
  <c r="U542" i="7"/>
  <c r="V542" i="7"/>
  <c r="W542" i="7" s="1"/>
  <c r="U543" i="7"/>
  <c r="V543" i="7"/>
  <c r="U544" i="7"/>
  <c r="V544" i="7"/>
  <c r="U545" i="7"/>
  <c r="V545" i="7"/>
  <c r="W545" i="7" s="1"/>
  <c r="U546" i="7"/>
  <c r="V546" i="7"/>
  <c r="W546" i="7" s="1"/>
  <c r="U547" i="7"/>
  <c r="V547" i="7"/>
  <c r="W547" i="7" s="1"/>
  <c r="U548" i="7"/>
  <c r="V548" i="7"/>
  <c r="W548" i="7" s="1"/>
  <c r="U549" i="7"/>
  <c r="V549" i="7"/>
  <c r="U550" i="7"/>
  <c r="V550" i="7"/>
  <c r="W550" i="7" s="1"/>
  <c r="U551" i="7"/>
  <c r="V551" i="7"/>
  <c r="U552" i="7"/>
  <c r="V552" i="7"/>
  <c r="W552" i="7" s="1"/>
  <c r="U553" i="7"/>
  <c r="V553" i="7"/>
  <c r="W553" i="7" s="1"/>
  <c r="U554" i="7"/>
  <c r="V554" i="7"/>
  <c r="W554" i="7" s="1"/>
  <c r="U555" i="7"/>
  <c r="V555" i="7"/>
  <c r="U556" i="7"/>
  <c r="V556" i="7"/>
  <c r="U557" i="7"/>
  <c r="V557" i="7"/>
  <c r="U558" i="7"/>
  <c r="V558" i="7"/>
  <c r="W558" i="7" s="1"/>
  <c r="U559" i="7"/>
  <c r="V559" i="7"/>
  <c r="W559" i="7" s="1"/>
  <c r="U560" i="7"/>
  <c r="V560" i="7"/>
  <c r="W560" i="7" s="1"/>
  <c r="U561" i="7"/>
  <c r="V561" i="7"/>
  <c r="U562" i="7"/>
  <c r="V562" i="7"/>
  <c r="W562" i="7" s="1"/>
  <c r="U563" i="7"/>
  <c r="V563" i="7"/>
  <c r="W563" i="7" s="1"/>
  <c r="U564" i="7"/>
  <c r="V564" i="7"/>
  <c r="W564" i="7" s="1"/>
  <c r="U565" i="7"/>
  <c r="V565" i="7"/>
  <c r="W565" i="7" s="1"/>
  <c r="U566" i="7"/>
  <c r="V566" i="7"/>
  <c r="W566" i="7" s="1"/>
  <c r="U567" i="7"/>
  <c r="V567" i="7"/>
  <c r="U568" i="7"/>
  <c r="V568" i="7"/>
  <c r="U569" i="7"/>
  <c r="V569" i="7"/>
  <c r="W569" i="7" s="1"/>
  <c r="U570" i="7"/>
  <c r="V570" i="7"/>
  <c r="U571" i="7"/>
  <c r="V571" i="7"/>
  <c r="U572" i="7"/>
  <c r="V572" i="7"/>
  <c r="W572" i="7" s="1"/>
  <c r="U573" i="7"/>
  <c r="V573" i="7"/>
  <c r="U574" i="7"/>
  <c r="V574" i="7"/>
  <c r="W574" i="7" s="1"/>
  <c r="U575" i="7"/>
  <c r="V575" i="7"/>
  <c r="W575" i="7" s="1"/>
  <c r="U576" i="7"/>
  <c r="V576" i="7"/>
  <c r="W576" i="7" s="1"/>
  <c r="U577" i="7"/>
  <c r="V577" i="7"/>
  <c r="W577" i="7" s="1"/>
  <c r="U578" i="7"/>
  <c r="V578" i="7"/>
  <c r="W578" i="7" s="1"/>
  <c r="U579" i="7"/>
  <c r="V579" i="7"/>
  <c r="U580" i="7"/>
  <c r="V580" i="7"/>
  <c r="W580" i="7" s="1"/>
  <c r="U581" i="7"/>
  <c r="V581" i="7"/>
  <c r="W581" i="7" s="1"/>
  <c r="U582" i="7"/>
  <c r="V582" i="7"/>
  <c r="W582" i="7" s="1"/>
  <c r="U583" i="7"/>
  <c r="V583" i="7"/>
  <c r="W583" i="7" s="1"/>
  <c r="U584" i="7"/>
  <c r="V584" i="7"/>
  <c r="W584" i="7" s="1"/>
  <c r="U585" i="7"/>
  <c r="V585" i="7"/>
  <c r="U586" i="7"/>
  <c r="V586" i="7"/>
  <c r="W586" i="7" s="1"/>
  <c r="U587" i="7"/>
  <c r="V587" i="7"/>
  <c r="U588" i="7"/>
  <c r="V588" i="7"/>
  <c r="U589" i="7"/>
  <c r="V589" i="7"/>
  <c r="U590" i="7"/>
  <c r="V590" i="7"/>
  <c r="W590" i="7" s="1"/>
  <c r="U591" i="7"/>
  <c r="V591" i="7"/>
  <c r="U592" i="7"/>
  <c r="V592" i="7"/>
  <c r="W592" i="7" s="1"/>
  <c r="U593" i="7"/>
  <c r="V593" i="7"/>
  <c r="W593" i="7" s="1"/>
  <c r="U594" i="7"/>
  <c r="V594" i="7"/>
  <c r="W594" i="7" s="1"/>
  <c r="U595" i="7"/>
  <c r="V595" i="7"/>
  <c r="W595" i="7" s="1"/>
  <c r="U596" i="7"/>
  <c r="V596" i="7"/>
  <c r="W596" i="7" s="1"/>
  <c r="U597" i="7"/>
  <c r="V597" i="7"/>
  <c r="U598" i="7"/>
  <c r="V598" i="7"/>
  <c r="W598" i="7" s="1"/>
  <c r="U599" i="7"/>
  <c r="V599" i="7"/>
  <c r="W599" i="7" s="1"/>
  <c r="U600" i="7"/>
  <c r="V600" i="7"/>
  <c r="W600" i="7" s="1"/>
  <c r="U601" i="7"/>
  <c r="V601" i="7"/>
  <c r="W601" i="7" s="1"/>
  <c r="U602" i="7"/>
  <c r="V602" i="7"/>
  <c r="W602" i="7" s="1"/>
  <c r="U603" i="7"/>
  <c r="V603" i="7"/>
  <c r="U604" i="7"/>
  <c r="V604" i="7"/>
  <c r="W604" i="7" s="1"/>
  <c r="U605" i="7"/>
  <c r="V605" i="7"/>
  <c r="W605" i="7" s="1"/>
  <c r="U606" i="7"/>
  <c r="V606" i="7"/>
  <c r="W606" i="7" s="1"/>
  <c r="U607" i="7"/>
  <c r="V607" i="7"/>
  <c r="W607" i="7" s="1"/>
  <c r="U608" i="7"/>
  <c r="V608" i="7"/>
  <c r="W608" i="7" s="1"/>
  <c r="U609" i="7"/>
  <c r="V609" i="7"/>
  <c r="U610" i="7"/>
  <c r="V610" i="7"/>
  <c r="W610" i="7" s="1"/>
  <c r="U611" i="7"/>
  <c r="V611" i="7"/>
  <c r="U612" i="7"/>
  <c r="V612" i="7"/>
  <c r="U613" i="7"/>
  <c r="V613" i="7"/>
  <c r="U614" i="7"/>
  <c r="V614" i="7"/>
  <c r="U615" i="7"/>
  <c r="V615" i="7"/>
  <c r="U616" i="7"/>
  <c r="V616" i="7"/>
  <c r="U617" i="7"/>
  <c r="V617" i="7"/>
  <c r="W617" i="7" s="1"/>
  <c r="U618" i="7"/>
  <c r="V618" i="7"/>
  <c r="W618" i="7" s="1"/>
  <c r="U619" i="7"/>
  <c r="V619" i="7"/>
  <c r="W619" i="7" s="1"/>
  <c r="U620" i="7"/>
  <c r="V620" i="7"/>
  <c r="W620" i="7" s="1"/>
  <c r="U621" i="7"/>
  <c r="V621" i="7"/>
  <c r="U622" i="7"/>
  <c r="V622" i="7"/>
  <c r="W622" i="7" s="1"/>
  <c r="U623" i="7"/>
  <c r="V623" i="7"/>
  <c r="W623" i="7" s="1"/>
  <c r="U624" i="7"/>
  <c r="V624" i="7"/>
  <c r="W624" i="7" s="1"/>
  <c r="U625" i="7"/>
  <c r="V625" i="7"/>
  <c r="W625" i="7" s="1"/>
  <c r="U626" i="7"/>
  <c r="V626" i="7"/>
  <c r="W626" i="7" s="1"/>
  <c r="U627" i="7"/>
  <c r="V627" i="7"/>
  <c r="U628" i="7"/>
  <c r="V628" i="7"/>
  <c r="U629" i="7"/>
  <c r="V629" i="7"/>
  <c r="U630" i="7"/>
  <c r="V630" i="7"/>
  <c r="W630" i="7" s="1"/>
  <c r="U631" i="7"/>
  <c r="V631" i="7"/>
  <c r="W631" i="7" s="1"/>
  <c r="U632" i="7"/>
  <c r="V632" i="7"/>
  <c r="W632" i="7" s="1"/>
  <c r="U633" i="7"/>
  <c r="V633" i="7"/>
  <c r="U634" i="7"/>
  <c r="V634" i="7"/>
  <c r="W634" i="7" s="1"/>
  <c r="U635" i="7"/>
  <c r="V635" i="7"/>
  <c r="W635" i="7" s="1"/>
  <c r="U636" i="7"/>
  <c r="V636" i="7"/>
  <c r="U637" i="7"/>
  <c r="V637" i="7"/>
  <c r="W637" i="7" s="1"/>
  <c r="U638" i="7"/>
  <c r="V638" i="7"/>
  <c r="W638" i="7" s="1"/>
  <c r="U639" i="7"/>
  <c r="V639" i="7"/>
  <c r="U640" i="7"/>
  <c r="V640" i="7"/>
  <c r="U641" i="7"/>
  <c r="V641" i="7"/>
  <c r="W641" i="7" s="1"/>
  <c r="U642" i="7"/>
  <c r="V642" i="7"/>
  <c r="W642" i="7" s="1"/>
  <c r="U643" i="7"/>
  <c r="V643" i="7"/>
  <c r="W643" i="7" s="1"/>
  <c r="U644" i="7"/>
  <c r="V644" i="7"/>
  <c r="W644" i="7" s="1"/>
  <c r="U645" i="7"/>
  <c r="V645" i="7"/>
  <c r="U646" i="7"/>
  <c r="V646" i="7"/>
  <c r="W646" i="7" s="1"/>
  <c r="U647" i="7"/>
  <c r="V647" i="7"/>
  <c r="W647" i="7" s="1"/>
  <c r="U648" i="7"/>
  <c r="V648" i="7"/>
  <c r="W648" i="7" s="1"/>
  <c r="U649" i="7"/>
  <c r="V649" i="7"/>
  <c r="W649" i="7" s="1"/>
  <c r="U650" i="7"/>
  <c r="V650" i="7"/>
  <c r="W650" i="7" s="1"/>
  <c r="U651" i="7"/>
  <c r="V651" i="7"/>
  <c r="U652" i="7"/>
  <c r="V652" i="7"/>
  <c r="U653" i="7"/>
  <c r="V653" i="7"/>
  <c r="U654" i="7"/>
  <c r="V654" i="7"/>
  <c r="W654" i="7" s="1"/>
  <c r="U655" i="7"/>
  <c r="V655" i="7"/>
  <c r="W655" i="7" s="1"/>
  <c r="U656" i="7"/>
  <c r="V656" i="7"/>
  <c r="W656" i="7" s="1"/>
  <c r="U657" i="7"/>
  <c r="V657" i="7"/>
  <c r="U658" i="7"/>
  <c r="V658" i="7"/>
  <c r="W658" i="7" s="1"/>
  <c r="U659" i="7"/>
  <c r="V659" i="7"/>
  <c r="W659" i="7" s="1"/>
  <c r="U660" i="7"/>
  <c r="V660" i="7"/>
  <c r="W660" i="7" s="1"/>
  <c r="U661" i="7"/>
  <c r="V661" i="7"/>
  <c r="W661" i="7" s="1"/>
  <c r="U662" i="7"/>
  <c r="V662" i="7"/>
  <c r="W662" i="7" s="1"/>
  <c r="U663" i="7"/>
  <c r="V663" i="7"/>
  <c r="U664" i="7"/>
  <c r="V664" i="7"/>
  <c r="U665" i="7"/>
  <c r="V665" i="7"/>
  <c r="U666" i="7"/>
  <c r="V666" i="7"/>
  <c r="U667" i="7"/>
  <c r="V667" i="7"/>
  <c r="W667" i="7" s="1"/>
  <c r="U668" i="7"/>
  <c r="V668" i="7"/>
  <c r="W668" i="7" s="1"/>
  <c r="U669" i="7"/>
  <c r="V669" i="7"/>
  <c r="U670" i="7"/>
  <c r="V670" i="7"/>
  <c r="W670" i="7" s="1"/>
  <c r="U671" i="7"/>
  <c r="V671" i="7"/>
  <c r="W671" i="7" s="1"/>
  <c r="U672" i="7"/>
  <c r="V672" i="7"/>
  <c r="W672" i="7" s="1"/>
  <c r="U673" i="7"/>
  <c r="V673" i="7"/>
  <c r="W673" i="7" s="1"/>
  <c r="U674" i="7"/>
  <c r="V674" i="7"/>
  <c r="W674" i="7" s="1"/>
  <c r="U675" i="7"/>
  <c r="V675" i="7"/>
  <c r="U676" i="7"/>
  <c r="V676" i="7"/>
  <c r="U677" i="7"/>
  <c r="V677" i="7"/>
  <c r="W677" i="7" s="1"/>
  <c r="U678" i="7"/>
  <c r="V678" i="7"/>
  <c r="W678" i="7" s="1"/>
  <c r="U679" i="7"/>
  <c r="V679" i="7"/>
  <c r="W679" i="7" s="1"/>
  <c r="U680" i="7"/>
  <c r="V680" i="7"/>
  <c r="W680" i="7" s="1"/>
  <c r="U681" i="7"/>
  <c r="V681" i="7"/>
  <c r="U682" i="7"/>
  <c r="V682" i="7"/>
  <c r="W682" i="7" s="1"/>
  <c r="U683" i="7"/>
  <c r="V683" i="7"/>
  <c r="W683" i="7" s="1"/>
  <c r="U684" i="7"/>
  <c r="V684" i="7"/>
  <c r="W684" i="7" s="1"/>
  <c r="U685" i="7"/>
  <c r="V685" i="7"/>
  <c r="W685" i="7" s="1"/>
  <c r="U686" i="7"/>
  <c r="V686" i="7"/>
  <c r="W686" i="7" s="1"/>
  <c r="U687" i="7"/>
  <c r="V687" i="7"/>
  <c r="U688" i="7"/>
  <c r="V688" i="7"/>
  <c r="U689" i="7"/>
  <c r="V689" i="7"/>
  <c r="U690" i="7"/>
  <c r="V690" i="7"/>
  <c r="U691" i="7"/>
  <c r="V691" i="7"/>
  <c r="U692" i="7"/>
  <c r="V692" i="7"/>
  <c r="U693" i="7"/>
  <c r="V693" i="7"/>
  <c r="U694" i="7"/>
  <c r="V694" i="7"/>
  <c r="W694" i="7" s="1"/>
  <c r="U695" i="7"/>
  <c r="V695" i="7"/>
  <c r="W695" i="7" s="1"/>
  <c r="U696" i="7"/>
  <c r="V696" i="7"/>
  <c r="W696" i="7" s="1"/>
  <c r="U697" i="7"/>
  <c r="V697" i="7"/>
  <c r="W697" i="7" s="1"/>
  <c r="U698" i="7"/>
  <c r="V698" i="7"/>
  <c r="W698" i="7" s="1"/>
  <c r="U699" i="7"/>
  <c r="V699" i="7"/>
  <c r="U700" i="7"/>
  <c r="V700" i="7"/>
  <c r="U701" i="7"/>
  <c r="V701" i="7"/>
  <c r="W701" i="7" s="1"/>
  <c r="U702" i="7"/>
  <c r="V702" i="7"/>
  <c r="W702" i="7" s="1"/>
  <c r="U703" i="7"/>
  <c r="V703" i="7"/>
  <c r="W703" i="7" s="1"/>
  <c r="U704" i="7"/>
  <c r="V704" i="7"/>
  <c r="W704" i="7" s="1"/>
  <c r="U705" i="7"/>
  <c r="V705" i="7"/>
  <c r="U706" i="7"/>
  <c r="V706" i="7"/>
  <c r="W706" i="7" s="1"/>
  <c r="U707" i="7"/>
  <c r="V707" i="7"/>
  <c r="U708" i="7"/>
  <c r="V708" i="7"/>
  <c r="U709" i="7"/>
  <c r="V709" i="7"/>
  <c r="W709" i="7" s="1"/>
  <c r="U710" i="7"/>
  <c r="V710" i="7"/>
  <c r="W710" i="7" s="1"/>
  <c r="U711" i="7"/>
  <c r="V711" i="7"/>
  <c r="U712" i="7"/>
  <c r="V712" i="7"/>
  <c r="U713" i="7"/>
  <c r="V713" i="7"/>
  <c r="W713" i="7" s="1"/>
  <c r="U714" i="7"/>
  <c r="V714" i="7"/>
  <c r="W714" i="7" s="1"/>
  <c r="U715" i="7"/>
  <c r="V715" i="7"/>
  <c r="W715" i="7" s="1"/>
  <c r="U716" i="7"/>
  <c r="V716" i="7"/>
  <c r="W716" i="7" s="1"/>
  <c r="U717" i="7"/>
  <c r="V717" i="7"/>
  <c r="U718" i="7"/>
  <c r="V718" i="7"/>
  <c r="W718" i="7" s="1"/>
  <c r="U719" i="7"/>
  <c r="V719" i="7"/>
  <c r="U720" i="7"/>
  <c r="V720" i="7"/>
  <c r="U721" i="7"/>
  <c r="V721" i="7"/>
  <c r="W721" i="7" s="1"/>
  <c r="U722" i="7"/>
  <c r="V722" i="7"/>
  <c r="W722" i="7" s="1"/>
  <c r="U723" i="7"/>
  <c r="V723" i="7"/>
  <c r="U724" i="7"/>
  <c r="V724" i="7"/>
  <c r="W724" i="7" s="1"/>
  <c r="U725" i="7"/>
  <c r="V725" i="7"/>
  <c r="W725" i="7" s="1"/>
  <c r="U726" i="7"/>
  <c r="V726" i="7"/>
  <c r="U727" i="7"/>
  <c r="V727" i="7"/>
  <c r="U728" i="7"/>
  <c r="V728" i="7"/>
  <c r="W728" i="7" s="1"/>
  <c r="U729" i="7"/>
  <c r="V729" i="7"/>
  <c r="U730" i="7"/>
  <c r="V730" i="7"/>
  <c r="W730" i="7" s="1"/>
  <c r="U731" i="7"/>
  <c r="V731" i="7"/>
  <c r="W731" i="7" s="1"/>
  <c r="U732" i="7"/>
  <c r="V732" i="7"/>
  <c r="W732" i="7" s="1"/>
  <c r="U733" i="7"/>
  <c r="V733" i="7"/>
  <c r="W733" i="7" s="1"/>
  <c r="U734" i="7"/>
  <c r="V734" i="7"/>
  <c r="W734" i="7" s="1"/>
  <c r="U735" i="7"/>
  <c r="V735" i="7"/>
  <c r="U736" i="7"/>
  <c r="V736" i="7"/>
  <c r="W736" i="7" s="1"/>
  <c r="U737" i="7"/>
  <c r="V737" i="7"/>
  <c r="W737" i="7" s="1"/>
  <c r="U738" i="7"/>
  <c r="V738" i="7"/>
  <c r="W738" i="7" s="1"/>
  <c r="U739" i="7"/>
  <c r="V739" i="7"/>
  <c r="W739" i="7" s="1"/>
  <c r="U740" i="7"/>
  <c r="V740" i="7"/>
  <c r="W740" i="7" s="1"/>
  <c r="U741" i="7"/>
  <c r="V741" i="7"/>
  <c r="U742" i="7"/>
  <c r="V742" i="7"/>
  <c r="W742" i="7" s="1"/>
  <c r="U743" i="7"/>
  <c r="V743" i="7"/>
  <c r="U744" i="7"/>
  <c r="V744" i="7"/>
  <c r="U745" i="7"/>
  <c r="V745" i="7"/>
  <c r="W745" i="7" s="1"/>
  <c r="U746" i="7"/>
  <c r="V746" i="7"/>
  <c r="W746" i="7" s="1"/>
  <c r="U747" i="7"/>
  <c r="V747" i="7"/>
  <c r="U748" i="7"/>
  <c r="V748" i="7"/>
  <c r="W748" i="7" s="1"/>
  <c r="U749" i="7"/>
  <c r="V749" i="7"/>
  <c r="W749" i="7" s="1"/>
  <c r="U750" i="7"/>
  <c r="V750" i="7"/>
  <c r="W750" i="7" s="1"/>
  <c r="U751" i="7"/>
  <c r="V751" i="7"/>
  <c r="W751" i="7" s="1"/>
  <c r="U752" i="7"/>
  <c r="V752" i="7"/>
  <c r="W752" i="7" s="1"/>
  <c r="U753" i="7"/>
  <c r="V753" i="7"/>
  <c r="U754" i="7"/>
  <c r="V754" i="7"/>
  <c r="W754" i="7" s="1"/>
  <c r="U755" i="7"/>
  <c r="V755" i="7"/>
  <c r="U756" i="7"/>
  <c r="V756" i="7"/>
  <c r="W756" i="7" s="1"/>
  <c r="U757" i="7"/>
  <c r="V757" i="7"/>
  <c r="W757" i="7" s="1"/>
  <c r="U758" i="7"/>
  <c r="V758" i="7"/>
  <c r="W758" i="7" s="1"/>
  <c r="U759" i="7"/>
  <c r="V759" i="7"/>
  <c r="U760" i="7"/>
  <c r="V760" i="7"/>
  <c r="U761" i="7"/>
  <c r="V761" i="7"/>
  <c r="W761" i="7" s="1"/>
  <c r="U762" i="7"/>
  <c r="V762" i="7"/>
  <c r="W762" i="7" s="1"/>
  <c r="U763" i="7"/>
  <c r="V763" i="7"/>
  <c r="W763" i="7" s="1"/>
  <c r="U764" i="7"/>
  <c r="V764" i="7"/>
  <c r="W764" i="7" s="1"/>
  <c r="U765" i="7"/>
  <c r="V765" i="7"/>
  <c r="U766" i="7"/>
  <c r="V766" i="7"/>
  <c r="W766" i="7" s="1"/>
  <c r="U767" i="7"/>
  <c r="V767" i="7"/>
  <c r="W767" i="7" s="1"/>
  <c r="U768" i="7"/>
  <c r="V768" i="7"/>
  <c r="W768" i="7" s="1"/>
  <c r="U769" i="7"/>
  <c r="V769" i="7"/>
  <c r="W769" i="7" s="1"/>
  <c r="U770" i="7"/>
  <c r="V770" i="7"/>
  <c r="W770" i="7" s="1"/>
  <c r="U771" i="7"/>
  <c r="V771" i="7"/>
  <c r="U772" i="7"/>
  <c r="V772" i="7"/>
  <c r="U773" i="7"/>
  <c r="V773" i="7"/>
  <c r="U774" i="7"/>
  <c r="V774" i="7"/>
  <c r="W774" i="7" s="1"/>
  <c r="U775" i="7"/>
  <c r="V775" i="7"/>
  <c r="W775" i="7" s="1"/>
  <c r="U776" i="7"/>
  <c r="V776" i="7"/>
  <c r="W776" i="7" s="1"/>
  <c r="U777" i="7"/>
  <c r="V777" i="7"/>
  <c r="U778" i="7"/>
  <c r="V778" i="7"/>
  <c r="W778" i="7" s="1"/>
  <c r="U779" i="7"/>
  <c r="V779" i="7"/>
  <c r="U780" i="7"/>
  <c r="V780" i="7"/>
  <c r="U781" i="7"/>
  <c r="V781" i="7"/>
  <c r="U782" i="7"/>
  <c r="V782" i="7"/>
  <c r="U783" i="7"/>
  <c r="V783" i="7"/>
  <c r="U784" i="7"/>
  <c r="V784" i="7"/>
  <c r="U785" i="7"/>
  <c r="V785" i="7"/>
  <c r="W785" i="7" s="1"/>
  <c r="U786" i="7"/>
  <c r="V786" i="7"/>
  <c r="W786" i="7" s="1"/>
  <c r="U787" i="7"/>
  <c r="V787" i="7"/>
  <c r="W787" i="7" s="1"/>
  <c r="U788" i="7"/>
  <c r="V788" i="7"/>
  <c r="W788" i="7" s="1"/>
  <c r="U789" i="7"/>
  <c r="V789" i="7"/>
  <c r="U790" i="7"/>
  <c r="V790" i="7"/>
  <c r="W790" i="7" s="1"/>
  <c r="U791" i="7"/>
  <c r="V791" i="7"/>
  <c r="W791" i="7" s="1"/>
  <c r="U792" i="7"/>
  <c r="V792" i="7"/>
  <c r="W792" i="7" s="1"/>
  <c r="U793" i="7"/>
  <c r="V793" i="7"/>
  <c r="W793" i="7" s="1"/>
  <c r="U794" i="7"/>
  <c r="V794" i="7"/>
  <c r="W794" i="7" s="1"/>
  <c r="U795" i="7"/>
  <c r="V795" i="7"/>
  <c r="U796" i="7"/>
  <c r="V796" i="7"/>
  <c r="U797" i="7"/>
  <c r="V797" i="7"/>
  <c r="U798" i="7"/>
  <c r="V798" i="7"/>
  <c r="U799" i="7"/>
  <c r="V799" i="7"/>
  <c r="W799" i="7" s="1"/>
  <c r="U800" i="7"/>
  <c r="V800" i="7"/>
  <c r="W800" i="7" s="1"/>
  <c r="U801" i="7"/>
  <c r="V801" i="7"/>
  <c r="U802" i="7"/>
  <c r="V802" i="7"/>
  <c r="W802" i="7" s="1"/>
  <c r="U803" i="7"/>
  <c r="V803" i="7"/>
  <c r="W803" i="7" s="1"/>
  <c r="U804" i="7"/>
  <c r="V804" i="7"/>
  <c r="W804" i="7" s="1"/>
  <c r="U805" i="7"/>
  <c r="V805" i="7"/>
  <c r="W805" i="7" s="1"/>
  <c r="U806" i="7"/>
  <c r="V806" i="7"/>
  <c r="W806" i="7" s="1"/>
  <c r="U807" i="7"/>
  <c r="V807" i="7"/>
  <c r="U808" i="7"/>
  <c r="V808" i="7"/>
  <c r="U809" i="7"/>
  <c r="V809" i="7"/>
  <c r="U810" i="7"/>
  <c r="V810" i="7"/>
  <c r="U811" i="7"/>
  <c r="V811" i="7"/>
  <c r="W811" i="7" s="1"/>
  <c r="U812" i="7"/>
  <c r="V812" i="7"/>
  <c r="W812" i="7" s="1"/>
  <c r="U813" i="7"/>
  <c r="V813" i="7"/>
  <c r="U814" i="7"/>
  <c r="V814" i="7"/>
  <c r="W814" i="7" s="1"/>
  <c r="U815" i="7"/>
  <c r="V815" i="7"/>
  <c r="W815" i="7" s="1"/>
  <c r="U816" i="7"/>
  <c r="V816" i="7"/>
  <c r="W816" i="7" s="1"/>
  <c r="U817" i="7"/>
  <c r="V817" i="7"/>
  <c r="W817" i="7" s="1"/>
  <c r="U818" i="7"/>
  <c r="V818" i="7"/>
  <c r="U819" i="7"/>
  <c r="V819" i="7"/>
  <c r="U820" i="7"/>
  <c r="V820" i="7"/>
  <c r="U821" i="7"/>
  <c r="V821" i="7"/>
  <c r="W821" i="7" s="1"/>
  <c r="U822" i="7"/>
  <c r="V822" i="7"/>
  <c r="W822" i="7" s="1"/>
  <c r="U823" i="7"/>
  <c r="V823" i="7"/>
  <c r="W823" i="7" s="1"/>
  <c r="U824" i="7"/>
  <c r="V824" i="7"/>
  <c r="W824" i="7" s="1"/>
  <c r="U825" i="7"/>
  <c r="V825" i="7"/>
  <c r="U826" i="7"/>
  <c r="V826" i="7"/>
  <c r="W826" i="7" s="1"/>
  <c r="U827" i="7"/>
  <c r="V827" i="7"/>
  <c r="W827" i="7" s="1"/>
  <c r="U828" i="7"/>
  <c r="V828" i="7"/>
  <c r="W828" i="7" s="1"/>
  <c r="U829" i="7"/>
  <c r="V829" i="7"/>
  <c r="W829" i="7" s="1"/>
  <c r="U830" i="7"/>
  <c r="V830" i="7"/>
  <c r="W830" i="7" s="1"/>
  <c r="U831" i="7"/>
  <c r="V831" i="7"/>
  <c r="U832" i="7"/>
  <c r="V832" i="7"/>
  <c r="U833" i="7"/>
  <c r="V833" i="7"/>
  <c r="U834" i="7"/>
  <c r="V834" i="7"/>
  <c r="U835" i="7"/>
  <c r="V835" i="7"/>
  <c r="U836" i="7"/>
  <c r="V836" i="7"/>
  <c r="W836" i="7" s="1"/>
  <c r="U837" i="7"/>
  <c r="V837" i="7"/>
  <c r="U838" i="7"/>
  <c r="V838" i="7"/>
  <c r="W838" i="7" s="1"/>
  <c r="U839" i="7"/>
  <c r="V839" i="7"/>
  <c r="W839" i="7" s="1"/>
  <c r="U840" i="7"/>
  <c r="V840" i="7"/>
  <c r="W840" i="7" s="1"/>
  <c r="U841" i="7"/>
  <c r="V841" i="7"/>
  <c r="W841" i="7" s="1"/>
  <c r="U842" i="7"/>
  <c r="V842" i="7"/>
  <c r="W842" i="7" s="1"/>
  <c r="U843" i="7"/>
  <c r="V843" i="7"/>
  <c r="U844" i="7"/>
  <c r="V844" i="7"/>
  <c r="U845" i="7"/>
  <c r="V845" i="7"/>
  <c r="U846" i="7"/>
  <c r="V846" i="7"/>
  <c r="W846" i="7" s="1"/>
  <c r="U847" i="7"/>
  <c r="V847" i="7"/>
  <c r="W847" i="7" s="1"/>
  <c r="U848" i="7"/>
  <c r="V848" i="7"/>
  <c r="W848" i="7" s="1"/>
  <c r="U849" i="7"/>
  <c r="V849" i="7"/>
  <c r="U850" i="7"/>
  <c r="V850" i="7"/>
  <c r="W850" i="7" s="1"/>
  <c r="U851" i="7"/>
  <c r="V851" i="7"/>
  <c r="U852" i="7"/>
  <c r="V852" i="7"/>
  <c r="U853" i="7"/>
  <c r="V853" i="7"/>
  <c r="W853" i="7" s="1"/>
  <c r="U854" i="7"/>
  <c r="V854" i="7"/>
  <c r="W854" i="7" s="1"/>
  <c r="U855" i="7"/>
  <c r="V855" i="7"/>
  <c r="U856" i="7"/>
  <c r="V856" i="7"/>
  <c r="U857" i="7"/>
  <c r="V857" i="7"/>
  <c r="W857" i="7" s="1"/>
  <c r="U858" i="7"/>
  <c r="V858" i="7"/>
  <c r="W858" i="7" s="1"/>
  <c r="U859" i="7"/>
  <c r="V859" i="7"/>
  <c r="W859" i="7" s="1"/>
  <c r="U860" i="7"/>
  <c r="V860" i="7"/>
  <c r="W860" i="7" s="1"/>
  <c r="U861" i="7"/>
  <c r="V861" i="7"/>
  <c r="U862" i="7"/>
  <c r="V862" i="7"/>
  <c r="W862" i="7" s="1"/>
  <c r="U863" i="7"/>
  <c r="V863" i="7"/>
  <c r="U864" i="7"/>
  <c r="V864" i="7"/>
  <c r="U865" i="7"/>
  <c r="V865" i="7"/>
  <c r="U866" i="7"/>
  <c r="V866" i="7"/>
  <c r="W866" i="7" s="1"/>
  <c r="U867" i="7"/>
  <c r="V867" i="7"/>
  <c r="U868" i="7"/>
  <c r="V868" i="7"/>
  <c r="W868" i="7" s="1"/>
  <c r="U869" i="7"/>
  <c r="V869" i="7"/>
  <c r="W869" i="7" s="1"/>
  <c r="U870" i="7"/>
  <c r="V870" i="7"/>
  <c r="U871" i="7"/>
  <c r="V871" i="7"/>
  <c r="W871" i="7" s="1"/>
  <c r="U872" i="7"/>
  <c r="V872" i="7"/>
  <c r="W872" i="7" s="1"/>
  <c r="U873" i="7"/>
  <c r="V873" i="7"/>
  <c r="U874" i="7"/>
  <c r="V874" i="7"/>
  <c r="W874" i="7" s="1"/>
  <c r="U875" i="7"/>
  <c r="V875" i="7"/>
  <c r="W875" i="7" s="1"/>
  <c r="U876" i="7"/>
  <c r="V876" i="7"/>
  <c r="W876" i="7" s="1"/>
  <c r="U877" i="7"/>
  <c r="V877" i="7"/>
  <c r="W877" i="7" s="1"/>
  <c r="U878" i="7"/>
  <c r="V878" i="7"/>
  <c r="W878" i="7" s="1"/>
  <c r="U879" i="7"/>
  <c r="V879" i="7"/>
  <c r="U880" i="7"/>
  <c r="V880" i="7"/>
  <c r="W880" i="7" s="1"/>
  <c r="U881" i="7"/>
  <c r="V881" i="7"/>
  <c r="W881" i="7" s="1"/>
  <c r="U882" i="7"/>
  <c r="V882" i="7"/>
  <c r="W882" i="7" s="1"/>
  <c r="U883" i="7"/>
  <c r="V883" i="7"/>
  <c r="W883" i="7" s="1"/>
  <c r="U884" i="7"/>
  <c r="V884" i="7"/>
  <c r="W884" i="7" s="1"/>
  <c r="U885" i="7"/>
  <c r="V885" i="7"/>
  <c r="U886" i="7"/>
  <c r="V886" i="7"/>
  <c r="W886" i="7" s="1"/>
  <c r="U887" i="7"/>
  <c r="V887" i="7"/>
  <c r="U888" i="7"/>
  <c r="V888" i="7"/>
  <c r="W888" i="7" s="1"/>
  <c r="U889" i="7"/>
  <c r="V889" i="7"/>
  <c r="W889" i="7" s="1"/>
  <c r="U890" i="7"/>
  <c r="V890" i="7"/>
  <c r="W890" i="7" s="1"/>
  <c r="U891" i="7"/>
  <c r="V891" i="7"/>
  <c r="U892" i="7"/>
  <c r="V892" i="7"/>
  <c r="W892" i="7" s="1"/>
  <c r="U893" i="7"/>
  <c r="V893" i="7"/>
  <c r="W893" i="7" s="1"/>
  <c r="U894" i="7"/>
  <c r="V894" i="7"/>
  <c r="W894" i="7" s="1"/>
  <c r="U895" i="7"/>
  <c r="V895" i="7"/>
  <c r="W895" i="7" s="1"/>
  <c r="U896" i="7"/>
  <c r="V896" i="7"/>
  <c r="W896" i="7" s="1"/>
  <c r="U897" i="7"/>
  <c r="V897" i="7"/>
  <c r="U898" i="7"/>
  <c r="V898" i="7"/>
  <c r="W898" i="7" s="1"/>
  <c r="U899" i="7"/>
  <c r="V899" i="7"/>
  <c r="U900" i="7"/>
  <c r="V900" i="7"/>
  <c r="U901" i="7"/>
  <c r="V901" i="7"/>
  <c r="W901" i="7" s="1"/>
  <c r="U902" i="7"/>
  <c r="V902" i="7"/>
  <c r="W902" i="7" s="1"/>
  <c r="U903" i="7"/>
  <c r="V903" i="7"/>
  <c r="U904" i="7"/>
  <c r="V904" i="7"/>
  <c r="U905" i="7"/>
  <c r="V905" i="7"/>
  <c r="W905" i="7" s="1"/>
  <c r="U906" i="7"/>
  <c r="V906" i="7"/>
  <c r="W906" i="7" s="1"/>
  <c r="U907" i="7"/>
  <c r="V907" i="7"/>
  <c r="W907" i="7" s="1"/>
  <c r="U908" i="7"/>
  <c r="V908" i="7"/>
  <c r="W908" i="7" s="1"/>
  <c r="U909" i="7"/>
  <c r="V909" i="7"/>
  <c r="U910" i="7"/>
  <c r="V910" i="7"/>
  <c r="W910" i="7" s="1"/>
  <c r="U911" i="7"/>
  <c r="V911" i="7"/>
  <c r="W911" i="7" s="1"/>
  <c r="U912" i="7"/>
  <c r="V912" i="7"/>
  <c r="W912" i="7" s="1"/>
  <c r="U913" i="7"/>
  <c r="V913" i="7"/>
  <c r="W913" i="7" s="1"/>
  <c r="U914" i="7"/>
  <c r="V914" i="7"/>
  <c r="W914" i="7" s="1"/>
  <c r="U915" i="7"/>
  <c r="V915" i="7"/>
  <c r="U916" i="7"/>
  <c r="V916" i="7"/>
  <c r="U917" i="7"/>
  <c r="V917" i="7"/>
  <c r="U918" i="7"/>
  <c r="V918" i="7"/>
  <c r="W918" i="7" s="1"/>
  <c r="U919" i="7"/>
  <c r="V919" i="7"/>
  <c r="W919" i="7" s="1"/>
  <c r="U920" i="7"/>
  <c r="V920" i="7"/>
  <c r="W920" i="7" s="1"/>
  <c r="U921" i="7"/>
  <c r="V921" i="7"/>
  <c r="U922" i="7"/>
  <c r="V922" i="7"/>
  <c r="W922" i="7" s="1"/>
  <c r="U923" i="7"/>
  <c r="V923" i="7"/>
  <c r="U924" i="7"/>
  <c r="V924" i="7"/>
  <c r="U925" i="7"/>
  <c r="V925" i="7"/>
  <c r="U926" i="7"/>
  <c r="V926" i="7"/>
  <c r="W926" i="7" s="1"/>
  <c r="U927" i="7"/>
  <c r="V927" i="7"/>
  <c r="U928" i="7"/>
  <c r="V928" i="7"/>
  <c r="U929" i="7"/>
  <c r="V929" i="7"/>
  <c r="W929" i="7" s="1"/>
  <c r="U930" i="7"/>
  <c r="V930" i="7"/>
  <c r="W930" i="7" s="1"/>
  <c r="U931" i="7"/>
  <c r="V931" i="7"/>
  <c r="W931" i="7" s="1"/>
  <c r="U932" i="7"/>
  <c r="V932" i="7"/>
  <c r="W932" i="7" s="1"/>
  <c r="U933" i="7"/>
  <c r="V933" i="7"/>
  <c r="U934" i="7"/>
  <c r="V934" i="7"/>
  <c r="W934" i="7" s="1"/>
  <c r="U935" i="7"/>
  <c r="V935" i="7"/>
  <c r="W935" i="7" s="1"/>
  <c r="U936" i="7"/>
  <c r="V936" i="7"/>
  <c r="W936" i="7" s="1"/>
  <c r="U937" i="7"/>
  <c r="V937" i="7"/>
  <c r="W937" i="7" s="1"/>
  <c r="U938" i="7"/>
  <c r="V938" i="7"/>
  <c r="W938" i="7" s="1"/>
  <c r="U939" i="7"/>
  <c r="V939" i="7"/>
  <c r="U940" i="7"/>
  <c r="V940" i="7"/>
  <c r="U941" i="7"/>
  <c r="V941" i="7"/>
  <c r="U942" i="7"/>
  <c r="V942" i="7"/>
  <c r="W942" i="7" s="1"/>
  <c r="U943" i="7"/>
  <c r="V943" i="7"/>
  <c r="W943" i="7" s="1"/>
  <c r="U944" i="7"/>
  <c r="V944" i="7"/>
  <c r="W944" i="7" s="1"/>
  <c r="U945" i="7"/>
  <c r="V945" i="7"/>
  <c r="U946" i="7"/>
  <c r="V946" i="7"/>
  <c r="W946" i="7" s="1"/>
  <c r="U947" i="7"/>
  <c r="V947" i="7"/>
  <c r="W947" i="7" s="1"/>
  <c r="U948" i="7"/>
  <c r="V948" i="7"/>
  <c r="W948" i="7" s="1"/>
  <c r="U949" i="7"/>
  <c r="V949" i="7"/>
  <c r="W949" i="7" s="1"/>
  <c r="U950" i="7"/>
  <c r="V950" i="7"/>
  <c r="W950" i="7" s="1"/>
  <c r="U951" i="7"/>
  <c r="V951" i="7"/>
  <c r="U952" i="7"/>
  <c r="V952" i="7"/>
  <c r="U953" i="7"/>
  <c r="V953" i="7"/>
  <c r="U954" i="7"/>
  <c r="V954" i="7"/>
  <c r="U955" i="7"/>
  <c r="V955" i="7"/>
  <c r="U956" i="7"/>
  <c r="V956" i="7"/>
  <c r="W956" i="7" s="1"/>
  <c r="U957" i="7"/>
  <c r="V957" i="7"/>
  <c r="U958" i="7"/>
  <c r="V958" i="7"/>
  <c r="W958" i="7" s="1"/>
  <c r="U959" i="7"/>
  <c r="V959" i="7"/>
  <c r="W959" i="7" s="1"/>
  <c r="U960" i="7"/>
  <c r="V960" i="7"/>
  <c r="W960" i="7" s="1"/>
  <c r="U961" i="7"/>
  <c r="V961" i="7"/>
  <c r="W961" i="7" s="1"/>
  <c r="U962" i="7"/>
  <c r="V962" i="7"/>
  <c r="W962" i="7" s="1"/>
  <c r="U963" i="7"/>
  <c r="V963" i="7"/>
  <c r="U964" i="7"/>
  <c r="V964" i="7"/>
  <c r="U965" i="7"/>
  <c r="V965" i="7"/>
  <c r="W965" i="7" s="1"/>
  <c r="U966" i="7"/>
  <c r="V966" i="7"/>
  <c r="W966" i="7" s="1"/>
  <c r="U967" i="7"/>
  <c r="V967" i="7"/>
  <c r="W967" i="7" s="1"/>
  <c r="U968" i="7"/>
  <c r="V968" i="7"/>
  <c r="W968" i="7" s="1"/>
  <c r="U969" i="7"/>
  <c r="V969" i="7"/>
  <c r="U970" i="7"/>
  <c r="V970" i="7"/>
  <c r="W970" i="7" s="1"/>
  <c r="U971" i="7"/>
  <c r="V971" i="7"/>
  <c r="W971" i="7" s="1"/>
  <c r="U972" i="7"/>
  <c r="V972" i="7"/>
  <c r="W972" i="7" s="1"/>
  <c r="U973" i="7"/>
  <c r="V973" i="7"/>
  <c r="W973" i="7" s="1"/>
  <c r="U974" i="7"/>
  <c r="V974" i="7"/>
  <c r="W974" i="7" s="1"/>
  <c r="U975" i="7"/>
  <c r="V975" i="7"/>
  <c r="U976" i="7"/>
  <c r="V976" i="7"/>
  <c r="U977" i="7"/>
  <c r="V977" i="7"/>
  <c r="U978" i="7"/>
  <c r="V978" i="7"/>
  <c r="U979" i="7"/>
  <c r="V979" i="7"/>
  <c r="W979" i="7" s="1"/>
  <c r="U980" i="7"/>
  <c r="V980" i="7"/>
  <c r="W980" i="7" s="1"/>
  <c r="U981" i="7"/>
  <c r="V981" i="7"/>
  <c r="U982" i="7"/>
  <c r="V982" i="7"/>
  <c r="W982" i="7" s="1"/>
  <c r="U983" i="7"/>
  <c r="V983" i="7"/>
  <c r="W983" i="7" s="1"/>
  <c r="U984" i="7"/>
  <c r="V984" i="7"/>
  <c r="W984" i="7" s="1"/>
  <c r="U985" i="7"/>
  <c r="V985" i="7"/>
  <c r="W985" i="7" s="1"/>
  <c r="U986" i="7"/>
  <c r="V986" i="7"/>
  <c r="W986" i="7" s="1"/>
  <c r="U987" i="7"/>
  <c r="V987" i="7"/>
  <c r="U988" i="7"/>
  <c r="V988" i="7"/>
  <c r="U989" i="7"/>
  <c r="V989" i="7"/>
  <c r="U990" i="7"/>
  <c r="V990" i="7"/>
  <c r="U991" i="7"/>
  <c r="V991" i="7"/>
  <c r="W991" i="7" s="1"/>
  <c r="U992" i="7"/>
  <c r="V992" i="7"/>
  <c r="W992" i="7" s="1"/>
  <c r="U993" i="7"/>
  <c r="V993" i="7"/>
  <c r="U994" i="7"/>
  <c r="V994" i="7"/>
  <c r="W994" i="7" s="1"/>
  <c r="U995" i="7"/>
  <c r="V995" i="7"/>
  <c r="U996" i="7"/>
  <c r="V996" i="7"/>
  <c r="W996" i="7" s="1"/>
  <c r="U997" i="7"/>
  <c r="V997" i="7"/>
  <c r="W997" i="7" s="1"/>
  <c r="U998" i="7"/>
  <c r="V998" i="7"/>
  <c r="W998" i="7" s="1"/>
  <c r="U999" i="7"/>
  <c r="V999" i="7"/>
  <c r="U1000" i="7"/>
  <c r="V1000" i="7"/>
  <c r="U1001" i="7"/>
  <c r="V1001" i="7"/>
  <c r="W1001" i="7" s="1"/>
  <c r="W3" i="7"/>
  <c r="W4" i="7"/>
  <c r="W5" i="7"/>
  <c r="W6" i="7"/>
  <c r="W7" i="7"/>
  <c r="W8" i="7"/>
  <c r="W9" i="7"/>
  <c r="W15" i="7"/>
  <c r="W16" i="7"/>
  <c r="W21" i="7"/>
  <c r="W24" i="7"/>
  <c r="W27" i="7"/>
  <c r="W28" i="7"/>
  <c r="W30" i="7"/>
  <c r="W33" i="7"/>
  <c r="W39" i="7"/>
  <c r="W45" i="7"/>
  <c r="W48" i="7"/>
  <c r="W49" i="7"/>
  <c r="W50" i="7"/>
  <c r="W51" i="7"/>
  <c r="W52" i="7"/>
  <c r="W57" i="7"/>
  <c r="W63" i="7"/>
  <c r="W64" i="7"/>
  <c r="W65" i="7"/>
  <c r="W69" i="7"/>
  <c r="W73" i="7"/>
  <c r="W75" i="7"/>
  <c r="W76" i="7"/>
  <c r="W81" i="7"/>
  <c r="W87" i="7"/>
  <c r="W88" i="7"/>
  <c r="W89" i="7"/>
  <c r="W90" i="7"/>
  <c r="W93" i="7"/>
  <c r="W99" i="7"/>
  <c r="W100" i="7"/>
  <c r="W101" i="7"/>
  <c r="W105" i="7"/>
  <c r="W111" i="7"/>
  <c r="W112" i="7"/>
  <c r="W117" i="7"/>
  <c r="W119" i="7"/>
  <c r="W123" i="7"/>
  <c r="W124" i="7"/>
  <c r="W125" i="7"/>
  <c r="W126" i="7"/>
  <c r="W127" i="7"/>
  <c r="W128" i="7"/>
  <c r="W129" i="7"/>
  <c r="W135" i="7"/>
  <c r="W136" i="7"/>
  <c r="W141" i="7"/>
  <c r="W143" i="7"/>
  <c r="W144" i="7"/>
  <c r="W145" i="7"/>
  <c r="W147" i="7"/>
  <c r="W153" i="7"/>
  <c r="W159" i="7"/>
  <c r="W165" i="7"/>
  <c r="W167" i="7"/>
  <c r="W171" i="7"/>
  <c r="W177" i="7"/>
  <c r="W179" i="7"/>
  <c r="W183" i="7"/>
  <c r="W184" i="7"/>
  <c r="W189" i="7"/>
  <c r="W195" i="7"/>
  <c r="W196" i="7"/>
  <c r="W197" i="7"/>
  <c r="W201" i="7"/>
  <c r="W204" i="7"/>
  <c r="W205" i="7"/>
  <c r="W207" i="7"/>
  <c r="W208" i="7"/>
  <c r="W213" i="7"/>
  <c r="W219" i="7"/>
  <c r="W220" i="7"/>
  <c r="W221" i="7"/>
  <c r="W222" i="7"/>
  <c r="W223" i="7"/>
  <c r="W225" i="7"/>
  <c r="W231" i="7"/>
  <c r="W232" i="7"/>
  <c r="W237" i="7"/>
  <c r="W243" i="7"/>
  <c r="W244" i="7"/>
  <c r="W245" i="7"/>
  <c r="W246" i="7"/>
  <c r="W249" i="7"/>
  <c r="W255" i="7"/>
  <c r="W256" i="7"/>
  <c r="W257" i="7"/>
  <c r="W261" i="7"/>
  <c r="W263" i="7"/>
  <c r="W267" i="7"/>
  <c r="W268" i="7"/>
  <c r="W273" i="7"/>
  <c r="W275" i="7"/>
  <c r="W276" i="7"/>
  <c r="W279" i="7"/>
  <c r="W280" i="7"/>
  <c r="W282" i="7"/>
  <c r="W283" i="7"/>
  <c r="W285" i="7"/>
  <c r="W291" i="7"/>
  <c r="W297" i="7"/>
  <c r="W299" i="7"/>
  <c r="W300" i="7"/>
  <c r="W301" i="7"/>
  <c r="W303" i="7"/>
  <c r="W309" i="7"/>
  <c r="W315" i="7"/>
  <c r="W321" i="7"/>
  <c r="W323" i="7"/>
  <c r="W324" i="7"/>
  <c r="W327" i="7"/>
  <c r="W328" i="7"/>
  <c r="W333" i="7"/>
  <c r="W335" i="7"/>
  <c r="W339" i="7"/>
  <c r="W340" i="7"/>
  <c r="W341" i="7"/>
  <c r="W345" i="7"/>
  <c r="W351" i="7"/>
  <c r="W352" i="7"/>
  <c r="W353" i="7"/>
  <c r="W354" i="7"/>
  <c r="W357" i="7"/>
  <c r="W361" i="7"/>
  <c r="W363" i="7"/>
  <c r="W364" i="7"/>
  <c r="W369" i="7"/>
  <c r="W375" i="7"/>
  <c r="W376" i="7"/>
  <c r="W377" i="7"/>
  <c r="W378" i="7"/>
  <c r="W379" i="7"/>
  <c r="W380" i="7"/>
  <c r="W381" i="7"/>
  <c r="W387" i="7"/>
  <c r="W388" i="7"/>
  <c r="W393" i="7"/>
  <c r="W399" i="7"/>
  <c r="W400" i="7"/>
  <c r="W401" i="7"/>
  <c r="W402" i="7"/>
  <c r="W405" i="7"/>
  <c r="W411" i="7"/>
  <c r="W412" i="7"/>
  <c r="W413" i="7"/>
  <c r="W414" i="7"/>
  <c r="W417" i="7"/>
  <c r="W419" i="7"/>
  <c r="W423" i="7"/>
  <c r="W424" i="7"/>
  <c r="W429" i="7"/>
  <c r="W431" i="7"/>
  <c r="W432" i="7"/>
  <c r="W433" i="7"/>
  <c r="W435" i="7"/>
  <c r="W439" i="7"/>
  <c r="W441" i="7"/>
  <c r="W447" i="7"/>
  <c r="W453" i="7"/>
  <c r="W455" i="7"/>
  <c r="W456" i="7"/>
  <c r="W457" i="7"/>
  <c r="W459" i="7"/>
  <c r="W465" i="7"/>
  <c r="W471" i="7"/>
  <c r="W472" i="7"/>
  <c r="W477" i="7"/>
  <c r="W479" i="7"/>
  <c r="W480" i="7"/>
  <c r="W483" i="7"/>
  <c r="W484" i="7"/>
  <c r="W489" i="7"/>
  <c r="W495" i="7"/>
  <c r="W496" i="7"/>
  <c r="W497" i="7"/>
  <c r="W501" i="7"/>
  <c r="W507" i="7"/>
  <c r="W508" i="7"/>
  <c r="W509" i="7"/>
  <c r="W510" i="7"/>
  <c r="W513" i="7"/>
  <c r="W519" i="7"/>
  <c r="W520" i="7"/>
  <c r="W525" i="7"/>
  <c r="W531" i="7"/>
  <c r="W532" i="7"/>
  <c r="W533" i="7"/>
  <c r="W534" i="7"/>
  <c r="W535" i="7"/>
  <c r="W536" i="7"/>
  <c r="W537" i="7"/>
  <c r="W543" i="7"/>
  <c r="W544" i="7"/>
  <c r="W549" i="7"/>
  <c r="W551" i="7"/>
  <c r="W555" i="7"/>
  <c r="W556" i="7"/>
  <c r="W557" i="7"/>
  <c r="W561" i="7"/>
  <c r="W567" i="7"/>
  <c r="W568" i="7"/>
  <c r="W570" i="7"/>
  <c r="W571" i="7"/>
  <c r="W573" i="7"/>
  <c r="W579" i="7"/>
  <c r="W585" i="7"/>
  <c r="W587" i="7"/>
  <c r="W588" i="7"/>
  <c r="W589" i="7"/>
  <c r="W591" i="7"/>
  <c r="W597" i="7"/>
  <c r="W603" i="7"/>
  <c r="W609" i="7"/>
  <c r="W611" i="7"/>
  <c r="W612" i="7"/>
  <c r="W613" i="7"/>
  <c r="W614" i="7"/>
  <c r="W615" i="7"/>
  <c r="W616" i="7"/>
  <c r="W621" i="7"/>
  <c r="W627" i="7"/>
  <c r="W628" i="7"/>
  <c r="W629" i="7"/>
  <c r="W633" i="7"/>
  <c r="W636" i="7"/>
  <c r="W639" i="7"/>
  <c r="W640" i="7"/>
  <c r="W645" i="7"/>
  <c r="W651" i="7"/>
  <c r="W652" i="7"/>
  <c r="W653" i="7"/>
  <c r="W657" i="7"/>
  <c r="W663" i="7"/>
  <c r="W664" i="7"/>
  <c r="W665" i="7"/>
  <c r="W666" i="7"/>
  <c r="W669" i="7"/>
  <c r="W675" i="7"/>
  <c r="W676" i="7"/>
  <c r="W681" i="7"/>
  <c r="W687" i="7"/>
  <c r="W688" i="7"/>
  <c r="W689" i="7"/>
  <c r="W690" i="7"/>
  <c r="W691" i="7"/>
  <c r="W692" i="7"/>
  <c r="W693" i="7"/>
  <c r="W699" i="7"/>
  <c r="W700" i="7"/>
  <c r="W705" i="7"/>
  <c r="W707" i="7"/>
  <c r="W708" i="7"/>
  <c r="W711" i="7"/>
  <c r="W712" i="7"/>
  <c r="W717" i="7"/>
  <c r="W719" i="7"/>
  <c r="W720" i="7"/>
  <c r="W723" i="7"/>
  <c r="W726" i="7"/>
  <c r="W727" i="7"/>
  <c r="W729" i="7"/>
  <c r="W735" i="7"/>
  <c r="W741" i="7"/>
  <c r="W743" i="7"/>
  <c r="W744" i="7"/>
  <c r="W747" i="7"/>
  <c r="W753" i="7"/>
  <c r="W755" i="7"/>
  <c r="W759" i="7"/>
  <c r="W760" i="7"/>
  <c r="W765" i="7"/>
  <c r="W771" i="7"/>
  <c r="W772" i="7"/>
  <c r="W773" i="7"/>
  <c r="W777" i="7"/>
  <c r="W779" i="7"/>
  <c r="W780" i="7"/>
  <c r="W781" i="7"/>
  <c r="W782" i="7"/>
  <c r="W783" i="7"/>
  <c r="W784" i="7"/>
  <c r="W789" i="7"/>
  <c r="W795" i="7"/>
  <c r="W796" i="7"/>
  <c r="W797" i="7"/>
  <c r="W798" i="7"/>
  <c r="W801" i="7"/>
  <c r="W807" i="7"/>
  <c r="W808" i="7"/>
  <c r="W809" i="7"/>
  <c r="W810" i="7"/>
  <c r="W813" i="7"/>
  <c r="W818" i="7"/>
  <c r="W819" i="7"/>
  <c r="W820" i="7"/>
  <c r="W825" i="7"/>
  <c r="W831" i="7"/>
  <c r="W832" i="7"/>
  <c r="W833" i="7"/>
  <c r="W834" i="7"/>
  <c r="W835" i="7"/>
  <c r="W837" i="7"/>
  <c r="W843" i="7"/>
  <c r="W844" i="7"/>
  <c r="W845" i="7"/>
  <c r="W849" i="7"/>
  <c r="W851" i="7"/>
  <c r="W852" i="7"/>
  <c r="W855" i="7"/>
  <c r="W856" i="7"/>
  <c r="W861" i="7"/>
  <c r="W863" i="7"/>
  <c r="W864" i="7"/>
  <c r="W865" i="7"/>
  <c r="W867" i="7"/>
  <c r="W870" i="7"/>
  <c r="W873" i="7"/>
  <c r="W879" i="7"/>
  <c r="W885" i="7"/>
  <c r="W887" i="7"/>
  <c r="W891" i="7"/>
  <c r="W897" i="7"/>
  <c r="W899" i="7"/>
  <c r="W900" i="7"/>
  <c r="W903" i="7"/>
  <c r="W904" i="7"/>
  <c r="W909" i="7"/>
  <c r="W915" i="7"/>
  <c r="W916" i="7"/>
  <c r="W917" i="7"/>
  <c r="W921" i="7"/>
  <c r="W923" i="7"/>
  <c r="W924" i="7"/>
  <c r="W925" i="7"/>
  <c r="W927" i="7"/>
  <c r="W928" i="7"/>
  <c r="W933" i="7"/>
  <c r="W939" i="7"/>
  <c r="W940" i="7"/>
  <c r="W941" i="7"/>
  <c r="W945" i="7"/>
  <c r="W951" i="7"/>
  <c r="W952" i="7"/>
  <c r="W953" i="7"/>
  <c r="W954" i="7"/>
  <c r="W955" i="7"/>
  <c r="W957" i="7"/>
  <c r="W963" i="7"/>
  <c r="W964" i="7"/>
  <c r="W969" i="7"/>
  <c r="W975" i="7"/>
  <c r="W976" i="7"/>
  <c r="W977" i="7"/>
  <c r="W978" i="7"/>
  <c r="W981" i="7"/>
  <c r="W987" i="7"/>
  <c r="W988" i="7"/>
  <c r="W989" i="7"/>
  <c r="W990" i="7"/>
  <c r="W993" i="7"/>
  <c r="W995" i="7"/>
  <c r="W999" i="7"/>
  <c r="W1000" i="7"/>
  <c r="W2" i="7"/>
  <c r="V2" i="7"/>
  <c r="U2" i="7"/>
  <c r="L3" i="6"/>
  <c r="L4" i="6"/>
  <c r="L5" i="6"/>
  <c r="L6" i="6"/>
  <c r="L7" i="6"/>
  <c r="L8" i="6"/>
  <c r="L9" i="6"/>
  <c r="L10" i="6"/>
  <c r="L11" i="6"/>
  <c r="L12" i="6"/>
  <c r="L13" i="6"/>
  <c r="L14" i="6"/>
  <c r="L15" i="6"/>
  <c r="L16" i="6"/>
  <c r="L17" i="6"/>
  <c r="L18" i="6"/>
  <c r="L19" i="6"/>
  <c r="L20" i="6"/>
  <c r="L21" i="6"/>
  <c r="L22" i="6"/>
  <c r="L23" i="6"/>
  <c r="L24" i="6"/>
  <c r="L25" i="6"/>
  <c r="L26" i="6"/>
  <c r="L27" i="6"/>
  <c r="L28" i="6"/>
  <c r="L29" i="6"/>
  <c r="L30" i="6"/>
  <c r="L31" i="6"/>
  <c r="L32" i="6"/>
  <c r="L33" i="6"/>
  <c r="L34" i="6"/>
  <c r="L35" i="6"/>
  <c r="L36" i="6"/>
  <c r="L37" i="6"/>
  <c r="L38" i="6"/>
  <c r="L39" i="6"/>
  <c r="L40" i="6"/>
  <c r="L41" i="6"/>
  <c r="L42" i="6"/>
  <c r="L43" i="6"/>
  <c r="L44" i="6"/>
  <c r="L45" i="6"/>
  <c r="L46" i="6"/>
  <c r="L47" i="6"/>
  <c r="L48" i="6"/>
  <c r="L49" i="6"/>
  <c r="L50" i="6"/>
  <c r="L51" i="6"/>
  <c r="L52" i="6"/>
  <c r="L53" i="6"/>
  <c r="L54" i="6"/>
  <c r="L55" i="6"/>
  <c r="L56" i="6"/>
  <c r="L57" i="6"/>
  <c r="L58" i="6"/>
  <c r="L59" i="6"/>
  <c r="L60" i="6"/>
  <c r="L61" i="6"/>
  <c r="L62" i="6"/>
  <c r="L63" i="6"/>
  <c r="L64" i="6"/>
  <c r="L65" i="6"/>
  <c r="L66" i="6"/>
  <c r="L67" i="6"/>
  <c r="L68" i="6"/>
  <c r="L69" i="6"/>
  <c r="L70" i="6"/>
  <c r="L71" i="6"/>
  <c r="L72" i="6"/>
  <c r="L73" i="6"/>
  <c r="L74" i="6"/>
  <c r="L75" i="6"/>
  <c r="L76" i="6"/>
  <c r="L77" i="6"/>
  <c r="L78" i="6"/>
  <c r="L79" i="6"/>
  <c r="L80" i="6"/>
  <c r="L81" i="6"/>
  <c r="L82" i="6"/>
  <c r="L83" i="6"/>
  <c r="L84" i="6"/>
  <c r="L85" i="6"/>
  <c r="L86" i="6"/>
  <c r="L87" i="6"/>
  <c r="L88" i="6"/>
  <c r="L89" i="6"/>
  <c r="L90" i="6"/>
  <c r="L91" i="6"/>
  <c r="L92" i="6"/>
  <c r="L93" i="6"/>
  <c r="L94" i="6"/>
  <c r="L95" i="6"/>
  <c r="L96" i="6"/>
  <c r="L97" i="6"/>
  <c r="L98" i="6"/>
  <c r="L99" i="6"/>
  <c r="L100" i="6"/>
  <c r="L101" i="6"/>
  <c r="L102" i="6"/>
  <c r="L103" i="6"/>
  <c r="L104" i="6"/>
  <c r="L105" i="6"/>
  <c r="L106" i="6"/>
  <c r="L107" i="6"/>
  <c r="L108" i="6"/>
  <c r="L109" i="6"/>
  <c r="L110" i="6"/>
  <c r="L111" i="6"/>
  <c r="L112" i="6"/>
  <c r="L113" i="6"/>
  <c r="L114" i="6"/>
  <c r="L115" i="6"/>
  <c r="L116" i="6"/>
  <c r="L117" i="6"/>
  <c r="L118" i="6"/>
  <c r="L119" i="6"/>
  <c r="L120" i="6"/>
  <c r="L121" i="6"/>
  <c r="L122" i="6"/>
  <c r="L123" i="6"/>
  <c r="L124" i="6"/>
  <c r="L125" i="6"/>
  <c r="L126" i="6"/>
  <c r="L127" i="6"/>
  <c r="L128" i="6"/>
  <c r="L129" i="6"/>
  <c r="L130" i="6"/>
  <c r="L131" i="6"/>
  <c r="L132" i="6"/>
  <c r="L133" i="6"/>
  <c r="L134" i="6"/>
  <c r="L135" i="6"/>
  <c r="L136" i="6"/>
  <c r="L137" i="6"/>
  <c r="L138" i="6"/>
  <c r="L139" i="6"/>
  <c r="L140" i="6"/>
  <c r="L141" i="6"/>
  <c r="L142" i="6"/>
  <c r="L143" i="6"/>
  <c r="L144" i="6"/>
  <c r="L145" i="6"/>
  <c r="L146" i="6"/>
  <c r="L147" i="6"/>
  <c r="L148" i="6"/>
  <c r="L149" i="6"/>
  <c r="L150" i="6"/>
  <c r="L151" i="6"/>
  <c r="L152" i="6"/>
  <c r="L153" i="6"/>
  <c r="L154" i="6"/>
  <c r="L155" i="6"/>
  <c r="L156" i="6"/>
  <c r="L157" i="6"/>
  <c r="L158" i="6"/>
  <c r="L159" i="6"/>
  <c r="L160" i="6"/>
  <c r="L161" i="6"/>
  <c r="L162" i="6"/>
  <c r="L163" i="6"/>
  <c r="L164" i="6"/>
  <c r="L165" i="6"/>
  <c r="L166" i="6"/>
  <c r="L167" i="6"/>
  <c r="L168" i="6"/>
  <c r="L169" i="6"/>
  <c r="L170" i="6"/>
  <c r="L171" i="6"/>
  <c r="L172" i="6"/>
  <c r="L173" i="6"/>
  <c r="L174" i="6"/>
  <c r="L175" i="6"/>
  <c r="L176" i="6"/>
  <c r="L177" i="6"/>
  <c r="L178" i="6"/>
  <c r="L179" i="6"/>
  <c r="L180" i="6"/>
  <c r="L181" i="6"/>
  <c r="L182" i="6"/>
  <c r="L183" i="6"/>
  <c r="L184" i="6"/>
  <c r="L185" i="6"/>
  <c r="L186" i="6"/>
  <c r="L187" i="6"/>
  <c r="L188" i="6"/>
  <c r="L189" i="6"/>
  <c r="L190" i="6"/>
  <c r="L191" i="6"/>
  <c r="L192" i="6"/>
  <c r="L193" i="6"/>
  <c r="L194" i="6"/>
  <c r="L2" i="6"/>
  <c r="C3" i="6"/>
  <c r="E3" i="6" s="1"/>
  <c r="D3" i="6"/>
  <c r="C4" i="6"/>
  <c r="D4" i="6"/>
  <c r="E4" i="6"/>
  <c r="C5" i="6"/>
  <c r="D5" i="6"/>
  <c r="E5" i="6"/>
  <c r="C6" i="6"/>
  <c r="D6" i="6"/>
  <c r="E6" i="6"/>
  <c r="C7" i="6"/>
  <c r="E7" i="6" s="1"/>
  <c r="D7" i="6"/>
  <c r="C8" i="6"/>
  <c r="D8" i="6"/>
  <c r="E8" i="6"/>
  <c r="C9" i="6"/>
  <c r="D9" i="6"/>
  <c r="E9" i="6"/>
  <c r="C10" i="6"/>
  <c r="D10" i="6"/>
  <c r="E10" i="6"/>
  <c r="C11" i="6"/>
  <c r="E11" i="6" s="1"/>
  <c r="D11" i="6"/>
  <c r="C12" i="6"/>
  <c r="D12" i="6"/>
  <c r="E12" i="6"/>
  <c r="C13" i="6"/>
  <c r="D13" i="6"/>
  <c r="E13" i="6"/>
  <c r="C14" i="6"/>
  <c r="D14" i="6"/>
  <c r="E14" i="6"/>
  <c r="C15" i="6"/>
  <c r="E15" i="6" s="1"/>
  <c r="D15" i="6"/>
  <c r="C16" i="6"/>
  <c r="E16" i="6" s="1"/>
  <c r="D16" i="6"/>
  <c r="C17" i="6"/>
  <c r="D17" i="6"/>
  <c r="E17" i="6"/>
  <c r="C18" i="6"/>
  <c r="D18" i="6"/>
  <c r="E18" i="6"/>
  <c r="C19" i="6"/>
  <c r="E19" i="6" s="1"/>
  <c r="D19" i="6"/>
  <c r="C20" i="6"/>
  <c r="D20" i="6"/>
  <c r="C21" i="6"/>
  <c r="D21" i="6"/>
  <c r="E21" i="6"/>
  <c r="C22" i="6"/>
  <c r="D22" i="6"/>
  <c r="E22" i="6"/>
  <c r="C23" i="6"/>
  <c r="E23" i="6" s="1"/>
  <c r="D23" i="6"/>
  <c r="C24" i="6"/>
  <c r="D24" i="6"/>
  <c r="E24" i="6"/>
  <c r="C25" i="6"/>
  <c r="D25" i="6"/>
  <c r="E25" i="6"/>
  <c r="C26" i="6"/>
  <c r="D26" i="6"/>
  <c r="E26" i="6"/>
  <c r="C27" i="6"/>
  <c r="E27" i="6" s="1"/>
  <c r="D27" i="6"/>
  <c r="C28" i="6"/>
  <c r="D28" i="6"/>
  <c r="E28" i="6"/>
  <c r="C29" i="6"/>
  <c r="E29" i="6" s="1"/>
  <c r="D29" i="6"/>
  <c r="C30" i="6"/>
  <c r="D30" i="6"/>
  <c r="E30" i="6"/>
  <c r="C31" i="6"/>
  <c r="E31" i="6" s="1"/>
  <c r="D31" i="6"/>
  <c r="C32" i="6"/>
  <c r="D32" i="6"/>
  <c r="E32" i="6"/>
  <c r="C33" i="6"/>
  <c r="D33" i="6"/>
  <c r="C34" i="6"/>
  <c r="D34" i="6"/>
  <c r="E34" i="6"/>
  <c r="C35" i="6"/>
  <c r="E35" i="6" s="1"/>
  <c r="D35" i="6"/>
  <c r="C36" i="6"/>
  <c r="D36" i="6"/>
  <c r="E36" i="6"/>
  <c r="C37" i="6"/>
  <c r="D37" i="6"/>
  <c r="E37" i="6"/>
  <c r="C38" i="6"/>
  <c r="D38" i="6"/>
  <c r="E38" i="6"/>
  <c r="C39" i="6"/>
  <c r="E39" i="6" s="1"/>
  <c r="D39" i="6"/>
  <c r="C40" i="6"/>
  <c r="D40" i="6"/>
  <c r="E40" i="6"/>
  <c r="C41" i="6"/>
  <c r="D41" i="6"/>
  <c r="E41" i="6"/>
  <c r="C42" i="6"/>
  <c r="E42" i="6" s="1"/>
  <c r="D42" i="6"/>
  <c r="C43" i="6"/>
  <c r="E43" i="6" s="1"/>
  <c r="D43" i="6"/>
  <c r="C44" i="6"/>
  <c r="E44" i="6" s="1"/>
  <c r="D44" i="6"/>
  <c r="C45" i="6"/>
  <c r="D45" i="6"/>
  <c r="E45" i="6"/>
  <c r="C46" i="6"/>
  <c r="D46" i="6"/>
  <c r="C47" i="6"/>
  <c r="D47" i="6"/>
  <c r="C48" i="6"/>
  <c r="D48" i="6"/>
  <c r="E48" i="6"/>
  <c r="C49" i="6"/>
  <c r="D49" i="6"/>
  <c r="E49" i="6"/>
  <c r="C50" i="6"/>
  <c r="D50" i="6"/>
  <c r="E50" i="6"/>
  <c r="C51" i="6"/>
  <c r="E51" i="6" s="1"/>
  <c r="D51" i="6"/>
  <c r="C52" i="6"/>
  <c r="D52" i="6"/>
  <c r="E52" i="6"/>
  <c r="C53" i="6"/>
  <c r="E53" i="6" s="1"/>
  <c r="D53" i="6"/>
  <c r="C54" i="6"/>
  <c r="D54" i="6"/>
  <c r="E54" i="6"/>
  <c r="C55" i="6"/>
  <c r="E55" i="6" s="1"/>
  <c r="D55" i="6"/>
  <c r="C56" i="6"/>
  <c r="D56" i="6"/>
  <c r="E56" i="6"/>
  <c r="C57" i="6"/>
  <c r="D57" i="6"/>
  <c r="C58" i="6"/>
  <c r="D58" i="6"/>
  <c r="E58" i="6"/>
  <c r="C59" i="6"/>
  <c r="D59" i="6"/>
  <c r="C60" i="6"/>
  <c r="D60" i="6"/>
  <c r="E60" i="6"/>
  <c r="C61" i="6"/>
  <c r="D61" i="6"/>
  <c r="E61" i="6"/>
  <c r="C62" i="6"/>
  <c r="D62" i="6"/>
  <c r="E62" i="6"/>
  <c r="C63" i="6"/>
  <c r="D63" i="6"/>
  <c r="C64" i="6"/>
  <c r="E64" i="6" s="1"/>
  <c r="D64" i="6"/>
  <c r="C65" i="6"/>
  <c r="D65" i="6"/>
  <c r="E65" i="6"/>
  <c r="C66" i="6"/>
  <c r="D66" i="6"/>
  <c r="C67" i="6"/>
  <c r="D67" i="6"/>
  <c r="C68" i="6"/>
  <c r="D68" i="6"/>
  <c r="C69" i="6"/>
  <c r="D69" i="6"/>
  <c r="E69" i="6"/>
  <c r="C70" i="6"/>
  <c r="D70" i="6"/>
  <c r="E70" i="6"/>
  <c r="C71" i="6"/>
  <c r="E71" i="6" s="1"/>
  <c r="D71" i="6"/>
  <c r="C72" i="6"/>
  <c r="D72" i="6"/>
  <c r="E72" i="6"/>
  <c r="C73" i="6"/>
  <c r="D73" i="6"/>
  <c r="E73" i="6"/>
  <c r="C74" i="6"/>
  <c r="D74" i="6"/>
  <c r="E74" i="6"/>
  <c r="C75" i="6"/>
  <c r="D75" i="6"/>
  <c r="C76" i="6"/>
  <c r="D76" i="6"/>
  <c r="E76" i="6"/>
  <c r="C77" i="6"/>
  <c r="E77" i="6" s="1"/>
  <c r="D77" i="6"/>
  <c r="C78" i="6"/>
  <c r="D78" i="6"/>
  <c r="E78" i="6"/>
  <c r="C79" i="6"/>
  <c r="D79" i="6"/>
  <c r="C80" i="6"/>
  <c r="D80" i="6"/>
  <c r="C81" i="6"/>
  <c r="D81" i="6"/>
  <c r="C82" i="6"/>
  <c r="D82" i="6"/>
  <c r="E82" i="6"/>
  <c r="C83" i="6"/>
  <c r="D83" i="6"/>
  <c r="C84" i="6"/>
  <c r="D84" i="6"/>
  <c r="E84" i="6"/>
  <c r="C85" i="6"/>
  <c r="E85" i="6" s="1"/>
  <c r="D85" i="6"/>
  <c r="C86" i="6"/>
  <c r="D86" i="6"/>
  <c r="E86" i="6"/>
  <c r="C87" i="6"/>
  <c r="D87" i="6"/>
  <c r="C88" i="6"/>
  <c r="D88" i="6"/>
  <c r="E88" i="6"/>
  <c r="C89" i="6"/>
  <c r="D89" i="6"/>
  <c r="C90" i="6"/>
  <c r="E90" i="6" s="1"/>
  <c r="D90" i="6"/>
  <c r="C91" i="6"/>
  <c r="D91" i="6"/>
  <c r="C92" i="6"/>
  <c r="D92" i="6"/>
  <c r="E92" i="6"/>
  <c r="C93" i="6"/>
  <c r="D93" i="6"/>
  <c r="E93" i="6"/>
  <c r="C94" i="6"/>
  <c r="E94" i="6" s="1"/>
  <c r="D94" i="6"/>
  <c r="C95" i="6"/>
  <c r="D95" i="6"/>
  <c r="C96" i="6"/>
  <c r="D96" i="6"/>
  <c r="E96" i="6"/>
  <c r="C97" i="6"/>
  <c r="D97" i="6"/>
  <c r="E97" i="6"/>
  <c r="C98" i="6"/>
  <c r="D98" i="6"/>
  <c r="E98" i="6"/>
  <c r="C99" i="6"/>
  <c r="E99" i="6" s="1"/>
  <c r="D99" i="6"/>
  <c r="C100" i="6"/>
  <c r="D100" i="6"/>
  <c r="E100" i="6"/>
  <c r="C101" i="6"/>
  <c r="D101" i="6"/>
  <c r="E101" i="6"/>
  <c r="C102" i="6"/>
  <c r="D102" i="6"/>
  <c r="E102" i="6"/>
  <c r="C103" i="6"/>
  <c r="E103" i="6" s="1"/>
  <c r="D103" i="6"/>
  <c r="C104" i="6"/>
  <c r="D104" i="6"/>
  <c r="E104" i="6"/>
  <c r="C105" i="6"/>
  <c r="D105" i="6"/>
  <c r="E105" i="6"/>
  <c r="C106" i="6"/>
  <c r="D106" i="6"/>
  <c r="E106" i="6"/>
  <c r="C107" i="6"/>
  <c r="D107" i="6"/>
  <c r="C108" i="6"/>
  <c r="D108" i="6"/>
  <c r="E108" i="6"/>
  <c r="C109" i="6"/>
  <c r="D109" i="6"/>
  <c r="E109" i="6"/>
  <c r="C110" i="6"/>
  <c r="D110" i="6"/>
  <c r="E110" i="6"/>
  <c r="C111" i="6"/>
  <c r="D111" i="6"/>
  <c r="C112" i="6"/>
  <c r="E112" i="6" s="1"/>
  <c r="D112" i="6"/>
  <c r="C113" i="6"/>
  <c r="D113" i="6"/>
  <c r="E113" i="6"/>
  <c r="C114" i="6"/>
  <c r="D114" i="6"/>
  <c r="E114" i="6"/>
  <c r="C115" i="6"/>
  <c r="D115" i="6"/>
  <c r="C116" i="6"/>
  <c r="D116" i="6"/>
  <c r="C117" i="6"/>
  <c r="D117" i="6"/>
  <c r="E117" i="6"/>
  <c r="C118" i="6"/>
  <c r="D118" i="6"/>
  <c r="E118" i="6"/>
  <c r="C119" i="6"/>
  <c r="D119" i="6"/>
  <c r="C120" i="6"/>
  <c r="D120" i="6"/>
  <c r="E120" i="6"/>
  <c r="C121" i="6"/>
  <c r="D121" i="6"/>
  <c r="E121" i="6"/>
  <c r="C122" i="6"/>
  <c r="D122" i="6"/>
  <c r="E122" i="6"/>
  <c r="C123" i="6"/>
  <c r="D123" i="6"/>
  <c r="C124" i="6"/>
  <c r="D124" i="6"/>
  <c r="E124" i="6"/>
  <c r="C125" i="6"/>
  <c r="E125" i="6" s="1"/>
  <c r="D125" i="6"/>
  <c r="C126" i="6"/>
  <c r="D126" i="6"/>
  <c r="E126" i="6"/>
  <c r="C127" i="6"/>
  <c r="D127" i="6"/>
  <c r="C128" i="6"/>
  <c r="D128" i="6"/>
  <c r="E128" i="6"/>
  <c r="C129" i="6"/>
  <c r="D129" i="6"/>
  <c r="C130" i="6"/>
  <c r="D130" i="6"/>
  <c r="E130" i="6"/>
  <c r="C131" i="6"/>
  <c r="D131" i="6"/>
  <c r="C132" i="6"/>
  <c r="D132" i="6"/>
  <c r="E132" i="6"/>
  <c r="C133" i="6"/>
  <c r="D133" i="6"/>
  <c r="E133" i="6"/>
  <c r="C134" i="6"/>
  <c r="D134" i="6"/>
  <c r="E134" i="6"/>
  <c r="C135" i="6"/>
  <c r="E135" i="6" s="1"/>
  <c r="D135" i="6"/>
  <c r="C136" i="6"/>
  <c r="D136" i="6"/>
  <c r="E136" i="6"/>
  <c r="C137" i="6"/>
  <c r="D137" i="6"/>
  <c r="E137" i="6"/>
  <c r="C138" i="6"/>
  <c r="E138" i="6" s="1"/>
  <c r="D138" i="6"/>
  <c r="C139" i="6"/>
  <c r="D139" i="6"/>
  <c r="C140" i="6"/>
  <c r="E140" i="6" s="1"/>
  <c r="D140" i="6"/>
  <c r="C141" i="6"/>
  <c r="D141" i="6"/>
  <c r="E141" i="6"/>
  <c r="C142" i="6"/>
  <c r="D142" i="6"/>
  <c r="C143" i="6"/>
  <c r="D143" i="6"/>
  <c r="C144" i="6"/>
  <c r="D144" i="6"/>
  <c r="E144" i="6"/>
  <c r="C145" i="6"/>
  <c r="D145" i="6"/>
  <c r="E145" i="6"/>
  <c r="C146" i="6"/>
  <c r="D146" i="6"/>
  <c r="E146" i="6"/>
  <c r="C147" i="6"/>
  <c r="E147" i="6" s="1"/>
  <c r="D147" i="6"/>
  <c r="C148" i="6"/>
  <c r="D148" i="6"/>
  <c r="E148" i="6"/>
  <c r="C149" i="6"/>
  <c r="E149" i="6" s="1"/>
  <c r="D149" i="6"/>
  <c r="C150" i="6"/>
  <c r="D150" i="6"/>
  <c r="E150" i="6"/>
  <c r="C151" i="6"/>
  <c r="E151" i="6" s="1"/>
  <c r="D151" i="6"/>
  <c r="C152" i="6"/>
  <c r="D152" i="6"/>
  <c r="E152" i="6"/>
  <c r="C153" i="6"/>
  <c r="D153" i="6"/>
  <c r="C154" i="6"/>
  <c r="D154" i="6"/>
  <c r="E154" i="6"/>
  <c r="C155" i="6"/>
  <c r="D155" i="6"/>
  <c r="C156" i="6"/>
  <c r="D156" i="6"/>
  <c r="E156" i="6"/>
  <c r="C157" i="6"/>
  <c r="D157" i="6"/>
  <c r="E157" i="6"/>
  <c r="C158" i="6"/>
  <c r="D158" i="6"/>
  <c r="E158" i="6"/>
  <c r="C159" i="6"/>
  <c r="D159" i="6"/>
  <c r="C160" i="6"/>
  <c r="E160" i="6" s="1"/>
  <c r="D160" i="6"/>
  <c r="C161" i="6"/>
  <c r="D161" i="6"/>
  <c r="E161" i="6"/>
  <c r="C162" i="6"/>
  <c r="E162" i="6" s="1"/>
  <c r="D162" i="6"/>
  <c r="C163" i="6"/>
  <c r="D163" i="6"/>
  <c r="C164" i="6"/>
  <c r="D164" i="6"/>
  <c r="C165" i="6"/>
  <c r="D165" i="6"/>
  <c r="E165" i="6"/>
  <c r="C166" i="6"/>
  <c r="D166" i="6"/>
  <c r="E166" i="6"/>
  <c r="C167" i="6"/>
  <c r="E167" i="6" s="1"/>
  <c r="D167" i="6"/>
  <c r="C168" i="6"/>
  <c r="D168" i="6"/>
  <c r="E168" i="6"/>
  <c r="C169" i="6"/>
  <c r="D169" i="6"/>
  <c r="E169" i="6"/>
  <c r="C170" i="6"/>
  <c r="D170" i="6"/>
  <c r="E170" i="6"/>
  <c r="C171" i="6"/>
  <c r="D171" i="6"/>
  <c r="C172" i="6"/>
  <c r="D172" i="6"/>
  <c r="E172" i="6"/>
  <c r="C173" i="6"/>
  <c r="E173" i="6" s="1"/>
  <c r="D173" i="6"/>
  <c r="C174" i="6"/>
  <c r="D174" i="6"/>
  <c r="E174" i="6"/>
  <c r="C175" i="6"/>
  <c r="D175" i="6"/>
  <c r="C176" i="6"/>
  <c r="E176" i="6" s="1"/>
  <c r="D176" i="6"/>
  <c r="C177" i="6"/>
  <c r="D177" i="6"/>
  <c r="C178" i="6"/>
  <c r="D178" i="6"/>
  <c r="E178" i="6"/>
  <c r="C179" i="6"/>
  <c r="D179" i="6"/>
  <c r="C180" i="6"/>
  <c r="D180" i="6"/>
  <c r="E180" i="6"/>
  <c r="C181" i="6"/>
  <c r="E181" i="6" s="1"/>
  <c r="D181" i="6"/>
  <c r="C182" i="6"/>
  <c r="D182" i="6"/>
  <c r="E182" i="6"/>
  <c r="C183" i="6"/>
  <c r="D183" i="6"/>
  <c r="C184" i="6"/>
  <c r="D184" i="6"/>
  <c r="E184" i="6"/>
  <c r="C185" i="6"/>
  <c r="D185" i="6"/>
  <c r="C186" i="6"/>
  <c r="E186" i="6" s="1"/>
  <c r="D186" i="6"/>
  <c r="C187" i="6"/>
  <c r="D187" i="6"/>
  <c r="C188" i="6"/>
  <c r="D188" i="6"/>
  <c r="E188" i="6"/>
  <c r="C189" i="6"/>
  <c r="D189" i="6"/>
  <c r="E189" i="6"/>
  <c r="C190" i="6"/>
  <c r="E190" i="6" s="1"/>
  <c r="D190" i="6"/>
  <c r="C191" i="6"/>
  <c r="D191" i="6"/>
  <c r="C192" i="6"/>
  <c r="D192" i="6"/>
  <c r="E192" i="6"/>
  <c r="C193" i="6"/>
  <c r="D193" i="6"/>
  <c r="E193" i="6"/>
  <c r="C194" i="6"/>
  <c r="D194" i="6"/>
  <c r="E194" i="6"/>
  <c r="C195" i="6"/>
  <c r="E195" i="6" s="1"/>
  <c r="D195" i="6"/>
  <c r="C196" i="6"/>
  <c r="D196" i="6"/>
  <c r="E196" i="6"/>
  <c r="C197" i="6"/>
  <c r="D197" i="6"/>
  <c r="E197" i="6"/>
  <c r="C198" i="6"/>
  <c r="D198" i="6"/>
  <c r="E198" i="6"/>
  <c r="C199" i="6"/>
  <c r="E199" i="6" s="1"/>
  <c r="D199" i="6"/>
  <c r="C200" i="6"/>
  <c r="D200" i="6"/>
  <c r="E200" i="6"/>
  <c r="C201" i="6"/>
  <c r="D201" i="6"/>
  <c r="E201" i="6"/>
  <c r="C202" i="6"/>
  <c r="D202" i="6"/>
  <c r="E202" i="6"/>
  <c r="C203" i="6"/>
  <c r="D203" i="6"/>
  <c r="C204" i="6"/>
  <c r="D204" i="6"/>
  <c r="E204" i="6"/>
  <c r="C205" i="6"/>
  <c r="D205" i="6"/>
  <c r="E205" i="6"/>
  <c r="C206" i="6"/>
  <c r="D206" i="6"/>
  <c r="E206" i="6"/>
  <c r="C207" i="6"/>
  <c r="D207" i="6"/>
  <c r="C208" i="6"/>
  <c r="E208" i="6" s="1"/>
  <c r="D208" i="6"/>
  <c r="C209" i="6"/>
  <c r="D209" i="6"/>
  <c r="E209" i="6"/>
  <c r="C210" i="6"/>
  <c r="D210" i="6"/>
  <c r="E210" i="6"/>
  <c r="C211" i="6"/>
  <c r="D211" i="6"/>
  <c r="C212" i="6"/>
  <c r="D212" i="6"/>
  <c r="C213" i="6"/>
  <c r="D213" i="6"/>
  <c r="E213" i="6"/>
  <c r="C214" i="6"/>
  <c r="D214" i="6"/>
  <c r="E214" i="6"/>
  <c r="C215" i="6"/>
  <c r="D215" i="6"/>
  <c r="C216" i="6"/>
  <c r="D216" i="6"/>
  <c r="E216" i="6"/>
  <c r="C217" i="6"/>
  <c r="D217" i="6"/>
  <c r="E217" i="6"/>
  <c r="C218" i="6"/>
  <c r="D218" i="6"/>
  <c r="E218" i="6"/>
  <c r="C219" i="6"/>
  <c r="D219" i="6"/>
  <c r="C220" i="6"/>
  <c r="D220" i="6"/>
  <c r="E220" i="6"/>
  <c r="C221" i="6"/>
  <c r="E221" i="6" s="1"/>
  <c r="D221" i="6"/>
  <c r="C222" i="6"/>
  <c r="D222" i="6"/>
  <c r="E222" i="6"/>
  <c r="C223" i="6"/>
  <c r="D223" i="6"/>
  <c r="C224" i="6"/>
  <c r="D224" i="6"/>
  <c r="E224" i="6"/>
  <c r="C225" i="6"/>
  <c r="D225" i="6"/>
  <c r="C226" i="6"/>
  <c r="D226" i="6"/>
  <c r="E226" i="6"/>
  <c r="C227" i="6"/>
  <c r="D227" i="6"/>
  <c r="C228" i="6"/>
  <c r="D228" i="6"/>
  <c r="E228" i="6"/>
  <c r="C229" i="6"/>
  <c r="D229" i="6"/>
  <c r="E229" i="6"/>
  <c r="C230" i="6"/>
  <c r="D230" i="6"/>
  <c r="E230" i="6"/>
  <c r="C231" i="6"/>
  <c r="E231" i="6" s="1"/>
  <c r="D231" i="6"/>
  <c r="C232" i="6"/>
  <c r="D232" i="6"/>
  <c r="E232" i="6"/>
  <c r="C233" i="6"/>
  <c r="D233" i="6"/>
  <c r="E233" i="6"/>
  <c r="C234" i="6"/>
  <c r="E234" i="6" s="1"/>
  <c r="D234" i="6"/>
  <c r="C235" i="6"/>
  <c r="D235" i="6"/>
  <c r="C236" i="6"/>
  <c r="E236" i="6" s="1"/>
  <c r="D236" i="6"/>
  <c r="C237" i="6"/>
  <c r="D237" i="6"/>
  <c r="E237" i="6"/>
  <c r="C238" i="6"/>
  <c r="D238" i="6"/>
  <c r="C239" i="6"/>
  <c r="D239" i="6"/>
  <c r="C240" i="6"/>
  <c r="D240" i="6"/>
  <c r="E240" i="6"/>
  <c r="C241" i="6"/>
  <c r="D241" i="6"/>
  <c r="E241" i="6"/>
  <c r="C242" i="6"/>
  <c r="D242" i="6"/>
  <c r="E242" i="6"/>
  <c r="C243" i="6"/>
  <c r="E243" i="6" s="1"/>
  <c r="D243" i="6"/>
  <c r="C244" i="6"/>
  <c r="D244" i="6"/>
  <c r="E244" i="6"/>
  <c r="C245" i="6"/>
  <c r="E245" i="6" s="1"/>
  <c r="D245" i="6"/>
  <c r="C246" i="6"/>
  <c r="D246" i="6"/>
  <c r="E246" i="6"/>
  <c r="C247" i="6"/>
  <c r="E247" i="6" s="1"/>
  <c r="D247" i="6"/>
  <c r="C248" i="6"/>
  <c r="D248" i="6"/>
  <c r="E248" i="6"/>
  <c r="C249" i="6"/>
  <c r="D249" i="6"/>
  <c r="C250" i="6"/>
  <c r="D250" i="6"/>
  <c r="E250" i="6"/>
  <c r="C251" i="6"/>
  <c r="D251" i="6"/>
  <c r="C252" i="6"/>
  <c r="D252" i="6"/>
  <c r="E252" i="6"/>
  <c r="C253" i="6"/>
  <c r="D253" i="6"/>
  <c r="E253" i="6"/>
  <c r="C254" i="6"/>
  <c r="D254" i="6"/>
  <c r="E254" i="6"/>
  <c r="C255" i="6"/>
  <c r="D255" i="6"/>
  <c r="C256" i="6"/>
  <c r="E256" i="6" s="1"/>
  <c r="D256" i="6"/>
  <c r="C257" i="6"/>
  <c r="D257" i="6"/>
  <c r="E257" i="6"/>
  <c r="C258" i="6"/>
  <c r="D258" i="6"/>
  <c r="C259" i="6"/>
  <c r="D259" i="6"/>
  <c r="C260" i="6"/>
  <c r="D260" i="6"/>
  <c r="C261" i="6"/>
  <c r="D261" i="6"/>
  <c r="E261" i="6"/>
  <c r="C262" i="6"/>
  <c r="D262" i="6"/>
  <c r="E262" i="6"/>
  <c r="C263" i="6"/>
  <c r="E263" i="6" s="1"/>
  <c r="D263" i="6"/>
  <c r="C264" i="6"/>
  <c r="D264" i="6"/>
  <c r="E264" i="6"/>
  <c r="C265" i="6"/>
  <c r="D265" i="6"/>
  <c r="E265" i="6"/>
  <c r="C266" i="6"/>
  <c r="D266" i="6"/>
  <c r="E266" i="6"/>
  <c r="C267" i="6"/>
  <c r="D267" i="6"/>
  <c r="C268" i="6"/>
  <c r="D268" i="6"/>
  <c r="E268" i="6"/>
  <c r="C269" i="6"/>
  <c r="E269" i="6" s="1"/>
  <c r="D269" i="6"/>
  <c r="C270" i="6"/>
  <c r="D270" i="6"/>
  <c r="E270" i="6"/>
  <c r="C271" i="6"/>
  <c r="D271" i="6"/>
  <c r="C272" i="6"/>
  <c r="D272" i="6"/>
  <c r="C273" i="6"/>
  <c r="D273" i="6"/>
  <c r="C274" i="6"/>
  <c r="D274" i="6"/>
  <c r="E274" i="6"/>
  <c r="C275" i="6"/>
  <c r="D275" i="6"/>
  <c r="C276" i="6"/>
  <c r="D276" i="6"/>
  <c r="E276" i="6"/>
  <c r="C277" i="6"/>
  <c r="E277" i="6" s="1"/>
  <c r="D277" i="6"/>
  <c r="C278" i="6"/>
  <c r="D278" i="6"/>
  <c r="E278" i="6"/>
  <c r="C279" i="6"/>
  <c r="D279" i="6"/>
  <c r="C280" i="6"/>
  <c r="D280" i="6"/>
  <c r="E280" i="6"/>
  <c r="C281" i="6"/>
  <c r="D281" i="6"/>
  <c r="C282" i="6"/>
  <c r="E282" i="6" s="1"/>
  <c r="D282" i="6"/>
  <c r="C283" i="6"/>
  <c r="D283" i="6"/>
  <c r="C284" i="6"/>
  <c r="D284" i="6"/>
  <c r="E284" i="6"/>
  <c r="C285" i="6"/>
  <c r="D285" i="6"/>
  <c r="E285" i="6"/>
  <c r="C286" i="6"/>
  <c r="E286" i="6" s="1"/>
  <c r="D286" i="6"/>
  <c r="C287" i="6"/>
  <c r="D287" i="6"/>
  <c r="C288" i="6"/>
  <c r="D288" i="6"/>
  <c r="E288" i="6"/>
  <c r="C289" i="6"/>
  <c r="D289" i="6"/>
  <c r="E289" i="6"/>
  <c r="C290" i="6"/>
  <c r="D290" i="6"/>
  <c r="E290" i="6"/>
  <c r="C291" i="6"/>
  <c r="E291" i="6" s="1"/>
  <c r="D291" i="6"/>
  <c r="C292" i="6"/>
  <c r="D292" i="6"/>
  <c r="E292" i="6"/>
  <c r="C293" i="6"/>
  <c r="D293" i="6"/>
  <c r="E293" i="6"/>
  <c r="C294" i="6"/>
  <c r="D294" i="6"/>
  <c r="E294" i="6"/>
  <c r="C295" i="6"/>
  <c r="E295" i="6" s="1"/>
  <c r="D295" i="6"/>
  <c r="C296" i="6"/>
  <c r="D296" i="6"/>
  <c r="E296" i="6"/>
  <c r="C297" i="6"/>
  <c r="D297" i="6"/>
  <c r="E297" i="6"/>
  <c r="C298" i="6"/>
  <c r="D298" i="6"/>
  <c r="E298" i="6"/>
  <c r="C299" i="6"/>
  <c r="D299" i="6"/>
  <c r="C300" i="6"/>
  <c r="D300" i="6"/>
  <c r="E300" i="6"/>
  <c r="C301" i="6"/>
  <c r="D301" i="6"/>
  <c r="E301" i="6"/>
  <c r="C302" i="6"/>
  <c r="D302" i="6"/>
  <c r="E302" i="6"/>
  <c r="C303" i="6"/>
  <c r="D303" i="6"/>
  <c r="C304" i="6"/>
  <c r="E304" i="6" s="1"/>
  <c r="D304" i="6"/>
  <c r="C305" i="6"/>
  <c r="D305" i="6"/>
  <c r="E305" i="6"/>
  <c r="C306" i="6"/>
  <c r="D306" i="6"/>
  <c r="E306" i="6"/>
  <c r="C307" i="6"/>
  <c r="D307" i="6"/>
  <c r="C308" i="6"/>
  <c r="D308" i="6"/>
  <c r="C309" i="6"/>
  <c r="D309" i="6"/>
  <c r="E309" i="6"/>
  <c r="C310" i="6"/>
  <c r="D310" i="6"/>
  <c r="E310" i="6"/>
  <c r="C311" i="6"/>
  <c r="D311" i="6"/>
  <c r="C312" i="6"/>
  <c r="D312" i="6"/>
  <c r="E312" i="6"/>
  <c r="C313" i="6"/>
  <c r="D313" i="6"/>
  <c r="E313" i="6"/>
  <c r="C314" i="6"/>
  <c r="D314" i="6"/>
  <c r="E314" i="6"/>
  <c r="C315" i="6"/>
  <c r="D315" i="6"/>
  <c r="C316" i="6"/>
  <c r="D316" i="6"/>
  <c r="E316" i="6"/>
  <c r="C317" i="6"/>
  <c r="E317" i="6" s="1"/>
  <c r="D317" i="6"/>
  <c r="C318" i="6"/>
  <c r="D318" i="6"/>
  <c r="E318" i="6"/>
  <c r="C319" i="6"/>
  <c r="D319" i="6"/>
  <c r="C320" i="6"/>
  <c r="D320" i="6"/>
  <c r="E320" i="6"/>
  <c r="C321" i="6"/>
  <c r="D321" i="6"/>
  <c r="C322" i="6"/>
  <c r="D322" i="6"/>
  <c r="E322" i="6"/>
  <c r="C323" i="6"/>
  <c r="D323" i="6"/>
  <c r="C324" i="6"/>
  <c r="D324" i="6"/>
  <c r="E324" i="6"/>
  <c r="C325" i="6"/>
  <c r="D325" i="6"/>
  <c r="E325" i="6"/>
  <c r="C326" i="6"/>
  <c r="D326" i="6"/>
  <c r="E326" i="6"/>
  <c r="C327" i="6"/>
  <c r="E327" i="6" s="1"/>
  <c r="D327" i="6"/>
  <c r="C328" i="6"/>
  <c r="D328" i="6"/>
  <c r="E328" i="6"/>
  <c r="C329" i="6"/>
  <c r="D329" i="6"/>
  <c r="E329" i="6"/>
  <c r="C330" i="6"/>
  <c r="E330" i="6" s="1"/>
  <c r="D330" i="6"/>
  <c r="C331" i="6"/>
  <c r="D331" i="6"/>
  <c r="C332" i="6"/>
  <c r="E332" i="6" s="1"/>
  <c r="D332" i="6"/>
  <c r="C333" i="6"/>
  <c r="D333" i="6"/>
  <c r="E333" i="6"/>
  <c r="C334" i="6"/>
  <c r="D334" i="6"/>
  <c r="C335" i="6"/>
  <c r="D335" i="6"/>
  <c r="C336" i="6"/>
  <c r="D336" i="6"/>
  <c r="E336" i="6" s="1"/>
  <c r="C337" i="6"/>
  <c r="D337" i="6"/>
  <c r="E337" i="6"/>
  <c r="C338" i="6"/>
  <c r="D338" i="6"/>
  <c r="E338" i="6"/>
  <c r="C339" i="6"/>
  <c r="E339" i="6" s="1"/>
  <c r="D339" i="6"/>
  <c r="C340" i="6"/>
  <c r="D340" i="6"/>
  <c r="E340" i="6"/>
  <c r="C341" i="6"/>
  <c r="E341" i="6" s="1"/>
  <c r="D341" i="6"/>
  <c r="C342" i="6"/>
  <c r="D342" i="6"/>
  <c r="E342" i="6"/>
  <c r="C343" i="6"/>
  <c r="E343" i="6" s="1"/>
  <c r="D343" i="6"/>
  <c r="C344" i="6"/>
  <c r="D344" i="6"/>
  <c r="E344" i="6"/>
  <c r="C345" i="6"/>
  <c r="E345" i="6" s="1"/>
  <c r="D345" i="6"/>
  <c r="C346" i="6"/>
  <c r="D346" i="6"/>
  <c r="E346" i="6"/>
  <c r="C347" i="6"/>
  <c r="E347" i="6" s="1"/>
  <c r="D347" i="6"/>
  <c r="C348" i="6"/>
  <c r="D348" i="6"/>
  <c r="E348" i="6"/>
  <c r="C349" i="6"/>
  <c r="D349" i="6"/>
  <c r="E349" i="6"/>
  <c r="C350" i="6"/>
  <c r="D350" i="6"/>
  <c r="E350" i="6"/>
  <c r="C351" i="6"/>
  <c r="E351" i="6" s="1"/>
  <c r="D351" i="6"/>
  <c r="C352" i="6"/>
  <c r="D352" i="6"/>
  <c r="E352" i="6"/>
  <c r="C353" i="6"/>
  <c r="D353" i="6"/>
  <c r="E353" i="6"/>
  <c r="C354" i="6"/>
  <c r="E354" i="6" s="1"/>
  <c r="D354" i="6"/>
  <c r="C355" i="6"/>
  <c r="E355" i="6" s="1"/>
  <c r="D355" i="6"/>
  <c r="C356" i="6"/>
  <c r="D356" i="6"/>
  <c r="E356" i="6"/>
  <c r="C357" i="6"/>
  <c r="D357" i="6"/>
  <c r="E357" i="6"/>
  <c r="C358" i="6"/>
  <c r="D358" i="6"/>
  <c r="C359" i="6"/>
  <c r="E359" i="6" s="1"/>
  <c r="D359" i="6"/>
  <c r="C360" i="6"/>
  <c r="D360" i="6"/>
  <c r="E360" i="6"/>
  <c r="C361" i="6"/>
  <c r="D361" i="6"/>
  <c r="E361" i="6"/>
  <c r="C362" i="6"/>
  <c r="D362" i="6"/>
  <c r="E362" i="6"/>
  <c r="C363" i="6"/>
  <c r="E363" i="6" s="1"/>
  <c r="D363" i="6"/>
  <c r="C364" i="6"/>
  <c r="D364" i="6"/>
  <c r="E364" i="6"/>
  <c r="C365" i="6"/>
  <c r="D365" i="6"/>
  <c r="E365" i="6"/>
  <c r="C366" i="6"/>
  <c r="D366" i="6"/>
  <c r="E366" i="6"/>
  <c r="C367" i="6"/>
  <c r="E367" i="6" s="1"/>
  <c r="D367" i="6"/>
  <c r="C368" i="6"/>
  <c r="D368" i="6"/>
  <c r="E368" i="6"/>
  <c r="C369" i="6"/>
  <c r="D369" i="6"/>
  <c r="E369" i="6"/>
  <c r="C370" i="6"/>
  <c r="D370" i="6"/>
  <c r="E370" i="6"/>
  <c r="C371" i="6"/>
  <c r="D371" i="6"/>
  <c r="C372" i="6"/>
  <c r="D372" i="6"/>
  <c r="E372" i="6"/>
  <c r="C373" i="6"/>
  <c r="D373" i="6"/>
  <c r="E373" i="6"/>
  <c r="C374" i="6"/>
  <c r="D374" i="6"/>
  <c r="E374" i="6"/>
  <c r="C375" i="6"/>
  <c r="D375" i="6"/>
  <c r="C376" i="6"/>
  <c r="E376" i="6" s="1"/>
  <c r="D376" i="6"/>
  <c r="C377" i="6"/>
  <c r="D377" i="6"/>
  <c r="E377" i="6"/>
  <c r="C378" i="6"/>
  <c r="D378" i="6"/>
  <c r="E378" i="6"/>
  <c r="C379" i="6"/>
  <c r="D379" i="6"/>
  <c r="C380" i="6"/>
  <c r="D380" i="6"/>
  <c r="C381" i="6"/>
  <c r="D381" i="6"/>
  <c r="E381" i="6"/>
  <c r="C382" i="6"/>
  <c r="D382" i="6"/>
  <c r="E382" i="6"/>
  <c r="C383" i="6"/>
  <c r="D383" i="6"/>
  <c r="C384" i="6"/>
  <c r="D384" i="6"/>
  <c r="E384" i="6"/>
  <c r="C385" i="6"/>
  <c r="D385" i="6"/>
  <c r="E385" i="6"/>
  <c r="C386" i="6"/>
  <c r="D386" i="6"/>
  <c r="E386" i="6"/>
  <c r="C387" i="6"/>
  <c r="D387" i="6"/>
  <c r="C388" i="6"/>
  <c r="D388" i="6"/>
  <c r="E388" i="6"/>
  <c r="C389" i="6"/>
  <c r="E389" i="6" s="1"/>
  <c r="D389" i="6"/>
  <c r="C390" i="6"/>
  <c r="D390" i="6"/>
  <c r="E390" i="6"/>
  <c r="C391" i="6"/>
  <c r="D391" i="6"/>
  <c r="C392" i="6"/>
  <c r="D392" i="6"/>
  <c r="E392" i="6"/>
  <c r="C393" i="6"/>
  <c r="D393" i="6"/>
  <c r="C394" i="6"/>
  <c r="D394" i="6"/>
  <c r="E394" i="6"/>
  <c r="C395" i="6"/>
  <c r="D395" i="6"/>
  <c r="C396" i="6"/>
  <c r="D396" i="6"/>
  <c r="E396" i="6"/>
  <c r="C397" i="6"/>
  <c r="D397" i="6"/>
  <c r="E397" i="6"/>
  <c r="C398" i="6"/>
  <c r="D398" i="6"/>
  <c r="E398" i="6"/>
  <c r="C399" i="6"/>
  <c r="D399" i="6"/>
  <c r="C400" i="6"/>
  <c r="D400" i="6"/>
  <c r="E400" i="6"/>
  <c r="C401" i="6"/>
  <c r="D401" i="6"/>
  <c r="E401" i="6"/>
  <c r="C402" i="6"/>
  <c r="E402" i="6" s="1"/>
  <c r="D402" i="6"/>
  <c r="C403" i="6"/>
  <c r="D403" i="6"/>
  <c r="C404" i="6"/>
  <c r="D404" i="6"/>
  <c r="E404" i="6"/>
  <c r="C405" i="6"/>
  <c r="D405" i="6"/>
  <c r="E405" i="6"/>
  <c r="C406" i="6"/>
  <c r="D406" i="6"/>
  <c r="C407" i="6"/>
  <c r="D407" i="6"/>
  <c r="C408" i="6"/>
  <c r="D408" i="6"/>
  <c r="E408" i="6"/>
  <c r="C409" i="6"/>
  <c r="D409" i="6"/>
  <c r="E409" i="6"/>
  <c r="C410" i="6"/>
  <c r="D410" i="6"/>
  <c r="E410" i="6"/>
  <c r="C411" i="6"/>
  <c r="D411" i="6"/>
  <c r="C412" i="6"/>
  <c r="D412" i="6"/>
  <c r="E412" i="6"/>
  <c r="C413" i="6"/>
  <c r="D413" i="6"/>
  <c r="E413" i="6"/>
  <c r="C414" i="6"/>
  <c r="D414" i="6"/>
  <c r="E414" i="6"/>
  <c r="C415" i="6"/>
  <c r="E415" i="6" s="1"/>
  <c r="D415" i="6"/>
  <c r="C416" i="6"/>
  <c r="D416" i="6"/>
  <c r="E416" i="6"/>
  <c r="C417" i="6"/>
  <c r="D417" i="6"/>
  <c r="E417" i="6"/>
  <c r="C418" i="6"/>
  <c r="D418" i="6"/>
  <c r="E418" i="6"/>
  <c r="C419" i="6"/>
  <c r="D419" i="6"/>
  <c r="C420" i="6"/>
  <c r="D420" i="6"/>
  <c r="E420" i="6"/>
  <c r="C421" i="6"/>
  <c r="D421" i="6"/>
  <c r="E421" i="6"/>
  <c r="C422" i="6"/>
  <c r="D422" i="6"/>
  <c r="E422" i="6"/>
  <c r="C423" i="6"/>
  <c r="D423" i="6"/>
  <c r="C424" i="6"/>
  <c r="E424" i="6" s="1"/>
  <c r="D424" i="6"/>
  <c r="C425" i="6"/>
  <c r="D425" i="6"/>
  <c r="E425" i="6"/>
  <c r="C426" i="6"/>
  <c r="D426" i="6"/>
  <c r="E426" i="6"/>
  <c r="C427" i="6"/>
  <c r="D427" i="6"/>
  <c r="C428" i="6"/>
  <c r="D428" i="6"/>
  <c r="C429" i="6"/>
  <c r="D429" i="6"/>
  <c r="E429" i="6"/>
  <c r="C430" i="6"/>
  <c r="D430" i="6"/>
  <c r="E430" i="6"/>
  <c r="C431" i="6"/>
  <c r="D431" i="6"/>
  <c r="C432" i="6"/>
  <c r="D432" i="6"/>
  <c r="E432" i="6" s="1"/>
  <c r="C433" i="6"/>
  <c r="D433" i="6"/>
  <c r="E433" i="6"/>
  <c r="C434" i="6"/>
  <c r="D434" i="6"/>
  <c r="E434" i="6"/>
  <c r="C435" i="6"/>
  <c r="D435" i="6"/>
  <c r="C436" i="6"/>
  <c r="D436" i="6"/>
  <c r="E436" i="6"/>
  <c r="C437" i="6"/>
  <c r="E437" i="6" s="1"/>
  <c r="D437" i="6"/>
  <c r="C438" i="6"/>
  <c r="D438" i="6"/>
  <c r="E438" i="6"/>
  <c r="C439" i="6"/>
  <c r="D439" i="6"/>
  <c r="C440" i="6"/>
  <c r="D440" i="6"/>
  <c r="E440" i="6"/>
  <c r="C441" i="6"/>
  <c r="E441" i="6" s="1"/>
  <c r="D441" i="6"/>
  <c r="C442" i="6"/>
  <c r="D442" i="6"/>
  <c r="E442" i="6"/>
  <c r="C443" i="6"/>
  <c r="D443" i="6"/>
  <c r="C444" i="6"/>
  <c r="D444" i="6"/>
  <c r="E444" i="6"/>
  <c r="C445" i="6"/>
  <c r="D445" i="6"/>
  <c r="E445" i="6"/>
  <c r="C446" i="6"/>
  <c r="D446" i="6"/>
  <c r="E446" i="6"/>
  <c r="C447" i="6"/>
  <c r="D447" i="6"/>
  <c r="C448" i="6"/>
  <c r="D448" i="6"/>
  <c r="E448" i="6"/>
  <c r="C449" i="6"/>
  <c r="D449" i="6"/>
  <c r="E449" i="6"/>
  <c r="C450" i="6"/>
  <c r="E450" i="6" s="1"/>
  <c r="D450" i="6"/>
  <c r="C451" i="6"/>
  <c r="D451" i="6"/>
  <c r="C452" i="6"/>
  <c r="D452" i="6"/>
  <c r="E452" i="6"/>
  <c r="C453" i="6"/>
  <c r="D453" i="6"/>
  <c r="E453" i="6"/>
  <c r="C454" i="6"/>
  <c r="D454" i="6"/>
  <c r="C455" i="6"/>
  <c r="D455" i="6"/>
  <c r="C456" i="6"/>
  <c r="D456" i="6"/>
  <c r="E456" i="6"/>
  <c r="C457" i="6"/>
  <c r="D457" i="6"/>
  <c r="E457" i="6"/>
  <c r="C458" i="6"/>
  <c r="D458" i="6"/>
  <c r="E458" i="6"/>
  <c r="C459" i="6"/>
  <c r="D459" i="6"/>
  <c r="C460" i="6"/>
  <c r="D460" i="6"/>
  <c r="E460" i="6"/>
  <c r="C461" i="6"/>
  <c r="D461" i="6"/>
  <c r="E461" i="6"/>
  <c r="C462" i="6"/>
  <c r="D462" i="6"/>
  <c r="E462" i="6"/>
  <c r="C463" i="6"/>
  <c r="E463" i="6" s="1"/>
  <c r="D463" i="6"/>
  <c r="C464" i="6"/>
  <c r="D464" i="6"/>
  <c r="E464" i="6"/>
  <c r="C465" i="6"/>
  <c r="D465" i="6"/>
  <c r="E465" i="6"/>
  <c r="C466" i="6"/>
  <c r="D466" i="6"/>
  <c r="E466" i="6"/>
  <c r="C467" i="6"/>
  <c r="D467" i="6"/>
  <c r="C468" i="6"/>
  <c r="D468" i="6"/>
  <c r="E468" i="6"/>
  <c r="C469" i="6"/>
  <c r="D469" i="6"/>
  <c r="E469" i="6"/>
  <c r="C470" i="6"/>
  <c r="D470" i="6"/>
  <c r="E470" i="6"/>
  <c r="C471" i="6"/>
  <c r="D471" i="6"/>
  <c r="C472" i="6"/>
  <c r="E472" i="6" s="1"/>
  <c r="D472" i="6"/>
  <c r="C473" i="6"/>
  <c r="D473" i="6"/>
  <c r="E473" i="6"/>
  <c r="C474" i="6"/>
  <c r="D474" i="6"/>
  <c r="E474" i="6"/>
  <c r="C475" i="6"/>
  <c r="D475" i="6"/>
  <c r="C476" i="6"/>
  <c r="D476" i="6"/>
  <c r="C477" i="6"/>
  <c r="D477" i="6"/>
  <c r="E477" i="6"/>
  <c r="C478" i="6"/>
  <c r="D478" i="6"/>
  <c r="E478" i="6"/>
  <c r="C479" i="6"/>
  <c r="D479" i="6"/>
  <c r="C480" i="6"/>
  <c r="D480" i="6"/>
  <c r="E480" i="6"/>
  <c r="C481" i="6"/>
  <c r="D481" i="6"/>
  <c r="E481" i="6"/>
  <c r="C482" i="6"/>
  <c r="D482" i="6"/>
  <c r="E482" i="6"/>
  <c r="C483" i="6"/>
  <c r="D483" i="6"/>
  <c r="C484" i="6"/>
  <c r="D484" i="6"/>
  <c r="E484" i="6"/>
  <c r="C485" i="6"/>
  <c r="E485" i="6" s="1"/>
  <c r="D485" i="6"/>
  <c r="C486" i="6"/>
  <c r="D486" i="6"/>
  <c r="E486" i="6"/>
  <c r="C487" i="6"/>
  <c r="D487" i="6"/>
  <c r="C488" i="6"/>
  <c r="D488" i="6"/>
  <c r="E488" i="6"/>
  <c r="C489" i="6"/>
  <c r="D489" i="6"/>
  <c r="C490" i="6"/>
  <c r="D490" i="6"/>
  <c r="E490" i="6"/>
  <c r="C491" i="6"/>
  <c r="D491" i="6"/>
  <c r="C492" i="6"/>
  <c r="D492" i="6"/>
  <c r="E492" i="6"/>
  <c r="C493" i="6"/>
  <c r="D493" i="6"/>
  <c r="E493" i="6"/>
  <c r="C494" i="6"/>
  <c r="D494" i="6"/>
  <c r="E494" i="6"/>
  <c r="C495" i="6"/>
  <c r="D495" i="6"/>
  <c r="C496" i="6"/>
  <c r="D496" i="6"/>
  <c r="E496" i="6"/>
  <c r="C497" i="6"/>
  <c r="D497" i="6"/>
  <c r="E497" i="6"/>
  <c r="C498" i="6"/>
  <c r="E498" i="6" s="1"/>
  <c r="D498" i="6"/>
  <c r="C499" i="6"/>
  <c r="D499" i="6"/>
  <c r="C500" i="6"/>
  <c r="D500" i="6"/>
  <c r="E500" i="6"/>
  <c r="C501" i="6"/>
  <c r="D501" i="6"/>
  <c r="E501" i="6"/>
  <c r="C502" i="6"/>
  <c r="D502" i="6"/>
  <c r="C503" i="6"/>
  <c r="D503" i="6"/>
  <c r="C504" i="6"/>
  <c r="D504" i="6"/>
  <c r="E504" i="6"/>
  <c r="C505" i="6"/>
  <c r="D505" i="6"/>
  <c r="E505" i="6"/>
  <c r="C506" i="6"/>
  <c r="D506" i="6"/>
  <c r="E506" i="6"/>
  <c r="C507" i="6"/>
  <c r="D507" i="6"/>
  <c r="C508" i="6"/>
  <c r="D508" i="6"/>
  <c r="E508" i="6"/>
  <c r="C509" i="6"/>
  <c r="D509" i="6"/>
  <c r="E509" i="6"/>
  <c r="C510" i="6"/>
  <c r="D510" i="6"/>
  <c r="E510" i="6"/>
  <c r="C511" i="6"/>
  <c r="E511" i="6" s="1"/>
  <c r="D511" i="6"/>
  <c r="C512" i="6"/>
  <c r="D512" i="6"/>
  <c r="E512" i="6"/>
  <c r="C513" i="6"/>
  <c r="D513" i="6"/>
  <c r="E513" i="6"/>
  <c r="C514" i="6"/>
  <c r="D514" i="6"/>
  <c r="E514" i="6"/>
  <c r="C515" i="6"/>
  <c r="D515" i="6"/>
  <c r="C516" i="6"/>
  <c r="D516" i="6"/>
  <c r="E516" i="6"/>
  <c r="C517" i="6"/>
  <c r="D517" i="6"/>
  <c r="E517" i="6"/>
  <c r="C518" i="6"/>
  <c r="D518" i="6"/>
  <c r="E518" i="6"/>
  <c r="C519" i="6"/>
  <c r="D519" i="6"/>
  <c r="C520" i="6"/>
  <c r="E520" i="6" s="1"/>
  <c r="D520" i="6"/>
  <c r="C521" i="6"/>
  <c r="D521" i="6"/>
  <c r="E521" i="6"/>
  <c r="C522" i="6"/>
  <c r="D522" i="6"/>
  <c r="E522" i="6"/>
  <c r="C523" i="6"/>
  <c r="D523" i="6"/>
  <c r="C524" i="6"/>
  <c r="D524" i="6"/>
  <c r="C525" i="6"/>
  <c r="D525" i="6"/>
  <c r="E525" i="6"/>
  <c r="C526" i="6"/>
  <c r="D526" i="6"/>
  <c r="E526" i="6"/>
  <c r="C527" i="6"/>
  <c r="D527" i="6"/>
  <c r="C528" i="6"/>
  <c r="D528" i="6"/>
  <c r="E528" i="6" s="1"/>
  <c r="C529" i="6"/>
  <c r="D529" i="6"/>
  <c r="E529" i="6"/>
  <c r="C530" i="6"/>
  <c r="D530" i="6"/>
  <c r="E530" i="6"/>
  <c r="C531" i="6"/>
  <c r="D531" i="6"/>
  <c r="C532" i="6"/>
  <c r="D532" i="6"/>
  <c r="E532" i="6"/>
  <c r="C533" i="6"/>
  <c r="E533" i="6" s="1"/>
  <c r="D533" i="6"/>
  <c r="C534" i="6"/>
  <c r="D534" i="6"/>
  <c r="E534" i="6"/>
  <c r="C535" i="6"/>
  <c r="D535" i="6"/>
  <c r="C536" i="6"/>
  <c r="D536" i="6"/>
  <c r="E536" i="6"/>
  <c r="C537" i="6"/>
  <c r="E537" i="6" s="1"/>
  <c r="D537" i="6"/>
  <c r="C538" i="6"/>
  <c r="D538" i="6"/>
  <c r="E538" i="6"/>
  <c r="C539" i="6"/>
  <c r="D539" i="6"/>
  <c r="C540" i="6"/>
  <c r="D540" i="6"/>
  <c r="E540" i="6"/>
  <c r="C541" i="6"/>
  <c r="D541" i="6"/>
  <c r="E541" i="6"/>
  <c r="C542" i="6"/>
  <c r="D542" i="6"/>
  <c r="E542" i="6"/>
  <c r="C543" i="6"/>
  <c r="D543" i="6"/>
  <c r="C544" i="6"/>
  <c r="D544" i="6"/>
  <c r="E544" i="6"/>
  <c r="C545" i="6"/>
  <c r="D545" i="6"/>
  <c r="E545" i="6"/>
  <c r="C546" i="6"/>
  <c r="E546" i="6" s="1"/>
  <c r="D546" i="6"/>
  <c r="C547" i="6"/>
  <c r="D547" i="6"/>
  <c r="C548" i="6"/>
  <c r="D548" i="6"/>
  <c r="E548" i="6"/>
  <c r="C549" i="6"/>
  <c r="D549" i="6"/>
  <c r="E549" i="6"/>
  <c r="C550" i="6"/>
  <c r="D550" i="6"/>
  <c r="C551" i="6"/>
  <c r="D551" i="6"/>
  <c r="C552" i="6"/>
  <c r="D552" i="6"/>
  <c r="E552" i="6"/>
  <c r="C553" i="6"/>
  <c r="D553" i="6"/>
  <c r="E553" i="6"/>
  <c r="C554" i="6"/>
  <c r="D554" i="6"/>
  <c r="E554" i="6"/>
  <c r="C555" i="6"/>
  <c r="D555" i="6"/>
  <c r="C556" i="6"/>
  <c r="D556" i="6"/>
  <c r="E556" i="6"/>
  <c r="C557" i="6"/>
  <c r="D557" i="6"/>
  <c r="E557" i="6"/>
  <c r="C558" i="6"/>
  <c r="D558" i="6"/>
  <c r="E558" i="6"/>
  <c r="C559" i="6"/>
  <c r="E559" i="6" s="1"/>
  <c r="D559" i="6"/>
  <c r="C560" i="6"/>
  <c r="D560" i="6"/>
  <c r="E560" i="6"/>
  <c r="C561" i="6"/>
  <c r="D561" i="6"/>
  <c r="E561" i="6"/>
  <c r="C562" i="6"/>
  <c r="D562" i="6"/>
  <c r="E562" i="6"/>
  <c r="C563" i="6"/>
  <c r="D563" i="6"/>
  <c r="C564" i="6"/>
  <c r="D564" i="6"/>
  <c r="E564" i="6"/>
  <c r="C565" i="6"/>
  <c r="D565" i="6"/>
  <c r="E565" i="6"/>
  <c r="C566" i="6"/>
  <c r="D566" i="6"/>
  <c r="E566" i="6"/>
  <c r="C567" i="6"/>
  <c r="D567" i="6"/>
  <c r="C568" i="6"/>
  <c r="E568" i="6" s="1"/>
  <c r="D568" i="6"/>
  <c r="C569" i="6"/>
  <c r="D569" i="6"/>
  <c r="E569" i="6"/>
  <c r="C570" i="6"/>
  <c r="D570" i="6"/>
  <c r="E570" i="6"/>
  <c r="C571" i="6"/>
  <c r="D571" i="6"/>
  <c r="E571" i="6"/>
  <c r="C572" i="6"/>
  <c r="E572" i="6" s="1"/>
  <c r="D572" i="6"/>
  <c r="C573" i="6"/>
  <c r="D573" i="6"/>
  <c r="E573" i="6"/>
  <c r="C574" i="6"/>
  <c r="D574" i="6"/>
  <c r="E574" i="6"/>
  <c r="C575" i="6"/>
  <c r="D575" i="6"/>
  <c r="E575" i="6"/>
  <c r="C576" i="6"/>
  <c r="E576" i="6" s="1"/>
  <c r="D576" i="6"/>
  <c r="C577" i="6"/>
  <c r="D577" i="6"/>
  <c r="E577" i="6"/>
  <c r="C578" i="6"/>
  <c r="D578" i="6"/>
  <c r="E578" i="6"/>
  <c r="C579" i="6"/>
  <c r="D579" i="6"/>
  <c r="E579" i="6"/>
  <c r="C580" i="6"/>
  <c r="E580" i="6" s="1"/>
  <c r="D580" i="6"/>
  <c r="C581" i="6"/>
  <c r="D581" i="6"/>
  <c r="E581" i="6"/>
  <c r="C582" i="6"/>
  <c r="D582" i="6"/>
  <c r="E582" i="6"/>
  <c r="C583" i="6"/>
  <c r="D583" i="6"/>
  <c r="E583" i="6"/>
  <c r="C584" i="6"/>
  <c r="E584" i="6" s="1"/>
  <c r="D584" i="6"/>
  <c r="C585" i="6"/>
  <c r="D585" i="6"/>
  <c r="E585" i="6"/>
  <c r="C586" i="6"/>
  <c r="D586" i="6"/>
  <c r="E586" i="6"/>
  <c r="C587" i="6"/>
  <c r="D587" i="6"/>
  <c r="E587" i="6"/>
  <c r="C588" i="6"/>
  <c r="E588" i="6" s="1"/>
  <c r="D588" i="6"/>
  <c r="C589" i="6"/>
  <c r="D589" i="6"/>
  <c r="E589" i="6"/>
  <c r="C590" i="6"/>
  <c r="D590" i="6"/>
  <c r="E590" i="6"/>
  <c r="C591" i="6"/>
  <c r="D591" i="6"/>
  <c r="E591" i="6"/>
  <c r="C592" i="6"/>
  <c r="E592" i="6" s="1"/>
  <c r="D592" i="6"/>
  <c r="C593" i="6"/>
  <c r="D593" i="6"/>
  <c r="E593" i="6"/>
  <c r="C594" i="6"/>
  <c r="D594" i="6"/>
  <c r="E594" i="6"/>
  <c r="C595" i="6"/>
  <c r="D595" i="6"/>
  <c r="E595" i="6"/>
  <c r="C596" i="6"/>
  <c r="E596" i="6" s="1"/>
  <c r="D596" i="6"/>
  <c r="C597" i="6"/>
  <c r="D597" i="6"/>
  <c r="E597" i="6"/>
  <c r="C598" i="6"/>
  <c r="D598" i="6"/>
  <c r="E598" i="6"/>
  <c r="C599" i="6"/>
  <c r="D599" i="6"/>
  <c r="E599" i="6"/>
  <c r="C600" i="6"/>
  <c r="E600" i="6" s="1"/>
  <c r="D600" i="6"/>
  <c r="C601" i="6"/>
  <c r="D601" i="6"/>
  <c r="E601" i="6"/>
  <c r="C602" i="6"/>
  <c r="D602" i="6"/>
  <c r="E602" i="6"/>
  <c r="C603" i="6"/>
  <c r="D603" i="6"/>
  <c r="E603" i="6"/>
  <c r="C604" i="6"/>
  <c r="E604" i="6" s="1"/>
  <c r="D604" i="6"/>
  <c r="C605" i="6"/>
  <c r="D605" i="6"/>
  <c r="E605" i="6"/>
  <c r="C606" i="6"/>
  <c r="D606" i="6"/>
  <c r="E606" i="6"/>
  <c r="C607" i="6"/>
  <c r="D607" i="6"/>
  <c r="E607" i="6"/>
  <c r="C608" i="6"/>
  <c r="E608" i="6" s="1"/>
  <c r="D608" i="6"/>
  <c r="C609" i="6"/>
  <c r="D609" i="6"/>
  <c r="E609" i="6"/>
  <c r="C610" i="6"/>
  <c r="D610" i="6"/>
  <c r="E610" i="6"/>
  <c r="C611" i="6"/>
  <c r="D611" i="6"/>
  <c r="E611" i="6"/>
  <c r="C612" i="6"/>
  <c r="E612" i="6" s="1"/>
  <c r="D612" i="6"/>
  <c r="C613" i="6"/>
  <c r="D613" i="6"/>
  <c r="E613" i="6"/>
  <c r="C614" i="6"/>
  <c r="D614" i="6"/>
  <c r="E614" i="6"/>
  <c r="C615" i="6"/>
  <c r="D615" i="6"/>
  <c r="E615" i="6"/>
  <c r="C616" i="6"/>
  <c r="E616" i="6" s="1"/>
  <c r="D616" i="6"/>
  <c r="C617" i="6"/>
  <c r="D617" i="6"/>
  <c r="E617" i="6"/>
  <c r="C618" i="6"/>
  <c r="D618" i="6"/>
  <c r="E618" i="6"/>
  <c r="C619" i="6"/>
  <c r="D619" i="6"/>
  <c r="E619" i="6"/>
  <c r="C620" i="6"/>
  <c r="E620" i="6" s="1"/>
  <c r="D620" i="6"/>
  <c r="C621" i="6"/>
  <c r="D621" i="6"/>
  <c r="E621" i="6"/>
  <c r="C622" i="6"/>
  <c r="D622" i="6"/>
  <c r="E622" i="6"/>
  <c r="C623" i="6"/>
  <c r="D623" i="6"/>
  <c r="E623" i="6"/>
  <c r="C624" i="6"/>
  <c r="E624" i="6" s="1"/>
  <c r="D624" i="6"/>
  <c r="C625" i="6"/>
  <c r="D625" i="6"/>
  <c r="E625" i="6"/>
  <c r="C626" i="6"/>
  <c r="D626" i="6"/>
  <c r="E626" i="6"/>
  <c r="C627" i="6"/>
  <c r="D627" i="6"/>
  <c r="E627" i="6"/>
  <c r="C628" i="6"/>
  <c r="E628" i="6" s="1"/>
  <c r="D628" i="6"/>
  <c r="C629" i="6"/>
  <c r="D629" i="6"/>
  <c r="E629" i="6"/>
  <c r="C630" i="6"/>
  <c r="D630" i="6"/>
  <c r="E630" i="6"/>
  <c r="C631" i="6"/>
  <c r="D631" i="6"/>
  <c r="E631" i="6"/>
  <c r="C632" i="6"/>
  <c r="E632" i="6" s="1"/>
  <c r="D632" i="6"/>
  <c r="C633" i="6"/>
  <c r="D633" i="6"/>
  <c r="E633" i="6"/>
  <c r="C634" i="6"/>
  <c r="D634" i="6"/>
  <c r="E634" i="6"/>
  <c r="C635" i="6"/>
  <c r="D635" i="6"/>
  <c r="E635" i="6"/>
  <c r="C636" i="6"/>
  <c r="E636" i="6" s="1"/>
  <c r="D636" i="6"/>
  <c r="C637" i="6"/>
  <c r="D637" i="6"/>
  <c r="E637" i="6"/>
  <c r="C638" i="6"/>
  <c r="D638" i="6"/>
  <c r="E638" i="6"/>
  <c r="C639" i="6"/>
  <c r="D639" i="6"/>
  <c r="E639" i="6"/>
  <c r="C640" i="6"/>
  <c r="E640" i="6" s="1"/>
  <c r="D640" i="6"/>
  <c r="C641" i="6"/>
  <c r="D641" i="6"/>
  <c r="E641" i="6"/>
  <c r="C642" i="6"/>
  <c r="D642" i="6"/>
  <c r="E642" i="6"/>
  <c r="C643" i="6"/>
  <c r="D643" i="6"/>
  <c r="E643" i="6"/>
  <c r="C644" i="6"/>
  <c r="E644" i="6" s="1"/>
  <c r="D644" i="6"/>
  <c r="C645" i="6"/>
  <c r="D645" i="6"/>
  <c r="E645" i="6"/>
  <c r="C646" i="6"/>
  <c r="D646" i="6"/>
  <c r="E646" i="6"/>
  <c r="C647" i="6"/>
  <c r="D647" i="6"/>
  <c r="E647" i="6"/>
  <c r="C648" i="6"/>
  <c r="E648" i="6" s="1"/>
  <c r="D648" i="6"/>
  <c r="C649" i="6"/>
  <c r="D649" i="6"/>
  <c r="E649" i="6"/>
  <c r="C650" i="6"/>
  <c r="D650" i="6"/>
  <c r="E650" i="6"/>
  <c r="C651" i="6"/>
  <c r="D651" i="6"/>
  <c r="E651" i="6"/>
  <c r="C652" i="6"/>
  <c r="E652" i="6" s="1"/>
  <c r="D652" i="6"/>
  <c r="C653" i="6"/>
  <c r="D653" i="6"/>
  <c r="E653" i="6"/>
  <c r="C654" i="6"/>
  <c r="D654" i="6"/>
  <c r="E654" i="6"/>
  <c r="C655" i="6"/>
  <c r="D655" i="6"/>
  <c r="E655" i="6"/>
  <c r="C656" i="6"/>
  <c r="E656" i="6" s="1"/>
  <c r="D656" i="6"/>
  <c r="C657" i="6"/>
  <c r="D657" i="6"/>
  <c r="E657" i="6"/>
  <c r="C658" i="6"/>
  <c r="D658" i="6"/>
  <c r="E658" i="6"/>
  <c r="C659" i="6"/>
  <c r="D659" i="6"/>
  <c r="E659" i="6"/>
  <c r="C660" i="6"/>
  <c r="E660" i="6" s="1"/>
  <c r="D660" i="6"/>
  <c r="C661" i="6"/>
  <c r="D661" i="6"/>
  <c r="E661" i="6"/>
  <c r="C662" i="6"/>
  <c r="D662" i="6"/>
  <c r="E662" i="6"/>
  <c r="C663" i="6"/>
  <c r="D663" i="6"/>
  <c r="E663" i="6"/>
  <c r="C664" i="6"/>
  <c r="E664" i="6" s="1"/>
  <c r="D664" i="6"/>
  <c r="C665" i="6"/>
  <c r="D665" i="6"/>
  <c r="E665" i="6"/>
  <c r="C666" i="6"/>
  <c r="D666" i="6"/>
  <c r="E666" i="6"/>
  <c r="C667" i="6"/>
  <c r="D667" i="6"/>
  <c r="E667" i="6"/>
  <c r="C668" i="6"/>
  <c r="E668" i="6" s="1"/>
  <c r="D668" i="6"/>
  <c r="C669" i="6"/>
  <c r="D669" i="6"/>
  <c r="E669" i="6"/>
  <c r="C670" i="6"/>
  <c r="D670" i="6"/>
  <c r="E670" i="6"/>
  <c r="C671" i="6"/>
  <c r="D671" i="6"/>
  <c r="E671" i="6"/>
  <c r="C672" i="6"/>
  <c r="E672" i="6" s="1"/>
  <c r="D672" i="6"/>
  <c r="C673" i="6"/>
  <c r="D673" i="6"/>
  <c r="E673" i="6"/>
  <c r="C674" i="6"/>
  <c r="D674" i="6"/>
  <c r="E674" i="6"/>
  <c r="C675" i="6"/>
  <c r="D675" i="6"/>
  <c r="E675" i="6"/>
  <c r="C676" i="6"/>
  <c r="E676" i="6" s="1"/>
  <c r="D676" i="6"/>
  <c r="C677" i="6"/>
  <c r="D677" i="6"/>
  <c r="E677" i="6"/>
  <c r="C678" i="6"/>
  <c r="D678" i="6"/>
  <c r="E678" i="6"/>
  <c r="C679" i="6"/>
  <c r="D679" i="6"/>
  <c r="E679" i="6"/>
  <c r="C680" i="6"/>
  <c r="E680" i="6" s="1"/>
  <c r="D680" i="6"/>
  <c r="C681" i="6"/>
  <c r="D681" i="6"/>
  <c r="E681" i="6"/>
  <c r="C682" i="6"/>
  <c r="D682" i="6"/>
  <c r="E682" i="6"/>
  <c r="C683" i="6"/>
  <c r="D683" i="6"/>
  <c r="E683" i="6"/>
  <c r="C684" i="6"/>
  <c r="E684" i="6" s="1"/>
  <c r="D684" i="6"/>
  <c r="C685" i="6"/>
  <c r="D685" i="6"/>
  <c r="E685" i="6"/>
  <c r="C686" i="6"/>
  <c r="D686" i="6"/>
  <c r="E686" i="6"/>
  <c r="C687" i="6"/>
  <c r="D687" i="6"/>
  <c r="E687" i="6"/>
  <c r="C688" i="6"/>
  <c r="E688" i="6" s="1"/>
  <c r="D688" i="6"/>
  <c r="C689" i="6"/>
  <c r="D689" i="6"/>
  <c r="E689" i="6"/>
  <c r="C690" i="6"/>
  <c r="D690" i="6"/>
  <c r="E690" i="6"/>
  <c r="C691" i="6"/>
  <c r="D691" i="6"/>
  <c r="E691" i="6"/>
  <c r="C692" i="6"/>
  <c r="E692" i="6" s="1"/>
  <c r="D692" i="6"/>
  <c r="C693" i="6"/>
  <c r="D693" i="6"/>
  <c r="E693" i="6"/>
  <c r="C694" i="6"/>
  <c r="D694" i="6"/>
  <c r="E694" i="6"/>
  <c r="C695" i="6"/>
  <c r="D695" i="6"/>
  <c r="E695" i="6"/>
  <c r="C696" i="6"/>
  <c r="E696" i="6" s="1"/>
  <c r="D696" i="6"/>
  <c r="C697" i="6"/>
  <c r="D697" i="6"/>
  <c r="E697" i="6"/>
  <c r="C698" i="6"/>
  <c r="D698" i="6"/>
  <c r="E698" i="6"/>
  <c r="C699" i="6"/>
  <c r="D699" i="6"/>
  <c r="E699" i="6"/>
  <c r="C700" i="6"/>
  <c r="E700" i="6" s="1"/>
  <c r="D700" i="6"/>
  <c r="C701" i="6"/>
  <c r="D701" i="6"/>
  <c r="E701" i="6"/>
  <c r="C702" i="6"/>
  <c r="D702" i="6"/>
  <c r="E702" i="6"/>
  <c r="C703" i="6"/>
  <c r="D703" i="6"/>
  <c r="E703" i="6"/>
  <c r="C704" i="6"/>
  <c r="E704" i="6" s="1"/>
  <c r="D704" i="6"/>
  <c r="C705" i="6"/>
  <c r="D705" i="6"/>
  <c r="E705" i="6"/>
  <c r="C706" i="6"/>
  <c r="D706" i="6"/>
  <c r="E706" i="6"/>
  <c r="C707" i="6"/>
  <c r="D707" i="6"/>
  <c r="E707" i="6"/>
  <c r="C708" i="6"/>
  <c r="E708" i="6" s="1"/>
  <c r="D708" i="6"/>
  <c r="C709" i="6"/>
  <c r="D709" i="6"/>
  <c r="E709" i="6"/>
  <c r="C710" i="6"/>
  <c r="D710" i="6"/>
  <c r="E710" i="6"/>
  <c r="C711" i="6"/>
  <c r="D711" i="6"/>
  <c r="E711" i="6"/>
  <c r="C712" i="6"/>
  <c r="E712" i="6" s="1"/>
  <c r="D712" i="6"/>
  <c r="C713" i="6"/>
  <c r="D713" i="6"/>
  <c r="E713" i="6"/>
  <c r="C714" i="6"/>
  <c r="D714" i="6"/>
  <c r="E714" i="6"/>
  <c r="C715" i="6"/>
  <c r="D715" i="6"/>
  <c r="E715" i="6"/>
  <c r="C716" i="6"/>
  <c r="E716" i="6" s="1"/>
  <c r="D716" i="6"/>
  <c r="C717" i="6"/>
  <c r="D717" i="6"/>
  <c r="E717" i="6"/>
  <c r="C718" i="6"/>
  <c r="D718" i="6"/>
  <c r="E718" i="6"/>
  <c r="C719" i="6"/>
  <c r="D719" i="6"/>
  <c r="E719" i="6"/>
  <c r="C720" i="6"/>
  <c r="E720" i="6" s="1"/>
  <c r="D720" i="6"/>
  <c r="C721" i="6"/>
  <c r="D721" i="6"/>
  <c r="E721" i="6"/>
  <c r="C722" i="6"/>
  <c r="D722" i="6"/>
  <c r="E722" i="6"/>
  <c r="C723" i="6"/>
  <c r="D723" i="6"/>
  <c r="E723" i="6"/>
  <c r="C724" i="6"/>
  <c r="E724" i="6" s="1"/>
  <c r="D724" i="6"/>
  <c r="C725" i="6"/>
  <c r="D725" i="6"/>
  <c r="E725" i="6"/>
  <c r="C726" i="6"/>
  <c r="D726" i="6"/>
  <c r="E726" i="6"/>
  <c r="C727" i="6"/>
  <c r="D727" i="6"/>
  <c r="E727" i="6"/>
  <c r="C728" i="6"/>
  <c r="E728" i="6" s="1"/>
  <c r="D728" i="6"/>
  <c r="C729" i="6"/>
  <c r="D729" i="6"/>
  <c r="E729" i="6"/>
  <c r="C730" i="6"/>
  <c r="D730" i="6"/>
  <c r="E730" i="6"/>
  <c r="C731" i="6"/>
  <c r="D731" i="6"/>
  <c r="E731" i="6"/>
  <c r="C732" i="6"/>
  <c r="E732" i="6" s="1"/>
  <c r="D732" i="6"/>
  <c r="C733" i="6"/>
  <c r="D733" i="6"/>
  <c r="E733" i="6"/>
  <c r="C734" i="6"/>
  <c r="D734" i="6"/>
  <c r="E734" i="6"/>
  <c r="C735" i="6"/>
  <c r="D735" i="6"/>
  <c r="E735" i="6"/>
  <c r="C736" i="6"/>
  <c r="E736" i="6" s="1"/>
  <c r="D736" i="6"/>
  <c r="C737" i="6"/>
  <c r="D737" i="6"/>
  <c r="E737" i="6"/>
  <c r="C738" i="6"/>
  <c r="D738" i="6"/>
  <c r="E738" i="6"/>
  <c r="C739" i="6"/>
  <c r="D739" i="6"/>
  <c r="E739" i="6"/>
  <c r="C740" i="6"/>
  <c r="E740" i="6" s="1"/>
  <c r="D740" i="6"/>
  <c r="C741" i="6"/>
  <c r="D741" i="6"/>
  <c r="E741" i="6"/>
  <c r="C742" i="6"/>
  <c r="D742" i="6"/>
  <c r="E742" i="6"/>
  <c r="C743" i="6"/>
  <c r="D743" i="6"/>
  <c r="E743" i="6"/>
  <c r="C744" i="6"/>
  <c r="E744" i="6" s="1"/>
  <c r="D744" i="6"/>
  <c r="C745" i="6"/>
  <c r="D745" i="6"/>
  <c r="E745" i="6"/>
  <c r="C746" i="6"/>
  <c r="D746" i="6"/>
  <c r="E746" i="6"/>
  <c r="C747" i="6"/>
  <c r="D747" i="6"/>
  <c r="E747" i="6"/>
  <c r="C748" i="6"/>
  <c r="E748" i="6" s="1"/>
  <c r="D748" i="6"/>
  <c r="C749" i="6"/>
  <c r="D749" i="6"/>
  <c r="E749" i="6"/>
  <c r="C750" i="6"/>
  <c r="D750" i="6"/>
  <c r="E750" i="6"/>
  <c r="C751" i="6"/>
  <c r="D751" i="6"/>
  <c r="E751" i="6"/>
  <c r="C752" i="6"/>
  <c r="E752" i="6" s="1"/>
  <c r="D752" i="6"/>
  <c r="C753" i="6"/>
  <c r="D753" i="6"/>
  <c r="E753" i="6"/>
  <c r="C754" i="6"/>
  <c r="D754" i="6"/>
  <c r="E754" i="6"/>
  <c r="C755" i="6"/>
  <c r="D755" i="6"/>
  <c r="E755" i="6"/>
  <c r="C756" i="6"/>
  <c r="E756" i="6" s="1"/>
  <c r="D756" i="6"/>
  <c r="C757" i="6"/>
  <c r="D757" i="6"/>
  <c r="E757" i="6"/>
  <c r="C758" i="6"/>
  <c r="D758" i="6"/>
  <c r="E758" i="6"/>
  <c r="C759" i="6"/>
  <c r="D759" i="6"/>
  <c r="E759" i="6"/>
  <c r="C760" i="6"/>
  <c r="E760" i="6" s="1"/>
  <c r="D760" i="6"/>
  <c r="C761" i="6"/>
  <c r="D761" i="6"/>
  <c r="E761" i="6"/>
  <c r="C762" i="6"/>
  <c r="D762" i="6"/>
  <c r="E762" i="6"/>
  <c r="C763" i="6"/>
  <c r="D763" i="6"/>
  <c r="E763" i="6"/>
  <c r="C764" i="6"/>
  <c r="E764" i="6" s="1"/>
  <c r="D764" i="6"/>
  <c r="C765" i="6"/>
  <c r="D765" i="6"/>
  <c r="E765" i="6"/>
  <c r="C766" i="6"/>
  <c r="D766" i="6"/>
  <c r="E766" i="6"/>
  <c r="C767" i="6"/>
  <c r="D767" i="6"/>
  <c r="E767" i="6"/>
  <c r="C768" i="6"/>
  <c r="E768" i="6" s="1"/>
  <c r="D768" i="6"/>
  <c r="C769" i="6"/>
  <c r="D769" i="6"/>
  <c r="E769" i="6"/>
  <c r="C770" i="6"/>
  <c r="D770" i="6"/>
  <c r="E770" i="6"/>
  <c r="C771" i="6"/>
  <c r="D771" i="6"/>
  <c r="E771" i="6"/>
  <c r="C772" i="6"/>
  <c r="E772" i="6" s="1"/>
  <c r="D772" i="6"/>
  <c r="C773" i="6"/>
  <c r="D773" i="6"/>
  <c r="E773" i="6"/>
  <c r="C774" i="6"/>
  <c r="D774" i="6"/>
  <c r="E774" i="6"/>
  <c r="C775" i="6"/>
  <c r="D775" i="6"/>
  <c r="E775" i="6"/>
  <c r="C776" i="6"/>
  <c r="E776" i="6" s="1"/>
  <c r="D776" i="6"/>
  <c r="C777" i="6"/>
  <c r="D777" i="6"/>
  <c r="E777" i="6"/>
  <c r="C778" i="6"/>
  <c r="D778" i="6"/>
  <c r="E778" i="6"/>
  <c r="C779" i="6"/>
  <c r="D779" i="6"/>
  <c r="E779" i="6"/>
  <c r="C780" i="6"/>
  <c r="E780" i="6" s="1"/>
  <c r="D780" i="6"/>
  <c r="C781" i="6"/>
  <c r="D781" i="6"/>
  <c r="E781" i="6"/>
  <c r="C782" i="6"/>
  <c r="D782" i="6"/>
  <c r="E782" i="6"/>
  <c r="C783" i="6"/>
  <c r="D783" i="6"/>
  <c r="E783" i="6"/>
  <c r="C784" i="6"/>
  <c r="E784" i="6" s="1"/>
  <c r="D784" i="6"/>
  <c r="C785" i="6"/>
  <c r="D785" i="6"/>
  <c r="E785" i="6"/>
  <c r="C786" i="6"/>
  <c r="D786" i="6"/>
  <c r="E786" i="6"/>
  <c r="C787" i="6"/>
  <c r="D787" i="6"/>
  <c r="E787" i="6"/>
  <c r="C788" i="6"/>
  <c r="E788" i="6" s="1"/>
  <c r="D788" i="6"/>
  <c r="C789" i="6"/>
  <c r="D789" i="6"/>
  <c r="E789" i="6"/>
  <c r="C790" i="6"/>
  <c r="D790" i="6"/>
  <c r="E790" i="6"/>
  <c r="C791" i="6"/>
  <c r="D791" i="6"/>
  <c r="E791" i="6"/>
  <c r="C792" i="6"/>
  <c r="E792" i="6" s="1"/>
  <c r="D792" i="6"/>
  <c r="C793" i="6"/>
  <c r="D793" i="6"/>
  <c r="E793" i="6"/>
  <c r="C794" i="6"/>
  <c r="D794" i="6"/>
  <c r="E794" i="6"/>
  <c r="C795" i="6"/>
  <c r="D795" i="6"/>
  <c r="E795" i="6"/>
  <c r="C796" i="6"/>
  <c r="E796" i="6" s="1"/>
  <c r="D796" i="6"/>
  <c r="C797" i="6"/>
  <c r="D797" i="6"/>
  <c r="E797" i="6"/>
  <c r="C798" i="6"/>
  <c r="D798" i="6"/>
  <c r="E798" i="6"/>
  <c r="C799" i="6"/>
  <c r="D799" i="6"/>
  <c r="E799" i="6"/>
  <c r="C800" i="6"/>
  <c r="E800" i="6" s="1"/>
  <c r="D800" i="6"/>
  <c r="C801" i="6"/>
  <c r="D801" i="6"/>
  <c r="E801" i="6"/>
  <c r="C802" i="6"/>
  <c r="D802" i="6"/>
  <c r="E802" i="6"/>
  <c r="C803" i="6"/>
  <c r="D803" i="6"/>
  <c r="E803" i="6"/>
  <c r="C804" i="6"/>
  <c r="E804" i="6" s="1"/>
  <c r="D804" i="6"/>
  <c r="C805" i="6"/>
  <c r="D805" i="6"/>
  <c r="E805" i="6"/>
  <c r="C806" i="6"/>
  <c r="D806" i="6"/>
  <c r="E806" i="6"/>
  <c r="C807" i="6"/>
  <c r="D807" i="6"/>
  <c r="E807" i="6"/>
  <c r="C808" i="6"/>
  <c r="E808" i="6" s="1"/>
  <c r="D808" i="6"/>
  <c r="C809" i="6"/>
  <c r="D809" i="6"/>
  <c r="E809" i="6"/>
  <c r="C810" i="6"/>
  <c r="D810" i="6"/>
  <c r="E810" i="6"/>
  <c r="C811" i="6"/>
  <c r="D811" i="6"/>
  <c r="E811" i="6"/>
  <c r="C812" i="6"/>
  <c r="E812" i="6" s="1"/>
  <c r="D812" i="6"/>
  <c r="C813" i="6"/>
  <c r="D813" i="6"/>
  <c r="E813" i="6"/>
  <c r="C814" i="6"/>
  <c r="D814" i="6"/>
  <c r="E814" i="6"/>
  <c r="C815" i="6"/>
  <c r="D815" i="6"/>
  <c r="E815" i="6"/>
  <c r="C816" i="6"/>
  <c r="E816" i="6" s="1"/>
  <c r="D816" i="6"/>
  <c r="C817" i="6"/>
  <c r="D817" i="6"/>
  <c r="E817" i="6"/>
  <c r="C818" i="6"/>
  <c r="D818" i="6"/>
  <c r="E818" i="6"/>
  <c r="C819" i="6"/>
  <c r="D819" i="6"/>
  <c r="E819" i="6"/>
  <c r="C820" i="6"/>
  <c r="E820" i="6" s="1"/>
  <c r="D820" i="6"/>
  <c r="C821" i="6"/>
  <c r="D821" i="6"/>
  <c r="E821" i="6"/>
  <c r="C822" i="6"/>
  <c r="D822" i="6"/>
  <c r="E822" i="6"/>
  <c r="C823" i="6"/>
  <c r="D823" i="6"/>
  <c r="E823" i="6"/>
  <c r="C824" i="6"/>
  <c r="E824" i="6" s="1"/>
  <c r="D824" i="6"/>
  <c r="C825" i="6"/>
  <c r="D825" i="6"/>
  <c r="E825" i="6"/>
  <c r="C826" i="6"/>
  <c r="D826" i="6"/>
  <c r="E826" i="6"/>
  <c r="C827" i="6"/>
  <c r="D827" i="6"/>
  <c r="E827" i="6"/>
  <c r="C828" i="6"/>
  <c r="E828" i="6" s="1"/>
  <c r="D828" i="6"/>
  <c r="C829" i="6"/>
  <c r="D829" i="6"/>
  <c r="E829" i="6"/>
  <c r="C830" i="6"/>
  <c r="D830" i="6"/>
  <c r="E830" i="6"/>
  <c r="C831" i="6"/>
  <c r="D831" i="6"/>
  <c r="E831" i="6"/>
  <c r="C832" i="6"/>
  <c r="E832" i="6" s="1"/>
  <c r="D832" i="6"/>
  <c r="C833" i="6"/>
  <c r="D833" i="6"/>
  <c r="E833" i="6"/>
  <c r="C834" i="6"/>
  <c r="D834" i="6"/>
  <c r="E834" i="6"/>
  <c r="C835" i="6"/>
  <c r="D835" i="6"/>
  <c r="E835" i="6"/>
  <c r="C836" i="6"/>
  <c r="E836" i="6" s="1"/>
  <c r="D836" i="6"/>
  <c r="C837" i="6"/>
  <c r="D837" i="6"/>
  <c r="E837" i="6"/>
  <c r="C838" i="6"/>
  <c r="D838" i="6"/>
  <c r="E838" i="6"/>
  <c r="C839" i="6"/>
  <c r="D839" i="6"/>
  <c r="E839" i="6"/>
  <c r="C840" i="6"/>
  <c r="E840" i="6" s="1"/>
  <c r="D840" i="6"/>
  <c r="C841" i="6"/>
  <c r="D841" i="6"/>
  <c r="E841" i="6"/>
  <c r="C842" i="6"/>
  <c r="D842" i="6"/>
  <c r="E842" i="6"/>
  <c r="C843" i="6"/>
  <c r="D843" i="6"/>
  <c r="E843" i="6"/>
  <c r="C844" i="6"/>
  <c r="E844" i="6" s="1"/>
  <c r="D844" i="6"/>
  <c r="C845" i="6"/>
  <c r="D845" i="6"/>
  <c r="E845" i="6"/>
  <c r="C846" i="6"/>
  <c r="D846" i="6"/>
  <c r="E846" i="6"/>
  <c r="C847" i="6"/>
  <c r="D847" i="6"/>
  <c r="E847" i="6"/>
  <c r="C848" i="6"/>
  <c r="E848" i="6" s="1"/>
  <c r="D848" i="6"/>
  <c r="C849" i="6"/>
  <c r="D849" i="6"/>
  <c r="E849" i="6"/>
  <c r="C850" i="6"/>
  <c r="D850" i="6"/>
  <c r="E850" i="6"/>
  <c r="C851" i="6"/>
  <c r="D851" i="6"/>
  <c r="E851" i="6"/>
  <c r="C852" i="6"/>
  <c r="E852" i="6" s="1"/>
  <c r="D852" i="6"/>
  <c r="C853" i="6"/>
  <c r="D853" i="6"/>
  <c r="E853" i="6"/>
  <c r="C854" i="6"/>
  <c r="D854" i="6"/>
  <c r="E854" i="6"/>
  <c r="C855" i="6"/>
  <c r="D855" i="6"/>
  <c r="E855" i="6"/>
  <c r="C856" i="6"/>
  <c r="E856" i="6" s="1"/>
  <c r="D856" i="6"/>
  <c r="C857" i="6"/>
  <c r="D857" i="6"/>
  <c r="E857" i="6"/>
  <c r="C858" i="6"/>
  <c r="D858" i="6"/>
  <c r="E858" i="6"/>
  <c r="C859" i="6"/>
  <c r="D859" i="6"/>
  <c r="E859" i="6"/>
  <c r="C860" i="6"/>
  <c r="E860" i="6" s="1"/>
  <c r="D860" i="6"/>
  <c r="C861" i="6"/>
  <c r="D861" i="6"/>
  <c r="E861" i="6"/>
  <c r="C862" i="6"/>
  <c r="D862" i="6"/>
  <c r="E862" i="6"/>
  <c r="C863" i="6"/>
  <c r="D863" i="6"/>
  <c r="E863" i="6"/>
  <c r="C864" i="6"/>
  <c r="E864" i="6" s="1"/>
  <c r="D864" i="6"/>
  <c r="C865" i="6"/>
  <c r="D865" i="6"/>
  <c r="E865" i="6"/>
  <c r="C866" i="6"/>
  <c r="D866" i="6"/>
  <c r="E866" i="6"/>
  <c r="C867" i="6"/>
  <c r="D867" i="6"/>
  <c r="E867" i="6"/>
  <c r="C868" i="6"/>
  <c r="E868" i="6" s="1"/>
  <c r="D868" i="6"/>
  <c r="C869" i="6"/>
  <c r="D869" i="6"/>
  <c r="E869" i="6"/>
  <c r="C870" i="6"/>
  <c r="D870" i="6"/>
  <c r="E870" i="6"/>
  <c r="C871" i="6"/>
  <c r="D871" i="6"/>
  <c r="E871" i="6"/>
  <c r="C872" i="6"/>
  <c r="E872" i="6" s="1"/>
  <c r="D872" i="6"/>
  <c r="C873" i="6"/>
  <c r="D873" i="6"/>
  <c r="E873" i="6"/>
  <c r="C874" i="6"/>
  <c r="D874" i="6"/>
  <c r="E874" i="6"/>
  <c r="C875" i="6"/>
  <c r="D875" i="6"/>
  <c r="E875" i="6"/>
  <c r="C876" i="6"/>
  <c r="E876" i="6" s="1"/>
  <c r="D876" i="6"/>
  <c r="C877" i="6"/>
  <c r="D877" i="6"/>
  <c r="E877" i="6"/>
  <c r="C878" i="6"/>
  <c r="D878" i="6"/>
  <c r="E878" i="6"/>
  <c r="C879" i="6"/>
  <c r="D879" i="6"/>
  <c r="E879" i="6"/>
  <c r="C880" i="6"/>
  <c r="E880" i="6" s="1"/>
  <c r="D880" i="6"/>
  <c r="C881" i="6"/>
  <c r="D881" i="6"/>
  <c r="E881" i="6"/>
  <c r="C882" i="6"/>
  <c r="D882" i="6"/>
  <c r="E882" i="6"/>
  <c r="C883" i="6"/>
  <c r="D883" i="6"/>
  <c r="E883" i="6"/>
  <c r="C884" i="6"/>
  <c r="E884" i="6" s="1"/>
  <c r="D884" i="6"/>
  <c r="C885" i="6"/>
  <c r="D885" i="6"/>
  <c r="E885" i="6"/>
  <c r="C886" i="6"/>
  <c r="D886" i="6"/>
  <c r="E886" i="6"/>
  <c r="C887" i="6"/>
  <c r="D887" i="6"/>
  <c r="E887" i="6"/>
  <c r="C888" i="6"/>
  <c r="E888" i="6" s="1"/>
  <c r="D888" i="6"/>
  <c r="C889" i="6"/>
  <c r="D889" i="6"/>
  <c r="E889" i="6"/>
  <c r="C890" i="6"/>
  <c r="D890" i="6"/>
  <c r="E890" i="6"/>
  <c r="C891" i="6"/>
  <c r="D891" i="6"/>
  <c r="E891" i="6"/>
  <c r="C892" i="6"/>
  <c r="E892" i="6" s="1"/>
  <c r="D892" i="6"/>
  <c r="C893" i="6"/>
  <c r="D893" i="6"/>
  <c r="E893" i="6"/>
  <c r="C894" i="6"/>
  <c r="D894" i="6"/>
  <c r="E894" i="6"/>
  <c r="C895" i="6"/>
  <c r="D895" i="6"/>
  <c r="E895" i="6"/>
  <c r="C896" i="6"/>
  <c r="E896" i="6" s="1"/>
  <c r="D896" i="6"/>
  <c r="C897" i="6"/>
  <c r="D897" i="6"/>
  <c r="E897" i="6"/>
  <c r="C898" i="6"/>
  <c r="D898" i="6"/>
  <c r="E898" i="6"/>
  <c r="C899" i="6"/>
  <c r="D899" i="6"/>
  <c r="E899" i="6"/>
  <c r="C900" i="6"/>
  <c r="E900" i="6" s="1"/>
  <c r="D900" i="6"/>
  <c r="C901" i="6"/>
  <c r="D901" i="6"/>
  <c r="E901" i="6"/>
  <c r="C902" i="6"/>
  <c r="D902" i="6"/>
  <c r="E902" i="6"/>
  <c r="C903" i="6"/>
  <c r="D903" i="6"/>
  <c r="E903" i="6"/>
  <c r="C904" i="6"/>
  <c r="E904" i="6" s="1"/>
  <c r="D904" i="6"/>
  <c r="C905" i="6"/>
  <c r="D905" i="6"/>
  <c r="E905" i="6"/>
  <c r="C906" i="6"/>
  <c r="D906" i="6"/>
  <c r="E906" i="6"/>
  <c r="C907" i="6"/>
  <c r="D907" i="6"/>
  <c r="E907" i="6"/>
  <c r="C908" i="6"/>
  <c r="E908" i="6" s="1"/>
  <c r="D908" i="6"/>
  <c r="C909" i="6"/>
  <c r="D909" i="6"/>
  <c r="E909" i="6"/>
  <c r="C910" i="6"/>
  <c r="D910" i="6"/>
  <c r="E910" i="6"/>
  <c r="C911" i="6"/>
  <c r="D911" i="6"/>
  <c r="E911" i="6"/>
  <c r="C912" i="6"/>
  <c r="E912" i="6" s="1"/>
  <c r="D912" i="6"/>
  <c r="C913" i="6"/>
  <c r="D913" i="6"/>
  <c r="E913" i="6"/>
  <c r="C914" i="6"/>
  <c r="D914" i="6"/>
  <c r="E914" i="6"/>
  <c r="C915" i="6"/>
  <c r="D915" i="6"/>
  <c r="E915" i="6"/>
  <c r="C916" i="6"/>
  <c r="E916" i="6" s="1"/>
  <c r="D916" i="6"/>
  <c r="C917" i="6"/>
  <c r="D917" i="6"/>
  <c r="E917" i="6"/>
  <c r="C918" i="6"/>
  <c r="D918" i="6"/>
  <c r="E918" i="6"/>
  <c r="C919" i="6"/>
  <c r="D919" i="6"/>
  <c r="E919" i="6"/>
  <c r="C920" i="6"/>
  <c r="E920" i="6" s="1"/>
  <c r="D920" i="6"/>
  <c r="C921" i="6"/>
  <c r="D921" i="6"/>
  <c r="E921" i="6"/>
  <c r="C922" i="6"/>
  <c r="D922" i="6"/>
  <c r="E922" i="6"/>
  <c r="C923" i="6"/>
  <c r="D923" i="6"/>
  <c r="E923" i="6"/>
  <c r="C924" i="6"/>
  <c r="E924" i="6" s="1"/>
  <c r="D924" i="6"/>
  <c r="C925" i="6"/>
  <c r="D925" i="6"/>
  <c r="E925" i="6"/>
  <c r="C926" i="6"/>
  <c r="D926" i="6"/>
  <c r="E926" i="6"/>
  <c r="C927" i="6"/>
  <c r="D927" i="6"/>
  <c r="E927" i="6"/>
  <c r="C928" i="6"/>
  <c r="E928" i="6" s="1"/>
  <c r="D928" i="6"/>
  <c r="C929" i="6"/>
  <c r="D929" i="6"/>
  <c r="E929" i="6"/>
  <c r="C930" i="6"/>
  <c r="D930" i="6"/>
  <c r="E930" i="6"/>
  <c r="C931" i="6"/>
  <c r="D931" i="6"/>
  <c r="E931" i="6"/>
  <c r="C932" i="6"/>
  <c r="E932" i="6" s="1"/>
  <c r="D932" i="6"/>
  <c r="C933" i="6"/>
  <c r="D933" i="6"/>
  <c r="E933" i="6"/>
  <c r="C934" i="6"/>
  <c r="D934" i="6"/>
  <c r="E934" i="6"/>
  <c r="C935" i="6"/>
  <c r="D935" i="6"/>
  <c r="E935" i="6"/>
  <c r="C936" i="6"/>
  <c r="E936" i="6" s="1"/>
  <c r="D936" i="6"/>
  <c r="C937" i="6"/>
  <c r="D937" i="6"/>
  <c r="E937" i="6"/>
  <c r="C938" i="6"/>
  <c r="D938" i="6"/>
  <c r="E938" i="6"/>
  <c r="C939" i="6"/>
  <c r="D939" i="6"/>
  <c r="E939" i="6"/>
  <c r="C940" i="6"/>
  <c r="E940" i="6" s="1"/>
  <c r="D940" i="6"/>
  <c r="C941" i="6"/>
  <c r="D941" i="6"/>
  <c r="E941" i="6"/>
  <c r="C942" i="6"/>
  <c r="D942" i="6"/>
  <c r="E942" i="6"/>
  <c r="C943" i="6"/>
  <c r="D943" i="6"/>
  <c r="E943" i="6"/>
  <c r="C944" i="6"/>
  <c r="E944" i="6" s="1"/>
  <c r="D944" i="6"/>
  <c r="C945" i="6"/>
  <c r="D945" i="6"/>
  <c r="E945" i="6"/>
  <c r="C946" i="6"/>
  <c r="D946" i="6"/>
  <c r="E946" i="6"/>
  <c r="C947" i="6"/>
  <c r="D947" i="6"/>
  <c r="E947" i="6"/>
  <c r="C948" i="6"/>
  <c r="E948" i="6" s="1"/>
  <c r="D948" i="6"/>
  <c r="C949" i="6"/>
  <c r="D949" i="6"/>
  <c r="E949" i="6"/>
  <c r="C950" i="6"/>
  <c r="D950" i="6"/>
  <c r="E950" i="6"/>
  <c r="C951" i="6"/>
  <c r="D951" i="6"/>
  <c r="E951" i="6"/>
  <c r="C952" i="6"/>
  <c r="E952" i="6" s="1"/>
  <c r="D952" i="6"/>
  <c r="C953" i="6"/>
  <c r="D953" i="6"/>
  <c r="E953" i="6"/>
  <c r="C954" i="6"/>
  <c r="D954" i="6"/>
  <c r="E954" i="6"/>
  <c r="C955" i="6"/>
  <c r="D955" i="6"/>
  <c r="E955" i="6"/>
  <c r="C956" i="6"/>
  <c r="E956" i="6" s="1"/>
  <c r="D956" i="6"/>
  <c r="C957" i="6"/>
  <c r="D957" i="6"/>
  <c r="E957" i="6"/>
  <c r="C958" i="6"/>
  <c r="D958" i="6"/>
  <c r="E958" i="6"/>
  <c r="C959" i="6"/>
  <c r="D959" i="6"/>
  <c r="E959" i="6"/>
  <c r="C960" i="6"/>
  <c r="E960" i="6" s="1"/>
  <c r="D960" i="6"/>
  <c r="C961" i="6"/>
  <c r="D961" i="6"/>
  <c r="E961" i="6"/>
  <c r="C962" i="6"/>
  <c r="D962" i="6"/>
  <c r="E962" i="6"/>
  <c r="C963" i="6"/>
  <c r="D963" i="6"/>
  <c r="E963" i="6"/>
  <c r="C964" i="6"/>
  <c r="E964" i="6" s="1"/>
  <c r="D964" i="6"/>
  <c r="C965" i="6"/>
  <c r="D965" i="6"/>
  <c r="E965" i="6"/>
  <c r="C966" i="6"/>
  <c r="D966" i="6"/>
  <c r="E966" i="6"/>
  <c r="C967" i="6"/>
  <c r="D967" i="6"/>
  <c r="E967" i="6"/>
  <c r="C968" i="6"/>
  <c r="E968" i="6" s="1"/>
  <c r="D968" i="6"/>
  <c r="C969" i="6"/>
  <c r="D969" i="6"/>
  <c r="E969" i="6"/>
  <c r="C970" i="6"/>
  <c r="D970" i="6"/>
  <c r="E970" i="6"/>
  <c r="C971" i="6"/>
  <c r="D971" i="6"/>
  <c r="E971" i="6"/>
  <c r="C972" i="6"/>
  <c r="E972" i="6" s="1"/>
  <c r="D972" i="6"/>
  <c r="C973" i="6"/>
  <c r="D973" i="6"/>
  <c r="E973" i="6"/>
  <c r="C974" i="6"/>
  <c r="D974" i="6"/>
  <c r="E974" i="6"/>
  <c r="C975" i="6"/>
  <c r="D975" i="6"/>
  <c r="E975" i="6"/>
  <c r="C976" i="6"/>
  <c r="E976" i="6" s="1"/>
  <c r="D976" i="6"/>
  <c r="C977" i="6"/>
  <c r="D977" i="6"/>
  <c r="E977" i="6"/>
  <c r="C978" i="6"/>
  <c r="D978" i="6"/>
  <c r="E978" i="6"/>
  <c r="C979" i="6"/>
  <c r="D979" i="6"/>
  <c r="E979" i="6"/>
  <c r="C980" i="6"/>
  <c r="E980" i="6" s="1"/>
  <c r="D980" i="6"/>
  <c r="C981" i="6"/>
  <c r="D981" i="6"/>
  <c r="E981" i="6"/>
  <c r="C982" i="6"/>
  <c r="D982" i="6"/>
  <c r="E982" i="6"/>
  <c r="C983" i="6"/>
  <c r="D983" i="6"/>
  <c r="E983" i="6"/>
  <c r="C984" i="6"/>
  <c r="E984" i="6" s="1"/>
  <c r="D984" i="6"/>
  <c r="C985" i="6"/>
  <c r="D985" i="6"/>
  <c r="E985" i="6"/>
  <c r="C986" i="6"/>
  <c r="D986" i="6"/>
  <c r="E986" i="6"/>
  <c r="C987" i="6"/>
  <c r="D987" i="6"/>
  <c r="E987" i="6"/>
  <c r="C988" i="6"/>
  <c r="E988" i="6" s="1"/>
  <c r="D988" i="6"/>
  <c r="C989" i="6"/>
  <c r="D989" i="6"/>
  <c r="E989" i="6"/>
  <c r="C990" i="6"/>
  <c r="D990" i="6"/>
  <c r="E990" i="6"/>
  <c r="C991" i="6"/>
  <c r="D991" i="6"/>
  <c r="E991" i="6"/>
  <c r="C992" i="6"/>
  <c r="E992" i="6" s="1"/>
  <c r="D992" i="6"/>
  <c r="C993" i="6"/>
  <c r="D993" i="6"/>
  <c r="E993" i="6"/>
  <c r="C994" i="6"/>
  <c r="D994" i="6"/>
  <c r="E994" i="6"/>
  <c r="C995" i="6"/>
  <c r="D995" i="6"/>
  <c r="E995" i="6"/>
  <c r="C996" i="6"/>
  <c r="E996" i="6" s="1"/>
  <c r="D996" i="6"/>
  <c r="C997" i="6"/>
  <c r="D997" i="6"/>
  <c r="E997" i="6"/>
  <c r="C998" i="6"/>
  <c r="D998" i="6"/>
  <c r="E998" i="6"/>
  <c r="C999" i="6"/>
  <c r="D999" i="6"/>
  <c r="E999" i="6"/>
  <c r="C1000" i="6"/>
  <c r="E1000" i="6" s="1"/>
  <c r="D1000" i="6"/>
  <c r="C1001" i="6"/>
  <c r="D1001" i="6"/>
  <c r="E1001" i="6"/>
  <c r="E2" i="6"/>
  <c r="D2" i="6"/>
  <c r="C2" i="6"/>
  <c r="K3" i="2"/>
  <c r="K4" i="2"/>
  <c r="K5" i="2"/>
  <c r="K6" i="2"/>
  <c r="K7" i="2"/>
  <c r="K8" i="2"/>
  <c r="K9" i="2"/>
  <c r="K10" i="2"/>
  <c r="K11" i="2"/>
  <c r="K12" i="2"/>
  <c r="K14" i="2"/>
  <c r="B17" i="2"/>
  <c r="H807" i="3"/>
  <c r="H806" i="3"/>
  <c r="H805" i="3"/>
  <c r="H804" i="3"/>
  <c r="H803" i="3"/>
  <c r="H802" i="3"/>
  <c r="H801" i="3"/>
  <c r="H800" i="3"/>
  <c r="H799" i="3"/>
  <c r="H798" i="3"/>
  <c r="H797" i="3"/>
  <c r="H796" i="3"/>
  <c r="H795" i="3"/>
  <c r="H794" i="3"/>
  <c r="H793" i="3"/>
  <c r="H792" i="3"/>
  <c r="H791" i="3"/>
  <c r="H790" i="3"/>
  <c r="H789" i="3"/>
  <c r="H788" i="3"/>
  <c r="H787" i="3"/>
  <c r="H786" i="3"/>
  <c r="H785" i="3"/>
  <c r="H784" i="3"/>
  <c r="H783" i="3"/>
  <c r="H782" i="3"/>
  <c r="H781" i="3"/>
  <c r="H780" i="3"/>
  <c r="H779" i="3"/>
  <c r="H778" i="3"/>
  <c r="H777" i="3"/>
  <c r="H776" i="3"/>
  <c r="H775" i="3"/>
  <c r="H774" i="3"/>
  <c r="H773" i="3"/>
  <c r="H772" i="3"/>
  <c r="H771" i="3"/>
  <c r="H770" i="3"/>
  <c r="H769" i="3"/>
  <c r="H768" i="3"/>
  <c r="H767" i="3"/>
  <c r="H766" i="3"/>
  <c r="H765" i="3"/>
  <c r="H764" i="3"/>
  <c r="H763" i="3"/>
  <c r="H762" i="3"/>
  <c r="H761" i="3"/>
  <c r="H760" i="3"/>
  <c r="H759" i="3"/>
  <c r="H758" i="3"/>
  <c r="H757" i="3"/>
  <c r="H756" i="3"/>
  <c r="H755" i="3"/>
  <c r="H754" i="3"/>
  <c r="H753" i="3"/>
  <c r="H752" i="3"/>
  <c r="H751" i="3"/>
  <c r="H750" i="3"/>
  <c r="H749" i="3"/>
  <c r="H748" i="3"/>
  <c r="H747" i="3"/>
  <c r="H746" i="3"/>
  <c r="H745" i="3"/>
  <c r="H744" i="3"/>
  <c r="H743" i="3"/>
  <c r="H742" i="3"/>
  <c r="H741" i="3"/>
  <c r="H740" i="3"/>
  <c r="H739" i="3"/>
  <c r="H738" i="3"/>
  <c r="H737" i="3"/>
  <c r="H736" i="3"/>
  <c r="H735" i="3"/>
  <c r="H734" i="3"/>
  <c r="H733" i="3"/>
  <c r="H732" i="3"/>
  <c r="H731" i="3"/>
  <c r="H730" i="3"/>
  <c r="H729" i="3"/>
  <c r="H728" i="3"/>
  <c r="H727" i="3"/>
  <c r="H726" i="3"/>
  <c r="H725" i="3"/>
  <c r="H724" i="3"/>
  <c r="H723" i="3"/>
  <c r="H722" i="3"/>
  <c r="H721" i="3"/>
  <c r="H720" i="3"/>
  <c r="H719" i="3"/>
  <c r="H718" i="3"/>
  <c r="H717" i="3"/>
  <c r="H716" i="3"/>
  <c r="H715" i="3"/>
  <c r="H714" i="3"/>
  <c r="H713" i="3"/>
  <c r="H712" i="3"/>
  <c r="H711" i="3"/>
  <c r="H710" i="3"/>
  <c r="H709" i="3"/>
  <c r="H708" i="3"/>
  <c r="H707" i="3"/>
  <c r="H706" i="3"/>
  <c r="H705" i="3"/>
  <c r="H704" i="3"/>
  <c r="H703" i="3"/>
  <c r="H702" i="3"/>
  <c r="H701" i="3"/>
  <c r="H700" i="3"/>
  <c r="H699" i="3"/>
  <c r="H698" i="3"/>
  <c r="H697" i="3"/>
  <c r="H696" i="3"/>
  <c r="H695" i="3"/>
  <c r="H694" i="3"/>
  <c r="H693" i="3"/>
  <c r="H692" i="3"/>
  <c r="H691" i="3"/>
  <c r="H690" i="3"/>
  <c r="H689" i="3"/>
  <c r="H688" i="3"/>
  <c r="H687" i="3"/>
  <c r="H686" i="3"/>
  <c r="H685" i="3"/>
  <c r="H684" i="3"/>
  <c r="H683" i="3"/>
  <c r="H682" i="3"/>
  <c r="H681" i="3"/>
  <c r="H680" i="3"/>
  <c r="H679" i="3"/>
  <c r="H678" i="3"/>
  <c r="H677" i="3"/>
  <c r="H676" i="3"/>
  <c r="H675" i="3"/>
  <c r="H674" i="3"/>
  <c r="H673" i="3"/>
  <c r="H672" i="3"/>
  <c r="H671" i="3"/>
  <c r="H670" i="3"/>
  <c r="H669" i="3"/>
  <c r="H668" i="3"/>
  <c r="H667" i="3"/>
  <c r="H666" i="3"/>
  <c r="H665" i="3"/>
  <c r="H664" i="3"/>
  <c r="H663" i="3"/>
  <c r="H662" i="3"/>
  <c r="H661" i="3"/>
  <c r="H660" i="3"/>
  <c r="H659" i="3"/>
  <c r="H658" i="3"/>
  <c r="H657" i="3"/>
  <c r="H656" i="3"/>
  <c r="H655" i="3"/>
  <c r="H654" i="3"/>
  <c r="H653" i="3"/>
  <c r="H652" i="3"/>
  <c r="H651" i="3"/>
  <c r="H650" i="3"/>
  <c r="H649" i="3"/>
  <c r="H648" i="3"/>
  <c r="H647" i="3"/>
  <c r="H646" i="3"/>
  <c r="H645" i="3"/>
  <c r="H644" i="3"/>
  <c r="H643" i="3"/>
  <c r="H642" i="3"/>
  <c r="H641" i="3"/>
  <c r="H640" i="3"/>
  <c r="H639" i="3"/>
  <c r="H638" i="3"/>
  <c r="H637" i="3"/>
  <c r="H636" i="3"/>
  <c r="H635" i="3"/>
  <c r="H634" i="3"/>
  <c r="H633" i="3"/>
  <c r="H632" i="3"/>
  <c r="H631" i="3"/>
  <c r="H630" i="3"/>
  <c r="H629" i="3"/>
  <c r="H628" i="3"/>
  <c r="H627" i="3"/>
  <c r="H626" i="3"/>
  <c r="H625" i="3"/>
  <c r="H624" i="3"/>
  <c r="H623" i="3"/>
  <c r="H622" i="3"/>
  <c r="H621" i="3"/>
  <c r="H620" i="3"/>
  <c r="H619" i="3"/>
  <c r="H618" i="3"/>
  <c r="H617" i="3"/>
  <c r="H616" i="3"/>
  <c r="H615" i="3"/>
  <c r="H614" i="3"/>
  <c r="H613" i="3"/>
  <c r="H612" i="3"/>
  <c r="H611" i="3"/>
  <c r="H610" i="3"/>
  <c r="H609" i="3"/>
  <c r="H608" i="3"/>
  <c r="H607" i="3"/>
  <c r="H606" i="3"/>
  <c r="H605" i="3"/>
  <c r="H604" i="3"/>
  <c r="H603" i="3"/>
  <c r="H602" i="3"/>
  <c r="H601" i="3"/>
  <c r="H600" i="3"/>
  <c r="H599" i="3"/>
  <c r="H598" i="3"/>
  <c r="H597" i="3"/>
  <c r="H596" i="3"/>
  <c r="H595" i="3"/>
  <c r="H594" i="3"/>
  <c r="H593" i="3"/>
  <c r="H592" i="3"/>
  <c r="H591" i="3"/>
  <c r="H590" i="3"/>
  <c r="H589" i="3"/>
  <c r="H588" i="3"/>
  <c r="H587" i="3"/>
  <c r="H586" i="3"/>
  <c r="H585" i="3"/>
  <c r="H584" i="3"/>
  <c r="H583" i="3"/>
  <c r="H582" i="3"/>
  <c r="H581" i="3"/>
  <c r="H580" i="3"/>
  <c r="H579" i="3"/>
  <c r="H578" i="3"/>
  <c r="H577" i="3"/>
  <c r="H576" i="3"/>
  <c r="H575" i="3"/>
  <c r="H574" i="3"/>
  <c r="H573" i="3"/>
  <c r="H572" i="3"/>
  <c r="H571" i="3"/>
  <c r="H570" i="3"/>
  <c r="H569" i="3"/>
  <c r="H568" i="3"/>
  <c r="H567" i="3"/>
  <c r="H566" i="3"/>
  <c r="H565" i="3"/>
  <c r="H564" i="3"/>
  <c r="H563" i="3"/>
  <c r="H562" i="3"/>
  <c r="H561" i="3"/>
  <c r="H560" i="3"/>
  <c r="H559" i="3"/>
  <c r="H558" i="3"/>
  <c r="H557" i="3"/>
  <c r="H556" i="3"/>
  <c r="H555" i="3"/>
  <c r="H554" i="3"/>
  <c r="H553" i="3"/>
  <c r="H552" i="3"/>
  <c r="H551" i="3"/>
  <c r="H550" i="3"/>
  <c r="H549" i="3"/>
  <c r="H548" i="3"/>
  <c r="H547" i="3"/>
  <c r="H546" i="3"/>
  <c r="H545" i="3"/>
  <c r="H544" i="3"/>
  <c r="H543" i="3"/>
  <c r="H542" i="3"/>
  <c r="H541" i="3"/>
  <c r="H540" i="3"/>
  <c r="H539" i="3"/>
  <c r="H538" i="3"/>
  <c r="H537" i="3"/>
  <c r="H536" i="3"/>
  <c r="H535" i="3"/>
  <c r="H534" i="3"/>
  <c r="H533" i="3"/>
  <c r="H532" i="3"/>
  <c r="H531" i="3"/>
  <c r="H530" i="3"/>
  <c r="H529" i="3"/>
  <c r="H528" i="3"/>
  <c r="H527" i="3"/>
  <c r="H526" i="3"/>
  <c r="H525" i="3"/>
  <c r="H524" i="3"/>
  <c r="H523" i="3"/>
  <c r="H522" i="3"/>
  <c r="H521" i="3"/>
  <c r="H520" i="3"/>
  <c r="H519" i="3"/>
  <c r="H518" i="3"/>
  <c r="H517" i="3"/>
  <c r="H516" i="3"/>
  <c r="H515" i="3"/>
  <c r="H514" i="3"/>
  <c r="H513" i="3"/>
  <c r="H512" i="3"/>
  <c r="H511" i="3"/>
  <c r="H510" i="3"/>
  <c r="H509" i="3"/>
  <c r="H508" i="3"/>
  <c r="H507" i="3"/>
  <c r="H506" i="3"/>
  <c r="H505" i="3"/>
  <c r="H504" i="3"/>
  <c r="H503" i="3"/>
  <c r="H502" i="3"/>
  <c r="H501" i="3"/>
  <c r="H500" i="3"/>
  <c r="H499" i="3"/>
  <c r="H498" i="3"/>
  <c r="H497" i="3"/>
  <c r="H496" i="3"/>
  <c r="H495" i="3"/>
  <c r="H494" i="3"/>
  <c r="H493" i="3"/>
  <c r="H492" i="3"/>
  <c r="H491" i="3"/>
  <c r="H490" i="3"/>
  <c r="H489" i="3"/>
  <c r="H488" i="3"/>
  <c r="H487" i="3"/>
  <c r="H486" i="3"/>
  <c r="H485" i="3"/>
  <c r="H484" i="3"/>
  <c r="H483" i="3"/>
  <c r="H482" i="3"/>
  <c r="H481" i="3"/>
  <c r="H480" i="3"/>
  <c r="H479" i="3"/>
  <c r="H478" i="3"/>
  <c r="H477" i="3"/>
  <c r="H476" i="3"/>
  <c r="H475" i="3"/>
  <c r="H474" i="3"/>
  <c r="H473" i="3"/>
  <c r="H472" i="3"/>
  <c r="H471" i="3"/>
  <c r="H470" i="3"/>
  <c r="H469" i="3"/>
  <c r="H468" i="3"/>
  <c r="H467" i="3"/>
  <c r="H466" i="3"/>
  <c r="H465" i="3"/>
  <c r="H464" i="3"/>
  <c r="H463" i="3"/>
  <c r="H462" i="3"/>
  <c r="H461" i="3"/>
  <c r="H460" i="3"/>
  <c r="H459" i="3"/>
  <c r="H458" i="3"/>
  <c r="H457" i="3"/>
  <c r="H456" i="3"/>
  <c r="H455" i="3"/>
  <c r="H454" i="3"/>
  <c r="H453" i="3"/>
  <c r="H452" i="3"/>
  <c r="H451" i="3"/>
  <c r="H450" i="3"/>
  <c r="H449" i="3"/>
  <c r="H448" i="3"/>
  <c r="H447" i="3"/>
  <c r="H446" i="3"/>
  <c r="H445" i="3"/>
  <c r="H444" i="3"/>
  <c r="H443" i="3"/>
  <c r="H442" i="3"/>
  <c r="H441" i="3"/>
  <c r="H440" i="3"/>
  <c r="H439" i="3"/>
  <c r="H438" i="3"/>
  <c r="H437" i="3"/>
  <c r="H436" i="3"/>
  <c r="H435" i="3"/>
  <c r="H434" i="3"/>
  <c r="H433" i="3"/>
  <c r="H432" i="3"/>
  <c r="H431" i="3"/>
  <c r="H430" i="3"/>
  <c r="H429" i="3"/>
  <c r="H428" i="3"/>
  <c r="H427" i="3"/>
  <c r="H426" i="3"/>
  <c r="H425" i="3"/>
  <c r="H424" i="3"/>
  <c r="H423" i="3"/>
  <c r="H422" i="3"/>
  <c r="H421" i="3"/>
  <c r="H420" i="3"/>
  <c r="H419" i="3"/>
  <c r="H418" i="3"/>
  <c r="H417" i="3"/>
  <c r="H416" i="3"/>
  <c r="H415" i="3"/>
  <c r="H414" i="3"/>
  <c r="H413" i="3"/>
  <c r="H412" i="3"/>
  <c r="H411" i="3"/>
  <c r="H410" i="3"/>
  <c r="H409" i="3"/>
  <c r="H408" i="3"/>
  <c r="H407" i="3"/>
  <c r="H406" i="3"/>
  <c r="H405" i="3"/>
  <c r="H404" i="3"/>
  <c r="H403" i="3"/>
  <c r="H402" i="3"/>
  <c r="H401" i="3"/>
  <c r="H400" i="3"/>
  <c r="H399" i="3"/>
  <c r="H398" i="3"/>
  <c r="H397" i="3"/>
  <c r="H396" i="3"/>
  <c r="H395" i="3"/>
  <c r="H394" i="3"/>
  <c r="H393" i="3"/>
  <c r="H392" i="3"/>
  <c r="H391" i="3"/>
  <c r="H390" i="3"/>
  <c r="H389" i="3"/>
  <c r="H388" i="3"/>
  <c r="H387" i="3"/>
  <c r="H386" i="3"/>
  <c r="H385" i="3"/>
  <c r="H384" i="3"/>
  <c r="H383" i="3"/>
  <c r="H382" i="3"/>
  <c r="H381" i="3"/>
  <c r="H380" i="3"/>
  <c r="H379" i="3"/>
  <c r="H378" i="3"/>
  <c r="H377" i="3"/>
  <c r="H376" i="3"/>
  <c r="H375" i="3"/>
  <c r="H374" i="3"/>
  <c r="H373" i="3"/>
  <c r="H372" i="3"/>
  <c r="H371" i="3"/>
  <c r="H370" i="3"/>
  <c r="H369" i="3"/>
  <c r="H368" i="3"/>
  <c r="H367" i="3"/>
  <c r="H366" i="3"/>
  <c r="H365" i="3"/>
  <c r="H364" i="3"/>
  <c r="H363" i="3"/>
  <c r="H362" i="3"/>
  <c r="H361" i="3"/>
  <c r="H360" i="3"/>
  <c r="H359" i="3"/>
  <c r="H358" i="3"/>
  <c r="H357" i="3"/>
  <c r="H356" i="3"/>
  <c r="H355" i="3"/>
  <c r="H354" i="3"/>
  <c r="H353" i="3"/>
  <c r="H352" i="3"/>
  <c r="H351" i="3"/>
  <c r="H350" i="3"/>
  <c r="H349" i="3"/>
  <c r="H348" i="3"/>
  <c r="H347" i="3"/>
  <c r="H346" i="3"/>
  <c r="H345" i="3"/>
  <c r="H344" i="3"/>
  <c r="H343" i="3"/>
  <c r="H342" i="3"/>
  <c r="H341" i="3"/>
  <c r="H340" i="3"/>
  <c r="H339" i="3"/>
  <c r="H338" i="3"/>
  <c r="H337" i="3"/>
  <c r="H336" i="3"/>
  <c r="H335" i="3"/>
  <c r="H334" i="3"/>
  <c r="H333" i="3"/>
  <c r="H332" i="3"/>
  <c r="H331" i="3"/>
  <c r="H330" i="3"/>
  <c r="H329" i="3"/>
  <c r="H328" i="3"/>
  <c r="H327" i="3"/>
  <c r="H326" i="3"/>
  <c r="H325" i="3"/>
  <c r="H324" i="3"/>
  <c r="H323" i="3"/>
  <c r="H322" i="3"/>
  <c r="H321" i="3"/>
  <c r="H320" i="3"/>
  <c r="H319" i="3"/>
  <c r="H318" i="3"/>
  <c r="H317" i="3"/>
  <c r="H316" i="3"/>
  <c r="H315" i="3"/>
  <c r="H314" i="3"/>
  <c r="H313" i="3"/>
  <c r="H312" i="3"/>
  <c r="H311" i="3"/>
  <c r="H310" i="3"/>
  <c r="H309" i="3"/>
  <c r="H308" i="3"/>
  <c r="H307" i="3"/>
  <c r="H306" i="3"/>
  <c r="H305" i="3"/>
  <c r="H304" i="3"/>
  <c r="H303" i="3"/>
  <c r="H302" i="3"/>
  <c r="H301" i="3"/>
  <c r="H300" i="3"/>
  <c r="H299" i="3"/>
  <c r="H298" i="3"/>
  <c r="H297" i="3"/>
  <c r="H296" i="3"/>
  <c r="H295" i="3"/>
  <c r="H294" i="3"/>
  <c r="H293" i="3"/>
  <c r="H292" i="3"/>
  <c r="H291" i="3"/>
  <c r="H290" i="3"/>
  <c r="H289" i="3"/>
  <c r="H288" i="3"/>
  <c r="H287" i="3"/>
  <c r="H286" i="3"/>
  <c r="H285" i="3"/>
  <c r="H284" i="3"/>
  <c r="H283" i="3"/>
  <c r="H282" i="3"/>
  <c r="H281" i="3"/>
  <c r="H280" i="3"/>
  <c r="H279" i="3"/>
  <c r="H278" i="3"/>
  <c r="H277" i="3"/>
  <c r="H276" i="3"/>
  <c r="H275" i="3"/>
  <c r="H274" i="3"/>
  <c r="H273" i="3"/>
  <c r="H272" i="3"/>
  <c r="H271" i="3"/>
  <c r="H270" i="3"/>
  <c r="H269" i="3"/>
  <c r="H268" i="3"/>
  <c r="H267" i="3"/>
  <c r="H266" i="3"/>
  <c r="H265" i="3"/>
  <c r="H264" i="3"/>
  <c r="H263" i="3"/>
  <c r="H262" i="3"/>
  <c r="H261" i="3"/>
  <c r="H260" i="3"/>
  <c r="H259" i="3"/>
  <c r="H258" i="3"/>
  <c r="H257" i="3"/>
  <c r="H256" i="3"/>
  <c r="H255" i="3"/>
  <c r="H254" i="3"/>
  <c r="H253" i="3"/>
  <c r="H252" i="3"/>
  <c r="H251" i="3"/>
  <c r="H250" i="3"/>
  <c r="H249" i="3"/>
  <c r="H248" i="3"/>
  <c r="H247" i="3"/>
  <c r="H246" i="3"/>
  <c r="H245" i="3"/>
  <c r="H244" i="3"/>
  <c r="H243" i="3"/>
  <c r="H242" i="3"/>
  <c r="H241" i="3"/>
  <c r="H240" i="3"/>
  <c r="H239" i="3"/>
  <c r="H238" i="3"/>
  <c r="H237" i="3"/>
  <c r="H236" i="3"/>
  <c r="H235" i="3"/>
  <c r="H234" i="3"/>
  <c r="H233" i="3"/>
  <c r="H232" i="3"/>
  <c r="H231" i="3"/>
  <c r="H230" i="3"/>
  <c r="H229" i="3"/>
  <c r="H228" i="3"/>
  <c r="H227" i="3"/>
  <c r="H226" i="3"/>
  <c r="H225" i="3"/>
  <c r="H224" i="3"/>
  <c r="H223" i="3"/>
  <c r="H222" i="3"/>
  <c r="H221" i="3"/>
  <c r="H220" i="3"/>
  <c r="H219" i="3"/>
  <c r="H218" i="3"/>
  <c r="H217" i="3"/>
  <c r="H216" i="3"/>
  <c r="H215" i="3"/>
  <c r="H214" i="3"/>
  <c r="H213" i="3"/>
  <c r="H212" i="3"/>
  <c r="H211" i="3"/>
  <c r="H210" i="3"/>
  <c r="H209" i="3"/>
  <c r="H208" i="3"/>
  <c r="H207" i="3"/>
  <c r="H206" i="3"/>
  <c r="H205" i="3"/>
  <c r="H204" i="3"/>
  <c r="H203" i="3"/>
  <c r="H202" i="3"/>
  <c r="H201" i="3"/>
  <c r="H200" i="3"/>
  <c r="H199" i="3"/>
  <c r="H198" i="3"/>
  <c r="H197" i="3"/>
  <c r="H196" i="3"/>
  <c r="H195" i="3"/>
  <c r="H194" i="3"/>
  <c r="H193" i="3"/>
  <c r="H192" i="3"/>
  <c r="H191" i="3"/>
  <c r="H190" i="3"/>
  <c r="H189" i="3"/>
  <c r="H188" i="3"/>
  <c r="H187" i="3"/>
  <c r="H186" i="3"/>
  <c r="H185" i="3"/>
  <c r="H184" i="3"/>
  <c r="H183" i="3"/>
  <c r="H182" i="3"/>
  <c r="H181" i="3"/>
  <c r="H180" i="3"/>
  <c r="H179" i="3"/>
  <c r="H178" i="3"/>
  <c r="H177" i="3"/>
  <c r="H176" i="3"/>
  <c r="H175" i="3"/>
  <c r="H174" i="3"/>
  <c r="H173" i="3"/>
  <c r="H172" i="3"/>
  <c r="H171" i="3"/>
  <c r="H170" i="3"/>
  <c r="H169" i="3"/>
  <c r="H168" i="3"/>
  <c r="H167" i="3"/>
  <c r="H166" i="3"/>
  <c r="H165" i="3"/>
  <c r="H164" i="3"/>
  <c r="H163" i="3"/>
  <c r="H162" i="3"/>
  <c r="H161" i="3"/>
  <c r="H160" i="3"/>
  <c r="H159" i="3"/>
  <c r="H158" i="3"/>
  <c r="H157" i="3"/>
  <c r="H156" i="3"/>
  <c r="H155" i="3"/>
  <c r="H154" i="3"/>
  <c r="H153" i="3"/>
  <c r="H152" i="3"/>
  <c r="H151" i="3"/>
  <c r="H150" i="3"/>
  <c r="H149" i="3"/>
  <c r="H148" i="3"/>
  <c r="H147" i="3"/>
  <c r="H146" i="3"/>
  <c r="H145" i="3"/>
  <c r="H144" i="3"/>
  <c r="H143" i="3"/>
  <c r="H142" i="3"/>
  <c r="H141" i="3"/>
  <c r="H140" i="3"/>
  <c r="H139" i="3"/>
  <c r="H138" i="3"/>
  <c r="H137" i="3"/>
  <c r="H136" i="3"/>
  <c r="H135" i="3"/>
  <c r="H134" i="3"/>
  <c r="H133" i="3"/>
  <c r="H132" i="3"/>
  <c r="H131" i="3"/>
  <c r="H130" i="3"/>
  <c r="H129" i="3"/>
  <c r="H128" i="3"/>
  <c r="H127" i="3"/>
  <c r="H126" i="3"/>
  <c r="H125" i="3"/>
  <c r="H124" i="3"/>
  <c r="H123" i="3"/>
  <c r="H122" i="3"/>
  <c r="H121" i="3"/>
  <c r="H120" i="3"/>
  <c r="H119" i="3"/>
  <c r="H118" i="3"/>
  <c r="H117" i="3"/>
  <c r="H116" i="3"/>
  <c r="H115" i="3"/>
  <c r="H114" i="3"/>
  <c r="H113" i="3"/>
  <c r="H112" i="3"/>
  <c r="H111" i="3"/>
  <c r="H110" i="3"/>
  <c r="H109" i="3"/>
  <c r="H108" i="3"/>
  <c r="H107" i="3"/>
  <c r="H106" i="3"/>
  <c r="H105" i="3"/>
  <c r="H104" i="3"/>
  <c r="H103" i="3"/>
  <c r="H102" i="3"/>
  <c r="H101" i="3"/>
  <c r="H100" i="3"/>
  <c r="H99" i="3"/>
  <c r="H98" i="3"/>
  <c r="H97" i="3"/>
  <c r="H96" i="3"/>
  <c r="H95" i="3"/>
  <c r="H94" i="3"/>
  <c r="H93" i="3"/>
  <c r="H92" i="3"/>
  <c r="H91" i="3"/>
  <c r="H90" i="3"/>
  <c r="H89" i="3"/>
  <c r="H88" i="3"/>
  <c r="H87" i="3"/>
  <c r="H86" i="3"/>
  <c r="H85" i="3"/>
  <c r="H84" i="3"/>
  <c r="H83" i="3"/>
  <c r="H82" i="3"/>
  <c r="H81" i="3"/>
  <c r="H80" i="3"/>
  <c r="H79" i="3"/>
  <c r="H78" i="3"/>
  <c r="H77" i="3"/>
  <c r="H76" i="3"/>
  <c r="H75" i="3"/>
  <c r="H74" i="3"/>
  <c r="H73" i="3"/>
  <c r="H72" i="3"/>
  <c r="H71" i="3"/>
  <c r="H70" i="3"/>
  <c r="H69" i="3"/>
  <c r="H68" i="3"/>
  <c r="H67" i="3"/>
  <c r="H66" i="3"/>
  <c r="H65" i="3"/>
  <c r="H64" i="3"/>
  <c r="H63" i="3"/>
  <c r="H62" i="3"/>
  <c r="H61" i="3"/>
  <c r="H60" i="3"/>
  <c r="H59" i="3"/>
  <c r="H58" i="3"/>
  <c r="H57" i="3"/>
  <c r="H56" i="3"/>
  <c r="H55" i="3"/>
  <c r="H54" i="3"/>
  <c r="H53" i="3"/>
  <c r="H52" i="3"/>
  <c r="H51" i="3"/>
  <c r="H50" i="3"/>
  <c r="H49" i="3"/>
  <c r="H48" i="3"/>
  <c r="H47" i="3"/>
  <c r="H46" i="3"/>
  <c r="H45" i="3"/>
  <c r="H44" i="3"/>
  <c r="H43" i="3"/>
  <c r="H42" i="3"/>
  <c r="H41" i="3"/>
  <c r="H40" i="3"/>
  <c r="H39" i="3"/>
  <c r="H38" i="3"/>
  <c r="H37" i="3"/>
  <c r="H36" i="3"/>
  <c r="H35" i="3"/>
  <c r="H34" i="3"/>
  <c r="H33" i="3"/>
  <c r="H32" i="3"/>
  <c r="H31" i="3"/>
  <c r="H30" i="3"/>
  <c r="H29" i="3"/>
  <c r="H28" i="3"/>
  <c r="H27" i="3"/>
  <c r="H26" i="3"/>
  <c r="H25" i="3"/>
  <c r="H24" i="3"/>
  <c r="H23" i="3"/>
  <c r="H22" i="3"/>
  <c r="H21" i="3"/>
  <c r="H20" i="3"/>
  <c r="H19" i="3"/>
  <c r="H18" i="3"/>
  <c r="H17" i="3"/>
  <c r="H16" i="3"/>
  <c r="H15" i="3"/>
  <c r="H14" i="3"/>
  <c r="H13" i="3"/>
  <c r="H12" i="3"/>
  <c r="H11" i="3"/>
  <c r="H10" i="3"/>
  <c r="H9" i="3"/>
  <c r="H8" i="3"/>
  <c r="H7" i="3"/>
  <c r="H6" i="3"/>
  <c r="H5" i="3"/>
  <c r="H4" i="3"/>
  <c r="H3" i="3"/>
  <c r="H2" i="3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39" i="3"/>
  <c r="G40" i="3"/>
  <c r="G41" i="3"/>
  <c r="G42" i="3"/>
  <c r="G43" i="3"/>
  <c r="G44" i="3"/>
  <c r="G45" i="3"/>
  <c r="G46" i="3"/>
  <c r="G47" i="3"/>
  <c r="G48" i="3"/>
  <c r="G49" i="3"/>
  <c r="G50" i="3"/>
  <c r="G51" i="3"/>
  <c r="G52" i="3"/>
  <c r="G53" i="3"/>
  <c r="G54" i="3"/>
  <c r="G55" i="3"/>
  <c r="G56" i="3"/>
  <c r="G57" i="3"/>
  <c r="G58" i="3"/>
  <c r="G59" i="3"/>
  <c r="G60" i="3"/>
  <c r="G61" i="3"/>
  <c r="G62" i="3"/>
  <c r="G63" i="3"/>
  <c r="G64" i="3"/>
  <c r="G65" i="3"/>
  <c r="G66" i="3"/>
  <c r="G67" i="3"/>
  <c r="G68" i="3"/>
  <c r="G69" i="3"/>
  <c r="G70" i="3"/>
  <c r="G71" i="3"/>
  <c r="G72" i="3"/>
  <c r="G73" i="3"/>
  <c r="G74" i="3"/>
  <c r="G75" i="3"/>
  <c r="G76" i="3"/>
  <c r="G77" i="3"/>
  <c r="G78" i="3"/>
  <c r="G79" i="3"/>
  <c r="G80" i="3"/>
  <c r="G81" i="3"/>
  <c r="G82" i="3"/>
  <c r="G83" i="3"/>
  <c r="G84" i="3"/>
  <c r="G85" i="3"/>
  <c r="G86" i="3"/>
  <c r="G87" i="3"/>
  <c r="G88" i="3"/>
  <c r="G89" i="3"/>
  <c r="G90" i="3"/>
  <c r="G91" i="3"/>
  <c r="G92" i="3"/>
  <c r="G93" i="3"/>
  <c r="G94" i="3"/>
  <c r="G95" i="3"/>
  <c r="G96" i="3"/>
  <c r="G97" i="3"/>
  <c r="G98" i="3"/>
  <c r="G99" i="3"/>
  <c r="G100" i="3"/>
  <c r="G101" i="3"/>
  <c r="G102" i="3"/>
  <c r="G103" i="3"/>
  <c r="G104" i="3"/>
  <c r="G105" i="3"/>
  <c r="G106" i="3"/>
  <c r="G107" i="3"/>
  <c r="G108" i="3"/>
  <c r="G109" i="3"/>
  <c r="G110" i="3"/>
  <c r="G111" i="3"/>
  <c r="G112" i="3"/>
  <c r="G113" i="3"/>
  <c r="G114" i="3"/>
  <c r="G115" i="3"/>
  <c r="G116" i="3"/>
  <c r="G117" i="3"/>
  <c r="G118" i="3"/>
  <c r="G119" i="3"/>
  <c r="G120" i="3"/>
  <c r="G121" i="3"/>
  <c r="G122" i="3"/>
  <c r="G123" i="3"/>
  <c r="G124" i="3"/>
  <c r="G125" i="3"/>
  <c r="G126" i="3"/>
  <c r="G127" i="3"/>
  <c r="G128" i="3"/>
  <c r="G129" i="3"/>
  <c r="G130" i="3"/>
  <c r="G131" i="3"/>
  <c r="G132" i="3"/>
  <c r="G133" i="3"/>
  <c r="G134" i="3"/>
  <c r="G135" i="3"/>
  <c r="G136" i="3"/>
  <c r="G137" i="3"/>
  <c r="G138" i="3"/>
  <c r="G139" i="3"/>
  <c r="G140" i="3"/>
  <c r="G141" i="3"/>
  <c r="G142" i="3"/>
  <c r="G143" i="3"/>
  <c r="G144" i="3"/>
  <c r="G145" i="3"/>
  <c r="G146" i="3"/>
  <c r="G147" i="3"/>
  <c r="G148" i="3"/>
  <c r="G149" i="3"/>
  <c r="G150" i="3"/>
  <c r="G151" i="3"/>
  <c r="G152" i="3"/>
  <c r="G153" i="3"/>
  <c r="G154" i="3"/>
  <c r="G155" i="3"/>
  <c r="G156" i="3"/>
  <c r="G157" i="3"/>
  <c r="G158" i="3"/>
  <c r="G159" i="3"/>
  <c r="G160" i="3"/>
  <c r="G161" i="3"/>
  <c r="G162" i="3"/>
  <c r="G163" i="3"/>
  <c r="G164" i="3"/>
  <c r="G165" i="3"/>
  <c r="G166" i="3"/>
  <c r="G167" i="3"/>
  <c r="G168" i="3"/>
  <c r="G169" i="3"/>
  <c r="G170" i="3"/>
  <c r="G171" i="3"/>
  <c r="G172" i="3"/>
  <c r="G173" i="3"/>
  <c r="G174" i="3"/>
  <c r="G175" i="3"/>
  <c r="G176" i="3"/>
  <c r="G177" i="3"/>
  <c r="G178" i="3"/>
  <c r="G179" i="3"/>
  <c r="G180" i="3"/>
  <c r="G181" i="3"/>
  <c r="G182" i="3"/>
  <c r="G183" i="3"/>
  <c r="G184" i="3"/>
  <c r="G185" i="3"/>
  <c r="G186" i="3"/>
  <c r="G187" i="3"/>
  <c r="G188" i="3"/>
  <c r="G189" i="3"/>
  <c r="G190" i="3"/>
  <c r="G191" i="3"/>
  <c r="G192" i="3"/>
  <c r="G193" i="3"/>
  <c r="G194" i="3"/>
  <c r="G195" i="3"/>
  <c r="G196" i="3"/>
  <c r="G197" i="3"/>
  <c r="G198" i="3"/>
  <c r="G199" i="3"/>
  <c r="G200" i="3"/>
  <c r="G201" i="3"/>
  <c r="G202" i="3"/>
  <c r="G203" i="3"/>
  <c r="G204" i="3"/>
  <c r="G205" i="3"/>
  <c r="G206" i="3"/>
  <c r="G207" i="3"/>
  <c r="G208" i="3"/>
  <c r="G209" i="3"/>
  <c r="G210" i="3"/>
  <c r="G211" i="3"/>
  <c r="G212" i="3"/>
  <c r="G213" i="3"/>
  <c r="G214" i="3"/>
  <c r="G215" i="3"/>
  <c r="G216" i="3"/>
  <c r="G217" i="3"/>
  <c r="G218" i="3"/>
  <c r="G219" i="3"/>
  <c r="G220" i="3"/>
  <c r="G221" i="3"/>
  <c r="G222" i="3"/>
  <c r="G223" i="3"/>
  <c r="G224" i="3"/>
  <c r="G225" i="3"/>
  <c r="G226" i="3"/>
  <c r="G227" i="3"/>
  <c r="G228" i="3"/>
  <c r="G229" i="3"/>
  <c r="G230" i="3"/>
  <c r="G231" i="3"/>
  <c r="G232" i="3"/>
  <c r="G233" i="3"/>
  <c r="G234" i="3"/>
  <c r="G235" i="3"/>
  <c r="G236" i="3"/>
  <c r="G237" i="3"/>
  <c r="G238" i="3"/>
  <c r="G239" i="3"/>
  <c r="G240" i="3"/>
  <c r="G241" i="3"/>
  <c r="G242" i="3"/>
  <c r="G243" i="3"/>
  <c r="G244" i="3"/>
  <c r="G245" i="3"/>
  <c r="G246" i="3"/>
  <c r="G247" i="3"/>
  <c r="G248" i="3"/>
  <c r="G249" i="3"/>
  <c r="G250" i="3"/>
  <c r="G251" i="3"/>
  <c r="G252" i="3"/>
  <c r="G253" i="3"/>
  <c r="G254" i="3"/>
  <c r="G255" i="3"/>
  <c r="G256" i="3"/>
  <c r="G257" i="3"/>
  <c r="G258" i="3"/>
  <c r="G259" i="3"/>
  <c r="G260" i="3"/>
  <c r="G261" i="3"/>
  <c r="G262" i="3"/>
  <c r="G263" i="3"/>
  <c r="G264" i="3"/>
  <c r="G265" i="3"/>
  <c r="G266" i="3"/>
  <c r="G267" i="3"/>
  <c r="G268" i="3"/>
  <c r="G269" i="3"/>
  <c r="G270" i="3"/>
  <c r="G271" i="3"/>
  <c r="G272" i="3"/>
  <c r="G273" i="3"/>
  <c r="G274" i="3"/>
  <c r="G275" i="3"/>
  <c r="G276" i="3"/>
  <c r="G277" i="3"/>
  <c r="G278" i="3"/>
  <c r="G279" i="3"/>
  <c r="G280" i="3"/>
  <c r="G281" i="3"/>
  <c r="G282" i="3"/>
  <c r="G283" i="3"/>
  <c r="G284" i="3"/>
  <c r="G285" i="3"/>
  <c r="G286" i="3"/>
  <c r="G287" i="3"/>
  <c r="G288" i="3"/>
  <c r="G289" i="3"/>
  <c r="G290" i="3"/>
  <c r="G291" i="3"/>
  <c r="G292" i="3"/>
  <c r="G293" i="3"/>
  <c r="G294" i="3"/>
  <c r="G295" i="3"/>
  <c r="G296" i="3"/>
  <c r="G297" i="3"/>
  <c r="G298" i="3"/>
  <c r="G299" i="3"/>
  <c r="G300" i="3"/>
  <c r="G301" i="3"/>
  <c r="G302" i="3"/>
  <c r="G303" i="3"/>
  <c r="G304" i="3"/>
  <c r="G305" i="3"/>
  <c r="G306" i="3"/>
  <c r="G307" i="3"/>
  <c r="G308" i="3"/>
  <c r="G309" i="3"/>
  <c r="G310" i="3"/>
  <c r="G311" i="3"/>
  <c r="G312" i="3"/>
  <c r="G313" i="3"/>
  <c r="G314" i="3"/>
  <c r="G315" i="3"/>
  <c r="G316" i="3"/>
  <c r="G317" i="3"/>
  <c r="G318" i="3"/>
  <c r="G319" i="3"/>
  <c r="G320" i="3"/>
  <c r="G321" i="3"/>
  <c r="G322" i="3"/>
  <c r="G323" i="3"/>
  <c r="G324" i="3"/>
  <c r="G325" i="3"/>
  <c r="G326" i="3"/>
  <c r="G327" i="3"/>
  <c r="G328" i="3"/>
  <c r="G329" i="3"/>
  <c r="G330" i="3"/>
  <c r="G331" i="3"/>
  <c r="G332" i="3"/>
  <c r="G333" i="3"/>
  <c r="G334" i="3"/>
  <c r="G335" i="3"/>
  <c r="G336" i="3"/>
  <c r="G337" i="3"/>
  <c r="G338" i="3"/>
  <c r="G339" i="3"/>
  <c r="G340" i="3"/>
  <c r="G341" i="3"/>
  <c r="G342" i="3"/>
  <c r="G343" i="3"/>
  <c r="G344" i="3"/>
  <c r="G345" i="3"/>
  <c r="G346" i="3"/>
  <c r="G347" i="3"/>
  <c r="G348" i="3"/>
  <c r="G349" i="3"/>
  <c r="G350" i="3"/>
  <c r="G351" i="3"/>
  <c r="G352" i="3"/>
  <c r="G353" i="3"/>
  <c r="G354" i="3"/>
  <c r="G355" i="3"/>
  <c r="G356" i="3"/>
  <c r="G357" i="3"/>
  <c r="G358" i="3"/>
  <c r="G359" i="3"/>
  <c r="G360" i="3"/>
  <c r="G361" i="3"/>
  <c r="G362" i="3"/>
  <c r="G363" i="3"/>
  <c r="G364" i="3"/>
  <c r="G365" i="3"/>
  <c r="G366" i="3"/>
  <c r="G367" i="3"/>
  <c r="G368" i="3"/>
  <c r="G369" i="3"/>
  <c r="G370" i="3"/>
  <c r="G371" i="3"/>
  <c r="G372" i="3"/>
  <c r="G373" i="3"/>
  <c r="G374" i="3"/>
  <c r="G375" i="3"/>
  <c r="G376" i="3"/>
  <c r="G377" i="3"/>
  <c r="G378" i="3"/>
  <c r="G379" i="3"/>
  <c r="G380" i="3"/>
  <c r="G381" i="3"/>
  <c r="G382" i="3"/>
  <c r="G383" i="3"/>
  <c r="G384" i="3"/>
  <c r="G385" i="3"/>
  <c r="G386" i="3"/>
  <c r="G387" i="3"/>
  <c r="G388" i="3"/>
  <c r="G389" i="3"/>
  <c r="G390" i="3"/>
  <c r="G391" i="3"/>
  <c r="G392" i="3"/>
  <c r="G393" i="3"/>
  <c r="G394" i="3"/>
  <c r="G395" i="3"/>
  <c r="G396" i="3"/>
  <c r="G397" i="3"/>
  <c r="G398" i="3"/>
  <c r="G399" i="3"/>
  <c r="G400" i="3"/>
  <c r="G401" i="3"/>
  <c r="G402" i="3"/>
  <c r="G403" i="3"/>
  <c r="G404" i="3"/>
  <c r="G405" i="3"/>
  <c r="G406" i="3"/>
  <c r="G407" i="3"/>
  <c r="G408" i="3"/>
  <c r="G409" i="3"/>
  <c r="G410" i="3"/>
  <c r="G411" i="3"/>
  <c r="G412" i="3"/>
  <c r="G413" i="3"/>
  <c r="G414" i="3"/>
  <c r="G415" i="3"/>
  <c r="G416" i="3"/>
  <c r="G417" i="3"/>
  <c r="G418" i="3"/>
  <c r="G419" i="3"/>
  <c r="G420" i="3"/>
  <c r="G421" i="3"/>
  <c r="G422" i="3"/>
  <c r="G423" i="3"/>
  <c r="G424" i="3"/>
  <c r="G425" i="3"/>
  <c r="G426" i="3"/>
  <c r="G427" i="3"/>
  <c r="G428" i="3"/>
  <c r="G429" i="3"/>
  <c r="G430" i="3"/>
  <c r="G431" i="3"/>
  <c r="G432" i="3"/>
  <c r="G433" i="3"/>
  <c r="G434" i="3"/>
  <c r="G435" i="3"/>
  <c r="G436" i="3"/>
  <c r="G437" i="3"/>
  <c r="G438" i="3"/>
  <c r="G439" i="3"/>
  <c r="G440" i="3"/>
  <c r="G441" i="3"/>
  <c r="G442" i="3"/>
  <c r="G443" i="3"/>
  <c r="G444" i="3"/>
  <c r="G445" i="3"/>
  <c r="G446" i="3"/>
  <c r="G447" i="3"/>
  <c r="G448" i="3"/>
  <c r="G449" i="3"/>
  <c r="G450" i="3"/>
  <c r="G451" i="3"/>
  <c r="G452" i="3"/>
  <c r="G453" i="3"/>
  <c r="G454" i="3"/>
  <c r="G455" i="3"/>
  <c r="G456" i="3"/>
  <c r="G457" i="3"/>
  <c r="G458" i="3"/>
  <c r="G459" i="3"/>
  <c r="G460" i="3"/>
  <c r="G461" i="3"/>
  <c r="G462" i="3"/>
  <c r="G463" i="3"/>
  <c r="G464" i="3"/>
  <c r="G465" i="3"/>
  <c r="G466" i="3"/>
  <c r="G467" i="3"/>
  <c r="G468" i="3"/>
  <c r="G469" i="3"/>
  <c r="G470" i="3"/>
  <c r="G471" i="3"/>
  <c r="G472" i="3"/>
  <c r="G473" i="3"/>
  <c r="G474" i="3"/>
  <c r="G475" i="3"/>
  <c r="G476" i="3"/>
  <c r="G477" i="3"/>
  <c r="G478" i="3"/>
  <c r="G479" i="3"/>
  <c r="G480" i="3"/>
  <c r="G481" i="3"/>
  <c r="G482" i="3"/>
  <c r="G483" i="3"/>
  <c r="G484" i="3"/>
  <c r="G485" i="3"/>
  <c r="G486" i="3"/>
  <c r="G487" i="3"/>
  <c r="G488" i="3"/>
  <c r="G489" i="3"/>
  <c r="G490" i="3"/>
  <c r="G491" i="3"/>
  <c r="G492" i="3"/>
  <c r="G493" i="3"/>
  <c r="G494" i="3"/>
  <c r="G495" i="3"/>
  <c r="G496" i="3"/>
  <c r="G497" i="3"/>
  <c r="G498" i="3"/>
  <c r="G499" i="3"/>
  <c r="G500" i="3"/>
  <c r="G501" i="3"/>
  <c r="G502" i="3"/>
  <c r="G503" i="3"/>
  <c r="G504" i="3"/>
  <c r="G505" i="3"/>
  <c r="G506" i="3"/>
  <c r="G507" i="3"/>
  <c r="G508" i="3"/>
  <c r="G509" i="3"/>
  <c r="G510" i="3"/>
  <c r="G511" i="3"/>
  <c r="G512" i="3"/>
  <c r="G513" i="3"/>
  <c r="G514" i="3"/>
  <c r="G515" i="3"/>
  <c r="G516" i="3"/>
  <c r="G517" i="3"/>
  <c r="G518" i="3"/>
  <c r="G519" i="3"/>
  <c r="G520" i="3"/>
  <c r="G521" i="3"/>
  <c r="G522" i="3"/>
  <c r="G523" i="3"/>
  <c r="G524" i="3"/>
  <c r="G525" i="3"/>
  <c r="G526" i="3"/>
  <c r="G527" i="3"/>
  <c r="G528" i="3"/>
  <c r="G529" i="3"/>
  <c r="G530" i="3"/>
  <c r="G531" i="3"/>
  <c r="G532" i="3"/>
  <c r="G533" i="3"/>
  <c r="G534" i="3"/>
  <c r="G535" i="3"/>
  <c r="G536" i="3"/>
  <c r="G537" i="3"/>
  <c r="G538" i="3"/>
  <c r="G539" i="3"/>
  <c r="G540" i="3"/>
  <c r="G541" i="3"/>
  <c r="G542" i="3"/>
  <c r="G543" i="3"/>
  <c r="G544" i="3"/>
  <c r="G545" i="3"/>
  <c r="G546" i="3"/>
  <c r="G547" i="3"/>
  <c r="G548" i="3"/>
  <c r="G549" i="3"/>
  <c r="G550" i="3"/>
  <c r="G551" i="3"/>
  <c r="G552" i="3"/>
  <c r="G553" i="3"/>
  <c r="G554" i="3"/>
  <c r="G555" i="3"/>
  <c r="G556" i="3"/>
  <c r="G557" i="3"/>
  <c r="G558" i="3"/>
  <c r="G559" i="3"/>
  <c r="G560" i="3"/>
  <c r="G561" i="3"/>
  <c r="G562" i="3"/>
  <c r="G563" i="3"/>
  <c r="G564" i="3"/>
  <c r="G565" i="3"/>
  <c r="G566" i="3"/>
  <c r="G567" i="3"/>
  <c r="G568" i="3"/>
  <c r="G569" i="3"/>
  <c r="G570" i="3"/>
  <c r="G571" i="3"/>
  <c r="G572" i="3"/>
  <c r="G573" i="3"/>
  <c r="G574" i="3"/>
  <c r="G575" i="3"/>
  <c r="G576" i="3"/>
  <c r="G577" i="3"/>
  <c r="G578" i="3"/>
  <c r="G579" i="3"/>
  <c r="G580" i="3"/>
  <c r="G581" i="3"/>
  <c r="G582" i="3"/>
  <c r="G583" i="3"/>
  <c r="G584" i="3"/>
  <c r="G585" i="3"/>
  <c r="G586" i="3"/>
  <c r="G587" i="3"/>
  <c r="G588" i="3"/>
  <c r="G589" i="3"/>
  <c r="G590" i="3"/>
  <c r="G591" i="3"/>
  <c r="G592" i="3"/>
  <c r="G593" i="3"/>
  <c r="G594" i="3"/>
  <c r="G595" i="3"/>
  <c r="G596" i="3"/>
  <c r="G597" i="3"/>
  <c r="G598" i="3"/>
  <c r="G599" i="3"/>
  <c r="G600" i="3"/>
  <c r="G601" i="3"/>
  <c r="G602" i="3"/>
  <c r="G603" i="3"/>
  <c r="G604" i="3"/>
  <c r="G605" i="3"/>
  <c r="G606" i="3"/>
  <c r="G607" i="3"/>
  <c r="G608" i="3"/>
  <c r="G609" i="3"/>
  <c r="G610" i="3"/>
  <c r="G611" i="3"/>
  <c r="G612" i="3"/>
  <c r="G613" i="3"/>
  <c r="G614" i="3"/>
  <c r="G615" i="3"/>
  <c r="G616" i="3"/>
  <c r="G617" i="3"/>
  <c r="G618" i="3"/>
  <c r="G619" i="3"/>
  <c r="G620" i="3"/>
  <c r="G621" i="3"/>
  <c r="G622" i="3"/>
  <c r="G623" i="3"/>
  <c r="G624" i="3"/>
  <c r="G625" i="3"/>
  <c r="G626" i="3"/>
  <c r="G627" i="3"/>
  <c r="G628" i="3"/>
  <c r="G629" i="3"/>
  <c r="G630" i="3"/>
  <c r="G631" i="3"/>
  <c r="G632" i="3"/>
  <c r="G633" i="3"/>
  <c r="G634" i="3"/>
  <c r="G635" i="3"/>
  <c r="G636" i="3"/>
  <c r="G637" i="3"/>
  <c r="G638" i="3"/>
  <c r="G639" i="3"/>
  <c r="G640" i="3"/>
  <c r="G641" i="3"/>
  <c r="G642" i="3"/>
  <c r="G643" i="3"/>
  <c r="G644" i="3"/>
  <c r="G645" i="3"/>
  <c r="G646" i="3"/>
  <c r="G647" i="3"/>
  <c r="G648" i="3"/>
  <c r="G649" i="3"/>
  <c r="G650" i="3"/>
  <c r="G651" i="3"/>
  <c r="G652" i="3"/>
  <c r="G653" i="3"/>
  <c r="G654" i="3"/>
  <c r="G655" i="3"/>
  <c r="G656" i="3"/>
  <c r="G657" i="3"/>
  <c r="G658" i="3"/>
  <c r="G659" i="3"/>
  <c r="G660" i="3"/>
  <c r="G661" i="3"/>
  <c r="G662" i="3"/>
  <c r="G663" i="3"/>
  <c r="G664" i="3"/>
  <c r="G665" i="3"/>
  <c r="G666" i="3"/>
  <c r="G667" i="3"/>
  <c r="G668" i="3"/>
  <c r="G669" i="3"/>
  <c r="G670" i="3"/>
  <c r="G671" i="3"/>
  <c r="G672" i="3"/>
  <c r="G673" i="3"/>
  <c r="G674" i="3"/>
  <c r="G675" i="3"/>
  <c r="G676" i="3"/>
  <c r="G677" i="3"/>
  <c r="G678" i="3"/>
  <c r="G679" i="3"/>
  <c r="G680" i="3"/>
  <c r="G681" i="3"/>
  <c r="G682" i="3"/>
  <c r="G683" i="3"/>
  <c r="G684" i="3"/>
  <c r="G685" i="3"/>
  <c r="G686" i="3"/>
  <c r="G687" i="3"/>
  <c r="G688" i="3"/>
  <c r="G689" i="3"/>
  <c r="G690" i="3"/>
  <c r="G691" i="3"/>
  <c r="G692" i="3"/>
  <c r="G693" i="3"/>
  <c r="G694" i="3"/>
  <c r="G695" i="3"/>
  <c r="G696" i="3"/>
  <c r="G697" i="3"/>
  <c r="G698" i="3"/>
  <c r="G699" i="3"/>
  <c r="G700" i="3"/>
  <c r="G701" i="3"/>
  <c r="G702" i="3"/>
  <c r="G703" i="3"/>
  <c r="G704" i="3"/>
  <c r="G705" i="3"/>
  <c r="G706" i="3"/>
  <c r="G707" i="3"/>
  <c r="G708" i="3"/>
  <c r="G709" i="3"/>
  <c r="G710" i="3"/>
  <c r="G711" i="3"/>
  <c r="G712" i="3"/>
  <c r="G713" i="3"/>
  <c r="G714" i="3"/>
  <c r="G715" i="3"/>
  <c r="G716" i="3"/>
  <c r="G717" i="3"/>
  <c r="G718" i="3"/>
  <c r="G719" i="3"/>
  <c r="G720" i="3"/>
  <c r="G721" i="3"/>
  <c r="G722" i="3"/>
  <c r="G723" i="3"/>
  <c r="G724" i="3"/>
  <c r="G725" i="3"/>
  <c r="G726" i="3"/>
  <c r="G727" i="3"/>
  <c r="G728" i="3"/>
  <c r="G729" i="3"/>
  <c r="G730" i="3"/>
  <c r="G731" i="3"/>
  <c r="G732" i="3"/>
  <c r="G733" i="3"/>
  <c r="G734" i="3"/>
  <c r="G735" i="3"/>
  <c r="G736" i="3"/>
  <c r="G737" i="3"/>
  <c r="G738" i="3"/>
  <c r="G739" i="3"/>
  <c r="G740" i="3"/>
  <c r="G741" i="3"/>
  <c r="G742" i="3"/>
  <c r="G743" i="3"/>
  <c r="G744" i="3"/>
  <c r="G745" i="3"/>
  <c r="G746" i="3"/>
  <c r="G747" i="3"/>
  <c r="G748" i="3"/>
  <c r="G749" i="3"/>
  <c r="G750" i="3"/>
  <c r="G751" i="3"/>
  <c r="G752" i="3"/>
  <c r="G753" i="3"/>
  <c r="G754" i="3"/>
  <c r="G755" i="3"/>
  <c r="G756" i="3"/>
  <c r="G757" i="3"/>
  <c r="G758" i="3"/>
  <c r="G759" i="3"/>
  <c r="G760" i="3"/>
  <c r="G761" i="3"/>
  <c r="G762" i="3"/>
  <c r="G763" i="3"/>
  <c r="G764" i="3"/>
  <c r="G765" i="3"/>
  <c r="G766" i="3"/>
  <c r="G767" i="3"/>
  <c r="G768" i="3"/>
  <c r="G769" i="3"/>
  <c r="G770" i="3"/>
  <c r="G771" i="3"/>
  <c r="G772" i="3"/>
  <c r="G773" i="3"/>
  <c r="G774" i="3"/>
  <c r="G775" i="3"/>
  <c r="G776" i="3"/>
  <c r="G777" i="3"/>
  <c r="G778" i="3"/>
  <c r="G779" i="3"/>
  <c r="G780" i="3"/>
  <c r="G781" i="3"/>
  <c r="G782" i="3"/>
  <c r="G783" i="3"/>
  <c r="G784" i="3"/>
  <c r="G785" i="3"/>
  <c r="G786" i="3"/>
  <c r="G787" i="3"/>
  <c r="G788" i="3"/>
  <c r="G789" i="3"/>
  <c r="G790" i="3"/>
  <c r="G791" i="3"/>
  <c r="G792" i="3"/>
  <c r="G793" i="3"/>
  <c r="G794" i="3"/>
  <c r="G795" i="3"/>
  <c r="G796" i="3"/>
  <c r="G797" i="3"/>
  <c r="G798" i="3"/>
  <c r="G799" i="3"/>
  <c r="G800" i="3"/>
  <c r="G801" i="3"/>
  <c r="G802" i="3"/>
  <c r="G803" i="3"/>
  <c r="G804" i="3"/>
  <c r="G805" i="3"/>
  <c r="G806" i="3"/>
  <c r="G807" i="3"/>
  <c r="G2" i="3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33" i="3"/>
  <c r="K34" i="3"/>
  <c r="K35" i="3"/>
  <c r="K36" i="3"/>
  <c r="K37" i="3"/>
  <c r="K38" i="3"/>
  <c r="K39" i="3"/>
  <c r="K40" i="3"/>
  <c r="K41" i="3"/>
  <c r="K42" i="3"/>
  <c r="K43" i="3"/>
  <c r="K44" i="3"/>
  <c r="K45" i="3"/>
  <c r="K46" i="3"/>
  <c r="K47" i="3"/>
  <c r="K48" i="3"/>
  <c r="K49" i="3"/>
  <c r="K50" i="3"/>
  <c r="K51" i="3"/>
  <c r="K52" i="3"/>
  <c r="K53" i="3"/>
  <c r="K54" i="3"/>
  <c r="K55" i="3"/>
  <c r="K56" i="3"/>
  <c r="K57" i="3"/>
  <c r="K58" i="3"/>
  <c r="K59" i="3"/>
  <c r="K60" i="3"/>
  <c r="K61" i="3"/>
  <c r="K62" i="3"/>
  <c r="K63" i="3"/>
  <c r="K64" i="3"/>
  <c r="K65" i="3"/>
  <c r="K66" i="3"/>
  <c r="K67" i="3"/>
  <c r="K68" i="3"/>
  <c r="K69" i="3"/>
  <c r="K70" i="3"/>
  <c r="K71" i="3"/>
  <c r="K72" i="3"/>
  <c r="K73" i="3"/>
  <c r="K74" i="3"/>
  <c r="K75" i="3"/>
  <c r="K76" i="3"/>
  <c r="K77" i="3"/>
  <c r="K78" i="3"/>
  <c r="K79" i="3"/>
  <c r="K80" i="3"/>
  <c r="K81" i="3"/>
  <c r="K82" i="3"/>
  <c r="K83" i="3"/>
  <c r="K84" i="3"/>
  <c r="K85" i="3"/>
  <c r="K86" i="3"/>
  <c r="K87" i="3"/>
  <c r="K88" i="3"/>
  <c r="K89" i="3"/>
  <c r="K90" i="3"/>
  <c r="K91" i="3"/>
  <c r="K92" i="3"/>
  <c r="K93" i="3"/>
  <c r="K94" i="3"/>
  <c r="K95" i="3"/>
  <c r="K96" i="3"/>
  <c r="K97" i="3"/>
  <c r="K98" i="3"/>
  <c r="K99" i="3"/>
  <c r="K100" i="3"/>
  <c r="K101" i="3"/>
  <c r="K102" i="3"/>
  <c r="K103" i="3"/>
  <c r="K104" i="3"/>
  <c r="K105" i="3"/>
  <c r="K106" i="3"/>
  <c r="K107" i="3"/>
  <c r="K108" i="3"/>
  <c r="K109" i="3"/>
  <c r="K110" i="3"/>
  <c r="K111" i="3"/>
  <c r="K112" i="3"/>
  <c r="K113" i="3"/>
  <c r="K114" i="3"/>
  <c r="K115" i="3"/>
  <c r="K116" i="3"/>
  <c r="K117" i="3"/>
  <c r="K118" i="3"/>
  <c r="K119" i="3"/>
  <c r="K120" i="3"/>
  <c r="K121" i="3"/>
  <c r="K122" i="3"/>
  <c r="K123" i="3"/>
  <c r="K124" i="3"/>
  <c r="K125" i="3"/>
  <c r="K126" i="3"/>
  <c r="K127" i="3"/>
  <c r="K128" i="3"/>
  <c r="K129" i="3"/>
  <c r="K130" i="3"/>
  <c r="K131" i="3"/>
  <c r="K132" i="3"/>
  <c r="K133" i="3"/>
  <c r="K134" i="3"/>
  <c r="K135" i="3"/>
  <c r="K136" i="3"/>
  <c r="K137" i="3"/>
  <c r="K138" i="3"/>
  <c r="K139" i="3"/>
  <c r="K140" i="3"/>
  <c r="K141" i="3"/>
  <c r="K142" i="3"/>
  <c r="K143" i="3"/>
  <c r="K144" i="3"/>
  <c r="K145" i="3"/>
  <c r="K146" i="3"/>
  <c r="K147" i="3"/>
  <c r="K148" i="3"/>
  <c r="K149" i="3"/>
  <c r="K150" i="3"/>
  <c r="K151" i="3"/>
  <c r="K152" i="3"/>
  <c r="K153" i="3"/>
  <c r="K154" i="3"/>
  <c r="K155" i="3"/>
  <c r="K156" i="3"/>
  <c r="K157" i="3"/>
  <c r="K158" i="3"/>
  <c r="K159" i="3"/>
  <c r="K160" i="3"/>
  <c r="K161" i="3"/>
  <c r="K162" i="3"/>
  <c r="K163" i="3"/>
  <c r="K164" i="3"/>
  <c r="K165" i="3"/>
  <c r="K166" i="3"/>
  <c r="K167" i="3"/>
  <c r="K168" i="3"/>
  <c r="K169" i="3"/>
  <c r="K170" i="3"/>
  <c r="K171" i="3"/>
  <c r="K172" i="3"/>
  <c r="K173" i="3"/>
  <c r="K174" i="3"/>
  <c r="K175" i="3"/>
  <c r="K176" i="3"/>
  <c r="K177" i="3"/>
  <c r="K178" i="3"/>
  <c r="K179" i="3"/>
  <c r="K180" i="3"/>
  <c r="K181" i="3"/>
  <c r="K182" i="3"/>
  <c r="K183" i="3"/>
  <c r="K184" i="3"/>
  <c r="K185" i="3"/>
  <c r="K186" i="3"/>
  <c r="K187" i="3"/>
  <c r="K188" i="3"/>
  <c r="K189" i="3"/>
  <c r="K190" i="3"/>
  <c r="K191" i="3"/>
  <c r="K192" i="3"/>
  <c r="K193" i="3"/>
  <c r="K194" i="3"/>
  <c r="K195" i="3"/>
  <c r="K196" i="3"/>
  <c r="K197" i="3"/>
  <c r="K198" i="3"/>
  <c r="K199" i="3"/>
  <c r="K200" i="3"/>
  <c r="K201" i="3"/>
  <c r="K202" i="3"/>
  <c r="K203" i="3"/>
  <c r="K204" i="3"/>
  <c r="K205" i="3"/>
  <c r="K206" i="3"/>
  <c r="K207" i="3"/>
  <c r="K208" i="3"/>
  <c r="K209" i="3"/>
  <c r="K210" i="3"/>
  <c r="K211" i="3"/>
  <c r="K212" i="3"/>
  <c r="K213" i="3"/>
  <c r="K214" i="3"/>
  <c r="K215" i="3"/>
  <c r="K216" i="3"/>
  <c r="K217" i="3"/>
  <c r="K218" i="3"/>
  <c r="K219" i="3"/>
  <c r="K220" i="3"/>
  <c r="K221" i="3"/>
  <c r="K222" i="3"/>
  <c r="K223" i="3"/>
  <c r="K224" i="3"/>
  <c r="K225" i="3"/>
  <c r="K226" i="3"/>
  <c r="K227" i="3"/>
  <c r="K228" i="3"/>
  <c r="K229" i="3"/>
  <c r="K230" i="3"/>
  <c r="K231" i="3"/>
  <c r="K232" i="3"/>
  <c r="K233" i="3"/>
  <c r="K234" i="3"/>
  <c r="K235" i="3"/>
  <c r="K236" i="3"/>
  <c r="K237" i="3"/>
  <c r="K238" i="3"/>
  <c r="K239" i="3"/>
  <c r="K240" i="3"/>
  <c r="K241" i="3"/>
  <c r="K242" i="3"/>
  <c r="K243" i="3"/>
  <c r="K244" i="3"/>
  <c r="K245" i="3"/>
  <c r="K246" i="3"/>
  <c r="K247" i="3"/>
  <c r="K248" i="3"/>
  <c r="K249" i="3"/>
  <c r="K250" i="3"/>
  <c r="K251" i="3"/>
  <c r="K252" i="3"/>
  <c r="K253" i="3"/>
  <c r="K254" i="3"/>
  <c r="K255" i="3"/>
  <c r="K256" i="3"/>
  <c r="K257" i="3"/>
  <c r="K258" i="3"/>
  <c r="K259" i="3"/>
  <c r="K260" i="3"/>
  <c r="K261" i="3"/>
  <c r="K262" i="3"/>
  <c r="K263" i="3"/>
  <c r="K264" i="3"/>
  <c r="K265" i="3"/>
  <c r="K266" i="3"/>
  <c r="K267" i="3"/>
  <c r="K268" i="3"/>
  <c r="K269" i="3"/>
  <c r="K270" i="3"/>
  <c r="K271" i="3"/>
  <c r="K272" i="3"/>
  <c r="K273" i="3"/>
  <c r="K274" i="3"/>
  <c r="K275" i="3"/>
  <c r="K276" i="3"/>
  <c r="K277" i="3"/>
  <c r="K278" i="3"/>
  <c r="K279" i="3"/>
  <c r="K280" i="3"/>
  <c r="K281" i="3"/>
  <c r="K282" i="3"/>
  <c r="K283" i="3"/>
  <c r="K284" i="3"/>
  <c r="K285" i="3"/>
  <c r="K286" i="3"/>
  <c r="K287" i="3"/>
  <c r="K288" i="3"/>
  <c r="K289" i="3"/>
  <c r="K290" i="3"/>
  <c r="K291" i="3"/>
  <c r="K292" i="3"/>
  <c r="K293" i="3"/>
  <c r="K294" i="3"/>
  <c r="K295" i="3"/>
  <c r="K296" i="3"/>
  <c r="K297" i="3"/>
  <c r="K298" i="3"/>
  <c r="K299" i="3"/>
  <c r="K300" i="3"/>
  <c r="K301" i="3"/>
  <c r="K302" i="3"/>
  <c r="K303" i="3"/>
  <c r="K304" i="3"/>
  <c r="K305" i="3"/>
  <c r="K306" i="3"/>
  <c r="K307" i="3"/>
  <c r="K308" i="3"/>
  <c r="K309" i="3"/>
  <c r="K310" i="3"/>
  <c r="K311" i="3"/>
  <c r="K312" i="3"/>
  <c r="K313" i="3"/>
  <c r="K314" i="3"/>
  <c r="K315" i="3"/>
  <c r="K316" i="3"/>
  <c r="K317" i="3"/>
  <c r="K318" i="3"/>
  <c r="K319" i="3"/>
  <c r="K320" i="3"/>
  <c r="K321" i="3"/>
  <c r="K322" i="3"/>
  <c r="K323" i="3"/>
  <c r="K324" i="3"/>
  <c r="K325" i="3"/>
  <c r="K326" i="3"/>
  <c r="K327" i="3"/>
  <c r="K328" i="3"/>
  <c r="K329" i="3"/>
  <c r="K330" i="3"/>
  <c r="K331" i="3"/>
  <c r="K332" i="3"/>
  <c r="K333" i="3"/>
  <c r="K334" i="3"/>
  <c r="K335" i="3"/>
  <c r="K336" i="3"/>
  <c r="K337" i="3"/>
  <c r="K338" i="3"/>
  <c r="K339" i="3"/>
  <c r="K340" i="3"/>
  <c r="K341" i="3"/>
  <c r="K342" i="3"/>
  <c r="K343" i="3"/>
  <c r="K344" i="3"/>
  <c r="K345" i="3"/>
  <c r="K346" i="3"/>
  <c r="K347" i="3"/>
  <c r="K348" i="3"/>
  <c r="K349" i="3"/>
  <c r="K350" i="3"/>
  <c r="K351" i="3"/>
  <c r="K352" i="3"/>
  <c r="K353" i="3"/>
  <c r="K354" i="3"/>
  <c r="K355" i="3"/>
  <c r="K356" i="3"/>
  <c r="K357" i="3"/>
  <c r="K358" i="3"/>
  <c r="K359" i="3"/>
  <c r="K360" i="3"/>
  <c r="K361" i="3"/>
  <c r="K362" i="3"/>
  <c r="K363" i="3"/>
  <c r="K364" i="3"/>
  <c r="K365" i="3"/>
  <c r="K366" i="3"/>
  <c r="K367" i="3"/>
  <c r="K368" i="3"/>
  <c r="K369" i="3"/>
  <c r="K370" i="3"/>
  <c r="K371" i="3"/>
  <c r="K372" i="3"/>
  <c r="K373" i="3"/>
  <c r="K374" i="3"/>
  <c r="K375" i="3"/>
  <c r="K376" i="3"/>
  <c r="K377" i="3"/>
  <c r="K378" i="3"/>
  <c r="K379" i="3"/>
  <c r="K380" i="3"/>
  <c r="K381" i="3"/>
  <c r="K382" i="3"/>
  <c r="K383" i="3"/>
  <c r="K384" i="3"/>
  <c r="K385" i="3"/>
  <c r="K386" i="3"/>
  <c r="K387" i="3"/>
  <c r="K388" i="3"/>
  <c r="K389" i="3"/>
  <c r="K390" i="3"/>
  <c r="K391" i="3"/>
  <c r="K392" i="3"/>
  <c r="K393" i="3"/>
  <c r="K394" i="3"/>
  <c r="K395" i="3"/>
  <c r="K396" i="3"/>
  <c r="K397" i="3"/>
  <c r="K398" i="3"/>
  <c r="K399" i="3"/>
  <c r="K400" i="3"/>
  <c r="K401" i="3"/>
  <c r="K402" i="3"/>
  <c r="K403" i="3"/>
  <c r="K404" i="3"/>
  <c r="K405" i="3"/>
  <c r="K406" i="3"/>
  <c r="K407" i="3"/>
  <c r="K408" i="3"/>
  <c r="K409" i="3"/>
  <c r="K410" i="3"/>
  <c r="K411" i="3"/>
  <c r="K412" i="3"/>
  <c r="K413" i="3"/>
  <c r="K414" i="3"/>
  <c r="K415" i="3"/>
  <c r="K416" i="3"/>
  <c r="K417" i="3"/>
  <c r="K418" i="3"/>
  <c r="K419" i="3"/>
  <c r="K420" i="3"/>
  <c r="K421" i="3"/>
  <c r="K422" i="3"/>
  <c r="K423" i="3"/>
  <c r="K424" i="3"/>
  <c r="K425" i="3"/>
  <c r="K426" i="3"/>
  <c r="K427" i="3"/>
  <c r="K428" i="3"/>
  <c r="K429" i="3"/>
  <c r="K430" i="3"/>
  <c r="K431" i="3"/>
  <c r="K432" i="3"/>
  <c r="K433" i="3"/>
  <c r="K434" i="3"/>
  <c r="K435" i="3"/>
  <c r="K436" i="3"/>
  <c r="K437" i="3"/>
  <c r="K438" i="3"/>
  <c r="K439" i="3"/>
  <c r="K440" i="3"/>
  <c r="K441" i="3"/>
  <c r="K442" i="3"/>
  <c r="K443" i="3"/>
  <c r="K444" i="3"/>
  <c r="K445" i="3"/>
  <c r="K446" i="3"/>
  <c r="K447" i="3"/>
  <c r="K448" i="3"/>
  <c r="K449" i="3"/>
  <c r="K450" i="3"/>
  <c r="K451" i="3"/>
  <c r="K452" i="3"/>
  <c r="K453" i="3"/>
  <c r="K454" i="3"/>
  <c r="K455" i="3"/>
  <c r="K456" i="3"/>
  <c r="K457" i="3"/>
  <c r="K458" i="3"/>
  <c r="K459" i="3"/>
  <c r="K460" i="3"/>
  <c r="K461" i="3"/>
  <c r="K462" i="3"/>
  <c r="K463" i="3"/>
  <c r="K464" i="3"/>
  <c r="K465" i="3"/>
  <c r="K466" i="3"/>
  <c r="K467" i="3"/>
  <c r="K468" i="3"/>
  <c r="K469" i="3"/>
  <c r="K470" i="3"/>
  <c r="K471" i="3"/>
  <c r="K472" i="3"/>
  <c r="K473" i="3"/>
  <c r="K474" i="3"/>
  <c r="K475" i="3"/>
  <c r="K476" i="3"/>
  <c r="K477" i="3"/>
  <c r="K478" i="3"/>
  <c r="K479" i="3"/>
  <c r="K480" i="3"/>
  <c r="K481" i="3"/>
  <c r="K482" i="3"/>
  <c r="K483" i="3"/>
  <c r="K484" i="3"/>
  <c r="K485" i="3"/>
  <c r="K486" i="3"/>
  <c r="K487" i="3"/>
  <c r="K488" i="3"/>
  <c r="K489" i="3"/>
  <c r="K490" i="3"/>
  <c r="K491" i="3"/>
  <c r="K492" i="3"/>
  <c r="K493" i="3"/>
  <c r="K494" i="3"/>
  <c r="K495" i="3"/>
  <c r="K496" i="3"/>
  <c r="K497" i="3"/>
  <c r="K498" i="3"/>
  <c r="K499" i="3"/>
  <c r="K500" i="3"/>
  <c r="K501" i="3"/>
  <c r="K502" i="3"/>
  <c r="K503" i="3"/>
  <c r="K504" i="3"/>
  <c r="K505" i="3"/>
  <c r="K506" i="3"/>
  <c r="K507" i="3"/>
  <c r="K508" i="3"/>
  <c r="K509" i="3"/>
  <c r="K510" i="3"/>
  <c r="K511" i="3"/>
  <c r="K512" i="3"/>
  <c r="K513" i="3"/>
  <c r="K514" i="3"/>
  <c r="K515" i="3"/>
  <c r="K516" i="3"/>
  <c r="K517" i="3"/>
  <c r="K518" i="3"/>
  <c r="K519" i="3"/>
  <c r="K520" i="3"/>
  <c r="K521" i="3"/>
  <c r="K522" i="3"/>
  <c r="K523" i="3"/>
  <c r="K524" i="3"/>
  <c r="K525" i="3"/>
  <c r="K526" i="3"/>
  <c r="K527" i="3"/>
  <c r="K528" i="3"/>
  <c r="K529" i="3"/>
  <c r="K530" i="3"/>
  <c r="K531" i="3"/>
  <c r="K532" i="3"/>
  <c r="K533" i="3"/>
  <c r="K534" i="3"/>
  <c r="K535" i="3"/>
  <c r="K536" i="3"/>
  <c r="K537" i="3"/>
  <c r="K538" i="3"/>
  <c r="K539" i="3"/>
  <c r="K540" i="3"/>
  <c r="K541" i="3"/>
  <c r="K542" i="3"/>
  <c r="K543" i="3"/>
  <c r="K544" i="3"/>
  <c r="K545" i="3"/>
  <c r="K546" i="3"/>
  <c r="K547" i="3"/>
  <c r="K548" i="3"/>
  <c r="K549" i="3"/>
  <c r="K550" i="3"/>
  <c r="K551" i="3"/>
  <c r="K552" i="3"/>
  <c r="K553" i="3"/>
  <c r="K554" i="3"/>
  <c r="K555" i="3"/>
  <c r="K556" i="3"/>
  <c r="K557" i="3"/>
  <c r="K558" i="3"/>
  <c r="K559" i="3"/>
  <c r="K560" i="3"/>
  <c r="K561" i="3"/>
  <c r="K562" i="3"/>
  <c r="K563" i="3"/>
  <c r="K564" i="3"/>
  <c r="K565" i="3"/>
  <c r="K566" i="3"/>
  <c r="K567" i="3"/>
  <c r="K568" i="3"/>
  <c r="K569" i="3"/>
  <c r="K570" i="3"/>
  <c r="K571" i="3"/>
  <c r="K572" i="3"/>
  <c r="K573" i="3"/>
  <c r="K574" i="3"/>
  <c r="K575" i="3"/>
  <c r="K576" i="3"/>
  <c r="K577" i="3"/>
  <c r="K578" i="3"/>
  <c r="K579" i="3"/>
  <c r="K580" i="3"/>
  <c r="K581" i="3"/>
  <c r="K582" i="3"/>
  <c r="K583" i="3"/>
  <c r="K584" i="3"/>
  <c r="K585" i="3"/>
  <c r="K586" i="3"/>
  <c r="K587" i="3"/>
  <c r="K588" i="3"/>
  <c r="K589" i="3"/>
  <c r="K590" i="3"/>
  <c r="K591" i="3"/>
  <c r="K592" i="3"/>
  <c r="K593" i="3"/>
  <c r="K594" i="3"/>
  <c r="K595" i="3"/>
  <c r="K596" i="3"/>
  <c r="K597" i="3"/>
  <c r="K598" i="3"/>
  <c r="K599" i="3"/>
  <c r="K600" i="3"/>
  <c r="K601" i="3"/>
  <c r="K602" i="3"/>
  <c r="K603" i="3"/>
  <c r="K604" i="3"/>
  <c r="K605" i="3"/>
  <c r="K606" i="3"/>
  <c r="K607" i="3"/>
  <c r="K608" i="3"/>
  <c r="K609" i="3"/>
  <c r="K610" i="3"/>
  <c r="K611" i="3"/>
  <c r="K612" i="3"/>
  <c r="K613" i="3"/>
  <c r="K614" i="3"/>
  <c r="K615" i="3"/>
  <c r="K616" i="3"/>
  <c r="K617" i="3"/>
  <c r="K618" i="3"/>
  <c r="K619" i="3"/>
  <c r="K620" i="3"/>
  <c r="K621" i="3"/>
  <c r="K622" i="3"/>
  <c r="K623" i="3"/>
  <c r="K624" i="3"/>
  <c r="K625" i="3"/>
  <c r="K626" i="3"/>
  <c r="K627" i="3"/>
  <c r="K628" i="3"/>
  <c r="K629" i="3"/>
  <c r="K630" i="3"/>
  <c r="K631" i="3"/>
  <c r="K632" i="3"/>
  <c r="K633" i="3"/>
  <c r="K634" i="3"/>
  <c r="K635" i="3"/>
  <c r="K636" i="3"/>
  <c r="K637" i="3"/>
  <c r="K638" i="3"/>
  <c r="K639" i="3"/>
  <c r="K640" i="3"/>
  <c r="K641" i="3"/>
  <c r="K642" i="3"/>
  <c r="K643" i="3"/>
  <c r="K644" i="3"/>
  <c r="K645" i="3"/>
  <c r="K646" i="3"/>
  <c r="K647" i="3"/>
  <c r="K648" i="3"/>
  <c r="K649" i="3"/>
  <c r="K650" i="3"/>
  <c r="K651" i="3"/>
  <c r="K652" i="3"/>
  <c r="K653" i="3"/>
  <c r="K654" i="3"/>
  <c r="K655" i="3"/>
  <c r="K656" i="3"/>
  <c r="K657" i="3"/>
  <c r="K658" i="3"/>
  <c r="K659" i="3"/>
  <c r="K660" i="3"/>
  <c r="K661" i="3"/>
  <c r="K662" i="3"/>
  <c r="K663" i="3"/>
  <c r="K664" i="3"/>
  <c r="K665" i="3"/>
  <c r="K666" i="3"/>
  <c r="K667" i="3"/>
  <c r="K668" i="3"/>
  <c r="K669" i="3"/>
  <c r="K670" i="3"/>
  <c r="K671" i="3"/>
  <c r="K672" i="3"/>
  <c r="K673" i="3"/>
  <c r="K674" i="3"/>
  <c r="K675" i="3"/>
  <c r="K676" i="3"/>
  <c r="K677" i="3"/>
  <c r="K678" i="3"/>
  <c r="K679" i="3"/>
  <c r="K680" i="3"/>
  <c r="K681" i="3"/>
  <c r="K682" i="3"/>
  <c r="K683" i="3"/>
  <c r="K684" i="3"/>
  <c r="K685" i="3"/>
  <c r="K686" i="3"/>
  <c r="K687" i="3"/>
  <c r="K688" i="3"/>
  <c r="K689" i="3"/>
  <c r="K690" i="3"/>
  <c r="K691" i="3"/>
  <c r="K692" i="3"/>
  <c r="K693" i="3"/>
  <c r="K694" i="3"/>
  <c r="K695" i="3"/>
  <c r="K696" i="3"/>
  <c r="K697" i="3"/>
  <c r="K698" i="3"/>
  <c r="K699" i="3"/>
  <c r="K700" i="3"/>
  <c r="K701" i="3"/>
  <c r="K702" i="3"/>
  <c r="K703" i="3"/>
  <c r="K704" i="3"/>
  <c r="K705" i="3"/>
  <c r="K706" i="3"/>
  <c r="K707" i="3"/>
  <c r="K708" i="3"/>
  <c r="K709" i="3"/>
  <c r="K710" i="3"/>
  <c r="K711" i="3"/>
  <c r="K712" i="3"/>
  <c r="K713" i="3"/>
  <c r="K714" i="3"/>
  <c r="K715" i="3"/>
  <c r="K716" i="3"/>
  <c r="K717" i="3"/>
  <c r="K718" i="3"/>
  <c r="K719" i="3"/>
  <c r="K720" i="3"/>
  <c r="K721" i="3"/>
  <c r="K722" i="3"/>
  <c r="K723" i="3"/>
  <c r="K724" i="3"/>
  <c r="K725" i="3"/>
  <c r="K726" i="3"/>
  <c r="K727" i="3"/>
  <c r="K728" i="3"/>
  <c r="K729" i="3"/>
  <c r="K730" i="3"/>
  <c r="K731" i="3"/>
  <c r="K732" i="3"/>
  <c r="K733" i="3"/>
  <c r="K734" i="3"/>
  <c r="K735" i="3"/>
  <c r="K736" i="3"/>
  <c r="K737" i="3"/>
  <c r="K738" i="3"/>
  <c r="K739" i="3"/>
  <c r="K740" i="3"/>
  <c r="K741" i="3"/>
  <c r="K742" i="3"/>
  <c r="K743" i="3"/>
  <c r="K744" i="3"/>
  <c r="K745" i="3"/>
  <c r="K746" i="3"/>
  <c r="K747" i="3"/>
  <c r="K748" i="3"/>
  <c r="K749" i="3"/>
  <c r="K750" i="3"/>
  <c r="K751" i="3"/>
  <c r="K752" i="3"/>
  <c r="K753" i="3"/>
  <c r="K754" i="3"/>
  <c r="K755" i="3"/>
  <c r="K756" i="3"/>
  <c r="K757" i="3"/>
  <c r="K758" i="3"/>
  <c r="K759" i="3"/>
  <c r="K760" i="3"/>
  <c r="K761" i="3"/>
  <c r="K762" i="3"/>
  <c r="K763" i="3"/>
  <c r="K764" i="3"/>
  <c r="K765" i="3"/>
  <c r="K766" i="3"/>
  <c r="K767" i="3"/>
  <c r="K768" i="3"/>
  <c r="K769" i="3"/>
  <c r="K770" i="3"/>
  <c r="K771" i="3"/>
  <c r="K772" i="3"/>
  <c r="K773" i="3"/>
  <c r="K774" i="3"/>
  <c r="K775" i="3"/>
  <c r="K776" i="3"/>
  <c r="K777" i="3"/>
  <c r="K778" i="3"/>
  <c r="K779" i="3"/>
  <c r="K780" i="3"/>
  <c r="K781" i="3"/>
  <c r="K782" i="3"/>
  <c r="K783" i="3"/>
  <c r="K784" i="3"/>
  <c r="K785" i="3"/>
  <c r="K786" i="3"/>
  <c r="K787" i="3"/>
  <c r="K788" i="3"/>
  <c r="K789" i="3"/>
  <c r="K790" i="3"/>
  <c r="K791" i="3"/>
  <c r="K792" i="3"/>
  <c r="K793" i="3"/>
  <c r="K794" i="3"/>
  <c r="K795" i="3"/>
  <c r="K796" i="3"/>
  <c r="K797" i="3"/>
  <c r="K798" i="3"/>
  <c r="K799" i="3"/>
  <c r="K800" i="3"/>
  <c r="K801" i="3"/>
  <c r="K802" i="3"/>
  <c r="K803" i="3"/>
  <c r="K804" i="3"/>
  <c r="K805" i="3"/>
  <c r="K806" i="3"/>
  <c r="K807" i="3"/>
  <c r="K808" i="3"/>
  <c r="K809" i="3"/>
  <c r="K810" i="3"/>
  <c r="K811" i="3"/>
  <c r="K812" i="3"/>
  <c r="K813" i="3"/>
  <c r="K814" i="3"/>
  <c r="K815" i="3"/>
  <c r="K816" i="3"/>
  <c r="K817" i="3"/>
  <c r="K818" i="3"/>
  <c r="K819" i="3"/>
  <c r="K820" i="3"/>
  <c r="K821" i="3"/>
  <c r="K822" i="3"/>
  <c r="K823" i="3"/>
  <c r="K824" i="3"/>
  <c r="K825" i="3"/>
  <c r="K826" i="3"/>
  <c r="K827" i="3"/>
  <c r="K828" i="3"/>
  <c r="K829" i="3"/>
  <c r="K830" i="3"/>
  <c r="K831" i="3"/>
  <c r="K832" i="3"/>
  <c r="K833" i="3"/>
  <c r="K834" i="3"/>
  <c r="K835" i="3"/>
  <c r="K836" i="3"/>
  <c r="K837" i="3"/>
  <c r="K838" i="3"/>
  <c r="K839" i="3"/>
  <c r="K840" i="3"/>
  <c r="K841" i="3"/>
  <c r="K842" i="3"/>
  <c r="K843" i="3"/>
  <c r="K844" i="3"/>
  <c r="K845" i="3"/>
  <c r="K846" i="3"/>
  <c r="K847" i="3"/>
  <c r="K848" i="3"/>
  <c r="K849" i="3"/>
  <c r="K850" i="3"/>
  <c r="K851" i="3"/>
  <c r="K852" i="3"/>
  <c r="K853" i="3"/>
  <c r="K854" i="3"/>
  <c r="K855" i="3"/>
  <c r="K856" i="3"/>
  <c r="K857" i="3"/>
  <c r="K858" i="3"/>
  <c r="K859" i="3"/>
  <c r="K860" i="3"/>
  <c r="K861" i="3"/>
  <c r="K862" i="3"/>
  <c r="K863" i="3"/>
  <c r="K864" i="3"/>
  <c r="K865" i="3"/>
  <c r="K866" i="3"/>
  <c r="K867" i="3"/>
  <c r="K868" i="3"/>
  <c r="K869" i="3"/>
  <c r="K870" i="3"/>
  <c r="K871" i="3"/>
  <c r="K872" i="3"/>
  <c r="K873" i="3"/>
  <c r="K874" i="3"/>
  <c r="K875" i="3"/>
  <c r="K876" i="3"/>
  <c r="K877" i="3"/>
  <c r="K878" i="3"/>
  <c r="K879" i="3"/>
  <c r="K880" i="3"/>
  <c r="K881" i="3"/>
  <c r="K882" i="3"/>
  <c r="K883" i="3"/>
  <c r="K884" i="3"/>
  <c r="K885" i="3"/>
  <c r="K886" i="3"/>
  <c r="K887" i="3"/>
  <c r="K888" i="3"/>
  <c r="K889" i="3"/>
  <c r="K890" i="3"/>
  <c r="K891" i="3"/>
  <c r="K892" i="3"/>
  <c r="K893" i="3"/>
  <c r="K894" i="3"/>
  <c r="K895" i="3"/>
  <c r="K896" i="3"/>
  <c r="K897" i="3"/>
  <c r="K898" i="3"/>
  <c r="K899" i="3"/>
  <c r="K900" i="3"/>
  <c r="K901" i="3"/>
  <c r="K902" i="3"/>
  <c r="K903" i="3"/>
  <c r="K904" i="3"/>
  <c r="K905" i="3"/>
  <c r="K906" i="3"/>
  <c r="K907" i="3"/>
  <c r="K908" i="3"/>
  <c r="K909" i="3"/>
  <c r="K910" i="3"/>
  <c r="K911" i="3"/>
  <c r="K912" i="3"/>
  <c r="K913" i="3"/>
  <c r="K914" i="3"/>
  <c r="K915" i="3"/>
  <c r="K916" i="3"/>
  <c r="K917" i="3"/>
  <c r="K918" i="3"/>
  <c r="K919" i="3"/>
  <c r="K920" i="3"/>
  <c r="K921" i="3"/>
  <c r="K922" i="3"/>
  <c r="K923" i="3"/>
  <c r="K924" i="3"/>
  <c r="K925" i="3"/>
  <c r="K926" i="3"/>
  <c r="K927" i="3"/>
  <c r="K928" i="3"/>
  <c r="K929" i="3"/>
  <c r="K930" i="3"/>
  <c r="K931" i="3"/>
  <c r="K932" i="3"/>
  <c r="K933" i="3"/>
  <c r="K934" i="3"/>
  <c r="K935" i="3"/>
  <c r="K936" i="3"/>
  <c r="K937" i="3"/>
  <c r="K938" i="3"/>
  <c r="K939" i="3"/>
  <c r="K940" i="3"/>
  <c r="K941" i="3"/>
  <c r="K942" i="3"/>
  <c r="K943" i="3"/>
  <c r="K944" i="3"/>
  <c r="K945" i="3"/>
  <c r="K946" i="3"/>
  <c r="K947" i="3"/>
  <c r="K948" i="3"/>
  <c r="K949" i="3"/>
  <c r="K950" i="3"/>
  <c r="K951" i="3"/>
  <c r="K952" i="3"/>
  <c r="K953" i="3"/>
  <c r="K954" i="3"/>
  <c r="K955" i="3"/>
  <c r="K956" i="3"/>
  <c r="K957" i="3"/>
  <c r="K958" i="3"/>
  <c r="K959" i="3"/>
  <c r="K960" i="3"/>
  <c r="K961" i="3"/>
  <c r="K962" i="3"/>
  <c r="K963" i="3"/>
  <c r="K964" i="3"/>
  <c r="K965" i="3"/>
  <c r="K966" i="3"/>
  <c r="K967" i="3"/>
  <c r="K968" i="3"/>
  <c r="K969" i="3"/>
  <c r="K970" i="3"/>
  <c r="K971" i="3"/>
  <c r="K972" i="3"/>
  <c r="K973" i="3"/>
  <c r="K974" i="3"/>
  <c r="K975" i="3"/>
  <c r="K976" i="3"/>
  <c r="K977" i="3"/>
  <c r="K978" i="3"/>
  <c r="K979" i="3"/>
  <c r="K980" i="3"/>
  <c r="K981" i="3"/>
  <c r="K982" i="3"/>
  <c r="K983" i="3"/>
  <c r="K984" i="3"/>
  <c r="K985" i="3"/>
  <c r="K986" i="3"/>
  <c r="K987" i="3"/>
  <c r="K988" i="3"/>
  <c r="K989" i="3"/>
  <c r="K990" i="3"/>
  <c r="K991" i="3"/>
  <c r="K992" i="3"/>
  <c r="K993" i="3"/>
  <c r="K994" i="3"/>
  <c r="K995" i="3"/>
  <c r="K996" i="3"/>
  <c r="K997" i="3"/>
  <c r="K998" i="3"/>
  <c r="K999" i="3"/>
  <c r="K1000" i="3"/>
  <c r="K1001" i="3"/>
  <c r="K2" i="3"/>
  <c r="F3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94" i="3"/>
  <c r="F95" i="3"/>
  <c r="F96" i="3"/>
  <c r="F97" i="3"/>
  <c r="F98" i="3"/>
  <c r="F99" i="3"/>
  <c r="F100" i="3"/>
  <c r="F101" i="3"/>
  <c r="F102" i="3"/>
  <c r="F103" i="3"/>
  <c r="F104" i="3"/>
  <c r="F105" i="3"/>
  <c r="F106" i="3"/>
  <c r="F107" i="3"/>
  <c r="F108" i="3"/>
  <c r="F109" i="3"/>
  <c r="F110" i="3"/>
  <c r="F111" i="3"/>
  <c r="F112" i="3"/>
  <c r="F113" i="3"/>
  <c r="F114" i="3"/>
  <c r="F115" i="3"/>
  <c r="F116" i="3"/>
  <c r="F117" i="3"/>
  <c r="F118" i="3"/>
  <c r="F119" i="3"/>
  <c r="F120" i="3"/>
  <c r="F121" i="3"/>
  <c r="F122" i="3"/>
  <c r="F123" i="3"/>
  <c r="F124" i="3"/>
  <c r="F125" i="3"/>
  <c r="F126" i="3"/>
  <c r="F127" i="3"/>
  <c r="F128" i="3"/>
  <c r="F129" i="3"/>
  <c r="F130" i="3"/>
  <c r="F131" i="3"/>
  <c r="F132" i="3"/>
  <c r="F133" i="3"/>
  <c r="F134" i="3"/>
  <c r="F135" i="3"/>
  <c r="F136" i="3"/>
  <c r="F137" i="3"/>
  <c r="F138" i="3"/>
  <c r="F139" i="3"/>
  <c r="F140" i="3"/>
  <c r="F141" i="3"/>
  <c r="F142" i="3"/>
  <c r="F143" i="3"/>
  <c r="F144" i="3"/>
  <c r="F145" i="3"/>
  <c r="F146" i="3"/>
  <c r="F147" i="3"/>
  <c r="F148" i="3"/>
  <c r="F149" i="3"/>
  <c r="F150" i="3"/>
  <c r="F151" i="3"/>
  <c r="F152" i="3"/>
  <c r="F153" i="3"/>
  <c r="F154" i="3"/>
  <c r="F155" i="3"/>
  <c r="F156" i="3"/>
  <c r="F157" i="3"/>
  <c r="F158" i="3"/>
  <c r="F159" i="3"/>
  <c r="F160" i="3"/>
  <c r="F161" i="3"/>
  <c r="F162" i="3"/>
  <c r="F163" i="3"/>
  <c r="F164" i="3"/>
  <c r="F165" i="3"/>
  <c r="F166" i="3"/>
  <c r="F167" i="3"/>
  <c r="F168" i="3"/>
  <c r="F169" i="3"/>
  <c r="F170" i="3"/>
  <c r="F171" i="3"/>
  <c r="F172" i="3"/>
  <c r="F173" i="3"/>
  <c r="F174" i="3"/>
  <c r="F175" i="3"/>
  <c r="F176" i="3"/>
  <c r="F177" i="3"/>
  <c r="F178" i="3"/>
  <c r="F179" i="3"/>
  <c r="F180" i="3"/>
  <c r="F181" i="3"/>
  <c r="F182" i="3"/>
  <c r="F183" i="3"/>
  <c r="F184" i="3"/>
  <c r="F185" i="3"/>
  <c r="F186" i="3"/>
  <c r="F187" i="3"/>
  <c r="F188" i="3"/>
  <c r="F189" i="3"/>
  <c r="F190" i="3"/>
  <c r="F191" i="3"/>
  <c r="F192" i="3"/>
  <c r="F193" i="3"/>
  <c r="F194" i="3"/>
  <c r="F195" i="3"/>
  <c r="F196" i="3"/>
  <c r="F197" i="3"/>
  <c r="F198" i="3"/>
  <c r="F199" i="3"/>
  <c r="F200" i="3"/>
  <c r="F201" i="3"/>
  <c r="F202" i="3"/>
  <c r="F203" i="3"/>
  <c r="F204" i="3"/>
  <c r="F205" i="3"/>
  <c r="F206" i="3"/>
  <c r="F207" i="3"/>
  <c r="F208" i="3"/>
  <c r="F209" i="3"/>
  <c r="F210" i="3"/>
  <c r="F211" i="3"/>
  <c r="F212" i="3"/>
  <c r="F213" i="3"/>
  <c r="F214" i="3"/>
  <c r="F215" i="3"/>
  <c r="F216" i="3"/>
  <c r="F217" i="3"/>
  <c r="F218" i="3"/>
  <c r="F219" i="3"/>
  <c r="F220" i="3"/>
  <c r="F221" i="3"/>
  <c r="F222" i="3"/>
  <c r="F223" i="3"/>
  <c r="F224" i="3"/>
  <c r="F225" i="3"/>
  <c r="F226" i="3"/>
  <c r="F227" i="3"/>
  <c r="F228" i="3"/>
  <c r="F229" i="3"/>
  <c r="F230" i="3"/>
  <c r="F231" i="3"/>
  <c r="F232" i="3"/>
  <c r="F233" i="3"/>
  <c r="F234" i="3"/>
  <c r="F235" i="3"/>
  <c r="F236" i="3"/>
  <c r="F237" i="3"/>
  <c r="F238" i="3"/>
  <c r="F239" i="3"/>
  <c r="F240" i="3"/>
  <c r="F241" i="3"/>
  <c r="F242" i="3"/>
  <c r="F243" i="3"/>
  <c r="F244" i="3"/>
  <c r="F245" i="3"/>
  <c r="F246" i="3"/>
  <c r="F247" i="3"/>
  <c r="F248" i="3"/>
  <c r="F249" i="3"/>
  <c r="F250" i="3"/>
  <c r="F251" i="3"/>
  <c r="F252" i="3"/>
  <c r="F253" i="3"/>
  <c r="F254" i="3"/>
  <c r="F255" i="3"/>
  <c r="F256" i="3"/>
  <c r="F257" i="3"/>
  <c r="F258" i="3"/>
  <c r="F259" i="3"/>
  <c r="F260" i="3"/>
  <c r="F261" i="3"/>
  <c r="F262" i="3"/>
  <c r="F263" i="3"/>
  <c r="F264" i="3"/>
  <c r="F265" i="3"/>
  <c r="F266" i="3"/>
  <c r="F267" i="3"/>
  <c r="F268" i="3"/>
  <c r="F269" i="3"/>
  <c r="F270" i="3"/>
  <c r="F271" i="3"/>
  <c r="F272" i="3"/>
  <c r="F273" i="3"/>
  <c r="F274" i="3"/>
  <c r="F275" i="3"/>
  <c r="F276" i="3"/>
  <c r="F277" i="3"/>
  <c r="F278" i="3"/>
  <c r="F279" i="3"/>
  <c r="F280" i="3"/>
  <c r="F281" i="3"/>
  <c r="F282" i="3"/>
  <c r="F283" i="3"/>
  <c r="F284" i="3"/>
  <c r="F285" i="3"/>
  <c r="F286" i="3"/>
  <c r="F287" i="3"/>
  <c r="F288" i="3"/>
  <c r="F289" i="3"/>
  <c r="F290" i="3"/>
  <c r="F291" i="3"/>
  <c r="F292" i="3"/>
  <c r="F293" i="3"/>
  <c r="F294" i="3"/>
  <c r="F295" i="3"/>
  <c r="F296" i="3"/>
  <c r="F297" i="3"/>
  <c r="F298" i="3"/>
  <c r="F299" i="3"/>
  <c r="F300" i="3"/>
  <c r="F301" i="3"/>
  <c r="F302" i="3"/>
  <c r="F303" i="3"/>
  <c r="F304" i="3"/>
  <c r="F305" i="3"/>
  <c r="F306" i="3"/>
  <c r="F307" i="3"/>
  <c r="F308" i="3"/>
  <c r="F309" i="3"/>
  <c r="F310" i="3"/>
  <c r="F311" i="3"/>
  <c r="F312" i="3"/>
  <c r="F313" i="3"/>
  <c r="F314" i="3"/>
  <c r="F315" i="3"/>
  <c r="F316" i="3"/>
  <c r="F317" i="3"/>
  <c r="F318" i="3"/>
  <c r="F319" i="3"/>
  <c r="F320" i="3"/>
  <c r="F321" i="3"/>
  <c r="F322" i="3"/>
  <c r="F323" i="3"/>
  <c r="F324" i="3"/>
  <c r="F325" i="3"/>
  <c r="F326" i="3"/>
  <c r="F327" i="3"/>
  <c r="F328" i="3"/>
  <c r="F329" i="3"/>
  <c r="F330" i="3"/>
  <c r="F331" i="3"/>
  <c r="F332" i="3"/>
  <c r="F333" i="3"/>
  <c r="F334" i="3"/>
  <c r="F335" i="3"/>
  <c r="F336" i="3"/>
  <c r="F337" i="3"/>
  <c r="F338" i="3"/>
  <c r="F339" i="3"/>
  <c r="F340" i="3"/>
  <c r="F341" i="3"/>
  <c r="F342" i="3"/>
  <c r="F343" i="3"/>
  <c r="F344" i="3"/>
  <c r="F345" i="3"/>
  <c r="F346" i="3"/>
  <c r="F347" i="3"/>
  <c r="F348" i="3"/>
  <c r="F349" i="3"/>
  <c r="F350" i="3"/>
  <c r="F351" i="3"/>
  <c r="F352" i="3"/>
  <c r="F353" i="3"/>
  <c r="F354" i="3"/>
  <c r="F355" i="3"/>
  <c r="F356" i="3"/>
  <c r="F357" i="3"/>
  <c r="F358" i="3"/>
  <c r="F359" i="3"/>
  <c r="F360" i="3"/>
  <c r="F361" i="3"/>
  <c r="F362" i="3"/>
  <c r="F363" i="3"/>
  <c r="F364" i="3"/>
  <c r="F365" i="3"/>
  <c r="F366" i="3"/>
  <c r="F367" i="3"/>
  <c r="F368" i="3"/>
  <c r="F369" i="3"/>
  <c r="F370" i="3"/>
  <c r="F371" i="3"/>
  <c r="F372" i="3"/>
  <c r="F373" i="3"/>
  <c r="F374" i="3"/>
  <c r="F375" i="3"/>
  <c r="F376" i="3"/>
  <c r="F377" i="3"/>
  <c r="F378" i="3"/>
  <c r="F379" i="3"/>
  <c r="F380" i="3"/>
  <c r="F381" i="3"/>
  <c r="F382" i="3"/>
  <c r="F383" i="3"/>
  <c r="F384" i="3"/>
  <c r="F385" i="3"/>
  <c r="F386" i="3"/>
  <c r="F387" i="3"/>
  <c r="F388" i="3"/>
  <c r="F389" i="3"/>
  <c r="F390" i="3"/>
  <c r="F391" i="3"/>
  <c r="F392" i="3"/>
  <c r="F393" i="3"/>
  <c r="F394" i="3"/>
  <c r="F395" i="3"/>
  <c r="F396" i="3"/>
  <c r="F397" i="3"/>
  <c r="F398" i="3"/>
  <c r="F399" i="3"/>
  <c r="F400" i="3"/>
  <c r="F401" i="3"/>
  <c r="F402" i="3"/>
  <c r="F403" i="3"/>
  <c r="F404" i="3"/>
  <c r="F405" i="3"/>
  <c r="F406" i="3"/>
  <c r="F407" i="3"/>
  <c r="F408" i="3"/>
  <c r="F409" i="3"/>
  <c r="F410" i="3"/>
  <c r="F411" i="3"/>
  <c r="F412" i="3"/>
  <c r="F413" i="3"/>
  <c r="F414" i="3"/>
  <c r="F415" i="3"/>
  <c r="F416" i="3"/>
  <c r="F417" i="3"/>
  <c r="F418" i="3"/>
  <c r="F419" i="3"/>
  <c r="F420" i="3"/>
  <c r="F421" i="3"/>
  <c r="F422" i="3"/>
  <c r="F423" i="3"/>
  <c r="F424" i="3"/>
  <c r="F425" i="3"/>
  <c r="F426" i="3"/>
  <c r="F427" i="3"/>
  <c r="F428" i="3"/>
  <c r="F429" i="3"/>
  <c r="F430" i="3"/>
  <c r="F431" i="3"/>
  <c r="F432" i="3"/>
  <c r="F433" i="3"/>
  <c r="F434" i="3"/>
  <c r="F435" i="3"/>
  <c r="F436" i="3"/>
  <c r="F437" i="3"/>
  <c r="F438" i="3"/>
  <c r="F439" i="3"/>
  <c r="F440" i="3"/>
  <c r="F441" i="3"/>
  <c r="F442" i="3"/>
  <c r="F443" i="3"/>
  <c r="F444" i="3"/>
  <c r="F445" i="3"/>
  <c r="F446" i="3"/>
  <c r="F447" i="3"/>
  <c r="F448" i="3"/>
  <c r="F449" i="3"/>
  <c r="F450" i="3"/>
  <c r="F451" i="3"/>
  <c r="F452" i="3"/>
  <c r="F453" i="3"/>
  <c r="F454" i="3"/>
  <c r="F455" i="3"/>
  <c r="F456" i="3"/>
  <c r="F457" i="3"/>
  <c r="F458" i="3"/>
  <c r="F459" i="3"/>
  <c r="F460" i="3"/>
  <c r="F461" i="3"/>
  <c r="F462" i="3"/>
  <c r="F463" i="3"/>
  <c r="F464" i="3"/>
  <c r="F465" i="3"/>
  <c r="F466" i="3"/>
  <c r="F467" i="3"/>
  <c r="F468" i="3"/>
  <c r="F469" i="3"/>
  <c r="F470" i="3"/>
  <c r="F471" i="3"/>
  <c r="F472" i="3"/>
  <c r="F473" i="3"/>
  <c r="F474" i="3"/>
  <c r="F475" i="3"/>
  <c r="F476" i="3"/>
  <c r="F477" i="3"/>
  <c r="F478" i="3"/>
  <c r="F479" i="3"/>
  <c r="F480" i="3"/>
  <c r="F481" i="3"/>
  <c r="F482" i="3"/>
  <c r="F483" i="3"/>
  <c r="F484" i="3"/>
  <c r="F485" i="3"/>
  <c r="F486" i="3"/>
  <c r="F487" i="3"/>
  <c r="F488" i="3"/>
  <c r="F489" i="3"/>
  <c r="F490" i="3"/>
  <c r="F491" i="3"/>
  <c r="F492" i="3"/>
  <c r="F493" i="3"/>
  <c r="F494" i="3"/>
  <c r="F495" i="3"/>
  <c r="F496" i="3"/>
  <c r="F497" i="3"/>
  <c r="F498" i="3"/>
  <c r="F499" i="3"/>
  <c r="F500" i="3"/>
  <c r="F501" i="3"/>
  <c r="F502" i="3"/>
  <c r="F503" i="3"/>
  <c r="F504" i="3"/>
  <c r="F505" i="3"/>
  <c r="F506" i="3"/>
  <c r="F507" i="3"/>
  <c r="F508" i="3"/>
  <c r="F509" i="3"/>
  <c r="F510" i="3"/>
  <c r="F511" i="3"/>
  <c r="F512" i="3"/>
  <c r="F513" i="3"/>
  <c r="F514" i="3"/>
  <c r="F515" i="3"/>
  <c r="F516" i="3"/>
  <c r="F517" i="3"/>
  <c r="F518" i="3"/>
  <c r="F519" i="3"/>
  <c r="F520" i="3"/>
  <c r="F521" i="3"/>
  <c r="F522" i="3"/>
  <c r="F523" i="3"/>
  <c r="F524" i="3"/>
  <c r="F525" i="3"/>
  <c r="F526" i="3"/>
  <c r="F527" i="3"/>
  <c r="F528" i="3"/>
  <c r="F529" i="3"/>
  <c r="F530" i="3"/>
  <c r="F531" i="3"/>
  <c r="F532" i="3"/>
  <c r="F533" i="3"/>
  <c r="F534" i="3"/>
  <c r="F535" i="3"/>
  <c r="F536" i="3"/>
  <c r="F537" i="3"/>
  <c r="F538" i="3"/>
  <c r="F539" i="3"/>
  <c r="F540" i="3"/>
  <c r="F541" i="3"/>
  <c r="F542" i="3"/>
  <c r="F543" i="3"/>
  <c r="F544" i="3"/>
  <c r="F545" i="3"/>
  <c r="F546" i="3"/>
  <c r="F547" i="3"/>
  <c r="F548" i="3"/>
  <c r="F549" i="3"/>
  <c r="F550" i="3"/>
  <c r="F551" i="3"/>
  <c r="F552" i="3"/>
  <c r="F553" i="3"/>
  <c r="F554" i="3"/>
  <c r="F555" i="3"/>
  <c r="F556" i="3"/>
  <c r="F557" i="3"/>
  <c r="F558" i="3"/>
  <c r="F559" i="3"/>
  <c r="F560" i="3"/>
  <c r="F561" i="3"/>
  <c r="F562" i="3"/>
  <c r="F563" i="3"/>
  <c r="F564" i="3"/>
  <c r="F565" i="3"/>
  <c r="F566" i="3"/>
  <c r="F567" i="3"/>
  <c r="F568" i="3"/>
  <c r="F569" i="3"/>
  <c r="F570" i="3"/>
  <c r="F571" i="3"/>
  <c r="F572" i="3"/>
  <c r="F573" i="3"/>
  <c r="F574" i="3"/>
  <c r="F575" i="3"/>
  <c r="F576" i="3"/>
  <c r="F577" i="3"/>
  <c r="F578" i="3"/>
  <c r="F579" i="3"/>
  <c r="F580" i="3"/>
  <c r="F581" i="3"/>
  <c r="F582" i="3"/>
  <c r="F583" i="3"/>
  <c r="F584" i="3"/>
  <c r="F585" i="3"/>
  <c r="F586" i="3"/>
  <c r="F587" i="3"/>
  <c r="F588" i="3"/>
  <c r="F589" i="3"/>
  <c r="F590" i="3"/>
  <c r="F591" i="3"/>
  <c r="F592" i="3"/>
  <c r="F593" i="3"/>
  <c r="F594" i="3"/>
  <c r="F595" i="3"/>
  <c r="F596" i="3"/>
  <c r="F597" i="3"/>
  <c r="F598" i="3"/>
  <c r="F599" i="3"/>
  <c r="F600" i="3"/>
  <c r="F601" i="3"/>
  <c r="F602" i="3"/>
  <c r="F603" i="3"/>
  <c r="F604" i="3"/>
  <c r="F605" i="3"/>
  <c r="F606" i="3"/>
  <c r="F607" i="3"/>
  <c r="F608" i="3"/>
  <c r="F609" i="3"/>
  <c r="F610" i="3"/>
  <c r="F611" i="3"/>
  <c r="F612" i="3"/>
  <c r="F613" i="3"/>
  <c r="F614" i="3"/>
  <c r="F615" i="3"/>
  <c r="F616" i="3"/>
  <c r="F617" i="3"/>
  <c r="F618" i="3"/>
  <c r="F619" i="3"/>
  <c r="F620" i="3"/>
  <c r="F621" i="3"/>
  <c r="F622" i="3"/>
  <c r="F623" i="3"/>
  <c r="F624" i="3"/>
  <c r="F625" i="3"/>
  <c r="F626" i="3"/>
  <c r="F627" i="3"/>
  <c r="F628" i="3"/>
  <c r="F629" i="3"/>
  <c r="F630" i="3"/>
  <c r="F631" i="3"/>
  <c r="F632" i="3"/>
  <c r="F633" i="3"/>
  <c r="F634" i="3"/>
  <c r="F635" i="3"/>
  <c r="F636" i="3"/>
  <c r="F637" i="3"/>
  <c r="F638" i="3"/>
  <c r="F639" i="3"/>
  <c r="F640" i="3"/>
  <c r="F641" i="3"/>
  <c r="F642" i="3"/>
  <c r="F643" i="3"/>
  <c r="F644" i="3"/>
  <c r="F645" i="3"/>
  <c r="F646" i="3"/>
  <c r="F647" i="3"/>
  <c r="F648" i="3"/>
  <c r="F649" i="3"/>
  <c r="F650" i="3"/>
  <c r="F651" i="3"/>
  <c r="F652" i="3"/>
  <c r="F653" i="3"/>
  <c r="F654" i="3"/>
  <c r="F655" i="3"/>
  <c r="F656" i="3"/>
  <c r="F657" i="3"/>
  <c r="F658" i="3"/>
  <c r="F659" i="3"/>
  <c r="F660" i="3"/>
  <c r="F661" i="3"/>
  <c r="F662" i="3"/>
  <c r="F663" i="3"/>
  <c r="F664" i="3"/>
  <c r="F665" i="3"/>
  <c r="F666" i="3"/>
  <c r="F667" i="3"/>
  <c r="F668" i="3"/>
  <c r="F669" i="3"/>
  <c r="F670" i="3"/>
  <c r="F671" i="3"/>
  <c r="F672" i="3"/>
  <c r="F673" i="3"/>
  <c r="F674" i="3"/>
  <c r="F675" i="3"/>
  <c r="F676" i="3"/>
  <c r="F677" i="3"/>
  <c r="F678" i="3"/>
  <c r="F679" i="3"/>
  <c r="F680" i="3"/>
  <c r="F681" i="3"/>
  <c r="F682" i="3"/>
  <c r="F683" i="3"/>
  <c r="F684" i="3"/>
  <c r="F685" i="3"/>
  <c r="F686" i="3"/>
  <c r="F687" i="3"/>
  <c r="F688" i="3"/>
  <c r="F689" i="3"/>
  <c r="F690" i="3"/>
  <c r="F691" i="3"/>
  <c r="F692" i="3"/>
  <c r="F693" i="3"/>
  <c r="F694" i="3"/>
  <c r="F695" i="3"/>
  <c r="F696" i="3"/>
  <c r="F697" i="3"/>
  <c r="F698" i="3"/>
  <c r="F699" i="3"/>
  <c r="F700" i="3"/>
  <c r="F701" i="3"/>
  <c r="F702" i="3"/>
  <c r="F703" i="3"/>
  <c r="F704" i="3"/>
  <c r="F705" i="3"/>
  <c r="F706" i="3"/>
  <c r="F707" i="3"/>
  <c r="F708" i="3"/>
  <c r="F709" i="3"/>
  <c r="F710" i="3"/>
  <c r="F711" i="3"/>
  <c r="F712" i="3"/>
  <c r="F713" i="3"/>
  <c r="F714" i="3"/>
  <c r="F715" i="3"/>
  <c r="F716" i="3"/>
  <c r="F717" i="3"/>
  <c r="F718" i="3"/>
  <c r="F719" i="3"/>
  <c r="F720" i="3"/>
  <c r="F721" i="3"/>
  <c r="F722" i="3"/>
  <c r="F723" i="3"/>
  <c r="F724" i="3"/>
  <c r="F725" i="3"/>
  <c r="F726" i="3"/>
  <c r="F727" i="3"/>
  <c r="F728" i="3"/>
  <c r="F729" i="3"/>
  <c r="F730" i="3"/>
  <c r="F731" i="3"/>
  <c r="F732" i="3"/>
  <c r="F733" i="3"/>
  <c r="F734" i="3"/>
  <c r="F735" i="3"/>
  <c r="F736" i="3"/>
  <c r="F737" i="3"/>
  <c r="F738" i="3"/>
  <c r="F739" i="3"/>
  <c r="F740" i="3"/>
  <c r="F741" i="3"/>
  <c r="F742" i="3"/>
  <c r="F743" i="3"/>
  <c r="F744" i="3"/>
  <c r="F745" i="3"/>
  <c r="F746" i="3"/>
  <c r="F747" i="3"/>
  <c r="F748" i="3"/>
  <c r="F749" i="3"/>
  <c r="F750" i="3"/>
  <c r="F751" i="3"/>
  <c r="F752" i="3"/>
  <c r="F753" i="3"/>
  <c r="F754" i="3"/>
  <c r="F755" i="3"/>
  <c r="F756" i="3"/>
  <c r="F757" i="3"/>
  <c r="F758" i="3"/>
  <c r="F759" i="3"/>
  <c r="F760" i="3"/>
  <c r="F761" i="3"/>
  <c r="F762" i="3"/>
  <c r="F763" i="3"/>
  <c r="F764" i="3"/>
  <c r="F765" i="3"/>
  <c r="F766" i="3"/>
  <c r="F767" i="3"/>
  <c r="F768" i="3"/>
  <c r="F769" i="3"/>
  <c r="F770" i="3"/>
  <c r="F771" i="3"/>
  <c r="F772" i="3"/>
  <c r="F773" i="3"/>
  <c r="F774" i="3"/>
  <c r="F775" i="3"/>
  <c r="F776" i="3"/>
  <c r="F777" i="3"/>
  <c r="F778" i="3"/>
  <c r="F779" i="3"/>
  <c r="F780" i="3"/>
  <c r="F781" i="3"/>
  <c r="F782" i="3"/>
  <c r="F783" i="3"/>
  <c r="F784" i="3"/>
  <c r="F785" i="3"/>
  <c r="F786" i="3"/>
  <c r="F787" i="3"/>
  <c r="F788" i="3"/>
  <c r="F789" i="3"/>
  <c r="F790" i="3"/>
  <c r="F791" i="3"/>
  <c r="F792" i="3"/>
  <c r="F793" i="3"/>
  <c r="F794" i="3"/>
  <c r="F795" i="3"/>
  <c r="F796" i="3"/>
  <c r="F797" i="3"/>
  <c r="F798" i="3"/>
  <c r="F799" i="3"/>
  <c r="F800" i="3"/>
  <c r="F801" i="3"/>
  <c r="F802" i="3"/>
  <c r="F803" i="3"/>
  <c r="F804" i="3"/>
  <c r="F805" i="3"/>
  <c r="F806" i="3"/>
  <c r="F807" i="3"/>
  <c r="F2" i="3"/>
  <c r="S3" i="3"/>
  <c r="S4" i="3"/>
  <c r="S5" i="3"/>
  <c r="S6" i="3"/>
  <c r="S7" i="3"/>
  <c r="S8" i="3"/>
  <c r="S9" i="3"/>
  <c r="S10" i="3"/>
  <c r="S11" i="3"/>
  <c r="S12" i="3"/>
  <c r="S13" i="3"/>
  <c r="S14" i="3"/>
  <c r="S15" i="3"/>
  <c r="S16" i="3"/>
  <c r="S17" i="3"/>
  <c r="S18" i="3"/>
  <c r="S19" i="3"/>
  <c r="S20" i="3"/>
  <c r="S21" i="3"/>
  <c r="S22" i="3"/>
  <c r="S23" i="3"/>
  <c r="S24" i="3"/>
  <c r="S25" i="3"/>
  <c r="S26" i="3"/>
  <c r="S27" i="3"/>
  <c r="S28" i="3"/>
  <c r="S29" i="3"/>
  <c r="S30" i="3"/>
  <c r="S31" i="3"/>
  <c r="S32" i="3"/>
  <c r="S33" i="3"/>
  <c r="S34" i="3"/>
  <c r="S35" i="3"/>
  <c r="S36" i="3"/>
  <c r="S37" i="3"/>
  <c r="S38" i="3"/>
  <c r="S39" i="3"/>
  <c r="S40" i="3"/>
  <c r="S41" i="3"/>
  <c r="S42" i="3"/>
  <c r="S43" i="3"/>
  <c r="S44" i="3"/>
  <c r="S45" i="3"/>
  <c r="S46" i="3"/>
  <c r="S47" i="3"/>
  <c r="S48" i="3"/>
  <c r="S49" i="3"/>
  <c r="S50" i="3"/>
  <c r="S51" i="3"/>
  <c r="S52" i="3"/>
  <c r="S53" i="3"/>
  <c r="S54" i="3"/>
  <c r="S55" i="3"/>
  <c r="S56" i="3"/>
  <c r="S57" i="3"/>
  <c r="S58" i="3"/>
  <c r="S59" i="3"/>
  <c r="S60" i="3"/>
  <c r="S61" i="3"/>
  <c r="S62" i="3"/>
  <c r="S63" i="3"/>
  <c r="S64" i="3"/>
  <c r="S65" i="3"/>
  <c r="S66" i="3"/>
  <c r="S67" i="3"/>
  <c r="S68" i="3"/>
  <c r="S69" i="3"/>
  <c r="S70" i="3"/>
  <c r="S71" i="3"/>
  <c r="S72" i="3"/>
  <c r="S73" i="3"/>
  <c r="S74" i="3"/>
  <c r="S75" i="3"/>
  <c r="S76" i="3"/>
  <c r="S77" i="3"/>
  <c r="S78" i="3"/>
  <c r="S79" i="3"/>
  <c r="S80" i="3"/>
  <c r="S81" i="3"/>
  <c r="S82" i="3"/>
  <c r="S83" i="3"/>
  <c r="S84" i="3"/>
  <c r="S85" i="3"/>
  <c r="S86" i="3"/>
  <c r="S87" i="3"/>
  <c r="S88" i="3"/>
  <c r="S89" i="3"/>
  <c r="S90" i="3"/>
  <c r="S91" i="3"/>
  <c r="S92" i="3"/>
  <c r="S93" i="3"/>
  <c r="S94" i="3"/>
  <c r="S95" i="3"/>
  <c r="S96" i="3"/>
  <c r="S97" i="3"/>
  <c r="S98" i="3"/>
  <c r="S99" i="3"/>
  <c r="S100" i="3"/>
  <c r="S101" i="3"/>
  <c r="S102" i="3"/>
  <c r="S103" i="3"/>
  <c r="S104" i="3"/>
  <c r="S105" i="3"/>
  <c r="S106" i="3"/>
  <c r="S107" i="3"/>
  <c r="S108" i="3"/>
  <c r="S109" i="3"/>
  <c r="S110" i="3"/>
  <c r="S111" i="3"/>
  <c r="S112" i="3"/>
  <c r="S113" i="3"/>
  <c r="S114" i="3"/>
  <c r="S115" i="3"/>
  <c r="S116" i="3"/>
  <c r="S117" i="3"/>
  <c r="S118" i="3"/>
  <c r="S119" i="3"/>
  <c r="S120" i="3"/>
  <c r="S121" i="3"/>
  <c r="S122" i="3"/>
  <c r="S123" i="3"/>
  <c r="S124" i="3"/>
  <c r="S125" i="3"/>
  <c r="S126" i="3"/>
  <c r="S127" i="3"/>
  <c r="S128" i="3"/>
  <c r="S129" i="3"/>
  <c r="S130" i="3"/>
  <c r="S131" i="3"/>
  <c r="S132" i="3"/>
  <c r="S133" i="3"/>
  <c r="S134" i="3"/>
  <c r="S135" i="3"/>
  <c r="S136" i="3"/>
  <c r="S137" i="3"/>
  <c r="S138" i="3"/>
  <c r="S139" i="3"/>
  <c r="S140" i="3"/>
  <c r="S141" i="3"/>
  <c r="S142" i="3"/>
  <c r="S143" i="3"/>
  <c r="S144" i="3"/>
  <c r="S145" i="3"/>
  <c r="S146" i="3"/>
  <c r="S147" i="3"/>
  <c r="S148" i="3"/>
  <c r="S149" i="3"/>
  <c r="S150" i="3"/>
  <c r="S151" i="3"/>
  <c r="S152" i="3"/>
  <c r="S153" i="3"/>
  <c r="S154" i="3"/>
  <c r="S155" i="3"/>
  <c r="S156" i="3"/>
  <c r="S157" i="3"/>
  <c r="S158" i="3"/>
  <c r="S159" i="3"/>
  <c r="S160" i="3"/>
  <c r="S161" i="3"/>
  <c r="S162" i="3"/>
  <c r="S163" i="3"/>
  <c r="S164" i="3"/>
  <c r="S165" i="3"/>
  <c r="S166" i="3"/>
  <c r="S167" i="3"/>
  <c r="S168" i="3"/>
  <c r="S169" i="3"/>
  <c r="S170" i="3"/>
  <c r="S171" i="3"/>
  <c r="S172" i="3"/>
  <c r="S173" i="3"/>
  <c r="S174" i="3"/>
  <c r="S175" i="3"/>
  <c r="S176" i="3"/>
  <c r="S177" i="3"/>
  <c r="S178" i="3"/>
  <c r="S179" i="3"/>
  <c r="S180" i="3"/>
  <c r="S181" i="3"/>
  <c r="S182" i="3"/>
  <c r="S183" i="3"/>
  <c r="S184" i="3"/>
  <c r="S185" i="3"/>
  <c r="S186" i="3"/>
  <c r="S187" i="3"/>
  <c r="S188" i="3"/>
  <c r="S189" i="3"/>
  <c r="S190" i="3"/>
  <c r="S191" i="3"/>
  <c r="S192" i="3"/>
  <c r="S193" i="3"/>
  <c r="S194" i="3"/>
  <c r="S195" i="3"/>
  <c r="S196" i="3"/>
  <c r="S197" i="3"/>
  <c r="S198" i="3"/>
  <c r="S199" i="3"/>
  <c r="S200" i="3"/>
  <c r="S201" i="3"/>
  <c r="S202" i="3"/>
  <c r="S203" i="3"/>
  <c r="S204" i="3"/>
  <c r="S205" i="3"/>
  <c r="S206" i="3"/>
  <c r="S207" i="3"/>
  <c r="S208" i="3"/>
  <c r="S209" i="3"/>
  <c r="S210" i="3"/>
  <c r="S211" i="3"/>
  <c r="S212" i="3"/>
  <c r="S213" i="3"/>
  <c r="S214" i="3"/>
  <c r="S215" i="3"/>
  <c r="S216" i="3"/>
  <c r="S217" i="3"/>
  <c r="S218" i="3"/>
  <c r="S219" i="3"/>
  <c r="S220" i="3"/>
  <c r="S221" i="3"/>
  <c r="S222" i="3"/>
  <c r="S223" i="3"/>
  <c r="S224" i="3"/>
  <c r="S225" i="3"/>
  <c r="S226" i="3"/>
  <c r="S227" i="3"/>
  <c r="S228" i="3"/>
  <c r="S229" i="3"/>
  <c r="S230" i="3"/>
  <c r="S231" i="3"/>
  <c r="S232" i="3"/>
  <c r="S233" i="3"/>
  <c r="S234" i="3"/>
  <c r="S235" i="3"/>
  <c r="S236" i="3"/>
  <c r="S237" i="3"/>
  <c r="S238" i="3"/>
  <c r="S239" i="3"/>
  <c r="S240" i="3"/>
  <c r="S241" i="3"/>
  <c r="S242" i="3"/>
  <c r="S243" i="3"/>
  <c r="S244" i="3"/>
  <c r="S245" i="3"/>
  <c r="S246" i="3"/>
  <c r="S247" i="3"/>
  <c r="S248" i="3"/>
  <c r="S249" i="3"/>
  <c r="S250" i="3"/>
  <c r="S251" i="3"/>
  <c r="S252" i="3"/>
  <c r="S253" i="3"/>
  <c r="S254" i="3"/>
  <c r="S255" i="3"/>
  <c r="S256" i="3"/>
  <c r="S257" i="3"/>
  <c r="S258" i="3"/>
  <c r="S259" i="3"/>
  <c r="S260" i="3"/>
  <c r="S261" i="3"/>
  <c r="S262" i="3"/>
  <c r="S263" i="3"/>
  <c r="S264" i="3"/>
  <c r="S265" i="3"/>
  <c r="S266" i="3"/>
  <c r="S267" i="3"/>
  <c r="S268" i="3"/>
  <c r="S269" i="3"/>
  <c r="S270" i="3"/>
  <c r="S271" i="3"/>
  <c r="S272" i="3"/>
  <c r="S273" i="3"/>
  <c r="S274" i="3"/>
  <c r="S275" i="3"/>
  <c r="S276" i="3"/>
  <c r="S277" i="3"/>
  <c r="S278" i="3"/>
  <c r="S279" i="3"/>
  <c r="S280" i="3"/>
  <c r="S281" i="3"/>
  <c r="S282" i="3"/>
  <c r="S283" i="3"/>
  <c r="S284" i="3"/>
  <c r="S285" i="3"/>
  <c r="S286" i="3"/>
  <c r="S287" i="3"/>
  <c r="S288" i="3"/>
  <c r="S289" i="3"/>
  <c r="S290" i="3"/>
  <c r="S291" i="3"/>
  <c r="S292" i="3"/>
  <c r="S293" i="3"/>
  <c r="S294" i="3"/>
  <c r="S295" i="3"/>
  <c r="S296" i="3"/>
  <c r="S297" i="3"/>
  <c r="S298" i="3"/>
  <c r="S299" i="3"/>
  <c r="S300" i="3"/>
  <c r="S301" i="3"/>
  <c r="S302" i="3"/>
  <c r="S303" i="3"/>
  <c r="S304" i="3"/>
  <c r="S305" i="3"/>
  <c r="S306" i="3"/>
  <c r="S307" i="3"/>
  <c r="S308" i="3"/>
  <c r="S309" i="3"/>
  <c r="S310" i="3"/>
  <c r="S311" i="3"/>
  <c r="S312" i="3"/>
  <c r="S313" i="3"/>
  <c r="S314" i="3"/>
  <c r="S315" i="3"/>
  <c r="S316" i="3"/>
  <c r="S317" i="3"/>
  <c r="S318" i="3"/>
  <c r="S319" i="3"/>
  <c r="S320" i="3"/>
  <c r="S321" i="3"/>
  <c r="S322" i="3"/>
  <c r="S323" i="3"/>
  <c r="S324" i="3"/>
  <c r="S325" i="3"/>
  <c r="S326" i="3"/>
  <c r="S327" i="3"/>
  <c r="S328" i="3"/>
  <c r="S329" i="3"/>
  <c r="S330" i="3"/>
  <c r="S331" i="3"/>
  <c r="S332" i="3"/>
  <c r="S333" i="3"/>
  <c r="S334" i="3"/>
  <c r="S335" i="3"/>
  <c r="S336" i="3"/>
  <c r="S337" i="3"/>
  <c r="S338" i="3"/>
  <c r="S339" i="3"/>
  <c r="S340" i="3"/>
  <c r="S341" i="3"/>
  <c r="S342" i="3"/>
  <c r="S343" i="3"/>
  <c r="S344" i="3"/>
  <c r="S345" i="3"/>
  <c r="S346" i="3"/>
  <c r="S347" i="3"/>
  <c r="S348" i="3"/>
  <c r="S349" i="3"/>
  <c r="S350" i="3"/>
  <c r="S351" i="3"/>
  <c r="S352" i="3"/>
  <c r="S353" i="3"/>
  <c r="S354" i="3"/>
  <c r="S355" i="3"/>
  <c r="S356" i="3"/>
  <c r="S357" i="3"/>
  <c r="S358" i="3"/>
  <c r="S359" i="3"/>
  <c r="S360" i="3"/>
  <c r="S361" i="3"/>
  <c r="S362" i="3"/>
  <c r="S363" i="3"/>
  <c r="S364" i="3"/>
  <c r="S365" i="3"/>
  <c r="S366" i="3"/>
  <c r="S367" i="3"/>
  <c r="S368" i="3"/>
  <c r="S369" i="3"/>
  <c r="S370" i="3"/>
  <c r="S371" i="3"/>
  <c r="S372" i="3"/>
  <c r="S373" i="3"/>
  <c r="S374" i="3"/>
  <c r="S375" i="3"/>
  <c r="S376" i="3"/>
  <c r="S377" i="3"/>
  <c r="S378" i="3"/>
  <c r="S379" i="3"/>
  <c r="S380" i="3"/>
  <c r="S381" i="3"/>
  <c r="S382" i="3"/>
  <c r="S383" i="3"/>
  <c r="S384" i="3"/>
  <c r="S385" i="3"/>
  <c r="S386" i="3"/>
  <c r="S387" i="3"/>
  <c r="S388" i="3"/>
  <c r="S389" i="3"/>
  <c r="S390" i="3"/>
  <c r="S391" i="3"/>
  <c r="S392" i="3"/>
  <c r="S393" i="3"/>
  <c r="S394" i="3"/>
  <c r="S395" i="3"/>
  <c r="S396" i="3"/>
  <c r="S397" i="3"/>
  <c r="S398" i="3"/>
  <c r="S399" i="3"/>
  <c r="S400" i="3"/>
  <c r="S401" i="3"/>
  <c r="S402" i="3"/>
  <c r="S403" i="3"/>
  <c r="S404" i="3"/>
  <c r="S405" i="3"/>
  <c r="S406" i="3"/>
  <c r="S407" i="3"/>
  <c r="S408" i="3"/>
  <c r="S409" i="3"/>
  <c r="S410" i="3"/>
  <c r="S411" i="3"/>
  <c r="S412" i="3"/>
  <c r="S413" i="3"/>
  <c r="S414" i="3"/>
  <c r="S415" i="3"/>
  <c r="S416" i="3"/>
  <c r="S417" i="3"/>
  <c r="S418" i="3"/>
  <c r="S419" i="3"/>
  <c r="S420" i="3"/>
  <c r="S421" i="3"/>
  <c r="S422" i="3"/>
  <c r="S423" i="3"/>
  <c r="S424" i="3"/>
  <c r="S425" i="3"/>
  <c r="S426" i="3"/>
  <c r="S427" i="3"/>
  <c r="S428" i="3"/>
  <c r="S429" i="3"/>
  <c r="S430" i="3"/>
  <c r="S431" i="3"/>
  <c r="S432" i="3"/>
  <c r="S433" i="3"/>
  <c r="S434" i="3"/>
  <c r="S435" i="3"/>
  <c r="S436" i="3"/>
  <c r="S437" i="3"/>
  <c r="S438" i="3"/>
  <c r="S439" i="3"/>
  <c r="S440" i="3"/>
  <c r="S441" i="3"/>
  <c r="S442" i="3"/>
  <c r="S443" i="3"/>
  <c r="S444" i="3"/>
  <c r="S445" i="3"/>
  <c r="S446" i="3"/>
  <c r="S447" i="3"/>
  <c r="S448" i="3"/>
  <c r="S449" i="3"/>
  <c r="S450" i="3"/>
  <c r="S451" i="3"/>
  <c r="S452" i="3"/>
  <c r="S453" i="3"/>
  <c r="S454" i="3"/>
  <c r="S455" i="3"/>
  <c r="S456" i="3"/>
  <c r="S457" i="3"/>
  <c r="S458" i="3"/>
  <c r="S459" i="3"/>
  <c r="S460" i="3"/>
  <c r="S461" i="3"/>
  <c r="S462" i="3"/>
  <c r="S463" i="3"/>
  <c r="S464" i="3"/>
  <c r="S465" i="3"/>
  <c r="S466" i="3"/>
  <c r="S467" i="3"/>
  <c r="S468" i="3"/>
  <c r="S469" i="3"/>
  <c r="S470" i="3"/>
  <c r="S471" i="3"/>
  <c r="S472" i="3"/>
  <c r="S473" i="3"/>
  <c r="S474" i="3"/>
  <c r="S475" i="3"/>
  <c r="S476" i="3"/>
  <c r="S477" i="3"/>
  <c r="S478" i="3"/>
  <c r="S479" i="3"/>
  <c r="S480" i="3"/>
  <c r="S481" i="3"/>
  <c r="S482" i="3"/>
  <c r="S483" i="3"/>
  <c r="S484" i="3"/>
  <c r="S485" i="3"/>
  <c r="S486" i="3"/>
  <c r="S487" i="3"/>
  <c r="S488" i="3"/>
  <c r="S489" i="3"/>
  <c r="S490" i="3"/>
  <c r="S491" i="3"/>
  <c r="S492" i="3"/>
  <c r="S493" i="3"/>
  <c r="S494" i="3"/>
  <c r="S495" i="3"/>
  <c r="S496" i="3"/>
  <c r="S497" i="3"/>
  <c r="S498" i="3"/>
  <c r="S499" i="3"/>
  <c r="S500" i="3"/>
  <c r="S501" i="3"/>
  <c r="S502" i="3"/>
  <c r="S503" i="3"/>
  <c r="S504" i="3"/>
  <c r="S505" i="3"/>
  <c r="S506" i="3"/>
  <c r="S507" i="3"/>
  <c r="S508" i="3"/>
  <c r="S509" i="3"/>
  <c r="S510" i="3"/>
  <c r="S511" i="3"/>
  <c r="S512" i="3"/>
  <c r="S513" i="3"/>
  <c r="S514" i="3"/>
  <c r="S515" i="3"/>
  <c r="S516" i="3"/>
  <c r="S517" i="3"/>
  <c r="S518" i="3"/>
  <c r="S519" i="3"/>
  <c r="S520" i="3"/>
  <c r="S521" i="3"/>
  <c r="S522" i="3"/>
  <c r="S523" i="3"/>
  <c r="S524" i="3"/>
  <c r="S525" i="3"/>
  <c r="S526" i="3"/>
  <c r="S527" i="3"/>
  <c r="S528" i="3"/>
  <c r="S529" i="3"/>
  <c r="S530" i="3"/>
  <c r="S531" i="3"/>
  <c r="S532" i="3"/>
  <c r="S533" i="3"/>
  <c r="S534" i="3"/>
  <c r="S535" i="3"/>
  <c r="S536" i="3"/>
  <c r="S537" i="3"/>
  <c r="S538" i="3"/>
  <c r="S539" i="3"/>
  <c r="S540" i="3"/>
  <c r="S541" i="3"/>
  <c r="S542" i="3"/>
  <c r="S543" i="3"/>
  <c r="S544" i="3"/>
  <c r="S545" i="3"/>
  <c r="S546" i="3"/>
  <c r="S547" i="3"/>
  <c r="S548" i="3"/>
  <c r="S549" i="3"/>
  <c r="S550" i="3"/>
  <c r="S551" i="3"/>
  <c r="S552" i="3"/>
  <c r="S553" i="3"/>
  <c r="S554" i="3"/>
  <c r="S555" i="3"/>
  <c r="S556" i="3"/>
  <c r="S557" i="3"/>
  <c r="S558" i="3"/>
  <c r="S559" i="3"/>
  <c r="S560" i="3"/>
  <c r="S561" i="3"/>
  <c r="S562" i="3"/>
  <c r="S563" i="3"/>
  <c r="S564" i="3"/>
  <c r="S565" i="3"/>
  <c r="S566" i="3"/>
  <c r="S567" i="3"/>
  <c r="S568" i="3"/>
  <c r="S569" i="3"/>
  <c r="S570" i="3"/>
  <c r="S571" i="3"/>
  <c r="S572" i="3"/>
  <c r="S573" i="3"/>
  <c r="S574" i="3"/>
  <c r="S575" i="3"/>
  <c r="S576" i="3"/>
  <c r="S577" i="3"/>
  <c r="S578" i="3"/>
  <c r="S579" i="3"/>
  <c r="S580" i="3"/>
  <c r="S581" i="3"/>
  <c r="S582" i="3"/>
  <c r="S583" i="3"/>
  <c r="S584" i="3"/>
  <c r="S585" i="3"/>
  <c r="S586" i="3"/>
  <c r="S587" i="3"/>
  <c r="S588" i="3"/>
  <c r="S589" i="3"/>
  <c r="S590" i="3"/>
  <c r="S591" i="3"/>
  <c r="S592" i="3"/>
  <c r="S593" i="3"/>
  <c r="S594" i="3"/>
  <c r="S595" i="3"/>
  <c r="S596" i="3"/>
  <c r="S597" i="3"/>
  <c r="S598" i="3"/>
  <c r="S599" i="3"/>
  <c r="S600" i="3"/>
  <c r="S601" i="3"/>
  <c r="S602" i="3"/>
  <c r="S603" i="3"/>
  <c r="S604" i="3"/>
  <c r="S605" i="3"/>
  <c r="S606" i="3"/>
  <c r="S607" i="3"/>
  <c r="S608" i="3"/>
  <c r="S609" i="3"/>
  <c r="S610" i="3"/>
  <c r="S611" i="3"/>
  <c r="S612" i="3"/>
  <c r="S613" i="3"/>
  <c r="S614" i="3"/>
  <c r="S615" i="3"/>
  <c r="S616" i="3"/>
  <c r="S617" i="3"/>
  <c r="S618" i="3"/>
  <c r="S619" i="3"/>
  <c r="S620" i="3"/>
  <c r="S621" i="3"/>
  <c r="S622" i="3"/>
  <c r="S623" i="3"/>
  <c r="S624" i="3"/>
  <c r="S625" i="3"/>
  <c r="S626" i="3"/>
  <c r="S627" i="3"/>
  <c r="S628" i="3"/>
  <c r="S629" i="3"/>
  <c r="S630" i="3"/>
  <c r="S631" i="3"/>
  <c r="S632" i="3"/>
  <c r="S633" i="3"/>
  <c r="S634" i="3"/>
  <c r="S635" i="3"/>
  <c r="S636" i="3"/>
  <c r="S637" i="3"/>
  <c r="S638" i="3"/>
  <c r="S639" i="3"/>
  <c r="S640" i="3"/>
  <c r="S641" i="3"/>
  <c r="S642" i="3"/>
  <c r="S643" i="3"/>
  <c r="S644" i="3"/>
  <c r="S645" i="3"/>
  <c r="S646" i="3"/>
  <c r="S647" i="3"/>
  <c r="S648" i="3"/>
  <c r="S649" i="3"/>
  <c r="S650" i="3"/>
  <c r="S651" i="3"/>
  <c r="S652" i="3"/>
  <c r="S653" i="3"/>
  <c r="S654" i="3"/>
  <c r="S655" i="3"/>
  <c r="S656" i="3"/>
  <c r="S657" i="3"/>
  <c r="S658" i="3"/>
  <c r="S659" i="3"/>
  <c r="S660" i="3"/>
  <c r="S661" i="3"/>
  <c r="S662" i="3"/>
  <c r="S663" i="3"/>
  <c r="S664" i="3"/>
  <c r="S665" i="3"/>
  <c r="S666" i="3"/>
  <c r="S667" i="3"/>
  <c r="S668" i="3"/>
  <c r="S669" i="3"/>
  <c r="S670" i="3"/>
  <c r="S671" i="3"/>
  <c r="S672" i="3"/>
  <c r="S673" i="3"/>
  <c r="S674" i="3"/>
  <c r="S675" i="3"/>
  <c r="S676" i="3"/>
  <c r="S677" i="3"/>
  <c r="S678" i="3"/>
  <c r="S679" i="3"/>
  <c r="S680" i="3"/>
  <c r="S681" i="3"/>
  <c r="S682" i="3"/>
  <c r="S683" i="3"/>
  <c r="S684" i="3"/>
  <c r="S685" i="3"/>
  <c r="S686" i="3"/>
  <c r="S687" i="3"/>
  <c r="S688" i="3"/>
  <c r="S689" i="3"/>
  <c r="S690" i="3"/>
  <c r="S691" i="3"/>
  <c r="S692" i="3"/>
  <c r="S693" i="3"/>
  <c r="S694" i="3"/>
  <c r="S695" i="3"/>
  <c r="S696" i="3"/>
  <c r="S697" i="3"/>
  <c r="S698" i="3"/>
  <c r="S699" i="3"/>
  <c r="S700" i="3"/>
  <c r="S701" i="3"/>
  <c r="S702" i="3"/>
  <c r="S703" i="3"/>
  <c r="S704" i="3"/>
  <c r="S705" i="3"/>
  <c r="S706" i="3"/>
  <c r="S707" i="3"/>
  <c r="S708" i="3"/>
  <c r="S709" i="3"/>
  <c r="S710" i="3"/>
  <c r="S711" i="3"/>
  <c r="S712" i="3"/>
  <c r="S713" i="3"/>
  <c r="S714" i="3"/>
  <c r="S715" i="3"/>
  <c r="S716" i="3"/>
  <c r="S717" i="3"/>
  <c r="S718" i="3"/>
  <c r="S719" i="3"/>
  <c r="S720" i="3"/>
  <c r="S721" i="3"/>
  <c r="S722" i="3"/>
  <c r="S723" i="3"/>
  <c r="S724" i="3"/>
  <c r="S725" i="3"/>
  <c r="S726" i="3"/>
  <c r="S727" i="3"/>
  <c r="S728" i="3"/>
  <c r="S729" i="3"/>
  <c r="S730" i="3"/>
  <c r="S731" i="3"/>
  <c r="S732" i="3"/>
  <c r="S733" i="3"/>
  <c r="S734" i="3"/>
  <c r="S735" i="3"/>
  <c r="S736" i="3"/>
  <c r="S737" i="3"/>
  <c r="S738" i="3"/>
  <c r="S739" i="3"/>
  <c r="S740" i="3"/>
  <c r="S741" i="3"/>
  <c r="S742" i="3"/>
  <c r="S743" i="3"/>
  <c r="S744" i="3"/>
  <c r="S745" i="3"/>
  <c r="S746" i="3"/>
  <c r="S747" i="3"/>
  <c r="S748" i="3"/>
  <c r="S749" i="3"/>
  <c r="S750" i="3"/>
  <c r="S751" i="3"/>
  <c r="S752" i="3"/>
  <c r="S753" i="3"/>
  <c r="S754" i="3"/>
  <c r="S755" i="3"/>
  <c r="S756" i="3"/>
  <c r="S757" i="3"/>
  <c r="S758" i="3"/>
  <c r="S759" i="3"/>
  <c r="S760" i="3"/>
  <c r="S761" i="3"/>
  <c r="S762" i="3"/>
  <c r="S763" i="3"/>
  <c r="S764" i="3"/>
  <c r="S765" i="3"/>
  <c r="S766" i="3"/>
  <c r="S767" i="3"/>
  <c r="S768" i="3"/>
  <c r="S769" i="3"/>
  <c r="S770" i="3"/>
  <c r="S771" i="3"/>
  <c r="S772" i="3"/>
  <c r="S773" i="3"/>
  <c r="S774" i="3"/>
  <c r="S775" i="3"/>
  <c r="S776" i="3"/>
  <c r="S777" i="3"/>
  <c r="S778" i="3"/>
  <c r="S779" i="3"/>
  <c r="S780" i="3"/>
  <c r="S781" i="3"/>
  <c r="S782" i="3"/>
  <c r="S783" i="3"/>
  <c r="S784" i="3"/>
  <c r="S785" i="3"/>
  <c r="S786" i="3"/>
  <c r="S787" i="3"/>
  <c r="S788" i="3"/>
  <c r="S789" i="3"/>
  <c r="S790" i="3"/>
  <c r="S791" i="3"/>
  <c r="S792" i="3"/>
  <c r="S793" i="3"/>
  <c r="S794" i="3"/>
  <c r="S795" i="3"/>
  <c r="S796" i="3"/>
  <c r="S797" i="3"/>
  <c r="S798" i="3"/>
  <c r="S799" i="3"/>
  <c r="S800" i="3"/>
  <c r="S801" i="3"/>
  <c r="S802" i="3"/>
  <c r="S803" i="3"/>
  <c r="S804" i="3"/>
  <c r="S805" i="3"/>
  <c r="S806" i="3"/>
  <c r="S807" i="3"/>
  <c r="S808" i="3"/>
  <c r="S809" i="3"/>
  <c r="S810" i="3"/>
  <c r="S811" i="3"/>
  <c r="S812" i="3"/>
  <c r="S813" i="3"/>
  <c r="S814" i="3"/>
  <c r="S815" i="3"/>
  <c r="S816" i="3"/>
  <c r="S817" i="3"/>
  <c r="S818" i="3"/>
  <c r="S819" i="3"/>
  <c r="S820" i="3"/>
  <c r="S821" i="3"/>
  <c r="S822" i="3"/>
  <c r="S823" i="3"/>
  <c r="S824" i="3"/>
  <c r="S825" i="3"/>
  <c r="S826" i="3"/>
  <c r="S827" i="3"/>
  <c r="S828" i="3"/>
  <c r="S829" i="3"/>
  <c r="S830" i="3"/>
  <c r="S831" i="3"/>
  <c r="S832" i="3"/>
  <c r="S833" i="3"/>
  <c r="S834" i="3"/>
  <c r="S835" i="3"/>
  <c r="S836" i="3"/>
  <c r="S837" i="3"/>
  <c r="S838" i="3"/>
  <c r="S839" i="3"/>
  <c r="S840" i="3"/>
  <c r="S841" i="3"/>
  <c r="S842" i="3"/>
  <c r="S843" i="3"/>
  <c r="S844" i="3"/>
  <c r="S845" i="3"/>
  <c r="S846" i="3"/>
  <c r="S847" i="3"/>
  <c r="S848" i="3"/>
  <c r="S849" i="3"/>
  <c r="S850" i="3"/>
  <c r="S851" i="3"/>
  <c r="S852" i="3"/>
  <c r="S853" i="3"/>
  <c r="S854" i="3"/>
  <c r="S855" i="3"/>
  <c r="S856" i="3"/>
  <c r="S857" i="3"/>
  <c r="S858" i="3"/>
  <c r="S859" i="3"/>
  <c r="S860" i="3"/>
  <c r="S861" i="3"/>
  <c r="S862" i="3"/>
  <c r="S863" i="3"/>
  <c r="S864" i="3"/>
  <c r="S865" i="3"/>
  <c r="S866" i="3"/>
  <c r="S867" i="3"/>
  <c r="S868" i="3"/>
  <c r="S869" i="3"/>
  <c r="S870" i="3"/>
  <c r="S871" i="3"/>
  <c r="S872" i="3"/>
  <c r="S873" i="3"/>
  <c r="S874" i="3"/>
  <c r="S875" i="3"/>
  <c r="S876" i="3"/>
  <c r="S877" i="3"/>
  <c r="S878" i="3"/>
  <c r="S879" i="3"/>
  <c r="S880" i="3"/>
  <c r="S881" i="3"/>
  <c r="S882" i="3"/>
  <c r="S883" i="3"/>
  <c r="S884" i="3"/>
  <c r="S885" i="3"/>
  <c r="S886" i="3"/>
  <c r="S887" i="3"/>
  <c r="S888" i="3"/>
  <c r="S889" i="3"/>
  <c r="S890" i="3"/>
  <c r="S891" i="3"/>
  <c r="S892" i="3"/>
  <c r="S893" i="3"/>
  <c r="S894" i="3"/>
  <c r="S895" i="3"/>
  <c r="S896" i="3"/>
  <c r="S897" i="3"/>
  <c r="S898" i="3"/>
  <c r="S899" i="3"/>
  <c r="S900" i="3"/>
  <c r="S901" i="3"/>
  <c r="S902" i="3"/>
  <c r="S903" i="3"/>
  <c r="S904" i="3"/>
  <c r="S905" i="3"/>
  <c r="S906" i="3"/>
  <c r="S907" i="3"/>
  <c r="S908" i="3"/>
  <c r="S909" i="3"/>
  <c r="S910" i="3"/>
  <c r="S911" i="3"/>
  <c r="S912" i="3"/>
  <c r="S913" i="3"/>
  <c r="S914" i="3"/>
  <c r="S915" i="3"/>
  <c r="S916" i="3"/>
  <c r="S917" i="3"/>
  <c r="S918" i="3"/>
  <c r="S919" i="3"/>
  <c r="S920" i="3"/>
  <c r="S921" i="3"/>
  <c r="S922" i="3"/>
  <c r="S923" i="3"/>
  <c r="S924" i="3"/>
  <c r="S925" i="3"/>
  <c r="S926" i="3"/>
  <c r="S927" i="3"/>
  <c r="S928" i="3"/>
  <c r="S929" i="3"/>
  <c r="S930" i="3"/>
  <c r="S931" i="3"/>
  <c r="S932" i="3"/>
  <c r="S933" i="3"/>
  <c r="S934" i="3"/>
  <c r="S935" i="3"/>
  <c r="S936" i="3"/>
  <c r="S937" i="3"/>
  <c r="S938" i="3"/>
  <c r="S939" i="3"/>
  <c r="S940" i="3"/>
  <c r="S941" i="3"/>
  <c r="S942" i="3"/>
  <c r="S943" i="3"/>
  <c r="S944" i="3"/>
  <c r="S945" i="3"/>
  <c r="S946" i="3"/>
  <c r="S947" i="3"/>
  <c r="S948" i="3"/>
  <c r="S949" i="3"/>
  <c r="S950" i="3"/>
  <c r="S951" i="3"/>
  <c r="S952" i="3"/>
  <c r="S953" i="3"/>
  <c r="S954" i="3"/>
  <c r="S955" i="3"/>
  <c r="S956" i="3"/>
  <c r="S957" i="3"/>
  <c r="S958" i="3"/>
  <c r="S959" i="3"/>
  <c r="S960" i="3"/>
  <c r="S961" i="3"/>
  <c r="S962" i="3"/>
  <c r="S963" i="3"/>
  <c r="S964" i="3"/>
  <c r="S965" i="3"/>
  <c r="S966" i="3"/>
  <c r="S967" i="3"/>
  <c r="S968" i="3"/>
  <c r="S969" i="3"/>
  <c r="S970" i="3"/>
  <c r="S971" i="3"/>
  <c r="S972" i="3"/>
  <c r="S973" i="3"/>
  <c r="S974" i="3"/>
  <c r="S975" i="3"/>
  <c r="S976" i="3"/>
  <c r="S977" i="3"/>
  <c r="S978" i="3"/>
  <c r="S979" i="3"/>
  <c r="S980" i="3"/>
  <c r="S981" i="3"/>
  <c r="S982" i="3"/>
  <c r="S983" i="3"/>
  <c r="S984" i="3"/>
  <c r="S985" i="3"/>
  <c r="S986" i="3"/>
  <c r="S987" i="3"/>
  <c r="S988" i="3"/>
  <c r="S989" i="3"/>
  <c r="S990" i="3"/>
  <c r="S991" i="3"/>
  <c r="S992" i="3"/>
  <c r="S993" i="3"/>
  <c r="S994" i="3"/>
  <c r="S995" i="3"/>
  <c r="S996" i="3"/>
  <c r="S997" i="3"/>
  <c r="S998" i="3"/>
  <c r="S999" i="3"/>
  <c r="S1000" i="3"/>
  <c r="S1001" i="3"/>
  <c r="S2" i="3"/>
  <c r="B15" i="2"/>
  <c r="B13" i="2"/>
  <c r="Y254" i="8" l="1"/>
  <c r="Y666" i="8"/>
  <c r="Y973" i="8"/>
  <c r="Y213" i="8"/>
  <c r="Y375" i="8"/>
  <c r="Y291" i="8"/>
  <c r="Y511" i="8"/>
  <c r="Y953" i="8"/>
  <c r="Y121" i="8"/>
  <c r="Y853" i="8"/>
  <c r="Y701" i="8"/>
  <c r="Y775" i="8"/>
  <c r="Y181" i="8"/>
  <c r="Y260" i="8"/>
  <c r="Y38" i="8"/>
  <c r="Y192" i="8"/>
  <c r="Y45" i="8"/>
  <c r="Y275" i="8"/>
  <c r="Y131" i="8"/>
  <c r="Y963" i="8"/>
  <c r="Y611" i="8"/>
  <c r="Y709" i="8"/>
  <c r="Y866" i="8"/>
  <c r="Y459" i="8"/>
  <c r="Y685" i="8"/>
  <c r="Y852" i="8"/>
  <c r="Y842" i="8"/>
  <c r="Y113" i="8"/>
  <c r="Y447" i="8"/>
  <c r="Y360" i="8"/>
  <c r="Y615" i="8"/>
  <c r="Y435" i="8"/>
  <c r="Y513" i="8"/>
  <c r="Y219" i="8"/>
  <c r="Y222" i="8"/>
  <c r="Y144" i="8"/>
  <c r="Y145" i="8"/>
  <c r="Y996" i="8"/>
  <c r="Y802" i="8"/>
  <c r="Y529" i="8"/>
  <c r="Y940" i="8"/>
  <c r="Y270" i="8"/>
  <c r="Y368" i="8"/>
  <c r="Y149" i="8"/>
  <c r="Y428" i="8"/>
  <c r="Y123" i="8"/>
  <c r="Y957" i="8"/>
  <c r="Y281" i="8"/>
  <c r="Y966" i="8"/>
  <c r="Y207" i="8"/>
  <c r="Y56" i="8"/>
  <c r="Y301" i="8"/>
  <c r="Y228" i="8"/>
  <c r="Y999" i="8"/>
  <c r="Y892" i="8"/>
  <c r="Y813" i="8"/>
  <c r="Y945" i="8"/>
  <c r="Y124" i="8"/>
  <c r="Y446" i="8"/>
  <c r="Y184" i="8"/>
  <c r="Y330" i="8"/>
  <c r="Y33" i="8"/>
  <c r="Y678" i="8"/>
  <c r="Y187" i="8"/>
  <c r="Y510" i="8"/>
  <c r="Y855" i="8"/>
  <c r="Y130" i="8"/>
  <c r="Y862" i="8"/>
  <c r="Y885" i="8"/>
  <c r="Y337" i="8"/>
  <c r="Y593" i="8"/>
  <c r="Y44" i="8"/>
  <c r="Y868" i="8"/>
  <c r="Y718" i="8"/>
  <c r="Y396" i="8"/>
  <c r="Y448" i="8"/>
  <c r="Y706" i="8"/>
  <c r="Y458" i="8"/>
  <c r="Y692" i="8"/>
  <c r="Y531" i="8"/>
  <c r="Y974" i="8"/>
  <c r="Y377" i="8"/>
  <c r="Y848" i="8"/>
  <c r="Y199" i="8"/>
  <c r="Y983" i="8"/>
  <c r="Y182" i="8"/>
  <c r="Y694" i="8"/>
  <c r="Y444" i="8"/>
  <c r="Y944" i="8"/>
  <c r="Y128" i="8"/>
  <c r="Y860" i="8"/>
  <c r="Y986" i="8"/>
  <c r="Y158" i="8"/>
  <c r="Y159" i="8"/>
  <c r="Y236" i="8"/>
  <c r="Y237" i="8"/>
  <c r="Y81" i="8"/>
  <c r="Y310" i="8"/>
  <c r="Y402" i="8"/>
  <c r="Y902" i="8"/>
  <c r="Y492" i="8"/>
  <c r="Y651" i="8"/>
  <c r="Y162" i="8"/>
  <c r="Y823" i="8"/>
  <c r="Y906" i="8"/>
  <c r="Y90" i="8"/>
  <c r="Y241" i="8"/>
  <c r="Y748" i="8"/>
  <c r="Y570" i="8"/>
  <c r="Y407" i="8"/>
  <c r="Y170" i="8"/>
  <c r="Y172" i="8"/>
  <c r="Y659" i="8"/>
  <c r="Y317" i="8"/>
  <c r="Y174" i="8"/>
  <c r="Y12" i="8"/>
  <c r="Y753" i="8"/>
  <c r="Y917" i="8"/>
  <c r="Y97" i="8"/>
  <c r="Y16" i="8"/>
  <c r="Y252" i="8"/>
  <c r="Y581" i="8"/>
  <c r="Y421" i="8"/>
  <c r="Y333" i="8"/>
  <c r="Y31" i="8"/>
  <c r="Y424" i="8"/>
  <c r="Y425" i="8"/>
  <c r="Y427" i="8"/>
  <c r="Y338" i="8"/>
  <c r="Y351" i="8"/>
  <c r="Y524" i="8"/>
  <c r="Y273" i="8"/>
  <c r="Y528" i="8"/>
  <c r="Y202" i="8"/>
  <c r="Y52" i="8"/>
  <c r="Y962" i="8"/>
  <c r="Y964" i="8"/>
  <c r="Y779" i="8"/>
  <c r="Y535" i="8"/>
  <c r="Y460" i="8"/>
  <c r="Y468" i="8"/>
  <c r="Y542" i="8"/>
  <c r="Y61" i="8"/>
  <c r="Y66" i="8"/>
  <c r="Y303" i="8"/>
  <c r="Y800" i="8"/>
  <c r="Y558" i="8"/>
  <c r="Y759" i="8"/>
  <c r="Y595" i="8"/>
  <c r="Y344" i="8"/>
  <c r="Y610" i="8"/>
  <c r="Y690" i="8"/>
  <c r="Y871" i="8"/>
  <c r="Y395" i="8"/>
  <c r="Y967" i="8"/>
  <c r="Y875" i="8"/>
  <c r="Y501" i="8"/>
  <c r="Y258" i="8"/>
  <c r="Y115" i="8"/>
  <c r="Y668" i="8"/>
  <c r="Y598" i="8"/>
  <c r="Y276" i="8"/>
  <c r="Y969" i="8"/>
  <c r="Y877" i="8"/>
  <c r="Y560" i="8"/>
  <c r="Y588" i="8"/>
  <c r="Y214" i="8"/>
  <c r="Y808" i="8"/>
  <c r="Y667" i="8"/>
  <c r="Y681" i="8"/>
  <c r="Y847" i="8"/>
  <c r="Y633" i="8"/>
  <c r="Y947" i="8"/>
  <c r="Y456" i="8"/>
  <c r="Y288" i="8"/>
  <c r="Y807" i="8"/>
  <c r="Y155" i="8"/>
  <c r="Y919" i="8"/>
  <c r="Y594" i="8"/>
  <c r="Y445" i="8"/>
  <c r="Y547" i="8"/>
  <c r="Y325" i="8"/>
  <c r="Y25" i="8"/>
  <c r="Y274" i="8"/>
  <c r="Y978" i="8"/>
  <c r="Y234" i="8"/>
  <c r="Y46" i="8"/>
  <c r="Y956" i="8"/>
  <c r="Y790" i="8"/>
  <c r="Y550" i="8"/>
  <c r="Y157" i="8"/>
  <c r="Y3" i="8"/>
  <c r="Y897" i="8"/>
  <c r="Y82" i="8"/>
  <c r="Y741" i="8"/>
  <c r="Y161" i="8"/>
  <c r="Y565" i="8"/>
  <c r="Y88" i="8"/>
  <c r="Y171" i="8"/>
  <c r="Y829" i="8"/>
  <c r="Y665" i="8"/>
  <c r="Y19" i="8"/>
  <c r="Y927" i="8"/>
  <c r="Y420" i="8"/>
  <c r="Y29" i="8"/>
  <c r="Y108" i="8"/>
  <c r="Y841" i="8"/>
  <c r="Y509" i="8"/>
  <c r="Y261" i="8"/>
  <c r="Y941" i="8"/>
  <c r="Y352" i="8"/>
  <c r="Y118" i="8"/>
  <c r="Y49" i="8"/>
  <c r="Y702" i="8"/>
  <c r="Y200" i="8"/>
  <c r="Y53" i="8"/>
  <c r="Y204" i="8"/>
  <c r="Y363" i="8"/>
  <c r="Y283" i="8"/>
  <c r="Y784" i="8"/>
  <c r="Y721" i="8"/>
  <c r="Y138" i="8"/>
  <c r="Y787" i="8"/>
  <c r="Y73" i="8"/>
  <c r="Y152" i="8"/>
  <c r="Y734" i="8"/>
  <c r="Y810" i="8"/>
  <c r="Y247" i="8"/>
  <c r="Y104" i="8"/>
  <c r="Y959" i="8"/>
  <c r="Y977" i="8"/>
  <c r="Y554" i="8"/>
  <c r="Y77" i="8"/>
  <c r="Y761" i="8"/>
  <c r="Y277" i="8"/>
  <c r="Y993" i="8"/>
  <c r="Y677" i="8"/>
  <c r="Y612" i="8"/>
  <c r="Y643" i="8"/>
  <c r="Y419" i="8"/>
  <c r="Y51" i="8"/>
  <c r="Y220" i="8"/>
  <c r="Y881" i="8"/>
  <c r="Y676" i="8"/>
  <c r="Y933" i="8"/>
  <c r="Y340" i="8"/>
  <c r="Y774" i="8"/>
  <c r="Y306" i="8"/>
  <c r="Y76" i="8"/>
  <c r="Y21" i="8"/>
  <c r="Y708" i="8"/>
  <c r="Y782" i="8"/>
  <c r="Y722" i="8"/>
  <c r="Y188" i="8"/>
  <c r="Y958" i="8"/>
  <c r="Y373" i="8"/>
  <c r="Y998" i="8"/>
  <c r="Y669" i="8"/>
  <c r="Y279" i="8"/>
  <c r="Y364" i="8"/>
  <c r="Y299" i="8"/>
  <c r="Y116" i="8"/>
  <c r="Y372" i="8"/>
  <c r="Y57" i="8"/>
  <c r="Y383" i="8"/>
  <c r="Y801" i="8"/>
  <c r="Y336" i="8"/>
  <c r="Y119" i="8"/>
  <c r="Y857" i="8"/>
  <c r="Y663" i="8"/>
  <c r="Y664" i="8"/>
  <c r="Y915" i="8"/>
  <c r="Y916" i="8"/>
  <c r="Y832" i="8"/>
  <c r="Y834" i="8"/>
  <c r="Y329" i="8"/>
  <c r="Y422" i="8"/>
  <c r="Y505" i="8"/>
  <c r="Y506" i="8"/>
  <c r="Y587" i="8"/>
  <c r="Y432" i="8"/>
  <c r="Y346" i="8"/>
  <c r="Y441" i="8"/>
  <c r="Y949" i="8"/>
  <c r="Y268" i="8"/>
  <c r="Y196" i="8"/>
  <c r="Y523" i="8"/>
  <c r="Y127" i="8"/>
  <c r="Y129" i="8"/>
  <c r="Y703" i="8"/>
  <c r="Y859" i="8"/>
  <c r="Y206" i="8"/>
  <c r="Y786" i="8"/>
  <c r="Y64" i="8"/>
  <c r="Y224" i="8"/>
  <c r="Y476" i="8"/>
  <c r="Y803" i="8"/>
  <c r="Y154" i="8"/>
  <c r="Y369" i="8"/>
  <c r="Y620" i="8"/>
  <c r="Y525" i="8"/>
  <c r="Y544" i="8"/>
  <c r="Y994" i="8"/>
  <c r="Y622" i="8"/>
  <c r="Y952" i="8"/>
  <c r="Y35" i="8"/>
  <c r="Y189" i="8"/>
  <c r="Y117" i="8"/>
  <c r="Y326" i="8"/>
  <c r="Y426" i="8"/>
  <c r="Y263" i="8"/>
  <c r="Y457" i="8"/>
  <c r="Y386" i="8"/>
  <c r="Y251" i="8"/>
  <c r="Y767" i="8"/>
  <c r="Y249" i="8"/>
  <c r="Y838" i="8"/>
  <c r="Y846" i="8"/>
  <c r="Y47" i="8"/>
  <c r="Y470" i="8"/>
  <c r="Y777" i="8"/>
  <c r="Y536" i="8"/>
  <c r="Y15" i="8"/>
  <c r="Y961" i="8"/>
  <c r="Y794" i="8"/>
  <c r="Y105" i="8"/>
  <c r="Y600" i="8"/>
  <c r="Y195" i="8"/>
  <c r="Y617" i="8"/>
  <c r="Y284" i="8"/>
  <c r="Y17" i="8"/>
  <c r="Y393" i="8"/>
  <c r="Y235" i="8"/>
  <c r="Y738" i="8"/>
  <c r="Y178" i="8"/>
  <c r="Y769" i="8"/>
  <c r="Y193" i="8"/>
  <c r="Y280" i="8"/>
  <c r="Y141" i="8"/>
  <c r="Y922" i="8"/>
  <c r="Y331" i="8"/>
  <c r="Y507" i="8"/>
  <c r="Y770" i="8"/>
  <c r="Y201" i="8"/>
  <c r="Y646" i="8"/>
  <c r="Y493" i="8"/>
  <c r="Y166" i="8"/>
  <c r="Y413" i="8"/>
  <c r="Y321" i="8"/>
  <c r="Y925" i="8"/>
  <c r="Y111" i="8"/>
  <c r="Y975" i="8"/>
  <c r="Y478" i="8"/>
  <c r="Y102" i="8"/>
  <c r="Y180" i="8"/>
  <c r="Y674" i="8"/>
  <c r="Y839" i="8"/>
  <c r="Y584" i="8"/>
  <c r="Y335" i="8"/>
  <c r="Y429" i="8"/>
  <c r="Y589" i="8"/>
  <c r="Y682" i="8"/>
  <c r="Y436" i="8"/>
  <c r="Y345" i="8"/>
  <c r="Y41" i="8"/>
  <c r="Y773" i="8"/>
  <c r="Y122" i="8"/>
  <c r="Y358" i="8"/>
  <c r="Y449" i="8"/>
  <c r="Y527" i="8"/>
  <c r="Y455" i="8"/>
  <c r="Y864" i="8"/>
  <c r="Y210" i="8"/>
  <c r="Y533" i="8"/>
  <c r="Y295" i="8"/>
  <c r="Y872" i="8"/>
  <c r="Y988" i="8"/>
  <c r="Y545" i="8"/>
  <c r="Y474" i="8"/>
  <c r="Y71" i="8"/>
  <c r="Y390" i="8"/>
  <c r="Y638" i="8"/>
  <c r="Y305" i="8"/>
  <c r="Y150" i="8"/>
  <c r="Y232" i="8"/>
  <c r="Y893" i="8"/>
  <c r="Y895" i="8"/>
  <c r="Y899" i="8"/>
  <c r="Y13" i="8"/>
  <c r="Y27" i="8"/>
  <c r="Y683" i="8"/>
  <c r="Y272" i="8"/>
  <c r="Y735" i="8"/>
  <c r="Y955" i="8"/>
  <c r="Y208" i="8"/>
  <c r="Y94" i="8"/>
  <c r="Y250" i="8"/>
  <c r="Y837" i="8"/>
  <c r="Y926" i="8"/>
  <c r="Y185" i="8"/>
  <c r="Y431" i="8"/>
  <c r="Y434" i="8"/>
  <c r="Y264" i="8"/>
  <c r="Y348" i="8"/>
  <c r="Y954" i="8"/>
  <c r="Y361" i="8"/>
  <c r="Y710" i="8"/>
  <c r="Y715" i="8"/>
  <c r="Y717" i="8"/>
  <c r="Y467" i="8"/>
  <c r="Y870" i="8"/>
  <c r="Y873" i="8"/>
  <c r="Y788" i="8"/>
  <c r="Y984" i="8"/>
  <c r="Y985" i="8"/>
  <c r="Y791" i="8"/>
  <c r="Y880" i="8"/>
  <c r="Y809" i="8"/>
  <c r="Y997" i="8"/>
  <c r="Y349" i="8"/>
  <c r="Y696" i="8"/>
  <c r="Y217" i="8"/>
  <c r="Y442" i="8"/>
  <c r="Y712" i="8"/>
  <c r="Y640" i="8"/>
  <c r="Y737" i="8"/>
  <c r="Y84" i="8"/>
  <c r="Y163" i="8"/>
  <c r="Y168" i="8"/>
  <c r="Y433" i="8"/>
  <c r="Y601" i="8"/>
  <c r="Y42" i="8"/>
  <c r="Y541" i="8"/>
  <c r="Y785" i="8"/>
  <c r="Y634" i="8"/>
  <c r="Y226" i="8"/>
  <c r="Y889" i="8"/>
  <c r="Y487" i="8"/>
  <c r="Y898" i="8"/>
  <c r="Y740" i="8"/>
  <c r="Y904" i="8"/>
  <c r="Y169" i="8"/>
  <c r="Y411" i="8"/>
  <c r="Y176" i="8"/>
  <c r="Y914" i="8"/>
  <c r="Y323" i="8"/>
  <c r="Y101" i="8"/>
  <c r="Y670" i="8"/>
  <c r="Y920" i="8"/>
  <c r="Y923" i="8"/>
  <c r="Y580" i="8"/>
  <c r="Y257" i="8"/>
  <c r="Y508" i="8"/>
  <c r="Y112" i="8"/>
  <c r="Y191" i="8"/>
  <c r="Y939" i="8"/>
  <c r="Y515" i="8"/>
  <c r="Y516" i="8"/>
  <c r="Y443" i="8"/>
  <c r="Y518" i="8"/>
  <c r="Y699" i="8"/>
  <c r="Y48" i="8"/>
  <c r="Y50" i="8"/>
  <c r="Y132" i="8"/>
  <c r="Y54" i="8"/>
  <c r="Y205" i="8"/>
  <c r="Y867" i="8"/>
  <c r="Y370" i="8"/>
  <c r="Y624" i="8"/>
  <c r="Y539" i="8"/>
  <c r="Y980" i="8"/>
  <c r="Y296" i="8"/>
  <c r="Y65" i="8"/>
  <c r="Y142" i="8"/>
  <c r="Y385" i="8"/>
  <c r="Y146" i="8"/>
  <c r="Y388" i="8"/>
  <c r="Y641" i="8"/>
  <c r="Y151" i="8"/>
  <c r="Y481" i="8"/>
  <c r="Y559" i="8"/>
  <c r="Y742" i="8"/>
  <c r="Y256" i="8"/>
  <c r="Y437" i="8"/>
  <c r="Y197" i="8"/>
  <c r="Y854" i="8"/>
  <c r="Y627" i="8"/>
  <c r="Y796" i="8"/>
  <c r="Y850" i="8"/>
  <c r="Y463" i="8"/>
  <c r="Y799" i="8"/>
  <c r="Y398" i="8"/>
  <c r="Y309" i="8"/>
  <c r="Y569" i="8"/>
  <c r="Y316" i="8"/>
  <c r="Y499" i="8"/>
  <c r="Y22" i="8"/>
  <c r="Y765" i="8"/>
  <c r="Y625" i="8"/>
  <c r="Y294" i="8"/>
  <c r="Y821" i="8"/>
  <c r="Y485" i="8"/>
  <c r="Y568" i="8"/>
  <c r="Y315" i="8"/>
  <c r="Y339" i="8"/>
  <c r="Y856" i="8"/>
  <c r="Y861" i="8"/>
  <c r="Y778" i="8"/>
  <c r="Y300" i="8"/>
  <c r="Y798" i="8"/>
  <c r="Y883" i="8"/>
  <c r="Y4" i="8"/>
  <c r="Y650" i="8"/>
  <c r="Y8" i="8"/>
  <c r="Y913" i="8"/>
  <c r="Y671" i="8"/>
  <c r="Y586" i="8"/>
  <c r="Y216" i="8"/>
  <c r="Y744" i="8"/>
  <c r="Y87" i="8"/>
  <c r="Y405" i="8"/>
  <c r="Y749" i="8"/>
  <c r="Y750" i="8"/>
  <c r="Y409" i="8"/>
  <c r="Y11" i="8"/>
  <c r="Y661" i="8"/>
  <c r="Y175" i="8"/>
  <c r="Y416" i="8"/>
  <c r="Y577" i="8"/>
  <c r="Y99" i="8"/>
  <c r="Y18" i="8"/>
  <c r="Y836" i="8"/>
  <c r="Y103" i="8"/>
  <c r="Y924" i="8"/>
  <c r="Y585" i="8"/>
  <c r="Y768" i="8"/>
  <c r="Y936" i="8"/>
  <c r="Y341" i="8"/>
  <c r="Y938" i="8"/>
  <c r="Y942" i="8"/>
  <c r="Y40" i="8"/>
  <c r="Y707" i="8"/>
  <c r="Y282" i="8"/>
  <c r="Y285" i="8"/>
  <c r="Y621" i="8"/>
  <c r="Y374" i="8"/>
  <c r="Y462" i="8"/>
  <c r="Y979" i="8"/>
  <c r="Y869" i="8"/>
  <c r="Y982" i="8"/>
  <c r="Y987" i="8"/>
  <c r="Y989" i="8"/>
  <c r="Y729" i="8"/>
  <c r="Y793" i="8"/>
  <c r="Y882" i="8"/>
  <c r="Y555" i="8"/>
  <c r="Y888" i="8"/>
  <c r="Y74" i="8"/>
  <c r="Y75" i="8"/>
  <c r="Y1000" i="8"/>
  <c r="Y2" i="8"/>
  <c r="Y971" i="8"/>
  <c r="Y537" i="8"/>
  <c r="Y543" i="8"/>
  <c r="Y728" i="8"/>
  <c r="Y440" i="8"/>
  <c r="Y271" i="8"/>
  <c r="Y876" i="8"/>
  <c r="Y229" i="8"/>
  <c r="Y732" i="8"/>
  <c r="Y739" i="8"/>
  <c r="Y564" i="8"/>
  <c r="Y824" i="8"/>
  <c r="Y410" i="8"/>
  <c r="Y320" i="8"/>
  <c r="Y24" i="8"/>
  <c r="Y517" i="8"/>
  <c r="Y874" i="8"/>
  <c r="Y896" i="8"/>
  <c r="Y562" i="8"/>
  <c r="Y825" i="8"/>
  <c r="Y812" i="8"/>
  <c r="Y490" i="8"/>
  <c r="Y649" i="8"/>
  <c r="Y835" i="8"/>
  <c r="Y26" i="8"/>
  <c r="Y602" i="8"/>
  <c r="Y125" i="8"/>
  <c r="Y371" i="8"/>
  <c r="Y380" i="8"/>
  <c r="Y879" i="8"/>
  <c r="Y392" i="8"/>
  <c r="Y332" i="8"/>
  <c r="Y34" i="8"/>
  <c r="Y943" i="8"/>
  <c r="Y63" i="8"/>
  <c r="Y298" i="8"/>
  <c r="Y894" i="8"/>
  <c r="Y486" i="8"/>
  <c r="Y901" i="8"/>
  <c r="Y746" i="8"/>
  <c r="Y10" i="8"/>
  <c r="Y414" i="8"/>
  <c r="Y98" i="8"/>
  <c r="Y28" i="8"/>
  <c r="Y686" i="8"/>
  <c r="Y357" i="8"/>
  <c r="Y647" i="8"/>
  <c r="Y491" i="8"/>
  <c r="Y815" i="8"/>
  <c r="Y566" i="8"/>
  <c r="Y92" i="8"/>
  <c r="Y828" i="8"/>
  <c r="Y573" i="8"/>
  <c r="Y96" i="8"/>
  <c r="Y833" i="8"/>
  <c r="Y500" i="8"/>
  <c r="Y756" i="8"/>
  <c r="Y253" i="8"/>
  <c r="Y186" i="8"/>
  <c r="Y684" i="8"/>
  <c r="Y948" i="8"/>
  <c r="Y604" i="8"/>
  <c r="Y120" i="8"/>
  <c r="Y354" i="8"/>
  <c r="Y606" i="8"/>
  <c r="Y607" i="8"/>
  <c r="Y451" i="8"/>
  <c r="Y454" i="8"/>
  <c r="Y614" i="8"/>
  <c r="Y365" i="8"/>
  <c r="Y714" i="8"/>
  <c r="Y135" i="8"/>
  <c r="Y286" i="8"/>
  <c r="Y215" i="8"/>
  <c r="Y540" i="8"/>
  <c r="Y290" i="8"/>
  <c r="Y629" i="8"/>
  <c r="Y378" i="8"/>
  <c r="Y472" i="8"/>
  <c r="Y384" i="8"/>
  <c r="Y792" i="8"/>
  <c r="Y548" i="8"/>
  <c r="Y884" i="8"/>
  <c r="Y307" i="8"/>
  <c r="Y255" i="8"/>
  <c r="Y599" i="8"/>
  <c r="Y900" i="8"/>
  <c r="Y563" i="8"/>
  <c r="Y903" i="8"/>
  <c r="Y504" i="8"/>
  <c r="Y937" i="8"/>
  <c r="Y466" i="8"/>
  <c r="Y546" i="8"/>
  <c r="Y814" i="8"/>
  <c r="Y817" i="8"/>
  <c r="Y648" i="8"/>
  <c r="Y311" i="8"/>
  <c r="Y6" i="8"/>
  <c r="Y164" i="8"/>
  <c r="Y654" i="8"/>
  <c r="Y495" i="8"/>
  <c r="Y656" i="8"/>
  <c r="Y412" i="8"/>
  <c r="Y318" i="8"/>
  <c r="Y574" i="8"/>
  <c r="Y324" i="8"/>
  <c r="Y110" i="8"/>
  <c r="Y356" i="8"/>
  <c r="Y359" i="8"/>
  <c r="Y642" i="8"/>
  <c r="Y760" i="8"/>
  <c r="Y592" i="8"/>
  <c r="Y240" i="8"/>
  <c r="Y660" i="8"/>
  <c r="Y343" i="8"/>
  <c r="Y522" i="8"/>
  <c r="Y626" i="8"/>
  <c r="Y968" i="8"/>
  <c r="Y990" i="8"/>
  <c r="Y347" i="8"/>
  <c r="Y450" i="8"/>
  <c r="Y805" i="8"/>
  <c r="Y30" i="8"/>
  <c r="Y218" i="8"/>
  <c r="Y561" i="8"/>
  <c r="Y401" i="8"/>
  <c r="Y313" i="8"/>
  <c r="Y909" i="8"/>
  <c r="Y319" i="8"/>
  <c r="Y245" i="8"/>
  <c r="Y754" i="8"/>
  <c r="Y246" i="8"/>
  <c r="Y645" i="8"/>
  <c r="Y816" i="8"/>
  <c r="Y160" i="8"/>
  <c r="Y820" i="8"/>
  <c r="Y743" i="8"/>
  <c r="Y652" i="8"/>
  <c r="Y89" i="8"/>
  <c r="Y9" i="8"/>
  <c r="Y907" i="8"/>
  <c r="Y243" i="8"/>
  <c r="Y572" i="8"/>
  <c r="Y95" i="8"/>
  <c r="Y322" i="8"/>
  <c r="Y918" i="8"/>
  <c r="Y758" i="8"/>
  <c r="Y502" i="8"/>
  <c r="Y764" i="8"/>
  <c r="Y583" i="8"/>
  <c r="Y766" i="8"/>
  <c r="Y430" i="8"/>
  <c r="Y353" i="8"/>
  <c r="Y453" i="8"/>
  <c r="Y314" i="8"/>
  <c r="Y673" i="8"/>
  <c r="Y731" i="8"/>
  <c r="Y417" i="8"/>
  <c r="Y579" i="8"/>
  <c r="Y603" i="8"/>
  <c r="Y334" i="8"/>
  <c r="Y194" i="8"/>
  <c r="Y704" i="8"/>
  <c r="Y14" i="8"/>
  <c r="Y23" i="8"/>
  <c r="Y107" i="8"/>
  <c r="Y931" i="8"/>
  <c r="Y262" i="8"/>
  <c r="Y438" i="8"/>
  <c r="Y726" i="8"/>
  <c r="Y72" i="8"/>
  <c r="Y278" i="8"/>
  <c r="Y78" i="8"/>
  <c r="Y688" i="8"/>
  <c r="Y183" i="8"/>
  <c r="Y771" i="8"/>
  <c r="Y423" i="8"/>
  <c r="Y514" i="8"/>
  <c r="Y605" i="8"/>
  <c r="Y198" i="8"/>
  <c r="Y757" i="8"/>
  <c r="Y762" i="8"/>
  <c r="Y930" i="8"/>
  <c r="Y36" i="8"/>
  <c r="Y596" i="8"/>
  <c r="Y266" i="8"/>
  <c r="Y519" i="8"/>
  <c r="Y608" i="8"/>
  <c r="Y623" i="8"/>
  <c r="Y723" i="8"/>
  <c r="Y389" i="8"/>
  <c r="Y1001" i="8"/>
  <c r="Y946" i="8"/>
  <c r="Y464" i="8"/>
  <c r="Y475" i="8"/>
  <c r="Y327" i="8"/>
  <c r="Y190" i="8"/>
  <c r="Y126" i="8"/>
  <c r="Y203" i="8"/>
  <c r="Y328" i="8"/>
  <c r="Y843" i="8"/>
  <c r="Y265" i="8"/>
  <c r="Y439" i="8"/>
  <c r="Y616" i="8"/>
  <c r="Y783" i="8"/>
  <c r="Y70" i="8"/>
  <c r="Y639" i="8"/>
  <c r="Y399" i="8"/>
  <c r="Y725" i="8"/>
  <c r="Y795" i="8"/>
  <c r="Y644" i="8"/>
  <c r="Y675" i="8"/>
  <c r="Y109" i="8"/>
  <c r="Y139" i="8"/>
  <c r="Y248" i="8"/>
  <c r="Y227" i="8"/>
  <c r="Y477" i="8"/>
  <c r="Y886" i="8"/>
  <c r="Y845" i="8"/>
  <c r="Y950" i="8"/>
  <c r="Y143" i="8"/>
  <c r="Y106" i="8"/>
  <c r="Y590" i="8"/>
  <c r="Y618" i="8"/>
  <c r="Y636" i="8"/>
  <c r="Y951" i="8"/>
  <c r="Y223" i="8"/>
  <c r="Y100" i="8"/>
  <c r="Y921" i="8"/>
  <c r="Y929" i="8"/>
  <c r="Y935" i="8"/>
  <c r="Y512" i="8"/>
  <c r="Y114" i="8"/>
  <c r="Y695" i="8"/>
  <c r="Y700" i="8"/>
  <c r="Y483" i="8"/>
  <c r="Y578" i="8"/>
  <c r="Y591" i="8"/>
  <c r="Y772" i="8"/>
  <c r="Y698" i="8"/>
  <c r="Y153" i="8"/>
  <c r="Y20" i="8"/>
  <c r="Y259" i="8"/>
  <c r="Y849" i="8"/>
  <c r="Y230" i="8"/>
  <c r="Y32" i="8"/>
  <c r="Y720" i="8"/>
  <c r="Y891" i="8"/>
  <c r="Y693" i="8"/>
  <c r="Y697" i="8"/>
  <c r="Y465" i="8"/>
  <c r="Y632" i="8"/>
  <c r="Y225" i="8"/>
  <c r="Y553" i="8"/>
  <c r="Y733" i="8"/>
  <c r="Y308" i="8"/>
  <c r="Y687" i="8"/>
  <c r="Y267" i="8"/>
  <c r="Y521" i="8"/>
  <c r="Y134" i="8"/>
  <c r="Y136" i="8"/>
  <c r="Y381" i="8"/>
  <c r="Y635" i="8"/>
  <c r="Y797" i="8"/>
  <c r="Y394" i="8"/>
  <c r="Y736" i="8"/>
  <c r="Y597" i="8"/>
  <c r="Y350" i="8"/>
  <c r="Y520" i="8"/>
  <c r="Y534" i="8"/>
  <c r="Y469" i="8"/>
  <c r="Y67" i="8"/>
  <c r="Y557" i="8"/>
  <c r="Y342" i="8"/>
  <c r="Y851" i="8"/>
  <c r="Y355" i="8"/>
  <c r="Y473" i="8"/>
  <c r="Y552" i="8"/>
  <c r="Y806" i="8"/>
  <c r="Y811" i="8"/>
  <c r="Y367" i="8"/>
  <c r="Y59" i="8"/>
  <c r="Y471" i="8"/>
  <c r="Y297" i="8"/>
  <c r="Y302" i="8"/>
  <c r="Y804" i="8"/>
  <c r="Y484" i="8"/>
  <c r="Y148" i="8"/>
  <c r="Y480" i="8"/>
  <c r="Y890" i="8"/>
  <c r="Y970" i="8"/>
  <c r="Y461" i="8"/>
  <c r="Y137" i="8"/>
  <c r="Y382" i="8"/>
  <c r="Y147" i="8"/>
  <c r="Y231" i="8"/>
  <c r="Y482" i="8"/>
  <c r="Y619" i="8"/>
  <c r="Y716" i="8"/>
  <c r="Y628" i="8"/>
  <c r="Y221" i="8"/>
  <c r="Y387" i="8"/>
  <c r="Y391" i="8"/>
  <c r="Y556" i="8"/>
  <c r="Y366" i="8"/>
  <c r="Y289" i="8"/>
  <c r="Y293" i="8"/>
  <c r="Y789" i="8"/>
  <c r="Y991" i="8"/>
  <c r="Y304" i="8"/>
  <c r="Y233" i="8"/>
  <c r="E185" i="6"/>
  <c r="E563" i="6"/>
  <c r="E380" i="6"/>
  <c r="E249" i="6"/>
  <c r="E489" i="6"/>
  <c r="E393" i="6"/>
  <c r="E272" i="6"/>
  <c r="E515" i="6"/>
  <c r="E419" i="6"/>
  <c r="E281" i="6"/>
  <c r="E358" i="6"/>
  <c r="E371" i="6"/>
  <c r="E57" i="6"/>
  <c r="E66" i="6"/>
  <c r="E267" i="6"/>
  <c r="E502" i="6"/>
  <c r="E524" i="6"/>
  <c r="E428" i="6"/>
  <c r="E299" i="6"/>
  <c r="E153" i="6"/>
  <c r="E550" i="6"/>
  <c r="E454" i="6"/>
  <c r="E467" i="6"/>
  <c r="E203" i="6"/>
  <c r="E476" i="6"/>
  <c r="E80" i="6"/>
  <c r="E258" i="6"/>
  <c r="E89" i="6"/>
  <c r="E406" i="6"/>
  <c r="E567" i="6"/>
  <c r="E375" i="6"/>
  <c r="E308" i="6"/>
  <c r="E207" i="6"/>
  <c r="E111" i="6"/>
  <c r="E427" i="6"/>
  <c r="E321" i="6"/>
  <c r="E225" i="6"/>
  <c r="E211" i="6"/>
  <c r="E33" i="6"/>
  <c r="E531" i="6"/>
  <c r="E275" i="6"/>
  <c r="E439" i="6"/>
  <c r="E391" i="6"/>
  <c r="E334" i="6"/>
  <c r="E279" i="6"/>
  <c r="E142" i="6"/>
  <c r="E46" i="6"/>
  <c r="E491" i="6"/>
  <c r="E443" i="6"/>
  <c r="E395" i="6"/>
  <c r="E251" i="6"/>
  <c r="E447" i="6"/>
  <c r="E399" i="6"/>
  <c r="E164" i="6"/>
  <c r="E68" i="6"/>
  <c r="E499" i="6"/>
  <c r="E451" i="6"/>
  <c r="E403" i="6"/>
  <c r="E319" i="6"/>
  <c r="E223" i="6"/>
  <c r="E127" i="6"/>
  <c r="E171" i="6"/>
  <c r="E471" i="6"/>
  <c r="E331" i="6"/>
  <c r="E303" i="6"/>
  <c r="E523" i="6"/>
  <c r="E475" i="6"/>
  <c r="E379" i="6"/>
  <c r="E271" i="6"/>
  <c r="E175" i="6"/>
  <c r="E79" i="6"/>
  <c r="E479" i="6"/>
  <c r="E431" i="6"/>
  <c r="E383" i="6"/>
  <c r="E307" i="6"/>
  <c r="E435" i="6"/>
  <c r="E179" i="6"/>
  <c r="E487" i="6"/>
  <c r="E311" i="6"/>
  <c r="E238" i="6"/>
  <c r="E87" i="6"/>
  <c r="E539" i="6"/>
  <c r="E59" i="6"/>
  <c r="E543" i="6"/>
  <c r="E255" i="6"/>
  <c r="E159" i="6"/>
  <c r="E63" i="6"/>
  <c r="E547" i="6"/>
  <c r="E551" i="6"/>
  <c r="E503" i="6"/>
  <c r="E455" i="6"/>
  <c r="E407" i="6"/>
  <c r="E273" i="6"/>
  <c r="E259" i="6"/>
  <c r="E177" i="6"/>
  <c r="E163" i="6"/>
  <c r="E81" i="6"/>
  <c r="E67" i="6"/>
  <c r="E107" i="6"/>
  <c r="E75" i="6"/>
  <c r="E519" i="6"/>
  <c r="E423" i="6"/>
  <c r="E212" i="6"/>
  <c r="E116" i="6"/>
  <c r="E20" i="6"/>
  <c r="E527" i="6"/>
  <c r="E129" i="6"/>
  <c r="E115" i="6"/>
  <c r="E483" i="6"/>
  <c r="E387" i="6"/>
  <c r="E83" i="6"/>
  <c r="E535" i="6"/>
  <c r="E215" i="6"/>
  <c r="E183" i="6"/>
  <c r="E119" i="6"/>
  <c r="E315" i="6"/>
  <c r="E219" i="6"/>
  <c r="E155" i="6"/>
  <c r="E123" i="6"/>
  <c r="E495" i="6"/>
  <c r="E260" i="6"/>
  <c r="E555" i="6"/>
  <c r="E507" i="6"/>
  <c r="E459" i="6"/>
  <c r="E411" i="6"/>
  <c r="E323" i="6"/>
  <c r="E227" i="6"/>
  <c r="E131" i="6"/>
  <c r="E283" i="6"/>
  <c r="E235" i="6"/>
  <c r="E187" i="6"/>
  <c r="E139" i="6"/>
  <c r="E91" i="6"/>
  <c r="E335" i="6"/>
  <c r="E287" i="6"/>
  <c r="E239" i="6"/>
  <c r="E191" i="6"/>
  <c r="E143" i="6"/>
  <c r="E95" i="6"/>
  <c r="E47" i="6"/>
  <c r="B19" i="2"/>
</calcChain>
</file>

<file path=xl/sharedStrings.xml><?xml version="1.0" encoding="utf-8"?>
<sst xmlns="http://schemas.openxmlformats.org/spreadsheetml/2006/main" count="26195" uniqueCount="529">
  <si>
    <t>ФИО менеджера</t>
  </si>
  <si>
    <t>ФИО клиента</t>
  </si>
  <si>
    <t>Дата сделки</t>
  </si>
  <si>
    <t>Сумма сделки</t>
  </si>
  <si>
    <t>NPS</t>
  </si>
  <si>
    <t>Громова Мария Ильинична</t>
  </si>
  <si>
    <t>Волкова Валерия Алексеевна</t>
  </si>
  <si>
    <t>2023-09-01</t>
  </si>
  <si>
    <t>Сидорова Елена Васильевна</t>
  </si>
  <si>
    <t>Морозов Егор Андреевич</t>
  </si>
  <si>
    <t>Семенова Ирина Валерьевна</t>
  </si>
  <si>
    <t>Орлов Константин Станиславович</t>
  </si>
  <si>
    <t>2023-09-04</t>
  </si>
  <si>
    <t>Иванова Анна Сергеевна</t>
  </si>
  <si>
    <t>Иванова Наталья Дмитриевна</t>
  </si>
  <si>
    <t>Николаев Матвей Викторович</t>
  </si>
  <si>
    <t>Фролов Сергей Викторович</t>
  </si>
  <si>
    <t>Козлова Полина Артемовна</t>
  </si>
  <si>
    <t>Петров Владимир Кириллович</t>
  </si>
  <si>
    <t>Орлова Анна Романовна</t>
  </si>
  <si>
    <t>Лебедева Александра Дмитриевна</t>
  </si>
  <si>
    <t>Волкова Ольга Андреевна</t>
  </si>
  <si>
    <t>Петров Алексей Юрьевич</t>
  </si>
  <si>
    <t>2023-09-05</t>
  </si>
  <si>
    <t>Волкова Наталья Андреевна</t>
  </si>
  <si>
    <t>Белов Алексей Константинович</t>
  </si>
  <si>
    <t>Смирнов Илья Олегович</t>
  </si>
  <si>
    <t>Ткаченко Андрей Олегович</t>
  </si>
  <si>
    <t>Козлова Татьяна Сергеевна</t>
  </si>
  <si>
    <t>2023-09-06</t>
  </si>
  <si>
    <t>Яковлев Артем Игоревич</t>
  </si>
  <si>
    <t>Васильев Артур Артемович</t>
  </si>
  <si>
    <t>Сидоров Владимир Артемович</t>
  </si>
  <si>
    <t>Новиков Матвей Егорович</t>
  </si>
  <si>
    <t>2023-09-07</t>
  </si>
  <si>
    <t>Семенов Алексей Владимирович</t>
  </si>
  <si>
    <t>Павлов Никита Иванович</t>
  </si>
  <si>
    <t>Смирнов Константин Кириллович</t>
  </si>
  <si>
    <t>Кузнецов Дмитрий Львович</t>
  </si>
  <si>
    <t>Смирнова Татьяна Александровна</t>
  </si>
  <si>
    <t>2023-09-08</t>
  </si>
  <si>
    <t>Семенова Светлана Дмитриевна</t>
  </si>
  <si>
    <t>Кузнецова Мария Дмитриевна</t>
  </si>
  <si>
    <t>Федорова Наталья Геннадьевна</t>
  </si>
  <si>
    <t>2023-09-11</t>
  </si>
  <si>
    <t>Новикова Ольга Петровна</t>
  </si>
  <si>
    <t>Кузнецова Алиса Владимировна</t>
  </si>
  <si>
    <t>Орлов Павел Денисович</t>
  </si>
  <si>
    <t>Петрова Татьяна Павловна</t>
  </si>
  <si>
    <t>Смирнов Максим Сергеевич</t>
  </si>
  <si>
    <t>Степанова Полина Михайловна</t>
  </si>
  <si>
    <t>Петров Алексей Артемович</t>
  </si>
  <si>
    <t>Сидорова Ольга Андреевна</t>
  </si>
  <si>
    <t>Кузнецов Максим Алексеевич</t>
  </si>
  <si>
    <t>2023-09-13</t>
  </si>
  <si>
    <t>Морозова Александра Станиславовна</t>
  </si>
  <si>
    <t>2023-09-14</t>
  </si>
  <si>
    <t>Васильева Ксения Михайловна</t>
  </si>
  <si>
    <t>Козлов Илья Сергеевич</t>
  </si>
  <si>
    <t>Лебедев Сергей Станиславович</t>
  </si>
  <si>
    <t>2023-09-15</t>
  </si>
  <si>
    <t>Орлова Анна Юрьевна</t>
  </si>
  <si>
    <t>2023-09-18</t>
  </si>
  <si>
    <t>Федоров Владимир Павлович</t>
  </si>
  <si>
    <t>Федоров Артур Олегович</t>
  </si>
  <si>
    <t>Петрова Алиса Станиславовна</t>
  </si>
  <si>
    <t>Смирнова Елена Викторовна</t>
  </si>
  <si>
    <t>Морозов Илья Геннадьевич</t>
  </si>
  <si>
    <t>Попов Никита Геннадьевич</t>
  </si>
  <si>
    <t>Степанов Дмитрий Иванович</t>
  </si>
  <si>
    <t>Волкова Ирина Геннадьевна</t>
  </si>
  <si>
    <t>2023-09-19</t>
  </si>
  <si>
    <t>Орлов Роман Ильич</t>
  </si>
  <si>
    <t>Лебедева Ирина Кирилловна</t>
  </si>
  <si>
    <t>Волков Сергей Иванович</t>
  </si>
  <si>
    <t>Петров Роман Алексеевич</t>
  </si>
  <si>
    <t>2023-09-20</t>
  </si>
  <si>
    <t>Степанова София Михайловна</t>
  </si>
  <si>
    <t>Петров Михаил Кириллович</t>
  </si>
  <si>
    <t>2023-09-21</t>
  </si>
  <si>
    <t>Козлов Илья Егорович</t>
  </si>
  <si>
    <t>Волков Максим Дмитриевич</t>
  </si>
  <si>
    <t>Орлова Ольга Алексеевна</t>
  </si>
  <si>
    <t>2023-09-22</t>
  </si>
  <si>
    <t>Семенов Илья Андреевич</t>
  </si>
  <si>
    <t>Смирнов Александр Дмитриевич</t>
  </si>
  <si>
    <t>Новиков Артем Павлович</t>
  </si>
  <si>
    <t>2023-09-25</t>
  </si>
  <si>
    <t>Козлов Александр Дмитриевич</t>
  </si>
  <si>
    <t>Волкова Татьяна Станиславовна</t>
  </si>
  <si>
    <t>Алексеев Кирилл Иванович</t>
  </si>
  <si>
    <t>Иванов Роман Кириллович</t>
  </si>
  <si>
    <t>Морозов Никита Алексеевич</t>
  </si>
  <si>
    <t>Лебедев Никита Алексеевич</t>
  </si>
  <si>
    <t>Николаев Иван Михайлович</t>
  </si>
  <si>
    <t>2023-09-26</t>
  </si>
  <si>
    <t>Иванова Анна Егоровна</t>
  </si>
  <si>
    <t>2023-09-27</t>
  </si>
  <si>
    <t>Волков Алексей Егорович</t>
  </si>
  <si>
    <t>Лебедев Сергей Алексеевич</t>
  </si>
  <si>
    <t>2023-09-28</t>
  </si>
  <si>
    <t>Новикова Виктория Александровна</t>
  </si>
  <si>
    <t>2023-09-29</t>
  </si>
  <si>
    <t>Новикова Елена Геннадьевна</t>
  </si>
  <si>
    <t>2023-10-02</t>
  </si>
  <si>
    <t>Семенов Иван Павлович</t>
  </si>
  <si>
    <t>Сидорова Полина Олеговна</t>
  </si>
  <si>
    <t>Орлов Дмитрий Ильич</t>
  </si>
  <si>
    <t>Егорова Светлана Андреевна</t>
  </si>
  <si>
    <t>2023-10-03</t>
  </si>
  <si>
    <t>Степанова Анна Станиславовна</t>
  </si>
  <si>
    <t>Иванова Алиса Алексеевна</t>
  </si>
  <si>
    <t>2023-10-04</t>
  </si>
  <si>
    <t>Новикова Людмила Владимировна</t>
  </si>
  <si>
    <t>Смирнов Иван Ильич</t>
  </si>
  <si>
    <t>2023-10-05</t>
  </si>
  <si>
    <t>Петрова Елена Юрьевна</t>
  </si>
  <si>
    <t>Егорова Алиса Михайловна</t>
  </si>
  <si>
    <t>2023-10-06</t>
  </si>
  <si>
    <t>Степанов Константин Геннадьевич</t>
  </si>
  <si>
    <t>2023-10-09</t>
  </si>
  <si>
    <t>Сидоров Никита Романович</t>
  </si>
  <si>
    <t>Павлов Дмитрий Павлович</t>
  </si>
  <si>
    <t>Волкова Ирина Сергеевна</t>
  </si>
  <si>
    <t>Козлов Артем Викторович</t>
  </si>
  <si>
    <t>Васильев Дмитрий Иванович</t>
  </si>
  <si>
    <t>Васильев Константин Дмитриевич</t>
  </si>
  <si>
    <t>2023-10-10</t>
  </si>
  <si>
    <t>Семенов Павел Юрьевич</t>
  </si>
  <si>
    <t>Волкова Виктория Павловна</t>
  </si>
  <si>
    <t>Павлов Никита Андреевич</t>
  </si>
  <si>
    <t>2023-10-11</t>
  </si>
  <si>
    <t>Степанов Дмитрий Геннадьевич</t>
  </si>
  <si>
    <t>Лебедева Вероника Никитична</t>
  </si>
  <si>
    <t>Егоров Павел Сергеевич</t>
  </si>
  <si>
    <t>2023-10-12</t>
  </si>
  <si>
    <t>Лебедев Егор Никитич</t>
  </si>
  <si>
    <t>Васильев Илья Александрович</t>
  </si>
  <si>
    <t>2023-10-13</t>
  </si>
  <si>
    <t>Петрова Александра Олеговна</t>
  </si>
  <si>
    <t>2023-10-16</t>
  </si>
  <si>
    <t>Орлова Анна Артемовна</t>
  </si>
  <si>
    <t>Орлов Андрей Никитич</t>
  </si>
  <si>
    <t>2023-10-17</t>
  </si>
  <si>
    <t>Павлов Сергей Артемович</t>
  </si>
  <si>
    <t>2023-10-18</t>
  </si>
  <si>
    <t>Попов Михаил Павлович</t>
  </si>
  <si>
    <t>2023-10-19</t>
  </si>
  <si>
    <t>Иванова Людмила Юрьевна</t>
  </si>
  <si>
    <t>Степанов Александр Дмитриевич</t>
  </si>
  <si>
    <t>2023-10-20</t>
  </si>
  <si>
    <t>Волков Кирилл Юрьевич</t>
  </si>
  <si>
    <t>Павлов Матвей Владимирович</t>
  </si>
  <si>
    <t>Сидоров Егор Александрович</t>
  </si>
  <si>
    <t>2023-10-23</t>
  </si>
  <si>
    <t>Сидоров Дмитрий Владимирович</t>
  </si>
  <si>
    <t>Козлов Алексей Романович</t>
  </si>
  <si>
    <t>Орлова Юлия Сергеевна</t>
  </si>
  <si>
    <t>Козлова Ксения Ильинична</t>
  </si>
  <si>
    <t>2023-10-24</t>
  </si>
  <si>
    <t>2023-10-25</t>
  </si>
  <si>
    <t>Петрова Ольга Сергеевна</t>
  </si>
  <si>
    <t>Кузнецова Анна Павловна</t>
  </si>
  <si>
    <t>2023-10-26</t>
  </si>
  <si>
    <t>2023-10-27</t>
  </si>
  <si>
    <t>Васильев Владимир Дмитриевич</t>
  </si>
  <si>
    <t>Морозова Светлана Ивановна</t>
  </si>
  <si>
    <t>Федорова Ольга Кирилловна</t>
  </si>
  <si>
    <t>2023-10-30</t>
  </si>
  <si>
    <t>Семенов Михаил Егорович</t>
  </si>
  <si>
    <t>Федоров Егор Никитич</t>
  </si>
  <si>
    <t>2023-10-31</t>
  </si>
  <si>
    <t>2023-11-01</t>
  </si>
  <si>
    <t>Козлов Константин Александрович</t>
  </si>
  <si>
    <t>2023-11-03</t>
  </si>
  <si>
    <t>2023-11-06</t>
  </si>
  <si>
    <t>Николаева София Никитична</t>
  </si>
  <si>
    <t>Петров Михаил Ильич</t>
  </si>
  <si>
    <t>Иванова Наталья Михайловна</t>
  </si>
  <si>
    <t>2023-11-08</t>
  </si>
  <si>
    <t>Смирнова Людмила Олеговна</t>
  </si>
  <si>
    <t>Новиков Егор Юрьевич</t>
  </si>
  <si>
    <t>Федорова София Егоровна</t>
  </si>
  <si>
    <t>2023-11-09</t>
  </si>
  <si>
    <t>Степанов Сергей Егорович</t>
  </si>
  <si>
    <t>2023-11-10</t>
  </si>
  <si>
    <t>Лебедева Ольга Романовна</t>
  </si>
  <si>
    <t>Сидоров Михаил Сергеевич</t>
  </si>
  <si>
    <t>Семенов Константин Егорович</t>
  </si>
  <si>
    <t>2023-11-13</t>
  </si>
  <si>
    <t>Иванов Андрей Андреевич</t>
  </si>
  <si>
    <t>2023-11-14</t>
  </si>
  <si>
    <t>2023-11-15</t>
  </si>
  <si>
    <t>2023-11-16</t>
  </si>
  <si>
    <t>Николаев Георгий Сергеевич</t>
  </si>
  <si>
    <t>Федорова Ксения Павловна</t>
  </si>
  <si>
    <t>Семенов Роман Павлович</t>
  </si>
  <si>
    <t>2023-11-17</t>
  </si>
  <si>
    <t>Павлова София Романовна</t>
  </si>
  <si>
    <t>2023-11-20</t>
  </si>
  <si>
    <t>Новикова Юлия Егоровна</t>
  </si>
  <si>
    <t>Васильев Иван Олегович</t>
  </si>
  <si>
    <t>Новикова Алиса Ивановна</t>
  </si>
  <si>
    <t>2023-11-21</t>
  </si>
  <si>
    <t>2023-11-22</t>
  </si>
  <si>
    <t>Смирнова Алиса Михайловна</t>
  </si>
  <si>
    <t>Алексеев Кирилл Сергеевич</t>
  </si>
  <si>
    <t>2023-11-23</t>
  </si>
  <si>
    <t>2023-11-24</t>
  </si>
  <si>
    <t>Лебедева Екатерина Олеговна</t>
  </si>
  <si>
    <t>2023-11-27</t>
  </si>
  <si>
    <t>Новикова Анна Викторовна</t>
  </si>
  <si>
    <t>Васильев Максим Иванович</t>
  </si>
  <si>
    <t>2023-11-29</t>
  </si>
  <si>
    <t>Степанов Александр Андреевич</t>
  </si>
  <si>
    <t>Семенов Егор Никитич</t>
  </si>
  <si>
    <t>2023-12-01</t>
  </si>
  <si>
    <t>Попова Людмила Егоровна</t>
  </si>
  <si>
    <t>2023-12-04</t>
  </si>
  <si>
    <t>Волков Иван Юрьевич</t>
  </si>
  <si>
    <t>2023-12-05</t>
  </si>
  <si>
    <t>Степанова Анна Ивановна</t>
  </si>
  <si>
    <t>2023-12-06</t>
  </si>
  <si>
    <t>Кузнецова Валерия Дмитриевна</t>
  </si>
  <si>
    <t>Егоров Дмитрий Дмитриевич</t>
  </si>
  <si>
    <t>2023-12-07</t>
  </si>
  <si>
    <t>Новиков Павел Олегович</t>
  </si>
  <si>
    <t>Орлов Павел Юрьевич</t>
  </si>
  <si>
    <t>2023-12-08</t>
  </si>
  <si>
    <t>Смирнов Роман Юрьевич</t>
  </si>
  <si>
    <t>2023-12-11</t>
  </si>
  <si>
    <t>Федорова Алиса Юрьевна</t>
  </si>
  <si>
    <t>Попов Илья Сергеевич</t>
  </si>
  <si>
    <t>Орлов Константин Никитич</t>
  </si>
  <si>
    <t>2023-12-12</t>
  </si>
  <si>
    <t>2023-12-13</t>
  </si>
  <si>
    <t>2023-12-14</t>
  </si>
  <si>
    <t>2023-12-15</t>
  </si>
  <si>
    <t>2023-12-18</t>
  </si>
  <si>
    <t>Морозов Максим Сергеевич</t>
  </si>
  <si>
    <t>2023-12-19</t>
  </si>
  <si>
    <t>2023-12-20</t>
  </si>
  <si>
    <t>Лебедева Алиса Ивановна</t>
  </si>
  <si>
    <t>Лебедев Матвей Сергеевич</t>
  </si>
  <si>
    <t>2023-12-21</t>
  </si>
  <si>
    <t>2023-12-22</t>
  </si>
  <si>
    <t>2023-12-25</t>
  </si>
  <si>
    <t>Кузнецов Алексей Егорович</t>
  </si>
  <si>
    <t>Новиков Илья Кириллович</t>
  </si>
  <si>
    <t>Семенова Наталья Олеговна</t>
  </si>
  <si>
    <t>2023-12-26</t>
  </si>
  <si>
    <t>2023-12-27</t>
  </si>
  <si>
    <t>Федоров Илья Егорович</t>
  </si>
  <si>
    <t>2023-12-28</t>
  </si>
  <si>
    <t>2023-12-29</t>
  </si>
  <si>
    <t>2024-01-01</t>
  </si>
  <si>
    <t>Николаева Наталья Геннадьевна</t>
  </si>
  <si>
    <t>2024-01-02</t>
  </si>
  <si>
    <t>2024-01-03</t>
  </si>
  <si>
    <t>2024-01-04</t>
  </si>
  <si>
    <t>2024-01-05</t>
  </si>
  <si>
    <t>2024-01-08</t>
  </si>
  <si>
    <t>2024-01-09</t>
  </si>
  <si>
    <t>2024-01-10</t>
  </si>
  <si>
    <t>Федорова Виктория Егоровна</t>
  </si>
  <si>
    <t>Козлова Светлана Михайловна</t>
  </si>
  <si>
    <t>2024-01-11</t>
  </si>
  <si>
    <t>Васильева Ольга Ильинична</t>
  </si>
  <si>
    <t>2024-01-12</t>
  </si>
  <si>
    <t>Лебедева Алиса Дмитриевна</t>
  </si>
  <si>
    <t>Орлов Кирилл Романович</t>
  </si>
  <si>
    <t>2024-01-15</t>
  </si>
  <si>
    <t>Орлова Ольга Егоровна</t>
  </si>
  <si>
    <t>2024-01-16</t>
  </si>
  <si>
    <t>2024-01-17</t>
  </si>
  <si>
    <t>2024-01-18</t>
  </si>
  <si>
    <t>2024-01-19</t>
  </si>
  <si>
    <t>2024-01-22</t>
  </si>
  <si>
    <t>2024-01-23</t>
  </si>
  <si>
    <t>Егоров Александр Александрович</t>
  </si>
  <si>
    <t>2024-01-24</t>
  </si>
  <si>
    <t>2024-01-26</t>
  </si>
  <si>
    <t>2024-01-29</t>
  </si>
  <si>
    <t>2024-01-30</t>
  </si>
  <si>
    <t>2024-01-31</t>
  </si>
  <si>
    <t>2024-02-01</t>
  </si>
  <si>
    <t>2024-02-02</t>
  </si>
  <si>
    <t>Федоров Кирилл Алексеевич</t>
  </si>
  <si>
    <t>2024-02-05</t>
  </si>
  <si>
    <t>Волкова София Владимировна</t>
  </si>
  <si>
    <t>2024-02-06</t>
  </si>
  <si>
    <t>2024-02-07</t>
  </si>
  <si>
    <t>2024-02-08</t>
  </si>
  <si>
    <t>Волкова Вероника Владимировна</t>
  </si>
  <si>
    <t>2024-02-09</t>
  </si>
  <si>
    <t>Смирнов Александр Иванович</t>
  </si>
  <si>
    <t>Федоров Егор Михайлович</t>
  </si>
  <si>
    <t>2024-02-12</t>
  </si>
  <si>
    <t>Семенов Артем Станиславович</t>
  </si>
  <si>
    <t>Егорова Татьяна Романовна</t>
  </si>
  <si>
    <t>Егорова Вероника Егоровна</t>
  </si>
  <si>
    <t>2024-02-13</t>
  </si>
  <si>
    <t>2024-02-14</t>
  </si>
  <si>
    <t>2024-02-15</t>
  </si>
  <si>
    <t>2024-02-16</t>
  </si>
  <si>
    <t>2024-02-19</t>
  </si>
  <si>
    <t>Новикова София Андреевна</t>
  </si>
  <si>
    <t>Степанова Ольга Андреевна</t>
  </si>
  <si>
    <t>2024-02-20</t>
  </si>
  <si>
    <t>Федоров Артур Станиславович</t>
  </si>
  <si>
    <t>2024-02-22</t>
  </si>
  <si>
    <t>2024-02-23</t>
  </si>
  <si>
    <t>2024-02-26</t>
  </si>
  <si>
    <t>Васильева Ольга Кирилловна</t>
  </si>
  <si>
    <t>2024-02-27</t>
  </si>
  <si>
    <t>2024-02-28</t>
  </si>
  <si>
    <t>2024-02-29</t>
  </si>
  <si>
    <t>2024-03-01</t>
  </si>
  <si>
    <t>2024-03-04</t>
  </si>
  <si>
    <t>2024-03-05</t>
  </si>
  <si>
    <t>2024-03-06</t>
  </si>
  <si>
    <t>2024-03-07</t>
  </si>
  <si>
    <t>2024-03-08</t>
  </si>
  <si>
    <t>2024-03-11</t>
  </si>
  <si>
    <t>2024-03-12</t>
  </si>
  <si>
    <t>Иванов Роман Ильич</t>
  </si>
  <si>
    <t>2024-03-13</t>
  </si>
  <si>
    <t>2024-03-14</t>
  </si>
  <si>
    <t>2024-03-15</t>
  </si>
  <si>
    <t>Сидорова Людмила Никитична</t>
  </si>
  <si>
    <t>2024-03-18</t>
  </si>
  <si>
    <t>Новиков Михаил Павлович</t>
  </si>
  <si>
    <t>Алексеев Илья Владимирович</t>
  </si>
  <si>
    <t>2024-03-19</t>
  </si>
  <si>
    <t>2024-03-20</t>
  </si>
  <si>
    <t>2024-03-21</t>
  </si>
  <si>
    <t>2024-03-22</t>
  </si>
  <si>
    <t>2024-03-25</t>
  </si>
  <si>
    <t>Николаев Иван Сергеевич</t>
  </si>
  <si>
    <t>2024-03-26</t>
  </si>
  <si>
    <t>2024-03-27</t>
  </si>
  <si>
    <t>2024-03-28</t>
  </si>
  <si>
    <t>2024-03-29</t>
  </si>
  <si>
    <t>2024-04-01</t>
  </si>
  <si>
    <t>Петрова Александра Ильинична</t>
  </si>
  <si>
    <t>2024-04-02</t>
  </si>
  <si>
    <t>Семенова Алиса Павловна</t>
  </si>
  <si>
    <t>2024-04-03</t>
  </si>
  <si>
    <t>2024-04-04</t>
  </si>
  <si>
    <t>2024-04-05</t>
  </si>
  <si>
    <t>2024-04-08</t>
  </si>
  <si>
    <t>2024-04-09</t>
  </si>
  <si>
    <t>2024-04-10</t>
  </si>
  <si>
    <t>2024-04-11</t>
  </si>
  <si>
    <t>2024-04-12</t>
  </si>
  <si>
    <t>2024-04-15</t>
  </si>
  <si>
    <t>2024-04-16</t>
  </si>
  <si>
    <t>2024-04-17</t>
  </si>
  <si>
    <t>2024-04-18</t>
  </si>
  <si>
    <t>2024-04-19</t>
  </si>
  <si>
    <t>2024-04-22</t>
  </si>
  <si>
    <t>2024-04-24</t>
  </si>
  <si>
    <t>2024-04-25</t>
  </si>
  <si>
    <t>Козлов Павел Андреевич</t>
  </si>
  <si>
    <t>2024-04-26</t>
  </si>
  <si>
    <t>2024-04-29</t>
  </si>
  <si>
    <t>2024-04-30</t>
  </si>
  <si>
    <t>2024-05-01</t>
  </si>
  <si>
    <t>2024-05-02</t>
  </si>
  <si>
    <t>2024-05-03</t>
  </si>
  <si>
    <t>2024-05-06</t>
  </si>
  <si>
    <t>2024-05-07</t>
  </si>
  <si>
    <t>2024-05-08</t>
  </si>
  <si>
    <t>2024-05-09</t>
  </si>
  <si>
    <t>2024-05-10</t>
  </si>
  <si>
    <t>Орлов Дмитрий Павлович</t>
  </si>
  <si>
    <t>2024-05-13</t>
  </si>
  <si>
    <t>2024-05-14</t>
  </si>
  <si>
    <t>2024-05-15</t>
  </si>
  <si>
    <t>2024-05-16</t>
  </si>
  <si>
    <t>Петрова Александра Романовна</t>
  </si>
  <si>
    <t>2024-05-17</t>
  </si>
  <si>
    <t>Васильева Татьяна Павловна</t>
  </si>
  <si>
    <t>2024-05-20</t>
  </si>
  <si>
    <t>Егорова Екатерина Артемовна</t>
  </si>
  <si>
    <t>Егоров Никита Кириллович</t>
  </si>
  <si>
    <t>2024-05-22</t>
  </si>
  <si>
    <t>2024-05-24</t>
  </si>
  <si>
    <t>2024-05-27</t>
  </si>
  <si>
    <t>2024-05-28</t>
  </si>
  <si>
    <t>2024-05-29</t>
  </si>
  <si>
    <t>2024-05-30</t>
  </si>
  <si>
    <t>2024-05-31</t>
  </si>
  <si>
    <t>Смирнова Светлана Кирилловна</t>
  </si>
  <si>
    <t>2024-06-03</t>
  </si>
  <si>
    <t>Федорова Алиса Викторовна</t>
  </si>
  <si>
    <t>2024-06-04</t>
  </si>
  <si>
    <t>2024-06-05</t>
  </si>
  <si>
    <t>2024-06-06</t>
  </si>
  <si>
    <t>2024-06-07</t>
  </si>
  <si>
    <t>2024-06-10</t>
  </si>
  <si>
    <t>2024-06-11</t>
  </si>
  <si>
    <t>2024-06-12</t>
  </si>
  <si>
    <t>2024-06-13</t>
  </si>
  <si>
    <t>2024-06-14</t>
  </si>
  <si>
    <t>2024-06-17</t>
  </si>
  <si>
    <t>2024-06-18</t>
  </si>
  <si>
    <t>2024-06-19</t>
  </si>
  <si>
    <t>2024-06-20</t>
  </si>
  <si>
    <t>2024-06-21</t>
  </si>
  <si>
    <t>2024-06-24</t>
  </si>
  <si>
    <t>2024-06-25</t>
  </si>
  <si>
    <t>2024-06-26</t>
  </si>
  <si>
    <t>2024-06-27</t>
  </si>
  <si>
    <t>2024-06-28</t>
  </si>
  <si>
    <t>2024-07-01</t>
  </si>
  <si>
    <t>2024-07-02</t>
  </si>
  <si>
    <t>2024-07-03</t>
  </si>
  <si>
    <t>2024-07-04</t>
  </si>
  <si>
    <t>2024-07-05</t>
  </si>
  <si>
    <t>2024-07-08</t>
  </si>
  <si>
    <t>2024-07-09</t>
  </si>
  <si>
    <t>2024-07-10</t>
  </si>
  <si>
    <t>2024-07-11</t>
  </si>
  <si>
    <t>2024-07-12</t>
  </si>
  <si>
    <t>2024-07-15</t>
  </si>
  <si>
    <t>2024-07-16</t>
  </si>
  <si>
    <t>2024-07-17</t>
  </si>
  <si>
    <t>2024-07-18</t>
  </si>
  <si>
    <t>2024-07-19</t>
  </si>
  <si>
    <t>2024-07-22</t>
  </si>
  <si>
    <t>2024-07-23</t>
  </si>
  <si>
    <t>2024-07-24</t>
  </si>
  <si>
    <t>2024-07-25</t>
  </si>
  <si>
    <t>2024-07-26</t>
  </si>
  <si>
    <t>2024-07-29</t>
  </si>
  <si>
    <t>2024-07-30</t>
  </si>
  <si>
    <t>2024-07-31</t>
  </si>
  <si>
    <t>2024-08-01</t>
  </si>
  <si>
    <t>2024-08-02</t>
  </si>
  <si>
    <t>2024-08-05</t>
  </si>
  <si>
    <t>2024-08-06</t>
  </si>
  <si>
    <t>2024-08-07</t>
  </si>
  <si>
    <t>2024-08-08</t>
  </si>
  <si>
    <t>Волкова Ольга Геннадьевна</t>
  </si>
  <si>
    <t>2024-08-09</t>
  </si>
  <si>
    <t>2024-08-12</t>
  </si>
  <si>
    <t>2024-08-13</t>
  </si>
  <si>
    <t>2024-08-14</t>
  </si>
  <si>
    <t>2024-08-15</t>
  </si>
  <si>
    <t>2024-08-16</t>
  </si>
  <si>
    <t>2024-08-19</t>
  </si>
  <si>
    <t>2024-08-20</t>
  </si>
  <si>
    <t>2024-08-21</t>
  </si>
  <si>
    <t>2024-08-22</t>
  </si>
  <si>
    <t>2024-08-23</t>
  </si>
  <si>
    <t>2024-08-26</t>
  </si>
  <si>
    <t>2024-08-27</t>
  </si>
  <si>
    <t>2024-08-28</t>
  </si>
  <si>
    <t>2024-08-29</t>
  </si>
  <si>
    <t>2024-08-30</t>
  </si>
  <si>
    <t>2024-09-02</t>
  </si>
  <si>
    <t>ФИО студента:</t>
  </si>
  <si>
    <t>Задача 1</t>
  </si>
  <si>
    <t xml:space="preserve"> Для каждого менеджера найти метрики:</t>
  </si>
  <si>
    <t>ФИО Менеджера (по алфавиту)</t>
  </si>
  <si>
    <t>Клиенты</t>
  </si>
  <si>
    <t>Сумма</t>
  </si>
  <si>
    <t>Длительность, дни</t>
  </si>
  <si>
    <t xml:space="preserve">   - количество клиентов - (столбец H)</t>
  </si>
  <si>
    <t xml:space="preserve">   - сумма проектов - (столбец I)</t>
  </si>
  <si>
    <t xml:space="preserve">   - длительность работы с клиентом от первой сделки до последней - (столбец J)</t>
  </si>
  <si>
    <t>(для каждого менеджера определить самого долгого клиента в днях</t>
  </si>
  <si>
    <t xml:space="preserve">от даты заключения первого проекта до даты заключения последнего проекта). </t>
  </si>
  <si>
    <t xml:space="preserve">   - NPS по всем проектам - (столбец K)</t>
  </si>
  <si>
    <t>Определить самого эффективного менеджера:</t>
  </si>
  <si>
    <t>по количеству клиентов</t>
  </si>
  <si>
    <t>по сумме проектов</t>
  </si>
  <si>
    <t>по длительности работы</t>
  </si>
  <si>
    <t>Задача 2</t>
  </si>
  <si>
    <t>Оценить клиентов</t>
  </si>
  <si>
    <t>ТОП 10 клиентов по продажам</t>
  </si>
  <si>
    <t>- доходности (вывести топ 10 клиентов)</t>
  </si>
  <si>
    <t>ФИО</t>
  </si>
  <si>
    <t>Проекты</t>
  </si>
  <si>
    <t>- не переходил к другим менеджерам - вывести первых 10 по алфавиту</t>
  </si>
  <si>
    <t>- по длительности (сколько месяцев суммарно обслуживался клиент)</t>
  </si>
  <si>
    <t>10 клиентов, которые обслуживались у одного менеджера (в алфавитном порядке)</t>
  </si>
  <si>
    <t>всего месяцев</t>
  </si>
  <si>
    <t>Задача 3</t>
  </si>
  <si>
    <t>3. Построить динамику менеджеров во времени:</t>
  </si>
  <si>
    <t>Количество проектов на одного менеджера</t>
  </si>
  <si>
    <t xml:space="preserve">   - месяц / кол-во проектов на одного менеджера</t>
  </si>
  <si>
    <t>начало</t>
  </si>
  <si>
    <t>конец</t>
  </si>
  <si>
    <t>2023-9</t>
  </si>
  <si>
    <t>2023-10</t>
  </si>
  <si>
    <t>2023-11</t>
  </si>
  <si>
    <t>2023-12</t>
  </si>
  <si>
    <t>2024-1</t>
  </si>
  <si>
    <t>2024-2</t>
  </si>
  <si>
    <t>2024-3</t>
  </si>
  <si>
    <t>2024-4</t>
  </si>
  <si>
    <t>2024-5</t>
  </si>
  <si>
    <t>2024-6</t>
  </si>
  <si>
    <t>2024-7</t>
  </si>
  <si>
    <t>2024-8</t>
  </si>
  <si>
    <t>2024-9</t>
  </si>
  <si>
    <t xml:space="preserve">   - месяц / NPS по компании</t>
  </si>
  <si>
    <t xml:space="preserve">   - месяц / средняя доходность на один проект</t>
  </si>
  <si>
    <t>средняя доходность на один проект</t>
  </si>
  <si>
    <t>Репин Антон Сергеевич</t>
  </si>
  <si>
    <t>Названия строк</t>
  </si>
  <si>
    <t>(пусто)</t>
  </si>
  <si>
    <t>Общий итог</t>
  </si>
  <si>
    <t>Сумма по полю Сумма сделки</t>
  </si>
  <si>
    <t>Мен_Кл</t>
  </si>
  <si>
    <t>Дата первой сделки</t>
  </si>
  <si>
    <t>Дата последней сделки</t>
  </si>
  <si>
    <t>Дни</t>
  </si>
  <si>
    <t>Названия столбцов</t>
  </si>
  <si>
    <t>Максимум по полю Дни</t>
  </si>
  <si>
    <t>Количество по полю ФИО менеджера</t>
  </si>
  <si>
    <t>год</t>
  </si>
  <si>
    <t>месяц</t>
  </si>
  <si>
    <t>Год-месяц</t>
  </si>
  <si>
    <t>Месяц</t>
  </si>
  <si>
    <t>Год</t>
  </si>
  <si>
    <t>Среднее по полю Сумма сделки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</si>
</sst>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\ _₽_-;\-* #,##0.00\ _₽_-;_-* &quot;-&quot;??\ _₽_-;_-@_-"/>
    <numFmt numFmtId="165" formatCode="0.0%"/>
    <numFmt numFmtId="167" formatCode="#,##0.00\ &quot;₽&quot;"/>
  </numFmts>
  <fonts count="8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i/>
      <sz val="11"/>
      <color theme="0" tint="-0.499984740745262"/>
      <name val="Calibri"/>
      <family val="2"/>
      <charset val="204"/>
      <scheme val="minor"/>
    </font>
    <font>
      <b/>
      <sz val="12"/>
      <color rgb="FFFF0000"/>
      <name val="Calibri"/>
      <family val="2"/>
      <charset val="204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-0.49998474074526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3">
    <xf numFmtId="0" fontId="0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3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3" fillId="0" borderId="0" xfId="0" applyFont="1"/>
    <xf numFmtId="0" fontId="0" fillId="0" borderId="0" xfId="0" applyAlignment="1">
      <alignment vertical="top"/>
    </xf>
    <xf numFmtId="0" fontId="0" fillId="0" borderId="0" xfId="0" applyAlignment="1">
      <alignment horizontal="center" vertical="top"/>
    </xf>
    <xf numFmtId="0" fontId="0" fillId="0" borderId="0" xfId="0" applyAlignment="1">
      <alignment horizontal="center" vertical="top" wrapText="1"/>
    </xf>
    <xf numFmtId="0" fontId="0" fillId="3" borderId="1" xfId="0" applyFill="1" applyBorder="1" applyAlignment="1">
      <alignment horizontal="left"/>
    </xf>
    <xf numFmtId="2" fontId="0" fillId="3" borderId="1" xfId="0" applyNumberFormat="1" applyFill="1" applyBorder="1" applyAlignment="1">
      <alignment horizontal="left"/>
    </xf>
    <xf numFmtId="0" fontId="4" fillId="0" borderId="0" xfId="0" applyFont="1" applyAlignment="1">
      <alignment horizontal="left"/>
    </xf>
    <xf numFmtId="0" fontId="4" fillId="0" borderId="0" xfId="0" applyFont="1"/>
    <xf numFmtId="0" fontId="0" fillId="3" borderId="1" xfId="0" applyFill="1" applyBorder="1"/>
    <xf numFmtId="0" fontId="5" fillId="0" borderId="0" xfId="0" applyFont="1"/>
    <xf numFmtId="0" fontId="0" fillId="4" borderId="0" xfId="0" applyFill="1"/>
    <xf numFmtId="0" fontId="0" fillId="0" borderId="0" xfId="0" quotePrefix="1"/>
    <xf numFmtId="0" fontId="6" fillId="0" borderId="0" xfId="0" applyFont="1"/>
    <xf numFmtId="0" fontId="6" fillId="0" borderId="0" xfId="0" applyFont="1" applyAlignment="1">
      <alignment horizontal="center"/>
    </xf>
    <xf numFmtId="0" fontId="3" fillId="3" borderId="1" xfId="0" applyFont="1" applyFill="1" applyBorder="1" applyAlignment="1">
      <alignment horizontal="left"/>
    </xf>
    <xf numFmtId="14" fontId="6" fillId="0" borderId="0" xfId="1" applyNumberFormat="1" applyFont="1"/>
    <xf numFmtId="14" fontId="6" fillId="0" borderId="0" xfId="0" applyNumberFormat="1" applyFont="1"/>
    <xf numFmtId="0" fontId="0" fillId="0" borderId="0" xfId="0" applyAlignment="1">
      <alignment horizontal="left"/>
    </xf>
    <xf numFmtId="165" fontId="2" fillId="3" borderId="1" xfId="2" applyNumberFormat="1" applyFill="1" applyBorder="1" applyAlignment="1">
      <alignment horizontal="left"/>
    </xf>
    <xf numFmtId="0" fontId="0" fillId="0" borderId="0" xfId="0" pivotButton="1"/>
    <xf numFmtId="0" fontId="0" fillId="0" borderId="0" xfId="0" applyNumberFormat="1"/>
    <xf numFmtId="167" fontId="0" fillId="3" borderId="1" xfId="2" applyNumberFormat="1" applyFont="1" applyFill="1" applyBorder="1" applyAlignment="1">
      <alignment horizontal="left"/>
    </xf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  <xf numFmtId="0" fontId="0" fillId="3" borderId="1" xfId="2" applyNumberFormat="1" applyFont="1" applyFill="1" applyBorder="1" applyAlignment="1">
      <alignment horizontal="left"/>
    </xf>
    <xf numFmtId="9" fontId="0" fillId="3" borderId="1" xfId="2" applyFont="1" applyFill="1" applyBorder="1" applyAlignment="1">
      <alignment horizontal="left"/>
    </xf>
    <xf numFmtId="0" fontId="1" fillId="0" borderId="2" xfId="0" applyFont="1" applyFill="1" applyBorder="1" applyAlignment="1">
      <alignment horizontal="center" vertical="top"/>
    </xf>
    <xf numFmtId="165" fontId="0" fillId="0" borderId="0" xfId="2" applyNumberFormat="1" applyFont="1"/>
    <xf numFmtId="14" fontId="3" fillId="3" borderId="1" xfId="0" applyNumberFormat="1" applyFont="1" applyFill="1" applyBorder="1" applyAlignment="1">
      <alignment horizontal="left"/>
    </xf>
    <xf numFmtId="14" fontId="1" fillId="0" borderId="2" xfId="0" applyNumberFormat="1" applyFont="1" applyFill="1" applyBorder="1" applyAlignment="1">
      <alignment horizontal="center" vertical="top"/>
    </xf>
    <xf numFmtId="165" fontId="2" fillId="3" borderId="2" xfId="2" applyNumberFormat="1" applyFill="1" applyBorder="1" applyAlignment="1">
      <alignment horizontal="left"/>
    </xf>
  </cellXfs>
  <cellStyles count="3">
    <cellStyle name="Обычный" xfId="0" builtinId="0"/>
    <cellStyle name="Процентный" xfId="2" builtinId="5"/>
    <cellStyle name="Финансовый" xfId="1" builtin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4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3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2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14</xdr:row>
      <xdr:rowOff>149678</xdr:rowOff>
    </xdr:from>
    <xdr:to>
      <xdr:col>11</xdr:col>
      <xdr:colOff>0</xdr:colOff>
      <xdr:row>20</xdr:row>
      <xdr:rowOff>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 txBox="1"/>
      </xdr:nvSpPr>
      <xdr:spPr>
        <a:xfrm>
          <a:off x="5610225" y="2997653"/>
          <a:ext cx="7791450" cy="1002847"/>
        </a:xfrm>
        <a:prstGeom prst="rect">
          <a:avLst/>
        </a:prstGeom>
        <a:solidFill>
          <a:schemeClr val="bg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600" b="1">
              <a:solidFill>
                <a:srgbClr val="FF0000"/>
              </a:solidFill>
            </a:rPr>
            <a:t>!!! ЛИСТ СОДЕРЖИТ ПРИМЕР</a:t>
          </a:r>
          <a:r>
            <a:rPr lang="ru-RU" sz="1600" b="1" baseline="0">
              <a:solidFill>
                <a:srgbClr val="FF0000"/>
              </a:solidFill>
            </a:rPr>
            <a:t> РАСЧЕТА !!!</a:t>
          </a:r>
        </a:p>
        <a:p>
          <a:r>
            <a:rPr lang="ru-RU" sz="1600" b="1" baseline="0">
              <a:solidFill>
                <a:schemeClr val="accent6">
                  <a:lumMod val="75000"/>
                </a:schemeClr>
              </a:solidFill>
            </a:rPr>
            <a:t>НЕОБХОДИМО ЗАМЕНИТЬ ЗНАЧЕНИЯ В ЦВЕТНЫХ ЯЧЕЙКАХ СВОИМИ ДАННЫМИ</a:t>
          </a:r>
        </a:p>
        <a:p>
          <a:r>
            <a:rPr lang="ru-RU" sz="1600" b="1" baseline="0">
              <a:solidFill>
                <a:srgbClr val="FF0000"/>
              </a:solidFill>
            </a:rPr>
            <a:t>АДРЕСА ЯЧЕЕК НЕ ИЗМЕНТЬ !!!</a:t>
          </a:r>
          <a:endParaRPr lang="ru-RU" sz="1600" b="1">
            <a:solidFill>
              <a:srgbClr val="FF0000"/>
            </a:solidFill>
          </a:endParaRP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ton" refreshedDate="46297.821861458331" createdVersion="8" refreshedVersion="8" minRefreshableVersion="3" recordCount="1004" xr:uid="{EFA74ADF-04D5-4BCE-817D-11B50823FB08}">
  <cacheSource type="worksheet">
    <worksheetSource ref="A1:E1048576" sheet="Задача 1(2)"/>
  </cacheSource>
  <cacheFields count="5">
    <cacheField name="ФИО менеджера" numFmtId="0">
      <sharedItems containsBlank="1" count="13">
        <s v="Семенова Ирина Валерьевна"/>
        <s v="Фролов Сергей Викторович"/>
        <s v="Громова Мария Ильинична"/>
        <s v="Петров Владимир Кириллович"/>
        <s v="Белов Алексей Константинович"/>
        <s v="Кузнецов Дмитрий Львович"/>
        <s v="Яковлев Артем Игоревич"/>
        <s v="Ткаченко Андрей Олегович"/>
        <s v="Иванова Анна Сергеевна"/>
        <s v="Сидорова Елена Васильевна"/>
        <s v="Новикова Ольга Петровна"/>
        <s v="Орлов Павел Денисович"/>
        <m/>
      </sharedItems>
    </cacheField>
    <cacheField name="ФИО клиента" numFmtId="0">
      <sharedItems containsBlank="1" count="194">
        <s v="Орлов Константин Станиславович"/>
        <s v="Степанов Дмитрий Иванович"/>
        <s v="Николаев Матвей Викторович"/>
        <s v="Семенова Светлана Дмитриевна"/>
        <s v="Лебедев Сергей Станиславович"/>
        <s v="Петров Роман Алексеевич"/>
        <s v="Смирнов Иван Ильич"/>
        <s v="Егорова Алиса Михайловна"/>
        <s v="Смирнов Илья Олегович"/>
        <s v="Васильев Дмитрий Иванович"/>
        <s v="Орлова Анна Романовна"/>
        <s v="Петрова Алиса Станиславовна"/>
        <s v="Петрова Елена Юрьевна"/>
        <s v="Новикова Виктория Александровна"/>
        <s v="Морозов Егор Андреевич"/>
        <s v="Кузнецова Алиса Владимировна"/>
        <s v="Кузнецов Максим Алексеевич"/>
        <s v="Павлов Сергей Артемович"/>
        <s v="Иванова Людмила Юрьевна"/>
        <s v="Петров Алексей Юрьевич"/>
        <s v="Степанов Александр Дмитриевич"/>
        <s v="Семенов Алексей Владимирович"/>
        <s v="Кузнецова Валерия Дмитриевна"/>
        <s v="Новиков Матвей Егорович"/>
        <s v="Петров Михаил Кириллович"/>
        <s v="Лебедева Александра Дмитриевна"/>
        <s v="Федоров Владимир Павлович"/>
        <s v="Алексеев Кирилл Иванович"/>
        <s v="Орлов Павел Юрьевич"/>
        <s v="Попов Никита Геннадьевич"/>
        <s v="Орлова Юлия Сергеевна"/>
        <s v="Степанова София Михайловна"/>
        <s v="Николаева София Никитична"/>
        <s v="Федорова Алиса Юрьевна"/>
        <s v="Семенов Роман Павлович"/>
        <s v="Орлова Анна Артемовна"/>
        <s v="Сидоров Дмитрий Владимирович"/>
        <s v="Петров Михаил Ильич"/>
        <s v="Морозов Никита Алексеевич"/>
        <s v="Сидоров Владимир Артемович"/>
        <s v="Морозов Максим Сергеевич"/>
        <s v="Волкова Виктория Павловна"/>
        <s v="Семенов Иван Павлович"/>
        <s v="Морозова Александра Станиславовна"/>
        <s v="Лебедева Ирина Кирилловна"/>
        <s v="Волков Максим Дмитриевич"/>
        <s v="Кузнецова Мария Дмитриевна"/>
        <s v="Федорова Ольга Кирилловна"/>
        <s v="Федорова Ксения Павловна"/>
        <s v="Козлов Алексей Романович"/>
        <s v="Петрова Александра Олеговна"/>
        <s v="Новикова Елена Геннадьевна"/>
        <s v="Николаев Георгий Сергеевич"/>
        <s v="Лебедев Сергей Алексеевич"/>
        <s v="Иванова Анна Егоровна"/>
        <s v="Орлова Ольга Алексеевна"/>
        <s v="Орлов Константин Никитич"/>
        <s v="Степанов Дмитрий Геннадьевич"/>
        <s v="Федоров Кирилл Алексеевич"/>
        <s v="Егоров Александр Александрович"/>
        <s v="Волкова Татьяна Станиславовна"/>
        <s v="Васильева Ксения Михайловна"/>
        <s v="Сидоров Никита Романович"/>
        <s v="Попов Михаил Павлович"/>
        <s v="Федорова Виктория Егоровна"/>
        <s v="Новикова Анна Викторовна"/>
        <s v="Петрова Александра Ильинична"/>
        <s v="Волкова Ирина Геннадьевна"/>
        <s v="Павлов Никита Иванович"/>
        <s v="Егоров Павел Сергеевич"/>
        <s v="Николаев Иван Михайлович"/>
        <s v="Степанова Анна Ивановна"/>
        <s v="Козлова Полина Артемовна"/>
        <s v="Федоров Артур Станиславович"/>
        <s v="Иванова Наталья Михайловна"/>
        <s v="Николаев Иван Сергеевич"/>
        <s v="Семенов Павел Юрьевич"/>
        <s v="Степанова Ольга Андреевна"/>
        <s v="Васильев Артур Артемович"/>
        <s v="Волкова Наталья Андреевна"/>
        <s v="Козлов Илья Сергеевич"/>
        <s v="Орлов Дмитрий Ильич"/>
        <s v="Сидоров Михаил Сергеевич"/>
        <s v="Козлова Татьяна Сергеевна"/>
        <s v="Смирнов Максим Сергеевич"/>
        <s v="Семенов Егор Никитич"/>
        <s v="Семенов Илья Андреевич"/>
        <s v="Степанова Полина Михайловна"/>
        <s v="Морозов Илья Геннадьевич"/>
        <s v="Алексеев Кирилл Сергеевич"/>
        <s v="Попова Людмила Егоровна"/>
        <s v="Павлов Матвей Владимирович"/>
        <s v="Кузнецов Алексей Егорович"/>
        <s v="Степанова Анна Станиславовна"/>
        <s v="Лебедев Никита Алексеевич"/>
        <s v="Козлова Светлана Михайловна"/>
        <s v="Федорова Алиса Викторовна"/>
        <s v="Семенов Константин Егорович"/>
        <s v="Васильев Владимир Дмитриевич"/>
        <s v="Сидорова Полина Олеговна"/>
        <s v="Иванов Андрей Андреевич"/>
        <s v="Федоров Егор Никитич"/>
        <s v="Степанов Сергей Егорович"/>
        <s v="Иванова Наталья Дмитриевна"/>
        <s v="Козлов Артем Викторович"/>
        <s v="Васильев Константин Дмитриевич"/>
        <s v="Лебедев Егор Никитич"/>
        <s v="Семенова Алиса Павловна"/>
        <s v="Орлов Андрей Никитич"/>
        <s v="Новиков Илья Кириллович"/>
        <s v="Николаева Наталья Геннадьевна"/>
        <s v="Новикова София Андреевна"/>
        <s v="Козлов Константин Александрович"/>
        <s v="Лебедев Матвей Сергеевич"/>
        <s v="Волкова София Владимировна"/>
        <s v="Волкова Валерия Алексеевна"/>
        <s v="Волкова Ольга Андреевна"/>
        <s v="Смирнов Константин Кириллович"/>
        <s v="Смирнова Татьяна Александровна"/>
        <s v="Федорова Наталья Геннадьевна"/>
        <s v="Петрова Татьяна Павловна"/>
        <s v="Петров Алексей Артемович"/>
        <s v="Сидорова Ольга Андреевна"/>
        <s v="Орлова Анна Юрьевна"/>
        <s v="Федоров Артур Олегович"/>
        <s v="Смирнова Елена Викторовна"/>
        <s v="Орлов Роман Ильич"/>
        <s v="Волков Сергей Иванович"/>
        <s v="Козлов Илья Егорович"/>
        <s v="Смирнов Александр Дмитриевич"/>
        <s v="Новиков Артем Павлович"/>
        <s v="Козлов Александр Дмитриевич"/>
        <s v="Иванов Роман Кириллович"/>
        <s v="Волков Алексей Егорович"/>
        <s v="Егорова Светлана Андреевна"/>
        <s v="Иванова Алиса Алексеевна"/>
        <s v="Новикова Людмила Владимировна"/>
        <s v="Степанов Константин Геннадьевич"/>
        <s v="Павлов Дмитрий Павлович"/>
        <s v="Волкова Ирина Сергеевна"/>
        <s v="Павлов Никита Андреевич"/>
        <s v="Лебедева Вероника Никитична"/>
        <s v="Васильев Илья Александрович"/>
        <s v="Волков Кирилл Юрьевич"/>
        <s v="Сидоров Егор Александрович"/>
        <s v="Козлова Ксения Ильинична"/>
        <s v="Петрова Ольга Сергеевна"/>
        <s v="Кузнецова Анна Павловна"/>
        <s v="Морозова Светлана Ивановна"/>
        <s v="Семенов Михаил Егорович"/>
        <s v="Смирнова Людмила Олеговна"/>
        <s v="Новиков Егор Юрьевич"/>
        <s v="Федорова София Егоровна"/>
        <s v="Лебедева Ольга Романовна"/>
        <s v="Павлова София Романовна"/>
        <s v="Новикова Юлия Егоровна"/>
        <s v="Васильев Иван Олегович"/>
        <s v="Новикова Алиса Ивановна"/>
        <s v="Смирнова Алиса Михайловна"/>
        <s v="Лебедева Екатерина Олеговна"/>
        <s v="Васильев Максим Иванович"/>
        <s v="Степанов Александр Андреевич"/>
        <s v="Волков Иван Юрьевич"/>
        <s v="Егоров Дмитрий Дмитриевич"/>
        <s v="Новиков Павел Олегович"/>
        <s v="Смирнов Роман Юрьевич"/>
        <s v="Попов Илья Сергеевич"/>
        <s v="Лебедева Алиса Ивановна"/>
        <s v="Семенова Наталья Олеговна"/>
        <s v="Федоров Илья Егорович"/>
        <s v="Васильева Ольга Ильинична"/>
        <s v="Лебедева Алиса Дмитриевна"/>
        <s v="Орлов Кирилл Романович"/>
        <s v="Орлова Ольга Егоровна"/>
        <s v="Волкова Вероника Владимировна"/>
        <s v="Смирнов Александр Иванович"/>
        <s v="Федоров Егор Михайлович"/>
        <s v="Семенов Артем Станиславович"/>
        <s v="Егорова Татьяна Романовна"/>
        <s v="Егорова Вероника Егоровна"/>
        <s v="Васильева Ольга Кирилловна"/>
        <s v="Иванов Роман Ильич"/>
        <s v="Сидорова Людмила Никитична"/>
        <s v="Новиков Михаил Павлович"/>
        <s v="Алексеев Илья Владимирович"/>
        <s v="Козлов Павел Андреевич"/>
        <s v="Орлов Дмитрий Павлович"/>
        <s v="Петрова Александра Романовна"/>
        <s v="Васильева Татьяна Павловна"/>
        <s v="Егорова Екатерина Артемовна"/>
        <s v="Егоров Никита Кириллович"/>
        <s v="Смирнова Светлана Кирилловна"/>
        <s v="Волкова Ольга Геннадьевна"/>
        <m/>
      </sharedItems>
    </cacheField>
    <cacheField name="Дата первой сделки" numFmtId="14">
      <sharedItems containsBlank="1"/>
    </cacheField>
    <cacheField name="Дата последней сделки" numFmtId="14">
      <sharedItems containsBlank="1"/>
    </cacheField>
    <cacheField name="Дни" numFmtId="0">
      <sharedItems containsString="0" containsBlank="1" containsNumber="1" containsInteger="1" minValue="0" maxValue="36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ton" refreshedDate="46297.83511122685" createdVersion="8" refreshedVersion="8" minRefreshableVersion="3" recordCount="1001" xr:uid="{5F4C3E2A-4A45-4DAD-AE35-2F9127631CE6}">
  <cacheSource type="worksheet">
    <worksheetSource ref="A1:D1048576" sheet="Данные"/>
  </cacheSource>
  <cacheFields count="4">
    <cacheField name="ФИО менеджера" numFmtId="0">
      <sharedItems containsBlank="1"/>
    </cacheField>
    <cacheField name="ФИО клиента" numFmtId="0">
      <sharedItems containsBlank="1" count="194">
        <s v="Волкова Валерия Алексеевна"/>
        <s v="Морозов Егор Андреевич"/>
        <s v="Орлов Константин Станиславович"/>
        <s v="Иванова Наталья Дмитриевна"/>
        <s v="Николаев Матвей Викторович"/>
        <s v="Козлова Полина Артемовна"/>
        <s v="Орлова Анна Романовна"/>
        <s v="Лебедева Александра Дмитриевна"/>
        <s v="Волкова Ольга Андреевна"/>
        <s v="Петров Алексей Юрьевич"/>
        <s v="Волкова Наталья Андреевна"/>
        <s v="Смирнов Илья Олегович"/>
        <s v="Козлова Татьяна Сергеевна"/>
        <s v="Васильев Артур Артемович"/>
        <s v="Сидоров Владимир Артемович"/>
        <s v="Новиков Матвей Егорович"/>
        <s v="Семенов Алексей Владимирович"/>
        <s v="Павлов Никита Иванович"/>
        <s v="Смирнов Константин Кириллович"/>
        <s v="Смирнова Татьяна Александровна"/>
        <s v="Семенова Светлана Дмитриевна"/>
        <s v="Кузнецова Мария Дмитриевна"/>
        <s v="Федорова Наталья Геннадьевна"/>
        <s v="Кузнецова Алиса Владимировна"/>
        <s v="Петрова Татьяна Павловна"/>
        <s v="Смирнов Максим Сергеевич"/>
        <s v="Степанова Полина Михайловна"/>
        <s v="Петров Алексей Артемович"/>
        <s v="Сидорова Ольга Андреевна"/>
        <s v="Кузнецов Максим Алексеевич"/>
        <s v="Морозова Александра Станиславовна"/>
        <s v="Васильева Ксения Михайловна"/>
        <s v="Козлов Илья Сергеевич"/>
        <s v="Лебедев Сергей Станиславович"/>
        <s v="Орлова Анна Юрьевна"/>
        <s v="Федоров Владимир Павлович"/>
        <s v="Федоров Артур Олегович"/>
        <s v="Петрова Алиса Станиславовна"/>
        <s v="Смирнова Елена Викторовна"/>
        <s v="Морозов Илья Геннадьевич"/>
        <s v="Попов Никита Геннадьевич"/>
        <s v="Степанов Дмитрий Иванович"/>
        <s v="Волкова Ирина Геннадьевна"/>
        <s v="Орлов Роман Ильич"/>
        <s v="Лебедева Ирина Кирилловна"/>
        <s v="Волков Сергей Иванович"/>
        <s v="Петров Роман Алексеевич"/>
        <s v="Степанова София Михайловна"/>
        <s v="Петров Михаил Кириллович"/>
        <s v="Козлов Илья Егорович"/>
        <s v="Волков Максим Дмитриевич"/>
        <s v="Орлова Ольга Алексеевна"/>
        <s v="Семенов Илья Андреевич"/>
        <s v="Смирнов Александр Дмитриевич"/>
        <s v="Новиков Артем Павлович"/>
        <s v="Козлов Александр Дмитриевич"/>
        <s v="Волкова Татьяна Станиславовна"/>
        <s v="Алексеев Кирилл Иванович"/>
        <s v="Иванов Роман Кириллович"/>
        <s v="Морозов Никита Алексеевич"/>
        <s v="Лебедев Никита Алексеевич"/>
        <s v="Николаев Иван Михайлович"/>
        <s v="Иванова Анна Егоровна"/>
        <s v="Волков Алексей Егорович"/>
        <s v="Лебедев Сергей Алексеевич"/>
        <s v="Новикова Виктория Александровна"/>
        <s v="Новикова Елена Геннадьевна"/>
        <s v="Семенов Иван Павлович"/>
        <s v="Сидорова Полина Олеговна"/>
        <s v="Орлов Дмитрий Ильич"/>
        <s v="Егорова Светлана Андреевна"/>
        <s v="Степанова Анна Станиславовна"/>
        <s v="Иванова Алиса Алексеевна"/>
        <s v="Новикова Людмила Владимировна"/>
        <s v="Смирнов Иван Ильич"/>
        <s v="Петрова Елена Юрьевна"/>
        <s v="Егорова Алиса Михайловна"/>
        <s v="Степанов Константин Геннадьевич"/>
        <s v="Сидоров Никита Романович"/>
        <s v="Павлов Дмитрий Павлович"/>
        <s v="Волкова Ирина Сергеевна"/>
        <s v="Козлов Артем Викторович"/>
        <s v="Васильев Дмитрий Иванович"/>
        <s v="Васильев Константин Дмитриевич"/>
        <s v="Семенов Павел Юрьевич"/>
        <s v="Волкова Виктория Павловна"/>
        <s v="Павлов Никита Андреевич"/>
        <s v="Степанов Дмитрий Геннадьевич"/>
        <s v="Лебедева Вероника Никитична"/>
        <s v="Егоров Павел Сергеевич"/>
        <s v="Лебедев Егор Никитич"/>
        <s v="Васильев Илья Александрович"/>
        <s v="Петрова Александра Олеговна"/>
        <s v="Орлова Анна Артемовна"/>
        <s v="Орлов Андрей Никитич"/>
        <s v="Павлов Сергей Артемович"/>
        <s v="Попов Михаил Павлович"/>
        <s v="Иванова Людмила Юрьевна"/>
        <s v="Степанов Александр Дмитриевич"/>
        <s v="Волков Кирилл Юрьевич"/>
        <s v="Павлов Матвей Владимирович"/>
        <s v="Сидоров Егор Александрович"/>
        <s v="Сидоров Дмитрий Владимирович"/>
        <s v="Козлов Алексей Романович"/>
        <s v="Орлова Юлия Сергеевна"/>
        <s v="Козлова Ксения Ильинична"/>
        <s v="Петрова Ольга Сергеевна"/>
        <s v="Кузнецова Анна Павловна"/>
        <s v="Васильев Владимир Дмитриевич"/>
        <s v="Морозова Светлана Ивановна"/>
        <s v="Федорова Ольга Кирилловна"/>
        <s v="Семенов Михаил Егорович"/>
        <s v="Федоров Егор Никитич"/>
        <s v="Козлов Константин Александрович"/>
        <s v="Николаева София Никитична"/>
        <s v="Петров Михаил Ильич"/>
        <s v="Иванова Наталья Михайловна"/>
        <s v="Смирнова Людмила Олеговна"/>
        <s v="Новиков Егор Юрьевич"/>
        <s v="Федорова София Егоровна"/>
        <s v="Степанов Сергей Егорович"/>
        <s v="Лебедева Ольга Романовна"/>
        <s v="Сидоров Михаил Сергеевич"/>
        <s v="Семенов Константин Егорович"/>
        <s v="Иванов Андрей Андреевич"/>
        <s v="Николаев Георгий Сергеевич"/>
        <s v="Федорова Ксения Павловна"/>
        <s v="Семенов Роман Павлович"/>
        <s v="Павлова София Романовна"/>
        <s v="Новикова Юлия Егоровна"/>
        <s v="Васильев Иван Олегович"/>
        <s v="Новикова Алиса Ивановна"/>
        <s v="Смирнова Алиса Михайловна"/>
        <s v="Алексеев Кирилл Сергеевич"/>
        <s v="Лебедева Екатерина Олеговна"/>
        <s v="Новикова Анна Викторовна"/>
        <s v="Васильев Максим Иванович"/>
        <s v="Степанов Александр Андреевич"/>
        <s v="Семенов Егор Никитич"/>
        <s v="Попова Людмила Егоровна"/>
        <s v="Волков Иван Юрьевич"/>
        <s v="Степанова Анна Ивановна"/>
        <s v="Кузнецова Валерия Дмитриевна"/>
        <s v="Егоров Дмитрий Дмитриевич"/>
        <s v="Новиков Павел Олегович"/>
        <s v="Орлов Павел Юрьевич"/>
        <s v="Смирнов Роман Юрьевич"/>
        <s v="Федорова Алиса Юрьевна"/>
        <s v="Попов Илья Сергеевич"/>
        <s v="Орлов Константин Никитич"/>
        <s v="Морозов Максим Сергеевич"/>
        <s v="Лебедева Алиса Ивановна"/>
        <s v="Лебедев Матвей Сергеевич"/>
        <s v="Кузнецов Алексей Егорович"/>
        <s v="Новиков Илья Кириллович"/>
        <s v="Семенова Наталья Олеговна"/>
        <s v="Федоров Илья Егорович"/>
        <s v="Николаева Наталья Геннадьевна"/>
        <s v="Федорова Виктория Егоровна"/>
        <s v="Козлова Светлана Михайловна"/>
        <s v="Васильева Ольга Ильинична"/>
        <s v="Лебедева Алиса Дмитриевна"/>
        <s v="Орлов Кирилл Романович"/>
        <s v="Орлова Ольга Егоровна"/>
        <s v="Егоров Александр Александрович"/>
        <s v="Федоров Кирилл Алексеевич"/>
        <s v="Волкова София Владимировна"/>
        <s v="Волкова Вероника Владимировна"/>
        <s v="Смирнов Александр Иванович"/>
        <s v="Федоров Егор Михайлович"/>
        <s v="Семенов Артем Станиславович"/>
        <s v="Егорова Татьяна Романовна"/>
        <s v="Егорова Вероника Егоровна"/>
        <s v="Новикова София Андреевна"/>
        <s v="Степанова Ольга Андреевна"/>
        <s v="Федоров Артур Станиславович"/>
        <s v="Васильева Ольга Кирилловна"/>
        <s v="Иванов Роман Ильич"/>
        <s v="Сидорова Людмила Никитична"/>
        <s v="Новиков Михаил Павлович"/>
        <s v="Алексеев Илья Владимирович"/>
        <s v="Николаев Иван Сергеевич"/>
        <s v="Петрова Александра Ильинична"/>
        <s v="Семенова Алиса Павловна"/>
        <s v="Козлов Павел Андреевич"/>
        <s v="Орлов Дмитрий Павлович"/>
        <s v="Петрова Александра Романовна"/>
        <s v="Васильева Татьяна Павловна"/>
        <s v="Егорова Екатерина Артемовна"/>
        <s v="Егоров Никита Кириллович"/>
        <s v="Смирнова Светлана Кирилловна"/>
        <s v="Федорова Алиса Викторовна"/>
        <s v="Волкова Ольга Геннадьевна"/>
        <m/>
      </sharedItems>
    </cacheField>
    <cacheField name="Дата сделки" numFmtId="0">
      <sharedItems containsBlank="1"/>
    </cacheField>
    <cacheField name="Сумма сделки" numFmtId="0">
      <sharedItems containsString="0" containsBlank="1" containsNumber="1" containsInteger="1" minValue="10110" maxValue="9994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ton" refreshedDate="46297.855683680558" createdVersion="8" refreshedVersion="8" minRefreshableVersion="3" recordCount="1002" xr:uid="{2A8F2DFB-A056-4F02-A311-C73A914E1C2C}">
  <cacheSource type="worksheet">
    <worksheetSource ref="J1:K1048576" sheet="Задача 2"/>
  </cacheSource>
  <cacheFields count="2">
    <cacheField name="ФИО менеджера" numFmtId="0">
      <sharedItems containsBlank="1"/>
    </cacheField>
    <cacheField name="ФИО клиента" numFmtId="0">
      <sharedItems containsBlank="1" count="194">
        <s v="Волкова Валерия Алексеевна"/>
        <s v="Морозов Егор Андреевич"/>
        <s v="Орлов Константин Станиславович"/>
        <s v="Иванова Наталья Дмитриевна"/>
        <s v="Николаев Матвей Викторович"/>
        <s v="Козлова Полина Артемовна"/>
        <s v="Орлова Анна Романовна"/>
        <s v="Лебедева Александра Дмитриевна"/>
        <s v="Волкова Ольга Андреевна"/>
        <s v="Петров Алексей Юрьевич"/>
        <s v="Волкова Наталья Андреевна"/>
        <s v="Смирнов Илья Олегович"/>
        <s v="Козлова Татьяна Сергеевна"/>
        <s v="Васильев Артур Артемович"/>
        <s v="Сидоров Владимир Артемович"/>
        <s v="Новиков Матвей Егорович"/>
        <s v="Семенов Алексей Владимирович"/>
        <s v="Павлов Никита Иванович"/>
        <s v="Смирнов Константин Кириллович"/>
        <s v="Смирнова Татьяна Александровна"/>
        <s v="Семенова Светлана Дмитриевна"/>
        <s v="Кузнецова Мария Дмитриевна"/>
        <s v="Федорова Наталья Геннадьевна"/>
        <s v="Кузнецова Алиса Владимировна"/>
        <s v="Петрова Татьяна Павловна"/>
        <s v="Смирнов Максим Сергеевич"/>
        <s v="Степанова Полина Михайловна"/>
        <s v="Петров Алексей Артемович"/>
        <s v="Сидорова Ольга Андреевна"/>
        <s v="Кузнецов Максим Алексеевич"/>
        <s v="Морозова Александра Станиславовна"/>
        <s v="Васильева Ксения Михайловна"/>
        <s v="Козлов Илья Сергеевич"/>
        <s v="Лебедев Сергей Станиславович"/>
        <s v="Орлова Анна Юрьевна"/>
        <s v="Федоров Владимир Павлович"/>
        <s v="Федоров Артур Олегович"/>
        <s v="Петрова Алиса Станиславовна"/>
        <s v="Смирнова Елена Викторовна"/>
        <s v="Морозов Илья Геннадьевич"/>
        <s v="Попов Никита Геннадьевич"/>
        <s v="Степанов Дмитрий Иванович"/>
        <s v="Волкова Ирина Геннадьевна"/>
        <s v="Орлов Роман Ильич"/>
        <s v="Лебедева Ирина Кирилловна"/>
        <s v="Волков Сергей Иванович"/>
        <s v="Петров Роман Алексеевич"/>
        <s v="Степанова София Михайловна"/>
        <s v="Петров Михаил Кириллович"/>
        <s v="Козлов Илья Егорович"/>
        <s v="Волков Максим Дмитриевич"/>
        <s v="Орлова Ольга Алексеевна"/>
        <s v="Семенов Илья Андреевич"/>
        <s v="Смирнов Александр Дмитриевич"/>
        <s v="Новиков Артем Павлович"/>
        <s v="Козлов Александр Дмитриевич"/>
        <s v="Волкова Татьяна Станиславовна"/>
        <s v="Алексеев Кирилл Иванович"/>
        <s v="Иванов Роман Кириллович"/>
        <s v="Морозов Никита Алексеевич"/>
        <s v="Лебедев Никита Алексеевич"/>
        <s v="Николаев Иван Михайлович"/>
        <s v="Иванова Анна Егоровна"/>
        <s v="Волков Алексей Егорович"/>
        <s v="Лебедев Сергей Алексеевич"/>
        <s v="Новикова Виктория Александровна"/>
        <s v="Новикова Елена Геннадьевна"/>
        <s v="Семенов Иван Павлович"/>
        <s v="Сидорова Полина Олеговна"/>
        <s v="Орлов Дмитрий Ильич"/>
        <s v="Егорова Светлана Андреевна"/>
        <s v="Степанова Анна Станиславовна"/>
        <s v="Иванова Алиса Алексеевна"/>
        <s v="Новикова Людмила Владимировна"/>
        <s v="Смирнов Иван Ильич"/>
        <s v="Петрова Елена Юрьевна"/>
        <s v="Егорова Алиса Михайловна"/>
        <s v="Степанов Константин Геннадьевич"/>
        <s v="Сидоров Никита Романович"/>
        <s v="Павлов Дмитрий Павлович"/>
        <s v="Волкова Ирина Сергеевна"/>
        <s v="Козлов Артем Викторович"/>
        <s v="Васильев Дмитрий Иванович"/>
        <s v="Васильев Константин Дмитриевич"/>
        <s v="Семенов Павел Юрьевич"/>
        <s v="Волкова Виктория Павловна"/>
        <s v="Павлов Никита Андреевич"/>
        <s v="Степанов Дмитрий Геннадьевич"/>
        <s v="Лебедева Вероника Никитична"/>
        <s v="Егоров Павел Сергеевич"/>
        <s v="Лебедев Егор Никитич"/>
        <s v="Васильев Илья Александрович"/>
        <s v="Петрова Александра Олеговна"/>
        <s v="Орлова Анна Артемовна"/>
        <s v="Орлов Андрей Никитич"/>
        <s v="Павлов Сергей Артемович"/>
        <s v="Попов Михаил Павлович"/>
        <s v="Иванова Людмила Юрьевна"/>
        <s v="Степанов Александр Дмитриевич"/>
        <s v="Волков Кирилл Юрьевич"/>
        <s v="Павлов Матвей Владимирович"/>
        <s v="Сидоров Егор Александрович"/>
        <s v="Сидоров Дмитрий Владимирович"/>
        <s v="Козлов Алексей Романович"/>
        <s v="Орлова Юлия Сергеевна"/>
        <s v="Козлова Ксения Ильинична"/>
        <s v="Петрова Ольга Сергеевна"/>
        <s v="Кузнецова Анна Павловна"/>
        <s v="Васильев Владимир Дмитриевич"/>
        <s v="Морозова Светлана Ивановна"/>
        <s v="Федорова Ольга Кирилловна"/>
        <s v="Семенов Михаил Егорович"/>
        <s v="Федоров Егор Никитич"/>
        <s v="Козлов Константин Александрович"/>
        <s v="Николаева София Никитична"/>
        <s v="Петров Михаил Ильич"/>
        <s v="Иванова Наталья Михайловна"/>
        <s v="Смирнова Людмила Олеговна"/>
        <s v="Новиков Егор Юрьевич"/>
        <s v="Федорова София Егоровна"/>
        <s v="Степанов Сергей Егорович"/>
        <s v="Лебедева Ольга Романовна"/>
        <s v="Сидоров Михаил Сергеевич"/>
        <s v="Семенов Константин Егорович"/>
        <s v="Иванов Андрей Андреевич"/>
        <s v="Николаев Георгий Сергеевич"/>
        <s v="Федорова Ксения Павловна"/>
        <s v="Семенов Роман Павлович"/>
        <s v="Павлова София Романовна"/>
        <s v="Новикова Юлия Егоровна"/>
        <s v="Васильев Иван Олегович"/>
        <s v="Новикова Алиса Ивановна"/>
        <s v="Смирнова Алиса Михайловна"/>
        <s v="Алексеев Кирилл Сергеевич"/>
        <s v="Лебедева Екатерина Олеговна"/>
        <s v="Новикова Анна Викторовна"/>
        <s v="Васильев Максим Иванович"/>
        <s v="Степанов Александр Андреевич"/>
        <s v="Семенов Егор Никитич"/>
        <s v="Попова Людмила Егоровна"/>
        <s v="Волков Иван Юрьевич"/>
        <s v="Степанова Анна Ивановна"/>
        <s v="Кузнецова Валерия Дмитриевна"/>
        <s v="Егоров Дмитрий Дмитриевич"/>
        <s v="Новиков Павел Олегович"/>
        <s v="Орлов Павел Юрьевич"/>
        <s v="Смирнов Роман Юрьевич"/>
        <s v="Федорова Алиса Юрьевна"/>
        <s v="Попов Илья Сергеевич"/>
        <s v="Орлов Константин Никитич"/>
        <s v="Морозов Максим Сергеевич"/>
        <s v="Лебедева Алиса Ивановна"/>
        <s v="Лебедев Матвей Сергеевич"/>
        <s v="Кузнецов Алексей Егорович"/>
        <s v="Новиков Илья Кириллович"/>
        <s v="Семенова Наталья Олеговна"/>
        <s v="Федоров Илья Егорович"/>
        <s v="Николаева Наталья Геннадьевна"/>
        <s v="Федорова Виктория Егоровна"/>
        <s v="Козлова Светлана Михайловна"/>
        <s v="Васильева Ольга Ильинична"/>
        <s v="Лебедева Алиса Дмитриевна"/>
        <s v="Орлов Кирилл Романович"/>
        <s v="Орлова Ольга Егоровна"/>
        <s v="Егоров Александр Александрович"/>
        <s v="Федоров Кирилл Алексеевич"/>
        <s v="Волкова София Владимировна"/>
        <s v="Волкова Вероника Владимировна"/>
        <s v="Смирнов Александр Иванович"/>
        <s v="Федоров Егор Михайлович"/>
        <s v="Семенов Артем Станиславович"/>
        <s v="Егорова Татьяна Романовна"/>
        <s v="Егорова Вероника Егоровна"/>
        <s v="Новикова София Андреевна"/>
        <s v="Степанова Ольга Андреевна"/>
        <s v="Федоров Артур Станиславович"/>
        <s v="Васильева Ольга Кирилловна"/>
        <s v="Иванов Роман Ильич"/>
        <s v="Сидорова Людмила Никитична"/>
        <s v="Новиков Михаил Павлович"/>
        <s v="Алексеев Илья Владимирович"/>
        <s v="Николаев Иван Сергеевич"/>
        <s v="Петрова Александра Ильинична"/>
        <s v="Семенова Алиса Павловна"/>
        <s v="Козлов Павел Андреевич"/>
        <s v="Орлов Дмитрий Павлович"/>
        <s v="Петрова Александра Романовна"/>
        <s v="Васильева Татьяна Павловна"/>
        <s v="Егорова Екатерина Артемовна"/>
        <s v="Егоров Никита Кириллович"/>
        <s v="Смирнова Светлана Кирилловна"/>
        <s v="Федорова Алиса Викторовна"/>
        <s v="Волкова Ольга Геннадьевна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ton" refreshedDate="46297.900311689817" createdVersion="8" refreshedVersion="8" minRefreshableVersion="3" recordCount="1002" xr:uid="{4F54BE3A-0716-40C6-B7C2-B75FBB827C84}">
  <cacheSource type="worksheet">
    <worksheetSource ref="R1:Y1048576" sheet="Задача 3_2"/>
  </cacheSource>
  <cacheFields count="8">
    <cacheField name="ФИО менеджера" numFmtId="0">
      <sharedItems containsBlank="1" count="13">
        <s v="Белов Алексей Константинович"/>
        <s v="Громова Мария Ильинична"/>
        <s v="Иванова Анна Сергеевна"/>
        <s v="Кузнецов Дмитрий Львович"/>
        <s v="Новикова Ольга Петровна"/>
        <s v="Орлов Павел Денисович"/>
        <s v="Петров Владимир Кириллович"/>
        <s v="Семенова Ирина Валерьевна"/>
        <s v="Сидорова Елена Васильевна"/>
        <s v="Ткаченко Андрей Олегович"/>
        <s v="Фролов Сергей Викторович"/>
        <s v="Яковлев Артем Игоревич"/>
        <m/>
      </sharedItems>
    </cacheField>
    <cacheField name="ФИО клиента" numFmtId="0">
      <sharedItems containsBlank="1" count="194">
        <s v="Смирнов Илья Олегович"/>
        <s v="Новиков Матвей Егорович"/>
        <s v="Васильева Ксения Михайловна"/>
        <s v="Волкова Татьяна Станиславовна"/>
        <s v="Иванов Роман Кириллович"/>
        <s v="Егорова Алиса Михайловна"/>
        <s v="Васильев Константин Дмитриевич"/>
        <s v="Волкова Виктория Павловна"/>
        <s v="Петров Алексей Юрьевич"/>
        <s v="Орлова Анна Артемовна"/>
        <s v="Степанова Полина Михайловна"/>
        <s v="Кузнецова Алиса Владимировна"/>
        <s v="Семенов Павел Юрьевич"/>
        <s v="Алексеев Кирилл Иванович"/>
        <s v="Петрова Алиса Станиславовна"/>
        <s v="Смирнова Елена Викторовна"/>
        <s v="Алексеев Кирилл Сергеевич"/>
        <s v="Федорова София Егоровна"/>
        <s v="Орлова Ольга Алексеевна"/>
        <s v="Семенов Иван Павлович"/>
        <s v="Морозова Александра Станиславовна"/>
        <s v="Степанов Александр Дмитриевич"/>
        <s v="Кузнецов Максим Алексеевич"/>
        <s v="Федоров Владимир Павлович"/>
        <s v="Степанов Александр Андреевич"/>
        <s v="Петров Михаил Ильич"/>
        <s v="Лебедев Матвей Сергеевич"/>
        <s v="Лебедев Сергей Алексеевич"/>
        <s v="Новиков Егор Юрьевич"/>
        <s v="Николаева Наталья Геннадьевна"/>
        <s v="Федоров Артур Олегович"/>
        <s v="Козлова Татьяна Сергеевна"/>
        <s v="Попова Людмила Егоровна"/>
        <s v="Семенов Егор Никитич"/>
        <s v="Новикова Алиса Ивановна"/>
        <s v="Федоров Кирилл Алексеевич"/>
        <s v="Николаев Иван Михайлович"/>
        <s v="Орлов Андрей Никитич"/>
        <s v="Орлов Кирилл Романович"/>
        <s v="Семенов Алексей Владимирович"/>
        <s v="Смирнов Иван Ильич"/>
        <s v="Орлова Ольга Егоровна"/>
        <s v="Новиков Михаил Павлович"/>
        <s v="Орлов Павел Юрьевич"/>
        <s v="Сидоров Михаил Сергеевич"/>
        <s v="Федорова Наталья Геннадьевна"/>
        <s v="Егорова Светлана Андреевна"/>
        <s v="Смирнова Татьяна Александровна"/>
        <s v="Васильева Ольга Кирилловна"/>
        <s v="Васильев Илья Александрович"/>
        <s v="Попов Никита Геннадьевич"/>
        <s v="Семенов Артем Станиславович"/>
        <s v="Семенов Константин Егорович"/>
        <s v="Степанова Ольга Андреевна"/>
        <s v="Алексеев Илья Владимирович"/>
        <s v="Семенова Наталья Олеговна"/>
        <s v="Лебедев Сергей Станиславович"/>
        <s v="Орлов Константин Никитич"/>
        <s v="Иванова Алиса Алексеевна"/>
        <s v="Лебедев Егор Никитич"/>
        <s v="Козлов Илья Сергеевич"/>
        <s v="Егоров Никита Кириллович"/>
        <s v="Волков Алексей Егорович"/>
        <s v="Орлов Константин Станиславович"/>
        <s v="Волкова Валерия Алексеевна"/>
        <s v="Николаев Матвей Викторович"/>
        <s v="Орлова Анна Юрьевна"/>
        <s v="Лебедева Ирина Кирилловна"/>
        <s v="Лебедев Никита Алексеевич"/>
        <s v="Сидорова Полина Олеговна"/>
        <s v="Новикова Людмила Владимировна"/>
        <s v="Степанов Константин Геннадьевич"/>
        <s v="Сидоров Никита Романович"/>
        <s v="Петрова Ольга Сергеевна"/>
        <s v="Кузнецова Анна Павловна"/>
        <s v="Новикова Виктория Александровна"/>
        <s v="Иванов Андрей Андреевич"/>
        <s v="Николаев Георгий Сергеевич"/>
        <s v="Семенов Роман Павлович"/>
        <s v="Новикова Юлия Егоровна"/>
        <s v="Васильев Иван Олегович"/>
        <s v="Иванова Наталья Дмитриевна"/>
        <s v="Васильев Дмитрий Иванович"/>
        <s v="Васильев Артур Артемович"/>
        <s v="Степанов Дмитрий Иванович"/>
        <s v="Сидорова Ольга Андреевна"/>
        <s v="Новиков Павел Олегович"/>
        <s v="Павлов Матвей Владимирович"/>
        <s v="Семенова Светлана Дмитриевна"/>
        <s v="Павлов Сергей Артемович"/>
        <s v="Попов Илья Сергеевич"/>
        <s v="Федорова Ксения Павловна"/>
        <s v="Смирнов Роман Юрьевич"/>
        <s v="Сидорова Людмила Никитична"/>
        <s v="Козлов Павел Андреевич"/>
        <s v="Орлова Анна Романовна"/>
        <s v="Смирнов Максим Сергеевич"/>
        <s v="Волков Максим Дмитриевич"/>
        <s v="Иванова Людмила Юрьевна"/>
        <s v="Смирнова Людмила Олеговна"/>
        <s v="Смирнова Алиса Михайловна"/>
        <s v="Егоров Дмитрий Дмитриевич"/>
        <s v="Волкова Ольга Геннадьевна"/>
        <s v="Волкова Ольга Андреевна"/>
        <s v="Сидоров Владимир Артемович"/>
        <s v="Павлов Никита Иванович"/>
        <s v="Орлов Дмитрий Ильич"/>
        <s v="Павлов Никита Андреевич"/>
        <s v="Егоров Павел Сергеевич"/>
        <s v="Петрова Татьяна Павловна"/>
        <s v="Федорова Ольга Кирилловна"/>
        <s v="Козлов Константин Александрович"/>
        <s v="Павлова София Романовна"/>
        <s v="Степанов Дмитрий Геннадьевич"/>
        <s v="Петрова Елена Юрьевна"/>
        <s v="Морозов Никита Алексеевич"/>
        <s v="Лебедева Вероника Никитична"/>
        <s v="Попов Михаил Павлович"/>
        <s v="Козлов Алексей Романович"/>
        <s v="Лебедева Ольга Романовна"/>
        <s v="Семенов Илья Андреевич"/>
        <s v="Волков Сергей Иванович"/>
        <s v="Морозов Максим Сергеевич"/>
        <s v="Степанова София Михайловна"/>
        <s v="Козлов Артем Викторович"/>
        <s v="Морозов Егор Андреевич"/>
        <s v="Морозов Илья Геннадьевич"/>
        <s v="Орлова Юлия Сергеевна"/>
        <s v="Сидоров Дмитрий Владимирович"/>
        <s v="Новикова Анна Викторовна"/>
        <s v="Степанов Сергей Егорович"/>
        <s v="Лебедева Александра Дмитриевна"/>
        <s v="Козлова Полина Артемовна"/>
        <s v="Степанова Анна Станиславовна"/>
        <s v="Волкова Ирина Сергеевна"/>
        <s v="Федоров Егор Никитич"/>
        <s v="Новиков Илья Кириллович"/>
        <s v="Волкова Вероника Владимировна"/>
        <s v="Смирнов Константин Кириллович"/>
        <s v="Кузнецова Мария Дмитриевна"/>
        <s v="Васильев Максим Иванович"/>
        <s v="Степанова Анна Ивановна"/>
        <s v="Козлова Ксения Ильинична"/>
        <s v="Петрова Александра Ильинична"/>
        <s v="Егорова Татьяна Романовна"/>
        <s v="Кузнецов Алексей Егорович"/>
        <s v="Федоров Артур Станиславович"/>
        <s v="Федоров Егор Михайлович"/>
        <s v="Петрова Александра Олеговна"/>
        <s v="Иванова Анна Егоровна"/>
        <s v="Семенов Михаил Егорович"/>
        <s v="Петров Алексей Артемович"/>
        <s v="Федорова Виктория Егоровна"/>
        <s v="Козлова Светлана Михайловна"/>
        <s v="Егоров Александр Александрович"/>
        <s v="Сидоров Егор Александрович"/>
        <s v="Волков Кирилл Юрьевич"/>
        <s v="Козлов Илья Егорович"/>
        <s v="Николаев Иван Сергеевич"/>
        <s v="Волкова Наталья Андреевна"/>
        <s v="Васильева Ольга Ильинична"/>
        <s v="Волков Иван Юрьевич"/>
        <s v="Лебедева Екатерина Олеговна"/>
        <s v="Егорова Вероника Егоровна"/>
        <s v="Смирнов Александр Иванович"/>
        <s v="Николаева София Никитична"/>
        <s v="Орлов Роман Ильич"/>
        <s v="Павлов Дмитрий Павлович"/>
        <s v="Лебедева Алиса Ивановна"/>
        <s v="Васильев Владимир Дмитриевич"/>
        <s v="Федорова Алиса Юрьевна"/>
        <s v="Новикова София Андреевна"/>
        <s v="Козлов Александр Дмитриевич"/>
        <s v="Волкова София Владимировна"/>
        <s v="Федоров Илья Егорович"/>
        <s v="Смирнова Светлана Кирилловна"/>
        <s v="Морозова Светлана Ивановна"/>
        <s v="Новикова Елена Геннадьевна"/>
        <s v="Петров Роман Алексеевич"/>
        <s v="Иванов Роман Ильич"/>
        <s v="Федорова Алиса Викторовна"/>
        <s v="Смирнов Александр Дмитриевич"/>
        <s v="Семенова Алиса Павловна"/>
        <s v="Васильева Татьяна Павловна"/>
        <s v="Петров Михаил Кириллович"/>
        <s v="Лебедева Алиса Дмитриевна"/>
        <s v="Волкова Ирина Геннадьевна"/>
        <s v="Новиков Артем Павлович"/>
        <s v="Иванова Наталья Михайловна"/>
        <s v="Кузнецова Валерия Дмитриевна"/>
        <s v="Орлов Дмитрий Павлович"/>
        <s v="Петрова Александра Романовна"/>
        <s v="Егорова Екатерина Артемовна"/>
        <m/>
      </sharedItems>
    </cacheField>
    <cacheField name="Дата сделки" numFmtId="0">
      <sharedItems containsBlank="1"/>
    </cacheField>
    <cacheField name="Сумма сделки" numFmtId="0">
      <sharedItems containsString="0" containsBlank="1" containsNumber="1" containsInteger="1" minValue="10110" maxValue="99947"/>
    </cacheField>
    <cacheField name="NPS" numFmtId="0">
      <sharedItems containsString="0" containsBlank="1" containsNumber="1" containsInteger="1" minValue="0" maxValue="10"/>
    </cacheField>
    <cacheField name="Месяц" numFmtId="0">
      <sharedItems containsString="0" containsBlank="1" containsNumber="1" containsInteger="1" minValue="1" maxValue="12"/>
    </cacheField>
    <cacheField name="Год" numFmtId="0">
      <sharedItems containsString="0" containsBlank="1" containsNumber="1" containsInteger="1" minValue="2023" maxValue="2024"/>
    </cacheField>
    <cacheField name="Год-месяц" numFmtId="14">
      <sharedItems containsBlank="1" count="14">
        <s v="2023-9"/>
        <s v="2023-10"/>
        <s v="2023-11"/>
        <s v="2023-12"/>
        <s v="2024-1"/>
        <s v="2024-2"/>
        <s v="2024-3"/>
        <s v="2024-4"/>
        <s v="2024-5"/>
        <s v="2024-6"/>
        <s v="2024-7"/>
        <s v="2024-8"/>
        <s v="2024-9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4">
  <r>
    <x v="0"/>
    <x v="0"/>
    <s v="2023-09-04"/>
    <s v="2024-08-29"/>
    <n v="360"/>
  </r>
  <r>
    <x v="1"/>
    <x v="1"/>
    <s v="2023-09-18"/>
    <s v="2024-08-30"/>
    <n v="347"/>
  </r>
  <r>
    <x v="2"/>
    <x v="2"/>
    <s v="2023-09-04"/>
    <s v="2024-08-14"/>
    <n v="345"/>
  </r>
  <r>
    <x v="1"/>
    <x v="3"/>
    <s v="2023-09-08"/>
    <s v="2024-08-16"/>
    <n v="343"/>
  </r>
  <r>
    <x v="2"/>
    <x v="4"/>
    <s v="2023-09-15"/>
    <s v="2024-08-16"/>
    <n v="336"/>
  </r>
  <r>
    <x v="1"/>
    <x v="5"/>
    <s v="2023-10-02"/>
    <s v="2024-08-20"/>
    <n v="323"/>
  </r>
  <r>
    <x v="3"/>
    <x v="6"/>
    <s v="2023-10-05"/>
    <s v="2024-08-23"/>
    <n v="323"/>
  </r>
  <r>
    <x v="4"/>
    <x v="7"/>
    <s v="2023-10-05"/>
    <s v="2024-08-12"/>
    <n v="312"/>
  </r>
  <r>
    <x v="1"/>
    <x v="8"/>
    <s v="2023-10-09"/>
    <s v="2024-08-16"/>
    <n v="312"/>
  </r>
  <r>
    <x v="3"/>
    <x v="9"/>
    <s v="2023-10-12"/>
    <s v="2024-08-12"/>
    <n v="305"/>
  </r>
  <r>
    <x v="5"/>
    <x v="10"/>
    <s v="2023-09-11"/>
    <s v="2024-07-10"/>
    <n v="303"/>
  </r>
  <r>
    <x v="6"/>
    <x v="11"/>
    <s v="2023-10-04"/>
    <s v="2024-07-26"/>
    <n v="296"/>
  </r>
  <r>
    <x v="7"/>
    <x v="12"/>
    <s v="2023-10-05"/>
    <s v="2024-07-26"/>
    <n v="295"/>
  </r>
  <r>
    <x v="8"/>
    <x v="13"/>
    <s v="2023-10-23"/>
    <s v="2024-08-12"/>
    <n v="294"/>
  </r>
  <r>
    <x v="9"/>
    <x v="14"/>
    <s v="2023-09-01"/>
    <s v="2024-06-20"/>
    <n v="293"/>
  </r>
  <r>
    <x v="10"/>
    <x v="15"/>
    <s v="2023-09-11"/>
    <s v="2024-06-17"/>
    <n v="280"/>
  </r>
  <r>
    <x v="2"/>
    <x v="16"/>
    <s v="2023-10-10"/>
    <s v="2024-07-11"/>
    <n v="275"/>
  </r>
  <r>
    <x v="8"/>
    <x v="9"/>
    <s v="2023-10-09"/>
    <s v="2024-07-09"/>
    <n v="274"/>
  </r>
  <r>
    <x v="6"/>
    <x v="17"/>
    <s v="2023-10-17"/>
    <s v="2024-07-15"/>
    <n v="272"/>
  </r>
  <r>
    <x v="6"/>
    <x v="18"/>
    <s v="2023-10-19"/>
    <s v="2024-07-16"/>
    <n v="271"/>
  </r>
  <r>
    <x v="0"/>
    <x v="19"/>
    <s v="2023-09-05"/>
    <s v="2024-05-31"/>
    <n v="269"/>
  </r>
  <r>
    <x v="9"/>
    <x v="20"/>
    <s v="2023-10-20"/>
    <s v="2024-07-12"/>
    <n v="266"/>
  </r>
  <r>
    <x v="0"/>
    <x v="21"/>
    <s v="2023-11-27"/>
    <s v="2024-08-19"/>
    <n v="266"/>
  </r>
  <r>
    <x v="1"/>
    <x v="22"/>
    <s v="2023-12-06"/>
    <s v="2024-08-28"/>
    <n v="266"/>
  </r>
  <r>
    <x v="7"/>
    <x v="23"/>
    <s v="2023-11-21"/>
    <s v="2024-08-12"/>
    <n v="265"/>
  </r>
  <r>
    <x v="1"/>
    <x v="24"/>
    <s v="2023-10-09"/>
    <s v="2024-06-26"/>
    <n v="261"/>
  </r>
  <r>
    <x v="6"/>
    <x v="25"/>
    <s v="2023-12-06"/>
    <s v="2024-08-14"/>
    <n v="252"/>
  </r>
  <r>
    <x v="4"/>
    <x v="26"/>
    <s v="2023-12-18"/>
    <s v="2024-08-26"/>
    <n v="252"/>
  </r>
  <r>
    <x v="4"/>
    <x v="27"/>
    <s v="2023-11-17"/>
    <s v="2024-07-24"/>
    <n v="250"/>
  </r>
  <r>
    <x v="9"/>
    <x v="28"/>
    <s v="2023-12-08"/>
    <s v="2024-08-12"/>
    <n v="248"/>
  </r>
  <r>
    <x v="1"/>
    <x v="29"/>
    <s v="2023-10-25"/>
    <s v="2024-06-25"/>
    <n v="244"/>
  </r>
  <r>
    <x v="3"/>
    <x v="10"/>
    <s v="2023-09-04"/>
    <s v="2024-05-02"/>
    <n v="241"/>
  </r>
  <r>
    <x v="0"/>
    <x v="17"/>
    <s v="2023-12-19"/>
    <s v="2024-08-02"/>
    <n v="227"/>
  </r>
  <r>
    <x v="11"/>
    <x v="30"/>
    <s v="2023-10-23"/>
    <s v="2024-06-04"/>
    <n v="225"/>
  </r>
  <r>
    <x v="1"/>
    <x v="31"/>
    <s v="2023-09-20"/>
    <s v="2024-05-01"/>
    <n v="224"/>
  </r>
  <r>
    <x v="0"/>
    <x v="5"/>
    <s v="2023-12-27"/>
    <s v="2024-08-05"/>
    <n v="222"/>
  </r>
  <r>
    <x v="3"/>
    <x v="32"/>
    <s v="2024-01-11"/>
    <s v="2024-08-19"/>
    <n v="221"/>
  </r>
  <r>
    <x v="11"/>
    <x v="33"/>
    <s v="2024-01-15"/>
    <s v="2024-08-22"/>
    <n v="220"/>
  </r>
  <r>
    <x v="9"/>
    <x v="34"/>
    <s v="2024-01-08"/>
    <s v="2024-08-12"/>
    <n v="217"/>
  </r>
  <r>
    <x v="8"/>
    <x v="35"/>
    <s v="2024-01-30"/>
    <s v="2024-08-27"/>
    <n v="210"/>
  </r>
  <r>
    <x v="9"/>
    <x v="36"/>
    <s v="2023-10-23"/>
    <s v="2024-05-17"/>
    <n v="207"/>
  </r>
  <r>
    <x v="0"/>
    <x v="37"/>
    <s v="2023-11-06"/>
    <s v="2024-05-27"/>
    <n v="203"/>
  </r>
  <r>
    <x v="0"/>
    <x v="33"/>
    <s v="2023-12-11"/>
    <s v="2024-07-01"/>
    <n v="203"/>
  </r>
  <r>
    <x v="1"/>
    <x v="14"/>
    <s v="2023-12-04"/>
    <s v="2024-06-10"/>
    <n v="189"/>
  </r>
  <r>
    <x v="7"/>
    <x v="38"/>
    <s v="2024-01-12"/>
    <s v="2024-07-19"/>
    <n v="189"/>
  </r>
  <r>
    <x v="6"/>
    <x v="23"/>
    <s v="2023-12-07"/>
    <s v="2024-06-12"/>
    <n v="188"/>
  </r>
  <r>
    <x v="9"/>
    <x v="39"/>
    <s v="2023-09-14"/>
    <s v="2024-03-18"/>
    <n v="186"/>
  </r>
  <r>
    <x v="9"/>
    <x v="40"/>
    <s v="2023-12-18"/>
    <s v="2024-06-17"/>
    <n v="182"/>
  </r>
  <r>
    <x v="4"/>
    <x v="41"/>
    <s v="2023-10-10"/>
    <s v="2024-03-29"/>
    <n v="171"/>
  </r>
  <r>
    <x v="4"/>
    <x v="42"/>
    <s v="2023-11-27"/>
    <s v="2024-05-16"/>
    <n v="171"/>
  </r>
  <r>
    <x v="6"/>
    <x v="43"/>
    <s v="2023-09-14"/>
    <s v="2024-03-01"/>
    <n v="169"/>
  </r>
  <r>
    <x v="2"/>
    <x v="44"/>
    <s v="2023-09-19"/>
    <s v="2024-03-06"/>
    <n v="169"/>
  </r>
  <r>
    <x v="3"/>
    <x v="45"/>
    <s v="2023-09-21"/>
    <s v="2024-03-06"/>
    <n v="167"/>
  </r>
  <r>
    <x v="9"/>
    <x v="46"/>
    <s v="2024-02-20"/>
    <s v="2024-08-05"/>
    <n v="167"/>
  </r>
  <r>
    <x v="8"/>
    <x v="47"/>
    <s v="2023-10-30"/>
    <s v="2024-04-10"/>
    <n v="163"/>
  </r>
  <r>
    <x v="2"/>
    <x v="48"/>
    <s v="2024-03-11"/>
    <s v="2024-08-20"/>
    <n v="162"/>
  </r>
  <r>
    <x v="6"/>
    <x v="49"/>
    <s v="2023-10-23"/>
    <s v="2024-04-01"/>
    <n v="161"/>
  </r>
  <r>
    <x v="10"/>
    <x v="19"/>
    <s v="2023-09-19"/>
    <s v="2024-02-22"/>
    <n v="156"/>
  </r>
  <r>
    <x v="0"/>
    <x v="50"/>
    <s v="2024-01-29"/>
    <s v="2024-07-02"/>
    <n v="155"/>
  </r>
  <r>
    <x v="6"/>
    <x v="51"/>
    <s v="2023-10-02"/>
    <s v="2024-03-04"/>
    <n v="154"/>
  </r>
  <r>
    <x v="2"/>
    <x v="34"/>
    <s v="2023-11-17"/>
    <s v="2024-04-18"/>
    <n v="153"/>
  </r>
  <r>
    <x v="5"/>
    <x v="52"/>
    <s v="2023-12-12"/>
    <s v="2024-05-13"/>
    <n v="153"/>
  </r>
  <r>
    <x v="0"/>
    <x v="53"/>
    <s v="2023-09-28"/>
    <s v="2024-02-27"/>
    <n v="152"/>
  </r>
  <r>
    <x v="0"/>
    <x v="54"/>
    <s v="2023-11-01"/>
    <s v="2024-04-01"/>
    <n v="152"/>
  </r>
  <r>
    <x v="4"/>
    <x v="55"/>
    <s v="2023-11-27"/>
    <s v="2024-04-25"/>
    <n v="150"/>
  </r>
  <r>
    <x v="5"/>
    <x v="11"/>
    <s v="2024-02-26"/>
    <s v="2024-07-24"/>
    <n v="149"/>
  </r>
  <r>
    <x v="11"/>
    <x v="39"/>
    <s v="2024-03-06"/>
    <s v="2024-07-29"/>
    <n v="145"/>
  </r>
  <r>
    <x v="5"/>
    <x v="48"/>
    <s v="2024-02-13"/>
    <s v="2024-07-04"/>
    <n v="142"/>
  </r>
  <r>
    <x v="10"/>
    <x v="56"/>
    <s v="2023-12-11"/>
    <s v="2024-04-29"/>
    <n v="140"/>
  </r>
  <r>
    <x v="0"/>
    <x v="57"/>
    <s v="2023-10-11"/>
    <s v="2024-02-27"/>
    <n v="139"/>
  </r>
  <r>
    <x v="11"/>
    <x v="34"/>
    <s v="2023-12-29"/>
    <s v="2024-05-16"/>
    <n v="139"/>
  </r>
  <r>
    <x v="4"/>
    <x v="58"/>
    <s v="2024-02-05"/>
    <s v="2024-06-17"/>
    <n v="133"/>
  </r>
  <r>
    <x v="10"/>
    <x v="59"/>
    <s v="2024-01-24"/>
    <s v="2024-06-03"/>
    <n v="131"/>
  </r>
  <r>
    <x v="10"/>
    <x v="60"/>
    <s v="2023-10-16"/>
    <s v="2024-02-23"/>
    <n v="130"/>
  </r>
  <r>
    <x v="7"/>
    <x v="61"/>
    <s v="2024-02-27"/>
    <s v="2024-07-04"/>
    <n v="128"/>
  </r>
  <r>
    <x v="8"/>
    <x v="40"/>
    <s v="2024-04-11"/>
    <s v="2024-08-16"/>
    <n v="127"/>
  </r>
  <r>
    <x v="11"/>
    <x v="62"/>
    <s v="2024-01-23"/>
    <s v="2024-05-28"/>
    <n v="126"/>
  </r>
  <r>
    <x v="1"/>
    <x v="63"/>
    <s v="2024-04-25"/>
    <s v="2024-08-26"/>
    <n v="123"/>
  </r>
  <r>
    <x v="10"/>
    <x v="64"/>
    <s v="2024-01-10"/>
    <s v="2024-05-09"/>
    <n v="120"/>
  </r>
  <r>
    <x v="5"/>
    <x v="53"/>
    <s v="2023-12-18"/>
    <s v="2024-04-15"/>
    <n v="119"/>
  </r>
  <r>
    <x v="9"/>
    <x v="65"/>
    <s v="2024-04-22"/>
    <s v="2024-08-19"/>
    <n v="119"/>
  </r>
  <r>
    <x v="11"/>
    <x v="66"/>
    <s v="2024-05-03"/>
    <s v="2024-08-26"/>
    <n v="115"/>
  </r>
  <r>
    <x v="1"/>
    <x v="67"/>
    <s v="2023-09-18"/>
    <s v="2024-01-09"/>
    <n v="113"/>
  </r>
  <r>
    <x v="2"/>
    <x v="3"/>
    <s v="2024-02-28"/>
    <s v="2024-06-20"/>
    <n v="113"/>
  </r>
  <r>
    <x v="10"/>
    <x v="68"/>
    <s v="2023-09-29"/>
    <s v="2024-01-16"/>
    <n v="109"/>
  </r>
  <r>
    <x v="6"/>
    <x v="69"/>
    <s v="2024-02-09"/>
    <s v="2024-05-27"/>
    <n v="108"/>
  </r>
  <r>
    <x v="4"/>
    <x v="70"/>
    <s v="2024-02-16"/>
    <s v="2024-06-03"/>
    <n v="108"/>
  </r>
  <r>
    <x v="6"/>
    <x v="71"/>
    <s v="2024-02-01"/>
    <s v="2024-05-16"/>
    <n v="105"/>
  </r>
  <r>
    <x v="8"/>
    <x v="0"/>
    <s v="2024-05-06"/>
    <s v="2024-08-19"/>
    <n v="105"/>
  </r>
  <r>
    <x v="9"/>
    <x v="72"/>
    <s v="2023-11-29"/>
    <s v="2024-03-12"/>
    <n v="104"/>
  </r>
  <r>
    <x v="3"/>
    <x v="73"/>
    <s v="2024-02-20"/>
    <s v="2024-06-03"/>
    <n v="104"/>
  </r>
  <r>
    <x v="7"/>
    <x v="74"/>
    <s v="2023-11-08"/>
    <s v="2024-02-15"/>
    <n v="99"/>
  </r>
  <r>
    <x v="10"/>
    <x v="75"/>
    <s v="2024-03-25"/>
    <s v="2024-07-02"/>
    <n v="99"/>
  </r>
  <r>
    <x v="5"/>
    <x v="76"/>
    <s v="2023-11-20"/>
    <s v="2024-02-26"/>
    <n v="98"/>
  </r>
  <r>
    <x v="11"/>
    <x v="77"/>
    <s v="2024-05-17"/>
    <s v="2024-08-22"/>
    <n v="97"/>
  </r>
  <r>
    <x v="6"/>
    <x v="70"/>
    <s v="2023-11-13"/>
    <s v="2024-02-15"/>
    <n v="94"/>
  </r>
  <r>
    <x v="6"/>
    <x v="78"/>
    <s v="2023-09-06"/>
    <s v="2023-12-08"/>
    <n v="93"/>
  </r>
  <r>
    <x v="0"/>
    <x v="1"/>
    <s v="2024-05-15"/>
    <s v="2024-08-15"/>
    <n v="92"/>
  </r>
  <r>
    <x v="10"/>
    <x v="79"/>
    <s v="2024-04-18"/>
    <s v="2024-07-17"/>
    <n v="90"/>
  </r>
  <r>
    <x v="6"/>
    <x v="80"/>
    <s v="2024-01-30"/>
    <s v="2024-04-25"/>
    <n v="86"/>
  </r>
  <r>
    <x v="9"/>
    <x v="81"/>
    <s v="2024-03-04"/>
    <s v="2024-05-24"/>
    <n v="81"/>
  </r>
  <r>
    <x v="10"/>
    <x v="82"/>
    <s v="2023-11-10"/>
    <s v="2024-01-29"/>
    <n v="80"/>
  </r>
  <r>
    <x v="3"/>
    <x v="44"/>
    <s v="2024-01-23"/>
    <s v="2024-04-11"/>
    <n v="79"/>
  </r>
  <r>
    <x v="7"/>
    <x v="83"/>
    <s v="2023-09-06"/>
    <s v="2023-11-23"/>
    <n v="78"/>
  </r>
  <r>
    <x v="11"/>
    <x v="84"/>
    <s v="2023-12-27"/>
    <s v="2024-03-13"/>
    <n v="77"/>
  </r>
  <r>
    <x v="8"/>
    <x v="14"/>
    <s v="2024-05-20"/>
    <s v="2024-08-05"/>
    <n v="77"/>
  </r>
  <r>
    <x v="1"/>
    <x v="72"/>
    <s v="2023-09-04"/>
    <s v="2023-11-15"/>
    <n v="72"/>
  </r>
  <r>
    <x v="3"/>
    <x v="23"/>
    <s v="2024-03-25"/>
    <s v="2024-06-03"/>
    <n v="70"/>
  </r>
  <r>
    <x v="11"/>
    <x v="79"/>
    <s v="2024-04-01"/>
    <s v="2024-06-10"/>
    <n v="70"/>
  </r>
  <r>
    <x v="7"/>
    <x v="66"/>
    <s v="2024-06-21"/>
    <s v="2024-08-29"/>
    <n v="69"/>
  </r>
  <r>
    <x v="1"/>
    <x v="85"/>
    <s v="2024-01-22"/>
    <s v="2024-03-29"/>
    <n v="67"/>
  </r>
  <r>
    <x v="7"/>
    <x v="31"/>
    <s v="2024-05-30"/>
    <s v="2024-08-05"/>
    <n v="67"/>
  </r>
  <r>
    <x v="8"/>
    <x v="36"/>
    <s v="2024-05-27"/>
    <s v="2024-07-31"/>
    <n v="65"/>
  </r>
  <r>
    <x v="6"/>
    <x v="86"/>
    <s v="2024-06-21"/>
    <s v="2024-08-22"/>
    <n v="62"/>
  </r>
  <r>
    <x v="0"/>
    <x v="87"/>
    <s v="2024-02-19"/>
    <s v="2024-04-19"/>
    <n v="60"/>
  </r>
  <r>
    <x v="8"/>
    <x v="88"/>
    <s v="2024-05-20"/>
    <s v="2024-07-19"/>
    <n v="60"/>
  </r>
  <r>
    <x v="2"/>
    <x v="89"/>
    <s v="2024-01-29"/>
    <s v="2024-03-26"/>
    <n v="57"/>
  </r>
  <r>
    <x v="5"/>
    <x v="61"/>
    <s v="2024-05-27"/>
    <s v="2024-07-22"/>
    <n v="56"/>
  </r>
  <r>
    <x v="6"/>
    <x v="90"/>
    <s v="2023-12-27"/>
    <s v="2024-02-19"/>
    <n v="54"/>
  </r>
  <r>
    <x v="6"/>
    <x v="91"/>
    <s v="2024-01-11"/>
    <s v="2024-03-05"/>
    <n v="54"/>
  </r>
  <r>
    <x v="9"/>
    <x v="92"/>
    <s v="2024-04-04"/>
    <s v="2024-05-28"/>
    <n v="54"/>
  </r>
  <r>
    <x v="5"/>
    <x v="93"/>
    <s v="2023-10-03"/>
    <s v="2023-11-23"/>
    <n v="51"/>
  </r>
  <r>
    <x v="2"/>
    <x v="94"/>
    <s v="2023-09-25"/>
    <s v="2023-11-14"/>
    <n v="50"/>
  </r>
  <r>
    <x v="10"/>
    <x v="84"/>
    <s v="2024-01-22"/>
    <s v="2024-03-11"/>
    <n v="49"/>
  </r>
  <r>
    <x v="10"/>
    <x v="31"/>
    <s v="2023-12-22"/>
    <s v="2024-02-08"/>
    <n v="48"/>
  </r>
  <r>
    <x v="9"/>
    <x v="23"/>
    <s v="2024-07-09"/>
    <s v="2024-08-26"/>
    <n v="48"/>
  </r>
  <r>
    <x v="5"/>
    <x v="43"/>
    <s v="2023-12-14"/>
    <s v="2024-01-29"/>
    <n v="46"/>
  </r>
  <r>
    <x v="3"/>
    <x v="95"/>
    <s v="2024-02-02"/>
    <s v="2024-03-18"/>
    <n v="45"/>
  </r>
  <r>
    <x v="8"/>
    <x v="17"/>
    <s v="2023-11-01"/>
    <s v="2023-12-15"/>
    <n v="44"/>
  </r>
  <r>
    <x v="3"/>
    <x v="96"/>
    <s v="2024-06-04"/>
    <s v="2024-07-18"/>
    <n v="44"/>
  </r>
  <r>
    <x v="1"/>
    <x v="97"/>
    <s v="2024-01-15"/>
    <s v="2024-02-26"/>
    <n v="42"/>
  </r>
  <r>
    <x v="11"/>
    <x v="98"/>
    <s v="2024-01-02"/>
    <s v="2024-02-12"/>
    <n v="41"/>
  </r>
  <r>
    <x v="1"/>
    <x v="99"/>
    <s v="2024-07-01"/>
    <s v="2024-08-07"/>
    <n v="37"/>
  </r>
  <r>
    <x v="11"/>
    <x v="71"/>
    <s v="2023-12-06"/>
    <s v="2024-01-09"/>
    <n v="34"/>
  </r>
  <r>
    <x v="11"/>
    <x v="17"/>
    <s v="2024-02-14"/>
    <s v="2024-03-18"/>
    <n v="33"/>
  </r>
  <r>
    <x v="2"/>
    <x v="100"/>
    <s v="2023-11-13"/>
    <s v="2023-12-15"/>
    <n v="32"/>
  </r>
  <r>
    <x v="4"/>
    <x v="43"/>
    <s v="2023-11-27"/>
    <s v="2023-12-27"/>
    <n v="30"/>
  </r>
  <r>
    <x v="9"/>
    <x v="101"/>
    <s v="2023-11-06"/>
    <s v="2023-12-04"/>
    <n v="28"/>
  </r>
  <r>
    <x v="6"/>
    <x v="102"/>
    <s v="2023-11-10"/>
    <s v="2023-12-08"/>
    <n v="28"/>
  </r>
  <r>
    <x v="10"/>
    <x v="8"/>
    <s v="2024-05-20"/>
    <s v="2024-06-17"/>
    <n v="28"/>
  </r>
  <r>
    <x v="2"/>
    <x v="103"/>
    <s v="2023-12-07"/>
    <s v="2024-01-03"/>
    <n v="27"/>
  </r>
  <r>
    <x v="11"/>
    <x v="104"/>
    <s v="2023-10-30"/>
    <s v="2023-11-24"/>
    <n v="25"/>
  </r>
  <r>
    <x v="7"/>
    <x v="105"/>
    <s v="2024-06-03"/>
    <s v="2024-06-27"/>
    <n v="24"/>
  </r>
  <r>
    <x v="4"/>
    <x v="106"/>
    <s v="2024-07-29"/>
    <s v="2024-08-22"/>
    <n v="24"/>
  </r>
  <r>
    <x v="5"/>
    <x v="90"/>
    <s v="2023-12-04"/>
    <s v="2023-12-27"/>
    <n v="23"/>
  </r>
  <r>
    <x v="10"/>
    <x v="76"/>
    <s v="2024-02-14"/>
    <s v="2024-03-07"/>
    <n v="22"/>
  </r>
  <r>
    <x v="9"/>
    <x v="90"/>
    <s v="2023-12-11"/>
    <s v="2024-01-01"/>
    <n v="21"/>
  </r>
  <r>
    <x v="10"/>
    <x v="16"/>
    <s v="2024-02-26"/>
    <s v="2024-03-18"/>
    <n v="21"/>
  </r>
  <r>
    <x v="0"/>
    <x v="107"/>
    <s v="2024-04-12"/>
    <s v="2024-05-02"/>
    <n v="20"/>
  </r>
  <r>
    <x v="0"/>
    <x v="58"/>
    <s v="2024-05-09"/>
    <s v="2024-05-29"/>
    <n v="20"/>
  </r>
  <r>
    <x v="10"/>
    <x v="108"/>
    <s v="2024-05-20"/>
    <s v="2024-06-05"/>
    <n v="16"/>
  </r>
  <r>
    <x v="8"/>
    <x v="102"/>
    <s v="2024-06-14"/>
    <s v="2024-06-28"/>
    <n v="14"/>
  </r>
  <r>
    <x v="11"/>
    <x v="85"/>
    <s v="2024-08-06"/>
    <s v="2024-08-20"/>
    <n v="14"/>
  </r>
  <r>
    <x v="7"/>
    <x v="54"/>
    <s v="2023-09-27"/>
    <s v="2023-10-10"/>
    <n v="13"/>
  </r>
  <r>
    <x v="0"/>
    <x v="109"/>
    <s v="2024-02-14"/>
    <s v="2024-02-27"/>
    <n v="13"/>
  </r>
  <r>
    <x v="4"/>
    <x v="37"/>
    <s v="2023-12-20"/>
    <s v="2024-01-01"/>
    <n v="12"/>
  </r>
  <r>
    <x v="7"/>
    <x v="93"/>
    <s v="2023-12-05"/>
    <s v="2023-12-11"/>
    <n v="6"/>
  </r>
  <r>
    <x v="10"/>
    <x v="110"/>
    <s v="2024-08-28"/>
    <s v="2024-09-02"/>
    <n v="5"/>
  </r>
  <r>
    <x v="11"/>
    <x v="111"/>
    <s v="2024-04-22"/>
    <s v="2024-04-25"/>
    <n v="3"/>
  </r>
  <r>
    <x v="3"/>
    <x v="112"/>
    <s v="2024-01-01"/>
    <s v="2024-01-03"/>
    <n v="2"/>
  </r>
  <r>
    <x v="6"/>
    <x v="113"/>
    <s v="2024-07-01"/>
    <s v="2024-07-03"/>
    <n v="2"/>
  </r>
  <r>
    <x v="11"/>
    <x v="114"/>
    <s v="2024-06-06"/>
    <s v="2024-06-07"/>
    <n v="1"/>
  </r>
  <r>
    <x v="2"/>
    <x v="115"/>
    <s v="2023-09-01"/>
    <s v="2023-09-01"/>
    <n v="0"/>
  </r>
  <r>
    <x v="8"/>
    <x v="103"/>
    <s v="2023-09-04"/>
    <s v="2023-09-04"/>
    <n v="0"/>
  </r>
  <r>
    <x v="3"/>
    <x v="25"/>
    <s v="2023-09-04"/>
    <s v="2023-09-04"/>
    <n v="0"/>
  </r>
  <r>
    <x v="8"/>
    <x v="116"/>
    <s v="2023-09-04"/>
    <s v="2023-09-04"/>
    <n v="0"/>
  </r>
  <r>
    <x v="3"/>
    <x v="79"/>
    <s v="2023-09-05"/>
    <s v="2023-09-05"/>
    <n v="0"/>
  </r>
  <r>
    <x v="4"/>
    <x v="8"/>
    <s v="2023-09-05"/>
    <s v="2023-09-05"/>
    <n v="0"/>
  </r>
  <r>
    <x v="8"/>
    <x v="39"/>
    <s v="2023-09-06"/>
    <s v="2023-09-06"/>
    <n v="0"/>
  </r>
  <r>
    <x v="4"/>
    <x v="23"/>
    <s v="2023-09-07"/>
    <s v="2023-09-07"/>
    <n v="0"/>
  </r>
  <r>
    <x v="1"/>
    <x v="25"/>
    <s v="2023-09-07"/>
    <s v="2023-09-07"/>
    <n v="0"/>
  </r>
  <r>
    <x v="1"/>
    <x v="21"/>
    <s v="2023-09-07"/>
    <s v="2023-09-07"/>
    <n v="0"/>
  </r>
  <r>
    <x v="9"/>
    <x v="68"/>
    <s v="2023-09-07"/>
    <s v="2023-09-07"/>
    <n v="0"/>
  </r>
  <r>
    <x v="9"/>
    <x v="117"/>
    <s v="2023-09-07"/>
    <s v="2023-09-07"/>
    <n v="0"/>
  </r>
  <r>
    <x v="5"/>
    <x v="118"/>
    <s v="2023-09-08"/>
    <s v="2023-09-08"/>
    <n v="0"/>
  </r>
  <r>
    <x v="3"/>
    <x v="46"/>
    <s v="2023-09-08"/>
    <s v="2023-09-08"/>
    <n v="0"/>
  </r>
  <r>
    <x v="3"/>
    <x v="119"/>
    <s v="2023-09-11"/>
    <s v="2023-09-11"/>
    <n v="0"/>
  </r>
  <r>
    <x v="11"/>
    <x v="120"/>
    <s v="2023-09-11"/>
    <s v="2023-09-11"/>
    <n v="0"/>
  </r>
  <r>
    <x v="6"/>
    <x v="84"/>
    <s v="2023-09-11"/>
    <s v="2023-09-11"/>
    <n v="0"/>
  </r>
  <r>
    <x v="5"/>
    <x v="72"/>
    <s v="2023-09-11"/>
    <s v="2023-09-11"/>
    <n v="0"/>
  </r>
  <r>
    <x v="7"/>
    <x v="78"/>
    <s v="2023-09-11"/>
    <s v="2023-09-11"/>
    <n v="0"/>
  </r>
  <r>
    <x v="7"/>
    <x v="87"/>
    <s v="2023-09-11"/>
    <s v="2023-09-11"/>
    <n v="0"/>
  </r>
  <r>
    <x v="6"/>
    <x v="121"/>
    <s v="2023-09-11"/>
    <s v="2023-09-11"/>
    <n v="0"/>
  </r>
  <r>
    <x v="7"/>
    <x v="122"/>
    <s v="2023-09-11"/>
    <s v="2023-09-11"/>
    <n v="0"/>
  </r>
  <r>
    <x v="8"/>
    <x v="16"/>
    <s v="2023-09-13"/>
    <s v="2023-09-13"/>
    <n v="0"/>
  </r>
  <r>
    <x v="4"/>
    <x v="61"/>
    <s v="2023-09-14"/>
    <s v="2023-09-14"/>
    <n v="0"/>
  </r>
  <r>
    <x v="2"/>
    <x v="80"/>
    <s v="2023-09-14"/>
    <s v="2023-09-14"/>
    <n v="0"/>
  </r>
  <r>
    <x v="2"/>
    <x v="123"/>
    <s v="2023-09-18"/>
    <s v="2023-09-18"/>
    <n v="0"/>
  </r>
  <r>
    <x v="6"/>
    <x v="26"/>
    <s v="2023-09-18"/>
    <s v="2023-09-18"/>
    <n v="0"/>
  </r>
  <r>
    <x v="6"/>
    <x v="124"/>
    <s v="2023-09-18"/>
    <s v="2023-09-18"/>
    <n v="0"/>
  </r>
  <r>
    <x v="0"/>
    <x v="11"/>
    <s v="2023-09-18"/>
    <s v="2023-09-18"/>
    <n v="0"/>
  </r>
  <r>
    <x v="10"/>
    <x v="125"/>
    <s v="2023-09-18"/>
    <s v="2023-09-18"/>
    <n v="0"/>
  </r>
  <r>
    <x v="7"/>
    <x v="117"/>
    <s v="2023-09-18"/>
    <s v="2023-09-18"/>
    <n v="0"/>
  </r>
  <r>
    <x v="5"/>
    <x v="88"/>
    <s v="2023-09-18"/>
    <s v="2023-09-18"/>
    <n v="0"/>
  </r>
  <r>
    <x v="7"/>
    <x v="29"/>
    <s v="2023-09-18"/>
    <s v="2023-09-18"/>
    <n v="0"/>
  </r>
  <r>
    <x v="11"/>
    <x v="1"/>
    <s v="2023-09-18"/>
    <s v="2023-09-18"/>
    <n v="0"/>
  </r>
  <r>
    <x v="8"/>
    <x v="68"/>
    <s v="2023-09-19"/>
    <s v="2023-09-19"/>
    <n v="0"/>
  </r>
  <r>
    <x v="11"/>
    <x v="126"/>
    <s v="2023-09-19"/>
    <s v="2023-09-19"/>
    <n v="0"/>
  </r>
  <r>
    <x v="1"/>
    <x v="127"/>
    <s v="2023-09-19"/>
    <s v="2023-09-19"/>
    <n v="0"/>
  </r>
  <r>
    <x v="6"/>
    <x v="5"/>
    <s v="2023-09-20"/>
    <s v="2023-09-20"/>
    <n v="0"/>
  </r>
  <r>
    <x v="0"/>
    <x v="80"/>
    <s v="2023-09-20"/>
    <s v="2023-09-20"/>
    <n v="0"/>
  </r>
  <r>
    <x v="9"/>
    <x v="24"/>
    <s v="2023-09-21"/>
    <s v="2023-09-21"/>
    <n v="0"/>
  </r>
  <r>
    <x v="0"/>
    <x v="128"/>
    <s v="2023-09-21"/>
    <s v="2023-09-21"/>
    <n v="0"/>
  </r>
  <r>
    <x v="3"/>
    <x v="55"/>
    <s v="2023-09-22"/>
    <s v="2023-09-22"/>
    <n v="0"/>
  </r>
  <r>
    <x v="0"/>
    <x v="86"/>
    <s v="2023-09-22"/>
    <s v="2023-09-22"/>
    <n v="0"/>
  </r>
  <r>
    <x v="0"/>
    <x v="129"/>
    <s v="2023-09-22"/>
    <s v="2023-09-22"/>
    <n v="0"/>
  </r>
  <r>
    <x v="7"/>
    <x v="130"/>
    <s v="2023-09-25"/>
    <s v="2023-09-25"/>
    <n v="0"/>
  </r>
  <r>
    <x v="9"/>
    <x v="131"/>
    <s v="2023-09-25"/>
    <s v="2023-09-25"/>
    <n v="0"/>
  </r>
  <r>
    <x v="4"/>
    <x v="60"/>
    <s v="2023-09-25"/>
    <s v="2023-09-25"/>
    <n v="0"/>
  </r>
  <r>
    <x v="9"/>
    <x v="27"/>
    <s v="2023-09-25"/>
    <s v="2023-09-25"/>
    <n v="0"/>
  </r>
  <r>
    <x v="4"/>
    <x v="132"/>
    <s v="2023-09-25"/>
    <s v="2023-09-25"/>
    <n v="0"/>
  </r>
  <r>
    <x v="0"/>
    <x v="38"/>
    <s v="2023-09-25"/>
    <s v="2023-09-25"/>
    <n v="0"/>
  </r>
  <r>
    <x v="3"/>
    <x v="70"/>
    <s v="2023-09-25"/>
    <s v="2023-09-25"/>
    <n v="0"/>
  </r>
  <r>
    <x v="6"/>
    <x v="46"/>
    <s v="2023-09-25"/>
    <s v="2023-09-25"/>
    <n v="0"/>
  </r>
  <r>
    <x v="8"/>
    <x v="119"/>
    <s v="2023-09-26"/>
    <s v="2023-09-26"/>
    <n v="0"/>
  </r>
  <r>
    <x v="11"/>
    <x v="133"/>
    <s v="2023-09-27"/>
    <s v="2023-09-27"/>
    <n v="0"/>
  </r>
  <r>
    <x v="0"/>
    <x v="13"/>
    <s v="2023-09-29"/>
    <s v="2023-09-29"/>
    <n v="0"/>
  </r>
  <r>
    <x v="9"/>
    <x v="42"/>
    <s v="2023-10-02"/>
    <s v="2023-10-02"/>
    <n v="0"/>
  </r>
  <r>
    <x v="9"/>
    <x v="115"/>
    <s v="2023-10-02"/>
    <s v="2023-10-02"/>
    <n v="0"/>
  </r>
  <r>
    <x v="2"/>
    <x v="99"/>
    <s v="2023-10-02"/>
    <s v="2023-10-02"/>
    <n v="0"/>
  </r>
  <r>
    <x v="8"/>
    <x v="81"/>
    <s v="2023-10-02"/>
    <s v="2023-10-02"/>
    <n v="0"/>
  </r>
  <r>
    <x v="8"/>
    <x v="134"/>
    <s v="2023-10-02"/>
    <s v="2023-10-02"/>
    <n v="0"/>
  </r>
  <r>
    <x v="2"/>
    <x v="118"/>
    <s v="2023-10-03"/>
    <s v="2023-10-03"/>
    <n v="0"/>
  </r>
  <r>
    <x v="7"/>
    <x v="27"/>
    <s v="2023-10-03"/>
    <s v="2023-10-03"/>
    <n v="0"/>
  </r>
  <r>
    <x v="7"/>
    <x v="5"/>
    <s v="2023-10-03"/>
    <s v="2023-10-03"/>
    <n v="0"/>
  </r>
  <r>
    <x v="6"/>
    <x v="135"/>
    <s v="2023-10-04"/>
    <s v="2023-10-04"/>
    <n v="0"/>
  </r>
  <r>
    <x v="2"/>
    <x v="136"/>
    <s v="2023-10-04"/>
    <s v="2023-10-04"/>
    <n v="0"/>
  </r>
  <r>
    <x v="2"/>
    <x v="135"/>
    <s v="2023-10-06"/>
    <s v="2023-10-06"/>
    <n v="0"/>
  </r>
  <r>
    <x v="2"/>
    <x v="137"/>
    <s v="2023-10-06"/>
    <s v="2023-10-06"/>
    <n v="0"/>
  </r>
  <r>
    <x v="11"/>
    <x v="23"/>
    <s v="2023-10-09"/>
    <s v="2023-10-09"/>
    <n v="0"/>
  </r>
  <r>
    <x v="2"/>
    <x v="62"/>
    <s v="2023-10-09"/>
    <s v="2023-10-09"/>
    <n v="0"/>
  </r>
  <r>
    <x v="9"/>
    <x v="53"/>
    <s v="2023-10-09"/>
    <s v="2023-10-09"/>
    <n v="0"/>
  </r>
  <r>
    <x v="11"/>
    <x v="138"/>
    <s v="2023-10-09"/>
    <s v="2023-10-09"/>
    <n v="0"/>
  </r>
  <r>
    <x v="5"/>
    <x v="139"/>
    <s v="2023-10-09"/>
    <s v="2023-10-09"/>
    <n v="0"/>
  </r>
  <r>
    <x v="10"/>
    <x v="104"/>
    <s v="2023-10-09"/>
    <s v="2023-10-09"/>
    <n v="0"/>
  </r>
  <r>
    <x v="9"/>
    <x v="10"/>
    <s v="2023-10-09"/>
    <s v="2023-10-09"/>
    <n v="0"/>
  </r>
  <r>
    <x v="4"/>
    <x v="105"/>
    <s v="2023-10-09"/>
    <s v="2023-10-09"/>
    <n v="0"/>
  </r>
  <r>
    <x v="7"/>
    <x v="76"/>
    <s v="2023-10-10"/>
    <s v="2023-10-10"/>
    <n v="0"/>
  </r>
  <r>
    <x v="8"/>
    <x v="140"/>
    <s v="2023-10-10"/>
    <s v="2023-10-10"/>
    <n v="0"/>
  </r>
  <r>
    <x v="1"/>
    <x v="137"/>
    <s v="2023-10-11"/>
    <s v="2023-10-11"/>
    <n v="0"/>
  </r>
  <r>
    <x v="3"/>
    <x v="141"/>
    <s v="2023-10-11"/>
    <s v="2023-10-11"/>
    <n v="0"/>
  </r>
  <r>
    <x v="8"/>
    <x v="69"/>
    <s v="2023-10-11"/>
    <s v="2023-10-11"/>
    <n v="0"/>
  </r>
  <r>
    <x v="8"/>
    <x v="106"/>
    <s v="2023-10-12"/>
    <s v="2023-10-12"/>
    <n v="0"/>
  </r>
  <r>
    <x v="10"/>
    <x v="103"/>
    <s v="2023-10-12"/>
    <s v="2023-10-12"/>
    <n v="0"/>
  </r>
  <r>
    <x v="11"/>
    <x v="142"/>
    <s v="2023-10-13"/>
    <s v="2023-10-13"/>
    <n v="0"/>
  </r>
  <r>
    <x v="7"/>
    <x v="50"/>
    <s v="2023-10-13"/>
    <s v="2023-10-13"/>
    <n v="0"/>
  </r>
  <r>
    <x v="3"/>
    <x v="142"/>
    <s v="2023-10-16"/>
    <s v="2023-10-16"/>
    <n v="0"/>
  </r>
  <r>
    <x v="10"/>
    <x v="54"/>
    <s v="2023-10-16"/>
    <s v="2023-10-16"/>
    <n v="0"/>
  </r>
  <r>
    <x v="5"/>
    <x v="35"/>
    <s v="2023-10-16"/>
    <s v="2023-10-16"/>
    <n v="0"/>
  </r>
  <r>
    <x v="8"/>
    <x v="108"/>
    <s v="2023-10-17"/>
    <s v="2023-10-17"/>
    <n v="0"/>
  </r>
  <r>
    <x v="7"/>
    <x v="79"/>
    <s v="2023-10-17"/>
    <s v="2023-10-17"/>
    <n v="0"/>
  </r>
  <r>
    <x v="11"/>
    <x v="72"/>
    <s v="2023-10-18"/>
    <s v="2023-10-18"/>
    <n v="0"/>
  </r>
  <r>
    <x v="4"/>
    <x v="19"/>
    <s v="2023-10-18"/>
    <s v="2023-10-18"/>
    <n v="0"/>
  </r>
  <r>
    <x v="9"/>
    <x v="63"/>
    <s v="2023-10-18"/>
    <s v="2023-10-18"/>
    <n v="0"/>
  </r>
  <r>
    <x v="8"/>
    <x v="120"/>
    <s v="2023-10-19"/>
    <s v="2023-10-19"/>
    <n v="0"/>
  </r>
  <r>
    <x v="11"/>
    <x v="35"/>
    <s v="2023-10-19"/>
    <s v="2023-10-19"/>
    <n v="0"/>
  </r>
  <r>
    <x v="6"/>
    <x v="106"/>
    <s v="2023-10-19"/>
    <s v="2023-10-19"/>
    <n v="0"/>
  </r>
  <r>
    <x v="11"/>
    <x v="123"/>
    <s v="2023-10-19"/>
    <s v="2023-10-19"/>
    <n v="0"/>
  </r>
  <r>
    <x v="11"/>
    <x v="143"/>
    <s v="2023-10-20"/>
    <s v="2023-10-20"/>
    <n v="0"/>
  </r>
  <r>
    <x v="8"/>
    <x v="91"/>
    <s v="2023-10-20"/>
    <s v="2023-10-20"/>
    <n v="0"/>
  </r>
  <r>
    <x v="3"/>
    <x v="144"/>
    <s v="2023-10-20"/>
    <s v="2023-10-20"/>
    <n v="0"/>
  </r>
  <r>
    <x v="6"/>
    <x v="31"/>
    <s v="2023-10-23"/>
    <s v="2023-10-23"/>
    <n v="0"/>
  </r>
  <r>
    <x v="5"/>
    <x v="21"/>
    <s v="2023-10-23"/>
    <s v="2023-10-23"/>
    <n v="0"/>
  </r>
  <r>
    <x v="4"/>
    <x v="35"/>
    <s v="2023-10-23"/>
    <s v="2023-10-23"/>
    <n v="0"/>
  </r>
  <r>
    <x v="11"/>
    <x v="27"/>
    <s v="2023-10-23"/>
    <s v="2023-10-23"/>
    <n v="0"/>
  </r>
  <r>
    <x v="7"/>
    <x v="145"/>
    <s v="2023-10-23"/>
    <s v="2023-10-23"/>
    <n v="0"/>
  </r>
  <r>
    <x v="9"/>
    <x v="122"/>
    <s v="2023-10-24"/>
    <s v="2023-10-24"/>
    <n v="0"/>
  </r>
  <r>
    <x v="9"/>
    <x v="13"/>
    <s v="2023-10-25"/>
    <s v="2023-10-25"/>
    <n v="0"/>
  </r>
  <r>
    <x v="2"/>
    <x v="146"/>
    <s v="2023-10-25"/>
    <s v="2023-10-25"/>
    <n v="0"/>
  </r>
  <r>
    <x v="0"/>
    <x v="132"/>
    <s v="2023-10-25"/>
    <s v="2023-10-25"/>
    <n v="0"/>
  </r>
  <r>
    <x v="2"/>
    <x v="147"/>
    <s v="2023-10-26"/>
    <s v="2023-10-26"/>
    <n v="0"/>
  </r>
  <r>
    <x v="10"/>
    <x v="23"/>
    <s v="2023-10-27"/>
    <s v="2023-10-27"/>
    <n v="0"/>
  </r>
  <r>
    <x v="9"/>
    <x v="129"/>
    <s v="2023-10-27"/>
    <s v="2023-10-27"/>
    <n v="0"/>
  </r>
  <r>
    <x v="1"/>
    <x v="98"/>
    <s v="2023-10-27"/>
    <s v="2023-10-27"/>
    <n v="0"/>
  </r>
  <r>
    <x v="0"/>
    <x v="63"/>
    <s v="2023-10-27"/>
    <s v="2023-10-27"/>
    <n v="0"/>
  </r>
  <r>
    <x v="3"/>
    <x v="148"/>
    <s v="2023-10-27"/>
    <s v="2023-10-27"/>
    <n v="0"/>
  </r>
  <r>
    <x v="8"/>
    <x v="99"/>
    <s v="2023-10-30"/>
    <s v="2023-10-30"/>
    <n v="0"/>
  </r>
  <r>
    <x v="10"/>
    <x v="149"/>
    <s v="2023-10-30"/>
    <s v="2023-10-30"/>
    <n v="0"/>
  </r>
  <r>
    <x v="6"/>
    <x v="122"/>
    <s v="2023-10-30"/>
    <s v="2023-10-30"/>
    <n v="0"/>
  </r>
  <r>
    <x v="9"/>
    <x v="35"/>
    <s v="2023-10-30"/>
    <s v="2023-10-30"/>
    <n v="0"/>
  </r>
  <r>
    <x v="10"/>
    <x v="101"/>
    <s v="2023-10-31"/>
    <s v="2023-10-31"/>
    <n v="0"/>
  </r>
  <r>
    <x v="4"/>
    <x v="87"/>
    <s v="2023-10-31"/>
    <s v="2023-10-31"/>
    <n v="0"/>
  </r>
  <r>
    <x v="4"/>
    <x v="15"/>
    <s v="2023-11-01"/>
    <s v="2023-11-01"/>
    <n v="0"/>
  </r>
  <r>
    <x v="10"/>
    <x v="61"/>
    <s v="2023-11-01"/>
    <s v="2023-11-01"/>
    <n v="0"/>
  </r>
  <r>
    <x v="5"/>
    <x v="101"/>
    <s v="2023-11-01"/>
    <s v="2023-11-01"/>
    <n v="0"/>
  </r>
  <r>
    <x v="8"/>
    <x v="112"/>
    <s v="2023-11-03"/>
    <s v="2023-11-03"/>
    <n v="0"/>
  </r>
  <r>
    <x v="2"/>
    <x v="13"/>
    <s v="2023-11-03"/>
    <s v="2023-11-03"/>
    <n v="0"/>
  </r>
  <r>
    <x v="11"/>
    <x v="32"/>
    <s v="2023-11-06"/>
    <s v="2023-11-06"/>
    <n v="0"/>
  </r>
  <r>
    <x v="6"/>
    <x v="36"/>
    <s v="2023-11-06"/>
    <s v="2023-11-06"/>
    <n v="0"/>
  </r>
  <r>
    <x v="11"/>
    <x v="150"/>
    <s v="2023-11-08"/>
    <s v="2023-11-08"/>
    <n v="0"/>
  </r>
  <r>
    <x v="9"/>
    <x v="151"/>
    <s v="2023-11-08"/>
    <s v="2023-11-08"/>
    <n v="0"/>
  </r>
  <r>
    <x v="5"/>
    <x v="152"/>
    <s v="2023-11-08"/>
    <s v="2023-11-08"/>
    <n v="0"/>
  </r>
  <r>
    <x v="10"/>
    <x v="134"/>
    <s v="2023-11-08"/>
    <s v="2023-11-08"/>
    <n v="0"/>
  </r>
  <r>
    <x v="0"/>
    <x v="137"/>
    <s v="2023-11-09"/>
    <s v="2023-11-09"/>
    <n v="0"/>
  </r>
  <r>
    <x v="6"/>
    <x v="29"/>
    <s v="2023-11-09"/>
    <s v="2023-11-09"/>
    <n v="0"/>
  </r>
  <r>
    <x v="0"/>
    <x v="153"/>
    <s v="2023-11-10"/>
    <s v="2023-11-10"/>
    <n v="0"/>
  </r>
  <r>
    <x v="10"/>
    <x v="97"/>
    <s v="2023-11-13"/>
    <s v="2023-11-13"/>
    <n v="0"/>
  </r>
  <r>
    <x v="0"/>
    <x v="12"/>
    <s v="2023-11-13"/>
    <s v="2023-11-13"/>
    <n v="0"/>
  </r>
  <r>
    <x v="10"/>
    <x v="119"/>
    <s v="2023-11-13"/>
    <s v="2023-11-13"/>
    <n v="0"/>
  </r>
  <r>
    <x v="8"/>
    <x v="115"/>
    <s v="2023-11-13"/>
    <s v="2023-11-13"/>
    <n v="0"/>
  </r>
  <r>
    <x v="1"/>
    <x v="126"/>
    <s v="2023-11-13"/>
    <s v="2023-11-13"/>
    <n v="0"/>
  </r>
  <r>
    <x v="6"/>
    <x v="42"/>
    <s v="2023-11-13"/>
    <s v="2023-11-13"/>
    <n v="0"/>
  </r>
  <r>
    <x v="7"/>
    <x v="124"/>
    <s v="2023-11-13"/>
    <s v="2023-11-13"/>
    <n v="0"/>
  </r>
  <r>
    <x v="7"/>
    <x v="84"/>
    <s v="2023-11-13"/>
    <s v="2023-11-13"/>
    <n v="0"/>
  </r>
  <r>
    <x v="6"/>
    <x v="54"/>
    <s v="2023-11-13"/>
    <s v="2023-11-13"/>
    <n v="0"/>
  </r>
  <r>
    <x v="4"/>
    <x v="76"/>
    <s v="2023-11-14"/>
    <s v="2023-11-14"/>
    <n v="0"/>
  </r>
  <r>
    <x v="9"/>
    <x v="139"/>
    <s v="2023-11-15"/>
    <s v="2023-11-15"/>
    <n v="0"/>
  </r>
  <r>
    <x v="8"/>
    <x v="118"/>
    <s v="2023-11-16"/>
    <s v="2023-11-16"/>
    <n v="0"/>
  </r>
  <r>
    <x v="2"/>
    <x v="52"/>
    <s v="2023-11-16"/>
    <s v="2023-11-16"/>
    <n v="0"/>
  </r>
  <r>
    <x v="10"/>
    <x v="48"/>
    <s v="2023-11-16"/>
    <s v="2023-11-16"/>
    <n v="0"/>
  </r>
  <r>
    <x v="1"/>
    <x v="104"/>
    <s v="2023-11-17"/>
    <s v="2023-11-17"/>
    <n v="0"/>
  </r>
  <r>
    <x v="8"/>
    <x v="154"/>
    <s v="2023-11-20"/>
    <s v="2023-11-20"/>
    <n v="0"/>
  </r>
  <r>
    <x v="2"/>
    <x v="155"/>
    <s v="2023-11-20"/>
    <s v="2023-11-20"/>
    <n v="0"/>
  </r>
  <r>
    <x v="2"/>
    <x v="156"/>
    <s v="2023-11-20"/>
    <s v="2023-11-20"/>
    <n v="0"/>
  </r>
  <r>
    <x v="3"/>
    <x v="140"/>
    <s v="2023-11-20"/>
    <s v="2023-11-20"/>
    <n v="0"/>
  </r>
  <r>
    <x v="10"/>
    <x v="157"/>
    <s v="2023-11-20"/>
    <s v="2023-11-20"/>
    <n v="0"/>
  </r>
  <r>
    <x v="5"/>
    <x v="103"/>
    <s v="2023-11-20"/>
    <s v="2023-11-20"/>
    <n v="0"/>
  </r>
  <r>
    <x v="11"/>
    <x v="88"/>
    <s v="2023-11-20"/>
    <s v="2023-11-20"/>
    <n v="0"/>
  </r>
  <r>
    <x v="3"/>
    <x v="51"/>
    <s v="2023-11-21"/>
    <s v="2023-11-21"/>
    <n v="0"/>
  </r>
  <r>
    <x v="4"/>
    <x v="11"/>
    <s v="2023-11-21"/>
    <s v="2023-11-21"/>
    <n v="0"/>
  </r>
  <r>
    <x v="4"/>
    <x v="125"/>
    <s v="2023-11-21"/>
    <s v="2023-11-21"/>
    <n v="0"/>
  </r>
  <r>
    <x v="2"/>
    <x v="35"/>
    <s v="2023-11-22"/>
    <s v="2023-11-22"/>
    <n v="0"/>
  </r>
  <r>
    <x v="7"/>
    <x v="158"/>
    <s v="2023-11-22"/>
    <s v="2023-11-22"/>
    <n v="0"/>
  </r>
  <r>
    <x v="4"/>
    <x v="89"/>
    <s v="2023-11-22"/>
    <s v="2023-11-22"/>
    <n v="0"/>
  </r>
  <r>
    <x v="9"/>
    <x v="138"/>
    <s v="2023-11-22"/>
    <s v="2023-11-22"/>
    <n v="0"/>
  </r>
  <r>
    <x v="9"/>
    <x v="21"/>
    <s v="2023-11-23"/>
    <s v="2023-11-23"/>
    <n v="0"/>
  </r>
  <r>
    <x v="9"/>
    <x v="159"/>
    <s v="2023-11-24"/>
    <s v="2023-11-24"/>
    <n v="0"/>
  </r>
  <r>
    <x v="10"/>
    <x v="81"/>
    <s v="2023-11-27"/>
    <s v="2023-11-27"/>
    <n v="0"/>
  </r>
  <r>
    <x v="4"/>
    <x v="152"/>
    <s v="2023-11-27"/>
    <s v="2023-11-27"/>
    <n v="0"/>
  </r>
  <r>
    <x v="1"/>
    <x v="65"/>
    <s v="2023-11-27"/>
    <s v="2023-11-27"/>
    <n v="0"/>
  </r>
  <r>
    <x v="7"/>
    <x v="119"/>
    <s v="2023-11-27"/>
    <s v="2023-11-27"/>
    <n v="0"/>
  </r>
  <r>
    <x v="1"/>
    <x v="160"/>
    <s v="2023-11-27"/>
    <s v="2023-11-27"/>
    <n v="0"/>
  </r>
  <r>
    <x v="6"/>
    <x v="161"/>
    <s v="2023-11-29"/>
    <s v="2023-11-29"/>
    <n v="0"/>
  </r>
  <r>
    <x v="5"/>
    <x v="85"/>
    <s v="2023-11-29"/>
    <s v="2023-11-29"/>
    <n v="0"/>
  </r>
  <r>
    <x v="7"/>
    <x v="41"/>
    <s v="2023-12-01"/>
    <s v="2023-12-01"/>
    <n v="0"/>
  </r>
  <r>
    <x v="9"/>
    <x v="155"/>
    <s v="2023-12-04"/>
    <s v="2023-12-04"/>
    <n v="0"/>
  </r>
  <r>
    <x v="1"/>
    <x v="106"/>
    <s v="2023-12-04"/>
    <s v="2023-12-04"/>
    <n v="0"/>
  </r>
  <r>
    <x v="3"/>
    <x v="5"/>
    <s v="2023-12-04"/>
    <s v="2023-12-04"/>
    <n v="0"/>
  </r>
  <r>
    <x v="4"/>
    <x v="20"/>
    <s v="2023-12-04"/>
    <s v="2023-12-04"/>
    <n v="0"/>
  </r>
  <r>
    <x v="3"/>
    <x v="162"/>
    <s v="2023-12-05"/>
    <s v="2023-12-05"/>
    <n v="0"/>
  </r>
  <r>
    <x v="8"/>
    <x v="163"/>
    <s v="2023-12-06"/>
    <s v="2023-12-06"/>
    <n v="0"/>
  </r>
  <r>
    <x v="9"/>
    <x v="120"/>
    <s v="2023-12-07"/>
    <s v="2023-12-07"/>
    <n v="0"/>
  </r>
  <r>
    <x v="6"/>
    <x v="164"/>
    <s v="2023-12-07"/>
    <s v="2023-12-07"/>
    <n v="0"/>
  </r>
  <r>
    <x v="8"/>
    <x v="165"/>
    <s v="2023-12-08"/>
    <s v="2023-12-08"/>
    <n v="0"/>
  </r>
  <r>
    <x v="0"/>
    <x v="91"/>
    <s v="2023-12-08"/>
    <s v="2023-12-08"/>
    <n v="0"/>
  </r>
  <r>
    <x v="6"/>
    <x v="144"/>
    <s v="2023-12-11"/>
    <s v="2023-12-11"/>
    <n v="0"/>
  </r>
  <r>
    <x v="2"/>
    <x v="9"/>
    <s v="2023-12-11"/>
    <s v="2023-12-11"/>
    <n v="0"/>
  </r>
  <r>
    <x v="2"/>
    <x v="29"/>
    <s v="2023-12-11"/>
    <s v="2023-12-11"/>
    <n v="0"/>
  </r>
  <r>
    <x v="7"/>
    <x v="166"/>
    <s v="2023-12-11"/>
    <s v="2023-12-11"/>
    <n v="0"/>
  </r>
  <r>
    <x v="7"/>
    <x v="69"/>
    <s v="2023-12-11"/>
    <s v="2023-12-11"/>
    <n v="0"/>
  </r>
  <r>
    <x v="8"/>
    <x v="57"/>
    <s v="2023-12-13"/>
    <s v="2023-12-13"/>
    <n v="0"/>
  </r>
  <r>
    <x v="8"/>
    <x v="12"/>
    <s v="2023-12-14"/>
    <s v="2023-12-14"/>
    <n v="0"/>
  </r>
  <r>
    <x v="5"/>
    <x v="16"/>
    <s v="2023-12-15"/>
    <s v="2023-12-15"/>
    <n v="0"/>
  </r>
  <r>
    <x v="4"/>
    <x v="16"/>
    <s v="2023-12-15"/>
    <s v="2023-12-15"/>
    <n v="0"/>
  </r>
  <r>
    <x v="0"/>
    <x v="3"/>
    <s v="2023-12-18"/>
    <s v="2023-12-18"/>
    <n v="0"/>
  </r>
  <r>
    <x v="6"/>
    <x v="115"/>
    <s v="2023-12-18"/>
    <s v="2023-12-18"/>
    <n v="0"/>
  </r>
  <r>
    <x v="10"/>
    <x v="52"/>
    <s v="2023-12-18"/>
    <s v="2023-12-18"/>
    <n v="0"/>
  </r>
  <r>
    <x v="7"/>
    <x v="11"/>
    <s v="2023-12-18"/>
    <s v="2023-12-18"/>
    <n v="0"/>
  </r>
  <r>
    <x v="5"/>
    <x v="78"/>
    <s v="2023-12-18"/>
    <s v="2023-12-18"/>
    <n v="0"/>
  </r>
  <r>
    <x v="4"/>
    <x v="161"/>
    <s v="2023-12-18"/>
    <s v="2023-12-18"/>
    <n v="0"/>
  </r>
  <r>
    <x v="10"/>
    <x v="17"/>
    <s v="2023-12-19"/>
    <s v="2023-12-19"/>
    <n v="0"/>
  </r>
  <r>
    <x v="0"/>
    <x v="155"/>
    <s v="2023-12-20"/>
    <s v="2023-12-20"/>
    <n v="0"/>
  </r>
  <r>
    <x v="2"/>
    <x v="26"/>
    <s v="2023-12-20"/>
    <s v="2023-12-20"/>
    <n v="0"/>
  </r>
  <r>
    <x v="11"/>
    <x v="167"/>
    <s v="2023-12-20"/>
    <s v="2023-12-20"/>
    <n v="0"/>
  </r>
  <r>
    <x v="4"/>
    <x v="113"/>
    <s v="2023-12-20"/>
    <s v="2023-12-20"/>
    <n v="0"/>
  </r>
  <r>
    <x v="8"/>
    <x v="38"/>
    <s v="2023-12-21"/>
    <s v="2023-12-21"/>
    <n v="0"/>
  </r>
  <r>
    <x v="9"/>
    <x v="45"/>
    <s v="2023-12-21"/>
    <s v="2023-12-21"/>
    <n v="0"/>
  </r>
  <r>
    <x v="11"/>
    <x v="112"/>
    <s v="2023-12-22"/>
    <s v="2023-12-22"/>
    <n v="0"/>
  </r>
  <r>
    <x v="4"/>
    <x v="53"/>
    <s v="2023-12-22"/>
    <s v="2023-12-22"/>
    <n v="0"/>
  </r>
  <r>
    <x v="1"/>
    <x v="88"/>
    <s v="2023-12-25"/>
    <s v="2023-12-25"/>
    <n v="0"/>
  </r>
  <r>
    <x v="6"/>
    <x v="92"/>
    <s v="2023-12-25"/>
    <s v="2023-12-25"/>
    <n v="0"/>
  </r>
  <r>
    <x v="6"/>
    <x v="109"/>
    <s v="2023-12-25"/>
    <s v="2023-12-25"/>
    <n v="0"/>
  </r>
  <r>
    <x v="8"/>
    <x v="60"/>
    <s v="2023-12-25"/>
    <s v="2023-12-25"/>
    <n v="0"/>
  </r>
  <r>
    <x v="3"/>
    <x v="168"/>
    <s v="2023-12-25"/>
    <s v="2023-12-25"/>
    <n v="0"/>
  </r>
  <r>
    <x v="10"/>
    <x v="123"/>
    <s v="2023-12-25"/>
    <s v="2023-12-25"/>
    <n v="0"/>
  </r>
  <r>
    <x v="0"/>
    <x v="41"/>
    <s v="2023-12-25"/>
    <s v="2023-12-25"/>
    <n v="0"/>
  </r>
  <r>
    <x v="1"/>
    <x v="140"/>
    <s v="2023-12-25"/>
    <s v="2023-12-25"/>
    <n v="0"/>
  </r>
  <r>
    <x v="4"/>
    <x v="151"/>
    <s v="2023-12-25"/>
    <s v="2023-12-25"/>
    <n v="0"/>
  </r>
  <r>
    <x v="10"/>
    <x v="13"/>
    <s v="2023-12-26"/>
    <s v="2023-12-26"/>
    <n v="0"/>
  </r>
  <r>
    <x v="5"/>
    <x v="124"/>
    <s v="2023-12-26"/>
    <s v="2023-12-26"/>
    <n v="0"/>
  </r>
  <r>
    <x v="0"/>
    <x v="106"/>
    <s v="2023-12-27"/>
    <s v="2023-12-27"/>
    <n v="0"/>
  </r>
  <r>
    <x v="6"/>
    <x v="169"/>
    <s v="2023-12-28"/>
    <s v="2023-12-28"/>
    <n v="0"/>
  </r>
  <r>
    <x v="7"/>
    <x v="22"/>
    <s v="2024-01-01"/>
    <s v="2024-01-01"/>
    <n v="0"/>
  </r>
  <r>
    <x v="4"/>
    <x v="110"/>
    <s v="2024-01-01"/>
    <s v="2024-01-01"/>
    <n v="0"/>
  </r>
  <r>
    <x v="6"/>
    <x v="22"/>
    <s v="2024-01-02"/>
    <s v="2024-01-02"/>
    <n v="0"/>
  </r>
  <r>
    <x v="5"/>
    <x v="125"/>
    <s v="2024-01-02"/>
    <s v="2024-01-02"/>
    <n v="0"/>
  </r>
  <r>
    <x v="2"/>
    <x v="78"/>
    <s v="2024-01-04"/>
    <s v="2024-01-04"/>
    <n v="0"/>
  </r>
  <r>
    <x v="7"/>
    <x v="25"/>
    <s v="2024-01-05"/>
    <s v="2024-01-05"/>
    <n v="0"/>
  </r>
  <r>
    <x v="11"/>
    <x v="43"/>
    <s v="2024-01-08"/>
    <s v="2024-01-08"/>
    <n v="0"/>
  </r>
  <r>
    <x v="2"/>
    <x v="1"/>
    <s v="2024-01-08"/>
    <s v="2024-01-08"/>
    <n v="0"/>
  </r>
  <r>
    <x v="11"/>
    <x v="21"/>
    <s v="2024-01-08"/>
    <s v="2024-01-08"/>
    <n v="0"/>
  </r>
  <r>
    <x v="9"/>
    <x v="88"/>
    <s v="2024-01-08"/>
    <s v="2024-01-08"/>
    <n v="0"/>
  </r>
  <r>
    <x v="10"/>
    <x v="121"/>
    <s v="2024-01-09"/>
    <s v="2024-01-09"/>
    <n v="0"/>
  </r>
  <r>
    <x v="4"/>
    <x v="124"/>
    <s v="2024-01-10"/>
    <s v="2024-01-10"/>
    <n v="0"/>
  </r>
  <r>
    <x v="10"/>
    <x v="95"/>
    <s v="2024-01-11"/>
    <s v="2024-01-11"/>
    <n v="0"/>
  </r>
  <r>
    <x v="11"/>
    <x v="170"/>
    <s v="2024-01-12"/>
    <s v="2024-01-12"/>
    <n v="0"/>
  </r>
  <r>
    <x v="9"/>
    <x v="171"/>
    <s v="2024-01-12"/>
    <s v="2024-01-12"/>
    <n v="0"/>
  </r>
  <r>
    <x v="6"/>
    <x v="172"/>
    <s v="2024-01-15"/>
    <s v="2024-01-15"/>
    <n v="0"/>
  </r>
  <r>
    <x v="3"/>
    <x v="173"/>
    <s v="2024-01-15"/>
    <s v="2024-01-15"/>
    <n v="0"/>
  </r>
  <r>
    <x v="6"/>
    <x v="28"/>
    <s v="2024-01-15"/>
    <s v="2024-01-15"/>
    <n v="0"/>
  </r>
  <r>
    <x v="5"/>
    <x v="87"/>
    <s v="2024-01-15"/>
    <s v="2024-01-15"/>
    <n v="0"/>
  </r>
  <r>
    <x v="11"/>
    <x v="118"/>
    <s v="2024-01-15"/>
    <s v="2024-01-15"/>
    <n v="0"/>
  </r>
  <r>
    <x v="2"/>
    <x v="122"/>
    <s v="2024-01-16"/>
    <s v="2024-01-16"/>
    <n v="0"/>
  </r>
  <r>
    <x v="11"/>
    <x v="97"/>
    <s v="2024-01-16"/>
    <s v="2024-01-16"/>
    <n v="0"/>
  </r>
  <r>
    <x v="8"/>
    <x v="141"/>
    <s v="2024-01-17"/>
    <s v="2024-01-17"/>
    <n v="0"/>
  </r>
  <r>
    <x v="4"/>
    <x v="83"/>
    <s v="2024-01-18"/>
    <s v="2024-01-18"/>
    <n v="0"/>
  </r>
  <r>
    <x v="4"/>
    <x v="90"/>
    <s v="2024-01-18"/>
    <s v="2024-01-18"/>
    <n v="0"/>
  </r>
  <r>
    <x v="3"/>
    <x v="8"/>
    <s v="2024-01-19"/>
    <s v="2024-01-19"/>
    <n v="0"/>
  </r>
  <r>
    <x v="0"/>
    <x v="147"/>
    <s v="2024-01-19"/>
    <s v="2024-01-19"/>
    <n v="0"/>
  </r>
  <r>
    <x v="8"/>
    <x v="63"/>
    <s v="2024-01-19"/>
    <s v="2024-01-19"/>
    <n v="0"/>
  </r>
  <r>
    <x v="8"/>
    <x v="49"/>
    <s v="2024-01-22"/>
    <s v="2024-01-22"/>
    <n v="0"/>
  </r>
  <r>
    <x v="6"/>
    <x v="82"/>
    <s v="2024-01-22"/>
    <s v="2024-01-22"/>
    <n v="0"/>
  </r>
  <r>
    <x v="8"/>
    <x v="153"/>
    <s v="2024-01-22"/>
    <s v="2024-01-22"/>
    <n v="0"/>
  </r>
  <r>
    <x v="0"/>
    <x v="40"/>
    <s v="2024-01-22"/>
    <s v="2024-01-22"/>
    <n v="0"/>
  </r>
  <r>
    <x v="0"/>
    <x v="112"/>
    <s v="2024-01-23"/>
    <s v="2024-01-23"/>
    <n v="0"/>
  </r>
  <r>
    <x v="0"/>
    <x v="105"/>
    <s v="2024-01-23"/>
    <s v="2024-01-23"/>
    <n v="0"/>
  </r>
  <r>
    <x v="1"/>
    <x v="158"/>
    <s v="2024-01-23"/>
    <s v="2024-01-23"/>
    <n v="0"/>
  </r>
  <r>
    <x v="0"/>
    <x v="88"/>
    <s v="2024-01-26"/>
    <s v="2024-01-26"/>
    <n v="0"/>
  </r>
  <r>
    <x v="10"/>
    <x v="34"/>
    <s v="2024-01-26"/>
    <s v="2024-01-26"/>
    <n v="0"/>
  </r>
  <r>
    <x v="4"/>
    <x v="85"/>
    <s v="2024-01-29"/>
    <s v="2024-01-29"/>
    <n v="0"/>
  </r>
  <r>
    <x v="0"/>
    <x v="127"/>
    <s v="2024-01-29"/>
    <s v="2024-01-29"/>
    <n v="0"/>
  </r>
  <r>
    <x v="5"/>
    <x v="9"/>
    <s v="2024-01-29"/>
    <s v="2024-01-29"/>
    <n v="0"/>
  </r>
  <r>
    <x v="5"/>
    <x v="44"/>
    <s v="2024-01-30"/>
    <s v="2024-01-30"/>
    <n v="0"/>
  </r>
  <r>
    <x v="9"/>
    <x v="125"/>
    <s v="2024-01-30"/>
    <s v="2024-01-30"/>
    <n v="0"/>
  </r>
  <r>
    <x v="4"/>
    <x v="157"/>
    <s v="2024-01-31"/>
    <s v="2024-01-31"/>
    <n v="0"/>
  </r>
  <r>
    <x v="9"/>
    <x v="84"/>
    <s v="2024-02-01"/>
    <s v="2024-02-01"/>
    <n v="0"/>
  </r>
  <r>
    <x v="2"/>
    <x v="164"/>
    <s v="2024-02-01"/>
    <s v="2024-02-01"/>
    <n v="0"/>
  </r>
  <r>
    <x v="0"/>
    <x v="99"/>
    <s v="2024-02-02"/>
    <s v="2024-02-02"/>
    <n v="0"/>
  </r>
  <r>
    <x v="3"/>
    <x v="114"/>
    <s v="2024-02-05"/>
    <s v="2024-02-05"/>
    <n v="0"/>
  </r>
  <r>
    <x v="9"/>
    <x v="25"/>
    <s v="2024-02-05"/>
    <s v="2024-02-05"/>
    <n v="0"/>
  </r>
  <r>
    <x v="11"/>
    <x v="160"/>
    <s v="2024-02-05"/>
    <s v="2024-02-05"/>
    <n v="0"/>
  </r>
  <r>
    <x v="9"/>
    <x v="17"/>
    <s v="2024-02-06"/>
    <s v="2024-02-06"/>
    <n v="0"/>
  </r>
  <r>
    <x v="11"/>
    <x v="132"/>
    <s v="2024-02-06"/>
    <s v="2024-02-06"/>
    <n v="0"/>
  </r>
  <r>
    <x v="0"/>
    <x v="108"/>
    <s v="2024-02-06"/>
    <s v="2024-02-06"/>
    <n v="0"/>
  </r>
  <r>
    <x v="7"/>
    <x v="140"/>
    <s v="2024-02-07"/>
    <s v="2024-02-07"/>
    <n v="0"/>
  </r>
  <r>
    <x v="9"/>
    <x v="62"/>
    <s v="2024-02-07"/>
    <s v="2024-02-07"/>
    <n v="0"/>
  </r>
  <r>
    <x v="5"/>
    <x v="109"/>
    <s v="2024-02-07"/>
    <s v="2024-02-07"/>
    <n v="0"/>
  </r>
  <r>
    <x v="0"/>
    <x v="90"/>
    <s v="2024-02-08"/>
    <s v="2024-02-08"/>
    <n v="0"/>
  </r>
  <r>
    <x v="10"/>
    <x v="174"/>
    <s v="2024-02-08"/>
    <s v="2024-02-08"/>
    <n v="0"/>
  </r>
  <r>
    <x v="1"/>
    <x v="138"/>
    <s v="2024-02-08"/>
    <s v="2024-02-08"/>
    <n v="0"/>
  </r>
  <r>
    <x v="11"/>
    <x v="28"/>
    <s v="2024-02-09"/>
    <s v="2024-02-09"/>
    <n v="0"/>
  </r>
  <r>
    <x v="0"/>
    <x v="175"/>
    <s v="2024-02-09"/>
    <s v="2024-02-09"/>
    <n v="0"/>
  </r>
  <r>
    <x v="3"/>
    <x v="176"/>
    <s v="2024-02-09"/>
    <s v="2024-02-09"/>
    <n v="0"/>
  </r>
  <r>
    <x v="9"/>
    <x v="164"/>
    <s v="2024-02-12"/>
    <s v="2024-02-12"/>
    <n v="0"/>
  </r>
  <r>
    <x v="0"/>
    <x v="20"/>
    <s v="2024-02-12"/>
    <s v="2024-02-12"/>
    <n v="0"/>
  </r>
  <r>
    <x v="6"/>
    <x v="114"/>
    <s v="2024-02-12"/>
    <s v="2024-02-12"/>
    <n v="0"/>
  </r>
  <r>
    <x v="0"/>
    <x v="177"/>
    <s v="2024-02-12"/>
    <s v="2024-02-12"/>
    <n v="0"/>
  </r>
  <r>
    <x v="3"/>
    <x v="178"/>
    <s v="2024-02-12"/>
    <s v="2024-02-12"/>
    <n v="0"/>
  </r>
  <r>
    <x v="1"/>
    <x v="179"/>
    <s v="2024-02-12"/>
    <s v="2024-02-12"/>
    <n v="0"/>
  </r>
  <r>
    <x v="6"/>
    <x v="100"/>
    <s v="2024-02-13"/>
    <s v="2024-02-13"/>
    <n v="0"/>
  </r>
  <r>
    <x v="1"/>
    <x v="40"/>
    <s v="2024-02-13"/>
    <s v="2024-02-13"/>
    <n v="0"/>
  </r>
  <r>
    <x v="9"/>
    <x v="80"/>
    <s v="2024-02-14"/>
    <s v="2024-02-14"/>
    <n v="0"/>
  </r>
  <r>
    <x v="10"/>
    <x v="30"/>
    <s v="2024-02-16"/>
    <s v="2024-02-16"/>
    <n v="0"/>
  </r>
  <r>
    <x v="8"/>
    <x v="82"/>
    <s v="2024-02-16"/>
    <s v="2024-02-16"/>
    <n v="0"/>
  </r>
  <r>
    <x v="2"/>
    <x v="91"/>
    <s v="2024-02-19"/>
    <s v="2024-02-19"/>
    <n v="0"/>
  </r>
  <r>
    <x v="6"/>
    <x v="111"/>
    <s v="2024-02-19"/>
    <s v="2024-02-19"/>
    <n v="0"/>
  </r>
  <r>
    <x v="6"/>
    <x v="126"/>
    <s v="2024-02-19"/>
    <s v="2024-02-19"/>
    <n v="0"/>
  </r>
  <r>
    <x v="10"/>
    <x v="144"/>
    <s v="2024-02-19"/>
    <s v="2024-02-19"/>
    <n v="0"/>
  </r>
  <r>
    <x v="11"/>
    <x v="158"/>
    <s v="2024-02-19"/>
    <s v="2024-02-19"/>
    <n v="0"/>
  </r>
  <r>
    <x v="9"/>
    <x v="44"/>
    <s v="2024-02-19"/>
    <s v="2024-02-19"/>
    <n v="0"/>
  </r>
  <r>
    <x v="2"/>
    <x v="77"/>
    <s v="2024-02-19"/>
    <s v="2024-02-19"/>
    <n v="0"/>
  </r>
  <r>
    <x v="11"/>
    <x v="121"/>
    <s v="2024-02-19"/>
    <s v="2024-02-19"/>
    <n v="0"/>
  </r>
  <r>
    <x v="4"/>
    <x v="108"/>
    <s v="2024-02-20"/>
    <s v="2024-02-20"/>
    <n v="0"/>
  </r>
  <r>
    <x v="9"/>
    <x v="128"/>
    <s v="2024-02-20"/>
    <s v="2024-02-20"/>
    <n v="0"/>
  </r>
  <r>
    <x v="8"/>
    <x v="123"/>
    <s v="2024-02-20"/>
    <s v="2024-02-20"/>
    <n v="0"/>
  </r>
  <r>
    <x v="11"/>
    <x v="108"/>
    <s v="2024-02-23"/>
    <s v="2024-02-23"/>
    <n v="0"/>
  </r>
  <r>
    <x v="2"/>
    <x v="0"/>
    <s v="2024-02-26"/>
    <s v="2024-02-26"/>
    <n v="0"/>
  </r>
  <r>
    <x v="10"/>
    <x v="143"/>
    <s v="2024-02-26"/>
    <s v="2024-02-26"/>
    <n v="0"/>
  </r>
  <r>
    <x v="10"/>
    <x v="128"/>
    <s v="2024-02-26"/>
    <s v="2024-02-26"/>
    <n v="0"/>
  </r>
  <r>
    <x v="6"/>
    <x v="123"/>
    <s v="2024-02-26"/>
    <s v="2024-02-26"/>
    <n v="0"/>
  </r>
  <r>
    <x v="8"/>
    <x v="180"/>
    <s v="2024-02-26"/>
    <s v="2024-02-26"/>
    <n v="0"/>
  </r>
  <r>
    <x v="8"/>
    <x v="21"/>
    <s v="2024-02-26"/>
    <s v="2024-02-26"/>
    <n v="0"/>
  </r>
  <r>
    <x v="5"/>
    <x v="174"/>
    <s v="2024-02-26"/>
    <s v="2024-02-26"/>
    <n v="0"/>
  </r>
  <r>
    <x v="10"/>
    <x v="166"/>
    <s v="2024-02-26"/>
    <s v="2024-02-26"/>
    <n v="0"/>
  </r>
  <r>
    <x v="9"/>
    <x v="86"/>
    <s v="2024-02-27"/>
    <s v="2024-02-27"/>
    <n v="0"/>
  </r>
  <r>
    <x v="4"/>
    <x v="172"/>
    <s v="2024-02-29"/>
    <s v="2024-02-29"/>
    <n v="0"/>
  </r>
  <r>
    <x v="2"/>
    <x v="17"/>
    <s v="2024-03-04"/>
    <s v="2024-03-04"/>
    <n v="0"/>
  </r>
  <r>
    <x v="4"/>
    <x v="21"/>
    <s v="2024-03-04"/>
    <s v="2024-03-04"/>
    <n v="0"/>
  </r>
  <r>
    <x v="11"/>
    <x v="109"/>
    <s v="2024-03-04"/>
    <s v="2024-03-04"/>
    <n v="0"/>
  </r>
  <r>
    <x v="7"/>
    <x v="97"/>
    <s v="2024-03-04"/>
    <s v="2024-03-04"/>
    <n v="0"/>
  </r>
  <r>
    <x v="11"/>
    <x v="38"/>
    <s v="2024-03-04"/>
    <s v="2024-03-04"/>
    <n v="0"/>
  </r>
  <r>
    <x v="5"/>
    <x v="39"/>
    <s v="2024-03-04"/>
    <s v="2024-03-04"/>
    <n v="0"/>
  </r>
  <r>
    <x v="6"/>
    <x v="64"/>
    <s v="2024-03-04"/>
    <s v="2024-03-04"/>
    <n v="0"/>
  </r>
  <r>
    <x v="7"/>
    <x v="2"/>
    <s v="2024-03-04"/>
    <s v="2024-03-04"/>
    <n v="0"/>
  </r>
  <r>
    <x v="2"/>
    <x v="90"/>
    <s v="2024-03-05"/>
    <s v="2024-03-05"/>
    <n v="0"/>
  </r>
  <r>
    <x v="2"/>
    <x v="105"/>
    <s v="2024-03-05"/>
    <s v="2024-03-05"/>
    <n v="0"/>
  </r>
  <r>
    <x v="10"/>
    <x v="46"/>
    <s v="2024-03-05"/>
    <s v="2024-03-05"/>
    <n v="0"/>
  </r>
  <r>
    <x v="8"/>
    <x v="28"/>
    <s v="2024-03-05"/>
    <s v="2024-03-05"/>
    <n v="0"/>
  </r>
  <r>
    <x v="0"/>
    <x v="92"/>
    <s v="2024-03-06"/>
    <s v="2024-03-06"/>
    <n v="0"/>
  </r>
  <r>
    <x v="8"/>
    <x v="86"/>
    <s v="2024-03-06"/>
    <s v="2024-03-06"/>
    <n v="0"/>
  </r>
  <r>
    <x v="6"/>
    <x v="14"/>
    <s v="2024-03-07"/>
    <s v="2024-03-07"/>
    <n v="0"/>
  </r>
  <r>
    <x v="4"/>
    <x v="6"/>
    <s v="2024-03-07"/>
    <s v="2024-03-07"/>
    <n v="0"/>
  </r>
  <r>
    <x v="6"/>
    <x v="171"/>
    <s v="2024-03-08"/>
    <s v="2024-03-08"/>
    <n v="0"/>
  </r>
  <r>
    <x v="2"/>
    <x v="166"/>
    <s v="2024-03-11"/>
    <s v="2024-03-11"/>
    <n v="0"/>
  </r>
  <r>
    <x v="3"/>
    <x v="60"/>
    <s v="2024-03-11"/>
    <s v="2024-03-11"/>
    <n v="0"/>
  </r>
  <r>
    <x v="3"/>
    <x v="145"/>
    <s v="2024-03-12"/>
    <s v="2024-03-12"/>
    <n v="0"/>
  </r>
  <r>
    <x v="3"/>
    <x v="181"/>
    <s v="2024-03-12"/>
    <s v="2024-03-12"/>
    <n v="0"/>
  </r>
  <r>
    <x v="5"/>
    <x v="119"/>
    <s v="2024-03-12"/>
    <s v="2024-03-12"/>
    <n v="0"/>
  </r>
  <r>
    <x v="10"/>
    <x v="132"/>
    <s v="2024-03-13"/>
    <s v="2024-03-13"/>
    <n v="0"/>
  </r>
  <r>
    <x v="3"/>
    <x v="133"/>
    <s v="2024-03-14"/>
    <s v="2024-03-14"/>
    <n v="0"/>
  </r>
  <r>
    <x v="4"/>
    <x v="173"/>
    <s v="2024-03-14"/>
    <s v="2024-03-14"/>
    <n v="0"/>
  </r>
  <r>
    <x v="2"/>
    <x v="165"/>
    <s v="2024-03-15"/>
    <s v="2024-03-15"/>
    <n v="0"/>
  </r>
  <r>
    <x v="1"/>
    <x v="91"/>
    <s v="2024-03-15"/>
    <s v="2024-03-15"/>
    <n v="0"/>
  </r>
  <r>
    <x v="2"/>
    <x v="182"/>
    <s v="2024-03-18"/>
    <s v="2024-03-18"/>
    <n v="0"/>
  </r>
  <r>
    <x v="4"/>
    <x v="183"/>
    <s v="2024-03-18"/>
    <s v="2024-03-18"/>
    <n v="0"/>
  </r>
  <r>
    <x v="3"/>
    <x v="109"/>
    <s v="2024-03-18"/>
    <s v="2024-03-18"/>
    <n v="0"/>
  </r>
  <r>
    <x v="2"/>
    <x v="168"/>
    <s v="2024-03-18"/>
    <s v="2024-03-18"/>
    <n v="0"/>
  </r>
  <r>
    <x v="4"/>
    <x v="28"/>
    <s v="2024-03-18"/>
    <s v="2024-03-18"/>
    <n v="0"/>
  </r>
  <r>
    <x v="9"/>
    <x v="32"/>
    <s v="2024-03-18"/>
    <s v="2024-03-18"/>
    <n v="0"/>
  </r>
  <r>
    <x v="2"/>
    <x v="184"/>
    <s v="2024-03-19"/>
    <s v="2024-03-19"/>
    <n v="0"/>
  </r>
  <r>
    <x v="5"/>
    <x v="165"/>
    <s v="2024-03-20"/>
    <s v="2024-03-20"/>
    <n v="0"/>
  </r>
  <r>
    <x v="1"/>
    <x v="37"/>
    <s v="2024-03-21"/>
    <s v="2024-03-21"/>
    <n v="0"/>
  </r>
  <r>
    <x v="3"/>
    <x v="61"/>
    <s v="2024-03-22"/>
    <s v="2024-03-22"/>
    <n v="0"/>
  </r>
  <r>
    <x v="9"/>
    <x v="91"/>
    <s v="2024-03-22"/>
    <s v="2024-03-22"/>
    <n v="0"/>
  </r>
  <r>
    <x v="9"/>
    <x v="113"/>
    <s v="2024-03-25"/>
    <s v="2024-03-25"/>
    <n v="0"/>
  </r>
  <r>
    <x v="0"/>
    <x v="163"/>
    <s v="2024-03-26"/>
    <s v="2024-03-26"/>
    <n v="0"/>
  </r>
  <r>
    <x v="5"/>
    <x v="117"/>
    <s v="2024-03-26"/>
    <s v="2024-03-26"/>
    <n v="0"/>
  </r>
  <r>
    <x v="11"/>
    <x v="12"/>
    <s v="2024-03-27"/>
    <s v="2024-03-27"/>
    <n v="0"/>
  </r>
  <r>
    <x v="8"/>
    <x v="127"/>
    <s v="2024-03-27"/>
    <s v="2024-03-27"/>
    <n v="0"/>
  </r>
  <r>
    <x v="7"/>
    <x v="39"/>
    <s v="2024-03-28"/>
    <s v="2024-03-28"/>
    <n v="0"/>
  </r>
  <r>
    <x v="6"/>
    <x v="27"/>
    <s v="2024-03-28"/>
    <s v="2024-03-28"/>
    <n v="0"/>
  </r>
  <r>
    <x v="2"/>
    <x v="28"/>
    <s v="2024-04-01"/>
    <s v="2024-04-01"/>
    <n v="0"/>
  </r>
  <r>
    <x v="11"/>
    <x v="9"/>
    <s v="2024-04-01"/>
    <s v="2024-04-01"/>
    <n v="0"/>
  </r>
  <r>
    <x v="5"/>
    <x v="46"/>
    <s v="2024-04-01"/>
    <s v="2024-04-01"/>
    <n v="0"/>
  </r>
  <r>
    <x v="4"/>
    <x v="82"/>
    <s v="2024-04-01"/>
    <s v="2024-04-01"/>
    <n v="0"/>
  </r>
  <r>
    <x v="3"/>
    <x v="15"/>
    <s v="2024-04-01"/>
    <s v="2024-04-01"/>
    <n v="0"/>
  </r>
  <r>
    <x v="1"/>
    <x v="66"/>
    <s v="2024-04-02"/>
    <s v="2024-04-02"/>
    <n v="0"/>
  </r>
  <r>
    <x v="0"/>
    <x v="176"/>
    <s v="2024-04-02"/>
    <s v="2024-04-02"/>
    <n v="0"/>
  </r>
  <r>
    <x v="7"/>
    <x v="107"/>
    <s v="2024-04-02"/>
    <s v="2024-04-02"/>
    <n v="0"/>
  </r>
  <r>
    <x v="6"/>
    <x v="93"/>
    <s v="2024-04-03"/>
    <s v="2024-04-03"/>
    <n v="0"/>
  </r>
  <r>
    <x v="11"/>
    <x v="47"/>
    <s v="2024-04-03"/>
    <s v="2024-04-03"/>
    <n v="0"/>
  </r>
  <r>
    <x v="5"/>
    <x v="29"/>
    <s v="2024-04-03"/>
    <s v="2024-04-03"/>
    <n v="0"/>
  </r>
  <r>
    <x v="2"/>
    <x v="83"/>
    <s v="2024-04-04"/>
    <s v="2024-04-04"/>
    <n v="0"/>
  </r>
  <r>
    <x v="9"/>
    <x v="5"/>
    <s v="2024-04-05"/>
    <s v="2024-04-05"/>
    <n v="0"/>
  </r>
  <r>
    <x v="6"/>
    <x v="153"/>
    <s v="2024-04-05"/>
    <s v="2024-04-05"/>
    <n v="0"/>
  </r>
  <r>
    <x v="11"/>
    <x v="125"/>
    <s v="2024-04-08"/>
    <s v="2024-04-08"/>
    <n v="0"/>
  </r>
  <r>
    <x v="1"/>
    <x v="145"/>
    <s v="2024-04-08"/>
    <s v="2024-04-08"/>
    <n v="0"/>
  </r>
  <r>
    <x v="3"/>
    <x v="156"/>
    <s v="2024-04-08"/>
    <s v="2024-04-08"/>
    <n v="0"/>
  </r>
  <r>
    <x v="10"/>
    <x v="135"/>
    <s v="2024-04-08"/>
    <s v="2024-04-08"/>
    <n v="0"/>
  </r>
  <r>
    <x v="6"/>
    <x v="53"/>
    <s v="2024-04-08"/>
    <s v="2024-04-08"/>
    <n v="0"/>
  </r>
  <r>
    <x v="10"/>
    <x v="109"/>
    <s v="2024-04-08"/>
    <s v="2024-04-08"/>
    <n v="0"/>
  </r>
  <r>
    <x v="8"/>
    <x v="184"/>
    <s v="2024-04-09"/>
    <s v="2024-04-09"/>
    <n v="0"/>
  </r>
  <r>
    <x v="9"/>
    <x v="183"/>
    <s v="2024-04-10"/>
    <s v="2024-04-10"/>
    <n v="0"/>
  </r>
  <r>
    <x v="3"/>
    <x v="159"/>
    <s v="2024-04-10"/>
    <s v="2024-04-10"/>
    <n v="0"/>
  </r>
  <r>
    <x v="9"/>
    <x v="94"/>
    <s v="2024-04-11"/>
    <s v="2024-04-11"/>
    <n v="0"/>
  </r>
  <r>
    <x v="1"/>
    <x v="62"/>
    <s v="2024-04-12"/>
    <s v="2024-04-12"/>
    <n v="0"/>
  </r>
  <r>
    <x v="1"/>
    <x v="60"/>
    <s v="2024-04-15"/>
    <s v="2024-04-15"/>
    <n v="0"/>
  </r>
  <r>
    <x v="9"/>
    <x v="19"/>
    <s v="2024-04-15"/>
    <s v="2024-04-15"/>
    <n v="0"/>
  </r>
  <r>
    <x v="4"/>
    <x v="119"/>
    <s v="2024-04-15"/>
    <s v="2024-04-15"/>
    <n v="0"/>
  </r>
  <r>
    <x v="5"/>
    <x v="146"/>
    <s v="2024-04-15"/>
    <s v="2024-04-15"/>
    <n v="0"/>
  </r>
  <r>
    <x v="8"/>
    <x v="142"/>
    <s v="2024-04-16"/>
    <s v="2024-04-16"/>
    <n v="0"/>
  </r>
  <r>
    <x v="2"/>
    <x v="19"/>
    <s v="2024-04-16"/>
    <s v="2024-04-16"/>
    <n v="0"/>
  </r>
  <r>
    <x v="8"/>
    <x v="168"/>
    <s v="2024-04-16"/>
    <s v="2024-04-16"/>
    <n v="0"/>
  </r>
  <r>
    <x v="5"/>
    <x v="160"/>
    <s v="2024-04-17"/>
    <s v="2024-04-17"/>
    <n v="0"/>
  </r>
  <r>
    <x v="11"/>
    <x v="50"/>
    <s v="2024-04-17"/>
    <s v="2024-04-17"/>
    <n v="0"/>
  </r>
  <r>
    <x v="6"/>
    <x v="67"/>
    <s v="2024-04-18"/>
    <s v="2024-04-18"/>
    <n v="0"/>
  </r>
  <r>
    <x v="5"/>
    <x v="183"/>
    <s v="2024-04-18"/>
    <s v="2024-04-18"/>
    <n v="0"/>
  </r>
  <r>
    <x v="7"/>
    <x v="128"/>
    <s v="2024-04-19"/>
    <s v="2024-04-19"/>
    <n v="0"/>
  </r>
  <r>
    <x v="7"/>
    <x v="40"/>
    <s v="2024-04-19"/>
    <s v="2024-04-19"/>
    <n v="0"/>
  </r>
  <r>
    <x v="4"/>
    <x v="134"/>
    <s v="2024-04-22"/>
    <s v="2024-04-22"/>
    <n v="0"/>
  </r>
  <r>
    <x v="2"/>
    <x v="124"/>
    <s v="2024-04-22"/>
    <s v="2024-04-22"/>
    <n v="0"/>
  </r>
  <r>
    <x v="1"/>
    <x v="45"/>
    <s v="2024-04-22"/>
    <s v="2024-04-22"/>
    <n v="0"/>
  </r>
  <r>
    <x v="6"/>
    <x v="83"/>
    <s v="2024-04-24"/>
    <s v="2024-04-24"/>
    <n v="0"/>
  </r>
  <r>
    <x v="11"/>
    <x v="131"/>
    <s v="2024-04-24"/>
    <s v="2024-04-24"/>
    <n v="0"/>
  </r>
  <r>
    <x v="5"/>
    <x v="77"/>
    <s v="2024-04-25"/>
    <s v="2024-04-25"/>
    <n v="0"/>
  </r>
  <r>
    <x v="0"/>
    <x v="136"/>
    <s v="2024-04-25"/>
    <s v="2024-04-25"/>
    <n v="0"/>
  </r>
  <r>
    <x v="11"/>
    <x v="185"/>
    <s v="2024-04-26"/>
    <s v="2024-04-26"/>
    <n v="0"/>
  </r>
  <r>
    <x v="6"/>
    <x v="45"/>
    <s v="2024-04-26"/>
    <s v="2024-04-26"/>
    <n v="0"/>
  </r>
  <r>
    <x v="3"/>
    <x v="150"/>
    <s v="2024-04-26"/>
    <s v="2024-04-26"/>
    <n v="0"/>
  </r>
  <r>
    <x v="8"/>
    <x v="26"/>
    <s v="2024-04-29"/>
    <s v="2024-04-29"/>
    <n v="0"/>
  </r>
  <r>
    <x v="9"/>
    <x v="100"/>
    <s v="2024-04-29"/>
    <s v="2024-04-29"/>
    <n v="0"/>
  </r>
  <r>
    <x v="0"/>
    <x v="59"/>
    <s v="2024-04-29"/>
    <s v="2024-04-29"/>
    <n v="0"/>
  </r>
  <r>
    <x v="0"/>
    <x v="142"/>
    <s v="2024-04-29"/>
    <s v="2024-04-29"/>
    <n v="0"/>
  </r>
  <r>
    <x v="7"/>
    <x v="85"/>
    <s v="2024-04-30"/>
    <s v="2024-04-30"/>
    <n v="0"/>
  </r>
  <r>
    <x v="9"/>
    <x v="67"/>
    <s v="2024-05-01"/>
    <s v="2024-05-01"/>
    <n v="0"/>
  </r>
  <r>
    <x v="1"/>
    <x v="105"/>
    <s v="2024-05-02"/>
    <s v="2024-05-02"/>
    <n v="0"/>
  </r>
  <r>
    <x v="1"/>
    <x v="172"/>
    <s v="2024-05-03"/>
    <s v="2024-05-03"/>
    <n v="0"/>
  </r>
  <r>
    <x v="7"/>
    <x v="47"/>
    <s v="2024-05-06"/>
    <s v="2024-05-06"/>
    <n v="0"/>
  </r>
  <r>
    <x v="0"/>
    <x v="116"/>
    <s v="2024-05-06"/>
    <s v="2024-05-06"/>
    <n v="0"/>
  </r>
  <r>
    <x v="5"/>
    <x v="177"/>
    <s v="2024-05-06"/>
    <s v="2024-05-06"/>
    <n v="0"/>
  </r>
  <r>
    <x v="5"/>
    <x v="71"/>
    <s v="2024-05-06"/>
    <s v="2024-05-06"/>
    <n v="0"/>
  </r>
  <r>
    <x v="10"/>
    <x v="170"/>
    <s v="2024-05-06"/>
    <s v="2024-05-06"/>
    <n v="0"/>
  </r>
  <r>
    <x v="8"/>
    <x v="31"/>
    <s v="2024-05-06"/>
    <s v="2024-05-06"/>
    <n v="0"/>
  </r>
  <r>
    <x v="10"/>
    <x v="92"/>
    <s v="2024-05-07"/>
    <s v="2024-05-07"/>
    <n v="0"/>
  </r>
  <r>
    <x v="1"/>
    <x v="2"/>
    <s v="2024-05-07"/>
    <s v="2024-05-07"/>
    <n v="0"/>
  </r>
  <r>
    <x v="4"/>
    <x v="118"/>
    <s v="2024-05-08"/>
    <s v="2024-05-08"/>
    <n v="0"/>
  </r>
  <r>
    <x v="6"/>
    <x v="68"/>
    <s v="2024-05-08"/>
    <s v="2024-05-08"/>
    <n v="0"/>
  </r>
  <r>
    <x v="0"/>
    <x v="6"/>
    <s v="2024-05-10"/>
    <s v="2024-05-10"/>
    <n v="0"/>
  </r>
  <r>
    <x v="6"/>
    <x v="186"/>
    <s v="2024-05-10"/>
    <s v="2024-05-10"/>
    <n v="0"/>
  </r>
  <r>
    <x v="9"/>
    <x v="73"/>
    <s v="2024-05-13"/>
    <s v="2024-05-13"/>
    <n v="0"/>
  </r>
  <r>
    <x v="8"/>
    <x v="104"/>
    <s v="2024-05-13"/>
    <s v="2024-05-13"/>
    <n v="0"/>
  </r>
  <r>
    <x v="1"/>
    <x v="82"/>
    <s v="2024-05-13"/>
    <s v="2024-05-13"/>
    <n v="0"/>
  </r>
  <r>
    <x v="8"/>
    <x v="124"/>
    <s v="2024-05-13"/>
    <s v="2024-05-13"/>
    <n v="0"/>
  </r>
  <r>
    <x v="0"/>
    <x v="179"/>
    <s v="2024-05-13"/>
    <s v="2024-05-13"/>
    <n v="0"/>
  </r>
  <r>
    <x v="9"/>
    <x v="69"/>
    <s v="2024-05-13"/>
    <s v="2024-05-13"/>
    <n v="0"/>
  </r>
  <r>
    <x v="10"/>
    <x v="184"/>
    <s v="2024-05-14"/>
    <s v="2024-05-14"/>
    <n v="0"/>
  </r>
  <r>
    <x v="5"/>
    <x v="4"/>
    <s v="2024-05-14"/>
    <s v="2024-05-14"/>
    <n v="0"/>
  </r>
  <r>
    <x v="5"/>
    <x v="142"/>
    <s v="2024-05-14"/>
    <s v="2024-05-14"/>
    <n v="0"/>
  </r>
  <r>
    <x v="2"/>
    <x v="42"/>
    <s v="2024-05-15"/>
    <s v="2024-05-15"/>
    <n v="0"/>
  </r>
  <r>
    <x v="3"/>
    <x v="84"/>
    <s v="2024-05-16"/>
    <s v="2024-05-16"/>
    <n v="0"/>
  </r>
  <r>
    <x v="4"/>
    <x v="180"/>
    <s v="2024-05-16"/>
    <s v="2024-05-16"/>
    <n v="0"/>
  </r>
  <r>
    <x v="6"/>
    <x v="187"/>
    <s v="2024-05-16"/>
    <s v="2024-05-16"/>
    <n v="0"/>
  </r>
  <r>
    <x v="9"/>
    <x v="57"/>
    <s v="2024-05-16"/>
    <s v="2024-05-16"/>
    <n v="0"/>
  </r>
  <r>
    <x v="6"/>
    <x v="157"/>
    <s v="2024-05-16"/>
    <s v="2024-05-16"/>
    <n v="0"/>
  </r>
  <r>
    <x v="6"/>
    <x v="66"/>
    <s v="2024-05-17"/>
    <s v="2024-05-17"/>
    <n v="0"/>
  </r>
  <r>
    <x v="5"/>
    <x v="145"/>
    <s v="2024-05-17"/>
    <s v="2024-05-17"/>
    <n v="0"/>
  </r>
  <r>
    <x v="0"/>
    <x v="188"/>
    <s v="2024-05-20"/>
    <s v="2024-05-20"/>
    <n v="0"/>
  </r>
  <r>
    <x v="6"/>
    <x v="189"/>
    <s v="2024-05-20"/>
    <s v="2024-05-20"/>
    <n v="0"/>
  </r>
  <r>
    <x v="10"/>
    <x v="89"/>
    <s v="2024-05-20"/>
    <s v="2024-05-20"/>
    <n v="0"/>
  </r>
  <r>
    <x v="1"/>
    <x v="190"/>
    <s v="2024-05-20"/>
    <s v="2024-05-20"/>
    <n v="0"/>
  </r>
  <r>
    <x v="0"/>
    <x v="29"/>
    <s v="2024-05-20"/>
    <s v="2024-05-20"/>
    <n v="0"/>
  </r>
  <r>
    <x v="2"/>
    <x v="172"/>
    <s v="2024-05-20"/>
    <s v="2024-05-20"/>
    <n v="0"/>
  </r>
  <r>
    <x v="0"/>
    <x v="9"/>
    <s v="2024-05-20"/>
    <s v="2024-05-20"/>
    <n v="0"/>
  </r>
  <r>
    <x v="6"/>
    <x v="173"/>
    <s v="2024-05-20"/>
    <s v="2024-05-20"/>
    <n v="0"/>
  </r>
  <r>
    <x v="3"/>
    <x v="93"/>
    <s v="2024-05-20"/>
    <s v="2024-05-20"/>
    <n v="0"/>
  </r>
  <r>
    <x v="10"/>
    <x v="53"/>
    <s v="2024-05-22"/>
    <s v="2024-05-22"/>
    <n v="0"/>
  </r>
  <r>
    <x v="3"/>
    <x v="54"/>
    <s v="2024-05-22"/>
    <s v="2024-05-22"/>
    <n v="0"/>
  </r>
  <r>
    <x v="5"/>
    <x v="66"/>
    <s v="2024-05-22"/>
    <s v="2024-05-22"/>
    <n v="0"/>
  </r>
  <r>
    <x v="5"/>
    <x v="178"/>
    <s v="2024-05-22"/>
    <s v="2024-05-22"/>
    <n v="0"/>
  </r>
  <r>
    <x v="3"/>
    <x v="137"/>
    <s v="2024-05-24"/>
    <s v="2024-05-24"/>
    <n v="0"/>
  </r>
  <r>
    <x v="8"/>
    <x v="172"/>
    <s v="2024-05-24"/>
    <s v="2024-05-24"/>
    <n v="0"/>
  </r>
  <r>
    <x v="1"/>
    <x v="70"/>
    <s v="2024-05-24"/>
    <s v="2024-05-24"/>
    <n v="0"/>
  </r>
  <r>
    <x v="6"/>
    <x v="149"/>
    <s v="2024-05-27"/>
    <s v="2024-05-27"/>
    <n v="0"/>
  </r>
  <r>
    <x v="6"/>
    <x v="55"/>
    <s v="2024-05-27"/>
    <s v="2024-05-27"/>
    <n v="0"/>
  </r>
  <r>
    <x v="8"/>
    <x v="30"/>
    <s v="2024-05-27"/>
    <s v="2024-05-27"/>
    <n v="0"/>
  </r>
  <r>
    <x v="6"/>
    <x v="168"/>
    <s v="2024-05-27"/>
    <s v="2024-05-27"/>
    <n v="0"/>
  </r>
  <r>
    <x v="10"/>
    <x v="162"/>
    <s v="2024-05-27"/>
    <s v="2024-05-27"/>
    <n v="0"/>
  </r>
  <r>
    <x v="5"/>
    <x v="112"/>
    <s v="2024-05-27"/>
    <s v="2024-05-27"/>
    <n v="0"/>
  </r>
  <r>
    <x v="7"/>
    <x v="163"/>
    <s v="2024-05-27"/>
    <s v="2024-05-27"/>
    <n v="0"/>
  </r>
  <r>
    <x v="8"/>
    <x v="65"/>
    <s v="2024-05-28"/>
    <s v="2024-05-28"/>
    <n v="0"/>
  </r>
  <r>
    <x v="8"/>
    <x v="164"/>
    <s v="2024-05-31"/>
    <s v="2024-05-31"/>
    <n v="0"/>
  </r>
  <r>
    <x v="3"/>
    <x v="191"/>
    <s v="2024-05-31"/>
    <s v="2024-05-31"/>
    <n v="0"/>
  </r>
  <r>
    <x v="7"/>
    <x v="160"/>
    <s v="2024-05-31"/>
    <s v="2024-05-31"/>
    <n v="0"/>
  </r>
  <r>
    <x v="11"/>
    <x v="60"/>
    <s v="2024-05-31"/>
    <s v="2024-05-31"/>
    <n v="0"/>
  </r>
  <r>
    <x v="8"/>
    <x v="43"/>
    <s v="2024-06-03"/>
    <s v="2024-06-03"/>
    <n v="0"/>
  </r>
  <r>
    <x v="9"/>
    <x v="3"/>
    <s v="2024-06-03"/>
    <s v="2024-06-03"/>
    <n v="0"/>
  </r>
  <r>
    <x v="10"/>
    <x v="159"/>
    <s v="2024-06-03"/>
    <s v="2024-06-03"/>
    <n v="0"/>
  </r>
  <r>
    <x v="4"/>
    <x v="142"/>
    <s v="2024-06-03"/>
    <s v="2024-06-03"/>
    <n v="0"/>
  </r>
  <r>
    <x v="6"/>
    <x v="52"/>
    <s v="2024-06-03"/>
    <s v="2024-06-03"/>
    <n v="0"/>
  </r>
  <r>
    <x v="3"/>
    <x v="30"/>
    <s v="2024-06-04"/>
    <s v="2024-06-04"/>
    <n v="0"/>
  </r>
  <r>
    <x v="9"/>
    <x v="16"/>
    <s v="2024-06-04"/>
    <s v="2024-06-04"/>
    <n v="0"/>
  </r>
  <r>
    <x v="11"/>
    <x v="81"/>
    <s v="2024-06-05"/>
    <s v="2024-06-05"/>
    <n v="0"/>
  </r>
  <r>
    <x v="2"/>
    <x v="185"/>
    <s v="2024-06-05"/>
    <s v="2024-06-05"/>
    <n v="0"/>
  </r>
  <r>
    <x v="6"/>
    <x v="129"/>
    <s v="2024-06-05"/>
    <s v="2024-06-05"/>
    <n v="0"/>
  </r>
  <r>
    <x v="5"/>
    <x v="60"/>
    <s v="2024-06-06"/>
    <s v="2024-06-06"/>
    <n v="0"/>
  </r>
  <r>
    <x v="9"/>
    <x v="31"/>
    <s v="2024-06-07"/>
    <s v="2024-06-07"/>
    <n v="0"/>
  </r>
  <r>
    <x v="5"/>
    <x v="25"/>
    <s v="2024-06-07"/>
    <s v="2024-06-07"/>
    <n v="0"/>
  </r>
  <r>
    <x v="0"/>
    <x v="191"/>
    <s v="2024-06-07"/>
    <s v="2024-06-07"/>
    <n v="0"/>
  </r>
  <r>
    <x v="11"/>
    <x v="70"/>
    <s v="2024-06-10"/>
    <s v="2024-06-10"/>
    <n v="0"/>
  </r>
  <r>
    <x v="8"/>
    <x v="6"/>
    <s v="2024-06-10"/>
    <s v="2024-06-10"/>
    <n v="0"/>
  </r>
  <r>
    <x v="3"/>
    <x v="52"/>
    <s v="2024-06-10"/>
    <s v="2024-06-10"/>
    <n v="0"/>
  </r>
  <r>
    <x v="11"/>
    <x v="172"/>
    <s v="2024-06-10"/>
    <s v="2024-06-10"/>
    <n v="0"/>
  </r>
  <r>
    <x v="0"/>
    <x v="82"/>
    <s v="2024-06-11"/>
    <s v="2024-06-11"/>
    <n v="0"/>
  </r>
  <r>
    <x v="5"/>
    <x v="12"/>
    <s v="2024-06-11"/>
    <s v="2024-06-11"/>
    <n v="0"/>
  </r>
  <r>
    <x v="1"/>
    <x v="20"/>
    <s v="2024-06-11"/>
    <s v="2024-06-11"/>
    <n v="0"/>
  </r>
  <r>
    <x v="6"/>
    <x v="4"/>
    <s v="2024-06-11"/>
    <s v="2024-06-11"/>
    <n v="0"/>
  </r>
  <r>
    <x v="5"/>
    <x v="63"/>
    <s v="2024-06-11"/>
    <s v="2024-06-11"/>
    <n v="0"/>
  </r>
  <r>
    <x v="9"/>
    <x v="153"/>
    <s v="2024-06-11"/>
    <s v="2024-06-11"/>
    <n v="0"/>
  </r>
  <r>
    <x v="5"/>
    <x v="92"/>
    <s v="2024-06-12"/>
    <s v="2024-06-12"/>
    <n v="0"/>
  </r>
  <r>
    <x v="0"/>
    <x v="144"/>
    <s v="2024-06-12"/>
    <s v="2024-06-12"/>
    <n v="0"/>
  </r>
  <r>
    <x v="3"/>
    <x v="85"/>
    <s v="2024-06-12"/>
    <s v="2024-06-12"/>
    <n v="0"/>
  </r>
  <r>
    <x v="9"/>
    <x v="179"/>
    <s v="2024-06-13"/>
    <s v="2024-06-13"/>
    <n v="0"/>
  </r>
  <r>
    <x v="0"/>
    <x v="39"/>
    <s v="2024-06-13"/>
    <s v="2024-06-13"/>
    <n v="0"/>
  </r>
  <r>
    <x v="3"/>
    <x v="169"/>
    <s v="2024-06-13"/>
    <s v="2024-06-13"/>
    <n v="0"/>
  </r>
  <r>
    <x v="10"/>
    <x v="44"/>
    <s v="2024-06-13"/>
    <s v="2024-06-13"/>
    <n v="0"/>
  </r>
  <r>
    <x v="11"/>
    <x v="177"/>
    <s v="2024-06-14"/>
    <s v="2024-06-14"/>
    <n v="0"/>
  </r>
  <r>
    <x v="2"/>
    <x v="113"/>
    <s v="2024-06-14"/>
    <s v="2024-06-14"/>
    <n v="0"/>
  </r>
  <r>
    <x v="4"/>
    <x v="29"/>
    <s v="2024-06-14"/>
    <s v="2024-06-14"/>
    <n v="0"/>
  </r>
  <r>
    <x v="5"/>
    <x v="73"/>
    <s v="2024-06-17"/>
    <s v="2024-06-17"/>
    <n v="0"/>
  </r>
  <r>
    <x v="5"/>
    <x v="91"/>
    <s v="2024-06-17"/>
    <s v="2024-06-17"/>
    <n v="0"/>
  </r>
  <r>
    <x v="6"/>
    <x v="145"/>
    <s v="2024-06-17"/>
    <s v="2024-06-17"/>
    <n v="0"/>
  </r>
  <r>
    <x v="11"/>
    <x v="169"/>
    <s v="2024-06-17"/>
    <s v="2024-06-17"/>
    <n v="0"/>
  </r>
  <r>
    <x v="0"/>
    <x v="27"/>
    <s v="2024-06-17"/>
    <s v="2024-06-17"/>
    <n v="0"/>
  </r>
  <r>
    <x v="2"/>
    <x v="10"/>
    <s v="2024-06-18"/>
    <s v="2024-06-18"/>
    <n v="0"/>
  </r>
  <r>
    <x v="10"/>
    <x v="137"/>
    <s v="2024-06-18"/>
    <s v="2024-06-18"/>
    <n v="0"/>
  </r>
  <r>
    <x v="7"/>
    <x v="109"/>
    <s v="2024-06-18"/>
    <s v="2024-06-18"/>
    <n v="0"/>
  </r>
  <r>
    <x v="1"/>
    <x v="132"/>
    <s v="2024-06-19"/>
    <s v="2024-06-19"/>
    <n v="0"/>
  </r>
  <r>
    <x v="9"/>
    <x v="161"/>
    <s v="2024-06-19"/>
    <s v="2024-06-19"/>
    <n v="0"/>
  </r>
  <r>
    <x v="4"/>
    <x v="177"/>
    <s v="2024-06-19"/>
    <s v="2024-06-19"/>
    <n v="0"/>
  </r>
  <r>
    <x v="3"/>
    <x v="91"/>
    <s v="2024-06-20"/>
    <s v="2024-06-20"/>
    <n v="0"/>
  </r>
  <r>
    <x v="4"/>
    <x v="97"/>
    <s v="2024-06-20"/>
    <s v="2024-06-20"/>
    <n v="0"/>
  </r>
  <r>
    <x v="1"/>
    <x v="124"/>
    <s v="2024-06-20"/>
    <s v="2024-06-20"/>
    <n v="0"/>
  </r>
  <r>
    <x v="0"/>
    <x v="117"/>
    <s v="2024-06-20"/>
    <s v="2024-06-20"/>
    <n v="0"/>
  </r>
  <r>
    <x v="10"/>
    <x v="83"/>
    <s v="2024-06-20"/>
    <s v="2024-06-20"/>
    <n v="0"/>
  </r>
  <r>
    <x v="1"/>
    <x v="54"/>
    <s v="2024-06-21"/>
    <s v="2024-06-21"/>
    <n v="0"/>
  </r>
  <r>
    <x v="9"/>
    <x v="55"/>
    <s v="2024-06-24"/>
    <s v="2024-06-24"/>
    <n v="0"/>
  </r>
  <r>
    <x v="8"/>
    <x v="158"/>
    <s v="2024-06-24"/>
    <s v="2024-06-24"/>
    <n v="0"/>
  </r>
  <r>
    <x v="7"/>
    <x v="16"/>
    <s v="2024-06-24"/>
    <s v="2024-06-24"/>
    <n v="0"/>
  </r>
  <r>
    <x v="7"/>
    <x v="181"/>
    <s v="2024-06-26"/>
    <s v="2024-06-26"/>
    <n v="0"/>
  </r>
  <r>
    <x v="0"/>
    <x v="96"/>
    <s v="2024-06-26"/>
    <s v="2024-06-26"/>
    <n v="0"/>
  </r>
  <r>
    <x v="9"/>
    <x v="168"/>
    <s v="2024-06-27"/>
    <s v="2024-06-27"/>
    <n v="0"/>
  </r>
  <r>
    <x v="6"/>
    <x v="108"/>
    <s v="2024-06-28"/>
    <s v="2024-06-28"/>
    <n v="0"/>
  </r>
  <r>
    <x v="8"/>
    <x v="10"/>
    <s v="2024-06-28"/>
    <s v="2024-06-28"/>
    <n v="0"/>
  </r>
  <r>
    <x v="8"/>
    <x v="161"/>
    <s v="2024-07-01"/>
    <s v="2024-07-01"/>
    <n v="0"/>
  </r>
  <r>
    <x v="1"/>
    <x v="143"/>
    <s v="2024-07-01"/>
    <s v="2024-07-01"/>
    <n v="0"/>
  </r>
  <r>
    <x v="4"/>
    <x v="77"/>
    <s v="2024-07-01"/>
    <s v="2024-07-01"/>
    <n v="0"/>
  </r>
  <r>
    <x v="4"/>
    <x v="184"/>
    <s v="2024-07-01"/>
    <s v="2024-07-01"/>
    <n v="0"/>
  </r>
  <r>
    <x v="2"/>
    <x v="84"/>
    <s v="2024-07-01"/>
    <s v="2024-07-01"/>
    <n v="0"/>
  </r>
  <r>
    <x v="8"/>
    <x v="55"/>
    <s v="2024-07-01"/>
    <s v="2024-07-01"/>
    <n v="0"/>
  </r>
  <r>
    <x v="10"/>
    <x v="42"/>
    <s v="2024-07-01"/>
    <s v="2024-07-01"/>
    <n v="0"/>
  </r>
  <r>
    <x v="6"/>
    <x v="87"/>
    <s v="2024-07-02"/>
    <s v="2024-07-02"/>
    <n v="0"/>
  </r>
  <r>
    <x v="2"/>
    <x v="45"/>
    <s v="2024-07-02"/>
    <s v="2024-07-02"/>
    <n v="0"/>
  </r>
  <r>
    <x v="8"/>
    <x v="23"/>
    <s v="2024-07-02"/>
    <s v="2024-07-02"/>
    <n v="0"/>
  </r>
  <r>
    <x v="5"/>
    <x v="6"/>
    <s v="2024-07-02"/>
    <s v="2024-07-02"/>
    <n v="0"/>
  </r>
  <r>
    <x v="6"/>
    <x v="35"/>
    <s v="2024-07-04"/>
    <s v="2024-07-04"/>
    <n v="0"/>
  </r>
  <r>
    <x v="2"/>
    <x v="18"/>
    <s v="2024-07-05"/>
    <s v="2024-07-05"/>
    <n v="0"/>
  </r>
  <r>
    <x v="6"/>
    <x v="19"/>
    <s v="2024-07-05"/>
    <s v="2024-07-05"/>
    <n v="0"/>
  </r>
  <r>
    <x v="10"/>
    <x v="115"/>
    <s v="2024-07-08"/>
    <s v="2024-07-08"/>
    <n v="0"/>
  </r>
  <r>
    <x v="0"/>
    <x v="47"/>
    <s v="2024-07-08"/>
    <s v="2024-07-08"/>
    <n v="0"/>
  </r>
  <r>
    <x v="11"/>
    <x v="136"/>
    <s v="2024-07-08"/>
    <s v="2024-07-08"/>
    <n v="0"/>
  </r>
  <r>
    <x v="3"/>
    <x v="64"/>
    <s v="2024-07-08"/>
    <s v="2024-07-08"/>
    <n v="0"/>
  </r>
  <r>
    <x v="10"/>
    <x v="63"/>
    <s v="2024-07-08"/>
    <s v="2024-07-08"/>
    <n v="0"/>
  </r>
  <r>
    <x v="2"/>
    <x v="87"/>
    <s v="2024-07-08"/>
    <s v="2024-07-08"/>
    <n v="0"/>
  </r>
  <r>
    <x v="2"/>
    <x v="150"/>
    <s v="2024-07-10"/>
    <s v="2024-07-10"/>
    <n v="0"/>
  </r>
  <r>
    <x v="7"/>
    <x v="185"/>
    <s v="2024-07-10"/>
    <s v="2024-07-10"/>
    <n v="0"/>
  </r>
  <r>
    <x v="3"/>
    <x v="104"/>
    <s v="2024-07-10"/>
    <s v="2024-07-10"/>
    <n v="0"/>
  </r>
  <r>
    <x v="9"/>
    <x v="38"/>
    <s v="2024-07-11"/>
    <s v="2024-07-11"/>
    <n v="0"/>
  </r>
  <r>
    <x v="6"/>
    <x v="1"/>
    <s v="2024-07-11"/>
    <s v="2024-07-11"/>
    <n v="0"/>
  </r>
  <r>
    <x v="7"/>
    <x v="3"/>
    <s v="2024-07-12"/>
    <s v="2024-07-12"/>
    <n v="0"/>
  </r>
  <r>
    <x v="1"/>
    <x v="44"/>
    <s v="2024-07-12"/>
    <s v="2024-07-12"/>
    <n v="0"/>
  </r>
  <r>
    <x v="5"/>
    <x v="140"/>
    <s v="2024-07-12"/>
    <s v="2024-07-12"/>
    <n v="0"/>
  </r>
  <r>
    <x v="4"/>
    <x v="168"/>
    <s v="2024-07-15"/>
    <s v="2024-07-15"/>
    <n v="0"/>
  </r>
  <r>
    <x v="10"/>
    <x v="116"/>
    <s v="2024-07-17"/>
    <s v="2024-07-17"/>
    <n v="0"/>
  </r>
  <r>
    <x v="11"/>
    <x v="191"/>
    <s v="2024-07-17"/>
    <s v="2024-07-17"/>
    <n v="0"/>
  </r>
  <r>
    <x v="2"/>
    <x v="158"/>
    <s v="2024-07-17"/>
    <s v="2024-07-17"/>
    <n v="0"/>
  </r>
  <r>
    <x v="7"/>
    <x v="132"/>
    <s v="2024-07-18"/>
    <s v="2024-07-18"/>
    <n v="0"/>
  </r>
  <r>
    <x v="4"/>
    <x v="4"/>
    <s v="2024-07-19"/>
    <s v="2024-07-19"/>
    <n v="0"/>
  </r>
  <r>
    <x v="2"/>
    <x v="125"/>
    <s v="2024-07-22"/>
    <s v="2024-07-22"/>
    <n v="0"/>
  </r>
  <r>
    <x v="4"/>
    <x v="56"/>
    <s v="2024-07-22"/>
    <s v="2024-07-22"/>
    <n v="0"/>
  </r>
  <r>
    <x v="1"/>
    <x v="128"/>
    <s v="2024-07-22"/>
    <s v="2024-07-22"/>
    <n v="0"/>
  </r>
  <r>
    <x v="2"/>
    <x v="163"/>
    <s v="2024-07-22"/>
    <s v="2024-07-22"/>
    <n v="0"/>
  </r>
  <r>
    <x v="1"/>
    <x v="52"/>
    <s v="2024-07-22"/>
    <s v="2024-07-22"/>
    <n v="0"/>
  </r>
  <r>
    <x v="3"/>
    <x v="110"/>
    <s v="2024-07-23"/>
    <s v="2024-07-23"/>
    <n v="0"/>
  </r>
  <r>
    <x v="3"/>
    <x v="131"/>
    <s v="2024-07-24"/>
    <s v="2024-07-24"/>
    <n v="0"/>
  </r>
  <r>
    <x v="10"/>
    <x v="168"/>
    <s v="2024-07-25"/>
    <s v="2024-07-25"/>
    <n v="0"/>
  </r>
  <r>
    <x v="8"/>
    <x v="52"/>
    <s v="2024-07-25"/>
    <s v="2024-07-25"/>
    <n v="0"/>
  </r>
  <r>
    <x v="9"/>
    <x v="70"/>
    <s v="2024-07-25"/>
    <s v="2024-07-25"/>
    <n v="0"/>
  </r>
  <r>
    <x v="1"/>
    <x v="178"/>
    <s v="2024-07-26"/>
    <s v="2024-07-26"/>
    <n v="0"/>
  </r>
  <r>
    <x v="4"/>
    <x v="135"/>
    <s v="2024-07-26"/>
    <s v="2024-07-26"/>
    <n v="0"/>
  </r>
  <r>
    <x v="8"/>
    <x v="44"/>
    <s v="2024-07-29"/>
    <s v="2024-07-29"/>
    <n v="0"/>
  </r>
  <r>
    <x v="3"/>
    <x v="69"/>
    <s v="2024-07-29"/>
    <s v="2024-07-29"/>
    <n v="0"/>
  </r>
  <r>
    <x v="7"/>
    <x v="1"/>
    <s v="2024-07-29"/>
    <s v="2024-07-29"/>
    <n v="0"/>
  </r>
  <r>
    <x v="11"/>
    <x v="153"/>
    <s v="2024-07-29"/>
    <s v="2024-07-29"/>
    <n v="0"/>
  </r>
  <r>
    <x v="6"/>
    <x v="40"/>
    <s v="2024-07-29"/>
    <s v="2024-07-29"/>
    <n v="0"/>
  </r>
  <r>
    <x v="6"/>
    <x v="136"/>
    <s v="2024-07-29"/>
    <s v="2024-07-29"/>
    <n v="0"/>
  </r>
  <r>
    <x v="7"/>
    <x v="149"/>
    <s v="2024-07-29"/>
    <s v="2024-07-29"/>
    <n v="0"/>
  </r>
  <r>
    <x v="10"/>
    <x v="185"/>
    <s v="2024-07-30"/>
    <s v="2024-07-30"/>
    <n v="0"/>
  </r>
  <r>
    <x v="11"/>
    <x v="4"/>
    <s v="2024-07-30"/>
    <s v="2024-07-30"/>
    <n v="0"/>
  </r>
  <r>
    <x v="3"/>
    <x v="185"/>
    <s v="2024-07-30"/>
    <s v="2024-07-30"/>
    <n v="0"/>
  </r>
  <r>
    <x v="0"/>
    <x v="141"/>
    <s v="2024-07-30"/>
    <s v="2024-07-30"/>
    <n v="0"/>
  </r>
  <r>
    <x v="10"/>
    <x v="62"/>
    <s v="2024-07-31"/>
    <s v="2024-07-31"/>
    <n v="0"/>
  </r>
  <r>
    <x v="3"/>
    <x v="154"/>
    <s v="2024-07-31"/>
    <s v="2024-07-31"/>
    <n v="0"/>
  </r>
  <r>
    <x v="5"/>
    <x v="153"/>
    <s v="2024-08-01"/>
    <s v="2024-08-01"/>
    <n v="0"/>
  </r>
  <r>
    <x v="5"/>
    <x v="57"/>
    <s v="2024-08-01"/>
    <s v="2024-08-01"/>
    <n v="0"/>
  </r>
  <r>
    <x v="4"/>
    <x v="80"/>
    <s v="2024-08-01"/>
    <s v="2024-08-01"/>
    <n v="0"/>
  </r>
  <r>
    <x v="7"/>
    <x v="101"/>
    <s v="2024-08-01"/>
    <s v="2024-08-01"/>
    <n v="0"/>
  </r>
  <r>
    <x v="10"/>
    <x v="29"/>
    <s v="2024-08-02"/>
    <s v="2024-08-02"/>
    <n v="0"/>
  </r>
  <r>
    <x v="11"/>
    <x v="80"/>
    <s v="2024-08-05"/>
    <s v="2024-08-05"/>
    <n v="0"/>
  </r>
  <r>
    <x v="7"/>
    <x v="24"/>
    <s v="2024-08-05"/>
    <s v="2024-08-05"/>
    <n v="0"/>
  </r>
  <r>
    <x v="1"/>
    <x v="27"/>
    <s v="2024-08-05"/>
    <s v="2024-08-05"/>
    <n v="0"/>
  </r>
  <r>
    <x v="8"/>
    <x v="25"/>
    <s v="2024-08-05"/>
    <s v="2024-08-05"/>
    <n v="0"/>
  </r>
  <r>
    <x v="0"/>
    <x v="31"/>
    <s v="2024-08-05"/>
    <s v="2024-08-05"/>
    <n v="0"/>
  </r>
  <r>
    <x v="5"/>
    <x v="18"/>
    <s v="2024-08-06"/>
    <s v="2024-08-06"/>
    <n v="0"/>
  </r>
  <r>
    <x v="11"/>
    <x v="31"/>
    <s v="2024-08-06"/>
    <s v="2024-08-06"/>
    <n v="0"/>
  </r>
  <r>
    <x v="7"/>
    <x v="106"/>
    <s v="2024-08-07"/>
    <s v="2024-08-07"/>
    <n v="0"/>
  </r>
  <r>
    <x v="10"/>
    <x v="113"/>
    <s v="2024-08-07"/>
    <s v="2024-08-07"/>
    <n v="0"/>
  </r>
  <r>
    <x v="7"/>
    <x v="169"/>
    <s v="2024-08-07"/>
    <s v="2024-08-07"/>
    <n v="0"/>
  </r>
  <r>
    <x v="7"/>
    <x v="94"/>
    <s v="2024-08-07"/>
    <s v="2024-08-07"/>
    <n v="0"/>
  </r>
  <r>
    <x v="0"/>
    <x v="10"/>
    <s v="2024-08-07"/>
    <s v="2024-08-07"/>
    <n v="0"/>
  </r>
  <r>
    <x v="2"/>
    <x v="76"/>
    <s v="2024-08-07"/>
    <s v="2024-08-07"/>
    <n v="0"/>
  </r>
  <r>
    <x v="10"/>
    <x v="147"/>
    <s v="2024-08-07"/>
    <s v="2024-08-07"/>
    <n v="0"/>
  </r>
  <r>
    <x v="2"/>
    <x v="82"/>
    <s v="2024-08-08"/>
    <s v="2024-08-08"/>
    <n v="0"/>
  </r>
  <r>
    <x v="2"/>
    <x v="192"/>
    <s v="2024-08-08"/>
    <s v="2024-08-08"/>
    <n v="0"/>
  </r>
  <r>
    <x v="7"/>
    <x v="125"/>
    <s v="2024-08-09"/>
    <s v="2024-08-09"/>
    <n v="0"/>
  </r>
  <r>
    <x v="10"/>
    <x v="10"/>
    <s v="2024-08-09"/>
    <s v="2024-08-09"/>
    <n v="0"/>
  </r>
  <r>
    <x v="7"/>
    <x v="0"/>
    <s v="2024-08-12"/>
    <s v="2024-08-12"/>
    <n v="0"/>
  </r>
  <r>
    <x v="1"/>
    <x v="38"/>
    <s v="2024-08-12"/>
    <s v="2024-08-12"/>
    <n v="0"/>
  </r>
  <r>
    <x v="1"/>
    <x v="59"/>
    <s v="2024-08-12"/>
    <s v="2024-08-12"/>
    <n v="0"/>
  </r>
  <r>
    <x v="3"/>
    <x v="165"/>
    <s v="2024-08-13"/>
    <s v="2024-08-13"/>
    <n v="0"/>
  </r>
  <r>
    <x v="5"/>
    <x v="176"/>
    <s v="2024-08-14"/>
    <s v="2024-08-14"/>
    <n v="0"/>
  </r>
  <r>
    <x v="7"/>
    <x v="45"/>
    <s v="2024-08-15"/>
    <s v="2024-08-15"/>
    <n v="0"/>
  </r>
  <r>
    <x v="10"/>
    <x v="179"/>
    <s v="2024-08-15"/>
    <s v="2024-08-15"/>
    <n v="0"/>
  </r>
  <r>
    <x v="5"/>
    <x v="70"/>
    <s v="2024-08-15"/>
    <s v="2024-08-15"/>
    <n v="0"/>
  </r>
  <r>
    <x v="1"/>
    <x v="13"/>
    <s v="2024-08-16"/>
    <s v="2024-08-16"/>
    <n v="0"/>
  </r>
  <r>
    <x v="11"/>
    <x v="152"/>
    <s v="2024-08-19"/>
    <s v="2024-08-19"/>
    <n v="0"/>
  </r>
  <r>
    <x v="4"/>
    <x v="190"/>
    <s v="2024-08-19"/>
    <s v="2024-08-19"/>
    <n v="0"/>
  </r>
  <r>
    <x v="3"/>
    <x v="48"/>
    <s v="2024-08-20"/>
    <s v="2024-08-20"/>
    <n v="0"/>
  </r>
  <r>
    <x v="6"/>
    <x v="118"/>
    <s v="2024-08-21"/>
    <s v="2024-08-21"/>
    <n v="0"/>
  </r>
  <r>
    <x v="2"/>
    <x v="55"/>
    <s v="2024-08-21"/>
    <s v="2024-08-21"/>
    <n v="0"/>
  </r>
  <r>
    <x v="1"/>
    <x v="6"/>
    <s v="2024-08-22"/>
    <s v="2024-08-22"/>
    <n v="0"/>
  </r>
  <r>
    <x v="7"/>
    <x v="103"/>
    <s v="2024-08-22"/>
    <s v="2024-08-22"/>
    <n v="0"/>
  </r>
  <r>
    <x v="2"/>
    <x v="108"/>
    <s v="2024-08-22"/>
    <s v="2024-08-22"/>
    <n v="0"/>
  </r>
  <r>
    <x v="3"/>
    <x v="14"/>
    <s v="2024-08-23"/>
    <s v="2024-08-23"/>
    <n v="0"/>
  </r>
  <r>
    <x v="6"/>
    <x v="140"/>
    <s v="2024-08-23"/>
    <s v="2024-08-23"/>
    <n v="0"/>
  </r>
  <r>
    <x v="10"/>
    <x v="1"/>
    <s v="2024-08-23"/>
    <s v="2024-08-23"/>
    <n v="0"/>
  </r>
  <r>
    <x v="4"/>
    <x v="133"/>
    <s v="2024-08-26"/>
    <s v="2024-08-26"/>
    <n v="0"/>
  </r>
  <r>
    <x v="1"/>
    <x v="23"/>
    <s v="2024-08-26"/>
    <s v="2024-08-26"/>
    <n v="0"/>
  </r>
  <r>
    <x v="6"/>
    <x v="34"/>
    <s v="2024-08-26"/>
    <s v="2024-08-26"/>
    <n v="0"/>
  </r>
  <r>
    <x v="4"/>
    <x v="0"/>
    <s v="2024-08-26"/>
    <s v="2024-08-26"/>
    <n v="0"/>
  </r>
  <r>
    <x v="10"/>
    <x v="175"/>
    <s v="2024-08-26"/>
    <s v="2024-08-26"/>
    <n v="0"/>
  </r>
  <r>
    <x v="7"/>
    <x v="63"/>
    <s v="2024-08-26"/>
    <s v="2024-08-26"/>
    <n v="0"/>
  </r>
  <r>
    <x v="9"/>
    <x v="48"/>
    <s v="2024-08-27"/>
    <s v="2024-08-27"/>
    <n v="0"/>
  </r>
  <r>
    <x v="10"/>
    <x v="32"/>
    <s v="2024-08-27"/>
    <s v="2024-08-27"/>
    <n v="0"/>
  </r>
  <r>
    <x v="7"/>
    <x v="153"/>
    <s v="2024-08-29"/>
    <s v="2024-08-29"/>
    <n v="0"/>
  </r>
  <r>
    <x v="5"/>
    <x v="50"/>
    <s v="2024-08-30"/>
    <s v="2024-08-30"/>
    <n v="0"/>
  </r>
  <r>
    <x v="7"/>
    <x v="90"/>
    <s v="2024-09-02"/>
    <s v="2024-09-02"/>
    <n v="0"/>
  </r>
  <r>
    <x v="12"/>
    <x v="193"/>
    <m/>
    <m/>
    <m/>
  </r>
  <r>
    <x v="12"/>
    <x v="193"/>
    <m/>
    <m/>
    <m/>
  </r>
  <r>
    <x v="12"/>
    <x v="193"/>
    <m/>
    <m/>
    <m/>
  </r>
  <r>
    <x v="12"/>
    <x v="193"/>
    <m/>
    <m/>
    <m/>
  </r>
  <r>
    <x v="12"/>
    <x v="193"/>
    <m/>
    <m/>
    <m/>
  </r>
  <r>
    <x v="12"/>
    <x v="193"/>
    <m/>
    <m/>
    <m/>
  </r>
  <r>
    <x v="12"/>
    <x v="193"/>
    <m/>
    <m/>
    <m/>
  </r>
  <r>
    <x v="12"/>
    <x v="193"/>
    <m/>
    <m/>
    <m/>
  </r>
  <r>
    <x v="12"/>
    <x v="193"/>
    <m/>
    <m/>
    <m/>
  </r>
  <r>
    <x v="12"/>
    <x v="193"/>
    <m/>
    <m/>
    <m/>
  </r>
  <r>
    <x v="12"/>
    <x v="193"/>
    <m/>
    <m/>
    <m/>
  </r>
  <r>
    <x v="12"/>
    <x v="193"/>
    <m/>
    <m/>
    <m/>
  </r>
  <r>
    <x v="12"/>
    <x v="193"/>
    <m/>
    <m/>
    <m/>
  </r>
  <r>
    <x v="12"/>
    <x v="193"/>
    <m/>
    <m/>
    <m/>
  </r>
  <r>
    <x v="12"/>
    <x v="193"/>
    <m/>
    <m/>
    <m/>
  </r>
  <r>
    <x v="12"/>
    <x v="193"/>
    <m/>
    <m/>
    <m/>
  </r>
  <r>
    <x v="12"/>
    <x v="193"/>
    <m/>
    <m/>
    <m/>
  </r>
  <r>
    <x v="12"/>
    <x v="193"/>
    <m/>
    <m/>
    <m/>
  </r>
  <r>
    <x v="12"/>
    <x v="193"/>
    <m/>
    <m/>
    <m/>
  </r>
  <r>
    <x v="12"/>
    <x v="193"/>
    <m/>
    <m/>
    <m/>
  </r>
  <r>
    <x v="12"/>
    <x v="193"/>
    <m/>
    <m/>
    <m/>
  </r>
  <r>
    <x v="12"/>
    <x v="193"/>
    <m/>
    <m/>
    <m/>
  </r>
  <r>
    <x v="12"/>
    <x v="193"/>
    <m/>
    <m/>
    <m/>
  </r>
  <r>
    <x v="12"/>
    <x v="193"/>
    <m/>
    <m/>
    <m/>
  </r>
  <r>
    <x v="12"/>
    <x v="193"/>
    <m/>
    <m/>
    <m/>
  </r>
  <r>
    <x v="12"/>
    <x v="193"/>
    <m/>
    <m/>
    <m/>
  </r>
  <r>
    <x v="12"/>
    <x v="193"/>
    <m/>
    <m/>
    <m/>
  </r>
  <r>
    <x v="12"/>
    <x v="193"/>
    <m/>
    <m/>
    <m/>
  </r>
  <r>
    <x v="12"/>
    <x v="193"/>
    <m/>
    <m/>
    <m/>
  </r>
  <r>
    <x v="12"/>
    <x v="193"/>
    <m/>
    <m/>
    <m/>
  </r>
  <r>
    <x v="12"/>
    <x v="193"/>
    <m/>
    <m/>
    <m/>
  </r>
  <r>
    <x v="12"/>
    <x v="193"/>
    <m/>
    <m/>
    <m/>
  </r>
  <r>
    <x v="12"/>
    <x v="193"/>
    <m/>
    <m/>
    <m/>
  </r>
  <r>
    <x v="12"/>
    <x v="193"/>
    <m/>
    <m/>
    <m/>
  </r>
  <r>
    <x v="12"/>
    <x v="193"/>
    <m/>
    <m/>
    <m/>
  </r>
  <r>
    <x v="12"/>
    <x v="193"/>
    <m/>
    <m/>
    <m/>
  </r>
  <r>
    <x v="12"/>
    <x v="193"/>
    <m/>
    <m/>
    <m/>
  </r>
  <r>
    <x v="12"/>
    <x v="193"/>
    <m/>
    <m/>
    <m/>
  </r>
  <r>
    <x v="12"/>
    <x v="193"/>
    <m/>
    <m/>
    <m/>
  </r>
  <r>
    <x v="12"/>
    <x v="193"/>
    <m/>
    <m/>
    <m/>
  </r>
  <r>
    <x v="12"/>
    <x v="193"/>
    <m/>
    <m/>
    <m/>
  </r>
  <r>
    <x v="12"/>
    <x v="193"/>
    <m/>
    <m/>
    <m/>
  </r>
  <r>
    <x v="12"/>
    <x v="193"/>
    <m/>
    <m/>
    <m/>
  </r>
  <r>
    <x v="12"/>
    <x v="193"/>
    <m/>
    <m/>
    <m/>
  </r>
  <r>
    <x v="12"/>
    <x v="193"/>
    <m/>
    <m/>
    <m/>
  </r>
  <r>
    <x v="12"/>
    <x v="193"/>
    <m/>
    <m/>
    <m/>
  </r>
  <r>
    <x v="12"/>
    <x v="193"/>
    <m/>
    <m/>
    <m/>
  </r>
  <r>
    <x v="12"/>
    <x v="193"/>
    <m/>
    <m/>
    <m/>
  </r>
  <r>
    <x v="12"/>
    <x v="193"/>
    <m/>
    <m/>
    <m/>
  </r>
  <r>
    <x v="12"/>
    <x v="193"/>
    <m/>
    <m/>
    <m/>
  </r>
  <r>
    <x v="12"/>
    <x v="193"/>
    <m/>
    <m/>
    <m/>
  </r>
  <r>
    <x v="12"/>
    <x v="193"/>
    <m/>
    <m/>
    <m/>
  </r>
  <r>
    <x v="12"/>
    <x v="193"/>
    <m/>
    <m/>
    <m/>
  </r>
  <r>
    <x v="12"/>
    <x v="193"/>
    <m/>
    <m/>
    <m/>
  </r>
  <r>
    <x v="12"/>
    <x v="193"/>
    <m/>
    <m/>
    <m/>
  </r>
  <r>
    <x v="12"/>
    <x v="193"/>
    <m/>
    <m/>
    <m/>
  </r>
  <r>
    <x v="12"/>
    <x v="193"/>
    <m/>
    <m/>
    <m/>
  </r>
  <r>
    <x v="12"/>
    <x v="193"/>
    <m/>
    <m/>
    <m/>
  </r>
  <r>
    <x v="12"/>
    <x v="193"/>
    <m/>
    <m/>
    <m/>
  </r>
  <r>
    <x v="12"/>
    <x v="193"/>
    <m/>
    <m/>
    <m/>
  </r>
  <r>
    <x v="12"/>
    <x v="193"/>
    <m/>
    <m/>
    <m/>
  </r>
  <r>
    <x v="12"/>
    <x v="193"/>
    <m/>
    <m/>
    <m/>
  </r>
  <r>
    <x v="12"/>
    <x v="193"/>
    <m/>
    <m/>
    <m/>
  </r>
  <r>
    <x v="12"/>
    <x v="193"/>
    <m/>
    <m/>
    <m/>
  </r>
  <r>
    <x v="12"/>
    <x v="193"/>
    <m/>
    <m/>
    <m/>
  </r>
  <r>
    <x v="12"/>
    <x v="193"/>
    <m/>
    <m/>
    <m/>
  </r>
  <r>
    <x v="12"/>
    <x v="193"/>
    <m/>
    <m/>
    <m/>
  </r>
  <r>
    <x v="12"/>
    <x v="193"/>
    <m/>
    <m/>
    <m/>
  </r>
  <r>
    <x v="12"/>
    <x v="193"/>
    <m/>
    <m/>
    <m/>
  </r>
  <r>
    <x v="12"/>
    <x v="193"/>
    <m/>
    <m/>
    <m/>
  </r>
  <r>
    <x v="12"/>
    <x v="193"/>
    <m/>
    <m/>
    <m/>
  </r>
  <r>
    <x v="12"/>
    <x v="193"/>
    <m/>
    <m/>
    <m/>
  </r>
  <r>
    <x v="12"/>
    <x v="193"/>
    <m/>
    <m/>
    <m/>
  </r>
  <r>
    <x v="12"/>
    <x v="193"/>
    <m/>
    <m/>
    <m/>
  </r>
  <r>
    <x v="12"/>
    <x v="193"/>
    <m/>
    <m/>
    <m/>
  </r>
  <r>
    <x v="12"/>
    <x v="193"/>
    <m/>
    <m/>
    <m/>
  </r>
  <r>
    <x v="12"/>
    <x v="193"/>
    <m/>
    <m/>
    <m/>
  </r>
  <r>
    <x v="12"/>
    <x v="193"/>
    <m/>
    <m/>
    <m/>
  </r>
  <r>
    <x v="12"/>
    <x v="193"/>
    <m/>
    <m/>
    <m/>
  </r>
  <r>
    <x v="12"/>
    <x v="193"/>
    <m/>
    <m/>
    <m/>
  </r>
  <r>
    <x v="12"/>
    <x v="193"/>
    <m/>
    <m/>
    <m/>
  </r>
  <r>
    <x v="12"/>
    <x v="193"/>
    <m/>
    <m/>
    <m/>
  </r>
  <r>
    <x v="12"/>
    <x v="193"/>
    <m/>
    <m/>
    <m/>
  </r>
  <r>
    <x v="12"/>
    <x v="193"/>
    <m/>
    <m/>
    <m/>
  </r>
  <r>
    <x v="12"/>
    <x v="193"/>
    <m/>
    <m/>
    <m/>
  </r>
  <r>
    <x v="12"/>
    <x v="193"/>
    <m/>
    <m/>
    <m/>
  </r>
  <r>
    <x v="12"/>
    <x v="193"/>
    <m/>
    <m/>
    <m/>
  </r>
  <r>
    <x v="12"/>
    <x v="193"/>
    <m/>
    <m/>
    <m/>
  </r>
  <r>
    <x v="12"/>
    <x v="193"/>
    <m/>
    <m/>
    <m/>
  </r>
  <r>
    <x v="12"/>
    <x v="193"/>
    <m/>
    <m/>
    <m/>
  </r>
  <r>
    <x v="12"/>
    <x v="193"/>
    <m/>
    <m/>
    <m/>
  </r>
  <r>
    <x v="12"/>
    <x v="193"/>
    <m/>
    <m/>
    <m/>
  </r>
  <r>
    <x v="12"/>
    <x v="193"/>
    <m/>
    <m/>
    <m/>
  </r>
  <r>
    <x v="12"/>
    <x v="193"/>
    <m/>
    <m/>
    <m/>
  </r>
  <r>
    <x v="12"/>
    <x v="193"/>
    <m/>
    <m/>
    <m/>
  </r>
  <r>
    <x v="12"/>
    <x v="193"/>
    <m/>
    <m/>
    <m/>
  </r>
  <r>
    <x v="12"/>
    <x v="193"/>
    <m/>
    <m/>
    <m/>
  </r>
  <r>
    <x v="12"/>
    <x v="193"/>
    <m/>
    <m/>
    <m/>
  </r>
  <r>
    <x v="12"/>
    <x v="193"/>
    <m/>
    <m/>
    <m/>
  </r>
  <r>
    <x v="12"/>
    <x v="193"/>
    <m/>
    <m/>
    <m/>
  </r>
  <r>
    <x v="12"/>
    <x v="193"/>
    <m/>
    <m/>
    <m/>
  </r>
  <r>
    <x v="12"/>
    <x v="193"/>
    <m/>
    <m/>
    <m/>
  </r>
  <r>
    <x v="12"/>
    <x v="193"/>
    <m/>
    <m/>
    <m/>
  </r>
  <r>
    <x v="12"/>
    <x v="193"/>
    <m/>
    <m/>
    <m/>
  </r>
  <r>
    <x v="12"/>
    <x v="193"/>
    <m/>
    <m/>
    <m/>
  </r>
  <r>
    <x v="12"/>
    <x v="193"/>
    <m/>
    <m/>
    <m/>
  </r>
  <r>
    <x v="12"/>
    <x v="193"/>
    <m/>
    <m/>
    <m/>
  </r>
  <r>
    <x v="12"/>
    <x v="193"/>
    <m/>
    <m/>
    <m/>
  </r>
  <r>
    <x v="12"/>
    <x v="193"/>
    <m/>
    <m/>
    <m/>
  </r>
  <r>
    <x v="12"/>
    <x v="193"/>
    <m/>
    <m/>
    <m/>
  </r>
  <r>
    <x v="12"/>
    <x v="193"/>
    <m/>
    <m/>
    <m/>
  </r>
  <r>
    <x v="12"/>
    <x v="193"/>
    <m/>
    <m/>
    <m/>
  </r>
  <r>
    <x v="12"/>
    <x v="193"/>
    <m/>
    <m/>
    <m/>
  </r>
  <r>
    <x v="12"/>
    <x v="193"/>
    <m/>
    <m/>
    <m/>
  </r>
  <r>
    <x v="12"/>
    <x v="193"/>
    <m/>
    <m/>
    <m/>
  </r>
  <r>
    <x v="12"/>
    <x v="193"/>
    <m/>
    <m/>
    <m/>
  </r>
  <r>
    <x v="12"/>
    <x v="193"/>
    <m/>
    <m/>
    <m/>
  </r>
  <r>
    <x v="12"/>
    <x v="193"/>
    <m/>
    <m/>
    <m/>
  </r>
  <r>
    <x v="12"/>
    <x v="193"/>
    <m/>
    <m/>
    <m/>
  </r>
  <r>
    <x v="12"/>
    <x v="193"/>
    <m/>
    <m/>
    <m/>
  </r>
  <r>
    <x v="12"/>
    <x v="193"/>
    <m/>
    <m/>
    <m/>
  </r>
  <r>
    <x v="12"/>
    <x v="193"/>
    <m/>
    <m/>
    <m/>
  </r>
  <r>
    <x v="12"/>
    <x v="193"/>
    <m/>
    <m/>
    <m/>
  </r>
  <r>
    <x v="12"/>
    <x v="193"/>
    <m/>
    <m/>
    <m/>
  </r>
  <r>
    <x v="12"/>
    <x v="193"/>
    <m/>
    <m/>
    <m/>
  </r>
  <r>
    <x v="12"/>
    <x v="193"/>
    <m/>
    <m/>
    <m/>
  </r>
  <r>
    <x v="12"/>
    <x v="193"/>
    <m/>
    <m/>
    <m/>
  </r>
  <r>
    <x v="12"/>
    <x v="193"/>
    <m/>
    <m/>
    <m/>
  </r>
  <r>
    <x v="12"/>
    <x v="193"/>
    <m/>
    <m/>
    <m/>
  </r>
  <r>
    <x v="12"/>
    <x v="193"/>
    <m/>
    <m/>
    <m/>
  </r>
  <r>
    <x v="12"/>
    <x v="193"/>
    <m/>
    <m/>
    <m/>
  </r>
  <r>
    <x v="12"/>
    <x v="193"/>
    <m/>
    <m/>
    <m/>
  </r>
  <r>
    <x v="12"/>
    <x v="193"/>
    <m/>
    <m/>
    <m/>
  </r>
  <r>
    <x v="12"/>
    <x v="193"/>
    <m/>
    <m/>
    <m/>
  </r>
  <r>
    <x v="12"/>
    <x v="193"/>
    <m/>
    <m/>
    <m/>
  </r>
  <r>
    <x v="12"/>
    <x v="193"/>
    <m/>
    <m/>
    <m/>
  </r>
  <r>
    <x v="12"/>
    <x v="193"/>
    <m/>
    <m/>
    <m/>
  </r>
  <r>
    <x v="12"/>
    <x v="193"/>
    <m/>
    <m/>
    <m/>
  </r>
  <r>
    <x v="12"/>
    <x v="193"/>
    <m/>
    <m/>
    <m/>
  </r>
  <r>
    <x v="12"/>
    <x v="193"/>
    <m/>
    <m/>
    <m/>
  </r>
  <r>
    <x v="12"/>
    <x v="193"/>
    <m/>
    <m/>
    <m/>
  </r>
  <r>
    <x v="12"/>
    <x v="193"/>
    <m/>
    <m/>
    <m/>
  </r>
  <r>
    <x v="12"/>
    <x v="193"/>
    <m/>
    <m/>
    <m/>
  </r>
  <r>
    <x v="12"/>
    <x v="193"/>
    <m/>
    <m/>
    <m/>
  </r>
  <r>
    <x v="12"/>
    <x v="193"/>
    <m/>
    <m/>
    <m/>
  </r>
  <r>
    <x v="12"/>
    <x v="193"/>
    <m/>
    <m/>
    <m/>
  </r>
  <r>
    <x v="12"/>
    <x v="193"/>
    <m/>
    <m/>
    <m/>
  </r>
  <r>
    <x v="12"/>
    <x v="193"/>
    <m/>
    <m/>
    <m/>
  </r>
  <r>
    <x v="12"/>
    <x v="193"/>
    <m/>
    <m/>
    <m/>
  </r>
  <r>
    <x v="12"/>
    <x v="193"/>
    <m/>
    <m/>
    <m/>
  </r>
  <r>
    <x v="12"/>
    <x v="193"/>
    <m/>
    <m/>
    <m/>
  </r>
  <r>
    <x v="12"/>
    <x v="193"/>
    <m/>
    <m/>
    <m/>
  </r>
  <r>
    <x v="12"/>
    <x v="193"/>
    <m/>
    <m/>
    <m/>
  </r>
  <r>
    <x v="12"/>
    <x v="193"/>
    <m/>
    <m/>
    <m/>
  </r>
  <r>
    <x v="12"/>
    <x v="193"/>
    <m/>
    <m/>
    <m/>
  </r>
  <r>
    <x v="12"/>
    <x v="193"/>
    <m/>
    <m/>
    <m/>
  </r>
  <r>
    <x v="12"/>
    <x v="193"/>
    <m/>
    <m/>
    <m/>
  </r>
  <r>
    <x v="12"/>
    <x v="193"/>
    <m/>
    <m/>
    <m/>
  </r>
  <r>
    <x v="12"/>
    <x v="193"/>
    <m/>
    <m/>
    <m/>
  </r>
  <r>
    <x v="12"/>
    <x v="193"/>
    <m/>
    <m/>
    <m/>
  </r>
  <r>
    <x v="12"/>
    <x v="193"/>
    <m/>
    <m/>
    <m/>
  </r>
  <r>
    <x v="12"/>
    <x v="193"/>
    <m/>
    <m/>
    <m/>
  </r>
  <r>
    <x v="12"/>
    <x v="193"/>
    <m/>
    <m/>
    <m/>
  </r>
  <r>
    <x v="12"/>
    <x v="193"/>
    <m/>
    <m/>
    <m/>
  </r>
  <r>
    <x v="12"/>
    <x v="193"/>
    <m/>
    <m/>
    <m/>
  </r>
  <r>
    <x v="12"/>
    <x v="193"/>
    <m/>
    <m/>
    <m/>
  </r>
  <r>
    <x v="12"/>
    <x v="193"/>
    <m/>
    <m/>
    <m/>
  </r>
  <r>
    <x v="12"/>
    <x v="193"/>
    <m/>
    <m/>
    <m/>
  </r>
  <r>
    <x v="12"/>
    <x v="193"/>
    <m/>
    <m/>
    <m/>
  </r>
  <r>
    <x v="12"/>
    <x v="193"/>
    <m/>
    <m/>
    <m/>
  </r>
  <r>
    <x v="12"/>
    <x v="193"/>
    <m/>
    <m/>
    <m/>
  </r>
  <r>
    <x v="12"/>
    <x v="193"/>
    <m/>
    <m/>
    <m/>
  </r>
  <r>
    <x v="12"/>
    <x v="193"/>
    <m/>
    <m/>
    <m/>
  </r>
  <r>
    <x v="12"/>
    <x v="193"/>
    <m/>
    <m/>
    <m/>
  </r>
  <r>
    <x v="12"/>
    <x v="193"/>
    <m/>
    <m/>
    <m/>
  </r>
  <r>
    <x v="12"/>
    <x v="193"/>
    <m/>
    <m/>
    <m/>
  </r>
  <r>
    <x v="12"/>
    <x v="193"/>
    <m/>
    <m/>
    <m/>
  </r>
  <r>
    <x v="12"/>
    <x v="193"/>
    <m/>
    <m/>
    <m/>
  </r>
  <r>
    <x v="12"/>
    <x v="193"/>
    <m/>
    <m/>
    <m/>
  </r>
  <r>
    <x v="12"/>
    <x v="193"/>
    <m/>
    <m/>
    <m/>
  </r>
  <r>
    <x v="12"/>
    <x v="193"/>
    <m/>
    <m/>
    <m/>
  </r>
  <r>
    <x v="12"/>
    <x v="193"/>
    <m/>
    <m/>
    <m/>
  </r>
  <r>
    <x v="12"/>
    <x v="193"/>
    <m/>
    <m/>
    <m/>
  </r>
  <r>
    <x v="12"/>
    <x v="193"/>
    <m/>
    <m/>
    <m/>
  </r>
  <r>
    <x v="12"/>
    <x v="193"/>
    <m/>
    <m/>
    <m/>
  </r>
  <r>
    <x v="12"/>
    <x v="193"/>
    <m/>
    <m/>
    <m/>
  </r>
  <r>
    <x v="12"/>
    <x v="193"/>
    <m/>
    <m/>
    <m/>
  </r>
  <r>
    <x v="12"/>
    <x v="193"/>
    <m/>
    <m/>
    <m/>
  </r>
  <r>
    <x v="12"/>
    <x v="193"/>
    <m/>
    <m/>
    <m/>
  </r>
  <r>
    <x v="12"/>
    <x v="193"/>
    <m/>
    <m/>
    <m/>
  </r>
  <r>
    <x v="12"/>
    <x v="193"/>
    <m/>
    <m/>
    <m/>
  </r>
  <r>
    <x v="12"/>
    <x v="193"/>
    <m/>
    <m/>
    <m/>
  </r>
  <r>
    <x v="12"/>
    <x v="193"/>
    <m/>
    <m/>
    <m/>
  </r>
  <r>
    <x v="12"/>
    <x v="193"/>
    <m/>
    <m/>
    <m/>
  </r>
  <r>
    <x v="12"/>
    <x v="193"/>
    <m/>
    <m/>
    <m/>
  </r>
  <r>
    <x v="12"/>
    <x v="193"/>
    <m/>
    <m/>
    <m/>
  </r>
  <r>
    <x v="12"/>
    <x v="193"/>
    <m/>
    <m/>
    <m/>
  </r>
  <r>
    <x v="12"/>
    <x v="193"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1">
  <r>
    <s v="Громова Мария Ильинична"/>
    <x v="0"/>
    <s v="2023-09-01"/>
    <n v="49585"/>
  </r>
  <r>
    <s v="Сидорова Елена Васильевна"/>
    <x v="1"/>
    <s v="2023-09-01"/>
    <n v="70374"/>
  </r>
  <r>
    <s v="Семенова Ирина Валерьевна"/>
    <x v="2"/>
    <s v="2023-09-04"/>
    <n v="17347"/>
  </r>
  <r>
    <s v="Иванова Анна Сергеевна"/>
    <x v="3"/>
    <s v="2023-09-04"/>
    <n v="77152"/>
  </r>
  <r>
    <s v="Громова Мария Ильинична"/>
    <x v="4"/>
    <s v="2023-09-04"/>
    <n v="25583"/>
  </r>
  <r>
    <s v="Фролов Сергей Викторович"/>
    <x v="5"/>
    <s v="2023-09-04"/>
    <n v="50424"/>
  </r>
  <r>
    <s v="Петров Владимир Кириллович"/>
    <x v="6"/>
    <s v="2023-09-04"/>
    <n v="27772"/>
  </r>
  <r>
    <s v="Петров Владимир Кириллович"/>
    <x v="7"/>
    <s v="2023-09-04"/>
    <n v="58246"/>
  </r>
  <r>
    <s v="Иванова Анна Сергеевна"/>
    <x v="8"/>
    <s v="2023-09-04"/>
    <n v="30493"/>
  </r>
  <r>
    <s v="Семенова Ирина Валерьевна"/>
    <x v="9"/>
    <s v="2023-09-05"/>
    <n v="66366"/>
  </r>
  <r>
    <s v="Петров Владимир Кириллович"/>
    <x v="10"/>
    <s v="2023-09-05"/>
    <n v="25078"/>
  </r>
  <r>
    <s v="Белов Алексей Константинович"/>
    <x v="11"/>
    <s v="2023-09-05"/>
    <n v="75327"/>
  </r>
  <r>
    <s v="Ткаченко Андрей Олегович"/>
    <x v="12"/>
    <s v="2023-09-06"/>
    <n v="68907"/>
  </r>
  <r>
    <s v="Яковлев Артем Игоревич"/>
    <x v="13"/>
    <s v="2023-09-06"/>
    <n v="61980"/>
  </r>
  <r>
    <s v="Иванова Анна Сергеевна"/>
    <x v="14"/>
    <s v="2023-09-06"/>
    <n v="63884"/>
  </r>
  <r>
    <s v="Белов Алексей Константинович"/>
    <x v="15"/>
    <s v="2023-09-07"/>
    <n v="35787"/>
  </r>
  <r>
    <s v="Фролов Сергей Викторович"/>
    <x v="7"/>
    <s v="2023-09-07"/>
    <n v="28370"/>
  </r>
  <r>
    <s v="Фролов Сергей Викторович"/>
    <x v="16"/>
    <s v="2023-09-07"/>
    <n v="37951"/>
  </r>
  <r>
    <s v="Сидорова Елена Васильевна"/>
    <x v="17"/>
    <s v="2023-09-07"/>
    <n v="39832"/>
  </r>
  <r>
    <s v="Сидорова Елена Васильевна"/>
    <x v="18"/>
    <s v="2023-09-07"/>
    <n v="18687"/>
  </r>
  <r>
    <s v="Кузнецов Дмитрий Львович"/>
    <x v="19"/>
    <s v="2023-09-08"/>
    <n v="69529"/>
  </r>
  <r>
    <s v="Фролов Сергей Викторович"/>
    <x v="20"/>
    <s v="2023-09-08"/>
    <n v="59076"/>
  </r>
  <r>
    <s v="Петров Владимир Кириллович"/>
    <x v="21"/>
    <s v="2023-09-08"/>
    <n v="87820"/>
  </r>
  <r>
    <s v="Петров Владимир Кириллович"/>
    <x v="22"/>
    <s v="2023-09-11"/>
    <n v="30927"/>
  </r>
  <r>
    <s v="Новикова Ольга Петровна"/>
    <x v="23"/>
    <s v="2023-09-11"/>
    <n v="27016"/>
  </r>
  <r>
    <s v="Орлов Павел Денисович"/>
    <x v="24"/>
    <s v="2023-09-11"/>
    <n v="44279"/>
  </r>
  <r>
    <s v="Кузнецов Дмитрий Львович"/>
    <x v="6"/>
    <s v="2023-09-11"/>
    <n v="35608"/>
  </r>
  <r>
    <s v="Яковлев Артем Игоревич"/>
    <x v="25"/>
    <s v="2023-09-11"/>
    <n v="25430"/>
  </r>
  <r>
    <s v="Кузнецов Дмитрий Львович"/>
    <x v="5"/>
    <s v="2023-09-11"/>
    <n v="20221"/>
  </r>
  <r>
    <s v="Ткаченко Андрей Олегович"/>
    <x v="13"/>
    <s v="2023-09-11"/>
    <n v="24172"/>
  </r>
  <r>
    <s v="Ткаченко Андрей Олегович"/>
    <x v="26"/>
    <s v="2023-09-11"/>
    <n v="62593"/>
  </r>
  <r>
    <s v="Яковлев Артем Игоревич"/>
    <x v="27"/>
    <s v="2023-09-11"/>
    <n v="45798"/>
  </r>
  <r>
    <s v="Ткаченко Андрей Олегович"/>
    <x v="28"/>
    <s v="2023-09-11"/>
    <n v="44430"/>
  </r>
  <r>
    <s v="Иванова Анна Сергеевна"/>
    <x v="29"/>
    <s v="2023-09-13"/>
    <n v="16523"/>
  </r>
  <r>
    <s v="Фролов Сергей Викторович"/>
    <x v="20"/>
    <s v="2023-09-13"/>
    <n v="26957"/>
  </r>
  <r>
    <s v="Яковлев Артем Игоревич"/>
    <x v="30"/>
    <s v="2023-09-14"/>
    <n v="15896"/>
  </r>
  <r>
    <s v="Белов Алексей Константинович"/>
    <x v="31"/>
    <s v="2023-09-14"/>
    <n v="48097"/>
  </r>
  <r>
    <s v="Сидорова Елена Васильевна"/>
    <x v="14"/>
    <s v="2023-09-14"/>
    <n v="38597"/>
  </r>
  <r>
    <s v="Громова Мария Ильинична"/>
    <x v="32"/>
    <s v="2023-09-14"/>
    <n v="74405"/>
  </r>
  <r>
    <s v="Громова Мария Ильинична"/>
    <x v="33"/>
    <s v="2023-09-15"/>
    <n v="37910"/>
  </r>
  <r>
    <s v="Громова Мария Ильинична"/>
    <x v="34"/>
    <s v="2023-09-18"/>
    <n v="78611"/>
  </r>
  <r>
    <s v="Яковлев Артем Игоревич"/>
    <x v="35"/>
    <s v="2023-09-18"/>
    <n v="65076"/>
  </r>
  <r>
    <s v="Яковлев Артем Игоревич"/>
    <x v="36"/>
    <s v="2023-09-18"/>
    <n v="46536"/>
  </r>
  <r>
    <s v="Семенова Ирина Валерьевна"/>
    <x v="37"/>
    <s v="2023-09-18"/>
    <n v="70195"/>
  </r>
  <r>
    <s v="Новикова Ольга Петровна"/>
    <x v="38"/>
    <s v="2023-09-18"/>
    <n v="18447"/>
  </r>
  <r>
    <s v="Ткаченко Андрей Олегович"/>
    <x v="18"/>
    <s v="2023-09-18"/>
    <n v="89242"/>
  </r>
  <r>
    <s v="Кузнецов Дмитрий Львович"/>
    <x v="39"/>
    <s v="2023-09-18"/>
    <n v="34383"/>
  </r>
  <r>
    <s v="Ткаченко Андрей Олегович"/>
    <x v="40"/>
    <s v="2023-09-18"/>
    <n v="11300"/>
  </r>
  <r>
    <s v="Фролов Сергей Викторович"/>
    <x v="41"/>
    <s v="2023-09-18"/>
    <n v="64611"/>
  </r>
  <r>
    <s v="Фролов Сергей Викторович"/>
    <x v="42"/>
    <s v="2023-09-18"/>
    <n v="37502"/>
  </r>
  <r>
    <s v="Орлов Павел Денисович"/>
    <x v="41"/>
    <s v="2023-09-18"/>
    <n v="51661"/>
  </r>
  <r>
    <s v="Иванова Анна Сергеевна"/>
    <x v="17"/>
    <s v="2023-09-19"/>
    <n v="64562"/>
  </r>
  <r>
    <s v="Орлов Павел Денисович"/>
    <x v="43"/>
    <s v="2023-09-19"/>
    <n v="52590"/>
  </r>
  <r>
    <s v="Новикова Ольга Петровна"/>
    <x v="9"/>
    <s v="2023-09-19"/>
    <n v="85722"/>
  </r>
  <r>
    <s v="Громова Мария Ильинична"/>
    <x v="44"/>
    <s v="2023-09-19"/>
    <n v="57693"/>
  </r>
  <r>
    <s v="Фролов Сергей Викторович"/>
    <x v="45"/>
    <s v="2023-09-19"/>
    <n v="49341"/>
  </r>
  <r>
    <s v="Яковлев Артем Игоревич"/>
    <x v="46"/>
    <s v="2023-09-20"/>
    <n v="87309"/>
  </r>
  <r>
    <s v="Семенова Ирина Валерьевна"/>
    <x v="32"/>
    <s v="2023-09-20"/>
    <n v="93210"/>
  </r>
  <r>
    <s v="Фролов Сергей Викторович"/>
    <x v="47"/>
    <s v="2023-09-20"/>
    <n v="71076"/>
  </r>
  <r>
    <s v="Сидорова Елена Васильевна"/>
    <x v="48"/>
    <s v="2023-09-21"/>
    <n v="88998"/>
  </r>
  <r>
    <s v="Семенова Ирина Валерьевна"/>
    <x v="49"/>
    <s v="2023-09-21"/>
    <n v="57146"/>
  </r>
  <r>
    <s v="Петров Владимир Кириллович"/>
    <x v="50"/>
    <s v="2023-09-21"/>
    <n v="95212"/>
  </r>
  <r>
    <s v="Петров Владимир Кириллович"/>
    <x v="51"/>
    <s v="2023-09-22"/>
    <n v="57103"/>
  </r>
  <r>
    <s v="Семенова Ирина Валерьевна"/>
    <x v="52"/>
    <s v="2023-09-22"/>
    <n v="96611"/>
  </r>
  <r>
    <s v="Семенова Ирина Валерьевна"/>
    <x v="53"/>
    <s v="2023-09-22"/>
    <n v="15126"/>
  </r>
  <r>
    <s v="Ткаченко Андрей Олегович"/>
    <x v="54"/>
    <s v="2023-09-25"/>
    <n v="99945"/>
  </r>
  <r>
    <s v="Сидорова Елена Васильевна"/>
    <x v="55"/>
    <s v="2023-09-25"/>
    <n v="82853"/>
  </r>
  <r>
    <s v="Белов Алексей Константинович"/>
    <x v="56"/>
    <s v="2023-09-25"/>
    <n v="92084"/>
  </r>
  <r>
    <s v="Сидорова Елена Васильевна"/>
    <x v="57"/>
    <s v="2023-09-25"/>
    <n v="81247"/>
  </r>
  <r>
    <s v="Белов Алексей Константинович"/>
    <x v="58"/>
    <s v="2023-09-25"/>
    <n v="53861"/>
  </r>
  <r>
    <s v="Семенова Ирина Валерьевна"/>
    <x v="59"/>
    <s v="2023-09-25"/>
    <n v="61384"/>
  </r>
  <r>
    <s v="Громова Мария Ильинична"/>
    <x v="60"/>
    <s v="2023-09-25"/>
    <n v="43484"/>
  </r>
  <r>
    <s v="Петров Владимир Кириллович"/>
    <x v="61"/>
    <s v="2023-09-25"/>
    <n v="10779"/>
  </r>
  <r>
    <s v="Яковлев Артем Игоревич"/>
    <x v="21"/>
    <s v="2023-09-25"/>
    <n v="47237"/>
  </r>
  <r>
    <s v="Иванова Анна Сергеевна"/>
    <x v="22"/>
    <s v="2023-09-26"/>
    <n v="23337"/>
  </r>
  <r>
    <s v="Ткаченко Андрей Олегович"/>
    <x v="62"/>
    <s v="2023-09-27"/>
    <n v="97783"/>
  </r>
  <r>
    <s v="Орлов Павел Денисович"/>
    <x v="63"/>
    <s v="2023-09-27"/>
    <n v="83123"/>
  </r>
  <r>
    <s v="Семенова Ирина Валерьевна"/>
    <x v="64"/>
    <s v="2023-09-28"/>
    <n v="95408"/>
  </r>
  <r>
    <s v="Семенова Ирина Валерьевна"/>
    <x v="65"/>
    <s v="2023-09-29"/>
    <n v="52724"/>
  </r>
  <r>
    <s v="Новикова Ольга Петровна"/>
    <x v="17"/>
    <s v="2023-09-29"/>
    <n v="80990"/>
  </r>
  <r>
    <s v="Яковлев Артем Игоревич"/>
    <x v="66"/>
    <s v="2023-10-02"/>
    <n v="58839"/>
  </r>
  <r>
    <s v="Сидорова Елена Васильевна"/>
    <x v="67"/>
    <s v="2023-10-02"/>
    <n v="75815"/>
  </r>
  <r>
    <s v="Сидорова Елена Васильевна"/>
    <x v="0"/>
    <s v="2023-10-02"/>
    <n v="30299"/>
  </r>
  <r>
    <s v="Громова Мария Ильинична"/>
    <x v="68"/>
    <s v="2023-10-02"/>
    <n v="76029"/>
  </r>
  <r>
    <s v="Иванова Анна Сергеевна"/>
    <x v="69"/>
    <s v="2023-10-02"/>
    <n v="42572"/>
  </r>
  <r>
    <s v="Иванова Анна Сергеевна"/>
    <x v="70"/>
    <s v="2023-10-02"/>
    <n v="11217"/>
  </r>
  <r>
    <s v="Фролов Сергей Викторович"/>
    <x v="46"/>
    <s v="2023-10-02"/>
    <n v="61547"/>
  </r>
  <r>
    <s v="Громова Мария Ильинична"/>
    <x v="19"/>
    <s v="2023-10-03"/>
    <n v="94646"/>
  </r>
  <r>
    <s v="Ткаченко Андрей Олегович"/>
    <x v="57"/>
    <s v="2023-10-03"/>
    <n v="69358"/>
  </r>
  <r>
    <s v="Кузнецов Дмитрий Львович"/>
    <x v="71"/>
    <s v="2023-10-03"/>
    <n v="63177"/>
  </r>
  <r>
    <s v="Ткаченко Андрей Олегович"/>
    <x v="46"/>
    <s v="2023-10-03"/>
    <n v="19847"/>
  </r>
  <r>
    <s v="Яковлев Артем Игоревич"/>
    <x v="72"/>
    <s v="2023-10-04"/>
    <n v="56381"/>
  </r>
  <r>
    <s v="Яковлев Артем Игоревич"/>
    <x v="37"/>
    <s v="2023-10-04"/>
    <n v="95364"/>
  </r>
  <r>
    <s v="Громова Мария Ильинична"/>
    <x v="73"/>
    <s v="2023-10-04"/>
    <n v="68928"/>
  </r>
  <r>
    <s v="Петров Владимир Кириллович"/>
    <x v="74"/>
    <s v="2023-10-05"/>
    <n v="56713"/>
  </r>
  <r>
    <s v="Ткаченко Андрей Олегович"/>
    <x v="75"/>
    <s v="2023-10-05"/>
    <n v="67191"/>
  </r>
  <r>
    <s v="Белов Алексей Константинович"/>
    <x v="76"/>
    <s v="2023-10-05"/>
    <n v="92723"/>
  </r>
  <r>
    <s v="Громова Мария Ильинична"/>
    <x v="72"/>
    <s v="2023-10-06"/>
    <n v="28834"/>
  </r>
  <r>
    <s v="Громова Мария Ильинична"/>
    <x v="77"/>
    <s v="2023-10-06"/>
    <n v="28347"/>
  </r>
  <r>
    <s v="Орлов Павел Денисович"/>
    <x v="15"/>
    <s v="2023-10-09"/>
    <n v="53115"/>
  </r>
  <r>
    <s v="Громова Мария Ильинична"/>
    <x v="78"/>
    <s v="2023-10-09"/>
    <n v="15194"/>
  </r>
  <r>
    <s v="Сидорова Елена Васильевна"/>
    <x v="64"/>
    <s v="2023-10-09"/>
    <n v="89735"/>
  </r>
  <r>
    <s v="Фролов Сергей Викторович"/>
    <x v="11"/>
    <s v="2023-10-09"/>
    <n v="69956"/>
  </r>
  <r>
    <s v="Орлов Павел Денисович"/>
    <x v="79"/>
    <s v="2023-10-09"/>
    <n v="66929"/>
  </r>
  <r>
    <s v="Кузнецов Дмитрий Львович"/>
    <x v="80"/>
    <s v="2023-10-09"/>
    <n v="54092"/>
  </r>
  <r>
    <s v="Новикова Ольга Петровна"/>
    <x v="81"/>
    <s v="2023-10-09"/>
    <n v="64890"/>
  </r>
  <r>
    <s v="Сидорова Елена Васильевна"/>
    <x v="6"/>
    <s v="2023-10-09"/>
    <n v="83867"/>
  </r>
  <r>
    <s v="Иванова Анна Сергеевна"/>
    <x v="82"/>
    <s v="2023-10-09"/>
    <n v="70255"/>
  </r>
  <r>
    <s v="Белов Алексей Константинович"/>
    <x v="83"/>
    <s v="2023-10-09"/>
    <n v="30795"/>
  </r>
  <r>
    <s v="Фролов Сергей Викторович"/>
    <x v="48"/>
    <s v="2023-10-09"/>
    <n v="15652"/>
  </r>
  <r>
    <s v="Ткаченко Андрей Олегович"/>
    <x v="62"/>
    <s v="2023-10-10"/>
    <n v="34353"/>
  </r>
  <r>
    <s v="Ткаченко Андрей Олегович"/>
    <x v="84"/>
    <s v="2023-10-10"/>
    <n v="48993"/>
  </r>
  <r>
    <s v="Громова Мария Ильинична"/>
    <x v="29"/>
    <s v="2023-10-10"/>
    <n v="22398"/>
  </r>
  <r>
    <s v="Белов Алексей Константинович"/>
    <x v="85"/>
    <s v="2023-10-10"/>
    <n v="24227"/>
  </r>
  <r>
    <s v="Иванова Анна Сергеевна"/>
    <x v="86"/>
    <s v="2023-10-10"/>
    <n v="75831"/>
  </r>
  <r>
    <s v="Фролов Сергей Викторович"/>
    <x v="77"/>
    <s v="2023-10-11"/>
    <n v="91993"/>
  </r>
  <r>
    <s v="Семенова Ирина Валерьевна"/>
    <x v="87"/>
    <s v="2023-10-11"/>
    <n v="50577"/>
  </r>
  <r>
    <s v="Петров Владимир Кириллович"/>
    <x v="88"/>
    <s v="2023-10-11"/>
    <n v="60025"/>
  </r>
  <r>
    <s v="Иванова Анна Сергеевна"/>
    <x v="89"/>
    <s v="2023-10-11"/>
    <n v="17020"/>
  </r>
  <r>
    <s v="Петров Владимир Кириллович"/>
    <x v="82"/>
    <s v="2023-10-12"/>
    <n v="65885"/>
  </r>
  <r>
    <s v="Иванова Анна Сергеевна"/>
    <x v="90"/>
    <s v="2023-10-12"/>
    <n v="70793"/>
  </r>
  <r>
    <s v="Новикова Ольга Петровна"/>
    <x v="3"/>
    <s v="2023-10-12"/>
    <n v="16372"/>
  </r>
  <r>
    <s v="Орлов Павел Денисович"/>
    <x v="91"/>
    <s v="2023-10-13"/>
    <n v="41243"/>
  </r>
  <r>
    <s v="Ткаченко Андрей Олегович"/>
    <x v="92"/>
    <s v="2023-10-13"/>
    <n v="16846"/>
  </r>
  <r>
    <s v="Петров Владимир Кириллович"/>
    <x v="91"/>
    <s v="2023-10-16"/>
    <n v="87118"/>
  </r>
  <r>
    <s v="Новикова Ольга Петровна"/>
    <x v="62"/>
    <s v="2023-10-16"/>
    <n v="80799"/>
  </r>
  <r>
    <s v="Новикова Ольга Петровна"/>
    <x v="56"/>
    <s v="2023-10-16"/>
    <n v="54320"/>
  </r>
  <r>
    <s v="Кузнецов Дмитрий Львович"/>
    <x v="93"/>
    <s v="2023-10-16"/>
    <n v="47478"/>
  </r>
  <r>
    <s v="Иванова Анна Сергеевна"/>
    <x v="94"/>
    <s v="2023-10-17"/>
    <n v="81042"/>
  </r>
  <r>
    <s v="Яковлев Артем Игоревич"/>
    <x v="95"/>
    <s v="2023-10-17"/>
    <n v="56779"/>
  </r>
  <r>
    <s v="Ткаченко Андрей Олегович"/>
    <x v="10"/>
    <s v="2023-10-17"/>
    <n v="58768"/>
  </r>
  <r>
    <s v="Орлов Павел Денисович"/>
    <x v="5"/>
    <s v="2023-10-18"/>
    <n v="26509"/>
  </r>
  <r>
    <s v="Белов Алексей Константинович"/>
    <x v="9"/>
    <s v="2023-10-18"/>
    <n v="97346"/>
  </r>
  <r>
    <s v="Сидорова Елена Васильевна"/>
    <x v="96"/>
    <s v="2023-10-18"/>
    <n v="80268"/>
  </r>
  <r>
    <s v="Иванова Анна Сергеевна"/>
    <x v="24"/>
    <s v="2023-10-19"/>
    <n v="64703"/>
  </r>
  <r>
    <s v="Орлов Павел Денисович"/>
    <x v="93"/>
    <s v="2023-10-19"/>
    <n v="70043"/>
  </r>
  <r>
    <s v="Яковлев Артем Игоревич"/>
    <x v="97"/>
    <s v="2023-10-19"/>
    <n v="76470"/>
  </r>
  <r>
    <s v="Яковлев Артем Игоревич"/>
    <x v="90"/>
    <s v="2023-10-19"/>
    <n v="52412"/>
  </r>
  <r>
    <s v="Орлов Павел Денисович"/>
    <x v="34"/>
    <s v="2023-10-19"/>
    <n v="33287"/>
  </r>
  <r>
    <s v="Сидорова Елена Васильевна"/>
    <x v="98"/>
    <s v="2023-10-20"/>
    <n v="43824"/>
  </r>
  <r>
    <s v="Орлов Павел Денисович"/>
    <x v="99"/>
    <s v="2023-10-20"/>
    <n v="59277"/>
  </r>
  <r>
    <s v="Иванова Анна Сергеевна"/>
    <x v="100"/>
    <s v="2023-10-20"/>
    <n v="28832"/>
  </r>
  <r>
    <s v="Петров Владимир Кириллович"/>
    <x v="101"/>
    <s v="2023-10-20"/>
    <n v="51355"/>
  </r>
  <r>
    <s v="Яковлев Артем Игоревич"/>
    <x v="47"/>
    <s v="2023-10-23"/>
    <n v="90888"/>
  </r>
  <r>
    <s v="Сидорова Елена Васильевна"/>
    <x v="102"/>
    <s v="2023-10-23"/>
    <n v="52369"/>
  </r>
  <r>
    <s v="Кузнецов Дмитрий Львович"/>
    <x v="16"/>
    <s v="2023-10-23"/>
    <n v="30813"/>
  </r>
  <r>
    <s v="Иванова Анна Сергеевна"/>
    <x v="65"/>
    <s v="2023-10-23"/>
    <n v="93610"/>
  </r>
  <r>
    <s v="Белов Алексей Константинович"/>
    <x v="93"/>
    <s v="2023-10-23"/>
    <n v="72935"/>
  </r>
  <r>
    <s v="Яковлев Артем Игоревич"/>
    <x v="103"/>
    <s v="2023-10-23"/>
    <n v="99505"/>
  </r>
  <r>
    <s v="Орлов Павел Денисович"/>
    <x v="57"/>
    <s v="2023-10-23"/>
    <n v="22343"/>
  </r>
  <r>
    <s v="Орлов Павел Денисович"/>
    <x v="104"/>
    <s v="2023-10-23"/>
    <n v="53176"/>
  </r>
  <r>
    <s v="Ткаченко Андрей Олегович"/>
    <x v="105"/>
    <s v="2023-10-23"/>
    <n v="84891"/>
  </r>
  <r>
    <s v="Сидорова Елена Васильевна"/>
    <x v="28"/>
    <s v="2023-10-24"/>
    <n v="50779"/>
  </r>
  <r>
    <s v="Сидорова Елена Васильевна"/>
    <x v="65"/>
    <s v="2023-10-25"/>
    <n v="92490"/>
  </r>
  <r>
    <s v="Фролов Сергей Викторович"/>
    <x v="40"/>
    <s v="2023-10-25"/>
    <n v="54355"/>
  </r>
  <r>
    <s v="Громова Мария Ильинична"/>
    <x v="106"/>
    <s v="2023-10-25"/>
    <n v="50289"/>
  </r>
  <r>
    <s v="Семенова Ирина Валерьевна"/>
    <x v="58"/>
    <s v="2023-10-25"/>
    <n v="60062"/>
  </r>
  <r>
    <s v="Громова Мария Ильинична"/>
    <x v="107"/>
    <s v="2023-10-26"/>
    <n v="34917"/>
  </r>
  <r>
    <s v="Новикова Ольга Петровна"/>
    <x v="15"/>
    <s v="2023-10-27"/>
    <n v="67985"/>
  </r>
  <r>
    <s v="Сидорова Елена Васильевна"/>
    <x v="53"/>
    <s v="2023-10-27"/>
    <n v="38926"/>
  </r>
  <r>
    <s v="Фролов Сергей Викторович"/>
    <x v="108"/>
    <s v="2023-10-27"/>
    <n v="65958"/>
  </r>
  <r>
    <s v="Семенова Ирина Валерьевна"/>
    <x v="96"/>
    <s v="2023-10-27"/>
    <n v="80304"/>
  </r>
  <r>
    <s v="Петров Владимир Кириллович"/>
    <x v="109"/>
    <s v="2023-10-27"/>
    <n v="18426"/>
  </r>
  <r>
    <s v="Иванова Анна Сергеевна"/>
    <x v="110"/>
    <s v="2023-10-30"/>
    <n v="34690"/>
  </r>
  <r>
    <s v="Иванова Анна Сергеевна"/>
    <x v="68"/>
    <s v="2023-10-30"/>
    <n v="63212"/>
  </r>
  <r>
    <s v="Новикова Ольга Петровна"/>
    <x v="111"/>
    <s v="2023-10-30"/>
    <n v="39689"/>
  </r>
  <r>
    <s v="Яковлев Артем Игоревич"/>
    <x v="28"/>
    <s v="2023-10-30"/>
    <n v="70276"/>
  </r>
  <r>
    <s v="Сидорова Елена Васильевна"/>
    <x v="93"/>
    <s v="2023-10-30"/>
    <n v="98011"/>
  </r>
  <r>
    <s v="Орлов Павел Денисович"/>
    <x v="81"/>
    <s v="2023-10-30"/>
    <n v="34428"/>
  </r>
  <r>
    <s v="Новикова Ольга Петровна"/>
    <x v="112"/>
    <s v="2023-10-31"/>
    <n v="15354"/>
  </r>
  <r>
    <s v="Белов Алексей Константинович"/>
    <x v="26"/>
    <s v="2023-10-31"/>
    <n v="71716"/>
  </r>
  <r>
    <s v="Иванова Анна Сергеевна"/>
    <x v="95"/>
    <s v="2023-11-01"/>
    <n v="96587"/>
  </r>
  <r>
    <s v="Семенова Ирина Валерьевна"/>
    <x v="62"/>
    <s v="2023-11-01"/>
    <n v="18712"/>
  </r>
  <r>
    <s v="Белов Алексей Константинович"/>
    <x v="23"/>
    <s v="2023-11-01"/>
    <n v="60383"/>
  </r>
  <r>
    <s v="Новикова Ольга Петровна"/>
    <x v="31"/>
    <s v="2023-11-01"/>
    <n v="71495"/>
  </r>
  <r>
    <s v="Кузнецов Дмитрий Львович"/>
    <x v="112"/>
    <s v="2023-11-01"/>
    <n v="78814"/>
  </r>
  <r>
    <s v="Иванова Анна Сергеевна"/>
    <x v="113"/>
    <s v="2023-11-03"/>
    <n v="32327"/>
  </r>
  <r>
    <s v="Громова Мария Ильинична"/>
    <x v="65"/>
    <s v="2023-11-03"/>
    <n v="90834"/>
  </r>
  <r>
    <s v="Сидорова Елена Васильевна"/>
    <x v="112"/>
    <s v="2023-11-06"/>
    <n v="25079"/>
  </r>
  <r>
    <s v="Орлов Павел Денисович"/>
    <x v="114"/>
    <s v="2023-11-06"/>
    <n v="79297"/>
  </r>
  <r>
    <s v="Яковлев Артем Игоревич"/>
    <x v="102"/>
    <s v="2023-11-06"/>
    <n v="88112"/>
  </r>
  <r>
    <s v="Семенова Ирина Валерьевна"/>
    <x v="115"/>
    <s v="2023-11-06"/>
    <n v="52488"/>
  </r>
  <r>
    <s v="Ткаченко Андрей Олегович"/>
    <x v="116"/>
    <s v="2023-11-08"/>
    <n v="90276"/>
  </r>
  <r>
    <s v="Орлов Павел Денисович"/>
    <x v="117"/>
    <s v="2023-11-08"/>
    <n v="35741"/>
  </r>
  <r>
    <s v="Сидорова Елена Васильевна"/>
    <x v="118"/>
    <s v="2023-11-08"/>
    <n v="13188"/>
  </r>
  <r>
    <s v="Кузнецов Дмитрий Львович"/>
    <x v="119"/>
    <s v="2023-11-08"/>
    <n v="37209"/>
  </r>
  <r>
    <s v="Новикова Ольга Петровна"/>
    <x v="70"/>
    <s v="2023-11-08"/>
    <n v="58805"/>
  </r>
  <r>
    <s v="Семенова Ирина Валерьевна"/>
    <x v="77"/>
    <s v="2023-11-09"/>
    <n v="70113"/>
  </r>
  <r>
    <s v="Яковлев Артем Игоревич"/>
    <x v="40"/>
    <s v="2023-11-09"/>
    <n v="68300"/>
  </r>
  <r>
    <s v="Фролов Сергей Викторович"/>
    <x v="40"/>
    <s v="2023-11-09"/>
    <n v="44354"/>
  </r>
  <r>
    <s v="Яковлев Артем Игоревич"/>
    <x v="120"/>
    <s v="2023-11-10"/>
    <n v="27219"/>
  </r>
  <r>
    <s v="Фролов Сергей Викторович"/>
    <x v="46"/>
    <s v="2023-11-10"/>
    <n v="24852"/>
  </r>
  <r>
    <s v="Семенова Ирина Валерьевна"/>
    <x v="121"/>
    <s v="2023-11-10"/>
    <n v="60472"/>
  </r>
  <r>
    <s v="Новикова Ольга Петровна"/>
    <x v="122"/>
    <s v="2023-11-10"/>
    <n v="39575"/>
  </r>
  <r>
    <s v="Новикова Ольга Петровна"/>
    <x v="123"/>
    <s v="2023-11-13"/>
    <n v="29570"/>
  </r>
  <r>
    <s v="Семенова Ирина Валерьевна"/>
    <x v="75"/>
    <s v="2023-11-13"/>
    <n v="63399"/>
  </r>
  <r>
    <s v="Яковлев Артем Игоревич"/>
    <x v="61"/>
    <s v="2023-11-13"/>
    <n v="17188"/>
  </r>
  <r>
    <s v="Новикова Ольга Петровна"/>
    <x v="22"/>
    <s v="2023-11-13"/>
    <n v="89878"/>
  </r>
  <r>
    <s v="Иванова Анна Сергеевна"/>
    <x v="0"/>
    <s v="2023-11-13"/>
    <n v="50829"/>
  </r>
  <r>
    <s v="Фролов Сергей Викторович"/>
    <x v="43"/>
    <s v="2023-11-13"/>
    <n v="35346"/>
  </r>
  <r>
    <s v="Яковлев Артем Игоревич"/>
    <x v="67"/>
    <s v="2023-11-13"/>
    <n v="92124"/>
  </r>
  <r>
    <s v="Ткаченко Андрей Олегович"/>
    <x v="36"/>
    <s v="2023-11-13"/>
    <n v="45549"/>
  </r>
  <r>
    <s v="Громова Мария Ильинична"/>
    <x v="124"/>
    <s v="2023-11-13"/>
    <n v="30967"/>
  </r>
  <r>
    <s v="Ткаченко Андрей Олегович"/>
    <x v="25"/>
    <s v="2023-11-13"/>
    <n v="82432"/>
  </r>
  <r>
    <s v="Яковлев Артем Игоревич"/>
    <x v="62"/>
    <s v="2023-11-13"/>
    <n v="12352"/>
  </r>
  <r>
    <s v="Белов Алексей Константинович"/>
    <x v="84"/>
    <s v="2023-11-14"/>
    <n v="78781"/>
  </r>
  <r>
    <s v="Громова Мария Ильинична"/>
    <x v="60"/>
    <s v="2023-11-14"/>
    <n v="63400"/>
  </r>
  <r>
    <s v="Сидорова Елена Васильевна"/>
    <x v="80"/>
    <s v="2023-11-15"/>
    <n v="23673"/>
  </r>
  <r>
    <s v="Фролов Сергей Викторович"/>
    <x v="5"/>
    <s v="2023-11-15"/>
    <n v="46519"/>
  </r>
  <r>
    <s v="Иванова Анна Сергеевна"/>
    <x v="19"/>
    <s v="2023-11-16"/>
    <n v="59560"/>
  </r>
  <r>
    <s v="Громова Мария Ильинична"/>
    <x v="125"/>
    <s v="2023-11-16"/>
    <n v="34120"/>
  </r>
  <r>
    <s v="Новикова Ольга Петровна"/>
    <x v="126"/>
    <s v="2023-11-16"/>
    <n v="67299"/>
  </r>
  <r>
    <s v="Громова Мария Ильинична"/>
    <x v="127"/>
    <s v="2023-11-17"/>
    <n v="32589"/>
  </r>
  <r>
    <s v="Фролов Сергей Викторович"/>
    <x v="81"/>
    <s v="2023-11-17"/>
    <n v="50780"/>
  </r>
  <r>
    <s v="Белов Алексей Константинович"/>
    <x v="57"/>
    <s v="2023-11-17"/>
    <n v="46426"/>
  </r>
  <r>
    <s v="Иванова Анна Сергеевна"/>
    <x v="128"/>
    <s v="2023-11-20"/>
    <n v="39448"/>
  </r>
  <r>
    <s v="Громова Мария Ильинична"/>
    <x v="129"/>
    <s v="2023-11-20"/>
    <n v="93791"/>
  </r>
  <r>
    <s v="Громова Мария Ильинична"/>
    <x v="130"/>
    <s v="2023-11-20"/>
    <n v="15164"/>
  </r>
  <r>
    <s v="Кузнецов Дмитрий Львович"/>
    <x v="84"/>
    <s v="2023-11-20"/>
    <n v="84651"/>
  </r>
  <r>
    <s v="Петров Владимир Кириллович"/>
    <x v="86"/>
    <s v="2023-11-20"/>
    <n v="76729"/>
  </r>
  <r>
    <s v="Новикова Ольга Петровна"/>
    <x v="131"/>
    <s v="2023-11-20"/>
    <n v="47274"/>
  </r>
  <r>
    <s v="Кузнецов Дмитрий Львович"/>
    <x v="3"/>
    <s v="2023-11-20"/>
    <n v="66606"/>
  </r>
  <r>
    <s v="Орлов Павел Денисович"/>
    <x v="39"/>
    <s v="2023-11-20"/>
    <n v="87171"/>
  </r>
  <r>
    <s v="Петров Владимир Кириллович"/>
    <x v="66"/>
    <s v="2023-11-21"/>
    <n v="33857"/>
  </r>
  <r>
    <s v="Белов Алексей Константинович"/>
    <x v="37"/>
    <s v="2023-11-21"/>
    <n v="82836"/>
  </r>
  <r>
    <s v="Ткаченко Андрей Олегович"/>
    <x v="15"/>
    <s v="2023-11-21"/>
    <n v="38423"/>
  </r>
  <r>
    <s v="Белов Алексей Константинович"/>
    <x v="38"/>
    <s v="2023-11-21"/>
    <n v="38711"/>
  </r>
  <r>
    <s v="Громова Мария Ильинична"/>
    <x v="93"/>
    <s v="2023-11-22"/>
    <n v="79661"/>
  </r>
  <r>
    <s v="Ткаченко Андрей Олегович"/>
    <x v="132"/>
    <s v="2023-11-22"/>
    <n v="31304"/>
  </r>
  <r>
    <s v="Белов Алексей Константинович"/>
    <x v="133"/>
    <s v="2023-11-22"/>
    <n v="41213"/>
  </r>
  <r>
    <s v="Сидорова Елена Васильевна"/>
    <x v="79"/>
    <s v="2023-11-22"/>
    <n v="53543"/>
  </r>
  <r>
    <s v="Ткаченко Андрей Олегович"/>
    <x v="12"/>
    <s v="2023-11-23"/>
    <n v="43479"/>
  </r>
  <r>
    <s v="Кузнецов Дмитрий Львович"/>
    <x v="71"/>
    <s v="2023-11-23"/>
    <n v="27815"/>
  </r>
  <r>
    <s v="Сидорова Елена Васильевна"/>
    <x v="16"/>
    <s v="2023-11-23"/>
    <n v="18655"/>
  </r>
  <r>
    <s v="Орлов Павел Денисович"/>
    <x v="81"/>
    <s v="2023-11-24"/>
    <n v="58212"/>
  </r>
  <r>
    <s v="Сидорова Елена Васильевна"/>
    <x v="134"/>
    <s v="2023-11-24"/>
    <n v="32980"/>
  </r>
  <r>
    <s v="Новикова Ольга Петровна"/>
    <x v="69"/>
    <s v="2023-11-27"/>
    <n v="76344"/>
  </r>
  <r>
    <s v="Белов Алексей Константинович"/>
    <x v="119"/>
    <s v="2023-11-27"/>
    <n v="17775"/>
  </r>
  <r>
    <s v="Фролов Сергей Викторович"/>
    <x v="135"/>
    <s v="2023-11-27"/>
    <n v="25041"/>
  </r>
  <r>
    <s v="Ткаченко Андрей Олегович"/>
    <x v="22"/>
    <s v="2023-11-27"/>
    <n v="79954"/>
  </r>
  <r>
    <s v="Белов Алексей Константинович"/>
    <x v="51"/>
    <s v="2023-11-27"/>
    <n v="53102"/>
  </r>
  <r>
    <s v="Белов Алексей Константинович"/>
    <x v="67"/>
    <s v="2023-11-27"/>
    <n v="89020"/>
  </r>
  <r>
    <s v="Фролов Сергей Викторович"/>
    <x v="136"/>
    <s v="2023-11-27"/>
    <n v="85290"/>
  </r>
  <r>
    <s v="Белов Алексей Константинович"/>
    <x v="30"/>
    <s v="2023-11-27"/>
    <n v="44757"/>
  </r>
  <r>
    <s v="Семенова Ирина Валерьевна"/>
    <x v="16"/>
    <s v="2023-11-27"/>
    <n v="96835"/>
  </r>
  <r>
    <s v="Сидорова Елена Васильевна"/>
    <x v="5"/>
    <s v="2023-11-29"/>
    <n v="97747"/>
  </r>
  <r>
    <s v="Яковлев Артем Игоревич"/>
    <x v="137"/>
    <s v="2023-11-29"/>
    <n v="14266"/>
  </r>
  <r>
    <s v="Кузнецов Дмитрий Львович"/>
    <x v="138"/>
    <s v="2023-11-29"/>
    <n v="30811"/>
  </r>
  <r>
    <s v="Ткаченко Андрей Олегович"/>
    <x v="85"/>
    <s v="2023-12-01"/>
    <n v="80839"/>
  </r>
  <r>
    <s v="Кузнецов Дмитрий Львович"/>
    <x v="139"/>
    <s v="2023-12-04"/>
    <n v="14275"/>
  </r>
  <r>
    <s v="Сидорова Елена Васильевна"/>
    <x v="129"/>
    <s v="2023-12-04"/>
    <n v="97245"/>
  </r>
  <r>
    <s v="Фролов Сергей Викторович"/>
    <x v="90"/>
    <s v="2023-12-04"/>
    <n v="89825"/>
  </r>
  <r>
    <s v="Петров Владимир Кириллович"/>
    <x v="46"/>
    <s v="2023-12-04"/>
    <n v="50851"/>
  </r>
  <r>
    <s v="Белов Алексей Константинович"/>
    <x v="98"/>
    <s v="2023-12-04"/>
    <n v="27704"/>
  </r>
  <r>
    <s v="Сидорова Елена Васильевна"/>
    <x v="112"/>
    <s v="2023-12-04"/>
    <n v="11019"/>
  </r>
  <r>
    <s v="Фролов Сергей Викторович"/>
    <x v="1"/>
    <s v="2023-12-04"/>
    <n v="45509"/>
  </r>
  <r>
    <s v="Петров Владимир Кириллович"/>
    <x v="140"/>
    <s v="2023-12-05"/>
    <n v="12192"/>
  </r>
  <r>
    <s v="Ткаченко Андрей Олегович"/>
    <x v="71"/>
    <s v="2023-12-05"/>
    <n v="49743"/>
  </r>
  <r>
    <s v="Орлов Павел Денисович"/>
    <x v="141"/>
    <s v="2023-12-06"/>
    <n v="26654"/>
  </r>
  <r>
    <s v="Фролов Сергей Викторович"/>
    <x v="142"/>
    <s v="2023-12-06"/>
    <n v="46257"/>
  </r>
  <r>
    <s v="Иванова Анна Сергеевна"/>
    <x v="143"/>
    <s v="2023-12-06"/>
    <n v="64807"/>
  </r>
  <r>
    <s v="Яковлев Артем Игоревич"/>
    <x v="7"/>
    <s v="2023-12-06"/>
    <n v="89185"/>
  </r>
  <r>
    <s v="Громова Мария Ильинична"/>
    <x v="3"/>
    <s v="2023-12-07"/>
    <n v="68267"/>
  </r>
  <r>
    <s v="Сидорова Елена Васильевна"/>
    <x v="24"/>
    <s v="2023-12-07"/>
    <n v="84032"/>
  </r>
  <r>
    <s v="Яковлев Артем Игоревич"/>
    <x v="15"/>
    <s v="2023-12-07"/>
    <n v="77540"/>
  </r>
  <r>
    <s v="Яковлев Артем Игоревич"/>
    <x v="144"/>
    <s v="2023-12-07"/>
    <n v="57201"/>
  </r>
  <r>
    <s v="Сидорова Елена Васильевна"/>
    <x v="145"/>
    <s v="2023-12-08"/>
    <n v="92651"/>
  </r>
  <r>
    <s v="Яковлев Артем Игоревич"/>
    <x v="120"/>
    <s v="2023-12-08"/>
    <n v="76774"/>
  </r>
  <r>
    <s v="Яковлев Артем Игоревич"/>
    <x v="13"/>
    <s v="2023-12-08"/>
    <n v="55109"/>
  </r>
  <r>
    <s v="Иванова Анна Сергеевна"/>
    <x v="146"/>
    <s v="2023-12-08"/>
    <n v="63398"/>
  </r>
  <r>
    <s v="Семенова Ирина Валерьевна"/>
    <x v="100"/>
    <s v="2023-12-08"/>
    <n v="91099"/>
  </r>
  <r>
    <s v="Яковлев Артем Игоревич"/>
    <x v="15"/>
    <s v="2023-12-08"/>
    <n v="92124"/>
  </r>
  <r>
    <s v="Яковлев Артем Игоревич"/>
    <x v="101"/>
    <s v="2023-12-11"/>
    <n v="13092"/>
  </r>
  <r>
    <s v="Семенова Ирина Валерьевна"/>
    <x v="147"/>
    <s v="2023-12-11"/>
    <n v="87469"/>
  </r>
  <r>
    <s v="Громова Мария Ильинична"/>
    <x v="82"/>
    <s v="2023-12-11"/>
    <n v="28052"/>
  </r>
  <r>
    <s v="Громова Мария Ильинична"/>
    <x v="40"/>
    <s v="2023-12-11"/>
    <n v="13620"/>
  </r>
  <r>
    <s v="Ткаченко Андрей Олегович"/>
    <x v="71"/>
    <s v="2023-12-11"/>
    <n v="15374"/>
  </r>
  <r>
    <s v="Сидорова Елена Васильевна"/>
    <x v="139"/>
    <s v="2023-12-11"/>
    <n v="51433"/>
  </r>
  <r>
    <s v="Ткаченко Андрей Олегович"/>
    <x v="148"/>
    <s v="2023-12-11"/>
    <n v="46765"/>
  </r>
  <r>
    <s v="Ткаченко Андрей Олегович"/>
    <x v="89"/>
    <s v="2023-12-11"/>
    <n v="51565"/>
  </r>
  <r>
    <s v="Новикова Ольга Петровна"/>
    <x v="149"/>
    <s v="2023-12-11"/>
    <n v="41034"/>
  </r>
  <r>
    <s v="Кузнецов Дмитрий Львович"/>
    <x v="125"/>
    <s v="2023-12-12"/>
    <n v="18859"/>
  </r>
  <r>
    <s v="Иванова Анна Сергеевна"/>
    <x v="87"/>
    <s v="2023-12-13"/>
    <n v="83825"/>
  </r>
  <r>
    <s v="Кузнецов Дмитрий Львович"/>
    <x v="30"/>
    <s v="2023-12-14"/>
    <n v="46249"/>
  </r>
  <r>
    <s v="Иванова Анна Сергеевна"/>
    <x v="75"/>
    <s v="2023-12-14"/>
    <n v="33097"/>
  </r>
  <r>
    <s v="Кузнецов Дмитрий Львович"/>
    <x v="29"/>
    <s v="2023-12-15"/>
    <n v="64711"/>
  </r>
  <r>
    <s v="Иванова Анна Сергеевна"/>
    <x v="95"/>
    <s v="2023-12-15"/>
    <n v="15898"/>
  </r>
  <r>
    <s v="Белов Алексей Константинович"/>
    <x v="29"/>
    <s v="2023-12-15"/>
    <n v="69938"/>
  </r>
  <r>
    <s v="Громова Мария Ильинична"/>
    <x v="124"/>
    <s v="2023-12-15"/>
    <n v="15330"/>
  </r>
  <r>
    <s v="Семенова Ирина Валерьевна"/>
    <x v="20"/>
    <s v="2023-12-18"/>
    <n v="48416"/>
  </r>
  <r>
    <s v="Яковлев Артем Игоревич"/>
    <x v="0"/>
    <s v="2023-12-18"/>
    <n v="82934"/>
  </r>
  <r>
    <s v="Новикова Ольга Петровна"/>
    <x v="125"/>
    <s v="2023-12-18"/>
    <n v="11769"/>
  </r>
  <r>
    <s v="Сидорова Елена Васильевна"/>
    <x v="150"/>
    <s v="2023-12-18"/>
    <n v="11184"/>
  </r>
  <r>
    <s v="Ткаченко Андрей Олегович"/>
    <x v="37"/>
    <s v="2023-12-18"/>
    <n v="80485"/>
  </r>
  <r>
    <s v="Белов Алексей Константинович"/>
    <x v="35"/>
    <s v="2023-12-18"/>
    <n v="84960"/>
  </r>
  <r>
    <s v="Кузнецов Дмитрий Львович"/>
    <x v="13"/>
    <s v="2023-12-18"/>
    <n v="97611"/>
  </r>
  <r>
    <s v="Кузнецов Дмитрий Львович"/>
    <x v="64"/>
    <s v="2023-12-18"/>
    <n v="45898"/>
  </r>
  <r>
    <s v="Белов Алексей Константинович"/>
    <x v="137"/>
    <s v="2023-12-18"/>
    <n v="52218"/>
  </r>
  <r>
    <s v="Новикова Ольга Петровна"/>
    <x v="95"/>
    <s v="2023-12-19"/>
    <n v="15585"/>
  </r>
  <r>
    <s v="Семенова Ирина Валерьевна"/>
    <x v="95"/>
    <s v="2023-12-19"/>
    <n v="39107"/>
  </r>
  <r>
    <s v="Семенова Ирина Валерьевна"/>
    <x v="129"/>
    <s v="2023-12-20"/>
    <n v="24943"/>
  </r>
  <r>
    <s v="Громова Мария Ильинична"/>
    <x v="35"/>
    <s v="2023-12-20"/>
    <n v="23120"/>
  </r>
  <r>
    <s v="Орлов Павел Денисович"/>
    <x v="151"/>
    <s v="2023-12-20"/>
    <n v="52464"/>
  </r>
  <r>
    <s v="Белов Алексей Константинович"/>
    <x v="115"/>
    <s v="2023-12-20"/>
    <n v="26942"/>
  </r>
  <r>
    <s v="Белов Алексей Константинович"/>
    <x v="152"/>
    <s v="2023-12-20"/>
    <n v="30186"/>
  </r>
  <r>
    <s v="Иванова Анна Сергеевна"/>
    <x v="59"/>
    <s v="2023-12-21"/>
    <n v="64619"/>
  </r>
  <r>
    <s v="Сидорова Елена Васильевна"/>
    <x v="50"/>
    <s v="2023-12-21"/>
    <n v="28331"/>
  </r>
  <r>
    <s v="Орлов Павел Денисович"/>
    <x v="113"/>
    <s v="2023-12-22"/>
    <n v="45691"/>
  </r>
  <r>
    <s v="Белов Алексей Константинович"/>
    <x v="64"/>
    <s v="2023-12-22"/>
    <n v="33573"/>
  </r>
  <r>
    <s v="Новикова Ольга Петровна"/>
    <x v="47"/>
    <s v="2023-12-22"/>
    <n v="36661"/>
  </r>
  <r>
    <s v="Фролов Сергей Викторович"/>
    <x v="39"/>
    <s v="2023-12-25"/>
    <n v="75582"/>
  </r>
  <r>
    <s v="Яковлев Артем Игоревич"/>
    <x v="153"/>
    <s v="2023-12-25"/>
    <n v="62255"/>
  </r>
  <r>
    <s v="Яковлев Артем Игоревич"/>
    <x v="154"/>
    <s v="2023-12-25"/>
    <n v="15528"/>
  </r>
  <r>
    <s v="Иванова Анна Сергеевна"/>
    <x v="56"/>
    <s v="2023-12-25"/>
    <n v="22812"/>
  </r>
  <r>
    <s v="Петров Владимир Кириллович"/>
    <x v="155"/>
    <s v="2023-12-25"/>
    <n v="70908"/>
  </r>
  <r>
    <s v="Новикова Ольга Петровна"/>
    <x v="34"/>
    <s v="2023-12-25"/>
    <n v="53168"/>
  </r>
  <r>
    <s v="Семенова Ирина Валерьевна"/>
    <x v="85"/>
    <s v="2023-12-25"/>
    <n v="25383"/>
  </r>
  <r>
    <s v="Фролов Сергей Викторович"/>
    <x v="86"/>
    <s v="2023-12-25"/>
    <n v="99879"/>
  </r>
  <r>
    <s v="Белов Алексей Константинович"/>
    <x v="118"/>
    <s v="2023-12-25"/>
    <n v="65904"/>
  </r>
  <r>
    <s v="Новикова Ольга Петровна"/>
    <x v="65"/>
    <s v="2023-12-26"/>
    <n v="26143"/>
  </r>
  <r>
    <s v="Кузнецов Дмитрий Львович"/>
    <x v="36"/>
    <s v="2023-12-26"/>
    <n v="69386"/>
  </r>
  <r>
    <s v="Орлов Павел Денисович"/>
    <x v="25"/>
    <s v="2023-12-27"/>
    <n v="34564"/>
  </r>
  <r>
    <s v="Кузнецов Дмитрий Львович"/>
    <x v="139"/>
    <s v="2023-12-27"/>
    <n v="14897"/>
  </r>
  <r>
    <s v="Семенова Ирина Валерьевна"/>
    <x v="46"/>
    <s v="2023-12-27"/>
    <n v="23872"/>
  </r>
  <r>
    <s v="Яковлев Артем Игоревич"/>
    <x v="139"/>
    <s v="2023-12-27"/>
    <n v="20727"/>
  </r>
  <r>
    <s v="Белов Алексей Константинович"/>
    <x v="30"/>
    <s v="2023-12-27"/>
    <n v="66005"/>
  </r>
  <r>
    <s v="Семенова Ирина Валерьевна"/>
    <x v="90"/>
    <s v="2023-12-27"/>
    <n v="68993"/>
  </r>
  <r>
    <s v="Яковлев Артем Игоревич"/>
    <x v="156"/>
    <s v="2023-12-28"/>
    <n v="55569"/>
  </r>
  <r>
    <s v="Орлов Павел Денисович"/>
    <x v="127"/>
    <s v="2023-12-29"/>
    <n v="68591"/>
  </r>
  <r>
    <s v="Сидорова Елена Васильевна"/>
    <x v="139"/>
    <s v="2024-01-01"/>
    <n v="52197"/>
  </r>
  <r>
    <s v="Кузнецов Дмитрий Львович"/>
    <x v="30"/>
    <s v="2024-01-01"/>
    <n v="38286"/>
  </r>
  <r>
    <s v="Ткаченко Андрей Олегович"/>
    <x v="142"/>
    <s v="2024-01-01"/>
    <n v="88188"/>
  </r>
  <r>
    <s v="Белов Алексей Константинович"/>
    <x v="157"/>
    <s v="2024-01-01"/>
    <n v="43631"/>
  </r>
  <r>
    <s v="Петров Владимир Кириллович"/>
    <x v="113"/>
    <s v="2024-01-01"/>
    <n v="80570"/>
  </r>
  <r>
    <s v="Белов Алексей Константинович"/>
    <x v="115"/>
    <s v="2024-01-01"/>
    <n v="13042"/>
  </r>
  <r>
    <s v="Яковлев Артем Игоревич"/>
    <x v="142"/>
    <s v="2024-01-02"/>
    <n v="65230"/>
  </r>
  <r>
    <s v="Кузнецов Дмитрий Львович"/>
    <x v="38"/>
    <s v="2024-01-02"/>
    <n v="17286"/>
  </r>
  <r>
    <s v="Орлов Павел Денисович"/>
    <x v="108"/>
    <s v="2024-01-02"/>
    <n v="58872"/>
  </r>
  <r>
    <s v="Громова Мария Ильинична"/>
    <x v="3"/>
    <s v="2024-01-03"/>
    <n v="68332"/>
  </r>
  <r>
    <s v="Петров Владимир Кириллович"/>
    <x v="113"/>
    <s v="2024-01-03"/>
    <n v="43984"/>
  </r>
  <r>
    <s v="Громова Мария Ильинична"/>
    <x v="13"/>
    <s v="2024-01-04"/>
    <n v="27979"/>
  </r>
  <r>
    <s v="Ткаченко Андрей Олегович"/>
    <x v="7"/>
    <s v="2024-01-05"/>
    <n v="10843"/>
  </r>
  <r>
    <s v="Яковлев Артем Игоревич"/>
    <x v="61"/>
    <s v="2024-01-08"/>
    <n v="97321"/>
  </r>
  <r>
    <s v="Орлов Павел Денисович"/>
    <x v="30"/>
    <s v="2024-01-08"/>
    <n v="10386"/>
  </r>
  <r>
    <s v="Громова Мария Ильинична"/>
    <x v="41"/>
    <s v="2024-01-08"/>
    <n v="73600"/>
  </r>
  <r>
    <s v="Орлов Павел Денисович"/>
    <x v="16"/>
    <s v="2024-01-08"/>
    <n v="28776"/>
  </r>
  <r>
    <s v="Сидорова Елена Васильевна"/>
    <x v="39"/>
    <s v="2024-01-08"/>
    <n v="36433"/>
  </r>
  <r>
    <s v="Сидорова Елена Васильевна"/>
    <x v="127"/>
    <s v="2024-01-08"/>
    <n v="11283"/>
  </r>
  <r>
    <s v="Новикова Ольга Петровна"/>
    <x v="27"/>
    <s v="2024-01-09"/>
    <n v="67795"/>
  </r>
  <r>
    <s v="Орлов Павел Денисович"/>
    <x v="141"/>
    <s v="2024-01-09"/>
    <n v="80684"/>
  </r>
  <r>
    <s v="Фролов Сергей Викторович"/>
    <x v="42"/>
    <s v="2024-01-09"/>
    <n v="31639"/>
  </r>
  <r>
    <s v="Белов Алексей Константинович"/>
    <x v="36"/>
    <s v="2024-01-10"/>
    <n v="41998"/>
  </r>
  <r>
    <s v="Новикова Ольга Петровна"/>
    <x v="158"/>
    <s v="2024-01-10"/>
    <n v="46841"/>
  </r>
  <r>
    <s v="Сидорова Елена Васильевна"/>
    <x v="5"/>
    <s v="2024-01-10"/>
    <n v="86922"/>
  </r>
  <r>
    <s v="Новикова Ольга Петровна"/>
    <x v="159"/>
    <s v="2024-01-11"/>
    <n v="78582"/>
  </r>
  <r>
    <s v="Яковлев Артем Игоревич"/>
    <x v="100"/>
    <s v="2024-01-11"/>
    <n v="52380"/>
  </r>
  <r>
    <s v="Петров Владимир Кириллович"/>
    <x v="114"/>
    <s v="2024-01-11"/>
    <n v="80655"/>
  </r>
  <r>
    <s v="Орлов Павел Денисович"/>
    <x v="160"/>
    <s v="2024-01-12"/>
    <n v="89270"/>
  </r>
  <r>
    <s v="Сидорова Елена Васильевна"/>
    <x v="161"/>
    <s v="2024-01-12"/>
    <n v="44923"/>
  </r>
  <r>
    <s v="Ткаченко Андрей Олегович"/>
    <x v="59"/>
    <s v="2024-01-12"/>
    <n v="85312"/>
  </r>
  <r>
    <s v="Яковлев Артем Игоревич"/>
    <x v="162"/>
    <s v="2024-01-15"/>
    <n v="19804"/>
  </r>
  <r>
    <s v="Фролов Сергей Викторович"/>
    <x v="123"/>
    <s v="2024-01-15"/>
    <n v="91311"/>
  </r>
  <r>
    <s v="Орлов Павел Денисович"/>
    <x v="147"/>
    <s v="2024-01-15"/>
    <n v="72214"/>
  </r>
  <r>
    <s v="Петров Владимир Кириллович"/>
    <x v="163"/>
    <s v="2024-01-15"/>
    <n v="43381"/>
  </r>
  <r>
    <s v="Яковлев Артем Игоревич"/>
    <x v="145"/>
    <s v="2024-01-15"/>
    <n v="28460"/>
  </r>
  <r>
    <s v="Кузнецов Дмитрий Львович"/>
    <x v="26"/>
    <s v="2024-01-15"/>
    <n v="59274"/>
  </r>
  <r>
    <s v="Орлов Павел Денисович"/>
    <x v="19"/>
    <s v="2024-01-15"/>
    <n v="31258"/>
  </r>
  <r>
    <s v="Громова Мария Ильинична"/>
    <x v="28"/>
    <s v="2024-01-16"/>
    <n v="44012"/>
  </r>
  <r>
    <s v="Орлов Павел Денисович"/>
    <x v="123"/>
    <s v="2024-01-16"/>
    <n v="48980"/>
  </r>
  <r>
    <s v="Новикова Ольга Петровна"/>
    <x v="17"/>
    <s v="2024-01-16"/>
    <n v="40464"/>
  </r>
  <r>
    <s v="Иванова Анна Сергеевна"/>
    <x v="88"/>
    <s v="2024-01-17"/>
    <n v="58781"/>
  </r>
  <r>
    <s v="Белов Алексей Константинович"/>
    <x v="12"/>
    <s v="2024-01-18"/>
    <n v="99629"/>
  </r>
  <r>
    <s v="Белов Алексей Константинович"/>
    <x v="139"/>
    <s v="2024-01-18"/>
    <n v="12636"/>
  </r>
  <r>
    <s v="Петров Владимир Кириллович"/>
    <x v="11"/>
    <s v="2024-01-19"/>
    <n v="13733"/>
  </r>
  <r>
    <s v="Семенова Ирина Валерьевна"/>
    <x v="107"/>
    <s v="2024-01-19"/>
    <n v="72293"/>
  </r>
  <r>
    <s v="Иванова Анна Сергеевна"/>
    <x v="96"/>
    <s v="2024-01-19"/>
    <n v="16736"/>
  </r>
  <r>
    <s v="Фролов Сергей Викторович"/>
    <x v="138"/>
    <s v="2024-01-22"/>
    <n v="57909"/>
  </r>
  <r>
    <s v="Иванова Анна Сергеевна"/>
    <x v="103"/>
    <s v="2024-01-22"/>
    <n v="80196"/>
  </r>
  <r>
    <s v="Новикова Ольга Петровна"/>
    <x v="25"/>
    <s v="2024-01-22"/>
    <n v="81618"/>
  </r>
  <r>
    <s v="Яковлев Артем Игоревич"/>
    <x v="122"/>
    <s v="2024-01-22"/>
    <n v="16195"/>
  </r>
  <r>
    <s v="Иванова Анна Сергеевна"/>
    <x v="121"/>
    <s v="2024-01-22"/>
    <n v="22749"/>
  </r>
  <r>
    <s v="Семенова Ирина Валерьевна"/>
    <x v="150"/>
    <s v="2024-01-22"/>
    <n v="68430"/>
  </r>
  <r>
    <s v="Петров Владимир Кириллович"/>
    <x v="44"/>
    <s v="2024-01-23"/>
    <n v="82814"/>
  </r>
  <r>
    <s v="Семенова Ирина Валерьевна"/>
    <x v="113"/>
    <s v="2024-01-23"/>
    <n v="73072"/>
  </r>
  <r>
    <s v="Семенова Ирина Валерьевна"/>
    <x v="83"/>
    <s v="2024-01-23"/>
    <n v="39083"/>
  </r>
  <r>
    <s v="Фролов Сергей Викторович"/>
    <x v="132"/>
    <s v="2024-01-23"/>
    <n v="19290"/>
  </r>
  <r>
    <s v="Орлов Павел Денисович"/>
    <x v="78"/>
    <s v="2024-01-23"/>
    <n v="92039"/>
  </r>
  <r>
    <s v="Новикова Ольга Петровна"/>
    <x v="164"/>
    <s v="2024-01-24"/>
    <n v="18445"/>
  </r>
  <r>
    <s v="Семенова Ирина Валерьевна"/>
    <x v="39"/>
    <s v="2024-01-26"/>
    <n v="20763"/>
  </r>
  <r>
    <s v="Новикова Ольга Петровна"/>
    <x v="127"/>
    <s v="2024-01-26"/>
    <n v="44762"/>
  </r>
  <r>
    <s v="Белов Алексей Константинович"/>
    <x v="138"/>
    <s v="2024-01-29"/>
    <n v="25454"/>
  </r>
  <r>
    <s v="Кузнецов Дмитрий Львович"/>
    <x v="30"/>
    <s v="2024-01-29"/>
    <n v="53245"/>
  </r>
  <r>
    <s v="Семенова Ирина Валерьевна"/>
    <x v="45"/>
    <s v="2024-01-29"/>
    <n v="40123"/>
  </r>
  <r>
    <s v="Семенова Ирина Валерьевна"/>
    <x v="92"/>
    <s v="2024-01-29"/>
    <n v="65035"/>
  </r>
  <r>
    <s v="Громова Мария Ильинична"/>
    <x v="133"/>
    <s v="2024-01-29"/>
    <n v="50796"/>
  </r>
  <r>
    <s v="Новикова Ольга Петровна"/>
    <x v="122"/>
    <s v="2024-01-29"/>
    <n v="27458"/>
  </r>
  <r>
    <s v="Кузнецов Дмитрий Львович"/>
    <x v="82"/>
    <s v="2024-01-29"/>
    <n v="25877"/>
  </r>
  <r>
    <s v="Кузнецов Дмитрий Львович"/>
    <x v="44"/>
    <s v="2024-01-30"/>
    <n v="59044"/>
  </r>
  <r>
    <s v="Сидорова Елена Васильевна"/>
    <x v="38"/>
    <s v="2024-01-30"/>
    <n v="11613"/>
  </r>
  <r>
    <s v="Иванова Анна Сергеевна"/>
    <x v="93"/>
    <s v="2024-01-30"/>
    <n v="44702"/>
  </r>
  <r>
    <s v="Яковлев Артем Игоревич"/>
    <x v="32"/>
    <s v="2024-01-30"/>
    <n v="44485"/>
  </r>
  <r>
    <s v="Белов Алексей Константинович"/>
    <x v="131"/>
    <s v="2024-01-31"/>
    <n v="12882"/>
  </r>
  <r>
    <s v="Сидорова Елена Васильевна"/>
    <x v="25"/>
    <s v="2024-02-01"/>
    <n v="11789"/>
  </r>
  <r>
    <s v="Громова Мария Ильинична"/>
    <x v="144"/>
    <s v="2024-02-01"/>
    <n v="72540"/>
  </r>
  <r>
    <s v="Яковлев Артем Игоревич"/>
    <x v="141"/>
    <s v="2024-02-01"/>
    <n v="34658"/>
  </r>
  <r>
    <s v="Петров Владимир Кириллович"/>
    <x v="159"/>
    <s v="2024-02-02"/>
    <n v="51321"/>
  </r>
  <r>
    <s v="Семенова Ирина Валерьевна"/>
    <x v="68"/>
    <s v="2024-02-02"/>
    <n v="58634"/>
  </r>
  <r>
    <s v="Белов Алексей Константинович"/>
    <x v="165"/>
    <s v="2024-02-05"/>
    <n v="84092"/>
  </r>
  <r>
    <s v="Петров Владимир Кириллович"/>
    <x v="166"/>
    <s v="2024-02-05"/>
    <n v="25816"/>
  </r>
  <r>
    <s v="Яковлев Артем Игоревич"/>
    <x v="7"/>
    <s v="2024-02-05"/>
    <n v="29630"/>
  </r>
  <r>
    <s v="Фролов Сергей Викторович"/>
    <x v="1"/>
    <s v="2024-02-05"/>
    <n v="11739"/>
  </r>
  <r>
    <s v="Сидорова Елена Васильевна"/>
    <x v="7"/>
    <s v="2024-02-05"/>
    <n v="87129"/>
  </r>
  <r>
    <s v="Фролов Сергей Викторович"/>
    <x v="142"/>
    <s v="2024-02-05"/>
    <n v="29234"/>
  </r>
  <r>
    <s v="Орлов Павел Денисович"/>
    <x v="127"/>
    <s v="2024-02-05"/>
    <n v="67921"/>
  </r>
  <r>
    <s v="Орлов Павел Денисович"/>
    <x v="136"/>
    <s v="2024-02-05"/>
    <n v="16657"/>
  </r>
  <r>
    <s v="Сидорова Елена Васильевна"/>
    <x v="95"/>
    <s v="2024-02-06"/>
    <n v="12252"/>
  </r>
  <r>
    <s v="Орлов Павел Денисович"/>
    <x v="58"/>
    <s v="2024-02-06"/>
    <n v="81580"/>
  </r>
  <r>
    <s v="Семенова Ирина Валерьевна"/>
    <x v="94"/>
    <s v="2024-02-06"/>
    <n v="26476"/>
  </r>
  <r>
    <s v="Ткаченко Андрей Олегович"/>
    <x v="86"/>
    <s v="2024-02-07"/>
    <n v="53498"/>
  </r>
  <r>
    <s v="Сидорова Елена Васильевна"/>
    <x v="78"/>
    <s v="2024-02-07"/>
    <n v="38481"/>
  </r>
  <r>
    <s v="Кузнецов Дмитрий Львович"/>
    <x v="154"/>
    <s v="2024-02-07"/>
    <n v="24642"/>
  </r>
  <r>
    <s v="Семенова Ирина Валерьевна"/>
    <x v="139"/>
    <s v="2024-02-08"/>
    <n v="69956"/>
  </r>
  <r>
    <s v="Новикова Ольга Петровна"/>
    <x v="167"/>
    <s v="2024-02-08"/>
    <n v="34583"/>
  </r>
  <r>
    <s v="Фролов Сергей Викторович"/>
    <x v="79"/>
    <s v="2024-02-08"/>
    <n v="81554"/>
  </r>
  <r>
    <s v="Новикова Ольга Петровна"/>
    <x v="47"/>
    <s v="2024-02-08"/>
    <n v="47962"/>
  </r>
  <r>
    <s v="Орлов Павел Денисович"/>
    <x v="145"/>
    <s v="2024-02-09"/>
    <n v="91164"/>
  </r>
  <r>
    <s v="Семенова Ирина Валерьевна"/>
    <x v="168"/>
    <s v="2024-02-09"/>
    <n v="85979"/>
  </r>
  <r>
    <s v="Яковлев Артем Игоревич"/>
    <x v="89"/>
    <s v="2024-02-09"/>
    <n v="51610"/>
  </r>
  <r>
    <s v="Петров Владимир Кириллович"/>
    <x v="169"/>
    <s v="2024-02-09"/>
    <n v="90805"/>
  </r>
  <r>
    <s v="Орлов Павел Денисович"/>
    <x v="108"/>
    <s v="2024-02-12"/>
    <n v="16533"/>
  </r>
  <r>
    <s v="Сидорова Елена Васильевна"/>
    <x v="144"/>
    <s v="2024-02-12"/>
    <n v="71070"/>
  </r>
  <r>
    <s v="Семенова Ирина Валерьевна"/>
    <x v="98"/>
    <s v="2024-02-12"/>
    <n v="64084"/>
  </r>
  <r>
    <s v="Яковлев Артем Игоревич"/>
    <x v="166"/>
    <s v="2024-02-12"/>
    <n v="81103"/>
  </r>
  <r>
    <s v="Семенова Ирина Валерьевна"/>
    <x v="170"/>
    <s v="2024-02-12"/>
    <n v="90026"/>
  </r>
  <r>
    <s v="Петров Владимир Кириллович"/>
    <x v="171"/>
    <s v="2024-02-12"/>
    <n v="69833"/>
  </r>
  <r>
    <s v="Яковлев Артем Игоревич"/>
    <x v="7"/>
    <s v="2024-02-12"/>
    <n v="33788"/>
  </r>
  <r>
    <s v="Фролов Сергей Викторович"/>
    <x v="172"/>
    <s v="2024-02-12"/>
    <n v="94410"/>
  </r>
  <r>
    <s v="Яковлев Артем Игоревич"/>
    <x v="124"/>
    <s v="2024-02-13"/>
    <n v="43547"/>
  </r>
  <r>
    <s v="Фролов Сергей Викторович"/>
    <x v="150"/>
    <s v="2024-02-13"/>
    <n v="80046"/>
  </r>
  <r>
    <s v="Кузнецов Дмитрий Львович"/>
    <x v="126"/>
    <s v="2024-02-13"/>
    <n v="73166"/>
  </r>
  <r>
    <s v="Семенова Ирина Валерьевна"/>
    <x v="154"/>
    <s v="2024-02-14"/>
    <n v="23412"/>
  </r>
  <r>
    <s v="Новикова Ольга Петровна"/>
    <x v="84"/>
    <s v="2024-02-14"/>
    <n v="55251"/>
  </r>
  <r>
    <s v="Орлов Павел Денисович"/>
    <x v="95"/>
    <s v="2024-02-14"/>
    <n v="67868"/>
  </r>
  <r>
    <s v="Сидорова Елена Васильевна"/>
    <x v="32"/>
    <s v="2024-02-14"/>
    <n v="48556"/>
  </r>
  <r>
    <s v="Яковлев Артем Игоревич"/>
    <x v="61"/>
    <s v="2024-02-15"/>
    <n v="22123"/>
  </r>
  <r>
    <s v="Ткаченко Андрей Олегович"/>
    <x v="116"/>
    <s v="2024-02-15"/>
    <n v="81408"/>
  </r>
  <r>
    <s v="Новикова Ольга Петровна"/>
    <x v="104"/>
    <s v="2024-02-16"/>
    <n v="77306"/>
  </r>
  <r>
    <s v="Петров Владимир Кириллович"/>
    <x v="74"/>
    <s v="2024-02-16"/>
    <n v="15184"/>
  </r>
  <r>
    <s v="Белов Алексей Константинович"/>
    <x v="61"/>
    <s v="2024-02-16"/>
    <n v="26572"/>
  </r>
  <r>
    <s v="Иванова Анна Сергеевна"/>
    <x v="122"/>
    <s v="2024-02-16"/>
    <n v="95294"/>
  </r>
  <r>
    <s v="Громова Мария Ильинична"/>
    <x v="100"/>
    <s v="2024-02-19"/>
    <n v="64723"/>
  </r>
  <r>
    <s v="Семенова Ирина Валерьевна"/>
    <x v="26"/>
    <s v="2024-02-19"/>
    <n v="57303"/>
  </r>
  <r>
    <s v="Яковлев Артем Игоревич"/>
    <x v="139"/>
    <s v="2024-02-19"/>
    <n v="31469"/>
  </r>
  <r>
    <s v="Яковлев Артем Игоревич"/>
    <x v="173"/>
    <s v="2024-02-19"/>
    <n v="40473"/>
  </r>
  <r>
    <s v="Яковлев Артем Игоревич"/>
    <x v="43"/>
    <s v="2024-02-19"/>
    <n v="49564"/>
  </r>
  <r>
    <s v="Сидорова Елена Васильевна"/>
    <x v="102"/>
    <s v="2024-02-19"/>
    <n v="60252"/>
  </r>
  <r>
    <s v="Фролов Сергей Викторович"/>
    <x v="40"/>
    <s v="2024-02-19"/>
    <n v="98743"/>
  </r>
  <r>
    <s v="Новикова Ольга Петровна"/>
    <x v="101"/>
    <s v="2024-02-19"/>
    <n v="22814"/>
  </r>
  <r>
    <s v="Орлов Павел Денисович"/>
    <x v="132"/>
    <s v="2024-02-19"/>
    <n v="82369"/>
  </r>
  <r>
    <s v="Сидорова Елена Васильевна"/>
    <x v="44"/>
    <s v="2024-02-19"/>
    <n v="69179"/>
  </r>
  <r>
    <s v="Громова Мария Ильинична"/>
    <x v="174"/>
    <s v="2024-02-19"/>
    <n v="43982"/>
  </r>
  <r>
    <s v="Орлов Павел Денисович"/>
    <x v="27"/>
    <s v="2024-02-19"/>
    <n v="31744"/>
  </r>
  <r>
    <s v="Белов Алексей Константинович"/>
    <x v="94"/>
    <s v="2024-02-20"/>
    <n v="78749"/>
  </r>
  <r>
    <s v="Петров Владимир Кириллович"/>
    <x v="175"/>
    <s v="2024-02-20"/>
    <n v="10817"/>
  </r>
  <r>
    <s v="Сидорова Елена Васильевна"/>
    <x v="21"/>
    <s v="2024-02-20"/>
    <n v="79846"/>
  </r>
  <r>
    <s v="Сидорова Елена Васильевна"/>
    <x v="49"/>
    <s v="2024-02-20"/>
    <n v="87603"/>
  </r>
  <r>
    <s v="Иванова Анна Сергеевна"/>
    <x v="34"/>
    <s v="2024-02-20"/>
    <n v="86275"/>
  </r>
  <r>
    <s v="Новикова Ольга Петровна"/>
    <x v="9"/>
    <s v="2024-02-22"/>
    <n v="83444"/>
  </r>
  <r>
    <s v="Новикова Ольга Петровна"/>
    <x v="56"/>
    <s v="2024-02-23"/>
    <n v="59269"/>
  </r>
  <r>
    <s v="Орлов Павел Денисович"/>
    <x v="94"/>
    <s v="2024-02-23"/>
    <n v="44459"/>
  </r>
  <r>
    <s v="Фролов Сергей Викторович"/>
    <x v="123"/>
    <s v="2024-02-26"/>
    <n v="54781"/>
  </r>
  <r>
    <s v="Громова Мария Ильинична"/>
    <x v="2"/>
    <s v="2024-02-26"/>
    <n v="23686"/>
  </r>
  <r>
    <s v="Новикова Ольга Петровна"/>
    <x v="99"/>
    <s v="2024-02-26"/>
    <n v="31226"/>
  </r>
  <r>
    <s v="Кузнецов Дмитрий Львович"/>
    <x v="37"/>
    <s v="2024-02-26"/>
    <n v="98700"/>
  </r>
  <r>
    <s v="Новикова Ольга Петровна"/>
    <x v="49"/>
    <s v="2024-02-26"/>
    <n v="53059"/>
  </r>
  <r>
    <s v="Яковлев Артем Игоревич"/>
    <x v="34"/>
    <s v="2024-02-26"/>
    <n v="86161"/>
  </r>
  <r>
    <s v="Иванова Анна Сергеевна"/>
    <x v="176"/>
    <s v="2024-02-26"/>
    <n v="24798"/>
  </r>
  <r>
    <s v="Иванова Анна Сергеевна"/>
    <x v="16"/>
    <s v="2024-02-26"/>
    <n v="55120"/>
  </r>
  <r>
    <s v="Кузнецов Дмитрий Львович"/>
    <x v="167"/>
    <s v="2024-02-26"/>
    <n v="48520"/>
  </r>
  <r>
    <s v="Новикова Ольга Петровна"/>
    <x v="29"/>
    <s v="2024-02-26"/>
    <n v="25910"/>
  </r>
  <r>
    <s v="Новикова Ольга Петровна"/>
    <x v="148"/>
    <s v="2024-02-26"/>
    <n v="62556"/>
  </r>
  <r>
    <s v="Кузнецов Дмитрий Львович"/>
    <x v="84"/>
    <s v="2024-02-26"/>
    <n v="99529"/>
  </r>
  <r>
    <s v="Сидорова Елена Васильевна"/>
    <x v="127"/>
    <s v="2024-02-26"/>
    <n v="25124"/>
  </r>
  <r>
    <s v="Семенова Ирина Валерьевна"/>
    <x v="87"/>
    <s v="2024-02-27"/>
    <n v="92363"/>
  </r>
  <r>
    <s v="Сидорова Елена Васильевна"/>
    <x v="52"/>
    <s v="2024-02-27"/>
    <n v="36285"/>
  </r>
  <r>
    <s v="Семенова Ирина Валерьевна"/>
    <x v="64"/>
    <s v="2024-02-27"/>
    <n v="97000"/>
  </r>
  <r>
    <s v="Ткаченко Андрей Олегович"/>
    <x v="31"/>
    <s v="2024-02-27"/>
    <n v="52124"/>
  </r>
  <r>
    <s v="Семенова Ирина Валерьевна"/>
    <x v="154"/>
    <s v="2024-02-27"/>
    <n v="17782"/>
  </r>
  <r>
    <s v="Громова Мария Ильинична"/>
    <x v="20"/>
    <s v="2024-02-28"/>
    <n v="56939"/>
  </r>
  <r>
    <s v="Белов Алексей Константинович"/>
    <x v="162"/>
    <s v="2024-02-29"/>
    <n v="71638"/>
  </r>
  <r>
    <s v="Яковлев Артем Игоревич"/>
    <x v="30"/>
    <s v="2024-03-01"/>
    <n v="83603"/>
  </r>
  <r>
    <s v="Яковлев Артем Игоревич"/>
    <x v="66"/>
    <s v="2024-03-04"/>
    <n v="18286"/>
  </r>
  <r>
    <s v="Громова Мария Ильинична"/>
    <x v="95"/>
    <s v="2024-03-04"/>
    <n v="22804"/>
  </r>
  <r>
    <s v="Белов Алексей Константинович"/>
    <x v="16"/>
    <s v="2024-03-04"/>
    <n v="53185"/>
  </r>
  <r>
    <s v="Орлов Павел Денисович"/>
    <x v="154"/>
    <s v="2024-03-04"/>
    <n v="69122"/>
  </r>
  <r>
    <s v="Ткаченко Андрей Олегович"/>
    <x v="123"/>
    <s v="2024-03-04"/>
    <n v="65545"/>
  </r>
  <r>
    <s v="Орлов Павел Денисович"/>
    <x v="59"/>
    <s v="2024-03-04"/>
    <n v="36924"/>
  </r>
  <r>
    <s v="Кузнецов Дмитрий Львович"/>
    <x v="14"/>
    <s v="2024-03-04"/>
    <n v="69841"/>
  </r>
  <r>
    <s v="Сидорова Елена Васильевна"/>
    <x v="69"/>
    <s v="2024-03-04"/>
    <n v="21669"/>
  </r>
  <r>
    <s v="Яковлев Артем Игоревич"/>
    <x v="158"/>
    <s v="2024-03-04"/>
    <n v="80270"/>
  </r>
  <r>
    <s v="Ткаченко Андрей Олегович"/>
    <x v="4"/>
    <s v="2024-03-04"/>
    <n v="59839"/>
  </r>
  <r>
    <s v="Яковлев Артем Игоревич"/>
    <x v="100"/>
    <s v="2024-03-05"/>
    <n v="86460"/>
  </r>
  <r>
    <s v="Громова Мария Ильинична"/>
    <x v="139"/>
    <s v="2024-03-05"/>
    <n v="27287"/>
  </r>
  <r>
    <s v="Громова Мария Ильинична"/>
    <x v="83"/>
    <s v="2024-03-05"/>
    <n v="43551"/>
  </r>
  <r>
    <s v="Новикова Ольга Петровна"/>
    <x v="21"/>
    <s v="2024-03-05"/>
    <n v="81850"/>
  </r>
  <r>
    <s v="Иванова Анна Сергеевна"/>
    <x v="145"/>
    <s v="2024-03-05"/>
    <n v="67649"/>
  </r>
  <r>
    <s v="Семенова Ирина Валерьевна"/>
    <x v="153"/>
    <s v="2024-03-06"/>
    <n v="97658"/>
  </r>
  <r>
    <s v="Громова Мария Ильинична"/>
    <x v="44"/>
    <s v="2024-03-06"/>
    <n v="67671"/>
  </r>
  <r>
    <s v="Орлов Павел Денисович"/>
    <x v="14"/>
    <s v="2024-03-06"/>
    <n v="92782"/>
  </r>
  <r>
    <s v="Иванова Анна Сергеевна"/>
    <x v="52"/>
    <s v="2024-03-06"/>
    <n v="26632"/>
  </r>
  <r>
    <s v="Петров Владимир Кириллович"/>
    <x v="50"/>
    <s v="2024-03-06"/>
    <n v="11041"/>
  </r>
  <r>
    <s v="Яковлев Артем Игоревич"/>
    <x v="1"/>
    <s v="2024-03-07"/>
    <n v="82823"/>
  </r>
  <r>
    <s v="Белов Алексей Константинович"/>
    <x v="74"/>
    <s v="2024-03-07"/>
    <n v="45226"/>
  </r>
  <r>
    <s v="Новикова Ольга Петровна"/>
    <x v="84"/>
    <s v="2024-03-07"/>
    <n v="76038"/>
  </r>
  <r>
    <s v="Ткаченко Андрей Олегович"/>
    <x v="31"/>
    <s v="2024-03-08"/>
    <n v="15686"/>
  </r>
  <r>
    <s v="Яковлев Артем Игоревич"/>
    <x v="161"/>
    <s v="2024-03-08"/>
    <n v="75735"/>
  </r>
  <r>
    <s v="Громова Мария Ильинична"/>
    <x v="148"/>
    <s v="2024-03-11"/>
    <n v="20910"/>
  </r>
  <r>
    <s v="Петров Владимир Кириллович"/>
    <x v="56"/>
    <s v="2024-03-11"/>
    <n v="23685"/>
  </r>
  <r>
    <s v="Новикова Ольга Петровна"/>
    <x v="25"/>
    <s v="2024-03-11"/>
    <n v="55772"/>
  </r>
  <r>
    <s v="Громова Мария Ильинична"/>
    <x v="126"/>
    <s v="2024-03-11"/>
    <n v="25238"/>
  </r>
  <r>
    <s v="Сидорова Елена Васильевна"/>
    <x v="5"/>
    <s v="2024-03-12"/>
    <n v="90662"/>
  </r>
  <r>
    <s v="Петров Владимир Кириллович"/>
    <x v="105"/>
    <s v="2024-03-12"/>
    <n v="40110"/>
  </r>
  <r>
    <s v="Петров Владимир Кириллович"/>
    <x v="177"/>
    <s v="2024-03-12"/>
    <n v="10902"/>
  </r>
  <r>
    <s v="Кузнецов Дмитрий Львович"/>
    <x v="22"/>
    <s v="2024-03-12"/>
    <n v="77174"/>
  </r>
  <r>
    <s v="Новикова Ольга Петровна"/>
    <x v="58"/>
    <s v="2024-03-13"/>
    <n v="45398"/>
  </r>
  <r>
    <s v="Орлов Павел Денисович"/>
    <x v="25"/>
    <s v="2024-03-13"/>
    <n v="16470"/>
  </r>
  <r>
    <s v="Петров Владимир Кириллович"/>
    <x v="63"/>
    <s v="2024-03-14"/>
    <n v="80556"/>
  </r>
  <r>
    <s v="Белов Алексей Константинович"/>
    <x v="163"/>
    <s v="2024-03-14"/>
    <n v="14412"/>
  </r>
  <r>
    <s v="Громова Мария Ильинична"/>
    <x v="146"/>
    <s v="2024-03-15"/>
    <n v="37306"/>
  </r>
  <r>
    <s v="Фролов Сергей Викторович"/>
    <x v="100"/>
    <s v="2024-03-15"/>
    <n v="40041"/>
  </r>
  <r>
    <s v="Сидорова Елена Васильевна"/>
    <x v="150"/>
    <s v="2024-03-15"/>
    <n v="60918"/>
  </r>
  <r>
    <s v="Громова Мария Ильинична"/>
    <x v="178"/>
    <s v="2024-03-18"/>
    <n v="55635"/>
  </r>
  <r>
    <s v="Белов Алексей Константинович"/>
    <x v="179"/>
    <s v="2024-03-18"/>
    <n v="61166"/>
  </r>
  <r>
    <s v="Петров Владимир Кириллович"/>
    <x v="154"/>
    <s v="2024-03-18"/>
    <n v="52493"/>
  </r>
  <r>
    <s v="Громова Мария Ильинична"/>
    <x v="155"/>
    <s v="2024-03-18"/>
    <n v="83654"/>
  </r>
  <r>
    <s v="Петров Владимир Кириллович"/>
    <x v="159"/>
    <s v="2024-03-18"/>
    <n v="76306"/>
  </r>
  <r>
    <s v="Белов Алексей Константинович"/>
    <x v="145"/>
    <s v="2024-03-18"/>
    <n v="57915"/>
  </r>
  <r>
    <s v="Новикова Ольга Петровна"/>
    <x v="29"/>
    <s v="2024-03-18"/>
    <n v="81308"/>
  </r>
  <r>
    <s v="Сидорова Елена Васильевна"/>
    <x v="14"/>
    <s v="2024-03-18"/>
    <n v="52608"/>
  </r>
  <r>
    <s v="Сидорова Елена Васильевна"/>
    <x v="114"/>
    <s v="2024-03-18"/>
    <n v="35805"/>
  </r>
  <r>
    <s v="Орлов Павел Денисович"/>
    <x v="95"/>
    <s v="2024-03-18"/>
    <n v="71200"/>
  </r>
  <r>
    <s v="Громова Мария Ильинична"/>
    <x v="180"/>
    <s v="2024-03-19"/>
    <n v="69983"/>
  </r>
  <r>
    <s v="Кузнецов Дмитрий Львович"/>
    <x v="146"/>
    <s v="2024-03-20"/>
    <n v="40515"/>
  </r>
  <r>
    <s v="Фролов Сергей Викторович"/>
    <x v="115"/>
    <s v="2024-03-21"/>
    <n v="54632"/>
  </r>
  <r>
    <s v="Белов Алексей Константинович"/>
    <x v="76"/>
    <s v="2024-03-21"/>
    <n v="91783"/>
  </r>
  <r>
    <s v="Петров Владимир Кириллович"/>
    <x v="31"/>
    <s v="2024-03-22"/>
    <n v="93780"/>
  </r>
  <r>
    <s v="Сидорова Елена Васильевна"/>
    <x v="100"/>
    <s v="2024-03-22"/>
    <n v="88851"/>
  </r>
  <r>
    <s v="Петров Владимир Кириллович"/>
    <x v="15"/>
    <s v="2024-03-25"/>
    <n v="86465"/>
  </r>
  <r>
    <s v="Новикова Ольга Петровна"/>
    <x v="181"/>
    <s v="2024-03-25"/>
    <n v="60537"/>
  </r>
  <r>
    <s v="Сидорова Елена Васильевна"/>
    <x v="152"/>
    <s v="2024-03-25"/>
    <n v="25625"/>
  </r>
  <r>
    <s v="Громова Мария Ильинична"/>
    <x v="133"/>
    <s v="2024-03-26"/>
    <n v="48001"/>
  </r>
  <r>
    <s v="Семенова Ирина Валерьевна"/>
    <x v="143"/>
    <s v="2024-03-26"/>
    <n v="11498"/>
  </r>
  <r>
    <s v="Кузнецов Дмитрий Львович"/>
    <x v="18"/>
    <s v="2024-03-26"/>
    <n v="42918"/>
  </r>
  <r>
    <s v="Орлов Павел Денисович"/>
    <x v="75"/>
    <s v="2024-03-27"/>
    <n v="24987"/>
  </r>
  <r>
    <s v="Иванова Анна Сергеевна"/>
    <x v="45"/>
    <s v="2024-03-27"/>
    <n v="59543"/>
  </r>
  <r>
    <s v="Ткаченко Андрей Олегович"/>
    <x v="14"/>
    <s v="2024-03-28"/>
    <n v="90046"/>
  </r>
  <r>
    <s v="Яковлев Артем Игоревич"/>
    <x v="57"/>
    <s v="2024-03-28"/>
    <n v="46328"/>
  </r>
  <r>
    <s v="Фролов Сергей Викторович"/>
    <x v="138"/>
    <s v="2024-03-29"/>
    <n v="59318"/>
  </r>
  <r>
    <s v="Белов Алексей Константинович"/>
    <x v="85"/>
    <s v="2024-03-29"/>
    <n v="11404"/>
  </r>
  <r>
    <s v="Громова Мария Ильинична"/>
    <x v="145"/>
    <s v="2024-04-01"/>
    <n v="38437"/>
  </r>
  <r>
    <s v="Орлов Павел Денисович"/>
    <x v="82"/>
    <s v="2024-04-01"/>
    <n v="67209"/>
  </r>
  <r>
    <s v="Семенова Ирина Валерьевна"/>
    <x v="62"/>
    <s v="2024-04-01"/>
    <n v="78471"/>
  </r>
  <r>
    <s v="Фролов Сергей Викторович"/>
    <x v="47"/>
    <s v="2024-04-01"/>
    <n v="58627"/>
  </r>
  <r>
    <s v="Кузнецов Дмитрий Львович"/>
    <x v="21"/>
    <s v="2024-04-01"/>
    <n v="88574"/>
  </r>
  <r>
    <s v="Орлов Павел Денисович"/>
    <x v="10"/>
    <s v="2024-04-01"/>
    <n v="69737"/>
  </r>
  <r>
    <s v="Белов Алексей Константинович"/>
    <x v="122"/>
    <s v="2024-04-01"/>
    <n v="17208"/>
  </r>
  <r>
    <s v="Петров Владимир Кириллович"/>
    <x v="23"/>
    <s v="2024-04-01"/>
    <n v="22039"/>
  </r>
  <r>
    <s v="Яковлев Артем Игоревич"/>
    <x v="103"/>
    <s v="2024-04-01"/>
    <n v="91403"/>
  </r>
  <r>
    <s v="Фролов Сергей Викторович"/>
    <x v="182"/>
    <s v="2024-04-02"/>
    <n v="70068"/>
  </r>
  <r>
    <s v="Семенова Ирина Валерьевна"/>
    <x v="169"/>
    <s v="2024-04-02"/>
    <n v="65461"/>
  </r>
  <r>
    <s v="Ткаченко Андрей Олегович"/>
    <x v="183"/>
    <s v="2024-04-02"/>
    <n v="34157"/>
  </r>
  <r>
    <s v="Яковлев Артем Игоревич"/>
    <x v="71"/>
    <s v="2024-04-03"/>
    <n v="55695"/>
  </r>
  <r>
    <s v="Орлов Павел Денисович"/>
    <x v="110"/>
    <s v="2024-04-03"/>
    <n v="31835"/>
  </r>
  <r>
    <s v="Кузнецов Дмитрий Львович"/>
    <x v="40"/>
    <s v="2024-04-03"/>
    <n v="59678"/>
  </r>
  <r>
    <s v="Громова Мария Ильинична"/>
    <x v="12"/>
    <s v="2024-04-04"/>
    <n v="64998"/>
  </r>
  <r>
    <s v="Сидорова Елена Васильевна"/>
    <x v="153"/>
    <s v="2024-04-04"/>
    <n v="26333"/>
  </r>
  <r>
    <s v="Сидорова Елена Васильевна"/>
    <x v="46"/>
    <s v="2024-04-05"/>
    <n v="94955"/>
  </r>
  <r>
    <s v="Яковлев Артем Игоревич"/>
    <x v="121"/>
    <s v="2024-04-05"/>
    <n v="93962"/>
  </r>
  <r>
    <s v="Орлов Павел Денисович"/>
    <x v="38"/>
    <s v="2024-04-08"/>
    <n v="68581"/>
  </r>
  <r>
    <s v="Фролов Сергей Викторович"/>
    <x v="105"/>
    <s v="2024-04-08"/>
    <n v="93639"/>
  </r>
  <r>
    <s v="Петров Владимир Кириллович"/>
    <x v="130"/>
    <s v="2024-04-08"/>
    <n v="51767"/>
  </r>
  <r>
    <s v="Новикова Ольга Петровна"/>
    <x v="72"/>
    <s v="2024-04-08"/>
    <n v="26677"/>
  </r>
  <r>
    <s v="Яковлев Артем Игоревич"/>
    <x v="64"/>
    <s v="2024-04-08"/>
    <n v="25598"/>
  </r>
  <r>
    <s v="Новикова Ольга Петровна"/>
    <x v="154"/>
    <s v="2024-04-08"/>
    <n v="85915"/>
  </r>
  <r>
    <s v="Иванова Анна Сергеевна"/>
    <x v="180"/>
    <s v="2024-04-09"/>
    <n v="38859"/>
  </r>
  <r>
    <s v="Сидорова Елена Васильевна"/>
    <x v="179"/>
    <s v="2024-04-10"/>
    <n v="83112"/>
  </r>
  <r>
    <s v="Петров Владимир Кириллович"/>
    <x v="134"/>
    <s v="2024-04-10"/>
    <n v="22953"/>
  </r>
  <r>
    <s v="Иванова Анна Сергеевна"/>
    <x v="110"/>
    <s v="2024-04-10"/>
    <n v="56069"/>
  </r>
  <r>
    <s v="Петров Владимир Кириллович"/>
    <x v="44"/>
    <s v="2024-04-11"/>
    <n v="49393"/>
  </r>
  <r>
    <s v="Иванова Анна Сергеевна"/>
    <x v="150"/>
    <s v="2024-04-11"/>
    <n v="76148"/>
  </r>
  <r>
    <s v="Сидорова Елена Васильевна"/>
    <x v="60"/>
    <s v="2024-04-11"/>
    <n v="32198"/>
  </r>
  <r>
    <s v="Фролов Сергей Викторович"/>
    <x v="78"/>
    <s v="2024-04-12"/>
    <n v="12365"/>
  </r>
  <r>
    <s v="Семенова Ирина Валерьевна"/>
    <x v="183"/>
    <s v="2024-04-12"/>
    <n v="73411"/>
  </r>
  <r>
    <s v="Кузнецов Дмитрий Львович"/>
    <x v="64"/>
    <s v="2024-04-15"/>
    <n v="23569"/>
  </r>
  <r>
    <s v="Фролов Сергей Викторович"/>
    <x v="56"/>
    <s v="2024-04-15"/>
    <n v="49149"/>
  </r>
  <r>
    <s v="Сидорова Елена Васильевна"/>
    <x v="9"/>
    <s v="2024-04-15"/>
    <n v="10686"/>
  </r>
  <r>
    <s v="Белов Алексей Константинович"/>
    <x v="22"/>
    <s v="2024-04-15"/>
    <n v="97493"/>
  </r>
  <r>
    <s v="Кузнецов Дмитрий Львович"/>
    <x v="106"/>
    <s v="2024-04-15"/>
    <n v="96797"/>
  </r>
  <r>
    <s v="Иванова Анна Сергеевна"/>
    <x v="91"/>
    <s v="2024-04-16"/>
    <n v="54024"/>
  </r>
  <r>
    <s v="Громова Мария Ильинична"/>
    <x v="9"/>
    <s v="2024-04-16"/>
    <n v="48497"/>
  </r>
  <r>
    <s v="Иванова Анна Сергеевна"/>
    <x v="155"/>
    <s v="2024-04-16"/>
    <n v="62557"/>
  </r>
  <r>
    <s v="Кузнецов Дмитрий Львович"/>
    <x v="136"/>
    <s v="2024-04-17"/>
    <n v="74599"/>
  </r>
  <r>
    <s v="Орлов Павел Денисович"/>
    <x v="92"/>
    <s v="2024-04-17"/>
    <n v="79747"/>
  </r>
  <r>
    <s v="Яковлев Артем Игоревич"/>
    <x v="42"/>
    <s v="2024-04-18"/>
    <n v="87359"/>
  </r>
  <r>
    <s v="Кузнецов Дмитрий Львович"/>
    <x v="179"/>
    <s v="2024-04-18"/>
    <n v="56272"/>
  </r>
  <r>
    <s v="Новикова Ольга Петровна"/>
    <x v="10"/>
    <s v="2024-04-18"/>
    <n v="42483"/>
  </r>
  <r>
    <s v="Громова Мария Ильинична"/>
    <x v="127"/>
    <s v="2024-04-18"/>
    <n v="64612"/>
  </r>
  <r>
    <s v="Семенова Ирина Валерьевна"/>
    <x v="26"/>
    <s v="2024-04-19"/>
    <n v="82962"/>
  </r>
  <r>
    <s v="Ткаченко Андрей Олегович"/>
    <x v="49"/>
    <s v="2024-04-19"/>
    <n v="68655"/>
  </r>
  <r>
    <s v="Ткаченко Андрей Олегович"/>
    <x v="150"/>
    <s v="2024-04-19"/>
    <n v="25410"/>
  </r>
  <r>
    <s v="Белов Алексей Константинович"/>
    <x v="70"/>
    <s v="2024-04-22"/>
    <n v="92576"/>
  </r>
  <r>
    <s v="Белов Алексей Константинович"/>
    <x v="165"/>
    <s v="2024-04-22"/>
    <n v="72462"/>
  </r>
  <r>
    <s v="Сидорова Елена Васильевна"/>
    <x v="135"/>
    <s v="2024-04-22"/>
    <n v="36631"/>
  </r>
  <r>
    <s v="Орлов Павел Денисович"/>
    <x v="173"/>
    <s v="2024-04-22"/>
    <n v="39797"/>
  </r>
  <r>
    <s v="Громова Мария Ильинична"/>
    <x v="36"/>
    <s v="2024-04-22"/>
    <n v="92045"/>
  </r>
  <r>
    <s v="Фролов Сергей Викторович"/>
    <x v="50"/>
    <s v="2024-04-22"/>
    <n v="34874"/>
  </r>
  <r>
    <s v="Яковлев Артем Игоревич"/>
    <x v="89"/>
    <s v="2024-04-22"/>
    <n v="13045"/>
  </r>
  <r>
    <s v="Яковлев Артем Игоревич"/>
    <x v="12"/>
    <s v="2024-04-24"/>
    <n v="38130"/>
  </r>
  <r>
    <s v="Орлов Павел Денисович"/>
    <x v="55"/>
    <s v="2024-04-24"/>
    <n v="17185"/>
  </r>
  <r>
    <s v="Кузнецов Дмитрий Львович"/>
    <x v="174"/>
    <s v="2024-04-25"/>
    <n v="15400"/>
  </r>
  <r>
    <s v="Орлов Павел Денисович"/>
    <x v="173"/>
    <s v="2024-04-25"/>
    <n v="22193"/>
  </r>
  <r>
    <s v="Белов Алексей Константинович"/>
    <x v="51"/>
    <s v="2024-04-25"/>
    <n v="98353"/>
  </r>
  <r>
    <s v="Яковлев Артем Игоревич"/>
    <x v="32"/>
    <s v="2024-04-25"/>
    <n v="73229"/>
  </r>
  <r>
    <s v="Семенова Ирина Валерьевна"/>
    <x v="73"/>
    <s v="2024-04-25"/>
    <n v="48698"/>
  </r>
  <r>
    <s v="Фролов Сергей Викторович"/>
    <x v="96"/>
    <s v="2024-04-25"/>
    <n v="99307"/>
  </r>
  <r>
    <s v="Орлов Павел Денисович"/>
    <x v="184"/>
    <s v="2024-04-26"/>
    <n v="32289"/>
  </r>
  <r>
    <s v="Яковлев Артем Игоревич"/>
    <x v="50"/>
    <s v="2024-04-26"/>
    <n v="77055"/>
  </r>
  <r>
    <s v="Петров Владимир Кириллович"/>
    <x v="117"/>
    <s v="2024-04-26"/>
    <n v="59508"/>
  </r>
  <r>
    <s v="Иванова Анна Сергеевна"/>
    <x v="35"/>
    <s v="2024-04-29"/>
    <n v="46297"/>
  </r>
  <r>
    <s v="Сидорова Елена Васильевна"/>
    <x v="124"/>
    <s v="2024-04-29"/>
    <n v="85266"/>
  </r>
  <r>
    <s v="Новикова Ольга Петровна"/>
    <x v="149"/>
    <s v="2024-04-29"/>
    <n v="76054"/>
  </r>
  <r>
    <s v="Семенова Ирина Валерьевна"/>
    <x v="164"/>
    <s v="2024-04-29"/>
    <n v="72259"/>
  </r>
  <r>
    <s v="Семенова Ирина Валерьевна"/>
    <x v="91"/>
    <s v="2024-04-29"/>
    <n v="57241"/>
  </r>
  <r>
    <s v="Ткаченко Андрей Олегович"/>
    <x v="138"/>
    <s v="2024-04-30"/>
    <n v="35183"/>
  </r>
  <r>
    <s v="Фролов Сергей Викторович"/>
    <x v="47"/>
    <s v="2024-05-01"/>
    <n v="40205"/>
  </r>
  <r>
    <s v="Сидорова Елена Васильевна"/>
    <x v="42"/>
    <s v="2024-05-01"/>
    <n v="95792"/>
  </r>
  <r>
    <s v="Фролов Сергей Викторович"/>
    <x v="83"/>
    <s v="2024-05-02"/>
    <n v="81544"/>
  </r>
  <r>
    <s v="Петров Владимир Кириллович"/>
    <x v="6"/>
    <s v="2024-05-02"/>
    <n v="84228"/>
  </r>
  <r>
    <s v="Семенова Ирина Валерьевна"/>
    <x v="183"/>
    <s v="2024-05-02"/>
    <n v="36770"/>
  </r>
  <r>
    <s v="Орлов Павел Денисович"/>
    <x v="182"/>
    <s v="2024-05-03"/>
    <n v="70255"/>
  </r>
  <r>
    <s v="Фролов Сергей Викторович"/>
    <x v="162"/>
    <s v="2024-05-03"/>
    <n v="66119"/>
  </r>
  <r>
    <s v="Иванова Анна Сергеевна"/>
    <x v="2"/>
    <s v="2024-05-06"/>
    <n v="79797"/>
  </r>
  <r>
    <s v="Ткаченко Андрей Олегович"/>
    <x v="110"/>
    <s v="2024-05-06"/>
    <n v="14046"/>
  </r>
  <r>
    <s v="Семенова Ирина Валерьевна"/>
    <x v="8"/>
    <s v="2024-05-06"/>
    <n v="31319"/>
  </r>
  <r>
    <s v="Кузнецов Дмитрий Львович"/>
    <x v="170"/>
    <s v="2024-05-06"/>
    <n v="18012"/>
  </r>
  <r>
    <s v="Кузнецов Дмитрий Львович"/>
    <x v="141"/>
    <s v="2024-05-06"/>
    <n v="21278"/>
  </r>
  <r>
    <s v="Новикова Ольга Петровна"/>
    <x v="160"/>
    <s v="2024-05-06"/>
    <n v="36092"/>
  </r>
  <r>
    <s v="Иванова Анна Сергеевна"/>
    <x v="47"/>
    <s v="2024-05-06"/>
    <n v="60145"/>
  </r>
  <r>
    <s v="Новикова Ольга Петровна"/>
    <x v="153"/>
    <s v="2024-05-07"/>
    <n v="68160"/>
  </r>
  <r>
    <s v="Фролов Сергей Викторович"/>
    <x v="4"/>
    <s v="2024-05-07"/>
    <n v="17434"/>
  </r>
  <r>
    <s v="Белов Алексей Константинович"/>
    <x v="19"/>
    <s v="2024-05-08"/>
    <n v="17409"/>
  </r>
  <r>
    <s v="Яковлев Артем Игоревич"/>
    <x v="17"/>
    <s v="2024-05-08"/>
    <n v="41228"/>
  </r>
  <r>
    <s v="Семенова Ирина Валерьевна"/>
    <x v="165"/>
    <s v="2024-05-09"/>
    <n v="59734"/>
  </r>
  <r>
    <s v="Новикова Ольга Петровна"/>
    <x v="158"/>
    <s v="2024-05-09"/>
    <n v="50335"/>
  </r>
  <r>
    <s v="Семенова Ирина Валерьевна"/>
    <x v="74"/>
    <s v="2024-05-10"/>
    <n v="37379"/>
  </r>
  <r>
    <s v="Яковлев Артем Игоревич"/>
    <x v="185"/>
    <s v="2024-05-10"/>
    <n v="40657"/>
  </r>
  <r>
    <s v="Сидорова Елена Васильевна"/>
    <x v="175"/>
    <s v="2024-05-13"/>
    <n v="95673"/>
  </r>
  <r>
    <s v="Иванова Анна Сергеевна"/>
    <x v="81"/>
    <s v="2024-05-13"/>
    <n v="27187"/>
  </r>
  <r>
    <s v="Кузнецов Дмитрий Львович"/>
    <x v="125"/>
    <s v="2024-05-13"/>
    <n v="22103"/>
  </r>
  <r>
    <s v="Фролов Сергей Викторович"/>
    <x v="122"/>
    <s v="2024-05-13"/>
    <n v="45744"/>
  </r>
  <r>
    <s v="Иванова Анна Сергеевна"/>
    <x v="36"/>
    <s v="2024-05-13"/>
    <n v="44537"/>
  </r>
  <r>
    <s v="Семенова Ирина Валерьевна"/>
    <x v="172"/>
    <s v="2024-05-13"/>
    <n v="33701"/>
  </r>
  <r>
    <s v="Сидорова Елена Васильевна"/>
    <x v="89"/>
    <s v="2024-05-13"/>
    <n v="99947"/>
  </r>
  <r>
    <s v="Новикова Ольга Петровна"/>
    <x v="180"/>
    <s v="2024-05-14"/>
    <n v="32540"/>
  </r>
  <r>
    <s v="Кузнецов Дмитрий Львович"/>
    <x v="33"/>
    <s v="2024-05-14"/>
    <n v="96394"/>
  </r>
  <r>
    <s v="Кузнецов Дмитрий Львович"/>
    <x v="91"/>
    <s v="2024-05-14"/>
    <n v="63888"/>
  </r>
  <r>
    <s v="Громова Мария Ильинична"/>
    <x v="67"/>
    <s v="2024-05-15"/>
    <n v="33636"/>
  </r>
  <r>
    <s v="Семенова Ирина Валерьевна"/>
    <x v="41"/>
    <s v="2024-05-15"/>
    <n v="73299"/>
  </r>
  <r>
    <s v="Петров Владимир Кириллович"/>
    <x v="25"/>
    <s v="2024-05-16"/>
    <n v="16842"/>
  </r>
  <r>
    <s v="Белов Алексей Константинович"/>
    <x v="176"/>
    <s v="2024-05-16"/>
    <n v="98829"/>
  </r>
  <r>
    <s v="Яковлев Артем Игоревич"/>
    <x v="186"/>
    <s v="2024-05-16"/>
    <n v="41145"/>
  </r>
  <r>
    <s v="Сидорова Елена Васильевна"/>
    <x v="87"/>
    <s v="2024-05-16"/>
    <n v="81492"/>
  </r>
  <r>
    <s v="Орлов Павел Денисович"/>
    <x v="127"/>
    <s v="2024-05-16"/>
    <n v="30243"/>
  </r>
  <r>
    <s v="Белов Алексей Константинович"/>
    <x v="67"/>
    <s v="2024-05-16"/>
    <n v="15103"/>
  </r>
  <r>
    <s v="Яковлев Артем Игоревич"/>
    <x v="141"/>
    <s v="2024-05-16"/>
    <n v="51938"/>
  </r>
  <r>
    <s v="Яковлев Артем Игоревич"/>
    <x v="131"/>
    <s v="2024-05-16"/>
    <n v="68301"/>
  </r>
  <r>
    <s v="Яковлев Артем Игоревич"/>
    <x v="182"/>
    <s v="2024-05-17"/>
    <n v="23651"/>
  </r>
  <r>
    <s v="Орлов Павел Денисович"/>
    <x v="174"/>
    <s v="2024-05-17"/>
    <n v="48631"/>
  </r>
  <r>
    <s v="Сидорова Елена Васильевна"/>
    <x v="98"/>
    <s v="2024-05-17"/>
    <n v="22093"/>
  </r>
  <r>
    <s v="Кузнецов Дмитрий Львович"/>
    <x v="105"/>
    <s v="2024-05-17"/>
    <n v="75160"/>
  </r>
  <r>
    <s v="Сидорова Елена Васильевна"/>
    <x v="102"/>
    <s v="2024-05-17"/>
    <n v="28426"/>
  </r>
  <r>
    <s v="Семенова Ирина Валерьевна"/>
    <x v="187"/>
    <s v="2024-05-20"/>
    <n v="40276"/>
  </r>
  <r>
    <s v="Яковлев Артем Игоревич"/>
    <x v="188"/>
    <s v="2024-05-20"/>
    <n v="16429"/>
  </r>
  <r>
    <s v="Новикова Ольга Петровна"/>
    <x v="94"/>
    <s v="2024-05-20"/>
    <n v="25047"/>
  </r>
  <r>
    <s v="Иванова Анна Сергеевна"/>
    <x v="1"/>
    <s v="2024-05-20"/>
    <n v="46160"/>
  </r>
  <r>
    <s v="Новикова Ольга Петровна"/>
    <x v="11"/>
    <s v="2024-05-20"/>
    <n v="38601"/>
  </r>
  <r>
    <s v="Новикова Ольга Петровна"/>
    <x v="133"/>
    <s v="2024-05-20"/>
    <n v="40768"/>
  </r>
  <r>
    <s v="Иванова Анна Сергеевна"/>
    <x v="39"/>
    <s v="2024-05-20"/>
    <n v="64682"/>
  </r>
  <r>
    <s v="Фролов Сергей Викторович"/>
    <x v="189"/>
    <s v="2024-05-20"/>
    <n v="65426"/>
  </r>
  <r>
    <s v="Семенова Ирина Валерьевна"/>
    <x v="40"/>
    <s v="2024-05-20"/>
    <n v="93215"/>
  </r>
  <r>
    <s v="Громова Мария Ильинична"/>
    <x v="162"/>
    <s v="2024-05-20"/>
    <n v="12958"/>
  </r>
  <r>
    <s v="Семенова Ирина Валерьевна"/>
    <x v="82"/>
    <s v="2024-05-20"/>
    <n v="89799"/>
  </r>
  <r>
    <s v="Яковлев Артем Игоревич"/>
    <x v="163"/>
    <s v="2024-05-20"/>
    <n v="80671"/>
  </r>
  <r>
    <s v="Петров Владимир Кириллович"/>
    <x v="71"/>
    <s v="2024-05-20"/>
    <n v="33110"/>
  </r>
  <r>
    <s v="Новикова Ольга Петровна"/>
    <x v="64"/>
    <s v="2024-05-22"/>
    <n v="12347"/>
  </r>
  <r>
    <s v="Петров Владимир Кириллович"/>
    <x v="62"/>
    <s v="2024-05-22"/>
    <n v="60176"/>
  </r>
  <r>
    <s v="Кузнецов Дмитрий Львович"/>
    <x v="182"/>
    <s v="2024-05-22"/>
    <n v="48892"/>
  </r>
  <r>
    <s v="Кузнецов Дмитрий Львович"/>
    <x v="171"/>
    <s v="2024-05-22"/>
    <n v="48323"/>
  </r>
  <r>
    <s v="Петров Владимир Кириллович"/>
    <x v="77"/>
    <s v="2024-05-24"/>
    <n v="36165"/>
  </r>
  <r>
    <s v="Сидорова Елена Васильевна"/>
    <x v="69"/>
    <s v="2024-05-24"/>
    <n v="25308"/>
  </r>
  <r>
    <s v="Иванова Анна Сергеевна"/>
    <x v="162"/>
    <s v="2024-05-24"/>
    <n v="61005"/>
  </r>
  <r>
    <s v="Фролов Сергей Викторович"/>
    <x v="61"/>
    <s v="2024-05-24"/>
    <n v="28195"/>
  </r>
  <r>
    <s v="Яковлев Артем Игоревич"/>
    <x v="111"/>
    <s v="2024-05-27"/>
    <n v="36661"/>
  </r>
  <r>
    <s v="Семенова Ирина Валерьевна"/>
    <x v="115"/>
    <s v="2024-05-27"/>
    <n v="43138"/>
  </r>
  <r>
    <s v="Яковлев Артем Игоревич"/>
    <x v="51"/>
    <s v="2024-05-27"/>
    <n v="93660"/>
  </r>
  <r>
    <s v="Иванова Анна Сергеевна"/>
    <x v="104"/>
    <s v="2024-05-27"/>
    <n v="13664"/>
  </r>
  <r>
    <s v="Яковлев Артем Игоревич"/>
    <x v="155"/>
    <s v="2024-05-27"/>
    <n v="39899"/>
  </r>
  <r>
    <s v="Яковлев Артем Игоревич"/>
    <x v="89"/>
    <s v="2024-05-27"/>
    <n v="93387"/>
  </r>
  <r>
    <s v="Кузнецов Дмитрий Львович"/>
    <x v="31"/>
    <s v="2024-05-27"/>
    <n v="65818"/>
  </r>
  <r>
    <s v="Новикова Ольга Петровна"/>
    <x v="140"/>
    <s v="2024-05-27"/>
    <n v="66817"/>
  </r>
  <r>
    <s v="Иванова Анна Сергеевна"/>
    <x v="102"/>
    <s v="2024-05-27"/>
    <n v="17068"/>
  </r>
  <r>
    <s v="Кузнецов Дмитрий Львович"/>
    <x v="113"/>
    <s v="2024-05-27"/>
    <n v="29952"/>
  </r>
  <r>
    <s v="Ткаченко Андрей Олегович"/>
    <x v="143"/>
    <s v="2024-05-27"/>
    <n v="23678"/>
  </r>
  <r>
    <s v="Иванова Анна Сергеевна"/>
    <x v="135"/>
    <s v="2024-05-28"/>
    <n v="54713"/>
  </r>
  <r>
    <s v="Новикова Ольга Петровна"/>
    <x v="11"/>
    <s v="2024-05-28"/>
    <n v="18871"/>
  </r>
  <r>
    <s v="Сидорова Елена Васильевна"/>
    <x v="153"/>
    <s v="2024-05-28"/>
    <n v="75689"/>
  </r>
  <r>
    <s v="Орлов Павел Денисович"/>
    <x v="78"/>
    <s v="2024-05-28"/>
    <n v="67529"/>
  </r>
  <r>
    <s v="Семенова Ирина Валерьевна"/>
    <x v="165"/>
    <s v="2024-05-29"/>
    <n v="79823"/>
  </r>
  <r>
    <s v="Ткаченко Андрей Олегович"/>
    <x v="47"/>
    <s v="2024-05-30"/>
    <n v="54463"/>
  </r>
  <r>
    <s v="Иванова Анна Сергеевна"/>
    <x v="144"/>
    <s v="2024-05-31"/>
    <n v="56986"/>
  </r>
  <r>
    <s v="Петров Владимир Кириллович"/>
    <x v="190"/>
    <s v="2024-05-31"/>
    <n v="69779"/>
  </r>
  <r>
    <s v="Семенова Ирина Валерьевна"/>
    <x v="9"/>
    <s v="2024-05-31"/>
    <n v="36169"/>
  </r>
  <r>
    <s v="Ткаченко Андрей Олегович"/>
    <x v="136"/>
    <s v="2024-05-31"/>
    <n v="65869"/>
  </r>
  <r>
    <s v="Орлов Павел Денисович"/>
    <x v="56"/>
    <s v="2024-05-31"/>
    <n v="19641"/>
  </r>
  <r>
    <s v="Белов Алексей Константинович"/>
    <x v="61"/>
    <s v="2024-06-03"/>
    <n v="69572"/>
  </r>
  <r>
    <s v="Новикова Ольга Петровна"/>
    <x v="164"/>
    <s v="2024-06-03"/>
    <n v="24731"/>
  </r>
  <r>
    <s v="Петров Владимир Кириллович"/>
    <x v="175"/>
    <s v="2024-06-03"/>
    <n v="15847"/>
  </r>
  <r>
    <s v="Иванова Анна Сергеевна"/>
    <x v="30"/>
    <s v="2024-06-03"/>
    <n v="72903"/>
  </r>
  <r>
    <s v="Сидорова Елена Васильевна"/>
    <x v="20"/>
    <s v="2024-06-03"/>
    <n v="17317"/>
  </r>
  <r>
    <s v="Ткаченко Андрей Олегович"/>
    <x v="83"/>
    <s v="2024-06-03"/>
    <n v="90540"/>
  </r>
  <r>
    <s v="Новикова Ольга Петровна"/>
    <x v="134"/>
    <s v="2024-06-03"/>
    <n v="34578"/>
  </r>
  <r>
    <s v="Белов Алексей Константинович"/>
    <x v="91"/>
    <s v="2024-06-03"/>
    <n v="91543"/>
  </r>
  <r>
    <s v="Петров Владимир Кириллович"/>
    <x v="15"/>
    <s v="2024-06-03"/>
    <n v="17476"/>
  </r>
  <r>
    <s v="Яковлев Артем Игоревич"/>
    <x v="125"/>
    <s v="2024-06-03"/>
    <n v="69009"/>
  </r>
  <r>
    <s v="Петров Владимир Кириллович"/>
    <x v="191"/>
    <s v="2024-06-04"/>
    <n v="80655"/>
  </r>
  <r>
    <s v="Орлов Павел Денисович"/>
    <x v="104"/>
    <s v="2024-06-04"/>
    <n v="94796"/>
  </r>
  <r>
    <s v="Петров Владимир Кириллович"/>
    <x v="104"/>
    <s v="2024-06-04"/>
    <n v="94973"/>
  </r>
  <r>
    <s v="Сидорова Елена Васильевна"/>
    <x v="29"/>
    <s v="2024-06-04"/>
    <n v="58694"/>
  </r>
  <r>
    <s v="Орлов Павел Денисович"/>
    <x v="69"/>
    <s v="2024-06-05"/>
    <n v="95450"/>
  </r>
  <r>
    <s v="Громова Мария Ильинична"/>
    <x v="184"/>
    <s v="2024-06-05"/>
    <n v="24745"/>
  </r>
  <r>
    <s v="Новикова Ольга Петровна"/>
    <x v="94"/>
    <s v="2024-06-05"/>
    <n v="98077"/>
  </r>
  <r>
    <s v="Яковлев Артем Игоревич"/>
    <x v="53"/>
    <s v="2024-06-05"/>
    <n v="97002"/>
  </r>
  <r>
    <s v="Кузнецов Дмитрий Львович"/>
    <x v="56"/>
    <s v="2024-06-06"/>
    <n v="69205"/>
  </r>
  <r>
    <s v="Орлов Павел Денисович"/>
    <x v="166"/>
    <s v="2024-06-06"/>
    <n v="43456"/>
  </r>
  <r>
    <s v="Орлов Павел Денисович"/>
    <x v="166"/>
    <s v="2024-06-07"/>
    <n v="20854"/>
  </r>
  <r>
    <s v="Сидорова Елена Васильевна"/>
    <x v="47"/>
    <s v="2024-06-07"/>
    <n v="90387"/>
  </r>
  <r>
    <s v="Кузнецов Дмитрий Львович"/>
    <x v="7"/>
    <s v="2024-06-07"/>
    <n v="65604"/>
  </r>
  <r>
    <s v="Семенова Ирина Валерьевна"/>
    <x v="190"/>
    <s v="2024-06-07"/>
    <n v="28121"/>
  </r>
  <r>
    <s v="Орлов Павел Денисович"/>
    <x v="61"/>
    <s v="2024-06-10"/>
    <n v="81835"/>
  </r>
  <r>
    <s v="Иванова Анна Сергеевна"/>
    <x v="74"/>
    <s v="2024-06-10"/>
    <n v="38885"/>
  </r>
  <r>
    <s v="Петров Владимир Кириллович"/>
    <x v="125"/>
    <s v="2024-06-10"/>
    <n v="26714"/>
  </r>
  <r>
    <s v="Орлов Павел Денисович"/>
    <x v="10"/>
    <s v="2024-06-10"/>
    <n v="10639"/>
  </r>
  <r>
    <s v="Орлов Павел Денисович"/>
    <x v="162"/>
    <s v="2024-06-10"/>
    <n v="82789"/>
  </r>
  <r>
    <s v="Фролов Сергей Викторович"/>
    <x v="1"/>
    <s v="2024-06-10"/>
    <n v="67600"/>
  </r>
  <r>
    <s v="Новикова Ольга Петровна"/>
    <x v="23"/>
    <s v="2024-06-10"/>
    <n v="91973"/>
  </r>
  <r>
    <s v="Семенова Ирина Валерьевна"/>
    <x v="122"/>
    <s v="2024-06-11"/>
    <n v="49288"/>
  </r>
  <r>
    <s v="Кузнецов Дмитрий Львович"/>
    <x v="75"/>
    <s v="2024-06-11"/>
    <n v="81721"/>
  </r>
  <r>
    <s v="Фролов Сергей Викторович"/>
    <x v="98"/>
    <s v="2024-06-11"/>
    <n v="76154"/>
  </r>
  <r>
    <s v="Яковлев Артем Игоревич"/>
    <x v="33"/>
    <s v="2024-06-11"/>
    <n v="47775"/>
  </r>
  <r>
    <s v="Кузнецов Дмитрий Львович"/>
    <x v="96"/>
    <s v="2024-06-11"/>
    <n v="47692"/>
  </r>
  <r>
    <s v="Сидорова Елена Васильевна"/>
    <x v="121"/>
    <s v="2024-06-11"/>
    <n v="61715"/>
  </r>
  <r>
    <s v="Яковлев Артем Игоревич"/>
    <x v="15"/>
    <s v="2024-06-12"/>
    <n v="74876"/>
  </r>
  <r>
    <s v="Кузнецов Дмитрий Львович"/>
    <x v="153"/>
    <s v="2024-06-12"/>
    <n v="45109"/>
  </r>
  <r>
    <s v="Семенова Ирина Валерьевна"/>
    <x v="101"/>
    <s v="2024-06-12"/>
    <n v="11257"/>
  </r>
  <r>
    <s v="Петров Владимир Кириллович"/>
    <x v="138"/>
    <s v="2024-06-12"/>
    <n v="60501"/>
  </r>
  <r>
    <s v="Сидорова Елена Васильевна"/>
    <x v="172"/>
    <s v="2024-06-13"/>
    <n v="19182"/>
  </r>
  <r>
    <s v="Семенова Ирина Валерьевна"/>
    <x v="14"/>
    <s v="2024-06-13"/>
    <n v="33561"/>
  </r>
  <r>
    <s v="Петров Владимир Кириллович"/>
    <x v="156"/>
    <s v="2024-06-13"/>
    <n v="40377"/>
  </r>
  <r>
    <s v="Новикова Ольга Петровна"/>
    <x v="44"/>
    <s v="2024-06-13"/>
    <n v="17538"/>
  </r>
  <r>
    <s v="Иванова Анна Сергеевна"/>
    <x v="120"/>
    <s v="2024-06-14"/>
    <n v="20817"/>
  </r>
  <r>
    <s v="Орлов Павел Денисович"/>
    <x v="170"/>
    <s v="2024-06-14"/>
    <n v="44978"/>
  </r>
  <r>
    <s v="Громова Мария Ильинична"/>
    <x v="152"/>
    <s v="2024-06-14"/>
    <n v="24823"/>
  </r>
  <r>
    <s v="Орлов Павел Денисович"/>
    <x v="14"/>
    <s v="2024-06-14"/>
    <n v="93394"/>
  </r>
  <r>
    <s v="Белов Алексей Константинович"/>
    <x v="40"/>
    <s v="2024-06-14"/>
    <n v="67847"/>
  </r>
  <r>
    <s v="Кузнецов Дмитрий Львович"/>
    <x v="175"/>
    <s v="2024-06-17"/>
    <n v="81900"/>
  </r>
  <r>
    <s v="Кузнецов Дмитрий Львович"/>
    <x v="100"/>
    <s v="2024-06-17"/>
    <n v="41777"/>
  </r>
  <r>
    <s v="Яковлев Артем Игоревич"/>
    <x v="105"/>
    <s v="2024-06-17"/>
    <n v="36982"/>
  </r>
  <r>
    <s v="Новикова Ольга Петровна"/>
    <x v="11"/>
    <s v="2024-06-17"/>
    <n v="13816"/>
  </r>
  <r>
    <s v="Сидорова Елена Васильевна"/>
    <x v="150"/>
    <s v="2024-06-17"/>
    <n v="96463"/>
  </r>
  <r>
    <s v="Орлов Павел Денисович"/>
    <x v="156"/>
    <s v="2024-06-17"/>
    <n v="87870"/>
  </r>
  <r>
    <s v="Новикова Ольга Петровна"/>
    <x v="23"/>
    <s v="2024-06-17"/>
    <n v="39417"/>
  </r>
  <r>
    <s v="Семенова Ирина Валерьевна"/>
    <x v="57"/>
    <s v="2024-06-17"/>
    <n v="62880"/>
  </r>
  <r>
    <s v="Белов Алексей Константинович"/>
    <x v="165"/>
    <s v="2024-06-17"/>
    <n v="65442"/>
  </r>
  <r>
    <s v="Громова Мария Ильинична"/>
    <x v="6"/>
    <s v="2024-06-18"/>
    <n v="35454"/>
  </r>
  <r>
    <s v="Новикова Ольга Петровна"/>
    <x v="77"/>
    <s v="2024-06-18"/>
    <n v="94535"/>
  </r>
  <r>
    <s v="Ткаченко Андрей Олегович"/>
    <x v="154"/>
    <s v="2024-06-18"/>
    <n v="10170"/>
  </r>
  <r>
    <s v="Фролов Сергей Викторович"/>
    <x v="58"/>
    <s v="2024-06-19"/>
    <n v="43440"/>
  </r>
  <r>
    <s v="Сидорова Елена Васильевна"/>
    <x v="137"/>
    <s v="2024-06-19"/>
    <n v="49391"/>
  </r>
  <r>
    <s v="Белов Алексей Константинович"/>
    <x v="170"/>
    <s v="2024-06-19"/>
    <n v="18116"/>
  </r>
  <r>
    <s v="Петров Владимир Кириллович"/>
    <x v="100"/>
    <s v="2024-06-20"/>
    <n v="43931"/>
  </r>
  <r>
    <s v="Белов Алексей Константинович"/>
    <x v="123"/>
    <s v="2024-06-20"/>
    <n v="46742"/>
  </r>
  <r>
    <s v="Фролов Сергей Викторович"/>
    <x v="36"/>
    <s v="2024-06-20"/>
    <n v="47732"/>
  </r>
  <r>
    <s v="Громова Мария Ильинична"/>
    <x v="20"/>
    <s v="2024-06-20"/>
    <n v="72672"/>
  </r>
  <r>
    <s v="Семенова Ирина Валерьевна"/>
    <x v="18"/>
    <s v="2024-06-20"/>
    <n v="41159"/>
  </r>
  <r>
    <s v="Сидорова Елена Васильевна"/>
    <x v="1"/>
    <s v="2024-06-20"/>
    <n v="54105"/>
  </r>
  <r>
    <s v="Новикова Ольга Петровна"/>
    <x v="12"/>
    <s v="2024-06-20"/>
    <n v="32941"/>
  </r>
  <r>
    <s v="Ткаченко Андрей Олегович"/>
    <x v="182"/>
    <s v="2024-06-21"/>
    <n v="45913"/>
  </r>
  <r>
    <s v="Фролов Сергей Викторович"/>
    <x v="62"/>
    <s v="2024-06-21"/>
    <n v="38473"/>
  </r>
  <r>
    <s v="Яковлев Артем Игоревич"/>
    <x v="52"/>
    <s v="2024-06-21"/>
    <n v="16356"/>
  </r>
  <r>
    <s v="Сидорова Елена Васильевна"/>
    <x v="51"/>
    <s v="2024-06-24"/>
    <n v="55502"/>
  </r>
  <r>
    <s v="Иванова Анна Сергеевна"/>
    <x v="132"/>
    <s v="2024-06-24"/>
    <n v="90543"/>
  </r>
  <r>
    <s v="Ткаченко Андрей Олегович"/>
    <x v="29"/>
    <s v="2024-06-24"/>
    <n v="28577"/>
  </r>
  <r>
    <s v="Фролов Сергей Викторович"/>
    <x v="40"/>
    <s v="2024-06-25"/>
    <n v="53960"/>
  </r>
  <r>
    <s v="Ткаченко Андрей Олегович"/>
    <x v="177"/>
    <s v="2024-06-26"/>
    <n v="73139"/>
  </r>
  <r>
    <s v="Фролов Сергей Викторович"/>
    <x v="48"/>
    <s v="2024-06-26"/>
    <n v="83726"/>
  </r>
  <r>
    <s v="Семенова Ирина Валерьевна"/>
    <x v="191"/>
    <s v="2024-06-26"/>
    <n v="34670"/>
  </r>
  <r>
    <s v="Орлов Павел Денисович"/>
    <x v="174"/>
    <s v="2024-06-27"/>
    <n v="86620"/>
  </r>
  <r>
    <s v="Ткаченко Андрей Олегович"/>
    <x v="83"/>
    <s v="2024-06-27"/>
    <n v="27107"/>
  </r>
  <r>
    <s v="Сидорова Елена Васильевна"/>
    <x v="155"/>
    <s v="2024-06-27"/>
    <n v="35755"/>
  </r>
  <r>
    <s v="Яковлев Артем Игоревич"/>
    <x v="94"/>
    <s v="2024-06-28"/>
    <n v="78827"/>
  </r>
  <r>
    <s v="Иванова Анна Сергеевна"/>
    <x v="6"/>
    <s v="2024-06-28"/>
    <n v="91413"/>
  </r>
  <r>
    <s v="Иванова Анна Сергеевна"/>
    <x v="120"/>
    <s v="2024-06-28"/>
    <n v="41489"/>
  </r>
  <r>
    <s v="Иванова Анна Сергеевна"/>
    <x v="137"/>
    <s v="2024-07-01"/>
    <n v="77456"/>
  </r>
  <r>
    <s v="Фролов Сергей Викторович"/>
    <x v="99"/>
    <s v="2024-07-01"/>
    <n v="47885"/>
  </r>
  <r>
    <s v="Белов Алексей Константинович"/>
    <x v="174"/>
    <s v="2024-07-01"/>
    <n v="52963"/>
  </r>
  <r>
    <s v="Белов Алексей Константинович"/>
    <x v="180"/>
    <s v="2024-07-01"/>
    <n v="18778"/>
  </r>
  <r>
    <s v="Громова Мария Ильинична"/>
    <x v="25"/>
    <s v="2024-07-01"/>
    <n v="77790"/>
  </r>
  <r>
    <s v="Фролов Сергей Викторович"/>
    <x v="68"/>
    <s v="2024-07-01"/>
    <n v="33898"/>
  </r>
  <r>
    <s v="Иванова Анна Сергеевна"/>
    <x v="51"/>
    <s v="2024-07-01"/>
    <n v="78647"/>
  </r>
  <r>
    <s v="Новикова Ольга Петровна"/>
    <x v="67"/>
    <s v="2024-07-01"/>
    <n v="32727"/>
  </r>
  <r>
    <s v="Яковлев Артем Игоревич"/>
    <x v="152"/>
    <s v="2024-07-01"/>
    <n v="69766"/>
  </r>
  <r>
    <s v="Семенова Ирина Валерьевна"/>
    <x v="147"/>
    <s v="2024-07-01"/>
    <n v="62935"/>
  </r>
  <r>
    <s v="Новикова Ольга Петровна"/>
    <x v="181"/>
    <s v="2024-07-02"/>
    <n v="88832"/>
  </r>
  <r>
    <s v="Яковлев Артем Игоревич"/>
    <x v="26"/>
    <s v="2024-07-02"/>
    <n v="45506"/>
  </r>
  <r>
    <s v="Громова Мария Ильинична"/>
    <x v="50"/>
    <s v="2024-07-02"/>
    <n v="28762"/>
  </r>
  <r>
    <s v="Семенова Ирина Валерьевна"/>
    <x v="92"/>
    <s v="2024-07-02"/>
    <n v="84692"/>
  </r>
  <r>
    <s v="Иванова Анна Сергеевна"/>
    <x v="15"/>
    <s v="2024-07-02"/>
    <n v="69773"/>
  </r>
  <r>
    <s v="Кузнецов Дмитрий Львович"/>
    <x v="74"/>
    <s v="2024-07-02"/>
    <n v="41439"/>
  </r>
  <r>
    <s v="Яковлев Артем Игоревич"/>
    <x v="152"/>
    <s v="2024-07-03"/>
    <n v="55212"/>
  </r>
  <r>
    <s v="Ткаченко Андрей Олегович"/>
    <x v="31"/>
    <s v="2024-07-04"/>
    <n v="64279"/>
  </r>
  <r>
    <s v="Кузнецов Дмитрий Львович"/>
    <x v="126"/>
    <s v="2024-07-04"/>
    <n v="21014"/>
  </r>
  <r>
    <s v="Яковлев Артем Игоревич"/>
    <x v="93"/>
    <s v="2024-07-04"/>
    <n v="86403"/>
  </r>
  <r>
    <s v="Громова Мария Ильинична"/>
    <x v="97"/>
    <s v="2024-07-05"/>
    <n v="62384"/>
  </r>
  <r>
    <s v="Яковлев Артем Игоревич"/>
    <x v="9"/>
    <s v="2024-07-05"/>
    <n v="87177"/>
  </r>
  <r>
    <s v="Новикова Ольга Петровна"/>
    <x v="0"/>
    <s v="2024-07-08"/>
    <n v="96631"/>
  </r>
  <r>
    <s v="Семенова Ирина Валерьевна"/>
    <x v="110"/>
    <s v="2024-07-08"/>
    <n v="83623"/>
  </r>
  <r>
    <s v="Орлов Павел Денисович"/>
    <x v="73"/>
    <s v="2024-07-08"/>
    <n v="84721"/>
  </r>
  <r>
    <s v="Петров Владимир Кириллович"/>
    <x v="158"/>
    <s v="2024-07-08"/>
    <n v="66632"/>
  </r>
  <r>
    <s v="Новикова Ольга Петровна"/>
    <x v="96"/>
    <s v="2024-07-08"/>
    <n v="89522"/>
  </r>
  <r>
    <s v="Громова Мария Ильинична"/>
    <x v="26"/>
    <s v="2024-07-08"/>
    <n v="81216"/>
  </r>
  <r>
    <s v="Иванова Анна Сергеевна"/>
    <x v="82"/>
    <s v="2024-07-09"/>
    <n v="37556"/>
  </r>
  <r>
    <s v="Сидорова Елена Васильевна"/>
    <x v="15"/>
    <s v="2024-07-09"/>
    <n v="45925"/>
  </r>
  <r>
    <s v="Громова Мария Ильинична"/>
    <x v="117"/>
    <s v="2024-07-10"/>
    <n v="80479"/>
  </r>
  <r>
    <s v="Ткаченко Андрей Олегович"/>
    <x v="184"/>
    <s v="2024-07-10"/>
    <n v="33415"/>
  </r>
  <r>
    <s v="Петров Владимир Кириллович"/>
    <x v="191"/>
    <s v="2024-07-10"/>
    <n v="28722"/>
  </r>
  <r>
    <s v="Кузнецов Дмитрий Львович"/>
    <x v="6"/>
    <s v="2024-07-10"/>
    <n v="97544"/>
  </r>
  <r>
    <s v="Петров Владимир Кириллович"/>
    <x v="81"/>
    <s v="2024-07-10"/>
    <n v="39349"/>
  </r>
  <r>
    <s v="Сидорова Елена Васильевна"/>
    <x v="59"/>
    <s v="2024-07-11"/>
    <n v="47891"/>
  </r>
  <r>
    <s v="Громова Мария Ильинична"/>
    <x v="29"/>
    <s v="2024-07-11"/>
    <n v="66084"/>
  </r>
  <r>
    <s v="Яковлев Артем Игоревич"/>
    <x v="41"/>
    <s v="2024-07-11"/>
    <n v="20652"/>
  </r>
  <r>
    <s v="Сидорова Елена Васильевна"/>
    <x v="98"/>
    <s v="2024-07-12"/>
    <n v="18006"/>
  </r>
  <r>
    <s v="Ткаченко Андрей Олегович"/>
    <x v="20"/>
    <s v="2024-07-12"/>
    <n v="88821"/>
  </r>
  <r>
    <s v="Фролов Сергей Викторович"/>
    <x v="44"/>
    <s v="2024-07-12"/>
    <n v="24958"/>
  </r>
  <r>
    <s v="Кузнецов Дмитрий Львович"/>
    <x v="86"/>
    <s v="2024-07-12"/>
    <n v="18739"/>
  </r>
  <r>
    <s v="Белов Алексей Константинович"/>
    <x v="155"/>
    <s v="2024-07-15"/>
    <n v="98086"/>
  </r>
  <r>
    <s v="Яковлев Артем Игоревич"/>
    <x v="95"/>
    <s v="2024-07-15"/>
    <n v="79974"/>
  </r>
  <r>
    <s v="Семенова Ирина Валерьевна"/>
    <x v="16"/>
    <s v="2024-07-16"/>
    <n v="96626"/>
  </r>
  <r>
    <s v="Яковлев Артем Игоревич"/>
    <x v="97"/>
    <s v="2024-07-16"/>
    <n v="84911"/>
  </r>
  <r>
    <s v="Новикова Ольга Петровна"/>
    <x v="10"/>
    <s v="2024-07-17"/>
    <n v="47472"/>
  </r>
  <r>
    <s v="Новикова Ольга Петровна"/>
    <x v="8"/>
    <s v="2024-07-17"/>
    <n v="46387"/>
  </r>
  <r>
    <s v="Орлов Павел Денисович"/>
    <x v="190"/>
    <s v="2024-07-17"/>
    <n v="12947"/>
  </r>
  <r>
    <s v="Громова Мария Ильинична"/>
    <x v="132"/>
    <s v="2024-07-17"/>
    <n v="24709"/>
  </r>
  <r>
    <s v="Ткаченко Андрей Олегович"/>
    <x v="58"/>
    <s v="2024-07-18"/>
    <n v="39780"/>
  </r>
  <r>
    <s v="Петров Владимир Кириллович"/>
    <x v="191"/>
    <s v="2024-07-18"/>
    <n v="13570"/>
  </r>
  <r>
    <s v="Ткаченко Андрей Олегович"/>
    <x v="59"/>
    <s v="2024-07-19"/>
    <n v="78241"/>
  </r>
  <r>
    <s v="Иванова Анна Сергеевна"/>
    <x v="39"/>
    <s v="2024-07-19"/>
    <n v="62495"/>
  </r>
  <r>
    <s v="Белов Алексей Константинович"/>
    <x v="33"/>
    <s v="2024-07-19"/>
    <n v="42860"/>
  </r>
  <r>
    <s v="Громова Мария Ильинична"/>
    <x v="38"/>
    <s v="2024-07-22"/>
    <n v="89429"/>
  </r>
  <r>
    <s v="Белов Алексей Константинович"/>
    <x v="149"/>
    <s v="2024-07-22"/>
    <n v="17979"/>
  </r>
  <r>
    <s v="Яковлев Артем Игоревич"/>
    <x v="37"/>
    <s v="2024-07-22"/>
    <n v="30554"/>
  </r>
  <r>
    <s v="Фролов Сергей Викторович"/>
    <x v="49"/>
    <s v="2024-07-22"/>
    <n v="77338"/>
  </r>
  <r>
    <s v="Громова Мария Ильинична"/>
    <x v="143"/>
    <s v="2024-07-22"/>
    <n v="40046"/>
  </r>
  <r>
    <s v="Фролов Сергей Викторович"/>
    <x v="125"/>
    <s v="2024-07-22"/>
    <n v="79373"/>
  </r>
  <r>
    <s v="Кузнецов Дмитрий Львович"/>
    <x v="31"/>
    <s v="2024-07-22"/>
    <n v="14084"/>
  </r>
  <r>
    <s v="Петров Владимир Кириллович"/>
    <x v="157"/>
    <s v="2024-07-23"/>
    <n v="20663"/>
  </r>
  <r>
    <s v="Кузнецов Дмитрий Львович"/>
    <x v="37"/>
    <s v="2024-07-24"/>
    <n v="48587"/>
  </r>
  <r>
    <s v="Белов Алексей Константинович"/>
    <x v="57"/>
    <s v="2024-07-24"/>
    <n v="76818"/>
  </r>
  <r>
    <s v="Петров Владимир Кириллович"/>
    <x v="55"/>
    <s v="2024-07-24"/>
    <n v="88080"/>
  </r>
  <r>
    <s v="Новикова Ольга Петровна"/>
    <x v="155"/>
    <s v="2024-07-25"/>
    <n v="64643"/>
  </r>
  <r>
    <s v="Иванова Анна Сергеевна"/>
    <x v="125"/>
    <s v="2024-07-25"/>
    <n v="93015"/>
  </r>
  <r>
    <s v="Сидорова Елена Васильевна"/>
    <x v="61"/>
    <s v="2024-07-25"/>
    <n v="52380"/>
  </r>
  <r>
    <s v="Яковлев Артем Игоревич"/>
    <x v="37"/>
    <s v="2024-07-26"/>
    <n v="46711"/>
  </r>
  <r>
    <s v="Фролов Сергей Викторович"/>
    <x v="171"/>
    <s v="2024-07-26"/>
    <n v="46844"/>
  </r>
  <r>
    <s v="Белов Алексей Константинович"/>
    <x v="72"/>
    <s v="2024-07-26"/>
    <n v="98494"/>
  </r>
  <r>
    <s v="Ткаченко Андрей Олегович"/>
    <x v="75"/>
    <s v="2024-07-26"/>
    <n v="76081"/>
  </r>
  <r>
    <s v="Иванова Анна Сергеевна"/>
    <x v="44"/>
    <s v="2024-07-29"/>
    <n v="98224"/>
  </r>
  <r>
    <s v="Петров Владимир Кириллович"/>
    <x v="89"/>
    <s v="2024-07-29"/>
    <n v="26536"/>
  </r>
  <r>
    <s v="Ткаченко Андрей Олегович"/>
    <x v="41"/>
    <s v="2024-07-29"/>
    <n v="14495"/>
  </r>
  <r>
    <s v="Орлов Павел Денисович"/>
    <x v="121"/>
    <s v="2024-07-29"/>
    <n v="57063"/>
  </r>
  <r>
    <s v="Яковлев Артем Игоревич"/>
    <x v="150"/>
    <s v="2024-07-29"/>
    <n v="95109"/>
  </r>
  <r>
    <s v="Яковлев Артем Игоревич"/>
    <x v="73"/>
    <s v="2024-07-29"/>
    <n v="27421"/>
  </r>
  <r>
    <s v="Ткаченко Андрей Олегович"/>
    <x v="111"/>
    <s v="2024-07-29"/>
    <n v="47273"/>
  </r>
  <r>
    <s v="Орлов Павел Денисович"/>
    <x v="14"/>
    <s v="2024-07-29"/>
    <n v="39709"/>
  </r>
  <r>
    <s v="Ткаченко Андрей Олегович"/>
    <x v="41"/>
    <s v="2024-07-29"/>
    <n v="38368"/>
  </r>
  <r>
    <s v="Белов Алексей Константинович"/>
    <x v="90"/>
    <s v="2024-07-29"/>
    <n v="19620"/>
  </r>
  <r>
    <s v="Новикова Ольга Петровна"/>
    <x v="184"/>
    <s v="2024-07-30"/>
    <n v="87516"/>
  </r>
  <r>
    <s v="Орлов Павел Денисович"/>
    <x v="33"/>
    <s v="2024-07-30"/>
    <n v="54125"/>
  </r>
  <r>
    <s v="Петров Владимир Кириллович"/>
    <x v="184"/>
    <s v="2024-07-30"/>
    <n v="64981"/>
  </r>
  <r>
    <s v="Семенова Ирина Валерьевна"/>
    <x v="88"/>
    <s v="2024-07-30"/>
    <n v="58280"/>
  </r>
  <r>
    <s v="Иванова Анна Сергеевна"/>
    <x v="102"/>
    <s v="2024-07-31"/>
    <n v="89186"/>
  </r>
  <r>
    <s v="Новикова Ольга Петровна"/>
    <x v="78"/>
    <s v="2024-07-31"/>
    <n v="81674"/>
  </r>
  <r>
    <s v="Петров Владимир Кириллович"/>
    <x v="128"/>
    <s v="2024-07-31"/>
    <n v="77747"/>
  </r>
  <r>
    <s v="Кузнецов Дмитрий Львович"/>
    <x v="121"/>
    <s v="2024-08-01"/>
    <n v="72907"/>
  </r>
  <r>
    <s v="Кузнецов Дмитрий Львович"/>
    <x v="87"/>
    <s v="2024-08-01"/>
    <n v="19215"/>
  </r>
  <r>
    <s v="Белов Алексей Константинович"/>
    <x v="32"/>
    <s v="2024-08-01"/>
    <n v="68805"/>
  </r>
  <r>
    <s v="Ткаченко Андрей Олегович"/>
    <x v="112"/>
    <s v="2024-08-01"/>
    <n v="82141"/>
  </r>
  <r>
    <s v="Семенова Ирина Валерьевна"/>
    <x v="95"/>
    <s v="2024-08-02"/>
    <n v="97241"/>
  </r>
  <r>
    <s v="Новикова Ольга Петровна"/>
    <x v="40"/>
    <s v="2024-08-02"/>
    <n v="51432"/>
  </r>
  <r>
    <s v="Ткаченко Андрей Олегович"/>
    <x v="47"/>
    <s v="2024-08-05"/>
    <n v="81510"/>
  </r>
  <r>
    <s v="Сидорова Елена Васильевна"/>
    <x v="21"/>
    <s v="2024-08-05"/>
    <n v="68145"/>
  </r>
  <r>
    <s v="Семенова Ирина Валерьевна"/>
    <x v="46"/>
    <s v="2024-08-05"/>
    <n v="81023"/>
  </r>
  <r>
    <s v="Орлов Павел Денисович"/>
    <x v="32"/>
    <s v="2024-08-05"/>
    <n v="70276"/>
  </r>
  <r>
    <s v="Ткаченко Андрей Олегович"/>
    <x v="48"/>
    <s v="2024-08-05"/>
    <n v="28980"/>
  </r>
  <r>
    <s v="Фролов Сергей Викторович"/>
    <x v="57"/>
    <s v="2024-08-05"/>
    <n v="27499"/>
  </r>
  <r>
    <s v="Иванова Анна Сергеевна"/>
    <x v="7"/>
    <s v="2024-08-05"/>
    <n v="80337"/>
  </r>
  <r>
    <s v="Иванова Анна Сергеевна"/>
    <x v="1"/>
    <s v="2024-08-05"/>
    <n v="61048"/>
  </r>
  <r>
    <s v="Семенова Ирина Валерьевна"/>
    <x v="47"/>
    <s v="2024-08-05"/>
    <n v="73082"/>
  </r>
  <r>
    <s v="Кузнецов Дмитрий Львович"/>
    <x v="97"/>
    <s v="2024-08-06"/>
    <n v="42514"/>
  </r>
  <r>
    <s v="Орлов Павел Денисович"/>
    <x v="138"/>
    <s v="2024-08-06"/>
    <n v="75579"/>
  </r>
  <r>
    <s v="Орлов Павел Денисович"/>
    <x v="47"/>
    <s v="2024-08-06"/>
    <n v="26177"/>
  </r>
  <r>
    <s v="Ткаченко Андрей Олегович"/>
    <x v="90"/>
    <s v="2024-08-07"/>
    <n v="33132"/>
  </r>
  <r>
    <s v="Новикова Ольга Петровна"/>
    <x v="152"/>
    <s v="2024-08-07"/>
    <n v="28200"/>
  </r>
  <r>
    <s v="Ткаченко Андрей Олегович"/>
    <x v="156"/>
    <s v="2024-08-07"/>
    <n v="99108"/>
  </r>
  <r>
    <s v="Ткаченко Андрей Олегович"/>
    <x v="60"/>
    <s v="2024-08-07"/>
    <n v="31560"/>
  </r>
  <r>
    <s v="Семенова Ирина Валерьевна"/>
    <x v="6"/>
    <s v="2024-08-07"/>
    <n v="21254"/>
  </r>
  <r>
    <s v="Громова Мария Ильинична"/>
    <x v="84"/>
    <s v="2024-08-07"/>
    <n v="93054"/>
  </r>
  <r>
    <s v="Новикова Ольга Петровна"/>
    <x v="107"/>
    <s v="2024-08-07"/>
    <n v="21888"/>
  </r>
  <r>
    <s v="Фролов Сергей Викторович"/>
    <x v="68"/>
    <s v="2024-08-07"/>
    <n v="11808"/>
  </r>
  <r>
    <s v="Громова Мария Ильинична"/>
    <x v="122"/>
    <s v="2024-08-08"/>
    <n v="96082"/>
  </r>
  <r>
    <s v="Громова Мария Ильинична"/>
    <x v="192"/>
    <s v="2024-08-08"/>
    <n v="42249"/>
  </r>
  <r>
    <s v="Ткаченко Андрей Олегович"/>
    <x v="38"/>
    <s v="2024-08-09"/>
    <n v="76334"/>
  </r>
  <r>
    <s v="Новикова Ольга Петровна"/>
    <x v="6"/>
    <s v="2024-08-09"/>
    <n v="32646"/>
  </r>
  <r>
    <s v="Ткаченко Андрей Олегович"/>
    <x v="15"/>
    <s v="2024-08-12"/>
    <n v="24913"/>
  </r>
  <r>
    <s v="Сидорова Елена Васильевна"/>
    <x v="127"/>
    <s v="2024-08-12"/>
    <n v="16979"/>
  </r>
  <r>
    <s v="Петров Владимир Кириллович"/>
    <x v="82"/>
    <s v="2024-08-12"/>
    <n v="16800"/>
  </r>
  <r>
    <s v="Ткаченко Андрей Олегович"/>
    <x v="2"/>
    <s v="2024-08-12"/>
    <n v="48323"/>
  </r>
  <r>
    <s v="Сидорова Елена Васильевна"/>
    <x v="145"/>
    <s v="2024-08-12"/>
    <n v="55920"/>
  </r>
  <r>
    <s v="Фролов Сергей Викторович"/>
    <x v="59"/>
    <s v="2024-08-12"/>
    <n v="26819"/>
  </r>
  <r>
    <s v="Белов Алексей Константинович"/>
    <x v="76"/>
    <s v="2024-08-12"/>
    <n v="87568"/>
  </r>
  <r>
    <s v="Иванова Анна Сергеевна"/>
    <x v="65"/>
    <s v="2024-08-12"/>
    <n v="76342"/>
  </r>
  <r>
    <s v="Фролов Сергей Викторович"/>
    <x v="164"/>
    <s v="2024-08-12"/>
    <n v="10352"/>
  </r>
  <r>
    <s v="Петров Владимир Кириллович"/>
    <x v="146"/>
    <s v="2024-08-13"/>
    <n v="77038"/>
  </r>
  <r>
    <s v="Кузнецов Дмитрий Львович"/>
    <x v="169"/>
    <s v="2024-08-14"/>
    <n v="27077"/>
  </r>
  <r>
    <s v="Яковлев Артем Игоревич"/>
    <x v="7"/>
    <s v="2024-08-14"/>
    <n v="10110"/>
  </r>
  <r>
    <s v="Громова Мария Ильинична"/>
    <x v="4"/>
    <s v="2024-08-14"/>
    <n v="56192"/>
  </r>
  <r>
    <s v="Семенова Ирина Валерьевна"/>
    <x v="41"/>
    <s v="2024-08-15"/>
    <n v="84230"/>
  </r>
  <r>
    <s v="Ткаченко Андрей Олегович"/>
    <x v="50"/>
    <s v="2024-08-15"/>
    <n v="65909"/>
  </r>
  <r>
    <s v="Новикова Ольга Петровна"/>
    <x v="172"/>
    <s v="2024-08-15"/>
    <n v="23931"/>
  </r>
  <r>
    <s v="Кузнецов Дмитрий Львович"/>
    <x v="61"/>
    <s v="2024-08-15"/>
    <n v="35818"/>
  </r>
  <r>
    <s v="Фролов Сергей Викторович"/>
    <x v="11"/>
    <s v="2024-08-16"/>
    <n v="69806"/>
  </r>
  <r>
    <s v="Фролов Сергей Викторович"/>
    <x v="20"/>
    <s v="2024-08-16"/>
    <n v="31565"/>
  </r>
  <r>
    <s v="Иванова Анна Сергеевна"/>
    <x v="150"/>
    <s v="2024-08-16"/>
    <n v="48185"/>
  </r>
  <r>
    <s v="Громова Мария Ильинична"/>
    <x v="33"/>
    <s v="2024-08-16"/>
    <n v="58063"/>
  </r>
  <r>
    <s v="Фролов Сергей Викторович"/>
    <x v="65"/>
    <s v="2024-08-16"/>
    <n v="57308"/>
  </r>
  <r>
    <s v="Иванова Анна Сергеевна"/>
    <x v="2"/>
    <s v="2024-08-19"/>
    <n v="85016"/>
  </r>
  <r>
    <s v="Петров Владимир Кириллович"/>
    <x v="114"/>
    <s v="2024-08-19"/>
    <n v="80393"/>
  </r>
  <r>
    <s v="Сидорова Елена Васильевна"/>
    <x v="135"/>
    <s v="2024-08-19"/>
    <n v="90220"/>
  </r>
  <r>
    <s v="Орлов Павел Денисович"/>
    <x v="119"/>
    <s v="2024-08-19"/>
    <n v="41449"/>
  </r>
  <r>
    <s v="Белов Алексей Константинович"/>
    <x v="189"/>
    <s v="2024-08-19"/>
    <n v="47717"/>
  </r>
  <r>
    <s v="Семенова Ирина Валерьевна"/>
    <x v="16"/>
    <s v="2024-08-19"/>
    <n v="48159"/>
  </r>
  <r>
    <s v="Громова Мария Ильинична"/>
    <x v="126"/>
    <s v="2024-08-20"/>
    <n v="29634"/>
  </r>
  <r>
    <s v="Фролов Сергей Викторович"/>
    <x v="46"/>
    <s v="2024-08-20"/>
    <n v="95509"/>
  </r>
  <r>
    <s v="Петров Владимир Кириллович"/>
    <x v="126"/>
    <s v="2024-08-20"/>
    <n v="18535"/>
  </r>
  <r>
    <s v="Орлов Павел Денисович"/>
    <x v="138"/>
    <s v="2024-08-20"/>
    <n v="83992"/>
  </r>
  <r>
    <s v="Яковлев Артем Игоревич"/>
    <x v="19"/>
    <s v="2024-08-21"/>
    <n v="41258"/>
  </r>
  <r>
    <s v="Громова Мария Ильинична"/>
    <x v="51"/>
    <s v="2024-08-21"/>
    <n v="85855"/>
  </r>
  <r>
    <s v="Орлов Павел Денисович"/>
    <x v="147"/>
    <s v="2024-08-22"/>
    <n v="63302"/>
  </r>
  <r>
    <s v="Фролов Сергей Викторович"/>
    <x v="74"/>
    <s v="2024-08-22"/>
    <n v="48275"/>
  </r>
  <r>
    <s v="Ткаченко Андрей Олегович"/>
    <x v="3"/>
    <s v="2024-08-22"/>
    <n v="23511"/>
  </r>
  <r>
    <s v="Яковлев Артем Игоревич"/>
    <x v="52"/>
    <s v="2024-08-22"/>
    <n v="24002"/>
  </r>
  <r>
    <s v="Белов Алексей Константинович"/>
    <x v="90"/>
    <s v="2024-08-22"/>
    <n v="56672"/>
  </r>
  <r>
    <s v="Орлов Павел Денисович"/>
    <x v="174"/>
    <s v="2024-08-22"/>
    <n v="57491"/>
  </r>
  <r>
    <s v="Громова Мария Ильинична"/>
    <x v="94"/>
    <s v="2024-08-22"/>
    <n v="18142"/>
  </r>
  <r>
    <s v="Петров Владимир Кириллович"/>
    <x v="1"/>
    <s v="2024-08-23"/>
    <n v="25819"/>
  </r>
  <r>
    <s v="Петров Владимир Кириллович"/>
    <x v="74"/>
    <s v="2024-08-23"/>
    <n v="29208"/>
  </r>
  <r>
    <s v="Яковлев Артем Игоревич"/>
    <x v="86"/>
    <s v="2024-08-23"/>
    <n v="18477"/>
  </r>
  <r>
    <s v="Новикова Ольга Петровна"/>
    <x v="41"/>
    <s v="2024-08-23"/>
    <n v="37012"/>
  </r>
  <r>
    <s v="Орлов Павел Денисович"/>
    <x v="182"/>
    <s v="2024-08-26"/>
    <n v="53461"/>
  </r>
  <r>
    <s v="Белов Алексей Константинович"/>
    <x v="63"/>
    <s v="2024-08-26"/>
    <n v="26874"/>
  </r>
  <r>
    <s v="Фролов Сергей Викторович"/>
    <x v="15"/>
    <s v="2024-08-26"/>
    <n v="63560"/>
  </r>
  <r>
    <s v="Яковлев Артем Игоревич"/>
    <x v="127"/>
    <s v="2024-08-26"/>
    <n v="89531"/>
  </r>
  <r>
    <s v="Фролов Сергей Викторович"/>
    <x v="96"/>
    <s v="2024-08-26"/>
    <n v="49508"/>
  </r>
  <r>
    <s v="Белов Алексей Константинович"/>
    <x v="35"/>
    <s v="2024-08-26"/>
    <n v="38600"/>
  </r>
  <r>
    <s v="Сидорова Елена Васильевна"/>
    <x v="15"/>
    <s v="2024-08-26"/>
    <n v="11556"/>
  </r>
  <r>
    <s v="Белов Алексей Константинович"/>
    <x v="2"/>
    <s v="2024-08-26"/>
    <n v="10985"/>
  </r>
  <r>
    <s v="Новикова Ольга Петровна"/>
    <x v="168"/>
    <s v="2024-08-26"/>
    <n v="85767"/>
  </r>
  <r>
    <s v="Ткаченко Андрей Олегович"/>
    <x v="96"/>
    <s v="2024-08-26"/>
    <n v="76128"/>
  </r>
  <r>
    <s v="Сидорова Елена Васильевна"/>
    <x v="126"/>
    <s v="2024-08-27"/>
    <n v="62813"/>
  </r>
  <r>
    <s v="Иванова Анна Сергеевна"/>
    <x v="93"/>
    <s v="2024-08-27"/>
    <n v="55228"/>
  </r>
  <r>
    <s v="Новикова Ольга Петровна"/>
    <x v="114"/>
    <s v="2024-08-27"/>
    <n v="44261"/>
  </r>
  <r>
    <s v="Фролов Сергей Викторович"/>
    <x v="142"/>
    <s v="2024-08-28"/>
    <n v="49562"/>
  </r>
  <r>
    <s v="Новикова Ольга Петровна"/>
    <x v="157"/>
    <s v="2024-08-28"/>
    <n v="59038"/>
  </r>
  <r>
    <s v="Семенова Ирина Валерьевна"/>
    <x v="2"/>
    <s v="2024-08-29"/>
    <n v="91020"/>
  </r>
  <r>
    <s v="Ткаченко Андрей Олегович"/>
    <x v="182"/>
    <s v="2024-08-29"/>
    <n v="74297"/>
  </r>
  <r>
    <s v="Ткаченко Андрей Олегович"/>
    <x v="121"/>
    <s v="2024-08-29"/>
    <n v="94413"/>
  </r>
  <r>
    <s v="Фролов Сергей Викторович"/>
    <x v="41"/>
    <s v="2024-08-29"/>
    <n v="73835"/>
  </r>
  <r>
    <s v="Фролов Сергей Викторович"/>
    <x v="41"/>
    <s v="2024-08-30"/>
    <n v="57679"/>
  </r>
  <r>
    <s v="Кузнецов Дмитрий Львович"/>
    <x v="92"/>
    <s v="2024-08-30"/>
    <n v="98328"/>
  </r>
  <r>
    <s v="Новикова Ольга Петровна"/>
    <x v="157"/>
    <s v="2024-09-02"/>
    <n v="16834"/>
  </r>
  <r>
    <s v="Ткаченко Андрей Олегович"/>
    <x v="139"/>
    <s v="2024-09-02"/>
    <n v="80783"/>
  </r>
  <r>
    <m/>
    <x v="193"/>
    <m/>
    <m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2">
  <r>
    <s v="Громова Мария Ильинична"/>
    <x v="0"/>
  </r>
  <r>
    <s v="Сидорова Елена Васильевна"/>
    <x v="1"/>
  </r>
  <r>
    <s v="Семенова Ирина Валерьевна"/>
    <x v="2"/>
  </r>
  <r>
    <s v="Иванова Анна Сергеевна"/>
    <x v="3"/>
  </r>
  <r>
    <s v="Громова Мария Ильинична"/>
    <x v="4"/>
  </r>
  <r>
    <s v="Фролов Сергей Викторович"/>
    <x v="5"/>
  </r>
  <r>
    <s v="Петров Владимир Кириллович"/>
    <x v="6"/>
  </r>
  <r>
    <s v="Петров Владимир Кириллович"/>
    <x v="7"/>
  </r>
  <r>
    <s v="Иванова Анна Сергеевна"/>
    <x v="8"/>
  </r>
  <r>
    <s v="Семенова Ирина Валерьевна"/>
    <x v="9"/>
  </r>
  <r>
    <s v="Петров Владимир Кириллович"/>
    <x v="10"/>
  </r>
  <r>
    <s v="Белов Алексей Константинович"/>
    <x v="11"/>
  </r>
  <r>
    <s v="Ткаченко Андрей Олегович"/>
    <x v="12"/>
  </r>
  <r>
    <s v="Яковлев Артем Игоревич"/>
    <x v="13"/>
  </r>
  <r>
    <s v="Иванова Анна Сергеевна"/>
    <x v="14"/>
  </r>
  <r>
    <s v="Белов Алексей Константинович"/>
    <x v="15"/>
  </r>
  <r>
    <s v="Фролов Сергей Викторович"/>
    <x v="7"/>
  </r>
  <r>
    <s v="Фролов Сергей Викторович"/>
    <x v="16"/>
  </r>
  <r>
    <s v="Сидорова Елена Васильевна"/>
    <x v="17"/>
  </r>
  <r>
    <s v="Сидорова Елена Васильевна"/>
    <x v="18"/>
  </r>
  <r>
    <s v="Кузнецов Дмитрий Львович"/>
    <x v="19"/>
  </r>
  <r>
    <s v="Фролов Сергей Викторович"/>
    <x v="20"/>
  </r>
  <r>
    <s v="Петров Владимир Кириллович"/>
    <x v="21"/>
  </r>
  <r>
    <s v="Петров Владимир Кириллович"/>
    <x v="22"/>
  </r>
  <r>
    <s v="Новикова Ольга Петровна"/>
    <x v="23"/>
  </r>
  <r>
    <s v="Орлов Павел Денисович"/>
    <x v="24"/>
  </r>
  <r>
    <s v="Кузнецов Дмитрий Львович"/>
    <x v="6"/>
  </r>
  <r>
    <s v="Яковлев Артем Игоревич"/>
    <x v="25"/>
  </r>
  <r>
    <s v="Кузнецов Дмитрий Львович"/>
    <x v="5"/>
  </r>
  <r>
    <s v="Ткаченко Андрей Олегович"/>
    <x v="13"/>
  </r>
  <r>
    <s v="Ткаченко Андрей Олегович"/>
    <x v="26"/>
  </r>
  <r>
    <s v="Яковлев Артем Игоревич"/>
    <x v="27"/>
  </r>
  <r>
    <s v="Ткаченко Андрей Олегович"/>
    <x v="28"/>
  </r>
  <r>
    <s v="Иванова Анна Сергеевна"/>
    <x v="29"/>
  </r>
  <r>
    <s v="Яковлев Артем Игоревич"/>
    <x v="30"/>
  </r>
  <r>
    <s v="Белов Алексей Константинович"/>
    <x v="31"/>
  </r>
  <r>
    <s v="Сидорова Елена Васильевна"/>
    <x v="14"/>
  </r>
  <r>
    <s v="Громова Мария Ильинична"/>
    <x v="32"/>
  </r>
  <r>
    <s v="Громова Мария Ильинична"/>
    <x v="33"/>
  </r>
  <r>
    <s v="Громова Мария Ильинична"/>
    <x v="34"/>
  </r>
  <r>
    <s v="Яковлев Артем Игоревич"/>
    <x v="35"/>
  </r>
  <r>
    <s v="Яковлев Артем Игоревич"/>
    <x v="36"/>
  </r>
  <r>
    <s v="Семенова Ирина Валерьевна"/>
    <x v="37"/>
  </r>
  <r>
    <s v="Новикова Ольга Петровна"/>
    <x v="38"/>
  </r>
  <r>
    <s v="Ткаченко Андрей Олегович"/>
    <x v="18"/>
  </r>
  <r>
    <s v="Кузнецов Дмитрий Львович"/>
    <x v="39"/>
  </r>
  <r>
    <s v="Ткаченко Андрей Олегович"/>
    <x v="40"/>
  </r>
  <r>
    <s v="Фролов Сергей Викторович"/>
    <x v="41"/>
  </r>
  <r>
    <s v="Фролов Сергей Викторович"/>
    <x v="42"/>
  </r>
  <r>
    <s v="Орлов Павел Денисович"/>
    <x v="41"/>
  </r>
  <r>
    <s v="Иванова Анна Сергеевна"/>
    <x v="17"/>
  </r>
  <r>
    <s v="Орлов Павел Денисович"/>
    <x v="43"/>
  </r>
  <r>
    <s v="Новикова Ольга Петровна"/>
    <x v="9"/>
  </r>
  <r>
    <s v="Громова Мария Ильинична"/>
    <x v="44"/>
  </r>
  <r>
    <s v="Фролов Сергей Викторович"/>
    <x v="45"/>
  </r>
  <r>
    <s v="Яковлев Артем Игоревич"/>
    <x v="46"/>
  </r>
  <r>
    <s v="Семенова Ирина Валерьевна"/>
    <x v="32"/>
  </r>
  <r>
    <s v="Фролов Сергей Викторович"/>
    <x v="47"/>
  </r>
  <r>
    <s v="Сидорова Елена Васильевна"/>
    <x v="48"/>
  </r>
  <r>
    <s v="Семенова Ирина Валерьевна"/>
    <x v="49"/>
  </r>
  <r>
    <s v="Петров Владимир Кириллович"/>
    <x v="50"/>
  </r>
  <r>
    <s v="Петров Владимир Кириллович"/>
    <x v="51"/>
  </r>
  <r>
    <s v="Семенова Ирина Валерьевна"/>
    <x v="52"/>
  </r>
  <r>
    <s v="Семенова Ирина Валерьевна"/>
    <x v="53"/>
  </r>
  <r>
    <s v="Ткаченко Андрей Олегович"/>
    <x v="54"/>
  </r>
  <r>
    <s v="Сидорова Елена Васильевна"/>
    <x v="55"/>
  </r>
  <r>
    <s v="Белов Алексей Константинович"/>
    <x v="56"/>
  </r>
  <r>
    <s v="Сидорова Елена Васильевна"/>
    <x v="57"/>
  </r>
  <r>
    <s v="Белов Алексей Константинович"/>
    <x v="58"/>
  </r>
  <r>
    <s v="Семенова Ирина Валерьевна"/>
    <x v="59"/>
  </r>
  <r>
    <s v="Громова Мария Ильинична"/>
    <x v="60"/>
  </r>
  <r>
    <s v="Петров Владимир Кириллович"/>
    <x v="61"/>
  </r>
  <r>
    <s v="Яковлев Артем Игоревич"/>
    <x v="21"/>
  </r>
  <r>
    <s v="Иванова Анна Сергеевна"/>
    <x v="22"/>
  </r>
  <r>
    <s v="Ткаченко Андрей Олегович"/>
    <x v="62"/>
  </r>
  <r>
    <s v="Орлов Павел Денисович"/>
    <x v="63"/>
  </r>
  <r>
    <s v="Семенова Ирина Валерьевна"/>
    <x v="64"/>
  </r>
  <r>
    <s v="Семенова Ирина Валерьевна"/>
    <x v="65"/>
  </r>
  <r>
    <s v="Новикова Ольга Петровна"/>
    <x v="17"/>
  </r>
  <r>
    <s v="Яковлев Артем Игоревич"/>
    <x v="66"/>
  </r>
  <r>
    <s v="Сидорова Елена Васильевна"/>
    <x v="67"/>
  </r>
  <r>
    <s v="Сидорова Елена Васильевна"/>
    <x v="0"/>
  </r>
  <r>
    <s v="Громова Мария Ильинична"/>
    <x v="68"/>
  </r>
  <r>
    <s v="Иванова Анна Сергеевна"/>
    <x v="69"/>
  </r>
  <r>
    <s v="Иванова Анна Сергеевна"/>
    <x v="70"/>
  </r>
  <r>
    <s v="Фролов Сергей Викторович"/>
    <x v="46"/>
  </r>
  <r>
    <s v="Громова Мария Ильинична"/>
    <x v="19"/>
  </r>
  <r>
    <s v="Ткаченко Андрей Олегович"/>
    <x v="57"/>
  </r>
  <r>
    <s v="Кузнецов Дмитрий Львович"/>
    <x v="71"/>
  </r>
  <r>
    <s v="Ткаченко Андрей Олегович"/>
    <x v="46"/>
  </r>
  <r>
    <s v="Яковлев Артем Игоревич"/>
    <x v="72"/>
  </r>
  <r>
    <s v="Яковлев Артем Игоревич"/>
    <x v="37"/>
  </r>
  <r>
    <s v="Громова Мария Ильинична"/>
    <x v="73"/>
  </r>
  <r>
    <s v="Петров Владимир Кириллович"/>
    <x v="74"/>
  </r>
  <r>
    <s v="Ткаченко Андрей Олегович"/>
    <x v="75"/>
  </r>
  <r>
    <s v="Белов Алексей Константинович"/>
    <x v="76"/>
  </r>
  <r>
    <s v="Громова Мария Ильинична"/>
    <x v="72"/>
  </r>
  <r>
    <s v="Громова Мария Ильинична"/>
    <x v="77"/>
  </r>
  <r>
    <s v="Орлов Павел Денисович"/>
    <x v="15"/>
  </r>
  <r>
    <s v="Громова Мария Ильинична"/>
    <x v="78"/>
  </r>
  <r>
    <s v="Сидорова Елена Васильевна"/>
    <x v="64"/>
  </r>
  <r>
    <s v="Фролов Сергей Викторович"/>
    <x v="11"/>
  </r>
  <r>
    <s v="Орлов Павел Денисович"/>
    <x v="79"/>
  </r>
  <r>
    <s v="Кузнецов Дмитрий Львович"/>
    <x v="80"/>
  </r>
  <r>
    <s v="Новикова Ольга Петровна"/>
    <x v="81"/>
  </r>
  <r>
    <s v="Сидорова Елена Васильевна"/>
    <x v="6"/>
  </r>
  <r>
    <s v="Иванова Анна Сергеевна"/>
    <x v="82"/>
  </r>
  <r>
    <s v="Белов Алексей Константинович"/>
    <x v="83"/>
  </r>
  <r>
    <s v="Фролов Сергей Викторович"/>
    <x v="48"/>
  </r>
  <r>
    <s v="Ткаченко Андрей Олегович"/>
    <x v="84"/>
  </r>
  <r>
    <s v="Громова Мария Ильинична"/>
    <x v="29"/>
  </r>
  <r>
    <s v="Белов Алексей Константинович"/>
    <x v="85"/>
  </r>
  <r>
    <s v="Иванова Анна Сергеевна"/>
    <x v="86"/>
  </r>
  <r>
    <s v="Фролов Сергей Викторович"/>
    <x v="77"/>
  </r>
  <r>
    <s v="Семенова Ирина Валерьевна"/>
    <x v="87"/>
  </r>
  <r>
    <s v="Петров Владимир Кириллович"/>
    <x v="88"/>
  </r>
  <r>
    <s v="Иванова Анна Сергеевна"/>
    <x v="89"/>
  </r>
  <r>
    <s v="Петров Владимир Кириллович"/>
    <x v="82"/>
  </r>
  <r>
    <s v="Иванова Анна Сергеевна"/>
    <x v="90"/>
  </r>
  <r>
    <s v="Новикова Ольга Петровна"/>
    <x v="3"/>
  </r>
  <r>
    <s v="Орлов Павел Денисович"/>
    <x v="91"/>
  </r>
  <r>
    <s v="Ткаченко Андрей Олегович"/>
    <x v="92"/>
  </r>
  <r>
    <s v="Петров Владимир Кириллович"/>
    <x v="91"/>
  </r>
  <r>
    <s v="Новикова Ольга Петровна"/>
    <x v="62"/>
  </r>
  <r>
    <s v="Новикова Ольга Петровна"/>
    <x v="56"/>
  </r>
  <r>
    <s v="Кузнецов Дмитрий Львович"/>
    <x v="93"/>
  </r>
  <r>
    <s v="Иванова Анна Сергеевна"/>
    <x v="94"/>
  </r>
  <r>
    <s v="Яковлев Артем Игоревич"/>
    <x v="95"/>
  </r>
  <r>
    <s v="Ткаченко Андрей Олегович"/>
    <x v="10"/>
  </r>
  <r>
    <s v="Орлов Павел Денисович"/>
    <x v="5"/>
  </r>
  <r>
    <s v="Белов Алексей Константинович"/>
    <x v="9"/>
  </r>
  <r>
    <s v="Сидорова Елена Васильевна"/>
    <x v="96"/>
  </r>
  <r>
    <s v="Иванова Анна Сергеевна"/>
    <x v="24"/>
  </r>
  <r>
    <s v="Орлов Павел Денисович"/>
    <x v="93"/>
  </r>
  <r>
    <s v="Яковлев Артем Игоревич"/>
    <x v="97"/>
  </r>
  <r>
    <s v="Яковлев Артем Игоревич"/>
    <x v="90"/>
  </r>
  <r>
    <s v="Орлов Павел Денисович"/>
    <x v="34"/>
  </r>
  <r>
    <s v="Сидорова Елена Васильевна"/>
    <x v="98"/>
  </r>
  <r>
    <s v="Орлов Павел Денисович"/>
    <x v="99"/>
  </r>
  <r>
    <s v="Иванова Анна Сергеевна"/>
    <x v="100"/>
  </r>
  <r>
    <s v="Петров Владимир Кириллович"/>
    <x v="101"/>
  </r>
  <r>
    <s v="Яковлев Артем Игоревич"/>
    <x v="47"/>
  </r>
  <r>
    <s v="Сидорова Елена Васильевна"/>
    <x v="102"/>
  </r>
  <r>
    <s v="Кузнецов Дмитрий Львович"/>
    <x v="16"/>
  </r>
  <r>
    <s v="Иванова Анна Сергеевна"/>
    <x v="65"/>
  </r>
  <r>
    <s v="Белов Алексей Константинович"/>
    <x v="93"/>
  </r>
  <r>
    <s v="Яковлев Артем Игоревич"/>
    <x v="103"/>
  </r>
  <r>
    <s v="Орлов Павел Денисович"/>
    <x v="57"/>
  </r>
  <r>
    <s v="Орлов Павел Денисович"/>
    <x v="104"/>
  </r>
  <r>
    <s v="Ткаченко Андрей Олегович"/>
    <x v="105"/>
  </r>
  <r>
    <s v="Сидорова Елена Васильевна"/>
    <x v="28"/>
  </r>
  <r>
    <s v="Сидорова Елена Васильевна"/>
    <x v="65"/>
  </r>
  <r>
    <s v="Фролов Сергей Викторович"/>
    <x v="40"/>
  </r>
  <r>
    <s v="Громова Мария Ильинична"/>
    <x v="106"/>
  </r>
  <r>
    <s v="Семенова Ирина Валерьевна"/>
    <x v="58"/>
  </r>
  <r>
    <s v="Громова Мария Ильинична"/>
    <x v="107"/>
  </r>
  <r>
    <s v="Новикова Ольга Петровна"/>
    <x v="15"/>
  </r>
  <r>
    <s v="Сидорова Елена Васильевна"/>
    <x v="53"/>
  </r>
  <r>
    <s v="Фролов Сергей Викторович"/>
    <x v="108"/>
  </r>
  <r>
    <s v="Семенова Ирина Валерьевна"/>
    <x v="96"/>
  </r>
  <r>
    <s v="Петров Владимир Кириллович"/>
    <x v="109"/>
  </r>
  <r>
    <s v="Иванова Анна Сергеевна"/>
    <x v="110"/>
  </r>
  <r>
    <s v="Иванова Анна Сергеевна"/>
    <x v="68"/>
  </r>
  <r>
    <s v="Новикова Ольга Петровна"/>
    <x v="111"/>
  </r>
  <r>
    <s v="Яковлев Артем Игоревич"/>
    <x v="28"/>
  </r>
  <r>
    <s v="Сидорова Елена Васильевна"/>
    <x v="93"/>
  </r>
  <r>
    <s v="Орлов Павел Денисович"/>
    <x v="81"/>
  </r>
  <r>
    <s v="Новикова Ольга Петровна"/>
    <x v="112"/>
  </r>
  <r>
    <s v="Белов Алексей Константинович"/>
    <x v="26"/>
  </r>
  <r>
    <s v="Иванова Анна Сергеевна"/>
    <x v="95"/>
  </r>
  <r>
    <s v="Семенова Ирина Валерьевна"/>
    <x v="62"/>
  </r>
  <r>
    <s v="Белов Алексей Константинович"/>
    <x v="23"/>
  </r>
  <r>
    <s v="Новикова Ольга Петровна"/>
    <x v="31"/>
  </r>
  <r>
    <s v="Кузнецов Дмитрий Львович"/>
    <x v="112"/>
  </r>
  <r>
    <s v="Иванова Анна Сергеевна"/>
    <x v="113"/>
  </r>
  <r>
    <s v="Громова Мария Ильинична"/>
    <x v="65"/>
  </r>
  <r>
    <s v="Сидорова Елена Васильевна"/>
    <x v="112"/>
  </r>
  <r>
    <s v="Орлов Павел Денисович"/>
    <x v="114"/>
  </r>
  <r>
    <s v="Яковлев Артем Игоревич"/>
    <x v="102"/>
  </r>
  <r>
    <s v="Семенова Ирина Валерьевна"/>
    <x v="115"/>
  </r>
  <r>
    <s v="Ткаченко Андрей Олегович"/>
    <x v="116"/>
  </r>
  <r>
    <s v="Орлов Павел Денисович"/>
    <x v="117"/>
  </r>
  <r>
    <s v="Сидорова Елена Васильевна"/>
    <x v="118"/>
  </r>
  <r>
    <s v="Кузнецов Дмитрий Львович"/>
    <x v="119"/>
  </r>
  <r>
    <s v="Новикова Ольга Петровна"/>
    <x v="70"/>
  </r>
  <r>
    <s v="Семенова Ирина Валерьевна"/>
    <x v="77"/>
  </r>
  <r>
    <s v="Яковлев Артем Игоревич"/>
    <x v="40"/>
  </r>
  <r>
    <s v="Яковлев Артем Игоревич"/>
    <x v="120"/>
  </r>
  <r>
    <s v="Семенова Ирина Валерьевна"/>
    <x v="121"/>
  </r>
  <r>
    <s v="Новикова Ольга Петровна"/>
    <x v="122"/>
  </r>
  <r>
    <s v="Новикова Ольга Петровна"/>
    <x v="123"/>
  </r>
  <r>
    <s v="Семенова Ирина Валерьевна"/>
    <x v="75"/>
  </r>
  <r>
    <s v="Яковлев Артем Игоревич"/>
    <x v="61"/>
  </r>
  <r>
    <s v="Новикова Ольга Петровна"/>
    <x v="22"/>
  </r>
  <r>
    <s v="Иванова Анна Сергеевна"/>
    <x v="0"/>
  </r>
  <r>
    <s v="Фролов Сергей Викторович"/>
    <x v="43"/>
  </r>
  <r>
    <s v="Яковлев Артем Игоревич"/>
    <x v="67"/>
  </r>
  <r>
    <s v="Ткаченко Андрей Олегович"/>
    <x v="36"/>
  </r>
  <r>
    <s v="Громова Мария Ильинична"/>
    <x v="124"/>
  </r>
  <r>
    <s v="Ткаченко Андрей Олегович"/>
    <x v="25"/>
  </r>
  <r>
    <s v="Яковлев Артем Игоревич"/>
    <x v="62"/>
  </r>
  <r>
    <s v="Белов Алексей Константинович"/>
    <x v="84"/>
  </r>
  <r>
    <s v="Сидорова Елена Васильевна"/>
    <x v="80"/>
  </r>
  <r>
    <s v="Иванова Анна Сергеевна"/>
    <x v="19"/>
  </r>
  <r>
    <s v="Громова Мария Ильинична"/>
    <x v="125"/>
  </r>
  <r>
    <s v="Новикова Ольга Петровна"/>
    <x v="126"/>
  </r>
  <r>
    <s v="Громова Мария Ильинична"/>
    <x v="127"/>
  </r>
  <r>
    <s v="Фролов Сергей Викторович"/>
    <x v="81"/>
  </r>
  <r>
    <s v="Белов Алексей Константинович"/>
    <x v="57"/>
  </r>
  <r>
    <s v="Иванова Анна Сергеевна"/>
    <x v="128"/>
  </r>
  <r>
    <s v="Громова Мария Ильинична"/>
    <x v="129"/>
  </r>
  <r>
    <s v="Громова Мария Ильинична"/>
    <x v="130"/>
  </r>
  <r>
    <s v="Кузнецов Дмитрий Львович"/>
    <x v="84"/>
  </r>
  <r>
    <s v="Петров Владимир Кириллович"/>
    <x v="86"/>
  </r>
  <r>
    <s v="Новикова Ольга Петровна"/>
    <x v="131"/>
  </r>
  <r>
    <s v="Кузнецов Дмитрий Львович"/>
    <x v="3"/>
  </r>
  <r>
    <s v="Орлов Павел Денисович"/>
    <x v="39"/>
  </r>
  <r>
    <s v="Петров Владимир Кириллович"/>
    <x v="66"/>
  </r>
  <r>
    <s v="Белов Алексей Константинович"/>
    <x v="37"/>
  </r>
  <r>
    <s v="Ткаченко Андрей Олегович"/>
    <x v="15"/>
  </r>
  <r>
    <s v="Белов Алексей Константинович"/>
    <x v="38"/>
  </r>
  <r>
    <s v="Громова Мария Ильинична"/>
    <x v="93"/>
  </r>
  <r>
    <s v="Ткаченко Андрей Олегович"/>
    <x v="132"/>
  </r>
  <r>
    <s v="Белов Алексей Константинович"/>
    <x v="133"/>
  </r>
  <r>
    <s v="Сидорова Елена Васильевна"/>
    <x v="79"/>
  </r>
  <r>
    <s v="Сидорова Елена Васильевна"/>
    <x v="16"/>
  </r>
  <r>
    <s v="Сидорова Елена Васильевна"/>
    <x v="134"/>
  </r>
  <r>
    <s v="Новикова Ольга Петровна"/>
    <x v="69"/>
  </r>
  <r>
    <s v="Белов Алексей Константинович"/>
    <x v="119"/>
  </r>
  <r>
    <s v="Фролов Сергей Викторович"/>
    <x v="135"/>
  </r>
  <r>
    <s v="Ткаченко Андрей Олегович"/>
    <x v="22"/>
  </r>
  <r>
    <s v="Белов Алексей Константинович"/>
    <x v="51"/>
  </r>
  <r>
    <s v="Белов Алексей Константинович"/>
    <x v="67"/>
  </r>
  <r>
    <s v="Фролов Сергей Викторович"/>
    <x v="136"/>
  </r>
  <r>
    <s v="Белов Алексей Константинович"/>
    <x v="30"/>
  </r>
  <r>
    <s v="Семенова Ирина Валерьевна"/>
    <x v="16"/>
  </r>
  <r>
    <s v="Сидорова Елена Васильевна"/>
    <x v="5"/>
  </r>
  <r>
    <s v="Яковлев Артем Игоревич"/>
    <x v="137"/>
  </r>
  <r>
    <s v="Кузнецов Дмитрий Львович"/>
    <x v="138"/>
  </r>
  <r>
    <s v="Ткаченко Андрей Олегович"/>
    <x v="85"/>
  </r>
  <r>
    <s v="Кузнецов Дмитрий Львович"/>
    <x v="139"/>
  </r>
  <r>
    <s v="Сидорова Елена Васильевна"/>
    <x v="129"/>
  </r>
  <r>
    <s v="Фролов Сергей Викторович"/>
    <x v="90"/>
  </r>
  <r>
    <s v="Петров Владимир Кириллович"/>
    <x v="46"/>
  </r>
  <r>
    <s v="Белов Алексей Константинович"/>
    <x v="98"/>
  </r>
  <r>
    <s v="Фролов Сергей Викторович"/>
    <x v="1"/>
  </r>
  <r>
    <s v="Петров Владимир Кириллович"/>
    <x v="140"/>
  </r>
  <r>
    <s v="Ткаченко Андрей Олегович"/>
    <x v="71"/>
  </r>
  <r>
    <s v="Орлов Павел Денисович"/>
    <x v="141"/>
  </r>
  <r>
    <s v="Фролов Сергей Викторович"/>
    <x v="142"/>
  </r>
  <r>
    <s v="Иванова Анна Сергеевна"/>
    <x v="143"/>
  </r>
  <r>
    <s v="Яковлев Артем Игоревич"/>
    <x v="7"/>
  </r>
  <r>
    <s v="Громова Мария Ильинична"/>
    <x v="3"/>
  </r>
  <r>
    <s v="Сидорова Елена Васильевна"/>
    <x v="24"/>
  </r>
  <r>
    <s v="Яковлев Артем Игоревич"/>
    <x v="15"/>
  </r>
  <r>
    <s v="Яковлев Артем Игоревич"/>
    <x v="144"/>
  </r>
  <r>
    <s v="Сидорова Елена Васильевна"/>
    <x v="145"/>
  </r>
  <r>
    <s v="Иванова Анна Сергеевна"/>
    <x v="146"/>
  </r>
  <r>
    <s v="Семенова Ирина Валерьевна"/>
    <x v="100"/>
  </r>
  <r>
    <s v="Яковлев Артем Игоревич"/>
    <x v="101"/>
  </r>
  <r>
    <s v="Семенова Ирина Валерьевна"/>
    <x v="147"/>
  </r>
  <r>
    <s v="Громова Мария Ильинична"/>
    <x v="82"/>
  </r>
  <r>
    <s v="Громова Мария Ильинична"/>
    <x v="40"/>
  </r>
  <r>
    <s v="Сидорова Елена Васильевна"/>
    <x v="139"/>
  </r>
  <r>
    <s v="Ткаченко Андрей Олегович"/>
    <x v="148"/>
  </r>
  <r>
    <s v="Ткаченко Андрей Олегович"/>
    <x v="89"/>
  </r>
  <r>
    <s v="Новикова Ольга Петровна"/>
    <x v="149"/>
  </r>
  <r>
    <s v="Кузнецов Дмитрий Львович"/>
    <x v="125"/>
  </r>
  <r>
    <s v="Иванова Анна Сергеевна"/>
    <x v="87"/>
  </r>
  <r>
    <s v="Кузнецов Дмитрий Львович"/>
    <x v="30"/>
  </r>
  <r>
    <s v="Иванова Анна Сергеевна"/>
    <x v="75"/>
  </r>
  <r>
    <s v="Кузнецов Дмитрий Львович"/>
    <x v="29"/>
  </r>
  <r>
    <s v="Белов Алексей Константинович"/>
    <x v="29"/>
  </r>
  <r>
    <s v="Семенова Ирина Валерьевна"/>
    <x v="20"/>
  </r>
  <r>
    <s v="Яковлев Артем Игоревич"/>
    <x v="0"/>
  </r>
  <r>
    <s v="Новикова Ольга Петровна"/>
    <x v="125"/>
  </r>
  <r>
    <s v="Сидорова Елена Васильевна"/>
    <x v="150"/>
  </r>
  <r>
    <s v="Ткаченко Андрей Олегович"/>
    <x v="37"/>
  </r>
  <r>
    <s v="Белов Алексей Константинович"/>
    <x v="35"/>
  </r>
  <r>
    <s v="Кузнецов Дмитрий Львович"/>
    <x v="13"/>
  </r>
  <r>
    <s v="Кузнецов Дмитрий Львович"/>
    <x v="64"/>
  </r>
  <r>
    <s v="Белов Алексей Константинович"/>
    <x v="137"/>
  </r>
  <r>
    <s v="Новикова Ольга Петровна"/>
    <x v="95"/>
  </r>
  <r>
    <s v="Семенова Ирина Валерьевна"/>
    <x v="95"/>
  </r>
  <r>
    <s v="Семенова Ирина Валерьевна"/>
    <x v="129"/>
  </r>
  <r>
    <s v="Громова Мария Ильинична"/>
    <x v="35"/>
  </r>
  <r>
    <s v="Орлов Павел Денисович"/>
    <x v="151"/>
  </r>
  <r>
    <s v="Белов Алексей Константинович"/>
    <x v="115"/>
  </r>
  <r>
    <s v="Белов Алексей Константинович"/>
    <x v="152"/>
  </r>
  <r>
    <s v="Иванова Анна Сергеевна"/>
    <x v="59"/>
  </r>
  <r>
    <s v="Сидорова Елена Васильевна"/>
    <x v="50"/>
  </r>
  <r>
    <s v="Орлов Павел Денисович"/>
    <x v="113"/>
  </r>
  <r>
    <s v="Белов Алексей Константинович"/>
    <x v="64"/>
  </r>
  <r>
    <s v="Новикова Ольга Петровна"/>
    <x v="47"/>
  </r>
  <r>
    <s v="Фролов Сергей Викторович"/>
    <x v="39"/>
  </r>
  <r>
    <s v="Яковлев Артем Игоревич"/>
    <x v="153"/>
  </r>
  <r>
    <s v="Яковлев Артем Игоревич"/>
    <x v="154"/>
  </r>
  <r>
    <s v="Иванова Анна Сергеевна"/>
    <x v="56"/>
  </r>
  <r>
    <s v="Петров Владимир Кириллович"/>
    <x v="155"/>
  </r>
  <r>
    <s v="Новикова Ольга Петровна"/>
    <x v="34"/>
  </r>
  <r>
    <s v="Семенова Ирина Валерьевна"/>
    <x v="85"/>
  </r>
  <r>
    <s v="Фролов Сергей Викторович"/>
    <x v="86"/>
  </r>
  <r>
    <s v="Белов Алексей Константинович"/>
    <x v="118"/>
  </r>
  <r>
    <s v="Новикова Ольга Петровна"/>
    <x v="65"/>
  </r>
  <r>
    <s v="Кузнецов Дмитрий Львович"/>
    <x v="36"/>
  </r>
  <r>
    <s v="Орлов Павел Денисович"/>
    <x v="25"/>
  </r>
  <r>
    <s v="Семенова Ирина Валерьевна"/>
    <x v="46"/>
  </r>
  <r>
    <s v="Яковлев Артем Игоревич"/>
    <x v="139"/>
  </r>
  <r>
    <s v="Семенова Ирина Валерьевна"/>
    <x v="90"/>
  </r>
  <r>
    <s v="Яковлев Артем Игоревич"/>
    <x v="156"/>
  </r>
  <r>
    <s v="Орлов Павел Денисович"/>
    <x v="127"/>
  </r>
  <r>
    <s v="Ткаченко Андрей Олегович"/>
    <x v="142"/>
  </r>
  <r>
    <s v="Белов Алексей Константинович"/>
    <x v="157"/>
  </r>
  <r>
    <s v="Петров Владимир Кириллович"/>
    <x v="113"/>
  </r>
  <r>
    <s v="Яковлев Артем Игоревич"/>
    <x v="142"/>
  </r>
  <r>
    <s v="Кузнецов Дмитрий Львович"/>
    <x v="38"/>
  </r>
  <r>
    <s v="Орлов Павел Денисович"/>
    <x v="108"/>
  </r>
  <r>
    <s v="Громова Мария Ильинична"/>
    <x v="13"/>
  </r>
  <r>
    <s v="Ткаченко Андрей Олегович"/>
    <x v="7"/>
  </r>
  <r>
    <s v="Орлов Павел Денисович"/>
    <x v="30"/>
  </r>
  <r>
    <s v="Громова Мария Ильинична"/>
    <x v="41"/>
  </r>
  <r>
    <s v="Орлов Павел Денисович"/>
    <x v="16"/>
  </r>
  <r>
    <s v="Сидорова Елена Васильевна"/>
    <x v="39"/>
  </r>
  <r>
    <s v="Сидорова Елена Васильевна"/>
    <x v="127"/>
  </r>
  <r>
    <s v="Новикова Ольга Петровна"/>
    <x v="27"/>
  </r>
  <r>
    <s v="Белов Алексей Константинович"/>
    <x v="36"/>
  </r>
  <r>
    <s v="Новикова Ольга Петровна"/>
    <x v="158"/>
  </r>
  <r>
    <s v="Новикова Ольга Петровна"/>
    <x v="159"/>
  </r>
  <r>
    <s v="Яковлев Артем Игоревич"/>
    <x v="100"/>
  </r>
  <r>
    <s v="Петров Владимир Кириллович"/>
    <x v="114"/>
  </r>
  <r>
    <s v="Орлов Павел Денисович"/>
    <x v="160"/>
  </r>
  <r>
    <s v="Сидорова Елена Васильевна"/>
    <x v="161"/>
  </r>
  <r>
    <s v="Ткаченко Андрей Олегович"/>
    <x v="59"/>
  </r>
  <r>
    <s v="Яковлев Артем Игоревич"/>
    <x v="162"/>
  </r>
  <r>
    <s v="Фролов Сергей Викторович"/>
    <x v="123"/>
  </r>
  <r>
    <s v="Орлов Павел Денисович"/>
    <x v="147"/>
  </r>
  <r>
    <s v="Петров Владимир Кириллович"/>
    <x v="163"/>
  </r>
  <r>
    <s v="Яковлев Артем Игоревич"/>
    <x v="145"/>
  </r>
  <r>
    <s v="Кузнецов Дмитрий Львович"/>
    <x v="26"/>
  </r>
  <r>
    <s v="Орлов Павел Денисович"/>
    <x v="19"/>
  </r>
  <r>
    <s v="Громова Мария Ильинична"/>
    <x v="28"/>
  </r>
  <r>
    <s v="Орлов Павел Денисович"/>
    <x v="123"/>
  </r>
  <r>
    <s v="Иванова Анна Сергеевна"/>
    <x v="88"/>
  </r>
  <r>
    <s v="Белов Алексей Константинович"/>
    <x v="12"/>
  </r>
  <r>
    <s v="Белов Алексей Константинович"/>
    <x v="139"/>
  </r>
  <r>
    <s v="Петров Владимир Кириллович"/>
    <x v="11"/>
  </r>
  <r>
    <s v="Семенова Ирина Валерьевна"/>
    <x v="107"/>
  </r>
  <r>
    <s v="Иванова Анна Сергеевна"/>
    <x v="96"/>
  </r>
  <r>
    <s v="Фролов Сергей Викторович"/>
    <x v="138"/>
  </r>
  <r>
    <s v="Иванова Анна Сергеевна"/>
    <x v="103"/>
  </r>
  <r>
    <s v="Новикова Ольга Петровна"/>
    <x v="25"/>
  </r>
  <r>
    <s v="Яковлев Артем Игоревич"/>
    <x v="122"/>
  </r>
  <r>
    <s v="Иванова Анна Сергеевна"/>
    <x v="121"/>
  </r>
  <r>
    <s v="Семенова Ирина Валерьевна"/>
    <x v="150"/>
  </r>
  <r>
    <s v="Петров Владимир Кириллович"/>
    <x v="44"/>
  </r>
  <r>
    <s v="Семенова Ирина Валерьевна"/>
    <x v="113"/>
  </r>
  <r>
    <s v="Семенова Ирина Валерьевна"/>
    <x v="83"/>
  </r>
  <r>
    <s v="Фролов Сергей Викторович"/>
    <x v="132"/>
  </r>
  <r>
    <s v="Орлов Павел Денисович"/>
    <x v="78"/>
  </r>
  <r>
    <s v="Новикова Ольга Петровна"/>
    <x v="164"/>
  </r>
  <r>
    <s v="Семенова Ирина Валерьевна"/>
    <x v="39"/>
  </r>
  <r>
    <s v="Новикова Ольга Петровна"/>
    <x v="127"/>
  </r>
  <r>
    <s v="Белов Алексей Константинович"/>
    <x v="138"/>
  </r>
  <r>
    <s v="Семенова Ирина Валерьевна"/>
    <x v="45"/>
  </r>
  <r>
    <s v="Семенова Ирина Валерьевна"/>
    <x v="92"/>
  </r>
  <r>
    <s v="Громова Мария Ильинична"/>
    <x v="133"/>
  </r>
  <r>
    <s v="Кузнецов Дмитрий Львович"/>
    <x v="82"/>
  </r>
  <r>
    <s v="Кузнецов Дмитрий Львович"/>
    <x v="44"/>
  </r>
  <r>
    <s v="Сидорова Елена Васильевна"/>
    <x v="38"/>
  </r>
  <r>
    <s v="Иванова Анна Сергеевна"/>
    <x v="93"/>
  </r>
  <r>
    <s v="Яковлев Артем Игоревич"/>
    <x v="32"/>
  </r>
  <r>
    <s v="Белов Алексей Константинович"/>
    <x v="131"/>
  </r>
  <r>
    <s v="Сидорова Елена Васильевна"/>
    <x v="25"/>
  </r>
  <r>
    <s v="Громова Мария Ильинична"/>
    <x v="144"/>
  </r>
  <r>
    <s v="Яковлев Артем Игоревич"/>
    <x v="141"/>
  </r>
  <r>
    <s v="Петров Владимир Кириллович"/>
    <x v="159"/>
  </r>
  <r>
    <s v="Семенова Ирина Валерьевна"/>
    <x v="68"/>
  </r>
  <r>
    <s v="Белов Алексей Константинович"/>
    <x v="165"/>
  </r>
  <r>
    <s v="Петров Владимир Кириллович"/>
    <x v="166"/>
  </r>
  <r>
    <s v="Сидорова Елена Васильевна"/>
    <x v="7"/>
  </r>
  <r>
    <s v="Орлов Павел Денисович"/>
    <x v="136"/>
  </r>
  <r>
    <s v="Сидорова Елена Васильевна"/>
    <x v="95"/>
  </r>
  <r>
    <s v="Орлов Павел Денисович"/>
    <x v="58"/>
  </r>
  <r>
    <s v="Семенова Ирина Валерьевна"/>
    <x v="94"/>
  </r>
  <r>
    <s v="Ткаченко Андрей Олегович"/>
    <x v="86"/>
  </r>
  <r>
    <s v="Сидорова Елена Васильевна"/>
    <x v="78"/>
  </r>
  <r>
    <s v="Кузнецов Дмитрий Львович"/>
    <x v="154"/>
  </r>
  <r>
    <s v="Семенова Ирина Валерьевна"/>
    <x v="139"/>
  </r>
  <r>
    <s v="Новикова Ольга Петровна"/>
    <x v="167"/>
  </r>
  <r>
    <s v="Фролов Сергей Викторович"/>
    <x v="79"/>
  </r>
  <r>
    <s v="Орлов Павел Денисович"/>
    <x v="145"/>
  </r>
  <r>
    <s v="Семенова Ирина Валерьевна"/>
    <x v="168"/>
  </r>
  <r>
    <s v="Яковлев Артем Игоревич"/>
    <x v="89"/>
  </r>
  <r>
    <s v="Петров Владимир Кириллович"/>
    <x v="169"/>
  </r>
  <r>
    <s v="Сидорова Елена Васильевна"/>
    <x v="144"/>
  </r>
  <r>
    <s v="Семенова Ирина Валерьевна"/>
    <x v="98"/>
  </r>
  <r>
    <s v="Яковлев Артем Игоревич"/>
    <x v="166"/>
  </r>
  <r>
    <s v="Семенова Ирина Валерьевна"/>
    <x v="170"/>
  </r>
  <r>
    <s v="Петров Владимир Кириллович"/>
    <x v="171"/>
  </r>
  <r>
    <s v="Фролов Сергей Викторович"/>
    <x v="172"/>
  </r>
  <r>
    <s v="Яковлев Артем Игоревич"/>
    <x v="124"/>
  </r>
  <r>
    <s v="Фролов Сергей Викторович"/>
    <x v="150"/>
  </r>
  <r>
    <s v="Кузнецов Дмитрий Львович"/>
    <x v="126"/>
  </r>
  <r>
    <s v="Семенова Ирина Валерьевна"/>
    <x v="154"/>
  </r>
  <r>
    <s v="Новикова Ольга Петровна"/>
    <x v="84"/>
  </r>
  <r>
    <s v="Орлов Павел Денисович"/>
    <x v="95"/>
  </r>
  <r>
    <s v="Сидорова Елена Васильевна"/>
    <x v="32"/>
  </r>
  <r>
    <s v="Новикова Ольга Петровна"/>
    <x v="104"/>
  </r>
  <r>
    <s v="Белов Алексей Константинович"/>
    <x v="61"/>
  </r>
  <r>
    <s v="Иванова Анна Сергеевна"/>
    <x v="122"/>
  </r>
  <r>
    <s v="Громова Мария Ильинична"/>
    <x v="100"/>
  </r>
  <r>
    <s v="Семенова Ирина Валерьевна"/>
    <x v="26"/>
  </r>
  <r>
    <s v="Яковлев Артем Игоревич"/>
    <x v="173"/>
  </r>
  <r>
    <s v="Яковлев Артем Игоревич"/>
    <x v="43"/>
  </r>
  <r>
    <s v="Новикова Ольга Петровна"/>
    <x v="101"/>
  </r>
  <r>
    <s v="Орлов Павел Денисович"/>
    <x v="132"/>
  </r>
  <r>
    <s v="Сидорова Елена Васильевна"/>
    <x v="44"/>
  </r>
  <r>
    <s v="Громова Мария Ильинична"/>
    <x v="174"/>
  </r>
  <r>
    <s v="Орлов Павел Денисович"/>
    <x v="27"/>
  </r>
  <r>
    <s v="Белов Алексей Константинович"/>
    <x v="94"/>
  </r>
  <r>
    <s v="Петров Владимир Кириллович"/>
    <x v="175"/>
  </r>
  <r>
    <s v="Сидорова Елена Васильевна"/>
    <x v="21"/>
  </r>
  <r>
    <s v="Сидорова Елена Васильевна"/>
    <x v="49"/>
  </r>
  <r>
    <s v="Иванова Анна Сергеевна"/>
    <x v="34"/>
  </r>
  <r>
    <s v="Орлов Павел Денисович"/>
    <x v="94"/>
  </r>
  <r>
    <s v="Громова Мария Ильинична"/>
    <x v="2"/>
  </r>
  <r>
    <s v="Новикова Ольга Петровна"/>
    <x v="99"/>
  </r>
  <r>
    <s v="Кузнецов Дмитрий Львович"/>
    <x v="37"/>
  </r>
  <r>
    <s v="Новикова Ольга Петровна"/>
    <x v="49"/>
  </r>
  <r>
    <s v="Яковлев Артем Игоревич"/>
    <x v="34"/>
  </r>
  <r>
    <s v="Иванова Анна Сергеевна"/>
    <x v="176"/>
  </r>
  <r>
    <s v="Иванова Анна Сергеевна"/>
    <x v="16"/>
  </r>
  <r>
    <s v="Кузнецов Дмитрий Львович"/>
    <x v="167"/>
  </r>
  <r>
    <s v="Новикова Ольга Петровна"/>
    <x v="29"/>
  </r>
  <r>
    <s v="Новикова Ольга Петровна"/>
    <x v="148"/>
  </r>
  <r>
    <s v="Сидорова Елена Васильевна"/>
    <x v="52"/>
  </r>
  <r>
    <s v="Ткаченко Андрей Олегович"/>
    <x v="31"/>
  </r>
  <r>
    <s v="Громова Мария Ильинична"/>
    <x v="20"/>
  </r>
  <r>
    <s v="Белов Алексей Константинович"/>
    <x v="162"/>
  </r>
  <r>
    <s v="Громова Мария Ильинична"/>
    <x v="95"/>
  </r>
  <r>
    <s v="Белов Алексей Константинович"/>
    <x v="16"/>
  </r>
  <r>
    <s v="Орлов Павел Денисович"/>
    <x v="154"/>
  </r>
  <r>
    <s v="Ткаченко Андрей Олегович"/>
    <x v="123"/>
  </r>
  <r>
    <s v="Орлов Павел Денисович"/>
    <x v="59"/>
  </r>
  <r>
    <s v="Кузнецов Дмитрий Львович"/>
    <x v="14"/>
  </r>
  <r>
    <s v="Сидорова Елена Васильевна"/>
    <x v="69"/>
  </r>
  <r>
    <s v="Яковлев Артем Игоревич"/>
    <x v="158"/>
  </r>
  <r>
    <s v="Ткаченко Андрей Олегович"/>
    <x v="4"/>
  </r>
  <r>
    <s v="Громова Мария Ильинична"/>
    <x v="139"/>
  </r>
  <r>
    <s v="Громова Мария Ильинична"/>
    <x v="83"/>
  </r>
  <r>
    <s v="Новикова Ольга Петровна"/>
    <x v="21"/>
  </r>
  <r>
    <s v="Иванова Анна Сергеевна"/>
    <x v="145"/>
  </r>
  <r>
    <s v="Семенова Ирина Валерьевна"/>
    <x v="153"/>
  </r>
  <r>
    <s v="Орлов Павел Денисович"/>
    <x v="14"/>
  </r>
  <r>
    <s v="Иванова Анна Сергеевна"/>
    <x v="52"/>
  </r>
  <r>
    <s v="Яковлев Артем Игоревич"/>
    <x v="1"/>
  </r>
  <r>
    <s v="Белов Алексей Константинович"/>
    <x v="74"/>
  </r>
  <r>
    <s v="Яковлев Артем Игоревич"/>
    <x v="161"/>
  </r>
  <r>
    <s v="Громова Мария Ильинична"/>
    <x v="148"/>
  </r>
  <r>
    <s v="Петров Владимир Кириллович"/>
    <x v="56"/>
  </r>
  <r>
    <s v="Громова Мария Ильинична"/>
    <x v="126"/>
  </r>
  <r>
    <s v="Петров Владимир Кириллович"/>
    <x v="105"/>
  </r>
  <r>
    <s v="Петров Владимир Кириллович"/>
    <x v="177"/>
  </r>
  <r>
    <s v="Кузнецов Дмитрий Львович"/>
    <x v="22"/>
  </r>
  <r>
    <s v="Новикова Ольга Петровна"/>
    <x v="58"/>
  </r>
  <r>
    <s v="Петров Владимир Кириллович"/>
    <x v="63"/>
  </r>
  <r>
    <s v="Белов Алексей Константинович"/>
    <x v="163"/>
  </r>
  <r>
    <s v="Громова Мария Ильинична"/>
    <x v="146"/>
  </r>
  <r>
    <s v="Фролов Сергей Викторович"/>
    <x v="100"/>
  </r>
  <r>
    <s v="Громова Мария Ильинична"/>
    <x v="178"/>
  </r>
  <r>
    <s v="Белов Алексей Константинович"/>
    <x v="179"/>
  </r>
  <r>
    <s v="Петров Владимир Кириллович"/>
    <x v="154"/>
  </r>
  <r>
    <s v="Громова Мария Ильинична"/>
    <x v="155"/>
  </r>
  <r>
    <s v="Белов Алексей Константинович"/>
    <x v="145"/>
  </r>
  <r>
    <s v="Сидорова Елена Васильевна"/>
    <x v="114"/>
  </r>
  <r>
    <s v="Громова Мария Ильинична"/>
    <x v="180"/>
  </r>
  <r>
    <s v="Кузнецов Дмитрий Львович"/>
    <x v="146"/>
  </r>
  <r>
    <s v="Фролов Сергей Викторович"/>
    <x v="115"/>
  </r>
  <r>
    <s v="Петров Владимир Кириллович"/>
    <x v="31"/>
  </r>
  <r>
    <s v="Сидорова Елена Васильевна"/>
    <x v="100"/>
  </r>
  <r>
    <s v="Петров Владимир Кириллович"/>
    <x v="15"/>
  </r>
  <r>
    <s v="Новикова Ольга Петровна"/>
    <x v="181"/>
  </r>
  <r>
    <s v="Сидорова Елена Васильевна"/>
    <x v="152"/>
  </r>
  <r>
    <s v="Семенова Ирина Валерьевна"/>
    <x v="143"/>
  </r>
  <r>
    <s v="Кузнецов Дмитрий Львович"/>
    <x v="18"/>
  </r>
  <r>
    <s v="Орлов Павел Денисович"/>
    <x v="75"/>
  </r>
  <r>
    <s v="Иванова Анна Сергеевна"/>
    <x v="45"/>
  </r>
  <r>
    <s v="Ткаченко Андрей Олегович"/>
    <x v="14"/>
  </r>
  <r>
    <s v="Яковлев Артем Игоревич"/>
    <x v="57"/>
  </r>
  <r>
    <s v="Громова Мария Ильинична"/>
    <x v="145"/>
  </r>
  <r>
    <s v="Орлов Павел Денисович"/>
    <x v="82"/>
  </r>
  <r>
    <s v="Кузнецов Дмитрий Львович"/>
    <x v="21"/>
  </r>
  <r>
    <s v="Орлов Павел Денисович"/>
    <x v="10"/>
  </r>
  <r>
    <s v="Белов Алексей Константинович"/>
    <x v="122"/>
  </r>
  <r>
    <s v="Петров Владимир Кириллович"/>
    <x v="23"/>
  </r>
  <r>
    <s v="Фролов Сергей Викторович"/>
    <x v="182"/>
  </r>
  <r>
    <s v="Семенова Ирина Валерьевна"/>
    <x v="169"/>
  </r>
  <r>
    <s v="Ткаченко Андрей Олегович"/>
    <x v="183"/>
  </r>
  <r>
    <s v="Яковлев Артем Игоревич"/>
    <x v="71"/>
  </r>
  <r>
    <s v="Орлов Павел Денисович"/>
    <x v="110"/>
  </r>
  <r>
    <s v="Кузнецов Дмитрий Львович"/>
    <x v="40"/>
  </r>
  <r>
    <s v="Громова Мария Ильинична"/>
    <x v="12"/>
  </r>
  <r>
    <s v="Сидорова Елена Васильевна"/>
    <x v="153"/>
  </r>
  <r>
    <s v="Сидорова Елена Васильевна"/>
    <x v="46"/>
  </r>
  <r>
    <s v="Яковлев Артем Игоревич"/>
    <x v="121"/>
  </r>
  <r>
    <s v="Орлов Павел Денисович"/>
    <x v="38"/>
  </r>
  <r>
    <s v="Фролов Сергей Викторович"/>
    <x v="105"/>
  </r>
  <r>
    <s v="Петров Владимир Кириллович"/>
    <x v="130"/>
  </r>
  <r>
    <s v="Новикова Ольга Петровна"/>
    <x v="72"/>
  </r>
  <r>
    <s v="Яковлев Артем Игоревич"/>
    <x v="64"/>
  </r>
  <r>
    <s v="Новикова Ольга Петровна"/>
    <x v="154"/>
  </r>
  <r>
    <s v="Иванова Анна Сергеевна"/>
    <x v="180"/>
  </r>
  <r>
    <s v="Сидорова Елена Васильевна"/>
    <x v="179"/>
  </r>
  <r>
    <s v="Петров Владимир Кириллович"/>
    <x v="134"/>
  </r>
  <r>
    <s v="Иванова Анна Сергеевна"/>
    <x v="150"/>
  </r>
  <r>
    <s v="Сидорова Елена Васильевна"/>
    <x v="60"/>
  </r>
  <r>
    <s v="Фролов Сергей Викторович"/>
    <x v="78"/>
  </r>
  <r>
    <s v="Семенова Ирина Валерьевна"/>
    <x v="183"/>
  </r>
  <r>
    <s v="Фролов Сергей Викторович"/>
    <x v="56"/>
  </r>
  <r>
    <s v="Сидорова Елена Васильевна"/>
    <x v="9"/>
  </r>
  <r>
    <s v="Белов Алексей Константинович"/>
    <x v="22"/>
  </r>
  <r>
    <s v="Кузнецов Дмитрий Львович"/>
    <x v="106"/>
  </r>
  <r>
    <s v="Иванова Анна Сергеевна"/>
    <x v="91"/>
  </r>
  <r>
    <s v="Громова Мария Ильинична"/>
    <x v="9"/>
  </r>
  <r>
    <s v="Иванова Анна Сергеевна"/>
    <x v="155"/>
  </r>
  <r>
    <s v="Кузнецов Дмитрий Львович"/>
    <x v="136"/>
  </r>
  <r>
    <s v="Орлов Павел Денисович"/>
    <x v="92"/>
  </r>
  <r>
    <s v="Яковлев Артем Игоревич"/>
    <x v="42"/>
  </r>
  <r>
    <s v="Кузнецов Дмитрий Львович"/>
    <x v="179"/>
  </r>
  <r>
    <s v="Новикова Ольга Петровна"/>
    <x v="10"/>
  </r>
  <r>
    <s v="Ткаченко Андрей Олегович"/>
    <x v="49"/>
  </r>
  <r>
    <s v="Ткаченко Андрей Олегович"/>
    <x v="150"/>
  </r>
  <r>
    <s v="Белов Алексей Константинович"/>
    <x v="70"/>
  </r>
  <r>
    <s v="Сидорова Елена Васильевна"/>
    <x v="135"/>
  </r>
  <r>
    <s v="Орлов Павел Денисович"/>
    <x v="173"/>
  </r>
  <r>
    <s v="Громова Мария Ильинична"/>
    <x v="36"/>
  </r>
  <r>
    <s v="Фролов Сергей Викторович"/>
    <x v="50"/>
  </r>
  <r>
    <s v="Яковлев Артем Игоревич"/>
    <x v="12"/>
  </r>
  <r>
    <s v="Орлов Павел Денисович"/>
    <x v="55"/>
  </r>
  <r>
    <s v="Кузнецов Дмитрий Львович"/>
    <x v="174"/>
  </r>
  <r>
    <s v="Семенова Ирина Валерьевна"/>
    <x v="73"/>
  </r>
  <r>
    <s v="Фролов Сергей Викторович"/>
    <x v="96"/>
  </r>
  <r>
    <s v="Орлов Павел Денисович"/>
    <x v="184"/>
  </r>
  <r>
    <s v="Яковлев Артем Игоревич"/>
    <x v="50"/>
  </r>
  <r>
    <s v="Петров Владимир Кириллович"/>
    <x v="117"/>
  </r>
  <r>
    <s v="Иванова Анна Сергеевна"/>
    <x v="35"/>
  </r>
  <r>
    <s v="Сидорова Елена Васильевна"/>
    <x v="124"/>
  </r>
  <r>
    <s v="Семенова Ирина Валерьевна"/>
    <x v="164"/>
  </r>
  <r>
    <s v="Семенова Ирина Валерьевна"/>
    <x v="91"/>
  </r>
  <r>
    <s v="Ткаченко Андрей Олегович"/>
    <x v="138"/>
  </r>
  <r>
    <s v="Сидорова Елена Васильевна"/>
    <x v="42"/>
  </r>
  <r>
    <s v="Фролов Сергей Викторович"/>
    <x v="83"/>
  </r>
  <r>
    <s v="Орлов Павел Денисович"/>
    <x v="182"/>
  </r>
  <r>
    <s v="Фролов Сергей Викторович"/>
    <x v="162"/>
  </r>
  <r>
    <s v="Иванова Анна Сергеевна"/>
    <x v="2"/>
  </r>
  <r>
    <s v="Ткаченко Андрей Олегович"/>
    <x v="110"/>
  </r>
  <r>
    <s v="Семенова Ирина Валерьевна"/>
    <x v="8"/>
  </r>
  <r>
    <s v="Кузнецов Дмитрий Львович"/>
    <x v="170"/>
  </r>
  <r>
    <s v="Кузнецов Дмитрий Львович"/>
    <x v="141"/>
  </r>
  <r>
    <s v="Новикова Ольга Петровна"/>
    <x v="160"/>
  </r>
  <r>
    <s v="Иванова Анна Сергеевна"/>
    <x v="47"/>
  </r>
  <r>
    <s v="Новикова Ольга Петровна"/>
    <x v="153"/>
  </r>
  <r>
    <s v="Фролов Сергей Викторович"/>
    <x v="4"/>
  </r>
  <r>
    <s v="Белов Алексей Константинович"/>
    <x v="19"/>
  </r>
  <r>
    <s v="Яковлев Артем Игоревич"/>
    <x v="17"/>
  </r>
  <r>
    <s v="Семенова Ирина Валерьевна"/>
    <x v="165"/>
  </r>
  <r>
    <s v="Семенова Ирина Валерьевна"/>
    <x v="74"/>
  </r>
  <r>
    <s v="Яковлев Артем Игоревич"/>
    <x v="185"/>
  </r>
  <r>
    <s v="Сидорова Елена Васильевна"/>
    <x v="175"/>
  </r>
  <r>
    <s v="Иванова Анна Сергеевна"/>
    <x v="81"/>
  </r>
  <r>
    <s v="Фролов Сергей Викторович"/>
    <x v="122"/>
  </r>
  <r>
    <s v="Иванова Анна Сергеевна"/>
    <x v="36"/>
  </r>
  <r>
    <s v="Семенова Ирина Валерьевна"/>
    <x v="172"/>
  </r>
  <r>
    <s v="Сидорова Елена Васильевна"/>
    <x v="89"/>
  </r>
  <r>
    <s v="Новикова Ольга Петровна"/>
    <x v="180"/>
  </r>
  <r>
    <s v="Кузнецов Дмитрий Львович"/>
    <x v="33"/>
  </r>
  <r>
    <s v="Кузнецов Дмитрий Львович"/>
    <x v="91"/>
  </r>
  <r>
    <s v="Громова Мария Ильинична"/>
    <x v="67"/>
  </r>
  <r>
    <s v="Семенова Ирина Валерьевна"/>
    <x v="41"/>
  </r>
  <r>
    <s v="Петров Владимир Кириллович"/>
    <x v="25"/>
  </r>
  <r>
    <s v="Белов Алексей Константинович"/>
    <x v="176"/>
  </r>
  <r>
    <s v="Яковлев Артем Игоревич"/>
    <x v="186"/>
  </r>
  <r>
    <s v="Сидорова Елена Васильевна"/>
    <x v="87"/>
  </r>
  <r>
    <s v="Яковлев Артем Игоревич"/>
    <x v="131"/>
  </r>
  <r>
    <s v="Яковлев Артем Игоревич"/>
    <x v="182"/>
  </r>
  <r>
    <s v="Орлов Павел Денисович"/>
    <x v="174"/>
  </r>
  <r>
    <s v="Кузнецов Дмитрий Львович"/>
    <x v="105"/>
  </r>
  <r>
    <s v="Семенова Ирина Валерьевна"/>
    <x v="187"/>
  </r>
  <r>
    <s v="Яковлев Артем Игоревич"/>
    <x v="188"/>
  </r>
  <r>
    <s v="Новикова Ольга Петровна"/>
    <x v="94"/>
  </r>
  <r>
    <s v="Иванова Анна Сергеевна"/>
    <x v="1"/>
  </r>
  <r>
    <s v="Новикова Ольга Петровна"/>
    <x v="11"/>
  </r>
  <r>
    <s v="Новикова Ольга Петровна"/>
    <x v="133"/>
  </r>
  <r>
    <s v="Иванова Анна Сергеевна"/>
    <x v="39"/>
  </r>
  <r>
    <s v="Фролов Сергей Викторович"/>
    <x v="189"/>
  </r>
  <r>
    <s v="Семенова Ирина Валерьевна"/>
    <x v="40"/>
  </r>
  <r>
    <s v="Громова Мария Ильинична"/>
    <x v="162"/>
  </r>
  <r>
    <s v="Семенова Ирина Валерьевна"/>
    <x v="82"/>
  </r>
  <r>
    <s v="Яковлев Артем Игоревич"/>
    <x v="163"/>
  </r>
  <r>
    <s v="Петров Владимир Кириллович"/>
    <x v="71"/>
  </r>
  <r>
    <s v="Новикова Ольга Петровна"/>
    <x v="64"/>
  </r>
  <r>
    <s v="Петров Владимир Кириллович"/>
    <x v="62"/>
  </r>
  <r>
    <s v="Кузнецов Дмитрий Львович"/>
    <x v="182"/>
  </r>
  <r>
    <s v="Кузнецов Дмитрий Львович"/>
    <x v="171"/>
  </r>
  <r>
    <s v="Петров Владимир Кириллович"/>
    <x v="77"/>
  </r>
  <r>
    <s v="Иванова Анна Сергеевна"/>
    <x v="162"/>
  </r>
  <r>
    <s v="Фролов Сергей Викторович"/>
    <x v="61"/>
  </r>
  <r>
    <s v="Яковлев Артем Игоревич"/>
    <x v="111"/>
  </r>
  <r>
    <s v="Яковлев Артем Игоревич"/>
    <x v="51"/>
  </r>
  <r>
    <s v="Иванова Анна Сергеевна"/>
    <x v="104"/>
  </r>
  <r>
    <s v="Яковлев Артем Игоревич"/>
    <x v="155"/>
  </r>
  <r>
    <s v="Кузнецов Дмитрий Львович"/>
    <x v="31"/>
  </r>
  <r>
    <s v="Новикова Ольга Петровна"/>
    <x v="140"/>
  </r>
  <r>
    <s v="Иванова Анна Сергеевна"/>
    <x v="102"/>
  </r>
  <r>
    <s v="Кузнецов Дмитрий Львович"/>
    <x v="113"/>
  </r>
  <r>
    <s v="Ткаченко Андрей Олегович"/>
    <x v="143"/>
  </r>
  <r>
    <s v="Иванова Анна Сергеевна"/>
    <x v="135"/>
  </r>
  <r>
    <s v="Ткаченко Андрей Олегович"/>
    <x v="47"/>
  </r>
  <r>
    <s v="Иванова Анна Сергеевна"/>
    <x v="144"/>
  </r>
  <r>
    <s v="Петров Владимир Кириллович"/>
    <x v="190"/>
  </r>
  <r>
    <s v="Ткаченко Андрей Олегович"/>
    <x v="136"/>
  </r>
  <r>
    <s v="Орлов Павел Денисович"/>
    <x v="56"/>
  </r>
  <r>
    <s v="Иванова Анна Сергеевна"/>
    <x v="30"/>
  </r>
  <r>
    <s v="Сидорова Елена Васильевна"/>
    <x v="20"/>
  </r>
  <r>
    <s v="Ткаченко Андрей Олегович"/>
    <x v="83"/>
  </r>
  <r>
    <s v="Новикова Ольга Петровна"/>
    <x v="134"/>
  </r>
  <r>
    <s v="Белов Алексей Константинович"/>
    <x v="91"/>
  </r>
  <r>
    <s v="Яковлев Артем Игоревич"/>
    <x v="125"/>
  </r>
  <r>
    <s v="Петров Владимир Кириллович"/>
    <x v="191"/>
  </r>
  <r>
    <s v="Петров Владимир Кириллович"/>
    <x v="104"/>
  </r>
  <r>
    <s v="Сидорова Елена Васильевна"/>
    <x v="29"/>
  </r>
  <r>
    <s v="Орлов Павел Денисович"/>
    <x v="69"/>
  </r>
  <r>
    <s v="Громова Мария Ильинична"/>
    <x v="184"/>
  </r>
  <r>
    <s v="Яковлев Артем Игоревич"/>
    <x v="53"/>
  </r>
  <r>
    <s v="Кузнецов Дмитрий Львович"/>
    <x v="56"/>
  </r>
  <r>
    <s v="Орлов Павел Денисович"/>
    <x v="166"/>
  </r>
  <r>
    <s v="Сидорова Елена Васильевна"/>
    <x v="47"/>
  </r>
  <r>
    <s v="Кузнецов Дмитрий Львович"/>
    <x v="7"/>
  </r>
  <r>
    <s v="Семенова Ирина Валерьевна"/>
    <x v="190"/>
  </r>
  <r>
    <s v="Орлов Павел Денисович"/>
    <x v="61"/>
  </r>
  <r>
    <s v="Иванова Анна Сергеевна"/>
    <x v="74"/>
  </r>
  <r>
    <s v="Петров Владимир Кириллович"/>
    <x v="125"/>
  </r>
  <r>
    <s v="Орлов Павел Денисович"/>
    <x v="162"/>
  </r>
  <r>
    <s v="Семенова Ирина Валерьевна"/>
    <x v="122"/>
  </r>
  <r>
    <s v="Кузнецов Дмитрий Львович"/>
    <x v="75"/>
  </r>
  <r>
    <s v="Фролов Сергей Викторович"/>
    <x v="98"/>
  </r>
  <r>
    <s v="Яковлев Артем Игоревич"/>
    <x v="33"/>
  </r>
  <r>
    <s v="Кузнецов Дмитрий Львович"/>
    <x v="96"/>
  </r>
  <r>
    <s v="Сидорова Елена Васильевна"/>
    <x v="121"/>
  </r>
  <r>
    <s v="Кузнецов Дмитрий Львович"/>
    <x v="153"/>
  </r>
  <r>
    <s v="Семенова Ирина Валерьевна"/>
    <x v="101"/>
  </r>
  <r>
    <s v="Петров Владимир Кириллович"/>
    <x v="138"/>
  </r>
  <r>
    <s v="Сидорова Елена Васильевна"/>
    <x v="172"/>
  </r>
  <r>
    <s v="Семенова Ирина Валерьевна"/>
    <x v="14"/>
  </r>
  <r>
    <s v="Петров Владимир Кириллович"/>
    <x v="156"/>
  </r>
  <r>
    <s v="Новикова Ольга Петровна"/>
    <x v="44"/>
  </r>
  <r>
    <s v="Иванова Анна Сергеевна"/>
    <x v="120"/>
  </r>
  <r>
    <s v="Орлов Павел Денисович"/>
    <x v="170"/>
  </r>
  <r>
    <s v="Громова Мария Ильинична"/>
    <x v="152"/>
  </r>
  <r>
    <s v="Белов Алексей Константинович"/>
    <x v="40"/>
  </r>
  <r>
    <s v="Кузнецов Дмитрий Львович"/>
    <x v="175"/>
  </r>
  <r>
    <s v="Кузнецов Дмитрий Львович"/>
    <x v="100"/>
  </r>
  <r>
    <s v="Яковлев Артем Игоревич"/>
    <x v="105"/>
  </r>
  <r>
    <s v="Орлов Павел Денисович"/>
    <x v="156"/>
  </r>
  <r>
    <s v="Семенова Ирина Валерьевна"/>
    <x v="57"/>
  </r>
  <r>
    <s v="Громова Мария Ильинична"/>
    <x v="6"/>
  </r>
  <r>
    <s v="Новикова Ольга Петровна"/>
    <x v="77"/>
  </r>
  <r>
    <s v="Ткаченко Андрей Олегович"/>
    <x v="154"/>
  </r>
  <r>
    <s v="Фролов Сергей Викторович"/>
    <x v="58"/>
  </r>
  <r>
    <s v="Сидорова Елена Васильевна"/>
    <x v="137"/>
  </r>
  <r>
    <s v="Белов Алексей Константинович"/>
    <x v="170"/>
  </r>
  <r>
    <s v="Петров Владимир Кириллович"/>
    <x v="100"/>
  </r>
  <r>
    <s v="Белов Алексей Константинович"/>
    <x v="123"/>
  </r>
  <r>
    <s v="Фролов Сергей Викторович"/>
    <x v="36"/>
  </r>
  <r>
    <s v="Семенова Ирина Валерьевна"/>
    <x v="18"/>
  </r>
  <r>
    <s v="Новикова Ольга Петровна"/>
    <x v="12"/>
  </r>
  <r>
    <s v="Ткаченко Андрей Олегович"/>
    <x v="182"/>
  </r>
  <r>
    <s v="Фролов Сергей Викторович"/>
    <x v="62"/>
  </r>
  <r>
    <s v="Яковлев Артем Игоревич"/>
    <x v="52"/>
  </r>
  <r>
    <s v="Сидорова Елена Васильевна"/>
    <x v="51"/>
  </r>
  <r>
    <s v="Иванова Анна Сергеевна"/>
    <x v="132"/>
  </r>
  <r>
    <s v="Ткаченко Андрей Олегович"/>
    <x v="29"/>
  </r>
  <r>
    <s v="Ткаченко Андрей Олегович"/>
    <x v="177"/>
  </r>
  <r>
    <s v="Семенова Ирина Валерьевна"/>
    <x v="191"/>
  </r>
  <r>
    <s v="Сидорова Елена Васильевна"/>
    <x v="155"/>
  </r>
  <r>
    <s v="Яковлев Артем Игоревич"/>
    <x v="94"/>
  </r>
  <r>
    <s v="Иванова Анна Сергеевна"/>
    <x v="6"/>
  </r>
  <r>
    <s v="Иванова Анна Сергеевна"/>
    <x v="137"/>
  </r>
  <r>
    <s v="Фролов Сергей Викторович"/>
    <x v="99"/>
  </r>
  <r>
    <s v="Белов Алексей Константинович"/>
    <x v="174"/>
  </r>
  <r>
    <s v="Белов Алексей Константинович"/>
    <x v="180"/>
  </r>
  <r>
    <s v="Громова Мария Ильинична"/>
    <x v="25"/>
  </r>
  <r>
    <s v="Фролов Сергей Викторович"/>
    <x v="68"/>
  </r>
  <r>
    <s v="Иванова Анна Сергеевна"/>
    <x v="51"/>
  </r>
  <r>
    <s v="Новикова Ольга Петровна"/>
    <x v="67"/>
  </r>
  <r>
    <s v="Яковлев Артем Игоревич"/>
    <x v="152"/>
  </r>
  <r>
    <s v="Яковлев Артем Игоревич"/>
    <x v="26"/>
  </r>
  <r>
    <s v="Громова Мария Ильинична"/>
    <x v="50"/>
  </r>
  <r>
    <s v="Иванова Анна Сергеевна"/>
    <x v="15"/>
  </r>
  <r>
    <s v="Кузнецов Дмитрий Львович"/>
    <x v="74"/>
  </r>
  <r>
    <s v="Яковлев Артем Игоревич"/>
    <x v="93"/>
  </r>
  <r>
    <s v="Громова Мария Ильинична"/>
    <x v="97"/>
  </r>
  <r>
    <s v="Яковлев Артем Игоревич"/>
    <x v="9"/>
  </r>
  <r>
    <s v="Новикова Ольга Петровна"/>
    <x v="0"/>
  </r>
  <r>
    <s v="Семенова Ирина Валерьевна"/>
    <x v="110"/>
  </r>
  <r>
    <s v="Орлов Павел Денисович"/>
    <x v="73"/>
  </r>
  <r>
    <s v="Петров Владимир Кириллович"/>
    <x v="158"/>
  </r>
  <r>
    <s v="Новикова Ольга Петровна"/>
    <x v="96"/>
  </r>
  <r>
    <s v="Громова Мария Ильинична"/>
    <x v="26"/>
  </r>
  <r>
    <s v="Сидорова Елена Васильевна"/>
    <x v="15"/>
  </r>
  <r>
    <s v="Громова Мария Ильинична"/>
    <x v="117"/>
  </r>
  <r>
    <s v="Ткаченко Андрей Олегович"/>
    <x v="184"/>
  </r>
  <r>
    <s v="Петров Владимир Кириллович"/>
    <x v="81"/>
  </r>
  <r>
    <s v="Сидорова Елена Васильевна"/>
    <x v="59"/>
  </r>
  <r>
    <s v="Яковлев Артем Игоревич"/>
    <x v="41"/>
  </r>
  <r>
    <s v="Ткаченко Андрей Олегович"/>
    <x v="20"/>
  </r>
  <r>
    <s v="Фролов Сергей Викторович"/>
    <x v="44"/>
  </r>
  <r>
    <s v="Кузнецов Дмитрий Львович"/>
    <x v="86"/>
  </r>
  <r>
    <s v="Белов Алексей Константинович"/>
    <x v="155"/>
  </r>
  <r>
    <s v="Новикова Ольга Петровна"/>
    <x v="8"/>
  </r>
  <r>
    <s v="Орлов Павел Денисович"/>
    <x v="190"/>
  </r>
  <r>
    <s v="Громова Мария Ильинична"/>
    <x v="132"/>
  </r>
  <r>
    <s v="Ткаченко Андрей Олегович"/>
    <x v="58"/>
  </r>
  <r>
    <s v="Белов Алексей Константинович"/>
    <x v="33"/>
  </r>
  <r>
    <s v="Громова Мария Ильинична"/>
    <x v="38"/>
  </r>
  <r>
    <s v="Белов Алексей Константинович"/>
    <x v="149"/>
  </r>
  <r>
    <s v="Фролов Сергей Викторович"/>
    <x v="49"/>
  </r>
  <r>
    <s v="Громова Мария Ильинична"/>
    <x v="143"/>
  </r>
  <r>
    <s v="Фролов Сергей Викторович"/>
    <x v="125"/>
  </r>
  <r>
    <s v="Петров Владимир Кириллович"/>
    <x v="157"/>
  </r>
  <r>
    <s v="Петров Владимир Кириллович"/>
    <x v="55"/>
  </r>
  <r>
    <s v="Новикова Ольга Петровна"/>
    <x v="155"/>
  </r>
  <r>
    <s v="Иванова Анна Сергеевна"/>
    <x v="125"/>
  </r>
  <r>
    <s v="Сидорова Елена Васильевна"/>
    <x v="61"/>
  </r>
  <r>
    <s v="Фролов Сергей Викторович"/>
    <x v="171"/>
  </r>
  <r>
    <s v="Белов Алексей Константинович"/>
    <x v="72"/>
  </r>
  <r>
    <s v="Иванова Анна Сергеевна"/>
    <x v="44"/>
  </r>
  <r>
    <s v="Петров Владимир Кириллович"/>
    <x v="89"/>
  </r>
  <r>
    <s v="Ткаченко Андрей Олегович"/>
    <x v="41"/>
  </r>
  <r>
    <s v="Орлов Павел Денисович"/>
    <x v="121"/>
  </r>
  <r>
    <s v="Яковлев Артем Игоревич"/>
    <x v="150"/>
  </r>
  <r>
    <s v="Яковлев Артем Игоревич"/>
    <x v="73"/>
  </r>
  <r>
    <s v="Ткаченко Андрей Олегович"/>
    <x v="111"/>
  </r>
  <r>
    <s v="Белов Алексей Константинович"/>
    <x v="90"/>
  </r>
  <r>
    <s v="Новикова Ольга Петровна"/>
    <x v="184"/>
  </r>
  <r>
    <s v="Орлов Павел Денисович"/>
    <x v="33"/>
  </r>
  <r>
    <s v="Петров Владимир Кириллович"/>
    <x v="184"/>
  </r>
  <r>
    <s v="Семенова Ирина Валерьевна"/>
    <x v="88"/>
  </r>
  <r>
    <s v="Новикова Ольга Петровна"/>
    <x v="78"/>
  </r>
  <r>
    <s v="Петров Владимир Кириллович"/>
    <x v="128"/>
  </r>
  <r>
    <s v="Кузнецов Дмитрий Львович"/>
    <x v="121"/>
  </r>
  <r>
    <s v="Кузнецов Дмитрий Львович"/>
    <x v="87"/>
  </r>
  <r>
    <s v="Белов Алексей Константинович"/>
    <x v="32"/>
  </r>
  <r>
    <s v="Ткаченко Андрей Олегович"/>
    <x v="112"/>
  </r>
  <r>
    <s v="Новикова Ольга Петровна"/>
    <x v="40"/>
  </r>
  <r>
    <s v="Орлов Павел Денисович"/>
    <x v="32"/>
  </r>
  <r>
    <s v="Ткаченко Андрей Олегович"/>
    <x v="48"/>
  </r>
  <r>
    <s v="Фролов Сергей Викторович"/>
    <x v="57"/>
  </r>
  <r>
    <s v="Иванова Анна Сергеевна"/>
    <x v="7"/>
  </r>
  <r>
    <s v="Семенова Ирина Валерьевна"/>
    <x v="47"/>
  </r>
  <r>
    <s v="Кузнецов Дмитрий Львович"/>
    <x v="97"/>
  </r>
  <r>
    <s v="Орлов Павел Денисович"/>
    <x v="138"/>
  </r>
  <r>
    <s v="Орлов Павел Денисович"/>
    <x v="47"/>
  </r>
  <r>
    <s v="Ткаченко Андрей Олегович"/>
    <x v="90"/>
  </r>
  <r>
    <s v="Новикова Ольга Петровна"/>
    <x v="152"/>
  </r>
  <r>
    <s v="Ткаченко Андрей Олегович"/>
    <x v="156"/>
  </r>
  <r>
    <s v="Ткаченко Андрей Олегович"/>
    <x v="60"/>
  </r>
  <r>
    <s v="Семенова Ирина Валерьевна"/>
    <x v="6"/>
  </r>
  <r>
    <s v="Громова Мария Ильинична"/>
    <x v="84"/>
  </r>
  <r>
    <s v="Новикова Ольга Петровна"/>
    <x v="107"/>
  </r>
  <r>
    <s v="Громова Мария Ильинична"/>
    <x v="122"/>
  </r>
  <r>
    <s v="Громова Мария Ильинична"/>
    <x v="192"/>
  </r>
  <r>
    <s v="Ткаченко Андрей Олегович"/>
    <x v="38"/>
  </r>
  <r>
    <s v="Новикова Ольга Петровна"/>
    <x v="6"/>
  </r>
  <r>
    <s v="Ткаченко Андрей Олегович"/>
    <x v="2"/>
  </r>
  <r>
    <s v="Фролов Сергей Викторович"/>
    <x v="59"/>
  </r>
  <r>
    <s v="Фролов Сергей Викторович"/>
    <x v="164"/>
  </r>
  <r>
    <s v="Петров Владимир Кириллович"/>
    <x v="146"/>
  </r>
  <r>
    <s v="Кузнецов Дмитрий Львович"/>
    <x v="169"/>
  </r>
  <r>
    <s v="Ткаченко Андрей Олегович"/>
    <x v="50"/>
  </r>
  <r>
    <s v="Новикова Ольга Петровна"/>
    <x v="172"/>
  </r>
  <r>
    <s v="Кузнецов Дмитрий Львович"/>
    <x v="61"/>
  </r>
  <r>
    <s v="Фролов Сергей Викторович"/>
    <x v="65"/>
  </r>
  <r>
    <s v="Орлов Павел Денисович"/>
    <x v="119"/>
  </r>
  <r>
    <s v="Белов Алексей Константинович"/>
    <x v="189"/>
  </r>
  <r>
    <s v="Петров Владимир Кириллович"/>
    <x v="126"/>
  </r>
  <r>
    <s v="Яковлев Артем Игоревич"/>
    <x v="19"/>
  </r>
  <r>
    <s v="Громова Мария Ильинична"/>
    <x v="51"/>
  </r>
  <r>
    <s v="Фролов Сергей Викторович"/>
    <x v="74"/>
  </r>
  <r>
    <s v="Ткаченко Андрей Олегович"/>
    <x v="3"/>
  </r>
  <r>
    <s v="Громова Мария Ильинична"/>
    <x v="94"/>
  </r>
  <r>
    <s v="Петров Владимир Кириллович"/>
    <x v="1"/>
  </r>
  <r>
    <s v="Яковлев Артем Игоревич"/>
    <x v="86"/>
  </r>
  <r>
    <s v="Новикова Ольга Петровна"/>
    <x v="41"/>
  </r>
  <r>
    <s v="Белов Алексей Константинович"/>
    <x v="63"/>
  </r>
  <r>
    <s v="Фролов Сергей Викторович"/>
    <x v="15"/>
  </r>
  <r>
    <s v="Яковлев Артем Игоревич"/>
    <x v="127"/>
  </r>
  <r>
    <s v="Белов Алексей Константинович"/>
    <x v="2"/>
  </r>
  <r>
    <s v="Новикова Ольга Петровна"/>
    <x v="168"/>
  </r>
  <r>
    <s v="Ткаченко Андрей Олегович"/>
    <x v="96"/>
  </r>
  <r>
    <s v="Сидорова Елена Васильевна"/>
    <x v="126"/>
  </r>
  <r>
    <s v="Новикова Ольга Петровна"/>
    <x v="114"/>
  </r>
  <r>
    <s v="Новикова Ольга Петровна"/>
    <x v="157"/>
  </r>
  <r>
    <s v="Ткаченко Андрей Олегович"/>
    <x v="121"/>
  </r>
  <r>
    <s v="Кузнецов Дмитрий Львович"/>
    <x v="92"/>
  </r>
  <r>
    <s v="Ткаченко Андрей Олегович"/>
    <x v="139"/>
  </r>
  <r>
    <m/>
    <x v="193"/>
  </r>
  <r>
    <m/>
    <x v="193"/>
  </r>
  <r>
    <m/>
    <x v="193"/>
  </r>
  <r>
    <m/>
    <x v="193"/>
  </r>
  <r>
    <m/>
    <x v="193"/>
  </r>
  <r>
    <m/>
    <x v="193"/>
  </r>
  <r>
    <m/>
    <x v="193"/>
  </r>
  <r>
    <m/>
    <x v="193"/>
  </r>
  <r>
    <m/>
    <x v="193"/>
  </r>
  <r>
    <m/>
    <x v="193"/>
  </r>
  <r>
    <m/>
    <x v="193"/>
  </r>
  <r>
    <m/>
    <x v="193"/>
  </r>
  <r>
    <m/>
    <x v="193"/>
  </r>
  <r>
    <m/>
    <x v="193"/>
  </r>
  <r>
    <m/>
    <x v="193"/>
  </r>
  <r>
    <m/>
    <x v="193"/>
  </r>
  <r>
    <m/>
    <x v="193"/>
  </r>
  <r>
    <m/>
    <x v="193"/>
  </r>
  <r>
    <m/>
    <x v="193"/>
  </r>
  <r>
    <m/>
    <x v="193"/>
  </r>
  <r>
    <m/>
    <x v="193"/>
  </r>
  <r>
    <m/>
    <x v="193"/>
  </r>
  <r>
    <m/>
    <x v="193"/>
  </r>
  <r>
    <m/>
    <x v="193"/>
  </r>
  <r>
    <m/>
    <x v="193"/>
  </r>
  <r>
    <m/>
    <x v="193"/>
  </r>
  <r>
    <m/>
    <x v="193"/>
  </r>
  <r>
    <m/>
    <x v="193"/>
  </r>
  <r>
    <m/>
    <x v="193"/>
  </r>
  <r>
    <m/>
    <x v="193"/>
  </r>
  <r>
    <m/>
    <x v="193"/>
  </r>
  <r>
    <m/>
    <x v="193"/>
  </r>
  <r>
    <m/>
    <x v="193"/>
  </r>
  <r>
    <m/>
    <x v="193"/>
  </r>
  <r>
    <m/>
    <x v="193"/>
  </r>
  <r>
    <m/>
    <x v="193"/>
  </r>
  <r>
    <m/>
    <x v="193"/>
  </r>
  <r>
    <m/>
    <x v="193"/>
  </r>
  <r>
    <m/>
    <x v="193"/>
  </r>
  <r>
    <m/>
    <x v="193"/>
  </r>
  <r>
    <m/>
    <x v="193"/>
  </r>
  <r>
    <m/>
    <x v="193"/>
  </r>
  <r>
    <m/>
    <x v="193"/>
  </r>
  <r>
    <m/>
    <x v="193"/>
  </r>
  <r>
    <m/>
    <x v="193"/>
  </r>
  <r>
    <m/>
    <x v="193"/>
  </r>
  <r>
    <m/>
    <x v="193"/>
  </r>
  <r>
    <m/>
    <x v="193"/>
  </r>
  <r>
    <m/>
    <x v="193"/>
  </r>
  <r>
    <m/>
    <x v="193"/>
  </r>
  <r>
    <m/>
    <x v="193"/>
  </r>
  <r>
    <m/>
    <x v="193"/>
  </r>
  <r>
    <m/>
    <x v="193"/>
  </r>
  <r>
    <m/>
    <x v="193"/>
  </r>
  <r>
    <m/>
    <x v="193"/>
  </r>
  <r>
    <m/>
    <x v="193"/>
  </r>
  <r>
    <m/>
    <x v="193"/>
  </r>
  <r>
    <m/>
    <x v="193"/>
  </r>
  <r>
    <m/>
    <x v="193"/>
  </r>
  <r>
    <m/>
    <x v="193"/>
  </r>
  <r>
    <m/>
    <x v="193"/>
  </r>
  <r>
    <m/>
    <x v="193"/>
  </r>
  <r>
    <m/>
    <x v="193"/>
  </r>
  <r>
    <m/>
    <x v="193"/>
  </r>
  <r>
    <m/>
    <x v="193"/>
  </r>
  <r>
    <m/>
    <x v="193"/>
  </r>
  <r>
    <m/>
    <x v="193"/>
  </r>
  <r>
    <m/>
    <x v="193"/>
  </r>
  <r>
    <m/>
    <x v="193"/>
  </r>
  <r>
    <m/>
    <x v="193"/>
  </r>
  <r>
    <m/>
    <x v="193"/>
  </r>
  <r>
    <m/>
    <x v="193"/>
  </r>
  <r>
    <m/>
    <x v="193"/>
  </r>
  <r>
    <m/>
    <x v="193"/>
  </r>
  <r>
    <m/>
    <x v="193"/>
  </r>
  <r>
    <m/>
    <x v="193"/>
  </r>
  <r>
    <m/>
    <x v="193"/>
  </r>
  <r>
    <m/>
    <x v="193"/>
  </r>
  <r>
    <m/>
    <x v="193"/>
  </r>
  <r>
    <m/>
    <x v="193"/>
  </r>
  <r>
    <m/>
    <x v="193"/>
  </r>
  <r>
    <m/>
    <x v="193"/>
  </r>
  <r>
    <m/>
    <x v="193"/>
  </r>
  <r>
    <m/>
    <x v="193"/>
  </r>
  <r>
    <m/>
    <x v="193"/>
  </r>
  <r>
    <m/>
    <x v="193"/>
  </r>
  <r>
    <m/>
    <x v="193"/>
  </r>
  <r>
    <m/>
    <x v="193"/>
  </r>
  <r>
    <m/>
    <x v="193"/>
  </r>
  <r>
    <m/>
    <x v="193"/>
  </r>
  <r>
    <m/>
    <x v="193"/>
  </r>
  <r>
    <m/>
    <x v="193"/>
  </r>
  <r>
    <m/>
    <x v="193"/>
  </r>
  <r>
    <m/>
    <x v="193"/>
  </r>
  <r>
    <m/>
    <x v="193"/>
  </r>
  <r>
    <m/>
    <x v="193"/>
  </r>
  <r>
    <m/>
    <x v="193"/>
  </r>
  <r>
    <m/>
    <x v="193"/>
  </r>
  <r>
    <m/>
    <x v="193"/>
  </r>
  <r>
    <m/>
    <x v="193"/>
  </r>
  <r>
    <m/>
    <x v="193"/>
  </r>
  <r>
    <m/>
    <x v="193"/>
  </r>
  <r>
    <m/>
    <x v="193"/>
  </r>
  <r>
    <m/>
    <x v="193"/>
  </r>
  <r>
    <m/>
    <x v="193"/>
  </r>
  <r>
    <m/>
    <x v="193"/>
  </r>
  <r>
    <m/>
    <x v="193"/>
  </r>
  <r>
    <m/>
    <x v="193"/>
  </r>
  <r>
    <m/>
    <x v="193"/>
  </r>
  <r>
    <m/>
    <x v="193"/>
  </r>
  <r>
    <m/>
    <x v="193"/>
  </r>
  <r>
    <m/>
    <x v="193"/>
  </r>
  <r>
    <m/>
    <x v="193"/>
  </r>
  <r>
    <m/>
    <x v="193"/>
  </r>
  <r>
    <m/>
    <x v="193"/>
  </r>
  <r>
    <m/>
    <x v="193"/>
  </r>
  <r>
    <m/>
    <x v="193"/>
  </r>
  <r>
    <m/>
    <x v="193"/>
  </r>
  <r>
    <m/>
    <x v="193"/>
  </r>
  <r>
    <m/>
    <x v="193"/>
  </r>
  <r>
    <m/>
    <x v="193"/>
  </r>
  <r>
    <m/>
    <x v="193"/>
  </r>
  <r>
    <m/>
    <x v="193"/>
  </r>
  <r>
    <m/>
    <x v="193"/>
  </r>
  <r>
    <m/>
    <x v="193"/>
  </r>
  <r>
    <m/>
    <x v="193"/>
  </r>
  <r>
    <m/>
    <x v="193"/>
  </r>
  <r>
    <m/>
    <x v="193"/>
  </r>
  <r>
    <m/>
    <x v="193"/>
  </r>
  <r>
    <m/>
    <x v="193"/>
  </r>
  <r>
    <m/>
    <x v="193"/>
  </r>
  <r>
    <m/>
    <x v="193"/>
  </r>
  <r>
    <m/>
    <x v="193"/>
  </r>
  <r>
    <m/>
    <x v="193"/>
  </r>
  <r>
    <m/>
    <x v="193"/>
  </r>
  <r>
    <m/>
    <x v="193"/>
  </r>
  <r>
    <m/>
    <x v="193"/>
  </r>
  <r>
    <m/>
    <x v="193"/>
  </r>
  <r>
    <m/>
    <x v="193"/>
  </r>
  <r>
    <m/>
    <x v="193"/>
  </r>
  <r>
    <m/>
    <x v="193"/>
  </r>
  <r>
    <m/>
    <x v="193"/>
  </r>
  <r>
    <m/>
    <x v="193"/>
  </r>
  <r>
    <m/>
    <x v="193"/>
  </r>
  <r>
    <m/>
    <x v="193"/>
  </r>
  <r>
    <m/>
    <x v="193"/>
  </r>
  <r>
    <m/>
    <x v="193"/>
  </r>
  <r>
    <m/>
    <x v="193"/>
  </r>
  <r>
    <m/>
    <x v="193"/>
  </r>
  <r>
    <m/>
    <x v="193"/>
  </r>
  <r>
    <m/>
    <x v="193"/>
  </r>
  <r>
    <m/>
    <x v="193"/>
  </r>
  <r>
    <m/>
    <x v="193"/>
  </r>
  <r>
    <m/>
    <x v="193"/>
  </r>
  <r>
    <m/>
    <x v="193"/>
  </r>
  <r>
    <m/>
    <x v="193"/>
  </r>
  <r>
    <m/>
    <x v="193"/>
  </r>
  <r>
    <m/>
    <x v="193"/>
  </r>
  <r>
    <m/>
    <x v="193"/>
  </r>
  <r>
    <m/>
    <x v="193"/>
  </r>
  <r>
    <m/>
    <x v="193"/>
  </r>
  <r>
    <m/>
    <x v="193"/>
  </r>
  <r>
    <m/>
    <x v="193"/>
  </r>
  <r>
    <m/>
    <x v="193"/>
  </r>
  <r>
    <m/>
    <x v="193"/>
  </r>
  <r>
    <m/>
    <x v="193"/>
  </r>
  <r>
    <m/>
    <x v="193"/>
  </r>
  <r>
    <m/>
    <x v="193"/>
  </r>
  <r>
    <m/>
    <x v="193"/>
  </r>
  <r>
    <m/>
    <x v="193"/>
  </r>
  <r>
    <m/>
    <x v="193"/>
  </r>
  <r>
    <m/>
    <x v="193"/>
  </r>
  <r>
    <m/>
    <x v="193"/>
  </r>
  <r>
    <m/>
    <x v="193"/>
  </r>
  <r>
    <m/>
    <x v="193"/>
  </r>
  <r>
    <m/>
    <x v="193"/>
  </r>
  <r>
    <m/>
    <x v="193"/>
  </r>
  <r>
    <m/>
    <x v="193"/>
  </r>
  <r>
    <m/>
    <x v="193"/>
  </r>
  <r>
    <m/>
    <x v="193"/>
  </r>
  <r>
    <m/>
    <x v="193"/>
  </r>
  <r>
    <m/>
    <x v="193"/>
  </r>
  <r>
    <m/>
    <x v="193"/>
  </r>
  <r>
    <m/>
    <x v="193"/>
  </r>
  <r>
    <m/>
    <x v="193"/>
  </r>
  <r>
    <m/>
    <x v="193"/>
  </r>
  <r>
    <m/>
    <x v="193"/>
  </r>
  <r>
    <m/>
    <x v="193"/>
  </r>
  <r>
    <m/>
    <x v="193"/>
  </r>
  <r>
    <m/>
    <x v="193"/>
  </r>
  <r>
    <m/>
    <x v="193"/>
  </r>
  <r>
    <m/>
    <x v="193"/>
  </r>
  <r>
    <m/>
    <x v="193"/>
  </r>
  <r>
    <m/>
    <x v="193"/>
  </r>
  <r>
    <m/>
    <x v="193"/>
  </r>
  <r>
    <m/>
    <x v="193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2">
  <r>
    <x v="0"/>
    <x v="0"/>
    <s v="2023-09-05"/>
    <n v="75327"/>
    <n v="8"/>
    <n v="9"/>
    <n v="2023"/>
    <x v="0"/>
  </r>
  <r>
    <x v="0"/>
    <x v="1"/>
    <s v="2023-09-07"/>
    <n v="35787"/>
    <n v="1"/>
    <n v="9"/>
    <n v="2023"/>
    <x v="0"/>
  </r>
  <r>
    <x v="0"/>
    <x v="2"/>
    <s v="2023-09-14"/>
    <n v="48097"/>
    <n v="9"/>
    <n v="9"/>
    <n v="2023"/>
    <x v="0"/>
  </r>
  <r>
    <x v="0"/>
    <x v="3"/>
    <s v="2023-09-25"/>
    <n v="92084"/>
    <n v="4"/>
    <n v="9"/>
    <n v="2023"/>
    <x v="0"/>
  </r>
  <r>
    <x v="0"/>
    <x v="4"/>
    <s v="2023-09-25"/>
    <n v="53861"/>
    <n v="8"/>
    <n v="9"/>
    <n v="2023"/>
    <x v="0"/>
  </r>
  <r>
    <x v="0"/>
    <x v="5"/>
    <s v="2023-10-05"/>
    <n v="92723"/>
    <n v="9"/>
    <n v="10"/>
    <n v="2023"/>
    <x v="1"/>
  </r>
  <r>
    <x v="0"/>
    <x v="6"/>
    <s v="2023-10-09"/>
    <n v="30795"/>
    <n v="7"/>
    <n v="10"/>
    <n v="2023"/>
    <x v="1"/>
  </r>
  <r>
    <x v="0"/>
    <x v="7"/>
    <s v="2023-10-10"/>
    <n v="24227"/>
    <n v="2"/>
    <n v="10"/>
    <n v="2023"/>
    <x v="1"/>
  </r>
  <r>
    <x v="0"/>
    <x v="8"/>
    <s v="2023-10-18"/>
    <n v="97346"/>
    <n v="7"/>
    <n v="10"/>
    <n v="2023"/>
    <x v="1"/>
  </r>
  <r>
    <x v="0"/>
    <x v="9"/>
    <s v="2023-10-23"/>
    <n v="72935"/>
    <n v="10"/>
    <n v="10"/>
    <n v="2023"/>
    <x v="1"/>
  </r>
  <r>
    <x v="0"/>
    <x v="10"/>
    <s v="2023-10-31"/>
    <n v="71716"/>
    <n v="7"/>
    <n v="10"/>
    <n v="2023"/>
    <x v="1"/>
  </r>
  <r>
    <x v="0"/>
    <x v="11"/>
    <s v="2023-11-01"/>
    <n v="60383"/>
    <n v="5"/>
    <n v="11"/>
    <n v="2023"/>
    <x v="2"/>
  </r>
  <r>
    <x v="0"/>
    <x v="12"/>
    <s v="2023-11-14"/>
    <n v="78781"/>
    <n v="5"/>
    <n v="11"/>
    <n v="2023"/>
    <x v="2"/>
  </r>
  <r>
    <x v="0"/>
    <x v="13"/>
    <s v="2023-11-17"/>
    <n v="46426"/>
    <n v="8"/>
    <n v="11"/>
    <n v="2023"/>
    <x v="2"/>
  </r>
  <r>
    <x v="0"/>
    <x v="14"/>
    <s v="2023-11-21"/>
    <n v="82836"/>
    <n v="8"/>
    <n v="11"/>
    <n v="2023"/>
    <x v="2"/>
  </r>
  <r>
    <x v="0"/>
    <x v="15"/>
    <s v="2023-11-21"/>
    <n v="38711"/>
    <n v="7"/>
    <n v="11"/>
    <n v="2023"/>
    <x v="2"/>
  </r>
  <r>
    <x v="0"/>
    <x v="16"/>
    <s v="2023-11-22"/>
    <n v="41213"/>
    <n v="4"/>
    <n v="11"/>
    <n v="2023"/>
    <x v="2"/>
  </r>
  <r>
    <x v="0"/>
    <x v="17"/>
    <s v="2023-11-27"/>
    <n v="17775"/>
    <n v="7"/>
    <n v="11"/>
    <n v="2023"/>
    <x v="2"/>
  </r>
  <r>
    <x v="0"/>
    <x v="18"/>
    <s v="2023-11-27"/>
    <n v="53102"/>
    <n v="8"/>
    <n v="11"/>
    <n v="2023"/>
    <x v="2"/>
  </r>
  <r>
    <x v="0"/>
    <x v="19"/>
    <s v="2023-11-27"/>
    <n v="89020"/>
    <n v="10"/>
    <n v="11"/>
    <n v="2023"/>
    <x v="2"/>
  </r>
  <r>
    <x v="0"/>
    <x v="20"/>
    <s v="2023-11-27"/>
    <n v="44757"/>
    <n v="0"/>
    <n v="11"/>
    <n v="2023"/>
    <x v="2"/>
  </r>
  <r>
    <x v="0"/>
    <x v="21"/>
    <s v="2023-12-04"/>
    <n v="27704"/>
    <n v="6"/>
    <n v="12"/>
    <n v="2023"/>
    <x v="3"/>
  </r>
  <r>
    <x v="0"/>
    <x v="22"/>
    <s v="2023-12-15"/>
    <n v="69938"/>
    <n v="7"/>
    <n v="12"/>
    <n v="2023"/>
    <x v="3"/>
  </r>
  <r>
    <x v="0"/>
    <x v="23"/>
    <s v="2023-12-18"/>
    <n v="84960"/>
    <n v="4"/>
    <n v="12"/>
    <n v="2023"/>
    <x v="3"/>
  </r>
  <r>
    <x v="0"/>
    <x v="24"/>
    <s v="2023-12-18"/>
    <n v="52218"/>
    <n v="5"/>
    <n v="12"/>
    <n v="2023"/>
    <x v="3"/>
  </r>
  <r>
    <x v="0"/>
    <x v="25"/>
    <s v="2023-12-20"/>
    <n v="26942"/>
    <n v="10"/>
    <n v="12"/>
    <n v="2023"/>
    <x v="3"/>
  </r>
  <r>
    <x v="0"/>
    <x v="26"/>
    <s v="2023-12-20"/>
    <n v="30186"/>
    <n v="3"/>
    <n v="12"/>
    <n v="2023"/>
    <x v="3"/>
  </r>
  <r>
    <x v="0"/>
    <x v="27"/>
    <s v="2023-12-22"/>
    <n v="33573"/>
    <n v="9"/>
    <n v="12"/>
    <n v="2023"/>
    <x v="3"/>
  </r>
  <r>
    <x v="0"/>
    <x v="28"/>
    <s v="2023-12-25"/>
    <n v="65904"/>
    <n v="9"/>
    <n v="12"/>
    <n v="2023"/>
    <x v="3"/>
  </r>
  <r>
    <x v="0"/>
    <x v="20"/>
    <s v="2023-12-27"/>
    <n v="66005"/>
    <n v="8"/>
    <n v="12"/>
    <n v="2023"/>
    <x v="3"/>
  </r>
  <r>
    <x v="0"/>
    <x v="29"/>
    <s v="2024-01-01"/>
    <n v="43631"/>
    <n v="3"/>
    <n v="1"/>
    <n v="2024"/>
    <x v="4"/>
  </r>
  <r>
    <x v="0"/>
    <x v="25"/>
    <s v="2024-01-01"/>
    <n v="13042"/>
    <n v="6"/>
    <n v="1"/>
    <n v="2024"/>
    <x v="4"/>
  </r>
  <r>
    <x v="0"/>
    <x v="30"/>
    <s v="2024-01-10"/>
    <n v="41998"/>
    <n v="4"/>
    <n v="1"/>
    <n v="2024"/>
    <x v="4"/>
  </r>
  <r>
    <x v="0"/>
    <x v="31"/>
    <s v="2024-01-18"/>
    <n v="99629"/>
    <n v="5"/>
    <n v="1"/>
    <n v="2024"/>
    <x v="4"/>
  </r>
  <r>
    <x v="0"/>
    <x v="32"/>
    <s v="2024-01-18"/>
    <n v="12636"/>
    <n v="7"/>
    <n v="1"/>
    <n v="2024"/>
    <x v="4"/>
  </r>
  <r>
    <x v="0"/>
    <x v="33"/>
    <s v="2024-01-29"/>
    <n v="25454"/>
    <n v="8"/>
    <n v="1"/>
    <n v="2024"/>
    <x v="4"/>
  </r>
  <r>
    <x v="0"/>
    <x v="34"/>
    <s v="2024-01-31"/>
    <n v="12882"/>
    <n v="10"/>
    <n v="1"/>
    <n v="2024"/>
    <x v="4"/>
  </r>
  <r>
    <x v="0"/>
    <x v="35"/>
    <s v="2024-02-05"/>
    <n v="84092"/>
    <n v="6"/>
    <n v="2"/>
    <n v="2024"/>
    <x v="5"/>
  </r>
  <r>
    <x v="0"/>
    <x v="36"/>
    <s v="2024-02-16"/>
    <n v="26572"/>
    <n v="4"/>
    <n v="2"/>
    <n v="2024"/>
    <x v="5"/>
  </r>
  <r>
    <x v="0"/>
    <x v="37"/>
    <s v="2024-02-20"/>
    <n v="78749"/>
    <n v="3"/>
    <n v="2"/>
    <n v="2024"/>
    <x v="5"/>
  </r>
  <r>
    <x v="0"/>
    <x v="38"/>
    <s v="2024-02-29"/>
    <n v="71638"/>
    <n v="7"/>
    <n v="2"/>
    <n v="2024"/>
    <x v="5"/>
  </r>
  <r>
    <x v="0"/>
    <x v="39"/>
    <s v="2024-03-04"/>
    <n v="53185"/>
    <n v="5"/>
    <n v="3"/>
    <n v="2024"/>
    <x v="6"/>
  </r>
  <r>
    <x v="0"/>
    <x v="40"/>
    <s v="2024-03-07"/>
    <n v="45226"/>
    <n v="8"/>
    <n v="3"/>
    <n v="2024"/>
    <x v="6"/>
  </r>
  <r>
    <x v="0"/>
    <x v="41"/>
    <s v="2024-03-14"/>
    <n v="14412"/>
    <n v="8"/>
    <n v="3"/>
    <n v="2024"/>
    <x v="6"/>
  </r>
  <r>
    <x v="0"/>
    <x v="42"/>
    <s v="2024-03-18"/>
    <n v="61166"/>
    <n v="4"/>
    <n v="3"/>
    <n v="2024"/>
    <x v="6"/>
  </r>
  <r>
    <x v="0"/>
    <x v="43"/>
    <s v="2024-03-18"/>
    <n v="57915"/>
    <n v="3"/>
    <n v="3"/>
    <n v="2024"/>
    <x v="6"/>
  </r>
  <r>
    <x v="0"/>
    <x v="5"/>
    <s v="2024-03-21"/>
    <n v="91783"/>
    <n v="10"/>
    <n v="3"/>
    <n v="2024"/>
    <x v="6"/>
  </r>
  <r>
    <x v="0"/>
    <x v="7"/>
    <s v="2024-03-29"/>
    <n v="11404"/>
    <n v="6"/>
    <n v="3"/>
    <n v="2024"/>
    <x v="6"/>
  </r>
  <r>
    <x v="0"/>
    <x v="44"/>
    <s v="2024-04-01"/>
    <n v="17208"/>
    <n v="5"/>
    <n v="4"/>
    <n v="2024"/>
    <x v="7"/>
  </r>
  <r>
    <x v="0"/>
    <x v="45"/>
    <s v="2024-04-15"/>
    <n v="97493"/>
    <n v="4"/>
    <n v="4"/>
    <n v="2024"/>
    <x v="7"/>
  </r>
  <r>
    <x v="0"/>
    <x v="46"/>
    <s v="2024-04-22"/>
    <n v="92576"/>
    <n v="7"/>
    <n v="4"/>
    <n v="2024"/>
    <x v="7"/>
  </r>
  <r>
    <x v="0"/>
    <x v="35"/>
    <s v="2024-04-22"/>
    <n v="72462"/>
    <n v="3"/>
    <n v="4"/>
    <n v="2024"/>
    <x v="7"/>
  </r>
  <r>
    <x v="0"/>
    <x v="18"/>
    <s v="2024-04-25"/>
    <n v="98353"/>
    <n v="8"/>
    <n v="4"/>
    <n v="2024"/>
    <x v="7"/>
  </r>
  <r>
    <x v="0"/>
    <x v="47"/>
    <s v="2024-05-08"/>
    <n v="17409"/>
    <n v="7"/>
    <n v="5"/>
    <n v="2024"/>
    <x v="8"/>
  </r>
  <r>
    <x v="0"/>
    <x v="48"/>
    <s v="2024-05-16"/>
    <n v="98829"/>
    <n v="10"/>
    <n v="5"/>
    <n v="2024"/>
    <x v="8"/>
  </r>
  <r>
    <x v="0"/>
    <x v="19"/>
    <s v="2024-05-16"/>
    <n v="15103"/>
    <n v="5"/>
    <n v="5"/>
    <n v="2024"/>
    <x v="8"/>
  </r>
  <r>
    <x v="0"/>
    <x v="36"/>
    <s v="2024-06-03"/>
    <n v="69572"/>
    <n v="6"/>
    <n v="6"/>
    <n v="2024"/>
    <x v="9"/>
  </r>
  <r>
    <x v="0"/>
    <x v="49"/>
    <s v="2024-06-03"/>
    <n v="91543"/>
    <n v="7"/>
    <n v="6"/>
    <n v="2024"/>
    <x v="9"/>
  </r>
  <r>
    <x v="0"/>
    <x v="50"/>
    <s v="2024-06-14"/>
    <n v="67847"/>
    <n v="9"/>
    <n v="6"/>
    <n v="2024"/>
    <x v="9"/>
  </r>
  <r>
    <x v="0"/>
    <x v="35"/>
    <s v="2024-06-17"/>
    <n v="65442"/>
    <n v="8"/>
    <n v="6"/>
    <n v="2024"/>
    <x v="9"/>
  </r>
  <r>
    <x v="0"/>
    <x v="51"/>
    <s v="2024-06-19"/>
    <n v="18116"/>
    <n v="2"/>
    <n v="6"/>
    <n v="2024"/>
    <x v="9"/>
  </r>
  <r>
    <x v="0"/>
    <x v="52"/>
    <s v="2024-06-20"/>
    <n v="46742"/>
    <n v="3"/>
    <n v="6"/>
    <n v="2024"/>
    <x v="9"/>
  </r>
  <r>
    <x v="0"/>
    <x v="53"/>
    <s v="2024-07-01"/>
    <n v="52963"/>
    <n v="5"/>
    <n v="7"/>
    <n v="2024"/>
    <x v="10"/>
  </r>
  <r>
    <x v="0"/>
    <x v="54"/>
    <s v="2024-07-01"/>
    <n v="18778"/>
    <n v="7"/>
    <n v="7"/>
    <n v="2024"/>
    <x v="10"/>
  </r>
  <r>
    <x v="0"/>
    <x v="55"/>
    <s v="2024-07-15"/>
    <n v="98086"/>
    <n v="1"/>
    <n v="7"/>
    <n v="2024"/>
    <x v="10"/>
  </r>
  <r>
    <x v="0"/>
    <x v="56"/>
    <s v="2024-07-19"/>
    <n v="42860"/>
    <n v="7"/>
    <n v="7"/>
    <n v="2024"/>
    <x v="10"/>
  </r>
  <r>
    <x v="0"/>
    <x v="57"/>
    <s v="2024-07-22"/>
    <n v="17979"/>
    <n v="6"/>
    <n v="7"/>
    <n v="2024"/>
    <x v="10"/>
  </r>
  <r>
    <x v="0"/>
    <x v="13"/>
    <s v="2024-07-24"/>
    <n v="76818"/>
    <n v="6"/>
    <n v="7"/>
    <n v="2024"/>
    <x v="10"/>
  </r>
  <r>
    <x v="0"/>
    <x v="58"/>
    <s v="2024-07-26"/>
    <n v="98494"/>
    <n v="7"/>
    <n v="7"/>
    <n v="2024"/>
    <x v="10"/>
  </r>
  <r>
    <x v="0"/>
    <x v="59"/>
    <s v="2024-07-29"/>
    <n v="19620"/>
    <n v="7"/>
    <n v="7"/>
    <n v="2024"/>
    <x v="10"/>
  </r>
  <r>
    <x v="0"/>
    <x v="60"/>
    <s v="2024-08-01"/>
    <n v="68805"/>
    <n v="5"/>
    <n v="8"/>
    <n v="2024"/>
    <x v="11"/>
  </r>
  <r>
    <x v="0"/>
    <x v="5"/>
    <s v="2024-08-12"/>
    <n v="87568"/>
    <n v="3"/>
    <n v="8"/>
    <n v="2024"/>
    <x v="11"/>
  </r>
  <r>
    <x v="0"/>
    <x v="61"/>
    <s v="2024-08-19"/>
    <n v="47717"/>
    <n v="6"/>
    <n v="8"/>
    <n v="2024"/>
    <x v="11"/>
  </r>
  <r>
    <x v="0"/>
    <x v="59"/>
    <s v="2024-08-22"/>
    <n v="56672"/>
    <n v="4"/>
    <n v="8"/>
    <n v="2024"/>
    <x v="11"/>
  </r>
  <r>
    <x v="0"/>
    <x v="62"/>
    <s v="2024-08-26"/>
    <n v="26874"/>
    <n v="8"/>
    <n v="8"/>
    <n v="2024"/>
    <x v="11"/>
  </r>
  <r>
    <x v="0"/>
    <x v="23"/>
    <s v="2024-08-26"/>
    <n v="38600"/>
    <n v="9"/>
    <n v="8"/>
    <n v="2024"/>
    <x v="11"/>
  </r>
  <r>
    <x v="0"/>
    <x v="63"/>
    <s v="2024-08-26"/>
    <n v="10985"/>
    <n v="4"/>
    <n v="8"/>
    <n v="2024"/>
    <x v="11"/>
  </r>
  <r>
    <x v="1"/>
    <x v="64"/>
    <s v="2023-09-01"/>
    <n v="49585"/>
    <n v="5"/>
    <n v="9"/>
    <n v="2023"/>
    <x v="0"/>
  </r>
  <r>
    <x v="1"/>
    <x v="65"/>
    <s v="2023-09-04"/>
    <n v="25583"/>
    <n v="7"/>
    <n v="9"/>
    <n v="2023"/>
    <x v="0"/>
  </r>
  <r>
    <x v="1"/>
    <x v="60"/>
    <s v="2023-09-14"/>
    <n v="74405"/>
    <n v="9"/>
    <n v="9"/>
    <n v="2023"/>
    <x v="0"/>
  </r>
  <r>
    <x v="1"/>
    <x v="56"/>
    <s v="2023-09-15"/>
    <n v="37910"/>
    <n v="9"/>
    <n v="9"/>
    <n v="2023"/>
    <x v="0"/>
  </r>
  <r>
    <x v="1"/>
    <x v="66"/>
    <s v="2023-09-18"/>
    <n v="78611"/>
    <n v="2"/>
    <n v="9"/>
    <n v="2023"/>
    <x v="0"/>
  </r>
  <r>
    <x v="1"/>
    <x v="67"/>
    <s v="2023-09-19"/>
    <n v="57693"/>
    <n v="1"/>
    <n v="9"/>
    <n v="2023"/>
    <x v="0"/>
  </r>
  <r>
    <x v="1"/>
    <x v="68"/>
    <s v="2023-09-25"/>
    <n v="43484"/>
    <n v="8"/>
    <n v="9"/>
    <n v="2023"/>
    <x v="0"/>
  </r>
  <r>
    <x v="1"/>
    <x v="69"/>
    <s v="2023-10-02"/>
    <n v="76029"/>
    <n v="7"/>
    <n v="10"/>
    <n v="2023"/>
    <x v="1"/>
  </r>
  <r>
    <x v="1"/>
    <x v="47"/>
    <s v="2023-10-03"/>
    <n v="94646"/>
    <n v="8"/>
    <n v="10"/>
    <n v="2023"/>
    <x v="1"/>
  </r>
  <r>
    <x v="1"/>
    <x v="70"/>
    <s v="2023-10-04"/>
    <n v="68928"/>
    <n v="3"/>
    <n v="10"/>
    <n v="2023"/>
    <x v="1"/>
  </r>
  <r>
    <x v="1"/>
    <x v="58"/>
    <s v="2023-10-06"/>
    <n v="28834"/>
    <n v="6"/>
    <n v="10"/>
    <n v="2023"/>
    <x v="1"/>
  </r>
  <r>
    <x v="1"/>
    <x v="71"/>
    <s v="2023-10-06"/>
    <n v="28347"/>
    <n v="6"/>
    <n v="10"/>
    <n v="2023"/>
    <x v="1"/>
  </r>
  <r>
    <x v="1"/>
    <x v="72"/>
    <s v="2023-10-09"/>
    <n v="15194"/>
    <n v="7"/>
    <n v="10"/>
    <n v="2023"/>
    <x v="1"/>
  </r>
  <r>
    <x v="1"/>
    <x v="22"/>
    <s v="2023-10-10"/>
    <n v="22398"/>
    <n v="5"/>
    <n v="10"/>
    <n v="2023"/>
    <x v="1"/>
  </r>
  <r>
    <x v="1"/>
    <x v="73"/>
    <s v="2023-10-25"/>
    <n v="50289"/>
    <n v="2"/>
    <n v="10"/>
    <n v="2023"/>
    <x v="1"/>
  </r>
  <r>
    <x v="1"/>
    <x v="74"/>
    <s v="2023-10-26"/>
    <n v="34917"/>
    <n v="8"/>
    <n v="10"/>
    <n v="2023"/>
    <x v="1"/>
  </r>
  <r>
    <x v="1"/>
    <x v="75"/>
    <s v="2023-11-03"/>
    <n v="90834"/>
    <n v="5"/>
    <n v="11"/>
    <n v="2023"/>
    <x v="2"/>
  </r>
  <r>
    <x v="1"/>
    <x v="76"/>
    <s v="2023-11-13"/>
    <n v="30967"/>
    <n v="8"/>
    <n v="11"/>
    <n v="2023"/>
    <x v="2"/>
  </r>
  <r>
    <x v="1"/>
    <x v="68"/>
    <s v="2023-11-14"/>
    <n v="63400"/>
    <n v="1"/>
    <n v="11"/>
    <n v="2023"/>
    <x v="2"/>
  </r>
  <r>
    <x v="1"/>
    <x v="77"/>
    <s v="2023-11-16"/>
    <n v="34120"/>
    <n v="7"/>
    <n v="11"/>
    <n v="2023"/>
    <x v="2"/>
  </r>
  <r>
    <x v="1"/>
    <x v="78"/>
    <s v="2023-11-17"/>
    <n v="32589"/>
    <n v="6"/>
    <n v="11"/>
    <n v="2023"/>
    <x v="2"/>
  </r>
  <r>
    <x v="1"/>
    <x v="79"/>
    <s v="2023-11-20"/>
    <n v="93791"/>
    <n v="4"/>
    <n v="11"/>
    <n v="2023"/>
    <x v="2"/>
  </r>
  <r>
    <x v="1"/>
    <x v="80"/>
    <s v="2023-11-20"/>
    <n v="15164"/>
    <n v="7"/>
    <n v="11"/>
    <n v="2023"/>
    <x v="2"/>
  </r>
  <r>
    <x v="1"/>
    <x v="9"/>
    <s v="2023-11-22"/>
    <n v="79661"/>
    <n v="7"/>
    <n v="11"/>
    <n v="2023"/>
    <x v="2"/>
  </r>
  <r>
    <x v="1"/>
    <x v="81"/>
    <s v="2023-12-07"/>
    <n v="68267"/>
    <n v="5"/>
    <n v="12"/>
    <n v="2023"/>
    <x v="3"/>
  </r>
  <r>
    <x v="1"/>
    <x v="82"/>
    <s v="2023-12-11"/>
    <n v="28052"/>
    <n v="7"/>
    <n v="12"/>
    <n v="2023"/>
    <x v="3"/>
  </r>
  <r>
    <x v="1"/>
    <x v="50"/>
    <s v="2023-12-11"/>
    <n v="13620"/>
    <n v="9"/>
    <n v="12"/>
    <n v="2023"/>
    <x v="3"/>
  </r>
  <r>
    <x v="1"/>
    <x v="76"/>
    <s v="2023-12-15"/>
    <n v="15330"/>
    <n v="6"/>
    <n v="12"/>
    <n v="2023"/>
    <x v="3"/>
  </r>
  <r>
    <x v="1"/>
    <x v="23"/>
    <s v="2023-12-20"/>
    <n v="23120"/>
    <n v="6"/>
    <n v="12"/>
    <n v="2023"/>
    <x v="3"/>
  </r>
  <r>
    <x v="1"/>
    <x v="81"/>
    <s v="2024-01-03"/>
    <n v="68332"/>
    <n v="7"/>
    <n v="1"/>
    <n v="2024"/>
    <x v="4"/>
  </r>
  <r>
    <x v="1"/>
    <x v="83"/>
    <s v="2024-01-04"/>
    <n v="27979"/>
    <n v="7"/>
    <n v="1"/>
    <n v="2024"/>
    <x v="4"/>
  </r>
  <r>
    <x v="1"/>
    <x v="84"/>
    <s v="2024-01-08"/>
    <n v="73600"/>
    <n v="9"/>
    <n v="1"/>
    <n v="2024"/>
    <x v="4"/>
  </r>
  <r>
    <x v="1"/>
    <x v="85"/>
    <s v="2024-01-16"/>
    <n v="44012"/>
    <n v="5"/>
    <n v="1"/>
    <n v="2024"/>
    <x v="4"/>
  </r>
  <r>
    <x v="1"/>
    <x v="16"/>
    <s v="2024-01-29"/>
    <n v="50796"/>
    <n v="8"/>
    <n v="1"/>
    <n v="2024"/>
    <x v="4"/>
  </r>
  <r>
    <x v="1"/>
    <x v="86"/>
    <s v="2024-02-01"/>
    <n v="72540"/>
    <n v="7"/>
    <n v="2"/>
    <n v="2024"/>
    <x v="5"/>
  </r>
  <r>
    <x v="1"/>
    <x v="87"/>
    <s v="2024-02-19"/>
    <n v="64723"/>
    <n v="7"/>
    <n v="2"/>
    <n v="2024"/>
    <x v="5"/>
  </r>
  <r>
    <x v="1"/>
    <x v="53"/>
    <s v="2024-02-19"/>
    <n v="43982"/>
    <n v="6"/>
    <n v="2"/>
    <n v="2024"/>
    <x v="5"/>
  </r>
  <r>
    <x v="1"/>
    <x v="63"/>
    <s v="2024-02-26"/>
    <n v="23686"/>
    <n v="5"/>
    <n v="2"/>
    <n v="2024"/>
    <x v="5"/>
  </r>
  <r>
    <x v="1"/>
    <x v="88"/>
    <s v="2024-02-28"/>
    <n v="56939"/>
    <n v="7"/>
    <n v="2"/>
    <n v="2024"/>
    <x v="5"/>
  </r>
  <r>
    <x v="1"/>
    <x v="89"/>
    <s v="2024-03-04"/>
    <n v="22804"/>
    <n v="10"/>
    <n v="3"/>
    <n v="2024"/>
    <x v="6"/>
  </r>
  <r>
    <x v="1"/>
    <x v="32"/>
    <s v="2024-03-05"/>
    <n v="27287"/>
    <n v="9"/>
    <n v="3"/>
    <n v="2024"/>
    <x v="6"/>
  </r>
  <r>
    <x v="1"/>
    <x v="6"/>
    <s v="2024-03-05"/>
    <n v="43551"/>
    <n v="8"/>
    <n v="3"/>
    <n v="2024"/>
    <x v="6"/>
  </r>
  <r>
    <x v="1"/>
    <x v="67"/>
    <s v="2024-03-06"/>
    <n v="67671"/>
    <n v="3"/>
    <n v="3"/>
    <n v="2024"/>
    <x v="6"/>
  </r>
  <r>
    <x v="1"/>
    <x v="90"/>
    <s v="2024-03-11"/>
    <n v="20910"/>
    <n v="5"/>
    <n v="3"/>
    <n v="2024"/>
    <x v="6"/>
  </r>
  <r>
    <x v="1"/>
    <x v="91"/>
    <s v="2024-03-11"/>
    <n v="25238"/>
    <n v="7"/>
    <n v="3"/>
    <n v="2024"/>
    <x v="6"/>
  </r>
  <r>
    <x v="1"/>
    <x v="92"/>
    <s v="2024-03-15"/>
    <n v="37306"/>
    <n v="5"/>
    <n v="3"/>
    <n v="2024"/>
    <x v="6"/>
  </r>
  <r>
    <x v="1"/>
    <x v="93"/>
    <s v="2024-03-18"/>
    <n v="55635"/>
    <n v="5"/>
    <n v="3"/>
    <n v="2024"/>
    <x v="6"/>
  </r>
  <r>
    <x v="1"/>
    <x v="55"/>
    <s v="2024-03-18"/>
    <n v="83654"/>
    <n v="2"/>
    <n v="3"/>
    <n v="2024"/>
    <x v="6"/>
  </r>
  <r>
    <x v="1"/>
    <x v="54"/>
    <s v="2024-03-19"/>
    <n v="69983"/>
    <n v="3"/>
    <n v="3"/>
    <n v="2024"/>
    <x v="6"/>
  </r>
  <r>
    <x v="1"/>
    <x v="16"/>
    <s v="2024-03-26"/>
    <n v="48001"/>
    <n v="2"/>
    <n v="3"/>
    <n v="2024"/>
    <x v="6"/>
  </r>
  <r>
    <x v="1"/>
    <x v="43"/>
    <s v="2024-04-01"/>
    <n v="38437"/>
    <n v="7"/>
    <n v="4"/>
    <n v="2024"/>
    <x v="7"/>
  </r>
  <r>
    <x v="1"/>
    <x v="31"/>
    <s v="2024-04-04"/>
    <n v="64998"/>
    <n v="9"/>
    <n v="4"/>
    <n v="2024"/>
    <x v="7"/>
  </r>
  <r>
    <x v="1"/>
    <x v="8"/>
    <s v="2024-04-16"/>
    <n v="48497"/>
    <n v="6"/>
    <n v="4"/>
    <n v="2024"/>
    <x v="7"/>
  </r>
  <r>
    <x v="1"/>
    <x v="78"/>
    <s v="2024-04-18"/>
    <n v="64612"/>
    <n v="8"/>
    <n v="4"/>
    <n v="2024"/>
    <x v="7"/>
  </r>
  <r>
    <x v="1"/>
    <x v="30"/>
    <s v="2024-04-22"/>
    <n v="92045"/>
    <n v="7"/>
    <n v="4"/>
    <n v="2024"/>
    <x v="7"/>
  </r>
  <r>
    <x v="1"/>
    <x v="19"/>
    <s v="2024-05-15"/>
    <n v="33636"/>
    <n v="8"/>
    <n v="5"/>
    <n v="2024"/>
    <x v="8"/>
  </r>
  <r>
    <x v="1"/>
    <x v="38"/>
    <s v="2024-05-20"/>
    <n v="12958"/>
    <n v="9"/>
    <n v="5"/>
    <n v="2024"/>
    <x v="8"/>
  </r>
  <r>
    <x v="1"/>
    <x v="94"/>
    <s v="2024-06-05"/>
    <n v="24745"/>
    <n v="3"/>
    <n v="6"/>
    <n v="2024"/>
    <x v="9"/>
  </r>
  <r>
    <x v="1"/>
    <x v="26"/>
    <s v="2024-06-14"/>
    <n v="24823"/>
    <n v="6"/>
    <n v="6"/>
    <n v="2024"/>
    <x v="9"/>
  </r>
  <r>
    <x v="1"/>
    <x v="95"/>
    <s v="2024-06-18"/>
    <n v="35454"/>
    <n v="8"/>
    <n v="6"/>
    <n v="2024"/>
    <x v="9"/>
  </r>
  <r>
    <x v="1"/>
    <x v="88"/>
    <s v="2024-06-20"/>
    <n v="72672"/>
    <n v="5"/>
    <n v="6"/>
    <n v="2024"/>
    <x v="9"/>
  </r>
  <r>
    <x v="1"/>
    <x v="96"/>
    <s v="2024-07-01"/>
    <n v="77790"/>
    <n v="2"/>
    <n v="7"/>
    <n v="2024"/>
    <x v="10"/>
  </r>
  <r>
    <x v="1"/>
    <x v="97"/>
    <s v="2024-07-02"/>
    <n v="28762"/>
    <n v="8"/>
    <n v="7"/>
    <n v="2024"/>
    <x v="10"/>
  </r>
  <r>
    <x v="1"/>
    <x v="98"/>
    <s v="2024-07-05"/>
    <n v="62384"/>
    <n v="3"/>
    <n v="7"/>
    <n v="2024"/>
    <x v="10"/>
  </r>
  <r>
    <x v="1"/>
    <x v="10"/>
    <s v="2024-07-08"/>
    <n v="81216"/>
    <n v="7"/>
    <n v="7"/>
    <n v="2024"/>
    <x v="10"/>
  </r>
  <r>
    <x v="1"/>
    <x v="99"/>
    <s v="2024-07-10"/>
    <n v="80479"/>
    <n v="7"/>
    <n v="7"/>
    <n v="2024"/>
    <x v="10"/>
  </r>
  <r>
    <x v="1"/>
    <x v="22"/>
    <s v="2024-07-11"/>
    <n v="66084"/>
    <n v="9"/>
    <n v="7"/>
    <n v="2024"/>
    <x v="10"/>
  </r>
  <r>
    <x v="1"/>
    <x v="100"/>
    <s v="2024-07-17"/>
    <n v="24709"/>
    <n v="7"/>
    <n v="7"/>
    <n v="2024"/>
    <x v="10"/>
  </r>
  <r>
    <x v="1"/>
    <x v="15"/>
    <s v="2024-07-22"/>
    <n v="89429"/>
    <n v="7"/>
    <n v="7"/>
    <n v="2024"/>
    <x v="10"/>
  </r>
  <r>
    <x v="1"/>
    <x v="101"/>
    <s v="2024-07-22"/>
    <n v="40046"/>
    <n v="0"/>
    <n v="7"/>
    <n v="2024"/>
    <x v="10"/>
  </r>
  <r>
    <x v="1"/>
    <x v="12"/>
    <s v="2024-08-07"/>
    <n v="93054"/>
    <n v="9"/>
    <n v="8"/>
    <n v="2024"/>
    <x v="11"/>
  </r>
  <r>
    <x v="1"/>
    <x v="44"/>
    <s v="2024-08-08"/>
    <n v="96082"/>
    <n v="3"/>
    <n v="8"/>
    <n v="2024"/>
    <x v="11"/>
  </r>
  <r>
    <x v="1"/>
    <x v="102"/>
    <s v="2024-08-08"/>
    <n v="42249"/>
    <n v="9"/>
    <n v="8"/>
    <n v="2024"/>
    <x v="11"/>
  </r>
  <r>
    <x v="1"/>
    <x v="65"/>
    <s v="2024-08-14"/>
    <n v="56192"/>
    <n v="4"/>
    <n v="8"/>
    <n v="2024"/>
    <x v="11"/>
  </r>
  <r>
    <x v="1"/>
    <x v="56"/>
    <s v="2024-08-16"/>
    <n v="58063"/>
    <n v="5"/>
    <n v="8"/>
    <n v="2024"/>
    <x v="11"/>
  </r>
  <r>
    <x v="1"/>
    <x v="91"/>
    <s v="2024-08-20"/>
    <n v="29634"/>
    <n v="8"/>
    <n v="8"/>
    <n v="2024"/>
    <x v="11"/>
  </r>
  <r>
    <x v="1"/>
    <x v="18"/>
    <s v="2024-08-21"/>
    <n v="85855"/>
    <n v="9"/>
    <n v="8"/>
    <n v="2024"/>
    <x v="11"/>
  </r>
  <r>
    <x v="1"/>
    <x v="37"/>
    <s v="2024-08-22"/>
    <n v="18142"/>
    <n v="8"/>
    <n v="8"/>
    <n v="2024"/>
    <x v="11"/>
  </r>
  <r>
    <x v="2"/>
    <x v="81"/>
    <s v="2023-09-04"/>
    <n v="77152"/>
    <n v="10"/>
    <n v="9"/>
    <n v="2023"/>
    <x v="0"/>
  </r>
  <r>
    <x v="2"/>
    <x v="103"/>
    <s v="2023-09-04"/>
    <n v="30493"/>
    <n v="4"/>
    <n v="9"/>
    <n v="2023"/>
    <x v="0"/>
  </r>
  <r>
    <x v="2"/>
    <x v="104"/>
    <s v="2023-09-06"/>
    <n v="63884"/>
    <n v="7"/>
    <n v="9"/>
    <n v="2023"/>
    <x v="0"/>
  </r>
  <r>
    <x v="2"/>
    <x v="22"/>
    <s v="2023-09-13"/>
    <n v="16523"/>
    <n v="9"/>
    <n v="9"/>
    <n v="2023"/>
    <x v="0"/>
  </r>
  <r>
    <x v="2"/>
    <x v="105"/>
    <s v="2023-09-19"/>
    <n v="64562"/>
    <n v="10"/>
    <n v="9"/>
    <n v="2023"/>
    <x v="0"/>
  </r>
  <r>
    <x v="2"/>
    <x v="45"/>
    <s v="2023-09-26"/>
    <n v="23337"/>
    <n v="5"/>
    <n v="9"/>
    <n v="2023"/>
    <x v="0"/>
  </r>
  <r>
    <x v="2"/>
    <x v="106"/>
    <s v="2023-10-02"/>
    <n v="42572"/>
    <n v="8"/>
    <n v="10"/>
    <n v="2023"/>
    <x v="1"/>
  </r>
  <r>
    <x v="2"/>
    <x v="46"/>
    <s v="2023-10-02"/>
    <n v="11217"/>
    <n v="2"/>
    <n v="10"/>
    <n v="2023"/>
    <x v="1"/>
  </r>
  <r>
    <x v="2"/>
    <x v="82"/>
    <s v="2023-10-09"/>
    <n v="70255"/>
    <n v="5"/>
    <n v="10"/>
    <n v="2023"/>
    <x v="1"/>
  </r>
  <r>
    <x v="2"/>
    <x v="107"/>
    <s v="2023-10-10"/>
    <n v="75831"/>
    <n v="7"/>
    <n v="10"/>
    <n v="2023"/>
    <x v="1"/>
  </r>
  <r>
    <x v="2"/>
    <x v="108"/>
    <s v="2023-10-11"/>
    <n v="17020"/>
    <n v="8"/>
    <n v="10"/>
    <n v="2023"/>
    <x v="1"/>
  </r>
  <r>
    <x v="2"/>
    <x v="59"/>
    <s v="2023-10-12"/>
    <n v="70793"/>
    <n v="8"/>
    <n v="10"/>
    <n v="2023"/>
    <x v="1"/>
  </r>
  <r>
    <x v="2"/>
    <x v="37"/>
    <s v="2023-10-17"/>
    <n v="81042"/>
    <n v="9"/>
    <n v="10"/>
    <n v="2023"/>
    <x v="1"/>
  </r>
  <r>
    <x v="2"/>
    <x v="109"/>
    <s v="2023-10-19"/>
    <n v="64703"/>
    <n v="4"/>
    <n v="10"/>
    <n v="2023"/>
    <x v="1"/>
  </r>
  <r>
    <x v="2"/>
    <x v="87"/>
    <s v="2023-10-20"/>
    <n v="28832"/>
    <n v="9"/>
    <n v="10"/>
    <n v="2023"/>
    <x v="1"/>
  </r>
  <r>
    <x v="2"/>
    <x v="75"/>
    <s v="2023-10-23"/>
    <n v="93610"/>
    <n v="6"/>
    <n v="10"/>
    <n v="2023"/>
    <x v="1"/>
  </r>
  <r>
    <x v="2"/>
    <x v="110"/>
    <s v="2023-10-30"/>
    <n v="34690"/>
    <n v="9"/>
    <n v="10"/>
    <n v="2023"/>
    <x v="1"/>
  </r>
  <r>
    <x v="2"/>
    <x v="69"/>
    <s v="2023-10-30"/>
    <n v="63212"/>
    <n v="0"/>
    <n v="10"/>
    <n v="2023"/>
    <x v="1"/>
  </r>
  <r>
    <x v="2"/>
    <x v="89"/>
    <s v="2023-11-01"/>
    <n v="96587"/>
    <n v="5"/>
    <n v="11"/>
    <n v="2023"/>
    <x v="2"/>
  </r>
  <r>
    <x v="2"/>
    <x v="111"/>
    <s v="2023-11-03"/>
    <n v="32327"/>
    <n v="9"/>
    <n v="11"/>
    <n v="2023"/>
    <x v="2"/>
  </r>
  <r>
    <x v="2"/>
    <x v="64"/>
    <s v="2023-11-13"/>
    <n v="50829"/>
    <n v="5"/>
    <n v="11"/>
    <n v="2023"/>
    <x v="2"/>
  </r>
  <r>
    <x v="2"/>
    <x v="47"/>
    <s v="2023-11-16"/>
    <n v="59560"/>
    <n v="7"/>
    <n v="11"/>
    <n v="2023"/>
    <x v="2"/>
  </r>
  <r>
    <x v="2"/>
    <x v="112"/>
    <s v="2023-11-20"/>
    <n v="39448"/>
    <n v="7"/>
    <n v="11"/>
    <n v="2023"/>
    <x v="2"/>
  </r>
  <r>
    <x v="2"/>
    <x v="101"/>
    <s v="2023-12-06"/>
    <n v="64807"/>
    <n v="8"/>
    <n v="12"/>
    <n v="2023"/>
    <x v="3"/>
  </r>
  <r>
    <x v="2"/>
    <x v="92"/>
    <s v="2023-12-08"/>
    <n v="63398"/>
    <n v="3"/>
    <n v="12"/>
    <n v="2023"/>
    <x v="3"/>
  </r>
  <r>
    <x v="2"/>
    <x v="113"/>
    <s v="2023-12-13"/>
    <n v="83825"/>
    <n v="5"/>
    <n v="12"/>
    <n v="2023"/>
    <x v="3"/>
  </r>
  <r>
    <x v="2"/>
    <x v="114"/>
    <s v="2023-12-14"/>
    <n v="33097"/>
    <n v="0"/>
    <n v="12"/>
    <n v="2023"/>
    <x v="3"/>
  </r>
  <r>
    <x v="2"/>
    <x v="89"/>
    <s v="2023-12-15"/>
    <n v="15898"/>
    <n v="6"/>
    <n v="12"/>
    <n v="2023"/>
    <x v="3"/>
  </r>
  <r>
    <x v="2"/>
    <x v="115"/>
    <s v="2023-12-21"/>
    <n v="64619"/>
    <n v="10"/>
    <n v="12"/>
    <n v="2023"/>
    <x v="3"/>
  </r>
  <r>
    <x v="2"/>
    <x v="3"/>
    <s v="2023-12-25"/>
    <n v="22812"/>
    <n v="8"/>
    <n v="12"/>
    <n v="2023"/>
    <x v="3"/>
  </r>
  <r>
    <x v="2"/>
    <x v="116"/>
    <s v="2024-01-17"/>
    <n v="58781"/>
    <n v="10"/>
    <n v="1"/>
    <n v="2024"/>
    <x v="4"/>
  </r>
  <r>
    <x v="2"/>
    <x v="117"/>
    <s v="2024-01-19"/>
    <n v="16736"/>
    <n v="3"/>
    <n v="1"/>
    <n v="2024"/>
    <x v="4"/>
  </r>
  <r>
    <x v="2"/>
    <x v="118"/>
    <s v="2024-01-22"/>
    <n v="80196"/>
    <n v="7"/>
    <n v="1"/>
    <n v="2024"/>
    <x v="4"/>
  </r>
  <r>
    <x v="2"/>
    <x v="119"/>
    <s v="2024-01-22"/>
    <n v="22749"/>
    <n v="5"/>
    <n v="1"/>
    <n v="2024"/>
    <x v="4"/>
  </r>
  <r>
    <x v="2"/>
    <x v="9"/>
    <s v="2024-01-30"/>
    <n v="44702"/>
    <n v="0"/>
    <n v="1"/>
    <n v="2024"/>
    <x v="4"/>
  </r>
  <r>
    <x v="2"/>
    <x v="44"/>
    <s v="2024-02-16"/>
    <n v="95294"/>
    <n v="6"/>
    <n v="2"/>
    <n v="2024"/>
    <x v="5"/>
  </r>
  <r>
    <x v="2"/>
    <x v="66"/>
    <s v="2024-02-20"/>
    <n v="86275"/>
    <n v="5"/>
    <n v="2"/>
    <n v="2024"/>
    <x v="5"/>
  </r>
  <r>
    <x v="2"/>
    <x v="48"/>
    <s v="2024-02-26"/>
    <n v="24798"/>
    <n v="9"/>
    <n v="2"/>
    <n v="2024"/>
    <x v="5"/>
  </r>
  <r>
    <x v="2"/>
    <x v="39"/>
    <s v="2024-02-26"/>
    <n v="55120"/>
    <n v="4"/>
    <n v="2"/>
    <n v="2024"/>
    <x v="5"/>
  </r>
  <r>
    <x v="2"/>
    <x v="43"/>
    <s v="2024-03-05"/>
    <n v="67649"/>
    <n v="6"/>
    <n v="3"/>
    <n v="2024"/>
    <x v="6"/>
  </r>
  <r>
    <x v="2"/>
    <x v="120"/>
    <s v="2024-03-06"/>
    <n v="26632"/>
    <n v="1"/>
    <n v="3"/>
    <n v="2024"/>
    <x v="6"/>
  </r>
  <r>
    <x v="2"/>
    <x v="121"/>
    <s v="2024-03-27"/>
    <n v="59543"/>
    <n v="7"/>
    <n v="3"/>
    <n v="2024"/>
    <x v="6"/>
  </r>
  <r>
    <x v="2"/>
    <x v="54"/>
    <s v="2024-04-09"/>
    <n v="38859"/>
    <n v="3"/>
    <n v="4"/>
    <n v="2024"/>
    <x v="7"/>
  </r>
  <r>
    <x v="2"/>
    <x v="110"/>
    <s v="2024-04-10"/>
    <n v="56069"/>
    <n v="3"/>
    <n v="4"/>
    <n v="2024"/>
    <x v="7"/>
  </r>
  <r>
    <x v="2"/>
    <x v="122"/>
    <s v="2024-04-11"/>
    <n v="76148"/>
    <n v="4"/>
    <n v="4"/>
    <n v="2024"/>
    <x v="7"/>
  </r>
  <r>
    <x v="2"/>
    <x v="49"/>
    <s v="2024-04-16"/>
    <n v="54024"/>
    <n v="7"/>
    <n v="4"/>
    <n v="2024"/>
    <x v="7"/>
  </r>
  <r>
    <x v="2"/>
    <x v="55"/>
    <s v="2024-04-16"/>
    <n v="62557"/>
    <n v="5"/>
    <n v="4"/>
    <n v="2024"/>
    <x v="7"/>
  </r>
  <r>
    <x v="2"/>
    <x v="23"/>
    <s v="2024-04-29"/>
    <n v="46297"/>
    <n v="7"/>
    <n v="4"/>
    <n v="2024"/>
    <x v="7"/>
  </r>
  <r>
    <x v="2"/>
    <x v="63"/>
    <s v="2024-05-06"/>
    <n v="79797"/>
    <n v="1"/>
    <n v="5"/>
    <n v="2024"/>
    <x v="8"/>
  </r>
  <r>
    <x v="2"/>
    <x v="123"/>
    <s v="2024-05-06"/>
    <n v="60145"/>
    <n v="7"/>
    <n v="5"/>
    <n v="2024"/>
    <x v="8"/>
  </r>
  <r>
    <x v="2"/>
    <x v="124"/>
    <s v="2024-05-13"/>
    <n v="27187"/>
    <n v="3"/>
    <n v="5"/>
    <n v="2024"/>
    <x v="8"/>
  </r>
  <r>
    <x v="2"/>
    <x v="30"/>
    <s v="2024-05-13"/>
    <n v="44537"/>
    <n v="3"/>
    <n v="5"/>
    <n v="2024"/>
    <x v="8"/>
  </r>
  <r>
    <x v="2"/>
    <x v="125"/>
    <s v="2024-05-20"/>
    <n v="46160"/>
    <n v="6"/>
    <n v="5"/>
    <n v="2024"/>
    <x v="8"/>
  </r>
  <r>
    <x v="2"/>
    <x v="126"/>
    <s v="2024-05-20"/>
    <n v="64682"/>
    <n v="4"/>
    <n v="5"/>
    <n v="2024"/>
    <x v="8"/>
  </r>
  <r>
    <x v="2"/>
    <x v="38"/>
    <s v="2024-05-24"/>
    <n v="61005"/>
    <n v="6"/>
    <n v="5"/>
    <n v="2024"/>
    <x v="8"/>
  </r>
  <r>
    <x v="2"/>
    <x v="127"/>
    <s v="2024-05-27"/>
    <n v="13664"/>
    <n v="6"/>
    <n v="5"/>
    <n v="2024"/>
    <x v="8"/>
  </r>
  <r>
    <x v="2"/>
    <x v="128"/>
    <s v="2024-05-27"/>
    <n v="17068"/>
    <n v="9"/>
    <n v="5"/>
    <n v="2024"/>
    <x v="8"/>
  </r>
  <r>
    <x v="2"/>
    <x v="129"/>
    <s v="2024-05-28"/>
    <n v="54713"/>
    <n v="5"/>
    <n v="5"/>
    <n v="2024"/>
    <x v="8"/>
  </r>
  <r>
    <x v="2"/>
    <x v="86"/>
    <s v="2024-05-31"/>
    <n v="56986"/>
    <n v="6"/>
    <n v="5"/>
    <n v="2024"/>
    <x v="8"/>
  </r>
  <r>
    <x v="2"/>
    <x v="20"/>
    <s v="2024-06-03"/>
    <n v="72903"/>
    <n v="8"/>
    <n v="6"/>
    <n v="2024"/>
    <x v="9"/>
  </r>
  <r>
    <x v="2"/>
    <x v="40"/>
    <s v="2024-06-10"/>
    <n v="38885"/>
    <n v="4"/>
    <n v="6"/>
    <n v="2024"/>
    <x v="9"/>
  </r>
  <r>
    <x v="2"/>
    <x v="130"/>
    <s v="2024-06-14"/>
    <n v="20817"/>
    <n v="4"/>
    <n v="6"/>
    <n v="2024"/>
    <x v="9"/>
  </r>
  <r>
    <x v="2"/>
    <x v="100"/>
    <s v="2024-06-24"/>
    <n v="90543"/>
    <n v="7"/>
    <n v="6"/>
    <n v="2024"/>
    <x v="9"/>
  </r>
  <r>
    <x v="2"/>
    <x v="95"/>
    <s v="2024-06-28"/>
    <n v="91413"/>
    <n v="9"/>
    <n v="6"/>
    <n v="2024"/>
    <x v="9"/>
  </r>
  <r>
    <x v="2"/>
    <x v="130"/>
    <s v="2024-06-28"/>
    <n v="41489"/>
    <n v="7"/>
    <n v="6"/>
    <n v="2024"/>
    <x v="9"/>
  </r>
  <r>
    <x v="2"/>
    <x v="24"/>
    <s v="2024-07-01"/>
    <n v="77456"/>
    <n v="5"/>
    <n v="7"/>
    <n v="2024"/>
    <x v="10"/>
  </r>
  <r>
    <x v="2"/>
    <x v="18"/>
    <s v="2024-07-01"/>
    <n v="78647"/>
    <n v="4"/>
    <n v="7"/>
    <n v="2024"/>
    <x v="10"/>
  </r>
  <r>
    <x v="2"/>
    <x v="1"/>
    <s v="2024-07-02"/>
    <n v="69773"/>
    <n v="8"/>
    <n v="7"/>
    <n v="2024"/>
    <x v="10"/>
  </r>
  <r>
    <x v="2"/>
    <x v="82"/>
    <s v="2024-07-09"/>
    <n v="37556"/>
    <n v="5"/>
    <n v="7"/>
    <n v="2024"/>
    <x v="10"/>
  </r>
  <r>
    <x v="2"/>
    <x v="126"/>
    <s v="2024-07-19"/>
    <n v="62495"/>
    <n v="6"/>
    <n v="7"/>
    <n v="2024"/>
    <x v="10"/>
  </r>
  <r>
    <x v="2"/>
    <x v="77"/>
    <s v="2024-07-25"/>
    <n v="93015"/>
    <n v="8"/>
    <n v="7"/>
    <n v="2024"/>
    <x v="10"/>
  </r>
  <r>
    <x v="2"/>
    <x v="67"/>
    <s v="2024-07-29"/>
    <n v="98224"/>
    <n v="1"/>
    <n v="7"/>
    <n v="2024"/>
    <x v="10"/>
  </r>
  <r>
    <x v="2"/>
    <x v="128"/>
    <s v="2024-07-31"/>
    <n v="89186"/>
    <n v="6"/>
    <n v="7"/>
    <n v="2024"/>
    <x v="10"/>
  </r>
  <r>
    <x v="2"/>
    <x v="131"/>
    <s v="2024-08-05"/>
    <n v="80337"/>
    <n v="5"/>
    <n v="8"/>
    <n v="2024"/>
    <x v="11"/>
  </r>
  <r>
    <x v="2"/>
    <x v="125"/>
    <s v="2024-08-05"/>
    <n v="61048"/>
    <n v="9"/>
    <n v="8"/>
    <n v="2024"/>
    <x v="11"/>
  </r>
  <r>
    <x v="2"/>
    <x v="75"/>
    <s v="2024-08-12"/>
    <n v="76342"/>
    <n v="3"/>
    <n v="8"/>
    <n v="2024"/>
    <x v="11"/>
  </r>
  <r>
    <x v="2"/>
    <x v="122"/>
    <s v="2024-08-16"/>
    <n v="48185"/>
    <n v="9"/>
    <n v="8"/>
    <n v="2024"/>
    <x v="11"/>
  </r>
  <r>
    <x v="2"/>
    <x v="63"/>
    <s v="2024-08-19"/>
    <n v="85016"/>
    <n v="6"/>
    <n v="8"/>
    <n v="2024"/>
    <x v="11"/>
  </r>
  <r>
    <x v="2"/>
    <x v="9"/>
    <s v="2024-08-27"/>
    <n v="55228"/>
    <n v="6"/>
    <n v="8"/>
    <n v="2024"/>
    <x v="11"/>
  </r>
  <r>
    <x v="3"/>
    <x v="47"/>
    <s v="2023-09-08"/>
    <n v="69529"/>
    <n v="8"/>
    <n v="9"/>
    <n v="2023"/>
    <x v="0"/>
  </r>
  <r>
    <x v="3"/>
    <x v="95"/>
    <s v="2023-09-11"/>
    <n v="35608"/>
    <n v="10"/>
    <n v="9"/>
    <n v="2023"/>
    <x v="0"/>
  </r>
  <r>
    <x v="3"/>
    <x v="132"/>
    <s v="2023-09-11"/>
    <n v="20221"/>
    <n v="6"/>
    <n v="9"/>
    <n v="2023"/>
    <x v="0"/>
  </r>
  <r>
    <x v="3"/>
    <x v="126"/>
    <s v="2023-09-18"/>
    <n v="34383"/>
    <n v="8"/>
    <n v="9"/>
    <n v="2023"/>
    <x v="0"/>
  </r>
  <r>
    <x v="3"/>
    <x v="133"/>
    <s v="2023-10-03"/>
    <n v="63177"/>
    <n v="7"/>
    <n v="10"/>
    <n v="2023"/>
    <x v="1"/>
  </r>
  <r>
    <x v="3"/>
    <x v="134"/>
    <s v="2023-10-09"/>
    <n v="54092"/>
    <n v="1"/>
    <n v="10"/>
    <n v="2023"/>
    <x v="1"/>
  </r>
  <r>
    <x v="3"/>
    <x v="9"/>
    <s v="2023-10-16"/>
    <n v="47478"/>
    <n v="7"/>
    <n v="10"/>
    <n v="2023"/>
    <x v="1"/>
  </r>
  <r>
    <x v="3"/>
    <x v="39"/>
    <s v="2023-10-23"/>
    <n v="30813"/>
    <n v="4"/>
    <n v="10"/>
    <n v="2023"/>
    <x v="1"/>
  </r>
  <r>
    <x v="3"/>
    <x v="135"/>
    <s v="2023-11-01"/>
    <n v="78814"/>
    <n v="1"/>
    <n v="11"/>
    <n v="2023"/>
    <x v="2"/>
  </r>
  <r>
    <x v="3"/>
    <x v="17"/>
    <s v="2023-11-08"/>
    <n v="37209"/>
    <n v="8"/>
    <n v="11"/>
    <n v="2023"/>
    <x v="2"/>
  </r>
  <r>
    <x v="3"/>
    <x v="12"/>
    <s v="2023-11-20"/>
    <n v="84651"/>
    <n v="3"/>
    <n v="11"/>
    <n v="2023"/>
    <x v="2"/>
  </r>
  <r>
    <x v="3"/>
    <x v="81"/>
    <s v="2023-11-20"/>
    <n v="66606"/>
    <n v="7"/>
    <n v="11"/>
    <n v="2023"/>
    <x v="2"/>
  </r>
  <r>
    <x v="3"/>
    <x v="133"/>
    <s v="2023-11-23"/>
    <n v="27815"/>
    <n v="4"/>
    <n v="11"/>
    <n v="2023"/>
    <x v="2"/>
  </r>
  <r>
    <x v="3"/>
    <x v="33"/>
    <s v="2023-11-29"/>
    <n v="30811"/>
    <n v="7"/>
    <n v="11"/>
    <n v="2023"/>
    <x v="2"/>
  </r>
  <r>
    <x v="3"/>
    <x v="32"/>
    <s v="2023-12-04"/>
    <n v="14275"/>
    <n v="6"/>
    <n v="12"/>
    <n v="2023"/>
    <x v="3"/>
  </r>
  <r>
    <x v="3"/>
    <x v="77"/>
    <s v="2023-12-12"/>
    <n v="18859"/>
    <n v="7"/>
    <n v="12"/>
    <n v="2023"/>
    <x v="3"/>
  </r>
  <r>
    <x v="3"/>
    <x v="20"/>
    <s v="2023-12-14"/>
    <n v="46249"/>
    <n v="5"/>
    <n v="12"/>
    <n v="2023"/>
    <x v="3"/>
  </r>
  <r>
    <x v="3"/>
    <x v="22"/>
    <s v="2023-12-15"/>
    <n v="64711"/>
    <n v="10"/>
    <n v="12"/>
    <n v="2023"/>
    <x v="3"/>
  </r>
  <r>
    <x v="3"/>
    <x v="83"/>
    <s v="2023-12-18"/>
    <n v="97611"/>
    <n v="6"/>
    <n v="12"/>
    <n v="2023"/>
    <x v="3"/>
  </r>
  <r>
    <x v="3"/>
    <x v="27"/>
    <s v="2023-12-18"/>
    <n v="45898"/>
    <n v="6"/>
    <n v="12"/>
    <n v="2023"/>
    <x v="3"/>
  </r>
  <r>
    <x v="3"/>
    <x v="30"/>
    <s v="2023-12-26"/>
    <n v="69386"/>
    <n v="7"/>
    <n v="12"/>
    <n v="2023"/>
    <x v="3"/>
  </r>
  <r>
    <x v="3"/>
    <x v="32"/>
    <s v="2023-12-27"/>
    <n v="14897"/>
    <n v="6"/>
    <n v="12"/>
    <n v="2023"/>
    <x v="3"/>
  </r>
  <r>
    <x v="3"/>
    <x v="20"/>
    <s v="2024-01-01"/>
    <n v="38286"/>
    <n v="7"/>
    <n v="1"/>
    <n v="2024"/>
    <x v="4"/>
  </r>
  <r>
    <x v="3"/>
    <x v="15"/>
    <s v="2024-01-02"/>
    <n v="17286"/>
    <n v="3"/>
    <n v="1"/>
    <n v="2024"/>
    <x v="4"/>
  </r>
  <r>
    <x v="3"/>
    <x v="10"/>
    <s v="2024-01-15"/>
    <n v="59274"/>
    <n v="5"/>
    <n v="1"/>
    <n v="2024"/>
    <x v="4"/>
  </r>
  <r>
    <x v="3"/>
    <x v="20"/>
    <s v="2024-01-29"/>
    <n v="53245"/>
    <n v="6"/>
    <n v="1"/>
    <n v="2024"/>
    <x v="4"/>
  </r>
  <r>
    <x v="3"/>
    <x v="82"/>
    <s v="2024-01-29"/>
    <n v="25877"/>
    <n v="7"/>
    <n v="1"/>
    <n v="2024"/>
    <x v="4"/>
  </r>
  <r>
    <x v="3"/>
    <x v="67"/>
    <s v="2024-01-30"/>
    <n v="59044"/>
    <n v="0"/>
    <n v="1"/>
    <n v="2024"/>
    <x v="4"/>
  </r>
  <r>
    <x v="3"/>
    <x v="136"/>
    <s v="2024-02-07"/>
    <n v="24642"/>
    <n v="6"/>
    <n v="2"/>
    <n v="2024"/>
    <x v="5"/>
  </r>
  <r>
    <x v="3"/>
    <x v="91"/>
    <s v="2024-02-13"/>
    <n v="73166"/>
    <n v="5"/>
    <n v="2"/>
    <n v="2024"/>
    <x v="5"/>
  </r>
  <r>
    <x v="3"/>
    <x v="14"/>
    <s v="2024-02-26"/>
    <n v="98700"/>
    <n v="2"/>
    <n v="2"/>
    <n v="2024"/>
    <x v="5"/>
  </r>
  <r>
    <x v="3"/>
    <x v="137"/>
    <s v="2024-02-26"/>
    <n v="48520"/>
    <n v="5"/>
    <n v="2"/>
    <n v="2024"/>
    <x v="5"/>
  </r>
  <r>
    <x v="3"/>
    <x v="12"/>
    <s v="2024-02-26"/>
    <n v="99529"/>
    <n v="6"/>
    <n v="2"/>
    <n v="2024"/>
    <x v="5"/>
  </r>
  <r>
    <x v="3"/>
    <x v="104"/>
    <s v="2024-03-04"/>
    <n v="69841"/>
    <n v="4"/>
    <n v="3"/>
    <n v="2024"/>
    <x v="6"/>
  </r>
  <r>
    <x v="3"/>
    <x v="45"/>
    <s v="2024-03-12"/>
    <n v="77174"/>
    <n v="8"/>
    <n v="3"/>
    <n v="2024"/>
    <x v="6"/>
  </r>
  <r>
    <x v="3"/>
    <x v="92"/>
    <s v="2024-03-20"/>
    <n v="40515"/>
    <n v="4"/>
    <n v="3"/>
    <n v="2024"/>
    <x v="6"/>
  </r>
  <r>
    <x v="3"/>
    <x v="138"/>
    <s v="2024-03-26"/>
    <n v="42918"/>
    <n v="8"/>
    <n v="3"/>
    <n v="2024"/>
    <x v="6"/>
  </r>
  <r>
    <x v="3"/>
    <x v="139"/>
    <s v="2024-04-01"/>
    <n v="88574"/>
    <n v="5"/>
    <n v="4"/>
    <n v="2024"/>
    <x v="7"/>
  </r>
  <r>
    <x v="3"/>
    <x v="50"/>
    <s v="2024-04-03"/>
    <n v="59678"/>
    <n v="3"/>
    <n v="4"/>
    <n v="2024"/>
    <x v="7"/>
  </r>
  <r>
    <x v="3"/>
    <x v="27"/>
    <s v="2024-04-15"/>
    <n v="23569"/>
    <n v="8"/>
    <n v="4"/>
    <n v="2024"/>
    <x v="7"/>
  </r>
  <r>
    <x v="3"/>
    <x v="73"/>
    <s v="2024-04-15"/>
    <n v="96797"/>
    <n v="5"/>
    <n v="4"/>
    <n v="2024"/>
    <x v="7"/>
  </r>
  <r>
    <x v="3"/>
    <x v="140"/>
    <s v="2024-04-17"/>
    <n v="74599"/>
    <n v="0"/>
    <n v="4"/>
    <n v="2024"/>
    <x v="7"/>
  </r>
  <r>
    <x v="3"/>
    <x v="42"/>
    <s v="2024-04-18"/>
    <n v="56272"/>
    <n v="8"/>
    <n v="4"/>
    <n v="2024"/>
    <x v="7"/>
  </r>
  <r>
    <x v="3"/>
    <x v="53"/>
    <s v="2024-04-25"/>
    <n v="15400"/>
    <n v="8"/>
    <n v="4"/>
    <n v="2024"/>
    <x v="7"/>
  </r>
  <r>
    <x v="3"/>
    <x v="51"/>
    <s v="2024-05-06"/>
    <n v="18012"/>
    <n v="8"/>
    <n v="5"/>
    <n v="2024"/>
    <x v="8"/>
  </r>
  <r>
    <x v="3"/>
    <x v="141"/>
    <s v="2024-05-06"/>
    <n v="21278"/>
    <n v="9"/>
    <n v="5"/>
    <n v="2024"/>
    <x v="8"/>
  </r>
  <r>
    <x v="3"/>
    <x v="77"/>
    <s v="2024-05-13"/>
    <n v="22103"/>
    <n v="7"/>
    <n v="5"/>
    <n v="2024"/>
    <x v="8"/>
  </r>
  <r>
    <x v="3"/>
    <x v="56"/>
    <s v="2024-05-14"/>
    <n v="96394"/>
    <n v="6"/>
    <n v="5"/>
    <n v="2024"/>
    <x v="8"/>
  </r>
  <r>
    <x v="3"/>
    <x v="49"/>
    <s v="2024-05-14"/>
    <n v="63888"/>
    <n v="0"/>
    <n v="5"/>
    <n v="2024"/>
    <x v="8"/>
  </r>
  <r>
    <x v="3"/>
    <x v="142"/>
    <s v="2024-05-17"/>
    <n v="75160"/>
    <n v="5"/>
    <n v="5"/>
    <n v="2024"/>
    <x v="8"/>
  </r>
  <r>
    <x v="3"/>
    <x v="143"/>
    <s v="2024-05-22"/>
    <n v="48892"/>
    <n v="7"/>
    <n v="5"/>
    <n v="2024"/>
    <x v="8"/>
  </r>
  <r>
    <x v="3"/>
    <x v="144"/>
    <s v="2024-05-22"/>
    <n v="48323"/>
    <n v="3"/>
    <n v="5"/>
    <n v="2024"/>
    <x v="8"/>
  </r>
  <r>
    <x v="3"/>
    <x v="2"/>
    <s v="2024-05-27"/>
    <n v="65818"/>
    <n v="5"/>
    <n v="5"/>
    <n v="2024"/>
    <x v="8"/>
  </r>
  <r>
    <x v="3"/>
    <x v="111"/>
    <s v="2024-05-27"/>
    <n v="29952"/>
    <n v="9"/>
    <n v="5"/>
    <n v="2024"/>
    <x v="8"/>
  </r>
  <r>
    <x v="3"/>
    <x v="3"/>
    <s v="2024-06-06"/>
    <n v="69205"/>
    <n v="4"/>
    <n v="6"/>
    <n v="2024"/>
    <x v="9"/>
  </r>
  <r>
    <x v="3"/>
    <x v="131"/>
    <s v="2024-06-07"/>
    <n v="65604"/>
    <n v="6"/>
    <n v="6"/>
    <n v="2024"/>
    <x v="9"/>
  </r>
  <r>
    <x v="3"/>
    <x v="114"/>
    <s v="2024-06-11"/>
    <n v="81721"/>
    <n v="4"/>
    <n v="6"/>
    <n v="2024"/>
    <x v="9"/>
  </r>
  <r>
    <x v="3"/>
    <x v="117"/>
    <s v="2024-06-11"/>
    <n v="47692"/>
    <n v="7"/>
    <n v="6"/>
    <n v="2024"/>
    <x v="9"/>
  </r>
  <r>
    <x v="3"/>
    <x v="145"/>
    <s v="2024-06-12"/>
    <n v="45109"/>
    <n v="1"/>
    <n v="6"/>
    <n v="2024"/>
    <x v="9"/>
  </r>
  <r>
    <x v="3"/>
    <x v="146"/>
    <s v="2024-06-17"/>
    <n v="81900"/>
    <n v="6"/>
    <n v="6"/>
    <n v="2024"/>
    <x v="9"/>
  </r>
  <r>
    <x v="3"/>
    <x v="87"/>
    <s v="2024-06-17"/>
    <n v="41777"/>
    <n v="9"/>
    <n v="6"/>
    <n v="2024"/>
    <x v="9"/>
  </r>
  <r>
    <x v="3"/>
    <x v="40"/>
    <s v="2024-07-02"/>
    <n v="41439"/>
    <n v="7"/>
    <n v="7"/>
    <n v="2024"/>
    <x v="10"/>
  </r>
  <r>
    <x v="3"/>
    <x v="91"/>
    <s v="2024-07-04"/>
    <n v="21014"/>
    <n v="3"/>
    <n v="7"/>
    <n v="2024"/>
    <x v="10"/>
  </r>
  <r>
    <x v="3"/>
    <x v="95"/>
    <s v="2024-07-10"/>
    <n v="97544"/>
    <n v="10"/>
    <n v="7"/>
    <n v="2024"/>
    <x v="10"/>
  </r>
  <r>
    <x v="3"/>
    <x v="107"/>
    <s v="2024-07-12"/>
    <n v="18739"/>
    <n v="6"/>
    <n v="7"/>
    <n v="2024"/>
    <x v="10"/>
  </r>
  <r>
    <x v="3"/>
    <x v="2"/>
    <s v="2024-07-22"/>
    <n v="14084"/>
    <n v="8"/>
    <n v="7"/>
    <n v="2024"/>
    <x v="10"/>
  </r>
  <r>
    <x v="3"/>
    <x v="14"/>
    <s v="2024-07-24"/>
    <n v="48587"/>
    <n v="8"/>
    <n v="7"/>
    <n v="2024"/>
    <x v="10"/>
  </r>
  <r>
    <x v="3"/>
    <x v="119"/>
    <s v="2024-08-01"/>
    <n v="72907"/>
    <n v="9"/>
    <n v="8"/>
    <n v="2024"/>
    <x v="11"/>
  </r>
  <r>
    <x v="3"/>
    <x v="113"/>
    <s v="2024-08-01"/>
    <n v="19215"/>
    <n v="7"/>
    <n v="8"/>
    <n v="2024"/>
    <x v="11"/>
  </r>
  <r>
    <x v="3"/>
    <x v="98"/>
    <s v="2024-08-06"/>
    <n v="42514"/>
    <n v="9"/>
    <n v="8"/>
    <n v="2024"/>
    <x v="11"/>
  </r>
  <r>
    <x v="3"/>
    <x v="147"/>
    <s v="2024-08-14"/>
    <n v="27077"/>
    <n v="7"/>
    <n v="8"/>
    <n v="2024"/>
    <x v="11"/>
  </r>
  <r>
    <x v="3"/>
    <x v="36"/>
    <s v="2024-08-15"/>
    <n v="35818"/>
    <n v="8"/>
    <n v="8"/>
    <n v="2024"/>
    <x v="11"/>
  </r>
  <r>
    <x v="3"/>
    <x v="148"/>
    <s v="2024-08-30"/>
    <n v="98328"/>
    <n v="7"/>
    <n v="8"/>
    <n v="2024"/>
    <x v="11"/>
  </r>
  <r>
    <x v="4"/>
    <x v="11"/>
    <s v="2023-09-11"/>
    <n v="27016"/>
    <n v="8"/>
    <n v="9"/>
    <n v="2023"/>
    <x v="0"/>
  </r>
  <r>
    <x v="4"/>
    <x v="15"/>
    <s v="2023-09-18"/>
    <n v="18447"/>
    <n v="9"/>
    <n v="9"/>
    <n v="2023"/>
    <x v="0"/>
  </r>
  <r>
    <x v="4"/>
    <x v="8"/>
    <s v="2023-09-19"/>
    <n v="85722"/>
    <n v="7"/>
    <n v="9"/>
    <n v="2023"/>
    <x v="0"/>
  </r>
  <r>
    <x v="4"/>
    <x v="105"/>
    <s v="2023-09-29"/>
    <n v="80990"/>
    <n v="2"/>
    <n v="9"/>
    <n v="2023"/>
    <x v="0"/>
  </r>
  <r>
    <x v="4"/>
    <x v="124"/>
    <s v="2023-10-09"/>
    <n v="64890"/>
    <n v="9"/>
    <n v="10"/>
    <n v="2023"/>
    <x v="1"/>
  </r>
  <r>
    <x v="4"/>
    <x v="81"/>
    <s v="2023-10-12"/>
    <n v="16372"/>
    <n v="3"/>
    <n v="10"/>
    <n v="2023"/>
    <x v="1"/>
  </r>
  <r>
    <x v="4"/>
    <x v="149"/>
    <s v="2023-10-16"/>
    <n v="80799"/>
    <n v="2"/>
    <n v="10"/>
    <n v="2023"/>
    <x v="1"/>
  </r>
  <r>
    <x v="4"/>
    <x v="3"/>
    <s v="2023-10-16"/>
    <n v="54320"/>
    <n v="6"/>
    <n v="10"/>
    <n v="2023"/>
    <x v="1"/>
  </r>
  <r>
    <x v="4"/>
    <x v="1"/>
    <s v="2023-10-27"/>
    <n v="67985"/>
    <n v="4"/>
    <n v="10"/>
    <n v="2023"/>
    <x v="1"/>
  </r>
  <r>
    <x v="4"/>
    <x v="150"/>
    <s v="2023-10-30"/>
    <n v="39689"/>
    <n v="1"/>
    <n v="10"/>
    <n v="2023"/>
    <x v="1"/>
  </r>
  <r>
    <x v="4"/>
    <x v="135"/>
    <s v="2023-10-31"/>
    <n v="15354"/>
    <n v="6"/>
    <n v="10"/>
    <n v="2023"/>
    <x v="1"/>
  </r>
  <r>
    <x v="4"/>
    <x v="2"/>
    <s v="2023-11-01"/>
    <n v="71495"/>
    <n v="4"/>
    <n v="11"/>
    <n v="2023"/>
    <x v="2"/>
  </r>
  <r>
    <x v="4"/>
    <x v="46"/>
    <s v="2023-11-08"/>
    <n v="58805"/>
    <n v="7"/>
    <n v="11"/>
    <n v="2023"/>
    <x v="2"/>
  </r>
  <r>
    <x v="4"/>
    <x v="44"/>
    <s v="2023-11-10"/>
    <n v="39575"/>
    <n v="7"/>
    <n v="11"/>
    <n v="2023"/>
    <x v="2"/>
  </r>
  <r>
    <x v="4"/>
    <x v="52"/>
    <s v="2023-11-13"/>
    <n v="29570"/>
    <n v="7"/>
    <n v="11"/>
    <n v="2023"/>
    <x v="2"/>
  </r>
  <r>
    <x v="4"/>
    <x v="45"/>
    <s v="2023-11-13"/>
    <n v="89878"/>
    <n v="4"/>
    <n v="11"/>
    <n v="2023"/>
    <x v="2"/>
  </r>
  <r>
    <x v="4"/>
    <x v="91"/>
    <s v="2023-11-16"/>
    <n v="67299"/>
    <n v="7"/>
    <n v="11"/>
    <n v="2023"/>
    <x v="2"/>
  </r>
  <r>
    <x v="4"/>
    <x v="34"/>
    <s v="2023-11-20"/>
    <n v="47274"/>
    <n v="1"/>
    <n v="11"/>
    <n v="2023"/>
    <x v="2"/>
  </r>
  <r>
    <x v="4"/>
    <x v="106"/>
    <s v="2023-11-27"/>
    <n v="76344"/>
    <n v="2"/>
    <n v="11"/>
    <n v="2023"/>
    <x v="2"/>
  </r>
  <r>
    <x v="4"/>
    <x v="57"/>
    <s v="2023-12-11"/>
    <n v="41034"/>
    <n v="3"/>
    <n v="12"/>
    <n v="2023"/>
    <x v="3"/>
  </r>
  <r>
    <x v="4"/>
    <x v="77"/>
    <s v="2023-12-18"/>
    <n v="11769"/>
    <n v="8"/>
    <n v="12"/>
    <n v="2023"/>
    <x v="3"/>
  </r>
  <r>
    <x v="4"/>
    <x v="89"/>
    <s v="2023-12-19"/>
    <n v="15585"/>
    <n v="7"/>
    <n v="12"/>
    <n v="2023"/>
    <x v="3"/>
  </r>
  <r>
    <x v="4"/>
    <x v="123"/>
    <s v="2023-12-22"/>
    <n v="36661"/>
    <n v="5"/>
    <n v="12"/>
    <n v="2023"/>
    <x v="3"/>
  </r>
  <r>
    <x v="4"/>
    <x v="66"/>
    <s v="2023-12-25"/>
    <n v="53168"/>
    <n v="8"/>
    <n v="12"/>
    <n v="2023"/>
    <x v="3"/>
  </r>
  <r>
    <x v="4"/>
    <x v="75"/>
    <s v="2023-12-26"/>
    <n v="26143"/>
    <n v="2"/>
    <n v="12"/>
    <n v="2023"/>
    <x v="3"/>
  </r>
  <r>
    <x v="4"/>
    <x v="151"/>
    <s v="2024-01-09"/>
    <n v="67795"/>
    <n v="8"/>
    <n v="1"/>
    <n v="2024"/>
    <x v="4"/>
  </r>
  <r>
    <x v="4"/>
    <x v="152"/>
    <s v="2024-01-10"/>
    <n v="46841"/>
    <n v="9"/>
    <n v="1"/>
    <n v="2024"/>
    <x v="4"/>
  </r>
  <r>
    <x v="4"/>
    <x v="153"/>
    <s v="2024-01-11"/>
    <n v="78582"/>
    <n v="9"/>
    <n v="1"/>
    <n v="2024"/>
    <x v="4"/>
  </r>
  <r>
    <x v="4"/>
    <x v="105"/>
    <s v="2024-01-16"/>
    <n v="40464"/>
    <n v="9"/>
    <n v="1"/>
    <n v="2024"/>
    <x v="4"/>
  </r>
  <r>
    <x v="4"/>
    <x v="96"/>
    <s v="2024-01-22"/>
    <n v="81618"/>
    <n v="6"/>
    <n v="1"/>
    <n v="2024"/>
    <x v="4"/>
  </r>
  <r>
    <x v="4"/>
    <x v="154"/>
    <s v="2024-01-24"/>
    <n v="18445"/>
    <n v="6"/>
    <n v="1"/>
    <n v="2024"/>
    <x v="4"/>
  </r>
  <r>
    <x v="4"/>
    <x v="78"/>
    <s v="2024-01-26"/>
    <n v="44762"/>
    <n v="9"/>
    <n v="1"/>
    <n v="2024"/>
    <x v="4"/>
  </r>
  <r>
    <x v="4"/>
    <x v="44"/>
    <s v="2024-01-29"/>
    <n v="27458"/>
    <n v="6"/>
    <n v="1"/>
    <n v="2024"/>
    <x v="4"/>
  </r>
  <r>
    <x v="4"/>
    <x v="137"/>
    <s v="2024-02-08"/>
    <n v="34583"/>
    <n v="4"/>
    <n v="2"/>
    <n v="2024"/>
    <x v="5"/>
  </r>
  <r>
    <x v="4"/>
    <x v="123"/>
    <s v="2024-02-08"/>
    <n v="47962"/>
    <n v="6"/>
    <n v="2"/>
    <n v="2024"/>
    <x v="5"/>
  </r>
  <r>
    <x v="4"/>
    <x v="12"/>
    <s v="2024-02-14"/>
    <n v="55251"/>
    <n v="5"/>
    <n v="2"/>
    <n v="2024"/>
    <x v="5"/>
  </r>
  <r>
    <x v="4"/>
    <x v="127"/>
    <s v="2024-02-16"/>
    <n v="77306"/>
    <n v="7"/>
    <n v="2"/>
    <n v="2024"/>
    <x v="5"/>
  </r>
  <r>
    <x v="4"/>
    <x v="155"/>
    <s v="2024-02-19"/>
    <n v="22814"/>
    <n v="7"/>
    <n v="2"/>
    <n v="2024"/>
    <x v="5"/>
  </r>
  <r>
    <x v="4"/>
    <x v="8"/>
    <s v="2024-02-22"/>
    <n v="83444"/>
    <n v="7"/>
    <n v="2"/>
    <n v="2024"/>
    <x v="5"/>
  </r>
  <r>
    <x v="4"/>
    <x v="3"/>
    <s v="2024-02-23"/>
    <n v="59269"/>
    <n v="3"/>
    <n v="2"/>
    <n v="2024"/>
    <x v="5"/>
  </r>
  <r>
    <x v="4"/>
    <x v="156"/>
    <s v="2024-02-26"/>
    <n v="31226"/>
    <n v="10"/>
    <n v="2"/>
    <n v="2024"/>
    <x v="5"/>
  </r>
  <r>
    <x v="4"/>
    <x v="157"/>
    <s v="2024-02-26"/>
    <n v="53059"/>
    <n v="7"/>
    <n v="2"/>
    <n v="2024"/>
    <x v="5"/>
  </r>
  <r>
    <x v="4"/>
    <x v="22"/>
    <s v="2024-02-26"/>
    <n v="25910"/>
    <n v="3"/>
    <n v="2"/>
    <n v="2024"/>
    <x v="5"/>
  </r>
  <r>
    <x v="4"/>
    <x v="90"/>
    <s v="2024-02-26"/>
    <n v="62556"/>
    <n v="4"/>
    <n v="2"/>
    <n v="2024"/>
    <x v="5"/>
  </r>
  <r>
    <x v="4"/>
    <x v="139"/>
    <s v="2024-03-05"/>
    <n v="81850"/>
    <n v="8"/>
    <n v="3"/>
    <n v="2024"/>
    <x v="6"/>
  </r>
  <r>
    <x v="4"/>
    <x v="12"/>
    <s v="2024-03-07"/>
    <n v="76038"/>
    <n v="6"/>
    <n v="3"/>
    <n v="2024"/>
    <x v="6"/>
  </r>
  <r>
    <x v="4"/>
    <x v="96"/>
    <s v="2024-03-11"/>
    <n v="55772"/>
    <n v="5"/>
    <n v="3"/>
    <n v="2024"/>
    <x v="6"/>
  </r>
  <r>
    <x v="4"/>
    <x v="4"/>
    <s v="2024-03-13"/>
    <n v="45398"/>
    <n v="6"/>
    <n v="3"/>
    <n v="2024"/>
    <x v="6"/>
  </r>
  <r>
    <x v="4"/>
    <x v="22"/>
    <s v="2024-03-18"/>
    <n v="81308"/>
    <n v="3"/>
    <n v="3"/>
    <n v="2024"/>
    <x v="6"/>
  </r>
  <r>
    <x v="4"/>
    <x v="158"/>
    <s v="2024-03-25"/>
    <n v="60537"/>
    <n v="1"/>
    <n v="3"/>
    <n v="2024"/>
    <x v="6"/>
  </r>
  <r>
    <x v="4"/>
    <x v="58"/>
    <s v="2024-04-08"/>
    <n v="26677"/>
    <n v="4"/>
    <n v="4"/>
    <n v="2024"/>
    <x v="7"/>
  </r>
  <r>
    <x v="4"/>
    <x v="136"/>
    <s v="2024-04-08"/>
    <n v="85915"/>
    <n v="4"/>
    <n v="4"/>
    <n v="2024"/>
    <x v="7"/>
  </r>
  <r>
    <x v="4"/>
    <x v="159"/>
    <s v="2024-04-18"/>
    <n v="42483"/>
    <n v="6"/>
    <n v="4"/>
    <n v="2024"/>
    <x v="7"/>
  </r>
  <r>
    <x v="4"/>
    <x v="57"/>
    <s v="2024-04-29"/>
    <n v="76054"/>
    <n v="8"/>
    <n v="4"/>
    <n v="2024"/>
    <x v="7"/>
  </r>
  <r>
    <x v="4"/>
    <x v="160"/>
    <s v="2024-05-06"/>
    <n v="36092"/>
    <n v="8"/>
    <n v="5"/>
    <n v="2024"/>
    <x v="8"/>
  </r>
  <r>
    <x v="4"/>
    <x v="145"/>
    <s v="2024-05-07"/>
    <n v="68160"/>
    <n v="7"/>
    <n v="5"/>
    <n v="2024"/>
    <x v="8"/>
  </r>
  <r>
    <x v="4"/>
    <x v="152"/>
    <s v="2024-05-09"/>
    <n v="50335"/>
    <n v="10"/>
    <n v="5"/>
    <n v="2024"/>
    <x v="8"/>
  </r>
  <r>
    <x v="4"/>
    <x v="54"/>
    <s v="2024-05-14"/>
    <n v="32540"/>
    <n v="0"/>
    <n v="5"/>
    <n v="2024"/>
    <x v="8"/>
  </r>
  <r>
    <x v="4"/>
    <x v="37"/>
    <s v="2024-05-20"/>
    <n v="25047"/>
    <n v="9"/>
    <n v="5"/>
    <n v="2024"/>
    <x v="8"/>
  </r>
  <r>
    <x v="4"/>
    <x v="0"/>
    <s v="2024-05-20"/>
    <n v="38601"/>
    <n v="7"/>
    <n v="5"/>
    <n v="2024"/>
    <x v="8"/>
  </r>
  <r>
    <x v="4"/>
    <x v="16"/>
    <s v="2024-05-20"/>
    <n v="40768"/>
    <n v="2"/>
    <n v="5"/>
    <n v="2024"/>
    <x v="8"/>
  </r>
  <r>
    <x v="4"/>
    <x v="27"/>
    <s v="2024-05-22"/>
    <n v="12347"/>
    <n v="5"/>
    <n v="5"/>
    <n v="2024"/>
    <x v="8"/>
  </r>
  <r>
    <x v="4"/>
    <x v="161"/>
    <s v="2024-05-27"/>
    <n v="66817"/>
    <n v="8"/>
    <n v="5"/>
    <n v="2024"/>
    <x v="8"/>
  </r>
  <r>
    <x v="4"/>
    <x v="0"/>
    <s v="2024-05-28"/>
    <n v="18871"/>
    <n v="10"/>
    <n v="5"/>
    <n v="2024"/>
    <x v="8"/>
  </r>
  <r>
    <x v="4"/>
    <x v="154"/>
    <s v="2024-06-03"/>
    <n v="24731"/>
    <n v="10"/>
    <n v="6"/>
    <n v="2024"/>
    <x v="9"/>
  </r>
  <r>
    <x v="4"/>
    <x v="162"/>
    <s v="2024-06-03"/>
    <n v="34578"/>
    <n v="0"/>
    <n v="6"/>
    <n v="2024"/>
    <x v="9"/>
  </r>
  <r>
    <x v="4"/>
    <x v="37"/>
    <s v="2024-06-05"/>
    <n v="98077"/>
    <n v="5"/>
    <n v="6"/>
    <n v="2024"/>
    <x v="9"/>
  </r>
  <r>
    <x v="4"/>
    <x v="11"/>
    <s v="2024-06-10"/>
    <n v="91973"/>
    <n v="9"/>
    <n v="6"/>
    <n v="2024"/>
    <x v="9"/>
  </r>
  <r>
    <x v="4"/>
    <x v="67"/>
    <s v="2024-06-13"/>
    <n v="17538"/>
    <n v="2"/>
    <n v="6"/>
    <n v="2024"/>
    <x v="9"/>
  </r>
  <r>
    <x v="4"/>
    <x v="0"/>
    <s v="2024-06-17"/>
    <n v="13816"/>
    <n v="8"/>
    <n v="6"/>
    <n v="2024"/>
    <x v="9"/>
  </r>
  <r>
    <x v="4"/>
    <x v="11"/>
    <s v="2024-06-17"/>
    <n v="39417"/>
    <n v="0"/>
    <n v="6"/>
    <n v="2024"/>
    <x v="9"/>
  </r>
  <r>
    <x v="4"/>
    <x v="71"/>
    <s v="2024-06-18"/>
    <n v="94535"/>
    <n v="9"/>
    <n v="6"/>
    <n v="2024"/>
    <x v="9"/>
  </r>
  <r>
    <x v="4"/>
    <x v="31"/>
    <s v="2024-06-20"/>
    <n v="32941"/>
    <n v="8"/>
    <n v="6"/>
    <n v="2024"/>
    <x v="9"/>
  </r>
  <r>
    <x v="4"/>
    <x v="19"/>
    <s v="2024-07-01"/>
    <n v="32727"/>
    <n v="8"/>
    <n v="7"/>
    <n v="2024"/>
    <x v="10"/>
  </r>
  <r>
    <x v="4"/>
    <x v="158"/>
    <s v="2024-07-02"/>
    <n v="88832"/>
    <n v="4"/>
    <n v="7"/>
    <n v="2024"/>
    <x v="10"/>
  </r>
  <r>
    <x v="4"/>
    <x v="64"/>
    <s v="2024-07-08"/>
    <n v="96631"/>
    <n v="5"/>
    <n v="7"/>
    <n v="2024"/>
    <x v="10"/>
  </r>
  <r>
    <x v="4"/>
    <x v="117"/>
    <s v="2024-07-08"/>
    <n v="89522"/>
    <n v="8"/>
    <n v="7"/>
    <n v="2024"/>
    <x v="10"/>
  </r>
  <r>
    <x v="4"/>
    <x v="159"/>
    <s v="2024-07-17"/>
    <n v="47472"/>
    <n v="6"/>
    <n v="7"/>
    <n v="2024"/>
    <x v="10"/>
  </r>
  <r>
    <x v="4"/>
    <x v="103"/>
    <s v="2024-07-17"/>
    <n v="46387"/>
    <n v="8"/>
    <n v="7"/>
    <n v="2024"/>
    <x v="10"/>
  </r>
  <r>
    <x v="4"/>
    <x v="55"/>
    <s v="2024-07-25"/>
    <n v="64643"/>
    <n v="4"/>
    <n v="7"/>
    <n v="2024"/>
    <x v="10"/>
  </r>
  <r>
    <x v="4"/>
    <x v="94"/>
    <s v="2024-07-30"/>
    <n v="87516"/>
    <n v="3"/>
    <n v="7"/>
    <n v="2024"/>
    <x v="10"/>
  </r>
  <r>
    <x v="4"/>
    <x v="72"/>
    <s v="2024-07-31"/>
    <n v="81674"/>
    <n v="5"/>
    <n v="7"/>
    <n v="2024"/>
    <x v="10"/>
  </r>
  <r>
    <x v="4"/>
    <x v="50"/>
    <s v="2024-08-02"/>
    <n v="51432"/>
    <n v="9"/>
    <n v="8"/>
    <n v="2024"/>
    <x v="11"/>
  </r>
  <r>
    <x v="4"/>
    <x v="26"/>
    <s v="2024-08-07"/>
    <n v="28200"/>
    <n v="7"/>
    <n v="8"/>
    <n v="2024"/>
    <x v="11"/>
  </r>
  <r>
    <x v="4"/>
    <x v="74"/>
    <s v="2024-08-07"/>
    <n v="21888"/>
    <n v="7"/>
    <n v="8"/>
    <n v="2024"/>
    <x v="11"/>
  </r>
  <r>
    <x v="4"/>
    <x v="95"/>
    <s v="2024-08-09"/>
    <n v="32646"/>
    <n v="4"/>
    <n v="8"/>
    <n v="2024"/>
    <x v="11"/>
  </r>
  <r>
    <x v="4"/>
    <x v="163"/>
    <s v="2024-08-15"/>
    <n v="23931"/>
    <n v="9"/>
    <n v="8"/>
    <n v="2024"/>
    <x v="11"/>
  </r>
  <r>
    <x v="4"/>
    <x v="84"/>
    <s v="2024-08-23"/>
    <n v="37012"/>
    <n v="7"/>
    <n v="8"/>
    <n v="2024"/>
    <x v="11"/>
  </r>
  <r>
    <x v="4"/>
    <x v="164"/>
    <s v="2024-08-26"/>
    <n v="85767"/>
    <n v="3"/>
    <n v="8"/>
    <n v="2024"/>
    <x v="11"/>
  </r>
  <r>
    <x v="4"/>
    <x v="165"/>
    <s v="2024-08-27"/>
    <n v="44261"/>
    <n v="10"/>
    <n v="8"/>
    <n v="2024"/>
    <x v="11"/>
  </r>
  <r>
    <x v="4"/>
    <x v="29"/>
    <s v="2024-08-28"/>
    <n v="59038"/>
    <n v="5"/>
    <n v="8"/>
    <n v="2024"/>
    <x v="11"/>
  </r>
  <r>
    <x v="4"/>
    <x v="29"/>
    <s v="2024-09-02"/>
    <n v="16834"/>
    <n v="9"/>
    <n v="9"/>
    <n v="2024"/>
    <x v="12"/>
  </r>
  <r>
    <x v="5"/>
    <x v="109"/>
    <s v="2023-09-11"/>
    <n v="44279"/>
    <n v="6"/>
    <n v="9"/>
    <n v="2023"/>
    <x v="0"/>
  </r>
  <r>
    <x v="5"/>
    <x v="84"/>
    <s v="2023-09-18"/>
    <n v="51661"/>
    <n v="0"/>
    <n v="9"/>
    <n v="2023"/>
    <x v="0"/>
  </r>
  <r>
    <x v="5"/>
    <x v="166"/>
    <s v="2023-09-19"/>
    <n v="52590"/>
    <n v="7"/>
    <n v="9"/>
    <n v="2023"/>
    <x v="0"/>
  </r>
  <r>
    <x v="5"/>
    <x v="62"/>
    <s v="2023-09-27"/>
    <n v="83123"/>
    <n v="5"/>
    <n v="9"/>
    <n v="2023"/>
    <x v="0"/>
  </r>
  <r>
    <x v="5"/>
    <x v="1"/>
    <s v="2023-10-09"/>
    <n v="53115"/>
    <n v="5"/>
    <n v="10"/>
    <n v="2023"/>
    <x v="1"/>
  </r>
  <r>
    <x v="5"/>
    <x v="167"/>
    <s v="2023-10-09"/>
    <n v="66929"/>
    <n v="0"/>
    <n v="10"/>
    <n v="2023"/>
    <x v="1"/>
  </r>
  <r>
    <x v="5"/>
    <x v="49"/>
    <s v="2023-10-13"/>
    <n v="41243"/>
    <n v="8"/>
    <n v="10"/>
    <n v="2023"/>
    <x v="1"/>
  </r>
  <r>
    <x v="5"/>
    <x v="132"/>
    <s v="2023-10-18"/>
    <n v="26509"/>
    <n v="8"/>
    <n v="10"/>
    <n v="2023"/>
    <x v="1"/>
  </r>
  <r>
    <x v="5"/>
    <x v="9"/>
    <s v="2023-10-19"/>
    <n v="70043"/>
    <n v="4"/>
    <n v="10"/>
    <n v="2023"/>
    <x v="1"/>
  </r>
  <r>
    <x v="5"/>
    <x v="66"/>
    <s v="2023-10-19"/>
    <n v="33287"/>
    <n v="8"/>
    <n v="10"/>
    <n v="2023"/>
    <x v="1"/>
  </r>
  <r>
    <x v="5"/>
    <x v="156"/>
    <s v="2023-10-20"/>
    <n v="59277"/>
    <n v="8"/>
    <n v="10"/>
    <n v="2023"/>
    <x v="1"/>
  </r>
  <r>
    <x v="5"/>
    <x v="13"/>
    <s v="2023-10-23"/>
    <n v="22343"/>
    <n v="7"/>
    <n v="10"/>
    <n v="2023"/>
    <x v="1"/>
  </r>
  <r>
    <x v="5"/>
    <x v="127"/>
    <s v="2023-10-23"/>
    <n v="53176"/>
    <n v="4"/>
    <n v="10"/>
    <n v="2023"/>
    <x v="1"/>
  </r>
  <r>
    <x v="5"/>
    <x v="124"/>
    <s v="2023-10-30"/>
    <n v="34428"/>
    <n v="9"/>
    <n v="10"/>
    <n v="2023"/>
    <x v="1"/>
  </r>
  <r>
    <x v="5"/>
    <x v="165"/>
    <s v="2023-11-06"/>
    <n v="79297"/>
    <n v="8"/>
    <n v="11"/>
    <n v="2023"/>
    <x v="2"/>
  </r>
  <r>
    <x v="5"/>
    <x v="99"/>
    <s v="2023-11-08"/>
    <n v="35741"/>
    <n v="6"/>
    <n v="11"/>
    <n v="2023"/>
    <x v="2"/>
  </r>
  <r>
    <x v="5"/>
    <x v="126"/>
    <s v="2023-11-20"/>
    <n v="87171"/>
    <n v="3"/>
    <n v="11"/>
    <n v="2023"/>
    <x v="2"/>
  </r>
  <r>
    <x v="5"/>
    <x v="124"/>
    <s v="2023-11-24"/>
    <n v="58212"/>
    <n v="7"/>
    <n v="11"/>
    <n v="2023"/>
    <x v="2"/>
  </r>
  <r>
    <x v="5"/>
    <x v="141"/>
    <s v="2023-12-06"/>
    <n v="26654"/>
    <n v="2"/>
    <n v="12"/>
    <n v="2023"/>
    <x v="3"/>
  </r>
  <r>
    <x v="5"/>
    <x v="168"/>
    <s v="2023-12-20"/>
    <n v="52464"/>
    <n v="10"/>
    <n v="12"/>
    <n v="2023"/>
    <x v="3"/>
  </r>
  <r>
    <x v="5"/>
    <x v="111"/>
    <s v="2023-12-22"/>
    <n v="45691"/>
    <n v="4"/>
    <n v="12"/>
    <n v="2023"/>
    <x v="3"/>
  </r>
  <r>
    <x v="5"/>
    <x v="96"/>
    <s v="2023-12-27"/>
    <n v="34564"/>
    <n v="5"/>
    <n v="12"/>
    <n v="2023"/>
    <x v="3"/>
  </r>
  <r>
    <x v="5"/>
    <x v="78"/>
    <s v="2023-12-29"/>
    <n v="68591"/>
    <n v="2"/>
    <n v="12"/>
    <n v="2023"/>
    <x v="3"/>
  </r>
  <r>
    <x v="5"/>
    <x v="169"/>
    <s v="2024-01-02"/>
    <n v="58872"/>
    <n v="4"/>
    <n v="1"/>
    <n v="2024"/>
    <x v="4"/>
  </r>
  <r>
    <x v="5"/>
    <x v="20"/>
    <s v="2024-01-08"/>
    <n v="10386"/>
    <n v="2"/>
    <n v="1"/>
    <n v="2024"/>
    <x v="4"/>
  </r>
  <r>
    <x v="5"/>
    <x v="39"/>
    <s v="2024-01-08"/>
    <n v="28776"/>
    <n v="5"/>
    <n v="1"/>
    <n v="2024"/>
    <x v="4"/>
  </r>
  <r>
    <x v="5"/>
    <x v="141"/>
    <s v="2024-01-09"/>
    <n v="80684"/>
    <n v="1"/>
    <n v="1"/>
    <n v="2024"/>
    <x v="4"/>
  </r>
  <r>
    <x v="5"/>
    <x v="160"/>
    <s v="2024-01-12"/>
    <n v="89270"/>
    <n v="6"/>
    <n v="1"/>
    <n v="2024"/>
    <x v="4"/>
  </r>
  <r>
    <x v="5"/>
    <x v="170"/>
    <s v="2024-01-15"/>
    <n v="72214"/>
    <n v="7"/>
    <n v="1"/>
    <n v="2024"/>
    <x v="4"/>
  </r>
  <r>
    <x v="5"/>
    <x v="47"/>
    <s v="2024-01-15"/>
    <n v="31258"/>
    <n v="6"/>
    <n v="1"/>
    <n v="2024"/>
    <x v="4"/>
  </r>
  <r>
    <x v="5"/>
    <x v="52"/>
    <s v="2024-01-16"/>
    <n v="48980"/>
    <n v="4"/>
    <n v="1"/>
    <n v="2024"/>
    <x v="4"/>
  </r>
  <r>
    <x v="5"/>
    <x v="72"/>
    <s v="2024-01-23"/>
    <n v="92039"/>
    <n v="1"/>
    <n v="1"/>
    <n v="2024"/>
    <x v="4"/>
  </r>
  <r>
    <x v="5"/>
    <x v="78"/>
    <s v="2024-02-05"/>
    <n v="67921"/>
    <n v="1"/>
    <n v="2"/>
    <n v="2024"/>
    <x v="5"/>
  </r>
  <r>
    <x v="5"/>
    <x v="140"/>
    <s v="2024-02-05"/>
    <n v="16657"/>
    <n v="0"/>
    <n v="2"/>
    <n v="2024"/>
    <x v="5"/>
  </r>
  <r>
    <x v="5"/>
    <x v="4"/>
    <s v="2024-02-06"/>
    <n v="81580"/>
    <n v="10"/>
    <n v="2"/>
    <n v="2024"/>
    <x v="5"/>
  </r>
  <r>
    <x v="5"/>
    <x v="43"/>
    <s v="2024-02-09"/>
    <n v="91164"/>
    <n v="2"/>
    <n v="2"/>
    <n v="2024"/>
    <x v="5"/>
  </r>
  <r>
    <x v="5"/>
    <x v="169"/>
    <s v="2024-02-12"/>
    <n v="16533"/>
    <n v="7"/>
    <n v="2"/>
    <n v="2024"/>
    <x v="5"/>
  </r>
  <r>
    <x v="5"/>
    <x v="89"/>
    <s v="2024-02-14"/>
    <n v="67868"/>
    <n v="10"/>
    <n v="2"/>
    <n v="2024"/>
    <x v="5"/>
  </r>
  <r>
    <x v="5"/>
    <x v="100"/>
    <s v="2024-02-19"/>
    <n v="82369"/>
    <n v="4"/>
    <n v="2"/>
    <n v="2024"/>
    <x v="5"/>
  </r>
  <r>
    <x v="5"/>
    <x v="151"/>
    <s v="2024-02-19"/>
    <n v="31744"/>
    <n v="5"/>
    <n v="2"/>
    <n v="2024"/>
    <x v="5"/>
  </r>
  <r>
    <x v="5"/>
    <x v="37"/>
    <s v="2024-02-23"/>
    <n v="44459"/>
    <n v="7"/>
    <n v="2"/>
    <n v="2024"/>
    <x v="5"/>
  </r>
  <r>
    <x v="5"/>
    <x v="136"/>
    <s v="2024-03-04"/>
    <n v="69122"/>
    <n v="6"/>
    <n v="3"/>
    <n v="2024"/>
    <x v="6"/>
  </r>
  <r>
    <x v="5"/>
    <x v="115"/>
    <s v="2024-03-04"/>
    <n v="36924"/>
    <n v="6"/>
    <n v="3"/>
    <n v="2024"/>
    <x v="6"/>
  </r>
  <r>
    <x v="5"/>
    <x v="104"/>
    <s v="2024-03-06"/>
    <n v="92782"/>
    <n v="10"/>
    <n v="3"/>
    <n v="2024"/>
    <x v="6"/>
  </r>
  <r>
    <x v="5"/>
    <x v="96"/>
    <s v="2024-03-13"/>
    <n v="16470"/>
    <n v="6"/>
    <n v="3"/>
    <n v="2024"/>
    <x v="6"/>
  </r>
  <r>
    <x v="5"/>
    <x v="89"/>
    <s v="2024-03-18"/>
    <n v="71200"/>
    <n v="4"/>
    <n v="3"/>
    <n v="2024"/>
    <x v="6"/>
  </r>
  <r>
    <x v="5"/>
    <x v="114"/>
    <s v="2024-03-27"/>
    <n v="24987"/>
    <n v="6"/>
    <n v="3"/>
    <n v="2024"/>
    <x v="6"/>
  </r>
  <r>
    <x v="5"/>
    <x v="82"/>
    <s v="2024-04-01"/>
    <n v="67209"/>
    <n v="1"/>
    <n v="4"/>
    <n v="2024"/>
    <x v="7"/>
  </r>
  <r>
    <x v="5"/>
    <x v="159"/>
    <s v="2024-04-01"/>
    <n v="69737"/>
    <n v="7"/>
    <n v="4"/>
    <n v="2024"/>
    <x v="7"/>
  </r>
  <r>
    <x v="5"/>
    <x v="110"/>
    <s v="2024-04-03"/>
    <n v="31835"/>
    <n v="8"/>
    <n v="4"/>
    <n v="2024"/>
    <x v="7"/>
  </r>
  <r>
    <x v="5"/>
    <x v="15"/>
    <s v="2024-04-08"/>
    <n v="68581"/>
    <n v="3"/>
    <n v="4"/>
    <n v="2024"/>
    <x v="7"/>
  </r>
  <r>
    <x v="5"/>
    <x v="148"/>
    <s v="2024-04-17"/>
    <n v="79747"/>
    <n v="0"/>
    <n v="4"/>
    <n v="2024"/>
    <x v="7"/>
  </r>
  <r>
    <x v="5"/>
    <x v="171"/>
    <s v="2024-04-22"/>
    <n v="39797"/>
    <n v="7"/>
    <n v="4"/>
    <n v="2024"/>
    <x v="7"/>
  </r>
  <r>
    <x v="5"/>
    <x v="172"/>
    <s v="2024-04-24"/>
    <n v="17185"/>
    <n v="7"/>
    <n v="4"/>
    <n v="2024"/>
    <x v="7"/>
  </r>
  <r>
    <x v="5"/>
    <x v="171"/>
    <s v="2024-04-25"/>
    <n v="22193"/>
    <n v="9"/>
    <n v="4"/>
    <n v="2024"/>
    <x v="7"/>
  </r>
  <r>
    <x v="5"/>
    <x v="94"/>
    <s v="2024-04-26"/>
    <n v="32289"/>
    <n v="6"/>
    <n v="4"/>
    <n v="2024"/>
    <x v="7"/>
  </r>
  <r>
    <x v="5"/>
    <x v="143"/>
    <s v="2024-05-03"/>
    <n v="70255"/>
    <n v="6"/>
    <n v="5"/>
    <n v="2024"/>
    <x v="8"/>
  </r>
  <r>
    <x v="5"/>
    <x v="78"/>
    <s v="2024-05-16"/>
    <n v="30243"/>
    <n v="7"/>
    <n v="5"/>
    <n v="2024"/>
    <x v="8"/>
  </r>
  <r>
    <x v="5"/>
    <x v="53"/>
    <s v="2024-05-17"/>
    <n v="48631"/>
    <n v="7"/>
    <n v="5"/>
    <n v="2024"/>
    <x v="8"/>
  </r>
  <r>
    <x v="5"/>
    <x v="72"/>
    <s v="2024-05-28"/>
    <n v="67529"/>
    <n v="7"/>
    <n v="5"/>
    <n v="2024"/>
    <x v="8"/>
  </r>
  <r>
    <x v="5"/>
    <x v="3"/>
    <s v="2024-05-31"/>
    <n v="19641"/>
    <n v="9"/>
    <n v="5"/>
    <n v="2024"/>
    <x v="8"/>
  </r>
  <r>
    <x v="5"/>
    <x v="127"/>
    <s v="2024-06-04"/>
    <n v="94796"/>
    <n v="7"/>
    <n v="6"/>
    <n v="2024"/>
    <x v="9"/>
  </r>
  <r>
    <x v="5"/>
    <x v="106"/>
    <s v="2024-06-05"/>
    <n v="95450"/>
    <n v="2"/>
    <n v="6"/>
    <n v="2024"/>
    <x v="9"/>
  </r>
  <r>
    <x v="5"/>
    <x v="173"/>
    <s v="2024-06-06"/>
    <n v="43456"/>
    <n v="6"/>
    <n v="6"/>
    <n v="2024"/>
    <x v="9"/>
  </r>
  <r>
    <x v="5"/>
    <x v="173"/>
    <s v="2024-06-07"/>
    <n v="20854"/>
    <n v="8"/>
    <n v="6"/>
    <n v="2024"/>
    <x v="9"/>
  </r>
  <r>
    <x v="5"/>
    <x v="36"/>
    <s v="2024-06-10"/>
    <n v="81835"/>
    <n v="6"/>
    <n v="6"/>
    <n v="2024"/>
    <x v="9"/>
  </r>
  <r>
    <x v="5"/>
    <x v="159"/>
    <s v="2024-06-10"/>
    <n v="10639"/>
    <n v="7"/>
    <n v="6"/>
    <n v="2024"/>
    <x v="9"/>
  </r>
  <r>
    <x v="5"/>
    <x v="38"/>
    <s v="2024-06-10"/>
    <n v="82789"/>
    <n v="4"/>
    <n v="6"/>
    <n v="2024"/>
    <x v="9"/>
  </r>
  <r>
    <x v="5"/>
    <x v="51"/>
    <s v="2024-06-14"/>
    <n v="44978"/>
    <n v="5"/>
    <n v="6"/>
    <n v="2024"/>
    <x v="9"/>
  </r>
  <r>
    <x v="5"/>
    <x v="104"/>
    <s v="2024-06-14"/>
    <n v="93394"/>
    <n v="10"/>
    <n v="6"/>
    <n v="2024"/>
    <x v="9"/>
  </r>
  <r>
    <x v="5"/>
    <x v="174"/>
    <s v="2024-06-17"/>
    <n v="87870"/>
    <n v="7"/>
    <n v="6"/>
    <n v="2024"/>
    <x v="9"/>
  </r>
  <r>
    <x v="5"/>
    <x v="53"/>
    <s v="2024-06-27"/>
    <n v="86620"/>
    <n v="3"/>
    <n v="6"/>
    <n v="2024"/>
    <x v="9"/>
  </r>
  <r>
    <x v="5"/>
    <x v="70"/>
    <s v="2024-07-08"/>
    <n v="84721"/>
    <n v="2"/>
    <n v="7"/>
    <n v="2024"/>
    <x v="10"/>
  </r>
  <r>
    <x v="5"/>
    <x v="175"/>
    <s v="2024-07-17"/>
    <n v="12947"/>
    <n v="7"/>
    <n v="7"/>
    <n v="2024"/>
    <x v="10"/>
  </r>
  <r>
    <x v="5"/>
    <x v="119"/>
    <s v="2024-07-29"/>
    <n v="57063"/>
    <n v="7"/>
    <n v="7"/>
    <n v="2024"/>
    <x v="10"/>
  </r>
  <r>
    <x v="5"/>
    <x v="104"/>
    <s v="2024-07-29"/>
    <n v="39709"/>
    <n v="9"/>
    <n v="7"/>
    <n v="2024"/>
    <x v="10"/>
  </r>
  <r>
    <x v="5"/>
    <x v="56"/>
    <s v="2024-07-30"/>
    <n v="54125"/>
    <n v="6"/>
    <n v="7"/>
    <n v="2024"/>
    <x v="10"/>
  </r>
  <r>
    <x v="5"/>
    <x v="60"/>
    <s v="2024-08-05"/>
    <n v="70276"/>
    <n v="10"/>
    <n v="8"/>
    <n v="2024"/>
    <x v="11"/>
  </r>
  <r>
    <x v="5"/>
    <x v="33"/>
    <s v="2024-08-06"/>
    <n v="75579"/>
    <n v="7"/>
    <n v="8"/>
    <n v="2024"/>
    <x v="11"/>
  </r>
  <r>
    <x v="5"/>
    <x v="123"/>
    <s v="2024-08-06"/>
    <n v="26177"/>
    <n v="4"/>
    <n v="8"/>
    <n v="2024"/>
    <x v="11"/>
  </r>
  <r>
    <x v="5"/>
    <x v="17"/>
    <s v="2024-08-19"/>
    <n v="41449"/>
    <n v="1"/>
    <n v="8"/>
    <n v="2024"/>
    <x v="11"/>
  </r>
  <r>
    <x v="5"/>
    <x v="33"/>
    <s v="2024-08-20"/>
    <n v="83992"/>
    <n v="8"/>
    <n v="8"/>
    <n v="2024"/>
    <x v="11"/>
  </r>
  <r>
    <x v="5"/>
    <x v="170"/>
    <s v="2024-08-22"/>
    <n v="63302"/>
    <n v="2"/>
    <n v="8"/>
    <n v="2024"/>
    <x v="11"/>
  </r>
  <r>
    <x v="5"/>
    <x v="53"/>
    <s v="2024-08-22"/>
    <n v="57491"/>
    <n v="6"/>
    <n v="8"/>
    <n v="2024"/>
    <x v="11"/>
  </r>
  <r>
    <x v="5"/>
    <x v="143"/>
    <s v="2024-08-26"/>
    <n v="53461"/>
    <n v="3"/>
    <n v="8"/>
    <n v="2024"/>
    <x v="11"/>
  </r>
  <r>
    <x v="6"/>
    <x v="95"/>
    <s v="2023-09-04"/>
    <n v="27772"/>
    <n v="1"/>
    <n v="9"/>
    <n v="2023"/>
    <x v="0"/>
  </r>
  <r>
    <x v="6"/>
    <x v="131"/>
    <s v="2023-09-04"/>
    <n v="58246"/>
    <n v="8"/>
    <n v="9"/>
    <n v="2023"/>
    <x v="0"/>
  </r>
  <r>
    <x v="6"/>
    <x v="159"/>
    <s v="2023-09-05"/>
    <n v="25078"/>
    <n v="6"/>
    <n v="9"/>
    <n v="2023"/>
    <x v="0"/>
  </r>
  <r>
    <x v="6"/>
    <x v="139"/>
    <s v="2023-09-08"/>
    <n v="87820"/>
    <n v="6"/>
    <n v="9"/>
    <n v="2023"/>
    <x v="0"/>
  </r>
  <r>
    <x v="6"/>
    <x v="45"/>
    <s v="2023-09-11"/>
    <n v="30927"/>
    <n v="6"/>
    <n v="9"/>
    <n v="2023"/>
    <x v="0"/>
  </r>
  <r>
    <x v="6"/>
    <x v="97"/>
    <s v="2023-09-21"/>
    <n v="95212"/>
    <n v="5"/>
    <n v="9"/>
    <n v="2023"/>
    <x v="0"/>
  </r>
  <r>
    <x v="6"/>
    <x v="18"/>
    <s v="2023-09-22"/>
    <n v="57103"/>
    <n v="8"/>
    <n v="9"/>
    <n v="2023"/>
    <x v="0"/>
  </r>
  <r>
    <x v="6"/>
    <x v="36"/>
    <s v="2023-09-25"/>
    <n v="10779"/>
    <n v="6"/>
    <n v="9"/>
    <n v="2023"/>
    <x v="0"/>
  </r>
  <r>
    <x v="6"/>
    <x v="40"/>
    <s v="2023-10-05"/>
    <n v="56713"/>
    <n v="8"/>
    <n v="10"/>
    <n v="2023"/>
    <x v="1"/>
  </r>
  <r>
    <x v="6"/>
    <x v="116"/>
    <s v="2023-10-11"/>
    <n v="60025"/>
    <n v="6"/>
    <n v="10"/>
    <n v="2023"/>
    <x v="1"/>
  </r>
  <r>
    <x v="6"/>
    <x v="82"/>
    <s v="2023-10-12"/>
    <n v="65885"/>
    <n v="6"/>
    <n v="10"/>
    <n v="2023"/>
    <x v="1"/>
  </r>
  <r>
    <x v="6"/>
    <x v="49"/>
    <s v="2023-10-16"/>
    <n v="87118"/>
    <n v="1"/>
    <n v="10"/>
    <n v="2023"/>
    <x v="1"/>
  </r>
  <r>
    <x v="6"/>
    <x v="155"/>
    <s v="2023-10-20"/>
    <n v="51355"/>
    <n v="7"/>
    <n v="10"/>
    <n v="2023"/>
    <x v="1"/>
  </r>
  <r>
    <x v="6"/>
    <x v="176"/>
    <s v="2023-10-27"/>
    <n v="18426"/>
    <n v="10"/>
    <n v="10"/>
    <n v="2023"/>
    <x v="1"/>
  </r>
  <r>
    <x v="6"/>
    <x v="107"/>
    <s v="2023-11-20"/>
    <n v="76729"/>
    <n v="7"/>
    <n v="11"/>
    <n v="2023"/>
    <x v="2"/>
  </r>
  <r>
    <x v="6"/>
    <x v="177"/>
    <s v="2023-11-21"/>
    <n v="33857"/>
    <n v="1"/>
    <n v="11"/>
    <n v="2023"/>
    <x v="2"/>
  </r>
  <r>
    <x v="6"/>
    <x v="178"/>
    <s v="2023-12-04"/>
    <n v="50851"/>
    <n v="9"/>
    <n v="12"/>
    <n v="2023"/>
    <x v="3"/>
  </r>
  <r>
    <x v="6"/>
    <x v="161"/>
    <s v="2023-12-05"/>
    <n v="12192"/>
    <n v="2"/>
    <n v="12"/>
    <n v="2023"/>
    <x v="3"/>
  </r>
  <r>
    <x v="6"/>
    <x v="55"/>
    <s v="2023-12-25"/>
    <n v="70908"/>
    <n v="9"/>
    <n v="12"/>
    <n v="2023"/>
    <x v="3"/>
  </r>
  <r>
    <x v="6"/>
    <x v="111"/>
    <s v="2024-01-01"/>
    <n v="80570"/>
    <n v="7"/>
    <n v="1"/>
    <n v="2024"/>
    <x v="4"/>
  </r>
  <r>
    <x v="6"/>
    <x v="111"/>
    <s v="2024-01-03"/>
    <n v="43984"/>
    <n v="7"/>
    <n v="1"/>
    <n v="2024"/>
    <x v="4"/>
  </r>
  <r>
    <x v="6"/>
    <x v="165"/>
    <s v="2024-01-11"/>
    <n v="80655"/>
    <n v="6"/>
    <n v="1"/>
    <n v="2024"/>
    <x v="4"/>
  </r>
  <r>
    <x v="6"/>
    <x v="41"/>
    <s v="2024-01-15"/>
    <n v="43381"/>
    <n v="7"/>
    <n v="1"/>
    <n v="2024"/>
    <x v="4"/>
  </r>
  <r>
    <x v="6"/>
    <x v="0"/>
    <s v="2024-01-19"/>
    <n v="13733"/>
    <n v="9"/>
    <n v="1"/>
    <n v="2024"/>
    <x v="4"/>
  </r>
  <r>
    <x v="6"/>
    <x v="67"/>
    <s v="2024-01-23"/>
    <n v="82814"/>
    <n v="7"/>
    <n v="1"/>
    <n v="2024"/>
    <x v="4"/>
  </r>
  <r>
    <x v="6"/>
    <x v="153"/>
    <s v="2024-02-02"/>
    <n v="51321"/>
    <n v="7"/>
    <n v="2"/>
    <n v="2024"/>
    <x v="5"/>
  </r>
  <r>
    <x v="6"/>
    <x v="173"/>
    <s v="2024-02-05"/>
    <n v="25816"/>
    <n v="5"/>
    <n v="2"/>
    <n v="2024"/>
    <x v="5"/>
  </r>
  <r>
    <x v="6"/>
    <x v="147"/>
    <s v="2024-02-09"/>
    <n v="90805"/>
    <n v="8"/>
    <n v="2"/>
    <n v="2024"/>
    <x v="5"/>
  </r>
  <r>
    <x v="6"/>
    <x v="144"/>
    <s v="2024-02-12"/>
    <n v="69833"/>
    <n v="9"/>
    <n v="2"/>
    <n v="2024"/>
    <x v="5"/>
  </r>
  <r>
    <x v="6"/>
    <x v="40"/>
    <s v="2024-02-16"/>
    <n v="15184"/>
    <n v="8"/>
    <n v="2"/>
    <n v="2024"/>
    <x v="5"/>
  </r>
  <r>
    <x v="6"/>
    <x v="146"/>
    <s v="2024-02-20"/>
    <n v="10817"/>
    <n v="6"/>
    <n v="2"/>
    <n v="2024"/>
    <x v="5"/>
  </r>
  <r>
    <x v="6"/>
    <x v="97"/>
    <s v="2024-03-06"/>
    <n v="11041"/>
    <n v="3"/>
    <n v="3"/>
    <n v="2024"/>
    <x v="6"/>
  </r>
  <r>
    <x v="6"/>
    <x v="3"/>
    <s v="2024-03-11"/>
    <n v="23685"/>
    <n v="9"/>
    <n v="3"/>
    <n v="2024"/>
    <x v="6"/>
  </r>
  <r>
    <x v="6"/>
    <x v="142"/>
    <s v="2024-03-12"/>
    <n v="40110"/>
    <n v="7"/>
    <n v="3"/>
    <n v="2024"/>
    <x v="6"/>
  </r>
  <r>
    <x v="6"/>
    <x v="179"/>
    <s v="2024-03-12"/>
    <n v="10902"/>
    <n v="5"/>
    <n v="3"/>
    <n v="2024"/>
    <x v="6"/>
  </r>
  <r>
    <x v="6"/>
    <x v="62"/>
    <s v="2024-03-14"/>
    <n v="80556"/>
    <n v="6"/>
    <n v="3"/>
    <n v="2024"/>
    <x v="6"/>
  </r>
  <r>
    <x v="6"/>
    <x v="136"/>
    <s v="2024-03-18"/>
    <n v="52493"/>
    <n v="8"/>
    <n v="3"/>
    <n v="2024"/>
    <x v="6"/>
  </r>
  <r>
    <x v="6"/>
    <x v="153"/>
    <s v="2024-03-18"/>
    <n v="76306"/>
    <n v="6"/>
    <n v="3"/>
    <n v="2024"/>
    <x v="6"/>
  </r>
  <r>
    <x v="6"/>
    <x v="2"/>
    <s v="2024-03-22"/>
    <n v="93780"/>
    <n v="7"/>
    <n v="3"/>
    <n v="2024"/>
    <x v="6"/>
  </r>
  <r>
    <x v="6"/>
    <x v="1"/>
    <s v="2024-03-25"/>
    <n v="86465"/>
    <n v="7"/>
    <n v="3"/>
    <n v="2024"/>
    <x v="6"/>
  </r>
  <r>
    <x v="6"/>
    <x v="11"/>
    <s v="2024-04-01"/>
    <n v="22039"/>
    <n v="9"/>
    <n v="4"/>
    <n v="2024"/>
    <x v="7"/>
  </r>
  <r>
    <x v="6"/>
    <x v="80"/>
    <s v="2024-04-08"/>
    <n v="51767"/>
    <n v="6"/>
    <n v="4"/>
    <n v="2024"/>
    <x v="7"/>
  </r>
  <r>
    <x v="6"/>
    <x v="162"/>
    <s v="2024-04-10"/>
    <n v="22953"/>
    <n v="2"/>
    <n v="4"/>
    <n v="2024"/>
    <x v="7"/>
  </r>
  <r>
    <x v="6"/>
    <x v="67"/>
    <s v="2024-04-11"/>
    <n v="49393"/>
    <n v="8"/>
    <n v="4"/>
    <n v="2024"/>
    <x v="7"/>
  </r>
  <r>
    <x v="6"/>
    <x v="99"/>
    <s v="2024-04-26"/>
    <n v="59508"/>
    <n v="8"/>
    <n v="4"/>
    <n v="2024"/>
    <x v="7"/>
  </r>
  <r>
    <x v="6"/>
    <x v="95"/>
    <s v="2024-05-02"/>
    <n v="84228"/>
    <n v="5"/>
    <n v="5"/>
    <n v="2024"/>
    <x v="8"/>
  </r>
  <r>
    <x v="6"/>
    <x v="96"/>
    <s v="2024-05-16"/>
    <n v="16842"/>
    <n v="7"/>
    <n v="5"/>
    <n v="2024"/>
    <x v="8"/>
  </r>
  <r>
    <x v="6"/>
    <x v="133"/>
    <s v="2024-05-20"/>
    <n v="33110"/>
    <n v="4"/>
    <n v="5"/>
    <n v="2024"/>
    <x v="8"/>
  </r>
  <r>
    <x v="6"/>
    <x v="149"/>
    <s v="2024-05-22"/>
    <n v="60176"/>
    <n v="7"/>
    <n v="5"/>
    <n v="2024"/>
    <x v="8"/>
  </r>
  <r>
    <x v="6"/>
    <x v="71"/>
    <s v="2024-05-24"/>
    <n v="36165"/>
    <n v="6"/>
    <n v="5"/>
    <n v="2024"/>
    <x v="8"/>
  </r>
  <r>
    <x v="6"/>
    <x v="175"/>
    <s v="2024-05-31"/>
    <n v="69779"/>
    <n v="10"/>
    <n v="5"/>
    <n v="2024"/>
    <x v="8"/>
  </r>
  <r>
    <x v="6"/>
    <x v="146"/>
    <s v="2024-06-03"/>
    <n v="15847"/>
    <n v="9"/>
    <n v="6"/>
    <n v="2024"/>
    <x v="9"/>
  </r>
  <r>
    <x v="6"/>
    <x v="1"/>
    <s v="2024-06-03"/>
    <n v="17476"/>
    <n v="7"/>
    <n v="6"/>
    <n v="2024"/>
    <x v="9"/>
  </r>
  <r>
    <x v="6"/>
    <x v="180"/>
    <s v="2024-06-04"/>
    <n v="80655"/>
    <n v="8"/>
    <n v="6"/>
    <n v="2024"/>
    <x v="9"/>
  </r>
  <r>
    <x v="6"/>
    <x v="127"/>
    <s v="2024-06-04"/>
    <n v="94973"/>
    <n v="3"/>
    <n v="6"/>
    <n v="2024"/>
    <x v="9"/>
  </r>
  <r>
    <x v="6"/>
    <x v="77"/>
    <s v="2024-06-10"/>
    <n v="26714"/>
    <n v="1"/>
    <n v="6"/>
    <n v="2024"/>
    <x v="9"/>
  </r>
  <r>
    <x v="6"/>
    <x v="33"/>
    <s v="2024-06-12"/>
    <n v="60501"/>
    <n v="7"/>
    <n v="6"/>
    <n v="2024"/>
    <x v="9"/>
  </r>
  <r>
    <x v="6"/>
    <x v="174"/>
    <s v="2024-06-13"/>
    <n v="40377"/>
    <n v="6"/>
    <n v="6"/>
    <n v="2024"/>
    <x v="9"/>
  </r>
  <r>
    <x v="6"/>
    <x v="87"/>
    <s v="2024-06-20"/>
    <n v="43931"/>
    <n v="2"/>
    <n v="6"/>
    <n v="2024"/>
    <x v="9"/>
  </r>
  <r>
    <x v="6"/>
    <x v="152"/>
    <s v="2024-07-08"/>
    <n v="66632"/>
    <n v="6"/>
    <n v="7"/>
    <n v="2024"/>
    <x v="10"/>
  </r>
  <r>
    <x v="6"/>
    <x v="180"/>
    <s v="2024-07-10"/>
    <n v="28722"/>
    <n v="7"/>
    <n v="7"/>
    <n v="2024"/>
    <x v="10"/>
  </r>
  <r>
    <x v="6"/>
    <x v="124"/>
    <s v="2024-07-10"/>
    <n v="39349"/>
    <n v="8"/>
    <n v="7"/>
    <n v="2024"/>
    <x v="10"/>
  </r>
  <r>
    <x v="6"/>
    <x v="180"/>
    <s v="2024-07-18"/>
    <n v="13570"/>
    <n v="1"/>
    <n v="7"/>
    <n v="2024"/>
    <x v="10"/>
  </r>
  <r>
    <x v="6"/>
    <x v="29"/>
    <s v="2024-07-23"/>
    <n v="20663"/>
    <n v="0"/>
    <n v="7"/>
    <n v="2024"/>
    <x v="10"/>
  </r>
  <r>
    <x v="6"/>
    <x v="172"/>
    <s v="2024-07-24"/>
    <n v="88080"/>
    <n v="6"/>
    <n v="7"/>
    <n v="2024"/>
    <x v="10"/>
  </r>
  <r>
    <x v="6"/>
    <x v="108"/>
    <s v="2024-07-29"/>
    <n v="26536"/>
    <n v="6"/>
    <n v="7"/>
    <n v="2024"/>
    <x v="10"/>
  </r>
  <r>
    <x v="6"/>
    <x v="94"/>
    <s v="2024-07-30"/>
    <n v="64981"/>
    <n v="5"/>
    <n v="7"/>
    <n v="2024"/>
    <x v="10"/>
  </r>
  <r>
    <x v="6"/>
    <x v="112"/>
    <s v="2024-07-31"/>
    <n v="77747"/>
    <n v="3"/>
    <n v="7"/>
    <n v="2024"/>
    <x v="10"/>
  </r>
  <r>
    <x v="6"/>
    <x v="82"/>
    <s v="2024-08-12"/>
    <n v="16800"/>
    <n v="8"/>
    <n v="8"/>
    <n v="2024"/>
    <x v="11"/>
  </r>
  <r>
    <x v="6"/>
    <x v="92"/>
    <s v="2024-08-13"/>
    <n v="77038"/>
    <n v="5"/>
    <n v="8"/>
    <n v="2024"/>
    <x v="11"/>
  </r>
  <r>
    <x v="6"/>
    <x v="165"/>
    <s v="2024-08-19"/>
    <n v="80393"/>
    <n v="6"/>
    <n v="8"/>
    <n v="2024"/>
    <x v="11"/>
  </r>
  <r>
    <x v="6"/>
    <x v="91"/>
    <s v="2024-08-20"/>
    <n v="18535"/>
    <n v="6"/>
    <n v="8"/>
    <n v="2024"/>
    <x v="11"/>
  </r>
  <r>
    <x v="6"/>
    <x v="125"/>
    <s v="2024-08-23"/>
    <n v="25819"/>
    <n v="8"/>
    <n v="8"/>
    <n v="2024"/>
    <x v="11"/>
  </r>
  <r>
    <x v="6"/>
    <x v="40"/>
    <s v="2024-08-23"/>
    <n v="29208"/>
    <n v="1"/>
    <n v="8"/>
    <n v="2024"/>
    <x v="11"/>
  </r>
  <r>
    <x v="7"/>
    <x v="63"/>
    <s v="2023-09-04"/>
    <n v="17347"/>
    <n v="8"/>
    <n v="9"/>
    <n v="2023"/>
    <x v="0"/>
  </r>
  <r>
    <x v="7"/>
    <x v="8"/>
    <s v="2023-09-05"/>
    <n v="66366"/>
    <n v="4"/>
    <n v="9"/>
    <n v="2023"/>
    <x v="0"/>
  </r>
  <r>
    <x v="7"/>
    <x v="14"/>
    <s v="2023-09-18"/>
    <n v="70195"/>
    <n v="4"/>
    <n v="9"/>
    <n v="2023"/>
    <x v="0"/>
  </r>
  <r>
    <x v="7"/>
    <x v="60"/>
    <s v="2023-09-20"/>
    <n v="93210"/>
    <n v="9"/>
    <n v="9"/>
    <n v="2023"/>
    <x v="0"/>
  </r>
  <r>
    <x v="7"/>
    <x v="157"/>
    <s v="2023-09-21"/>
    <n v="57146"/>
    <n v="7"/>
    <n v="9"/>
    <n v="2023"/>
    <x v="0"/>
  </r>
  <r>
    <x v="7"/>
    <x v="120"/>
    <s v="2023-09-22"/>
    <n v="96611"/>
    <n v="10"/>
    <n v="9"/>
    <n v="2023"/>
    <x v="0"/>
  </r>
  <r>
    <x v="7"/>
    <x v="181"/>
    <s v="2023-09-22"/>
    <n v="15126"/>
    <n v="7"/>
    <n v="9"/>
    <n v="2023"/>
    <x v="0"/>
  </r>
  <r>
    <x v="7"/>
    <x v="115"/>
    <s v="2023-09-25"/>
    <n v="61384"/>
    <n v="9"/>
    <n v="9"/>
    <n v="2023"/>
    <x v="0"/>
  </r>
  <r>
    <x v="7"/>
    <x v="27"/>
    <s v="2023-09-28"/>
    <n v="95408"/>
    <n v="5"/>
    <n v="9"/>
    <n v="2023"/>
    <x v="0"/>
  </r>
  <r>
    <x v="7"/>
    <x v="75"/>
    <s v="2023-09-29"/>
    <n v="52724"/>
    <n v="1"/>
    <n v="9"/>
    <n v="2023"/>
    <x v="0"/>
  </r>
  <r>
    <x v="7"/>
    <x v="113"/>
    <s v="2023-10-11"/>
    <n v="50577"/>
    <n v="3"/>
    <n v="10"/>
    <n v="2023"/>
    <x v="1"/>
  </r>
  <r>
    <x v="7"/>
    <x v="4"/>
    <s v="2023-10-25"/>
    <n v="60062"/>
    <n v="5"/>
    <n v="10"/>
    <n v="2023"/>
    <x v="1"/>
  </r>
  <r>
    <x v="7"/>
    <x v="117"/>
    <s v="2023-10-27"/>
    <n v="80304"/>
    <n v="5"/>
    <n v="10"/>
    <n v="2023"/>
    <x v="1"/>
  </r>
  <r>
    <x v="7"/>
    <x v="149"/>
    <s v="2023-11-01"/>
    <n v="18712"/>
    <n v="8"/>
    <n v="11"/>
    <n v="2023"/>
    <x v="2"/>
  </r>
  <r>
    <x v="7"/>
    <x v="25"/>
    <s v="2023-11-06"/>
    <n v="52488"/>
    <n v="2"/>
    <n v="11"/>
    <n v="2023"/>
    <x v="2"/>
  </r>
  <r>
    <x v="7"/>
    <x v="71"/>
    <s v="2023-11-09"/>
    <n v="70113"/>
    <n v="8"/>
    <n v="11"/>
    <n v="2023"/>
    <x v="2"/>
  </r>
  <r>
    <x v="7"/>
    <x v="119"/>
    <s v="2023-11-10"/>
    <n v="60472"/>
    <n v="5"/>
    <n v="11"/>
    <n v="2023"/>
    <x v="2"/>
  </r>
  <r>
    <x v="7"/>
    <x v="114"/>
    <s v="2023-11-13"/>
    <n v="63399"/>
    <n v="7"/>
    <n v="11"/>
    <n v="2023"/>
    <x v="2"/>
  </r>
  <r>
    <x v="7"/>
    <x v="39"/>
    <s v="2023-11-27"/>
    <n v="96835"/>
    <n v="6"/>
    <n v="11"/>
    <n v="2023"/>
    <x v="2"/>
  </r>
  <r>
    <x v="7"/>
    <x v="87"/>
    <s v="2023-12-08"/>
    <n v="91099"/>
    <n v="7"/>
    <n v="12"/>
    <n v="2023"/>
    <x v="3"/>
  </r>
  <r>
    <x v="7"/>
    <x v="170"/>
    <s v="2023-12-11"/>
    <n v="87469"/>
    <n v="8"/>
    <n v="12"/>
    <n v="2023"/>
    <x v="3"/>
  </r>
  <r>
    <x v="7"/>
    <x v="88"/>
    <s v="2023-12-18"/>
    <n v="48416"/>
    <n v="2"/>
    <n v="12"/>
    <n v="2023"/>
    <x v="3"/>
  </r>
  <r>
    <x v="7"/>
    <x v="89"/>
    <s v="2023-12-19"/>
    <n v="39107"/>
    <n v="9"/>
    <n v="12"/>
    <n v="2023"/>
    <x v="3"/>
  </r>
  <r>
    <x v="7"/>
    <x v="79"/>
    <s v="2023-12-20"/>
    <n v="24943"/>
    <n v="0"/>
    <n v="12"/>
    <n v="2023"/>
    <x v="3"/>
  </r>
  <r>
    <x v="7"/>
    <x v="7"/>
    <s v="2023-12-25"/>
    <n v="25383"/>
    <n v="7"/>
    <n v="12"/>
    <n v="2023"/>
    <x v="3"/>
  </r>
  <r>
    <x v="7"/>
    <x v="178"/>
    <s v="2023-12-27"/>
    <n v="23872"/>
    <n v="7"/>
    <n v="12"/>
    <n v="2023"/>
    <x v="3"/>
  </r>
  <r>
    <x v="7"/>
    <x v="59"/>
    <s v="2023-12-27"/>
    <n v="68993"/>
    <n v="9"/>
    <n v="12"/>
    <n v="2023"/>
    <x v="3"/>
  </r>
  <r>
    <x v="7"/>
    <x v="74"/>
    <s v="2024-01-19"/>
    <n v="72293"/>
    <n v="3"/>
    <n v="1"/>
    <n v="2024"/>
    <x v="4"/>
  </r>
  <r>
    <x v="7"/>
    <x v="122"/>
    <s v="2024-01-22"/>
    <n v="68430"/>
    <n v="6"/>
    <n v="1"/>
    <n v="2024"/>
    <x v="4"/>
  </r>
  <r>
    <x v="7"/>
    <x v="111"/>
    <s v="2024-01-23"/>
    <n v="73072"/>
    <n v="1"/>
    <n v="1"/>
    <n v="2024"/>
    <x v="4"/>
  </r>
  <r>
    <x v="7"/>
    <x v="6"/>
    <s v="2024-01-23"/>
    <n v="39083"/>
    <n v="3"/>
    <n v="1"/>
    <n v="2024"/>
    <x v="4"/>
  </r>
  <r>
    <x v="7"/>
    <x v="126"/>
    <s v="2024-01-26"/>
    <n v="20763"/>
    <n v="7"/>
    <n v="1"/>
    <n v="2024"/>
    <x v="4"/>
  </r>
  <r>
    <x v="7"/>
    <x v="121"/>
    <s v="2024-01-29"/>
    <n v="40123"/>
    <n v="8"/>
    <n v="1"/>
    <n v="2024"/>
    <x v="4"/>
  </r>
  <r>
    <x v="7"/>
    <x v="148"/>
    <s v="2024-01-29"/>
    <n v="65035"/>
    <n v="5"/>
    <n v="1"/>
    <n v="2024"/>
    <x v="4"/>
  </r>
  <r>
    <x v="7"/>
    <x v="69"/>
    <s v="2024-02-02"/>
    <n v="58634"/>
    <n v="0"/>
    <n v="2"/>
    <n v="2024"/>
    <x v="5"/>
  </r>
  <r>
    <x v="7"/>
    <x v="37"/>
    <s v="2024-02-06"/>
    <n v="26476"/>
    <n v="0"/>
    <n v="2"/>
    <n v="2024"/>
    <x v="5"/>
  </r>
  <r>
    <x v="7"/>
    <x v="32"/>
    <s v="2024-02-08"/>
    <n v="69956"/>
    <n v="3"/>
    <n v="2"/>
    <n v="2024"/>
    <x v="5"/>
  </r>
  <r>
    <x v="7"/>
    <x v="164"/>
    <s v="2024-02-09"/>
    <n v="85979"/>
    <n v="6"/>
    <n v="2"/>
    <n v="2024"/>
    <x v="5"/>
  </r>
  <r>
    <x v="7"/>
    <x v="21"/>
    <s v="2024-02-12"/>
    <n v="64084"/>
    <n v="5"/>
    <n v="2"/>
    <n v="2024"/>
    <x v="5"/>
  </r>
  <r>
    <x v="7"/>
    <x v="51"/>
    <s v="2024-02-12"/>
    <n v="90026"/>
    <n v="9"/>
    <n v="2"/>
    <n v="2024"/>
    <x v="5"/>
  </r>
  <r>
    <x v="7"/>
    <x v="136"/>
    <s v="2024-02-14"/>
    <n v="23412"/>
    <n v="9"/>
    <n v="2"/>
    <n v="2024"/>
    <x v="5"/>
  </r>
  <r>
    <x v="7"/>
    <x v="10"/>
    <s v="2024-02-19"/>
    <n v="57303"/>
    <n v="6"/>
    <n v="2"/>
    <n v="2024"/>
    <x v="5"/>
  </r>
  <r>
    <x v="7"/>
    <x v="113"/>
    <s v="2024-02-27"/>
    <n v="92363"/>
    <n v="2"/>
    <n v="2"/>
    <n v="2024"/>
    <x v="5"/>
  </r>
  <r>
    <x v="7"/>
    <x v="27"/>
    <s v="2024-02-27"/>
    <n v="97000"/>
    <n v="8"/>
    <n v="2"/>
    <n v="2024"/>
    <x v="5"/>
  </r>
  <r>
    <x v="7"/>
    <x v="136"/>
    <s v="2024-02-27"/>
    <n v="17782"/>
    <n v="6"/>
    <n v="2"/>
    <n v="2024"/>
    <x v="5"/>
  </r>
  <r>
    <x v="7"/>
    <x v="145"/>
    <s v="2024-03-06"/>
    <n v="97658"/>
    <n v="7"/>
    <n v="3"/>
    <n v="2024"/>
    <x v="6"/>
  </r>
  <r>
    <x v="7"/>
    <x v="101"/>
    <s v="2024-03-26"/>
    <n v="11498"/>
    <n v="7"/>
    <n v="3"/>
    <n v="2024"/>
    <x v="6"/>
  </r>
  <r>
    <x v="7"/>
    <x v="149"/>
    <s v="2024-04-01"/>
    <n v="78471"/>
    <n v="6"/>
    <n v="4"/>
    <n v="2024"/>
    <x v="7"/>
  </r>
  <r>
    <x v="7"/>
    <x v="147"/>
    <s v="2024-04-02"/>
    <n v="65461"/>
    <n v="6"/>
    <n v="4"/>
    <n v="2024"/>
    <x v="7"/>
  </r>
  <r>
    <x v="7"/>
    <x v="182"/>
    <s v="2024-04-12"/>
    <n v="73411"/>
    <n v="9"/>
    <n v="4"/>
    <n v="2024"/>
    <x v="7"/>
  </r>
  <r>
    <x v="7"/>
    <x v="10"/>
    <s v="2024-04-19"/>
    <n v="82962"/>
    <n v="5"/>
    <n v="4"/>
    <n v="2024"/>
    <x v="7"/>
  </r>
  <r>
    <x v="7"/>
    <x v="70"/>
    <s v="2024-04-25"/>
    <n v="48698"/>
    <n v="8"/>
    <n v="4"/>
    <n v="2024"/>
    <x v="7"/>
  </r>
  <r>
    <x v="7"/>
    <x v="154"/>
    <s v="2024-04-29"/>
    <n v="72259"/>
    <n v="6"/>
    <n v="4"/>
    <n v="2024"/>
    <x v="7"/>
  </r>
  <r>
    <x v="7"/>
    <x v="49"/>
    <s v="2024-04-29"/>
    <n v="57241"/>
    <n v="10"/>
    <n v="4"/>
    <n v="2024"/>
    <x v="7"/>
  </r>
  <r>
    <x v="7"/>
    <x v="182"/>
    <s v="2024-05-02"/>
    <n v="36770"/>
    <n v="7"/>
    <n v="5"/>
    <n v="2024"/>
    <x v="8"/>
  </r>
  <r>
    <x v="7"/>
    <x v="103"/>
    <s v="2024-05-06"/>
    <n v="31319"/>
    <n v="8"/>
    <n v="5"/>
    <n v="2024"/>
    <x v="8"/>
  </r>
  <r>
    <x v="7"/>
    <x v="35"/>
    <s v="2024-05-09"/>
    <n v="59734"/>
    <n v="0"/>
    <n v="5"/>
    <n v="2024"/>
    <x v="8"/>
  </r>
  <r>
    <x v="7"/>
    <x v="40"/>
    <s v="2024-05-10"/>
    <n v="37379"/>
    <n v="8"/>
    <n v="5"/>
    <n v="2024"/>
    <x v="8"/>
  </r>
  <r>
    <x v="7"/>
    <x v="163"/>
    <s v="2024-05-13"/>
    <n v="33701"/>
    <n v="7"/>
    <n v="5"/>
    <n v="2024"/>
    <x v="8"/>
  </r>
  <r>
    <x v="7"/>
    <x v="84"/>
    <s v="2024-05-15"/>
    <n v="73299"/>
    <n v="4"/>
    <n v="5"/>
    <n v="2024"/>
    <x v="8"/>
  </r>
  <r>
    <x v="7"/>
    <x v="183"/>
    <s v="2024-05-20"/>
    <n v="40276"/>
    <n v="5"/>
    <n v="5"/>
    <n v="2024"/>
    <x v="8"/>
  </r>
  <r>
    <x v="7"/>
    <x v="50"/>
    <s v="2024-05-20"/>
    <n v="93215"/>
    <n v="5"/>
    <n v="5"/>
    <n v="2024"/>
    <x v="8"/>
  </r>
  <r>
    <x v="7"/>
    <x v="82"/>
    <s v="2024-05-20"/>
    <n v="89799"/>
    <n v="7"/>
    <n v="5"/>
    <n v="2024"/>
    <x v="8"/>
  </r>
  <r>
    <x v="7"/>
    <x v="25"/>
    <s v="2024-05-27"/>
    <n v="43138"/>
    <n v="8"/>
    <n v="5"/>
    <n v="2024"/>
    <x v="8"/>
  </r>
  <r>
    <x v="7"/>
    <x v="35"/>
    <s v="2024-05-29"/>
    <n v="79823"/>
    <n v="7"/>
    <n v="5"/>
    <n v="2024"/>
    <x v="8"/>
  </r>
  <r>
    <x v="7"/>
    <x v="8"/>
    <s v="2024-05-31"/>
    <n v="36169"/>
    <n v="1"/>
    <n v="5"/>
    <n v="2024"/>
    <x v="8"/>
  </r>
  <r>
    <x v="7"/>
    <x v="175"/>
    <s v="2024-06-07"/>
    <n v="28121"/>
    <n v="5"/>
    <n v="6"/>
    <n v="2024"/>
    <x v="9"/>
  </r>
  <r>
    <x v="7"/>
    <x v="44"/>
    <s v="2024-06-11"/>
    <n v="49288"/>
    <n v="8"/>
    <n v="6"/>
    <n v="2024"/>
    <x v="9"/>
  </r>
  <r>
    <x v="7"/>
    <x v="155"/>
    <s v="2024-06-12"/>
    <n v="11257"/>
    <n v="8"/>
    <n v="6"/>
    <n v="2024"/>
    <x v="9"/>
  </r>
  <r>
    <x v="7"/>
    <x v="104"/>
    <s v="2024-06-13"/>
    <n v="33561"/>
    <n v="4"/>
    <n v="6"/>
    <n v="2024"/>
    <x v="9"/>
  </r>
  <r>
    <x v="7"/>
    <x v="13"/>
    <s v="2024-06-17"/>
    <n v="62880"/>
    <n v="4"/>
    <n v="6"/>
    <n v="2024"/>
    <x v="9"/>
  </r>
  <r>
    <x v="7"/>
    <x v="138"/>
    <s v="2024-06-20"/>
    <n v="41159"/>
    <n v="9"/>
    <n v="6"/>
    <n v="2024"/>
    <x v="9"/>
  </r>
  <r>
    <x v="7"/>
    <x v="180"/>
    <s v="2024-06-26"/>
    <n v="34670"/>
    <n v="5"/>
    <n v="6"/>
    <n v="2024"/>
    <x v="9"/>
  </r>
  <r>
    <x v="7"/>
    <x v="170"/>
    <s v="2024-07-01"/>
    <n v="62935"/>
    <n v="5"/>
    <n v="7"/>
    <n v="2024"/>
    <x v="10"/>
  </r>
  <r>
    <x v="7"/>
    <x v="148"/>
    <s v="2024-07-02"/>
    <n v="84692"/>
    <n v="7"/>
    <n v="7"/>
    <n v="2024"/>
    <x v="10"/>
  </r>
  <r>
    <x v="7"/>
    <x v="110"/>
    <s v="2024-07-08"/>
    <n v="83623"/>
    <n v="6"/>
    <n v="7"/>
    <n v="2024"/>
    <x v="10"/>
  </r>
  <r>
    <x v="7"/>
    <x v="39"/>
    <s v="2024-07-16"/>
    <n v="96626"/>
    <n v="7"/>
    <n v="7"/>
    <n v="2024"/>
    <x v="10"/>
  </r>
  <r>
    <x v="7"/>
    <x v="116"/>
    <s v="2024-07-30"/>
    <n v="58280"/>
    <n v="1"/>
    <n v="7"/>
    <n v="2024"/>
    <x v="10"/>
  </r>
  <r>
    <x v="7"/>
    <x v="89"/>
    <s v="2024-08-02"/>
    <n v="97241"/>
    <n v="5"/>
    <n v="8"/>
    <n v="2024"/>
    <x v="11"/>
  </r>
  <r>
    <x v="7"/>
    <x v="178"/>
    <s v="2024-08-05"/>
    <n v="81023"/>
    <n v="7"/>
    <n v="8"/>
    <n v="2024"/>
    <x v="11"/>
  </r>
  <r>
    <x v="7"/>
    <x v="123"/>
    <s v="2024-08-05"/>
    <n v="73082"/>
    <n v="7"/>
    <n v="8"/>
    <n v="2024"/>
    <x v="11"/>
  </r>
  <r>
    <x v="7"/>
    <x v="95"/>
    <s v="2024-08-07"/>
    <n v="21254"/>
    <n v="5"/>
    <n v="8"/>
    <n v="2024"/>
    <x v="11"/>
  </r>
  <r>
    <x v="7"/>
    <x v="84"/>
    <s v="2024-08-15"/>
    <n v="84230"/>
    <n v="0"/>
    <n v="8"/>
    <n v="2024"/>
    <x v="11"/>
  </r>
  <r>
    <x v="7"/>
    <x v="39"/>
    <s v="2024-08-19"/>
    <n v="48159"/>
    <n v="8"/>
    <n v="8"/>
    <n v="2024"/>
    <x v="11"/>
  </r>
  <r>
    <x v="7"/>
    <x v="63"/>
    <s v="2024-08-29"/>
    <n v="91020"/>
    <n v="4"/>
    <n v="8"/>
    <n v="2024"/>
    <x v="11"/>
  </r>
  <r>
    <x v="8"/>
    <x v="125"/>
    <s v="2023-09-01"/>
    <n v="70374"/>
    <n v="1"/>
    <n v="9"/>
    <n v="2023"/>
    <x v="0"/>
  </r>
  <r>
    <x v="8"/>
    <x v="105"/>
    <s v="2023-09-07"/>
    <n v="39832"/>
    <n v="7"/>
    <n v="9"/>
    <n v="2023"/>
    <x v="0"/>
  </r>
  <r>
    <x v="8"/>
    <x v="138"/>
    <s v="2023-09-07"/>
    <n v="18687"/>
    <n v="7"/>
    <n v="9"/>
    <n v="2023"/>
    <x v="0"/>
  </r>
  <r>
    <x v="8"/>
    <x v="104"/>
    <s v="2023-09-14"/>
    <n v="38597"/>
    <n v="9"/>
    <n v="9"/>
    <n v="2023"/>
    <x v="0"/>
  </r>
  <r>
    <x v="8"/>
    <x v="184"/>
    <s v="2023-09-21"/>
    <n v="88998"/>
    <n v="6"/>
    <n v="9"/>
    <n v="2023"/>
    <x v="0"/>
  </r>
  <r>
    <x v="8"/>
    <x v="172"/>
    <s v="2023-09-25"/>
    <n v="82853"/>
    <n v="5"/>
    <n v="9"/>
    <n v="2023"/>
    <x v="0"/>
  </r>
  <r>
    <x v="8"/>
    <x v="13"/>
    <s v="2023-09-25"/>
    <n v="81247"/>
    <n v="4"/>
    <n v="9"/>
    <n v="2023"/>
    <x v="0"/>
  </r>
  <r>
    <x v="8"/>
    <x v="19"/>
    <s v="2023-10-02"/>
    <n v="75815"/>
    <n v="8"/>
    <n v="10"/>
    <n v="2023"/>
    <x v="1"/>
  </r>
  <r>
    <x v="8"/>
    <x v="64"/>
    <s v="2023-10-02"/>
    <n v="30299"/>
    <n v="3"/>
    <n v="10"/>
    <n v="2023"/>
    <x v="1"/>
  </r>
  <r>
    <x v="8"/>
    <x v="27"/>
    <s v="2023-10-09"/>
    <n v="89735"/>
    <n v="7"/>
    <n v="10"/>
    <n v="2023"/>
    <x v="1"/>
  </r>
  <r>
    <x v="8"/>
    <x v="95"/>
    <s v="2023-10-09"/>
    <n v="83867"/>
    <n v="4"/>
    <n v="10"/>
    <n v="2023"/>
    <x v="1"/>
  </r>
  <r>
    <x v="8"/>
    <x v="117"/>
    <s v="2023-10-18"/>
    <n v="80268"/>
    <n v="6"/>
    <n v="10"/>
    <n v="2023"/>
    <x v="1"/>
  </r>
  <r>
    <x v="8"/>
    <x v="21"/>
    <s v="2023-10-20"/>
    <n v="43824"/>
    <n v="9"/>
    <n v="10"/>
    <n v="2023"/>
    <x v="1"/>
  </r>
  <r>
    <x v="8"/>
    <x v="128"/>
    <s v="2023-10-23"/>
    <n v="52369"/>
    <n v="7"/>
    <n v="10"/>
    <n v="2023"/>
    <x v="1"/>
  </r>
  <r>
    <x v="8"/>
    <x v="85"/>
    <s v="2023-10-24"/>
    <n v="50779"/>
    <n v="2"/>
    <n v="10"/>
    <n v="2023"/>
    <x v="1"/>
  </r>
  <r>
    <x v="8"/>
    <x v="75"/>
    <s v="2023-10-25"/>
    <n v="92490"/>
    <n v="7"/>
    <n v="10"/>
    <n v="2023"/>
    <x v="1"/>
  </r>
  <r>
    <x v="8"/>
    <x v="181"/>
    <s v="2023-10-27"/>
    <n v="38926"/>
    <n v="3"/>
    <n v="10"/>
    <n v="2023"/>
    <x v="1"/>
  </r>
  <r>
    <x v="8"/>
    <x v="9"/>
    <s v="2023-10-30"/>
    <n v="98011"/>
    <n v="8"/>
    <n v="10"/>
    <n v="2023"/>
    <x v="1"/>
  </r>
  <r>
    <x v="8"/>
    <x v="135"/>
    <s v="2023-11-06"/>
    <n v="25079"/>
    <n v="3"/>
    <n v="11"/>
    <n v="2023"/>
    <x v="2"/>
  </r>
  <r>
    <x v="8"/>
    <x v="28"/>
    <s v="2023-11-08"/>
    <n v="13188"/>
    <n v="6"/>
    <n v="11"/>
    <n v="2023"/>
    <x v="2"/>
  </r>
  <r>
    <x v="8"/>
    <x v="134"/>
    <s v="2023-11-15"/>
    <n v="23673"/>
    <n v="5"/>
    <n v="11"/>
    <n v="2023"/>
    <x v="2"/>
  </r>
  <r>
    <x v="8"/>
    <x v="167"/>
    <s v="2023-11-22"/>
    <n v="53543"/>
    <n v="3"/>
    <n v="11"/>
    <n v="2023"/>
    <x v="2"/>
  </r>
  <r>
    <x v="8"/>
    <x v="39"/>
    <s v="2023-11-23"/>
    <n v="18655"/>
    <n v="5"/>
    <n v="11"/>
    <n v="2023"/>
    <x v="2"/>
  </r>
  <r>
    <x v="8"/>
    <x v="162"/>
    <s v="2023-11-24"/>
    <n v="32980"/>
    <n v="8"/>
    <n v="11"/>
    <n v="2023"/>
    <x v="2"/>
  </r>
  <r>
    <x v="8"/>
    <x v="132"/>
    <s v="2023-11-29"/>
    <n v="97747"/>
    <n v="7"/>
    <n v="11"/>
    <n v="2023"/>
    <x v="2"/>
  </r>
  <r>
    <x v="8"/>
    <x v="79"/>
    <s v="2023-12-04"/>
    <n v="97245"/>
    <n v="6"/>
    <n v="12"/>
    <n v="2023"/>
    <x v="3"/>
  </r>
  <r>
    <x v="8"/>
    <x v="135"/>
    <s v="2023-12-04"/>
    <n v="11019"/>
    <n v="7"/>
    <n v="12"/>
    <n v="2023"/>
    <x v="3"/>
  </r>
  <r>
    <x v="8"/>
    <x v="109"/>
    <s v="2023-12-07"/>
    <n v="84032"/>
    <n v="7"/>
    <n v="12"/>
    <n v="2023"/>
    <x v="3"/>
  </r>
  <r>
    <x v="8"/>
    <x v="43"/>
    <s v="2023-12-08"/>
    <n v="92651"/>
    <n v="6"/>
    <n v="12"/>
    <n v="2023"/>
    <x v="3"/>
  </r>
  <r>
    <x v="8"/>
    <x v="32"/>
    <s v="2023-12-11"/>
    <n v="51433"/>
    <n v="7"/>
    <n v="12"/>
    <n v="2023"/>
    <x v="3"/>
  </r>
  <r>
    <x v="8"/>
    <x v="122"/>
    <s v="2023-12-18"/>
    <n v="11184"/>
    <n v="7"/>
    <n v="12"/>
    <n v="2023"/>
    <x v="3"/>
  </r>
  <r>
    <x v="8"/>
    <x v="97"/>
    <s v="2023-12-21"/>
    <n v="28331"/>
    <n v="6"/>
    <n v="12"/>
    <n v="2023"/>
    <x v="3"/>
  </r>
  <r>
    <x v="8"/>
    <x v="32"/>
    <s v="2024-01-01"/>
    <n v="52197"/>
    <n v="7"/>
    <n v="1"/>
    <n v="2024"/>
    <x v="4"/>
  </r>
  <r>
    <x v="8"/>
    <x v="126"/>
    <s v="2024-01-08"/>
    <n v="36433"/>
    <n v="5"/>
    <n v="1"/>
    <n v="2024"/>
    <x v="4"/>
  </r>
  <r>
    <x v="8"/>
    <x v="78"/>
    <s v="2024-01-08"/>
    <n v="11283"/>
    <n v="1"/>
    <n v="1"/>
    <n v="2024"/>
    <x v="4"/>
  </r>
  <r>
    <x v="8"/>
    <x v="132"/>
    <s v="2024-01-10"/>
    <n v="86922"/>
    <n v="8"/>
    <n v="1"/>
    <n v="2024"/>
    <x v="4"/>
  </r>
  <r>
    <x v="8"/>
    <x v="185"/>
    <s v="2024-01-12"/>
    <n v="44923"/>
    <n v="1"/>
    <n v="1"/>
    <n v="2024"/>
    <x v="4"/>
  </r>
  <r>
    <x v="8"/>
    <x v="15"/>
    <s v="2024-01-30"/>
    <n v="11613"/>
    <n v="3"/>
    <n v="1"/>
    <n v="2024"/>
    <x v="4"/>
  </r>
  <r>
    <x v="8"/>
    <x v="96"/>
    <s v="2024-02-01"/>
    <n v="11789"/>
    <n v="8"/>
    <n v="2"/>
    <n v="2024"/>
    <x v="5"/>
  </r>
  <r>
    <x v="8"/>
    <x v="131"/>
    <s v="2024-02-05"/>
    <n v="87129"/>
    <n v="3"/>
    <n v="2"/>
    <n v="2024"/>
    <x v="5"/>
  </r>
  <r>
    <x v="8"/>
    <x v="89"/>
    <s v="2024-02-06"/>
    <n v="12252"/>
    <n v="9"/>
    <n v="2"/>
    <n v="2024"/>
    <x v="5"/>
  </r>
  <r>
    <x v="8"/>
    <x v="72"/>
    <s v="2024-02-07"/>
    <n v="38481"/>
    <n v="8"/>
    <n v="2"/>
    <n v="2024"/>
    <x v="5"/>
  </r>
  <r>
    <x v="8"/>
    <x v="86"/>
    <s v="2024-02-12"/>
    <n v="71070"/>
    <n v="7"/>
    <n v="2"/>
    <n v="2024"/>
    <x v="5"/>
  </r>
  <r>
    <x v="8"/>
    <x v="60"/>
    <s v="2024-02-14"/>
    <n v="48556"/>
    <n v="6"/>
    <n v="2"/>
    <n v="2024"/>
    <x v="5"/>
  </r>
  <r>
    <x v="8"/>
    <x v="128"/>
    <s v="2024-02-19"/>
    <n v="60252"/>
    <n v="4"/>
    <n v="2"/>
    <n v="2024"/>
    <x v="5"/>
  </r>
  <r>
    <x v="8"/>
    <x v="67"/>
    <s v="2024-02-19"/>
    <n v="69179"/>
    <n v="3"/>
    <n v="2"/>
    <n v="2024"/>
    <x v="5"/>
  </r>
  <r>
    <x v="8"/>
    <x v="139"/>
    <s v="2024-02-20"/>
    <n v="79846"/>
    <n v="7"/>
    <n v="2"/>
    <n v="2024"/>
    <x v="5"/>
  </r>
  <r>
    <x v="8"/>
    <x v="157"/>
    <s v="2024-02-20"/>
    <n v="87603"/>
    <n v="2"/>
    <n v="2"/>
    <n v="2024"/>
    <x v="5"/>
  </r>
  <r>
    <x v="8"/>
    <x v="78"/>
    <s v="2024-02-26"/>
    <n v="25124"/>
    <n v="5"/>
    <n v="2"/>
    <n v="2024"/>
    <x v="5"/>
  </r>
  <r>
    <x v="8"/>
    <x v="120"/>
    <s v="2024-02-27"/>
    <n v="36285"/>
    <n v="4"/>
    <n v="2"/>
    <n v="2024"/>
    <x v="5"/>
  </r>
  <r>
    <x v="8"/>
    <x v="106"/>
    <s v="2024-03-04"/>
    <n v="21669"/>
    <n v="4"/>
    <n v="3"/>
    <n v="2024"/>
    <x v="6"/>
  </r>
  <r>
    <x v="8"/>
    <x v="132"/>
    <s v="2024-03-12"/>
    <n v="90662"/>
    <n v="6"/>
    <n v="3"/>
    <n v="2024"/>
    <x v="6"/>
  </r>
  <r>
    <x v="8"/>
    <x v="122"/>
    <s v="2024-03-15"/>
    <n v="60918"/>
    <n v="9"/>
    <n v="3"/>
    <n v="2024"/>
    <x v="6"/>
  </r>
  <r>
    <x v="8"/>
    <x v="104"/>
    <s v="2024-03-18"/>
    <n v="52608"/>
    <n v="6"/>
    <n v="3"/>
    <n v="2024"/>
    <x v="6"/>
  </r>
  <r>
    <x v="8"/>
    <x v="165"/>
    <s v="2024-03-18"/>
    <n v="35805"/>
    <n v="10"/>
    <n v="3"/>
    <n v="2024"/>
    <x v="6"/>
  </r>
  <r>
    <x v="8"/>
    <x v="87"/>
    <s v="2024-03-22"/>
    <n v="88851"/>
    <n v="4"/>
    <n v="3"/>
    <n v="2024"/>
    <x v="6"/>
  </r>
  <r>
    <x v="8"/>
    <x v="26"/>
    <s v="2024-03-25"/>
    <n v="25625"/>
    <n v="5"/>
    <n v="3"/>
    <n v="2024"/>
    <x v="6"/>
  </r>
  <r>
    <x v="8"/>
    <x v="145"/>
    <s v="2024-04-04"/>
    <n v="26333"/>
    <n v="6"/>
    <n v="4"/>
    <n v="2024"/>
    <x v="7"/>
  </r>
  <r>
    <x v="8"/>
    <x v="178"/>
    <s v="2024-04-05"/>
    <n v="94955"/>
    <n v="7"/>
    <n v="4"/>
    <n v="2024"/>
    <x v="7"/>
  </r>
  <r>
    <x v="8"/>
    <x v="42"/>
    <s v="2024-04-10"/>
    <n v="83112"/>
    <n v="8"/>
    <n v="4"/>
    <n v="2024"/>
    <x v="7"/>
  </r>
  <r>
    <x v="8"/>
    <x v="68"/>
    <s v="2024-04-11"/>
    <n v="32198"/>
    <n v="9"/>
    <n v="4"/>
    <n v="2024"/>
    <x v="7"/>
  </r>
  <r>
    <x v="8"/>
    <x v="8"/>
    <s v="2024-04-15"/>
    <n v="10686"/>
    <n v="8"/>
    <n v="4"/>
    <n v="2024"/>
    <x v="7"/>
  </r>
  <r>
    <x v="8"/>
    <x v="129"/>
    <s v="2024-04-22"/>
    <n v="36631"/>
    <n v="5"/>
    <n v="4"/>
    <n v="2024"/>
    <x v="7"/>
  </r>
  <r>
    <x v="8"/>
    <x v="76"/>
    <s v="2024-04-29"/>
    <n v="85266"/>
    <n v="10"/>
    <n v="4"/>
    <n v="2024"/>
    <x v="7"/>
  </r>
  <r>
    <x v="8"/>
    <x v="186"/>
    <s v="2024-05-01"/>
    <n v="95792"/>
    <n v="5"/>
    <n v="5"/>
    <n v="2024"/>
    <x v="8"/>
  </r>
  <r>
    <x v="8"/>
    <x v="146"/>
    <s v="2024-05-13"/>
    <n v="95673"/>
    <n v="8"/>
    <n v="5"/>
    <n v="2024"/>
    <x v="8"/>
  </r>
  <r>
    <x v="8"/>
    <x v="108"/>
    <s v="2024-05-13"/>
    <n v="99947"/>
    <n v="4"/>
    <n v="5"/>
    <n v="2024"/>
    <x v="8"/>
  </r>
  <r>
    <x v="8"/>
    <x v="113"/>
    <s v="2024-05-16"/>
    <n v="81492"/>
    <n v="8"/>
    <n v="5"/>
    <n v="2024"/>
    <x v="8"/>
  </r>
  <r>
    <x v="8"/>
    <x v="21"/>
    <s v="2024-05-17"/>
    <n v="22093"/>
    <n v="10"/>
    <n v="5"/>
    <n v="2024"/>
    <x v="8"/>
  </r>
  <r>
    <x v="8"/>
    <x v="128"/>
    <s v="2024-05-17"/>
    <n v="28426"/>
    <n v="5"/>
    <n v="5"/>
    <n v="2024"/>
    <x v="8"/>
  </r>
  <r>
    <x v="8"/>
    <x v="106"/>
    <s v="2024-05-24"/>
    <n v="25308"/>
    <n v="6"/>
    <n v="5"/>
    <n v="2024"/>
    <x v="8"/>
  </r>
  <r>
    <x v="8"/>
    <x v="145"/>
    <s v="2024-05-28"/>
    <n v="75689"/>
    <n v="7"/>
    <n v="5"/>
    <n v="2024"/>
    <x v="8"/>
  </r>
  <r>
    <x v="8"/>
    <x v="88"/>
    <s v="2024-06-03"/>
    <n v="17317"/>
    <n v="10"/>
    <n v="6"/>
    <n v="2024"/>
    <x v="9"/>
  </r>
  <r>
    <x v="8"/>
    <x v="22"/>
    <s v="2024-06-04"/>
    <n v="58694"/>
    <n v="7"/>
    <n v="6"/>
    <n v="2024"/>
    <x v="9"/>
  </r>
  <r>
    <x v="8"/>
    <x v="123"/>
    <s v="2024-06-07"/>
    <n v="90387"/>
    <n v="7"/>
    <n v="6"/>
    <n v="2024"/>
    <x v="9"/>
  </r>
  <r>
    <x v="8"/>
    <x v="119"/>
    <s v="2024-06-11"/>
    <n v="61715"/>
    <n v="6"/>
    <n v="6"/>
    <n v="2024"/>
    <x v="9"/>
  </r>
  <r>
    <x v="8"/>
    <x v="163"/>
    <s v="2024-06-13"/>
    <n v="19182"/>
    <n v="8"/>
    <n v="6"/>
    <n v="2024"/>
    <x v="9"/>
  </r>
  <r>
    <x v="8"/>
    <x v="122"/>
    <s v="2024-06-17"/>
    <n v="96463"/>
    <n v="8"/>
    <n v="6"/>
    <n v="2024"/>
    <x v="9"/>
  </r>
  <r>
    <x v="8"/>
    <x v="24"/>
    <s v="2024-06-19"/>
    <n v="49391"/>
    <n v="10"/>
    <n v="6"/>
    <n v="2024"/>
    <x v="9"/>
  </r>
  <r>
    <x v="8"/>
    <x v="125"/>
    <s v="2024-06-20"/>
    <n v="54105"/>
    <n v="8"/>
    <n v="6"/>
    <n v="2024"/>
    <x v="9"/>
  </r>
  <r>
    <x v="8"/>
    <x v="18"/>
    <s v="2024-06-24"/>
    <n v="55502"/>
    <n v="3"/>
    <n v="6"/>
    <n v="2024"/>
    <x v="9"/>
  </r>
  <r>
    <x v="8"/>
    <x v="55"/>
    <s v="2024-06-27"/>
    <n v="35755"/>
    <n v="7"/>
    <n v="6"/>
    <n v="2024"/>
    <x v="9"/>
  </r>
  <r>
    <x v="8"/>
    <x v="1"/>
    <s v="2024-07-09"/>
    <n v="45925"/>
    <n v="2"/>
    <n v="7"/>
    <n v="2024"/>
    <x v="10"/>
  </r>
  <r>
    <x v="8"/>
    <x v="115"/>
    <s v="2024-07-11"/>
    <n v="47891"/>
    <n v="6"/>
    <n v="7"/>
    <n v="2024"/>
    <x v="10"/>
  </r>
  <r>
    <x v="8"/>
    <x v="21"/>
    <s v="2024-07-12"/>
    <n v="18006"/>
    <n v="4"/>
    <n v="7"/>
    <n v="2024"/>
    <x v="10"/>
  </r>
  <r>
    <x v="8"/>
    <x v="36"/>
    <s v="2024-07-25"/>
    <n v="52380"/>
    <n v="7"/>
    <n v="7"/>
    <n v="2024"/>
    <x v="10"/>
  </r>
  <r>
    <x v="8"/>
    <x v="139"/>
    <s v="2024-08-05"/>
    <n v="68145"/>
    <n v="10"/>
    <n v="8"/>
    <n v="2024"/>
    <x v="11"/>
  </r>
  <r>
    <x v="8"/>
    <x v="78"/>
    <s v="2024-08-12"/>
    <n v="16979"/>
    <n v="8"/>
    <n v="8"/>
    <n v="2024"/>
    <x v="11"/>
  </r>
  <r>
    <x v="8"/>
    <x v="43"/>
    <s v="2024-08-12"/>
    <n v="55920"/>
    <n v="8"/>
    <n v="8"/>
    <n v="2024"/>
    <x v="11"/>
  </r>
  <r>
    <x v="8"/>
    <x v="129"/>
    <s v="2024-08-19"/>
    <n v="90220"/>
    <n v="6"/>
    <n v="8"/>
    <n v="2024"/>
    <x v="11"/>
  </r>
  <r>
    <x v="8"/>
    <x v="1"/>
    <s v="2024-08-26"/>
    <n v="11556"/>
    <n v="4"/>
    <n v="8"/>
    <n v="2024"/>
    <x v="11"/>
  </r>
  <r>
    <x v="8"/>
    <x v="91"/>
    <s v="2024-08-27"/>
    <n v="62813"/>
    <n v="10"/>
    <n v="8"/>
    <n v="2024"/>
    <x v="11"/>
  </r>
  <r>
    <x v="9"/>
    <x v="31"/>
    <s v="2023-09-06"/>
    <n v="68907"/>
    <n v="3"/>
    <n v="9"/>
    <n v="2023"/>
    <x v="0"/>
  </r>
  <r>
    <x v="9"/>
    <x v="83"/>
    <s v="2023-09-11"/>
    <n v="24172"/>
    <n v="5"/>
    <n v="9"/>
    <n v="2023"/>
    <x v="0"/>
  </r>
  <r>
    <x v="9"/>
    <x v="10"/>
    <s v="2023-09-11"/>
    <n v="62593"/>
    <n v="8"/>
    <n v="9"/>
    <n v="2023"/>
    <x v="0"/>
  </r>
  <r>
    <x v="9"/>
    <x v="85"/>
    <s v="2023-09-11"/>
    <n v="44430"/>
    <n v="2"/>
    <n v="9"/>
    <n v="2023"/>
    <x v="0"/>
  </r>
  <r>
    <x v="9"/>
    <x v="138"/>
    <s v="2023-09-18"/>
    <n v="89242"/>
    <n v="6"/>
    <n v="9"/>
    <n v="2023"/>
    <x v="0"/>
  </r>
  <r>
    <x v="9"/>
    <x v="50"/>
    <s v="2023-09-18"/>
    <n v="11300"/>
    <n v="5"/>
    <n v="9"/>
    <n v="2023"/>
    <x v="0"/>
  </r>
  <r>
    <x v="9"/>
    <x v="187"/>
    <s v="2023-09-25"/>
    <n v="99945"/>
    <n v="6"/>
    <n v="9"/>
    <n v="2023"/>
    <x v="0"/>
  </r>
  <r>
    <x v="9"/>
    <x v="149"/>
    <s v="2023-09-27"/>
    <n v="97783"/>
    <n v="8"/>
    <n v="9"/>
    <n v="2023"/>
    <x v="0"/>
  </r>
  <r>
    <x v="9"/>
    <x v="13"/>
    <s v="2023-10-03"/>
    <n v="69358"/>
    <n v="7"/>
    <n v="10"/>
    <n v="2023"/>
    <x v="1"/>
  </r>
  <r>
    <x v="9"/>
    <x v="178"/>
    <s v="2023-10-03"/>
    <n v="19847"/>
    <n v="7"/>
    <n v="10"/>
    <n v="2023"/>
    <x v="1"/>
  </r>
  <r>
    <x v="9"/>
    <x v="114"/>
    <s v="2023-10-05"/>
    <n v="67191"/>
    <n v="3"/>
    <n v="10"/>
    <n v="2023"/>
    <x v="1"/>
  </r>
  <r>
    <x v="9"/>
    <x v="149"/>
    <s v="2023-10-10"/>
    <n v="34353"/>
    <n v="7"/>
    <n v="10"/>
    <n v="2023"/>
    <x v="1"/>
  </r>
  <r>
    <x v="9"/>
    <x v="12"/>
    <s v="2023-10-10"/>
    <n v="48993"/>
    <n v="7"/>
    <n v="10"/>
    <n v="2023"/>
    <x v="1"/>
  </r>
  <r>
    <x v="9"/>
    <x v="148"/>
    <s v="2023-10-13"/>
    <n v="16846"/>
    <n v="1"/>
    <n v="10"/>
    <n v="2023"/>
    <x v="1"/>
  </r>
  <r>
    <x v="9"/>
    <x v="159"/>
    <s v="2023-10-17"/>
    <n v="58768"/>
    <n v="7"/>
    <n v="10"/>
    <n v="2023"/>
    <x v="1"/>
  </r>
  <r>
    <x v="9"/>
    <x v="142"/>
    <s v="2023-10-23"/>
    <n v="84891"/>
    <n v="5"/>
    <n v="10"/>
    <n v="2023"/>
    <x v="1"/>
  </r>
  <r>
    <x v="9"/>
    <x v="188"/>
    <s v="2023-11-08"/>
    <n v="90276"/>
    <n v="2"/>
    <n v="11"/>
    <n v="2023"/>
    <x v="2"/>
  </r>
  <r>
    <x v="9"/>
    <x v="30"/>
    <s v="2023-11-13"/>
    <n v="45549"/>
    <n v="10"/>
    <n v="11"/>
    <n v="2023"/>
    <x v="2"/>
  </r>
  <r>
    <x v="9"/>
    <x v="96"/>
    <s v="2023-11-13"/>
    <n v="82432"/>
    <n v="5"/>
    <n v="11"/>
    <n v="2023"/>
    <x v="2"/>
  </r>
  <r>
    <x v="9"/>
    <x v="1"/>
    <s v="2023-11-21"/>
    <n v="38423"/>
    <n v="6"/>
    <n v="11"/>
    <n v="2023"/>
    <x v="2"/>
  </r>
  <r>
    <x v="9"/>
    <x v="100"/>
    <s v="2023-11-22"/>
    <n v="31304"/>
    <n v="4"/>
    <n v="11"/>
    <n v="2023"/>
    <x v="2"/>
  </r>
  <r>
    <x v="9"/>
    <x v="31"/>
    <s v="2023-11-23"/>
    <n v="43479"/>
    <n v="9"/>
    <n v="11"/>
    <n v="2023"/>
    <x v="2"/>
  </r>
  <r>
    <x v="9"/>
    <x v="45"/>
    <s v="2023-11-27"/>
    <n v="79954"/>
    <n v="3"/>
    <n v="11"/>
    <n v="2023"/>
    <x v="2"/>
  </r>
  <r>
    <x v="9"/>
    <x v="7"/>
    <s v="2023-12-01"/>
    <n v="80839"/>
    <n v="5"/>
    <n v="12"/>
    <n v="2023"/>
    <x v="3"/>
  </r>
  <r>
    <x v="9"/>
    <x v="133"/>
    <s v="2023-12-05"/>
    <n v="49743"/>
    <n v="4"/>
    <n v="12"/>
    <n v="2023"/>
    <x v="3"/>
  </r>
  <r>
    <x v="9"/>
    <x v="133"/>
    <s v="2023-12-11"/>
    <n v="15374"/>
    <n v="6"/>
    <n v="12"/>
    <n v="2023"/>
    <x v="3"/>
  </r>
  <r>
    <x v="9"/>
    <x v="90"/>
    <s v="2023-12-11"/>
    <n v="46765"/>
    <n v="2"/>
    <n v="12"/>
    <n v="2023"/>
    <x v="3"/>
  </r>
  <r>
    <x v="9"/>
    <x v="108"/>
    <s v="2023-12-11"/>
    <n v="51565"/>
    <n v="2"/>
    <n v="12"/>
    <n v="2023"/>
    <x v="3"/>
  </r>
  <r>
    <x v="9"/>
    <x v="14"/>
    <s v="2023-12-18"/>
    <n v="80485"/>
    <n v="4"/>
    <n v="12"/>
    <n v="2023"/>
    <x v="3"/>
  </r>
  <r>
    <x v="9"/>
    <x v="189"/>
    <s v="2024-01-01"/>
    <n v="88188"/>
    <n v="7"/>
    <n v="1"/>
    <n v="2024"/>
    <x v="4"/>
  </r>
  <r>
    <x v="9"/>
    <x v="131"/>
    <s v="2024-01-05"/>
    <n v="10843"/>
    <n v="4"/>
    <n v="1"/>
    <n v="2024"/>
    <x v="4"/>
  </r>
  <r>
    <x v="9"/>
    <x v="115"/>
    <s v="2024-01-12"/>
    <n v="85312"/>
    <n v="7"/>
    <n v="1"/>
    <n v="2024"/>
    <x v="4"/>
  </r>
  <r>
    <x v="9"/>
    <x v="107"/>
    <s v="2024-02-07"/>
    <n v="53498"/>
    <n v="8"/>
    <n v="2"/>
    <n v="2024"/>
    <x v="5"/>
  </r>
  <r>
    <x v="9"/>
    <x v="188"/>
    <s v="2024-02-15"/>
    <n v="81408"/>
    <n v="6"/>
    <n v="2"/>
    <n v="2024"/>
    <x v="5"/>
  </r>
  <r>
    <x v="9"/>
    <x v="2"/>
    <s v="2024-02-27"/>
    <n v="52124"/>
    <n v="5"/>
    <n v="2"/>
    <n v="2024"/>
    <x v="5"/>
  </r>
  <r>
    <x v="9"/>
    <x v="52"/>
    <s v="2024-03-04"/>
    <n v="65545"/>
    <n v="2"/>
    <n v="3"/>
    <n v="2024"/>
    <x v="6"/>
  </r>
  <r>
    <x v="9"/>
    <x v="65"/>
    <s v="2024-03-04"/>
    <n v="59839"/>
    <n v="8"/>
    <n v="3"/>
    <n v="2024"/>
    <x v="6"/>
  </r>
  <r>
    <x v="9"/>
    <x v="2"/>
    <s v="2024-03-08"/>
    <n v="15686"/>
    <n v="0"/>
    <n v="3"/>
    <n v="2024"/>
    <x v="6"/>
  </r>
  <r>
    <x v="9"/>
    <x v="104"/>
    <s v="2024-03-28"/>
    <n v="90046"/>
    <n v="7"/>
    <n v="3"/>
    <n v="2024"/>
    <x v="6"/>
  </r>
  <r>
    <x v="9"/>
    <x v="182"/>
    <s v="2024-04-02"/>
    <n v="34157"/>
    <n v="10"/>
    <n v="4"/>
    <n v="2024"/>
    <x v="7"/>
  </r>
  <r>
    <x v="9"/>
    <x v="157"/>
    <s v="2024-04-19"/>
    <n v="68655"/>
    <n v="2"/>
    <n v="4"/>
    <n v="2024"/>
    <x v="7"/>
  </r>
  <r>
    <x v="9"/>
    <x v="122"/>
    <s v="2024-04-19"/>
    <n v="25410"/>
    <n v="7"/>
    <n v="4"/>
    <n v="2024"/>
    <x v="7"/>
  </r>
  <r>
    <x v="9"/>
    <x v="33"/>
    <s v="2024-04-30"/>
    <n v="35183"/>
    <n v="6"/>
    <n v="4"/>
    <n v="2024"/>
    <x v="7"/>
  </r>
  <r>
    <x v="9"/>
    <x v="110"/>
    <s v="2024-05-06"/>
    <n v="14046"/>
    <n v="6"/>
    <n v="5"/>
    <n v="2024"/>
    <x v="8"/>
  </r>
  <r>
    <x v="9"/>
    <x v="101"/>
    <s v="2024-05-27"/>
    <n v="23678"/>
    <n v="10"/>
    <n v="5"/>
    <n v="2024"/>
    <x v="8"/>
  </r>
  <r>
    <x v="9"/>
    <x v="123"/>
    <s v="2024-05-30"/>
    <n v="54463"/>
    <n v="3"/>
    <n v="5"/>
    <n v="2024"/>
    <x v="8"/>
  </r>
  <r>
    <x v="9"/>
    <x v="140"/>
    <s v="2024-05-31"/>
    <n v="65869"/>
    <n v="8"/>
    <n v="5"/>
    <n v="2024"/>
    <x v="8"/>
  </r>
  <r>
    <x v="9"/>
    <x v="6"/>
    <s v="2024-06-03"/>
    <n v="90540"/>
    <n v="1"/>
    <n v="6"/>
    <n v="2024"/>
    <x v="9"/>
  </r>
  <r>
    <x v="9"/>
    <x v="136"/>
    <s v="2024-06-18"/>
    <n v="10170"/>
    <n v="5"/>
    <n v="6"/>
    <n v="2024"/>
    <x v="9"/>
  </r>
  <r>
    <x v="9"/>
    <x v="143"/>
    <s v="2024-06-21"/>
    <n v="45913"/>
    <n v="5"/>
    <n v="6"/>
    <n v="2024"/>
    <x v="9"/>
  </r>
  <r>
    <x v="9"/>
    <x v="22"/>
    <s v="2024-06-24"/>
    <n v="28577"/>
    <n v="7"/>
    <n v="6"/>
    <n v="2024"/>
    <x v="9"/>
  </r>
  <r>
    <x v="9"/>
    <x v="179"/>
    <s v="2024-06-26"/>
    <n v="73139"/>
    <n v="8"/>
    <n v="6"/>
    <n v="2024"/>
    <x v="9"/>
  </r>
  <r>
    <x v="9"/>
    <x v="6"/>
    <s v="2024-06-27"/>
    <n v="27107"/>
    <n v="6"/>
    <n v="6"/>
    <n v="2024"/>
    <x v="9"/>
  </r>
  <r>
    <x v="9"/>
    <x v="2"/>
    <s v="2024-07-04"/>
    <n v="64279"/>
    <n v="9"/>
    <n v="7"/>
    <n v="2024"/>
    <x v="10"/>
  </r>
  <r>
    <x v="9"/>
    <x v="94"/>
    <s v="2024-07-10"/>
    <n v="33415"/>
    <n v="5"/>
    <n v="7"/>
    <n v="2024"/>
    <x v="10"/>
  </r>
  <r>
    <x v="9"/>
    <x v="88"/>
    <s v="2024-07-12"/>
    <n v="88821"/>
    <n v="6"/>
    <n v="7"/>
    <n v="2024"/>
    <x v="10"/>
  </r>
  <r>
    <x v="9"/>
    <x v="4"/>
    <s v="2024-07-18"/>
    <n v="39780"/>
    <n v="1"/>
    <n v="7"/>
    <n v="2024"/>
    <x v="10"/>
  </r>
  <r>
    <x v="9"/>
    <x v="115"/>
    <s v="2024-07-19"/>
    <n v="78241"/>
    <n v="7"/>
    <n v="7"/>
    <n v="2024"/>
    <x v="10"/>
  </r>
  <r>
    <x v="9"/>
    <x v="114"/>
    <s v="2024-07-26"/>
    <n v="76081"/>
    <n v="8"/>
    <n v="7"/>
    <n v="2024"/>
    <x v="10"/>
  </r>
  <r>
    <x v="9"/>
    <x v="84"/>
    <s v="2024-07-29"/>
    <n v="14495"/>
    <n v="9"/>
    <n v="7"/>
    <n v="2024"/>
    <x v="10"/>
  </r>
  <r>
    <x v="9"/>
    <x v="150"/>
    <s v="2024-07-29"/>
    <n v="47273"/>
    <n v="5"/>
    <n v="7"/>
    <n v="2024"/>
    <x v="10"/>
  </r>
  <r>
    <x v="9"/>
    <x v="84"/>
    <s v="2024-07-29"/>
    <n v="38368"/>
    <n v="7"/>
    <n v="7"/>
    <n v="2024"/>
    <x v="10"/>
  </r>
  <r>
    <x v="9"/>
    <x v="135"/>
    <s v="2024-08-01"/>
    <n v="82141"/>
    <n v="7"/>
    <n v="8"/>
    <n v="2024"/>
    <x v="11"/>
  </r>
  <r>
    <x v="9"/>
    <x v="123"/>
    <s v="2024-08-05"/>
    <n v="81510"/>
    <n v="5"/>
    <n v="8"/>
    <n v="2024"/>
    <x v="11"/>
  </r>
  <r>
    <x v="9"/>
    <x v="184"/>
    <s v="2024-08-05"/>
    <n v="28980"/>
    <n v="9"/>
    <n v="8"/>
    <n v="2024"/>
    <x v="11"/>
  </r>
  <r>
    <x v="9"/>
    <x v="59"/>
    <s v="2024-08-07"/>
    <n v="33132"/>
    <n v="9"/>
    <n v="8"/>
    <n v="2024"/>
    <x v="11"/>
  </r>
  <r>
    <x v="9"/>
    <x v="174"/>
    <s v="2024-08-07"/>
    <n v="99108"/>
    <n v="6"/>
    <n v="8"/>
    <n v="2024"/>
    <x v="11"/>
  </r>
  <r>
    <x v="9"/>
    <x v="68"/>
    <s v="2024-08-07"/>
    <n v="31560"/>
    <n v="5"/>
    <n v="8"/>
    <n v="2024"/>
    <x v="11"/>
  </r>
  <r>
    <x v="9"/>
    <x v="15"/>
    <s v="2024-08-09"/>
    <n v="76334"/>
    <n v="2"/>
    <n v="8"/>
    <n v="2024"/>
    <x v="11"/>
  </r>
  <r>
    <x v="9"/>
    <x v="1"/>
    <s v="2024-08-12"/>
    <n v="24913"/>
    <n v="7"/>
    <n v="8"/>
    <n v="2024"/>
    <x v="11"/>
  </r>
  <r>
    <x v="9"/>
    <x v="63"/>
    <s v="2024-08-12"/>
    <n v="48323"/>
    <n v="1"/>
    <n v="8"/>
    <n v="2024"/>
    <x v="11"/>
  </r>
  <r>
    <x v="9"/>
    <x v="97"/>
    <s v="2024-08-15"/>
    <n v="65909"/>
    <n v="7"/>
    <n v="8"/>
    <n v="2024"/>
    <x v="11"/>
  </r>
  <r>
    <x v="9"/>
    <x v="81"/>
    <s v="2024-08-22"/>
    <n v="23511"/>
    <n v="2"/>
    <n v="8"/>
    <n v="2024"/>
    <x v="11"/>
  </r>
  <r>
    <x v="9"/>
    <x v="117"/>
    <s v="2024-08-26"/>
    <n v="76128"/>
    <n v="7"/>
    <n v="8"/>
    <n v="2024"/>
    <x v="11"/>
  </r>
  <r>
    <x v="9"/>
    <x v="143"/>
    <s v="2024-08-29"/>
    <n v="74297"/>
    <n v="5"/>
    <n v="8"/>
    <n v="2024"/>
    <x v="11"/>
  </r>
  <r>
    <x v="9"/>
    <x v="119"/>
    <s v="2024-08-29"/>
    <n v="94413"/>
    <n v="4"/>
    <n v="8"/>
    <n v="2024"/>
    <x v="11"/>
  </r>
  <r>
    <x v="9"/>
    <x v="32"/>
    <s v="2024-09-02"/>
    <n v="80783"/>
    <n v="6"/>
    <n v="9"/>
    <n v="2024"/>
    <x v="12"/>
  </r>
  <r>
    <x v="10"/>
    <x v="132"/>
    <s v="2023-09-04"/>
    <n v="50424"/>
    <n v="3"/>
    <n v="9"/>
    <n v="2023"/>
    <x v="0"/>
  </r>
  <r>
    <x v="10"/>
    <x v="131"/>
    <s v="2023-09-07"/>
    <n v="28370"/>
    <n v="9"/>
    <n v="9"/>
    <n v="2023"/>
    <x v="0"/>
  </r>
  <r>
    <x v="10"/>
    <x v="39"/>
    <s v="2023-09-07"/>
    <n v="37951"/>
    <n v="0"/>
    <n v="9"/>
    <n v="2023"/>
    <x v="0"/>
  </r>
  <r>
    <x v="10"/>
    <x v="88"/>
    <s v="2023-09-08"/>
    <n v="59076"/>
    <n v="6"/>
    <n v="9"/>
    <n v="2023"/>
    <x v="0"/>
  </r>
  <r>
    <x v="10"/>
    <x v="88"/>
    <s v="2023-09-13"/>
    <n v="26957"/>
    <n v="4"/>
    <n v="9"/>
    <n v="2023"/>
    <x v="0"/>
  </r>
  <r>
    <x v="10"/>
    <x v="84"/>
    <s v="2023-09-18"/>
    <n v="64611"/>
    <n v="6"/>
    <n v="9"/>
    <n v="2023"/>
    <x v="0"/>
  </r>
  <r>
    <x v="10"/>
    <x v="186"/>
    <s v="2023-09-18"/>
    <n v="37502"/>
    <n v="4"/>
    <n v="9"/>
    <n v="2023"/>
    <x v="0"/>
  </r>
  <r>
    <x v="10"/>
    <x v="121"/>
    <s v="2023-09-19"/>
    <n v="49341"/>
    <n v="4"/>
    <n v="9"/>
    <n v="2023"/>
    <x v="0"/>
  </r>
  <r>
    <x v="10"/>
    <x v="123"/>
    <s v="2023-09-20"/>
    <n v="71076"/>
    <n v="7"/>
    <n v="9"/>
    <n v="2023"/>
    <x v="0"/>
  </r>
  <r>
    <x v="10"/>
    <x v="178"/>
    <s v="2023-10-02"/>
    <n v="61547"/>
    <n v="8"/>
    <n v="10"/>
    <n v="2023"/>
    <x v="1"/>
  </r>
  <r>
    <x v="10"/>
    <x v="0"/>
    <s v="2023-10-09"/>
    <n v="69956"/>
    <n v="6"/>
    <n v="10"/>
    <n v="2023"/>
    <x v="1"/>
  </r>
  <r>
    <x v="10"/>
    <x v="184"/>
    <s v="2023-10-09"/>
    <n v="15652"/>
    <n v="8"/>
    <n v="10"/>
    <n v="2023"/>
    <x v="1"/>
  </r>
  <r>
    <x v="10"/>
    <x v="71"/>
    <s v="2023-10-11"/>
    <n v="91993"/>
    <n v="0"/>
    <n v="10"/>
    <n v="2023"/>
    <x v="1"/>
  </r>
  <r>
    <x v="10"/>
    <x v="50"/>
    <s v="2023-10-25"/>
    <n v="54355"/>
    <n v="9"/>
    <n v="10"/>
    <n v="2023"/>
    <x v="1"/>
  </r>
  <r>
    <x v="10"/>
    <x v="169"/>
    <s v="2023-10-27"/>
    <n v="65958"/>
    <n v="3"/>
    <n v="10"/>
    <n v="2023"/>
    <x v="1"/>
  </r>
  <r>
    <x v="10"/>
    <x v="50"/>
    <s v="2023-11-09"/>
    <n v="44354"/>
    <n v="9"/>
    <n v="11"/>
    <n v="2023"/>
    <x v="2"/>
  </r>
  <r>
    <x v="10"/>
    <x v="178"/>
    <s v="2023-11-10"/>
    <n v="24852"/>
    <n v="2"/>
    <n v="11"/>
    <n v="2023"/>
    <x v="2"/>
  </r>
  <r>
    <x v="10"/>
    <x v="166"/>
    <s v="2023-11-13"/>
    <n v="35346"/>
    <n v="8"/>
    <n v="11"/>
    <n v="2023"/>
    <x v="2"/>
  </r>
  <r>
    <x v="10"/>
    <x v="132"/>
    <s v="2023-11-15"/>
    <n v="46519"/>
    <n v="0"/>
    <n v="11"/>
    <n v="2023"/>
    <x v="2"/>
  </r>
  <r>
    <x v="10"/>
    <x v="124"/>
    <s v="2023-11-17"/>
    <n v="50780"/>
    <n v="2"/>
    <n v="11"/>
    <n v="2023"/>
    <x v="2"/>
  </r>
  <r>
    <x v="10"/>
    <x v="129"/>
    <s v="2023-11-27"/>
    <n v="25041"/>
    <n v="7"/>
    <n v="11"/>
    <n v="2023"/>
    <x v="2"/>
  </r>
  <r>
    <x v="10"/>
    <x v="140"/>
    <s v="2023-11-27"/>
    <n v="85290"/>
    <n v="9"/>
    <n v="11"/>
    <n v="2023"/>
    <x v="2"/>
  </r>
  <r>
    <x v="10"/>
    <x v="59"/>
    <s v="2023-12-04"/>
    <n v="89825"/>
    <n v="5"/>
    <n v="12"/>
    <n v="2023"/>
    <x v="3"/>
  </r>
  <r>
    <x v="10"/>
    <x v="125"/>
    <s v="2023-12-04"/>
    <n v="45509"/>
    <n v="7"/>
    <n v="12"/>
    <n v="2023"/>
    <x v="3"/>
  </r>
  <r>
    <x v="10"/>
    <x v="189"/>
    <s v="2023-12-06"/>
    <n v="46257"/>
    <n v="6"/>
    <n v="12"/>
    <n v="2023"/>
    <x v="3"/>
  </r>
  <r>
    <x v="10"/>
    <x v="126"/>
    <s v="2023-12-25"/>
    <n v="75582"/>
    <n v="5"/>
    <n v="12"/>
    <n v="2023"/>
    <x v="3"/>
  </r>
  <r>
    <x v="10"/>
    <x v="107"/>
    <s v="2023-12-25"/>
    <n v="99879"/>
    <n v="8"/>
    <n v="12"/>
    <n v="2023"/>
    <x v="3"/>
  </r>
  <r>
    <x v="10"/>
    <x v="186"/>
    <s v="2024-01-09"/>
    <n v="31639"/>
    <n v="10"/>
    <n v="1"/>
    <n v="2024"/>
    <x v="4"/>
  </r>
  <r>
    <x v="10"/>
    <x v="52"/>
    <s v="2024-01-15"/>
    <n v="91311"/>
    <n v="9"/>
    <n v="1"/>
    <n v="2024"/>
    <x v="4"/>
  </r>
  <r>
    <x v="10"/>
    <x v="33"/>
    <s v="2024-01-22"/>
    <n v="57909"/>
    <n v="6"/>
    <n v="1"/>
    <n v="2024"/>
    <x v="4"/>
  </r>
  <r>
    <x v="10"/>
    <x v="100"/>
    <s v="2024-01-23"/>
    <n v="19290"/>
    <n v="9"/>
    <n v="1"/>
    <n v="2024"/>
    <x v="4"/>
  </r>
  <r>
    <x v="10"/>
    <x v="125"/>
    <s v="2024-02-05"/>
    <n v="11739"/>
    <n v="7"/>
    <n v="2"/>
    <n v="2024"/>
    <x v="5"/>
  </r>
  <r>
    <x v="10"/>
    <x v="189"/>
    <s v="2024-02-05"/>
    <n v="29234"/>
    <n v="7"/>
    <n v="2"/>
    <n v="2024"/>
    <x v="5"/>
  </r>
  <r>
    <x v="10"/>
    <x v="167"/>
    <s v="2024-02-08"/>
    <n v="81554"/>
    <n v="9"/>
    <n v="2"/>
    <n v="2024"/>
    <x v="5"/>
  </r>
  <r>
    <x v="10"/>
    <x v="163"/>
    <s v="2024-02-12"/>
    <n v="94410"/>
    <n v="7"/>
    <n v="2"/>
    <n v="2024"/>
    <x v="5"/>
  </r>
  <r>
    <x v="10"/>
    <x v="122"/>
    <s v="2024-02-13"/>
    <n v="80046"/>
    <n v="8"/>
    <n v="2"/>
    <n v="2024"/>
    <x v="5"/>
  </r>
  <r>
    <x v="10"/>
    <x v="50"/>
    <s v="2024-02-19"/>
    <n v="98743"/>
    <n v="1"/>
    <n v="2"/>
    <n v="2024"/>
    <x v="5"/>
  </r>
  <r>
    <x v="10"/>
    <x v="52"/>
    <s v="2024-02-26"/>
    <n v="54781"/>
    <n v="6"/>
    <n v="2"/>
    <n v="2024"/>
    <x v="5"/>
  </r>
  <r>
    <x v="10"/>
    <x v="87"/>
    <s v="2024-03-15"/>
    <n v="40041"/>
    <n v="8"/>
    <n v="3"/>
    <n v="2024"/>
    <x v="6"/>
  </r>
  <r>
    <x v="10"/>
    <x v="25"/>
    <s v="2024-03-21"/>
    <n v="54632"/>
    <n v="9"/>
    <n v="3"/>
    <n v="2024"/>
    <x v="6"/>
  </r>
  <r>
    <x v="10"/>
    <x v="33"/>
    <s v="2024-03-29"/>
    <n v="59318"/>
    <n v="7"/>
    <n v="3"/>
    <n v="2024"/>
    <x v="6"/>
  </r>
  <r>
    <x v="10"/>
    <x v="123"/>
    <s v="2024-04-01"/>
    <n v="58627"/>
    <n v="10"/>
    <n v="4"/>
    <n v="2024"/>
    <x v="7"/>
  </r>
  <r>
    <x v="10"/>
    <x v="143"/>
    <s v="2024-04-02"/>
    <n v="70068"/>
    <n v="9"/>
    <n v="4"/>
    <n v="2024"/>
    <x v="7"/>
  </r>
  <r>
    <x v="10"/>
    <x v="142"/>
    <s v="2024-04-08"/>
    <n v="93639"/>
    <n v="6"/>
    <n v="4"/>
    <n v="2024"/>
    <x v="7"/>
  </r>
  <r>
    <x v="10"/>
    <x v="72"/>
    <s v="2024-04-12"/>
    <n v="12365"/>
    <n v="7"/>
    <n v="4"/>
    <n v="2024"/>
    <x v="7"/>
  </r>
  <r>
    <x v="10"/>
    <x v="3"/>
    <s v="2024-04-15"/>
    <n v="49149"/>
    <n v="4"/>
    <n v="4"/>
    <n v="2024"/>
    <x v="7"/>
  </r>
  <r>
    <x v="10"/>
    <x v="97"/>
    <s v="2024-04-22"/>
    <n v="34874"/>
    <n v="9"/>
    <n v="4"/>
    <n v="2024"/>
    <x v="7"/>
  </r>
  <r>
    <x v="10"/>
    <x v="117"/>
    <s v="2024-04-25"/>
    <n v="99307"/>
    <n v="7"/>
    <n v="4"/>
    <n v="2024"/>
    <x v="7"/>
  </r>
  <r>
    <x v="10"/>
    <x v="123"/>
    <s v="2024-05-01"/>
    <n v="40205"/>
    <n v="6"/>
    <n v="5"/>
    <n v="2024"/>
    <x v="8"/>
  </r>
  <r>
    <x v="10"/>
    <x v="6"/>
    <s v="2024-05-02"/>
    <n v="81544"/>
    <n v="3"/>
    <n v="5"/>
    <n v="2024"/>
    <x v="8"/>
  </r>
  <r>
    <x v="10"/>
    <x v="38"/>
    <s v="2024-05-03"/>
    <n v="66119"/>
    <n v="7"/>
    <n v="5"/>
    <n v="2024"/>
    <x v="8"/>
  </r>
  <r>
    <x v="10"/>
    <x v="65"/>
    <s v="2024-05-07"/>
    <n v="17434"/>
    <n v="6"/>
    <n v="5"/>
    <n v="2024"/>
    <x v="8"/>
  </r>
  <r>
    <x v="10"/>
    <x v="44"/>
    <s v="2024-05-13"/>
    <n v="45744"/>
    <n v="6"/>
    <n v="5"/>
    <n v="2024"/>
    <x v="8"/>
  </r>
  <r>
    <x v="10"/>
    <x v="61"/>
    <s v="2024-05-20"/>
    <n v="65426"/>
    <n v="8"/>
    <n v="5"/>
    <n v="2024"/>
    <x v="8"/>
  </r>
  <r>
    <x v="10"/>
    <x v="36"/>
    <s v="2024-05-24"/>
    <n v="28195"/>
    <n v="7"/>
    <n v="5"/>
    <n v="2024"/>
    <x v="8"/>
  </r>
  <r>
    <x v="10"/>
    <x v="125"/>
    <s v="2024-06-10"/>
    <n v="67600"/>
    <n v="5"/>
    <n v="6"/>
    <n v="2024"/>
    <x v="9"/>
  </r>
  <r>
    <x v="10"/>
    <x v="21"/>
    <s v="2024-06-11"/>
    <n v="76154"/>
    <n v="5"/>
    <n v="6"/>
    <n v="2024"/>
    <x v="9"/>
  </r>
  <r>
    <x v="10"/>
    <x v="4"/>
    <s v="2024-06-19"/>
    <n v="43440"/>
    <n v="8"/>
    <n v="6"/>
    <n v="2024"/>
    <x v="9"/>
  </r>
  <r>
    <x v="10"/>
    <x v="30"/>
    <s v="2024-06-20"/>
    <n v="47732"/>
    <n v="7"/>
    <n v="6"/>
    <n v="2024"/>
    <x v="9"/>
  </r>
  <r>
    <x v="10"/>
    <x v="149"/>
    <s v="2024-06-21"/>
    <n v="38473"/>
    <n v="3"/>
    <n v="6"/>
    <n v="2024"/>
    <x v="9"/>
  </r>
  <r>
    <x v="10"/>
    <x v="50"/>
    <s v="2024-06-25"/>
    <n v="53960"/>
    <n v="8"/>
    <n v="6"/>
    <n v="2024"/>
    <x v="9"/>
  </r>
  <r>
    <x v="10"/>
    <x v="184"/>
    <s v="2024-06-26"/>
    <n v="83726"/>
    <n v="6"/>
    <n v="6"/>
    <n v="2024"/>
    <x v="9"/>
  </r>
  <r>
    <x v="10"/>
    <x v="156"/>
    <s v="2024-07-01"/>
    <n v="47885"/>
    <n v="9"/>
    <n v="7"/>
    <n v="2024"/>
    <x v="10"/>
  </r>
  <r>
    <x v="10"/>
    <x v="69"/>
    <s v="2024-07-01"/>
    <n v="33898"/>
    <n v="9"/>
    <n v="7"/>
    <n v="2024"/>
    <x v="10"/>
  </r>
  <r>
    <x v="10"/>
    <x v="67"/>
    <s v="2024-07-12"/>
    <n v="24958"/>
    <n v="7"/>
    <n v="7"/>
    <n v="2024"/>
    <x v="10"/>
  </r>
  <r>
    <x v="10"/>
    <x v="157"/>
    <s v="2024-07-22"/>
    <n v="77338"/>
    <n v="8"/>
    <n v="7"/>
    <n v="2024"/>
    <x v="10"/>
  </r>
  <r>
    <x v="10"/>
    <x v="77"/>
    <s v="2024-07-22"/>
    <n v="79373"/>
    <n v="8"/>
    <n v="7"/>
    <n v="2024"/>
    <x v="10"/>
  </r>
  <r>
    <x v="10"/>
    <x v="144"/>
    <s v="2024-07-26"/>
    <n v="46844"/>
    <n v="6"/>
    <n v="7"/>
    <n v="2024"/>
    <x v="10"/>
  </r>
  <r>
    <x v="10"/>
    <x v="13"/>
    <s v="2024-08-05"/>
    <n v="27499"/>
    <n v="3"/>
    <n v="8"/>
    <n v="2024"/>
    <x v="11"/>
  </r>
  <r>
    <x v="10"/>
    <x v="69"/>
    <s v="2024-08-07"/>
    <n v="11808"/>
    <n v="7"/>
    <n v="8"/>
    <n v="2024"/>
    <x v="11"/>
  </r>
  <r>
    <x v="10"/>
    <x v="115"/>
    <s v="2024-08-12"/>
    <n v="26819"/>
    <n v="1"/>
    <n v="8"/>
    <n v="2024"/>
    <x v="11"/>
  </r>
  <r>
    <x v="10"/>
    <x v="154"/>
    <s v="2024-08-12"/>
    <n v="10352"/>
    <n v="10"/>
    <n v="8"/>
    <n v="2024"/>
    <x v="11"/>
  </r>
  <r>
    <x v="10"/>
    <x v="0"/>
    <s v="2024-08-16"/>
    <n v="69806"/>
    <n v="6"/>
    <n v="8"/>
    <n v="2024"/>
    <x v="11"/>
  </r>
  <r>
    <x v="10"/>
    <x v="88"/>
    <s v="2024-08-16"/>
    <n v="31565"/>
    <n v="6"/>
    <n v="8"/>
    <n v="2024"/>
    <x v="11"/>
  </r>
  <r>
    <x v="10"/>
    <x v="75"/>
    <s v="2024-08-16"/>
    <n v="57308"/>
    <n v="8"/>
    <n v="8"/>
    <n v="2024"/>
    <x v="11"/>
  </r>
  <r>
    <x v="10"/>
    <x v="178"/>
    <s v="2024-08-20"/>
    <n v="95509"/>
    <n v="5"/>
    <n v="8"/>
    <n v="2024"/>
    <x v="11"/>
  </r>
  <r>
    <x v="10"/>
    <x v="40"/>
    <s v="2024-08-22"/>
    <n v="48275"/>
    <n v="7"/>
    <n v="8"/>
    <n v="2024"/>
    <x v="11"/>
  </r>
  <r>
    <x v="10"/>
    <x v="1"/>
    <s v="2024-08-26"/>
    <n v="63560"/>
    <n v="7"/>
    <n v="8"/>
    <n v="2024"/>
    <x v="11"/>
  </r>
  <r>
    <x v="10"/>
    <x v="117"/>
    <s v="2024-08-26"/>
    <n v="49508"/>
    <n v="5"/>
    <n v="8"/>
    <n v="2024"/>
    <x v="11"/>
  </r>
  <r>
    <x v="10"/>
    <x v="189"/>
    <s v="2024-08-28"/>
    <n v="49562"/>
    <n v="4"/>
    <n v="8"/>
    <n v="2024"/>
    <x v="11"/>
  </r>
  <r>
    <x v="10"/>
    <x v="84"/>
    <s v="2024-08-29"/>
    <n v="73835"/>
    <n v="3"/>
    <n v="8"/>
    <n v="2024"/>
    <x v="11"/>
  </r>
  <r>
    <x v="10"/>
    <x v="84"/>
    <s v="2024-08-30"/>
    <n v="57679"/>
    <n v="9"/>
    <n v="8"/>
    <n v="2024"/>
    <x v="11"/>
  </r>
  <r>
    <x v="11"/>
    <x v="83"/>
    <s v="2023-09-06"/>
    <n v="61980"/>
    <n v="6"/>
    <n v="9"/>
    <n v="2023"/>
    <x v="0"/>
  </r>
  <r>
    <x v="11"/>
    <x v="96"/>
    <s v="2023-09-11"/>
    <n v="25430"/>
    <n v="8"/>
    <n v="9"/>
    <n v="2023"/>
    <x v="0"/>
  </r>
  <r>
    <x v="11"/>
    <x v="151"/>
    <s v="2023-09-11"/>
    <n v="45798"/>
    <n v="3"/>
    <n v="9"/>
    <n v="2023"/>
    <x v="0"/>
  </r>
  <r>
    <x v="11"/>
    <x v="20"/>
    <s v="2023-09-14"/>
    <n v="15896"/>
    <n v="7"/>
    <n v="9"/>
    <n v="2023"/>
    <x v="0"/>
  </r>
  <r>
    <x v="11"/>
    <x v="23"/>
    <s v="2023-09-18"/>
    <n v="65076"/>
    <n v="6"/>
    <n v="9"/>
    <n v="2023"/>
    <x v="0"/>
  </r>
  <r>
    <x v="11"/>
    <x v="30"/>
    <s v="2023-09-18"/>
    <n v="46536"/>
    <n v="7"/>
    <n v="9"/>
    <n v="2023"/>
    <x v="0"/>
  </r>
  <r>
    <x v="11"/>
    <x v="178"/>
    <s v="2023-09-20"/>
    <n v="87309"/>
    <n v="9"/>
    <n v="9"/>
    <n v="2023"/>
    <x v="0"/>
  </r>
  <r>
    <x v="11"/>
    <x v="139"/>
    <s v="2023-09-25"/>
    <n v="47237"/>
    <n v="8"/>
    <n v="9"/>
    <n v="2023"/>
    <x v="0"/>
  </r>
  <r>
    <x v="11"/>
    <x v="177"/>
    <s v="2023-10-02"/>
    <n v="58839"/>
    <n v="9"/>
    <n v="10"/>
    <n v="2023"/>
    <x v="1"/>
  </r>
  <r>
    <x v="11"/>
    <x v="58"/>
    <s v="2023-10-04"/>
    <n v="56381"/>
    <n v="5"/>
    <n v="10"/>
    <n v="2023"/>
    <x v="1"/>
  </r>
  <r>
    <x v="11"/>
    <x v="14"/>
    <s v="2023-10-04"/>
    <n v="95364"/>
    <n v="6"/>
    <n v="10"/>
    <n v="2023"/>
    <x v="1"/>
  </r>
  <r>
    <x v="11"/>
    <x v="89"/>
    <s v="2023-10-17"/>
    <n v="56779"/>
    <n v="7"/>
    <n v="10"/>
    <n v="2023"/>
    <x v="1"/>
  </r>
  <r>
    <x v="11"/>
    <x v="98"/>
    <s v="2023-10-19"/>
    <n v="76470"/>
    <n v="7"/>
    <n v="10"/>
    <n v="2023"/>
    <x v="1"/>
  </r>
  <r>
    <x v="11"/>
    <x v="59"/>
    <s v="2023-10-19"/>
    <n v="52412"/>
    <n v="8"/>
    <n v="10"/>
    <n v="2023"/>
    <x v="1"/>
  </r>
  <r>
    <x v="11"/>
    <x v="123"/>
    <s v="2023-10-23"/>
    <n v="90888"/>
    <n v="4"/>
    <n v="10"/>
    <n v="2023"/>
    <x v="1"/>
  </r>
  <r>
    <x v="11"/>
    <x v="118"/>
    <s v="2023-10-23"/>
    <n v="99505"/>
    <n v="2"/>
    <n v="10"/>
    <n v="2023"/>
    <x v="1"/>
  </r>
  <r>
    <x v="11"/>
    <x v="85"/>
    <s v="2023-10-30"/>
    <n v="70276"/>
    <n v="8"/>
    <n v="10"/>
    <n v="2023"/>
    <x v="1"/>
  </r>
  <r>
    <x v="11"/>
    <x v="128"/>
    <s v="2023-11-06"/>
    <n v="88112"/>
    <n v="7"/>
    <n v="11"/>
    <n v="2023"/>
    <x v="2"/>
  </r>
  <r>
    <x v="11"/>
    <x v="50"/>
    <s v="2023-11-09"/>
    <n v="68300"/>
    <n v="7"/>
    <n v="11"/>
    <n v="2023"/>
    <x v="2"/>
  </r>
  <r>
    <x v="11"/>
    <x v="130"/>
    <s v="2023-11-10"/>
    <n v="27219"/>
    <n v="7"/>
    <n v="11"/>
    <n v="2023"/>
    <x v="2"/>
  </r>
  <r>
    <x v="11"/>
    <x v="36"/>
    <s v="2023-11-13"/>
    <n v="17188"/>
    <n v="4"/>
    <n v="11"/>
    <n v="2023"/>
    <x v="2"/>
  </r>
  <r>
    <x v="11"/>
    <x v="19"/>
    <s v="2023-11-13"/>
    <n v="92124"/>
    <n v="7"/>
    <n v="11"/>
    <n v="2023"/>
    <x v="2"/>
  </r>
  <r>
    <x v="11"/>
    <x v="149"/>
    <s v="2023-11-13"/>
    <n v="12352"/>
    <n v="7"/>
    <n v="11"/>
    <n v="2023"/>
    <x v="2"/>
  </r>
  <r>
    <x v="11"/>
    <x v="24"/>
    <s v="2023-11-29"/>
    <n v="14266"/>
    <n v="5"/>
    <n v="11"/>
    <n v="2023"/>
    <x v="2"/>
  </r>
  <r>
    <x v="11"/>
    <x v="131"/>
    <s v="2023-12-06"/>
    <n v="89185"/>
    <n v="5"/>
    <n v="12"/>
    <n v="2023"/>
    <x v="3"/>
  </r>
  <r>
    <x v="11"/>
    <x v="1"/>
    <s v="2023-12-07"/>
    <n v="77540"/>
    <n v="1"/>
    <n v="12"/>
    <n v="2023"/>
    <x v="3"/>
  </r>
  <r>
    <x v="11"/>
    <x v="86"/>
    <s v="2023-12-07"/>
    <n v="57201"/>
    <n v="8"/>
    <n v="12"/>
    <n v="2023"/>
    <x v="3"/>
  </r>
  <r>
    <x v="11"/>
    <x v="130"/>
    <s v="2023-12-08"/>
    <n v="76774"/>
    <n v="8"/>
    <n v="12"/>
    <n v="2023"/>
    <x v="3"/>
  </r>
  <r>
    <x v="11"/>
    <x v="83"/>
    <s v="2023-12-08"/>
    <n v="55109"/>
    <n v="7"/>
    <n v="12"/>
    <n v="2023"/>
    <x v="3"/>
  </r>
  <r>
    <x v="11"/>
    <x v="1"/>
    <s v="2023-12-08"/>
    <n v="92124"/>
    <n v="7"/>
    <n v="12"/>
    <n v="2023"/>
    <x v="3"/>
  </r>
  <r>
    <x v="11"/>
    <x v="155"/>
    <s v="2023-12-11"/>
    <n v="13092"/>
    <n v="2"/>
    <n v="12"/>
    <n v="2023"/>
    <x v="3"/>
  </r>
  <r>
    <x v="11"/>
    <x v="64"/>
    <s v="2023-12-18"/>
    <n v="82934"/>
    <n v="6"/>
    <n v="12"/>
    <n v="2023"/>
    <x v="3"/>
  </r>
  <r>
    <x v="11"/>
    <x v="145"/>
    <s v="2023-12-25"/>
    <n v="62255"/>
    <n v="0"/>
    <n v="12"/>
    <n v="2023"/>
    <x v="3"/>
  </r>
  <r>
    <x v="11"/>
    <x v="136"/>
    <s v="2023-12-25"/>
    <n v="15528"/>
    <n v="3"/>
    <n v="12"/>
    <n v="2023"/>
    <x v="3"/>
  </r>
  <r>
    <x v="11"/>
    <x v="32"/>
    <s v="2023-12-27"/>
    <n v="20727"/>
    <n v="6"/>
    <n v="12"/>
    <n v="2023"/>
    <x v="3"/>
  </r>
  <r>
    <x v="11"/>
    <x v="174"/>
    <s v="2023-12-28"/>
    <n v="55569"/>
    <n v="3"/>
    <n v="12"/>
    <n v="2023"/>
    <x v="3"/>
  </r>
  <r>
    <x v="11"/>
    <x v="189"/>
    <s v="2024-01-02"/>
    <n v="65230"/>
    <n v="5"/>
    <n v="1"/>
    <n v="2024"/>
    <x v="4"/>
  </r>
  <r>
    <x v="11"/>
    <x v="36"/>
    <s v="2024-01-08"/>
    <n v="97321"/>
    <n v="7"/>
    <n v="1"/>
    <n v="2024"/>
    <x v="4"/>
  </r>
  <r>
    <x v="11"/>
    <x v="87"/>
    <s v="2024-01-11"/>
    <n v="52380"/>
    <n v="4"/>
    <n v="1"/>
    <n v="2024"/>
    <x v="4"/>
  </r>
  <r>
    <x v="11"/>
    <x v="38"/>
    <s v="2024-01-15"/>
    <n v="19804"/>
    <n v="6"/>
    <n v="1"/>
    <n v="2024"/>
    <x v="4"/>
  </r>
  <r>
    <x v="11"/>
    <x v="43"/>
    <s v="2024-01-15"/>
    <n v="28460"/>
    <n v="8"/>
    <n v="1"/>
    <n v="2024"/>
    <x v="4"/>
  </r>
  <r>
    <x v="11"/>
    <x v="44"/>
    <s v="2024-01-22"/>
    <n v="16195"/>
    <n v="3"/>
    <n v="1"/>
    <n v="2024"/>
    <x v="4"/>
  </r>
  <r>
    <x v="11"/>
    <x v="60"/>
    <s v="2024-01-30"/>
    <n v="44485"/>
    <n v="6"/>
    <n v="1"/>
    <n v="2024"/>
    <x v="4"/>
  </r>
  <r>
    <x v="11"/>
    <x v="141"/>
    <s v="2024-02-01"/>
    <n v="34658"/>
    <n v="6"/>
    <n v="2"/>
    <n v="2024"/>
    <x v="5"/>
  </r>
  <r>
    <x v="11"/>
    <x v="131"/>
    <s v="2024-02-05"/>
    <n v="29630"/>
    <n v="6"/>
    <n v="2"/>
    <n v="2024"/>
    <x v="5"/>
  </r>
  <r>
    <x v="11"/>
    <x v="108"/>
    <s v="2024-02-09"/>
    <n v="51610"/>
    <n v="4"/>
    <n v="2"/>
    <n v="2024"/>
    <x v="5"/>
  </r>
  <r>
    <x v="11"/>
    <x v="173"/>
    <s v="2024-02-12"/>
    <n v="81103"/>
    <n v="7"/>
    <n v="2"/>
    <n v="2024"/>
    <x v="5"/>
  </r>
  <r>
    <x v="11"/>
    <x v="131"/>
    <s v="2024-02-12"/>
    <n v="33788"/>
    <n v="8"/>
    <n v="2"/>
    <n v="2024"/>
    <x v="5"/>
  </r>
  <r>
    <x v="11"/>
    <x v="76"/>
    <s v="2024-02-13"/>
    <n v="43547"/>
    <n v="6"/>
    <n v="2"/>
    <n v="2024"/>
    <x v="5"/>
  </r>
  <r>
    <x v="11"/>
    <x v="36"/>
    <s v="2024-02-15"/>
    <n v="22123"/>
    <n v="5"/>
    <n v="2"/>
    <n v="2024"/>
    <x v="5"/>
  </r>
  <r>
    <x v="11"/>
    <x v="32"/>
    <s v="2024-02-19"/>
    <n v="31469"/>
    <n v="8"/>
    <n v="2"/>
    <n v="2024"/>
    <x v="5"/>
  </r>
  <r>
    <x v="11"/>
    <x v="171"/>
    <s v="2024-02-19"/>
    <n v="40473"/>
    <n v="5"/>
    <n v="2"/>
    <n v="2024"/>
    <x v="5"/>
  </r>
  <r>
    <x v="11"/>
    <x v="166"/>
    <s v="2024-02-19"/>
    <n v="49564"/>
    <n v="5"/>
    <n v="2"/>
    <n v="2024"/>
    <x v="5"/>
  </r>
  <r>
    <x v="11"/>
    <x v="66"/>
    <s v="2024-02-26"/>
    <n v="86161"/>
    <n v="7"/>
    <n v="2"/>
    <n v="2024"/>
    <x v="5"/>
  </r>
  <r>
    <x v="11"/>
    <x v="20"/>
    <s v="2024-03-01"/>
    <n v="83603"/>
    <n v="8"/>
    <n v="3"/>
    <n v="2024"/>
    <x v="6"/>
  </r>
  <r>
    <x v="11"/>
    <x v="177"/>
    <s v="2024-03-04"/>
    <n v="18286"/>
    <n v="10"/>
    <n v="3"/>
    <n v="2024"/>
    <x v="6"/>
  </r>
  <r>
    <x v="11"/>
    <x v="152"/>
    <s v="2024-03-04"/>
    <n v="80270"/>
    <n v="4"/>
    <n v="3"/>
    <n v="2024"/>
    <x v="6"/>
  </r>
  <r>
    <x v="11"/>
    <x v="87"/>
    <s v="2024-03-05"/>
    <n v="86460"/>
    <n v="3"/>
    <n v="3"/>
    <n v="2024"/>
    <x v="6"/>
  </r>
  <r>
    <x v="11"/>
    <x v="125"/>
    <s v="2024-03-07"/>
    <n v="82823"/>
    <n v="9"/>
    <n v="3"/>
    <n v="2024"/>
    <x v="6"/>
  </r>
  <r>
    <x v="11"/>
    <x v="185"/>
    <s v="2024-03-08"/>
    <n v="75735"/>
    <n v="10"/>
    <n v="3"/>
    <n v="2024"/>
    <x v="6"/>
  </r>
  <r>
    <x v="11"/>
    <x v="13"/>
    <s v="2024-03-28"/>
    <n v="46328"/>
    <n v="8"/>
    <n v="3"/>
    <n v="2024"/>
    <x v="6"/>
  </r>
  <r>
    <x v="11"/>
    <x v="118"/>
    <s v="2024-04-01"/>
    <n v="91403"/>
    <n v="8"/>
    <n v="4"/>
    <n v="2024"/>
    <x v="7"/>
  </r>
  <r>
    <x v="11"/>
    <x v="133"/>
    <s v="2024-04-03"/>
    <n v="55695"/>
    <n v="6"/>
    <n v="4"/>
    <n v="2024"/>
    <x v="7"/>
  </r>
  <r>
    <x v="11"/>
    <x v="119"/>
    <s v="2024-04-05"/>
    <n v="93962"/>
    <n v="3"/>
    <n v="4"/>
    <n v="2024"/>
    <x v="7"/>
  </r>
  <r>
    <x v="11"/>
    <x v="27"/>
    <s v="2024-04-08"/>
    <n v="25598"/>
    <n v="7"/>
    <n v="4"/>
    <n v="2024"/>
    <x v="7"/>
  </r>
  <r>
    <x v="11"/>
    <x v="186"/>
    <s v="2024-04-18"/>
    <n v="87359"/>
    <n v="7"/>
    <n v="4"/>
    <n v="2024"/>
    <x v="7"/>
  </r>
  <r>
    <x v="11"/>
    <x v="108"/>
    <s v="2024-04-22"/>
    <n v="13045"/>
    <n v="9"/>
    <n v="4"/>
    <n v="2024"/>
    <x v="7"/>
  </r>
  <r>
    <x v="11"/>
    <x v="31"/>
    <s v="2024-04-24"/>
    <n v="38130"/>
    <n v="6"/>
    <n v="4"/>
    <n v="2024"/>
    <x v="7"/>
  </r>
  <r>
    <x v="11"/>
    <x v="60"/>
    <s v="2024-04-25"/>
    <n v="73229"/>
    <n v="7"/>
    <n v="4"/>
    <n v="2024"/>
    <x v="7"/>
  </r>
  <r>
    <x v="11"/>
    <x v="97"/>
    <s v="2024-04-26"/>
    <n v="77055"/>
    <n v="3"/>
    <n v="4"/>
    <n v="2024"/>
    <x v="7"/>
  </r>
  <r>
    <x v="11"/>
    <x v="105"/>
    <s v="2024-05-08"/>
    <n v="41228"/>
    <n v="8"/>
    <n v="5"/>
    <n v="2024"/>
    <x v="8"/>
  </r>
  <r>
    <x v="11"/>
    <x v="190"/>
    <s v="2024-05-10"/>
    <n v="40657"/>
    <n v="7"/>
    <n v="5"/>
    <n v="2024"/>
    <x v="8"/>
  </r>
  <r>
    <x v="11"/>
    <x v="191"/>
    <s v="2024-05-16"/>
    <n v="41145"/>
    <n v="10"/>
    <n v="5"/>
    <n v="2024"/>
    <x v="8"/>
  </r>
  <r>
    <x v="11"/>
    <x v="141"/>
    <s v="2024-05-16"/>
    <n v="51938"/>
    <n v="7"/>
    <n v="5"/>
    <n v="2024"/>
    <x v="8"/>
  </r>
  <r>
    <x v="11"/>
    <x v="34"/>
    <s v="2024-05-16"/>
    <n v="68301"/>
    <n v="3"/>
    <n v="5"/>
    <n v="2024"/>
    <x v="8"/>
  </r>
  <r>
    <x v="11"/>
    <x v="143"/>
    <s v="2024-05-17"/>
    <n v="23651"/>
    <n v="8"/>
    <n v="5"/>
    <n v="2024"/>
    <x v="8"/>
  </r>
  <r>
    <x v="11"/>
    <x v="192"/>
    <s v="2024-05-20"/>
    <n v="16429"/>
    <n v="3"/>
    <n v="5"/>
    <n v="2024"/>
    <x v="8"/>
  </r>
  <r>
    <x v="11"/>
    <x v="41"/>
    <s v="2024-05-20"/>
    <n v="80671"/>
    <n v="5"/>
    <n v="5"/>
    <n v="2024"/>
    <x v="8"/>
  </r>
  <r>
    <x v="11"/>
    <x v="150"/>
    <s v="2024-05-27"/>
    <n v="36661"/>
    <n v="3"/>
    <n v="5"/>
    <n v="2024"/>
    <x v="8"/>
  </r>
  <r>
    <x v="11"/>
    <x v="18"/>
    <s v="2024-05-27"/>
    <n v="93660"/>
    <n v="9"/>
    <n v="5"/>
    <n v="2024"/>
    <x v="8"/>
  </r>
  <r>
    <x v="11"/>
    <x v="55"/>
    <s v="2024-05-27"/>
    <n v="39899"/>
    <n v="7"/>
    <n v="5"/>
    <n v="2024"/>
    <x v="8"/>
  </r>
  <r>
    <x v="11"/>
    <x v="108"/>
    <s v="2024-05-27"/>
    <n v="93387"/>
    <n v="6"/>
    <n v="5"/>
    <n v="2024"/>
    <x v="8"/>
  </r>
  <r>
    <x v="11"/>
    <x v="77"/>
    <s v="2024-06-03"/>
    <n v="69009"/>
    <n v="8"/>
    <n v="6"/>
    <n v="2024"/>
    <x v="9"/>
  </r>
  <r>
    <x v="11"/>
    <x v="181"/>
    <s v="2024-06-05"/>
    <n v="97002"/>
    <n v="2"/>
    <n v="6"/>
    <n v="2024"/>
    <x v="9"/>
  </r>
  <r>
    <x v="11"/>
    <x v="56"/>
    <s v="2024-06-11"/>
    <n v="47775"/>
    <n v="3"/>
    <n v="6"/>
    <n v="2024"/>
    <x v="9"/>
  </r>
  <r>
    <x v="11"/>
    <x v="1"/>
    <s v="2024-06-12"/>
    <n v="74876"/>
    <n v="9"/>
    <n v="6"/>
    <n v="2024"/>
    <x v="9"/>
  </r>
  <r>
    <x v="11"/>
    <x v="142"/>
    <s v="2024-06-17"/>
    <n v="36982"/>
    <n v="9"/>
    <n v="6"/>
    <n v="2024"/>
    <x v="9"/>
  </r>
  <r>
    <x v="11"/>
    <x v="120"/>
    <s v="2024-06-21"/>
    <n v="16356"/>
    <n v="4"/>
    <n v="6"/>
    <n v="2024"/>
    <x v="9"/>
  </r>
  <r>
    <x v="11"/>
    <x v="37"/>
    <s v="2024-06-28"/>
    <n v="78827"/>
    <n v="10"/>
    <n v="6"/>
    <n v="2024"/>
    <x v="9"/>
  </r>
  <r>
    <x v="11"/>
    <x v="26"/>
    <s v="2024-07-01"/>
    <n v="69766"/>
    <n v="1"/>
    <n v="7"/>
    <n v="2024"/>
    <x v="10"/>
  </r>
  <r>
    <x v="11"/>
    <x v="10"/>
    <s v="2024-07-02"/>
    <n v="45506"/>
    <n v="0"/>
    <n v="7"/>
    <n v="2024"/>
    <x v="10"/>
  </r>
  <r>
    <x v="11"/>
    <x v="26"/>
    <s v="2024-07-03"/>
    <n v="55212"/>
    <n v="7"/>
    <n v="7"/>
    <n v="2024"/>
    <x v="10"/>
  </r>
  <r>
    <x v="11"/>
    <x v="9"/>
    <s v="2024-07-04"/>
    <n v="86403"/>
    <n v="6"/>
    <n v="7"/>
    <n v="2024"/>
    <x v="10"/>
  </r>
  <r>
    <x v="11"/>
    <x v="8"/>
    <s v="2024-07-05"/>
    <n v="87177"/>
    <n v="7"/>
    <n v="7"/>
    <n v="2024"/>
    <x v="10"/>
  </r>
  <r>
    <x v="11"/>
    <x v="84"/>
    <s v="2024-07-11"/>
    <n v="20652"/>
    <n v="7"/>
    <n v="7"/>
    <n v="2024"/>
    <x v="10"/>
  </r>
  <r>
    <x v="11"/>
    <x v="89"/>
    <s v="2024-07-15"/>
    <n v="79974"/>
    <n v="2"/>
    <n v="7"/>
    <n v="2024"/>
    <x v="10"/>
  </r>
  <r>
    <x v="11"/>
    <x v="98"/>
    <s v="2024-07-16"/>
    <n v="84911"/>
    <n v="9"/>
    <n v="7"/>
    <n v="2024"/>
    <x v="10"/>
  </r>
  <r>
    <x v="11"/>
    <x v="14"/>
    <s v="2024-07-22"/>
    <n v="30554"/>
    <n v="4"/>
    <n v="7"/>
    <n v="2024"/>
    <x v="10"/>
  </r>
  <r>
    <x v="11"/>
    <x v="14"/>
    <s v="2024-07-26"/>
    <n v="46711"/>
    <n v="7"/>
    <n v="7"/>
    <n v="2024"/>
    <x v="10"/>
  </r>
  <r>
    <x v="11"/>
    <x v="122"/>
    <s v="2024-07-29"/>
    <n v="95109"/>
    <n v="8"/>
    <n v="7"/>
    <n v="2024"/>
    <x v="10"/>
  </r>
  <r>
    <x v="11"/>
    <x v="70"/>
    <s v="2024-07-29"/>
    <n v="27421"/>
    <n v="7"/>
    <n v="7"/>
    <n v="2024"/>
    <x v="10"/>
  </r>
  <r>
    <x v="11"/>
    <x v="131"/>
    <s v="2024-08-14"/>
    <n v="10110"/>
    <n v="5"/>
    <n v="8"/>
    <n v="2024"/>
    <x v="11"/>
  </r>
  <r>
    <x v="11"/>
    <x v="47"/>
    <s v="2024-08-21"/>
    <n v="41258"/>
    <n v="10"/>
    <n v="8"/>
    <n v="2024"/>
    <x v="11"/>
  </r>
  <r>
    <x v="11"/>
    <x v="120"/>
    <s v="2024-08-22"/>
    <n v="24002"/>
    <n v="3"/>
    <n v="8"/>
    <n v="2024"/>
    <x v="11"/>
  </r>
  <r>
    <x v="11"/>
    <x v="107"/>
    <s v="2024-08-23"/>
    <n v="18477"/>
    <n v="5"/>
    <n v="8"/>
    <n v="2024"/>
    <x v="11"/>
  </r>
  <r>
    <x v="11"/>
    <x v="78"/>
    <s v="2024-08-26"/>
    <n v="89531"/>
    <n v="5"/>
    <n v="8"/>
    <n v="2024"/>
    <x v="11"/>
  </r>
  <r>
    <x v="12"/>
    <x v="193"/>
    <m/>
    <m/>
    <m/>
    <m/>
    <m/>
    <x v="13"/>
  </r>
  <r>
    <x v="12"/>
    <x v="193"/>
    <m/>
    <m/>
    <m/>
    <m/>
    <m/>
    <x v="1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DECB49B-B46E-45C7-B070-6A8B179B601D}" name="Сводная таблица2" cacheId="8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outline="1" outlineData="1" multipleFieldFilters="0">
  <location ref="M2:N16" firstHeaderRow="1" firstDataRow="1" firstDataCol="1"/>
  <pivotFields count="5">
    <pivotField axis="axisRow" showAll="0">
      <items count="14">
        <item x="4"/>
        <item x="2"/>
        <item x="8"/>
        <item x="5"/>
        <item x="10"/>
        <item x="11"/>
        <item x="3"/>
        <item x="0"/>
        <item x="9"/>
        <item x="7"/>
        <item x="1"/>
        <item x="6"/>
        <item x="12"/>
        <item t="default"/>
      </items>
    </pivotField>
    <pivotField showAll="0">
      <items count="195">
        <item x="184"/>
        <item x="27"/>
        <item x="89"/>
        <item x="78"/>
        <item x="98"/>
        <item x="9"/>
        <item x="156"/>
        <item x="142"/>
        <item x="105"/>
        <item x="160"/>
        <item x="61"/>
        <item x="170"/>
        <item x="180"/>
        <item x="188"/>
        <item x="133"/>
        <item x="162"/>
        <item x="143"/>
        <item x="45"/>
        <item x="127"/>
        <item x="115"/>
        <item x="174"/>
        <item x="41"/>
        <item x="67"/>
        <item x="139"/>
        <item x="79"/>
        <item x="116"/>
        <item x="192"/>
        <item x="114"/>
        <item x="60"/>
        <item x="59"/>
        <item x="163"/>
        <item x="190"/>
        <item x="69"/>
        <item x="7"/>
        <item x="179"/>
        <item x="189"/>
        <item x="134"/>
        <item x="178"/>
        <item x="100"/>
        <item x="181"/>
        <item x="132"/>
        <item x="135"/>
        <item x="54"/>
        <item x="18"/>
        <item x="103"/>
        <item x="74"/>
        <item x="131"/>
        <item x="49"/>
        <item x="104"/>
        <item x="128"/>
        <item x="80"/>
        <item x="112"/>
        <item x="185"/>
        <item x="145"/>
        <item x="72"/>
        <item x="95"/>
        <item x="83"/>
        <item x="92"/>
        <item x="16"/>
        <item x="15"/>
        <item x="147"/>
        <item x="22"/>
        <item x="46"/>
        <item x="106"/>
        <item x="113"/>
        <item x="94"/>
        <item x="53"/>
        <item x="4"/>
        <item x="25"/>
        <item x="171"/>
        <item x="167"/>
        <item x="141"/>
        <item x="159"/>
        <item x="44"/>
        <item x="153"/>
        <item x="14"/>
        <item x="88"/>
        <item x="40"/>
        <item x="38"/>
        <item x="43"/>
        <item x="148"/>
        <item x="52"/>
        <item x="70"/>
        <item x="75"/>
        <item x="2"/>
        <item x="110"/>
        <item x="32"/>
        <item x="130"/>
        <item x="151"/>
        <item x="109"/>
        <item x="23"/>
        <item x="183"/>
        <item x="164"/>
        <item x="157"/>
        <item x="65"/>
        <item x="13"/>
        <item x="51"/>
        <item x="136"/>
        <item x="111"/>
        <item x="155"/>
        <item x="108"/>
        <item x="81"/>
        <item x="186"/>
        <item x="172"/>
        <item x="56"/>
        <item x="0"/>
        <item x="28"/>
        <item x="126"/>
        <item x="35"/>
        <item x="10"/>
        <item x="123"/>
        <item x="55"/>
        <item x="173"/>
        <item x="30"/>
        <item x="138"/>
        <item x="91"/>
        <item x="140"/>
        <item x="68"/>
        <item x="17"/>
        <item x="154"/>
        <item x="121"/>
        <item x="19"/>
        <item x="37"/>
        <item x="24"/>
        <item x="5"/>
        <item x="66"/>
        <item x="50"/>
        <item x="187"/>
        <item x="11"/>
        <item x="12"/>
        <item x="146"/>
        <item x="120"/>
        <item x="166"/>
        <item x="63"/>
        <item x="29"/>
        <item x="90"/>
        <item x="21"/>
        <item x="177"/>
        <item x="85"/>
        <item x="42"/>
        <item x="86"/>
        <item x="97"/>
        <item x="149"/>
        <item x="76"/>
        <item x="34"/>
        <item x="107"/>
        <item x="168"/>
        <item x="3"/>
        <item x="39"/>
        <item x="36"/>
        <item x="144"/>
        <item x="82"/>
        <item x="62"/>
        <item x="182"/>
        <item x="122"/>
        <item x="99"/>
        <item x="129"/>
        <item x="175"/>
        <item x="6"/>
        <item x="8"/>
        <item x="117"/>
        <item x="84"/>
        <item x="165"/>
        <item x="158"/>
        <item x="125"/>
        <item x="150"/>
        <item x="191"/>
        <item x="118"/>
        <item x="161"/>
        <item x="20"/>
        <item x="57"/>
        <item x="1"/>
        <item x="137"/>
        <item x="102"/>
        <item x="71"/>
        <item x="93"/>
        <item x="77"/>
        <item x="87"/>
        <item x="31"/>
        <item x="124"/>
        <item x="73"/>
        <item x="26"/>
        <item x="176"/>
        <item x="101"/>
        <item x="169"/>
        <item x="58"/>
        <item x="96"/>
        <item x="33"/>
        <item x="64"/>
        <item x="48"/>
        <item x="119"/>
        <item x="47"/>
        <item x="152"/>
        <item x="193"/>
        <item t="default"/>
      </items>
    </pivotField>
    <pivotField showAll="0"/>
    <pivotField showAll="0"/>
    <pivotField dataField="1" showAll="0"/>
  </pivotFields>
  <rowFields count="1">
    <field x="0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Максимум по полю Дни" fld="4" subtotal="max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7A47A39-7AC0-478B-B6B0-D8496D51A410}" name="Сводная таблица6" cacheId="21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outline="1" outlineData="1" multipleFieldFilters="0">
  <location ref="M1:N196" firstHeaderRow="1" firstDataRow="1" firstDataCol="1"/>
  <pivotFields count="2">
    <pivotField dataField="1" showAll="0"/>
    <pivotField axis="axisRow" showAll="0">
      <items count="195">
        <item x="180"/>
        <item x="57"/>
        <item x="133"/>
        <item x="13"/>
        <item x="108"/>
        <item x="82"/>
        <item x="130"/>
        <item x="91"/>
        <item x="83"/>
        <item x="136"/>
        <item x="31"/>
        <item x="160"/>
        <item x="176"/>
        <item x="187"/>
        <item x="63"/>
        <item x="140"/>
        <item x="99"/>
        <item x="50"/>
        <item x="45"/>
        <item x="0"/>
        <item x="167"/>
        <item x="85"/>
        <item x="42"/>
        <item x="80"/>
        <item x="10"/>
        <item x="8"/>
        <item x="192"/>
        <item x="166"/>
        <item x="56"/>
        <item x="164"/>
        <item x="143"/>
        <item x="189"/>
        <item x="89"/>
        <item x="76"/>
        <item x="172"/>
        <item x="188"/>
        <item x="70"/>
        <item x="171"/>
        <item x="124"/>
        <item x="177"/>
        <item x="58"/>
        <item x="72"/>
        <item x="62"/>
        <item x="97"/>
        <item x="3"/>
        <item x="116"/>
        <item x="55"/>
        <item x="103"/>
        <item x="81"/>
        <item x="49"/>
        <item x="32"/>
        <item x="113"/>
        <item x="184"/>
        <item x="105"/>
        <item x="5"/>
        <item x="159"/>
        <item x="12"/>
        <item x="153"/>
        <item x="29"/>
        <item x="23"/>
        <item x="107"/>
        <item x="142"/>
        <item x="21"/>
        <item x="90"/>
        <item x="152"/>
        <item x="60"/>
        <item x="64"/>
        <item x="33"/>
        <item x="7"/>
        <item x="161"/>
        <item x="151"/>
        <item x="88"/>
        <item x="134"/>
        <item x="44"/>
        <item x="121"/>
        <item x="1"/>
        <item x="39"/>
        <item x="150"/>
        <item x="59"/>
        <item x="30"/>
        <item x="109"/>
        <item x="125"/>
        <item x="61"/>
        <item x="181"/>
        <item x="4"/>
        <item x="157"/>
        <item x="114"/>
        <item x="54"/>
        <item x="118"/>
        <item x="154"/>
        <item x="15"/>
        <item x="179"/>
        <item x="144"/>
        <item x="131"/>
        <item x="135"/>
        <item x="65"/>
        <item x="66"/>
        <item x="73"/>
        <item x="173"/>
        <item x="129"/>
        <item x="94"/>
        <item x="69"/>
        <item x="185"/>
        <item x="162"/>
        <item x="149"/>
        <item x="2"/>
        <item x="145"/>
        <item x="43"/>
        <item x="93"/>
        <item x="6"/>
        <item x="34"/>
        <item x="51"/>
        <item x="163"/>
        <item x="104"/>
        <item x="79"/>
        <item x="100"/>
        <item x="86"/>
        <item x="17"/>
        <item x="95"/>
        <item x="128"/>
        <item x="27"/>
        <item x="9"/>
        <item x="115"/>
        <item x="48"/>
        <item x="46"/>
        <item x="182"/>
        <item x="92"/>
        <item x="186"/>
        <item x="37"/>
        <item x="75"/>
        <item x="106"/>
        <item x="24"/>
        <item x="148"/>
        <item x="96"/>
        <item x="40"/>
        <item x="139"/>
        <item x="16"/>
        <item x="170"/>
        <item x="138"/>
        <item x="67"/>
        <item x="52"/>
        <item x="123"/>
        <item x="111"/>
        <item x="84"/>
        <item x="127"/>
        <item x="183"/>
        <item x="155"/>
        <item x="20"/>
        <item x="14"/>
        <item x="102"/>
        <item x="101"/>
        <item x="122"/>
        <item x="78"/>
        <item x="178"/>
        <item x="28"/>
        <item x="68"/>
        <item x="53"/>
        <item x="168"/>
        <item x="74"/>
        <item x="11"/>
        <item x="18"/>
        <item x="25"/>
        <item x="146"/>
        <item x="132"/>
        <item x="38"/>
        <item x="117"/>
        <item x="190"/>
        <item x="19"/>
        <item x="137"/>
        <item x="98"/>
        <item x="87"/>
        <item x="41"/>
        <item x="77"/>
        <item x="120"/>
        <item x="141"/>
        <item x="71"/>
        <item x="174"/>
        <item x="26"/>
        <item x="47"/>
        <item x="36"/>
        <item x="175"/>
        <item x="35"/>
        <item x="169"/>
        <item x="112"/>
        <item x="156"/>
        <item x="165"/>
        <item x="191"/>
        <item x="147"/>
        <item x="158"/>
        <item x="126"/>
        <item x="22"/>
        <item x="110"/>
        <item x="119"/>
        <item x="193"/>
        <item t="default"/>
      </items>
    </pivotField>
  </pivotFields>
  <rowFields count="1">
    <field x="1"/>
  </rowFields>
  <rowItems count="19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 t="grand">
      <x/>
    </i>
  </rowItems>
  <colItems count="1">
    <i/>
  </colItems>
  <dataFields count="1">
    <dataField name="Количество по полю ФИО менеджера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DD295FB-E80F-4518-AC08-D7DE8E74D8AA}" name="Сводная таблица3" cacheId="17" applyNumberFormats="0" applyBorderFormats="0" applyFontFormats="0" applyPatternFormats="0" applyAlignmentFormats="0" applyWidthHeightFormats="1" dataCaption="Значения" updatedVersion="8" minRefreshableVersion="3" useAutoFormatting="1" rowGrandTotals="0" colGrandTotals="0" itemPrintTitles="1" createdVersion="8" indent="0" outline="1" outlineData="1" multipleFieldFilters="0">
  <location ref="A1:C195" firstHeaderRow="0" firstDataRow="1" firstDataCol="1"/>
  <pivotFields count="4">
    <pivotField dataField="1" showAll="0"/>
    <pivotField axis="axisRow" showAll="0" sortType="ascending">
      <items count="195">
        <item x="180"/>
        <item x="57"/>
        <item x="133"/>
        <item x="13"/>
        <item x="108"/>
        <item x="82"/>
        <item x="130"/>
        <item x="91"/>
        <item x="83"/>
        <item x="136"/>
        <item x="31"/>
        <item x="160"/>
        <item x="176"/>
        <item x="187"/>
        <item x="63"/>
        <item x="140"/>
        <item x="99"/>
        <item x="50"/>
        <item x="45"/>
        <item x="0"/>
        <item x="167"/>
        <item x="85"/>
        <item x="42"/>
        <item x="80"/>
        <item x="10"/>
        <item x="8"/>
        <item x="192"/>
        <item x="166"/>
        <item x="56"/>
        <item x="164"/>
        <item x="143"/>
        <item x="189"/>
        <item x="89"/>
        <item x="76"/>
        <item x="172"/>
        <item x="188"/>
        <item x="70"/>
        <item x="171"/>
        <item x="124"/>
        <item x="177"/>
        <item x="58"/>
        <item x="72"/>
        <item x="62"/>
        <item x="97"/>
        <item x="3"/>
        <item x="116"/>
        <item x="55"/>
        <item x="103"/>
        <item x="81"/>
        <item x="49"/>
        <item x="32"/>
        <item x="113"/>
        <item x="184"/>
        <item x="105"/>
        <item x="5"/>
        <item x="159"/>
        <item x="12"/>
        <item x="153"/>
        <item x="29"/>
        <item x="23"/>
        <item x="107"/>
        <item x="142"/>
        <item x="21"/>
        <item x="90"/>
        <item x="152"/>
        <item x="60"/>
        <item x="64"/>
        <item x="33"/>
        <item x="7"/>
        <item x="161"/>
        <item x="151"/>
        <item x="88"/>
        <item x="134"/>
        <item x="44"/>
        <item x="121"/>
        <item x="1"/>
        <item x="39"/>
        <item x="150"/>
        <item x="59"/>
        <item x="30"/>
        <item x="109"/>
        <item x="125"/>
        <item x="61"/>
        <item x="181"/>
        <item x="4"/>
        <item x="157"/>
        <item x="114"/>
        <item x="54"/>
        <item x="118"/>
        <item x="154"/>
        <item x="15"/>
        <item x="179"/>
        <item x="144"/>
        <item x="131"/>
        <item x="135"/>
        <item x="65"/>
        <item x="66"/>
        <item x="73"/>
        <item x="173"/>
        <item x="129"/>
        <item x="94"/>
        <item x="69"/>
        <item x="185"/>
        <item x="162"/>
        <item x="149"/>
        <item x="2"/>
        <item x="145"/>
        <item x="43"/>
        <item x="93"/>
        <item x="6"/>
        <item x="34"/>
        <item x="51"/>
        <item x="163"/>
        <item x="104"/>
        <item x="79"/>
        <item x="100"/>
        <item x="86"/>
        <item x="17"/>
        <item x="95"/>
        <item x="128"/>
        <item x="27"/>
        <item x="9"/>
        <item x="115"/>
        <item x="48"/>
        <item x="46"/>
        <item x="182"/>
        <item x="92"/>
        <item x="186"/>
        <item x="37"/>
        <item x="75"/>
        <item x="106"/>
        <item x="24"/>
        <item x="148"/>
        <item x="96"/>
        <item x="40"/>
        <item x="139"/>
        <item x="16"/>
        <item x="170"/>
        <item x="138"/>
        <item x="67"/>
        <item x="52"/>
        <item x="123"/>
        <item x="111"/>
        <item x="84"/>
        <item x="127"/>
        <item x="183"/>
        <item x="155"/>
        <item x="20"/>
        <item x="14"/>
        <item x="102"/>
        <item x="101"/>
        <item x="122"/>
        <item x="78"/>
        <item x="178"/>
        <item x="28"/>
        <item x="68"/>
        <item x="53"/>
        <item x="168"/>
        <item x="74"/>
        <item x="11"/>
        <item x="18"/>
        <item x="25"/>
        <item x="146"/>
        <item x="132"/>
        <item x="38"/>
        <item x="117"/>
        <item x="190"/>
        <item x="19"/>
        <item x="137"/>
        <item x="98"/>
        <item x="87"/>
        <item x="41"/>
        <item x="77"/>
        <item x="120"/>
        <item x="141"/>
        <item x="71"/>
        <item x="174"/>
        <item x="26"/>
        <item x="47"/>
        <item x="36"/>
        <item x="175"/>
        <item x="35"/>
        <item x="169"/>
        <item x="112"/>
        <item x="156"/>
        <item x="165"/>
        <item x="191"/>
        <item x="147"/>
        <item x="158"/>
        <item x="126"/>
        <item x="22"/>
        <item x="110"/>
        <item x="119"/>
        <item x="193"/>
        <item t="default"/>
      </items>
    </pivotField>
    <pivotField showAll="0"/>
    <pivotField dataField="1" showAll="0"/>
  </pivotFields>
  <rowFields count="1">
    <field x="1"/>
  </rowFields>
  <rowItems count="19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</rowItems>
  <colFields count="1">
    <field x="-2"/>
  </colFields>
  <colItems count="2">
    <i>
      <x/>
    </i>
    <i i="1">
      <x v="1"/>
    </i>
  </colItems>
  <dataFields count="2">
    <dataField name="Проекты" fld="0" subtotal="count" baseField="1" baseItem="0"/>
    <dataField name="Сумма по полю Сумма сделки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506F0D3-C132-471F-86AC-42F873E731DD}" name="Сводная таблица7" cacheId="27" applyNumberFormats="0" applyBorderFormats="0" applyFontFormats="0" applyPatternFormats="0" applyAlignmentFormats="0" applyWidthHeightFormats="1" dataCaption="Значения" updatedVersion="8" minRefreshableVersion="3" rowGrandTotals="0" colGrandTotals="0" itemPrintTitles="1" createdVersion="8" indent="0" outline="1" outlineData="1" multipleFieldFilters="0">
  <location ref="P1:AD15" firstHeaderRow="1" firstDataRow="2" firstDataCol="1"/>
  <pivotFields count="8">
    <pivotField axis="axisRow" showAl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showAll="0"/>
    <pivotField showAll="0"/>
    <pivotField dataField="1" showAll="0"/>
    <pivotField showAll="0"/>
    <pivotField showAll="0"/>
    <pivotField showAll="0"/>
    <pivotField axis="axisCol" showAll="0">
      <items count="15">
        <item x="1"/>
        <item x="2"/>
        <item x="3"/>
        <item x="0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0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</rowItems>
  <colFields count="1">
    <field x="7"/>
  </colFields>
  <col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</colItems>
  <dataFields count="1">
    <dataField name="Среднее по полю Сумма сделки" fld="3" subtotal="average" baseField="0" baseItem="6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01"/>
  <sheetViews>
    <sheetView workbookViewId="0">
      <selection activeCell="F4" sqref="F4"/>
    </sheetView>
  </sheetViews>
  <sheetFormatPr defaultRowHeight="15" x14ac:dyDescent="0.25"/>
  <cols>
    <col min="1" max="2" width="33" customWidth="1"/>
    <col min="3" max="3" width="12" customWidth="1"/>
    <col min="4" max="4" width="15" customWidth="1"/>
    <col min="5" max="5" width="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>
        <v>49585</v>
      </c>
      <c r="E2">
        <v>5</v>
      </c>
    </row>
    <row r="3" spans="1:5" x14ac:dyDescent="0.25">
      <c r="A3" t="s">
        <v>8</v>
      </c>
      <c r="B3" t="s">
        <v>9</v>
      </c>
      <c r="C3" t="s">
        <v>7</v>
      </c>
      <c r="D3">
        <v>70374</v>
      </c>
      <c r="E3">
        <v>1</v>
      </c>
    </row>
    <row r="4" spans="1:5" x14ac:dyDescent="0.25">
      <c r="A4" t="s">
        <v>10</v>
      </c>
      <c r="B4" t="s">
        <v>11</v>
      </c>
      <c r="C4" t="s">
        <v>12</v>
      </c>
      <c r="D4">
        <v>17347</v>
      </c>
      <c r="E4">
        <v>8</v>
      </c>
    </row>
    <row r="5" spans="1:5" x14ac:dyDescent="0.25">
      <c r="A5" t="s">
        <v>13</v>
      </c>
      <c r="B5" t="s">
        <v>14</v>
      </c>
      <c r="C5" t="s">
        <v>12</v>
      </c>
      <c r="D5">
        <v>77152</v>
      </c>
      <c r="E5">
        <v>10</v>
      </c>
    </row>
    <row r="6" spans="1:5" x14ac:dyDescent="0.25">
      <c r="A6" t="s">
        <v>5</v>
      </c>
      <c r="B6" t="s">
        <v>15</v>
      </c>
      <c r="C6" t="s">
        <v>12</v>
      </c>
      <c r="D6">
        <v>25583</v>
      </c>
      <c r="E6">
        <v>7</v>
      </c>
    </row>
    <row r="7" spans="1:5" x14ac:dyDescent="0.25">
      <c r="A7" t="s">
        <v>16</v>
      </c>
      <c r="B7" t="s">
        <v>17</v>
      </c>
      <c r="C7" t="s">
        <v>12</v>
      </c>
      <c r="D7">
        <v>50424</v>
      </c>
      <c r="E7">
        <v>3</v>
      </c>
    </row>
    <row r="8" spans="1:5" x14ac:dyDescent="0.25">
      <c r="A8" t="s">
        <v>18</v>
      </c>
      <c r="B8" t="s">
        <v>19</v>
      </c>
      <c r="C8" t="s">
        <v>12</v>
      </c>
      <c r="D8">
        <v>27772</v>
      </c>
      <c r="E8">
        <v>1</v>
      </c>
    </row>
    <row r="9" spans="1:5" x14ac:dyDescent="0.25">
      <c r="A9" t="s">
        <v>18</v>
      </c>
      <c r="B9" t="s">
        <v>20</v>
      </c>
      <c r="C9" t="s">
        <v>12</v>
      </c>
      <c r="D9">
        <v>58246</v>
      </c>
      <c r="E9">
        <v>8</v>
      </c>
    </row>
    <row r="10" spans="1:5" x14ac:dyDescent="0.25">
      <c r="A10" t="s">
        <v>13</v>
      </c>
      <c r="B10" t="s">
        <v>21</v>
      </c>
      <c r="C10" t="s">
        <v>12</v>
      </c>
      <c r="D10">
        <v>30493</v>
      </c>
      <c r="E10">
        <v>4</v>
      </c>
    </row>
    <row r="11" spans="1:5" x14ac:dyDescent="0.25">
      <c r="A11" t="s">
        <v>10</v>
      </c>
      <c r="B11" t="s">
        <v>22</v>
      </c>
      <c r="C11" t="s">
        <v>23</v>
      </c>
      <c r="D11">
        <v>66366</v>
      </c>
      <c r="E11">
        <v>4</v>
      </c>
    </row>
    <row r="12" spans="1:5" x14ac:dyDescent="0.25">
      <c r="A12" t="s">
        <v>18</v>
      </c>
      <c r="B12" t="s">
        <v>24</v>
      </c>
      <c r="C12" t="s">
        <v>23</v>
      </c>
      <c r="D12">
        <v>25078</v>
      </c>
      <c r="E12">
        <v>6</v>
      </c>
    </row>
    <row r="13" spans="1:5" x14ac:dyDescent="0.25">
      <c r="A13" t="s">
        <v>25</v>
      </c>
      <c r="B13" t="s">
        <v>26</v>
      </c>
      <c r="C13" t="s">
        <v>23</v>
      </c>
      <c r="D13">
        <v>75327</v>
      </c>
      <c r="E13">
        <v>8</v>
      </c>
    </row>
    <row r="14" spans="1:5" x14ac:dyDescent="0.25">
      <c r="A14" t="s">
        <v>27</v>
      </c>
      <c r="B14" t="s">
        <v>28</v>
      </c>
      <c r="C14" t="s">
        <v>29</v>
      </c>
      <c r="D14">
        <v>68907</v>
      </c>
      <c r="E14">
        <v>3</v>
      </c>
    </row>
    <row r="15" spans="1:5" x14ac:dyDescent="0.25">
      <c r="A15" t="s">
        <v>30</v>
      </c>
      <c r="B15" t="s">
        <v>31</v>
      </c>
      <c r="C15" t="s">
        <v>29</v>
      </c>
      <c r="D15">
        <v>61980</v>
      </c>
      <c r="E15">
        <v>6</v>
      </c>
    </row>
    <row r="16" spans="1:5" x14ac:dyDescent="0.25">
      <c r="A16" t="s">
        <v>13</v>
      </c>
      <c r="B16" t="s">
        <v>32</v>
      </c>
      <c r="C16" t="s">
        <v>29</v>
      </c>
      <c r="D16">
        <v>63884</v>
      </c>
      <c r="E16">
        <v>7</v>
      </c>
    </row>
    <row r="17" spans="1:5" x14ac:dyDescent="0.25">
      <c r="A17" t="s">
        <v>25</v>
      </c>
      <c r="B17" t="s">
        <v>33</v>
      </c>
      <c r="C17" t="s">
        <v>34</v>
      </c>
      <c r="D17">
        <v>35787</v>
      </c>
      <c r="E17">
        <v>1</v>
      </c>
    </row>
    <row r="18" spans="1:5" x14ac:dyDescent="0.25">
      <c r="A18" t="s">
        <v>16</v>
      </c>
      <c r="B18" t="s">
        <v>20</v>
      </c>
      <c r="C18" t="s">
        <v>34</v>
      </c>
      <c r="D18">
        <v>28370</v>
      </c>
      <c r="E18">
        <v>9</v>
      </c>
    </row>
    <row r="19" spans="1:5" x14ac:dyDescent="0.25">
      <c r="A19" t="s">
        <v>16</v>
      </c>
      <c r="B19" t="s">
        <v>35</v>
      </c>
      <c r="C19" t="s">
        <v>34</v>
      </c>
      <c r="D19">
        <v>37951</v>
      </c>
      <c r="E19">
        <v>0</v>
      </c>
    </row>
    <row r="20" spans="1:5" x14ac:dyDescent="0.25">
      <c r="A20" t="s">
        <v>8</v>
      </c>
      <c r="B20" t="s">
        <v>36</v>
      </c>
      <c r="C20" t="s">
        <v>34</v>
      </c>
      <c r="D20">
        <v>39832</v>
      </c>
      <c r="E20">
        <v>7</v>
      </c>
    </row>
    <row r="21" spans="1:5" x14ac:dyDescent="0.25">
      <c r="A21" t="s">
        <v>8</v>
      </c>
      <c r="B21" t="s">
        <v>37</v>
      </c>
      <c r="C21" t="s">
        <v>34</v>
      </c>
      <c r="D21">
        <v>18687</v>
      </c>
      <c r="E21">
        <v>7</v>
      </c>
    </row>
    <row r="22" spans="1:5" x14ac:dyDescent="0.25">
      <c r="A22" t="s">
        <v>38</v>
      </c>
      <c r="B22" t="s">
        <v>39</v>
      </c>
      <c r="C22" t="s">
        <v>40</v>
      </c>
      <c r="D22">
        <v>69529</v>
      </c>
      <c r="E22">
        <v>8</v>
      </c>
    </row>
    <row r="23" spans="1:5" x14ac:dyDescent="0.25">
      <c r="A23" t="s">
        <v>16</v>
      </c>
      <c r="B23" t="s">
        <v>41</v>
      </c>
      <c r="C23" t="s">
        <v>40</v>
      </c>
      <c r="D23">
        <v>59076</v>
      </c>
      <c r="E23">
        <v>6</v>
      </c>
    </row>
    <row r="24" spans="1:5" x14ac:dyDescent="0.25">
      <c r="A24" t="s">
        <v>18</v>
      </c>
      <c r="B24" t="s">
        <v>42</v>
      </c>
      <c r="C24" t="s">
        <v>40</v>
      </c>
      <c r="D24">
        <v>87820</v>
      </c>
      <c r="E24">
        <v>6</v>
      </c>
    </row>
    <row r="25" spans="1:5" x14ac:dyDescent="0.25">
      <c r="A25" t="s">
        <v>18</v>
      </c>
      <c r="B25" t="s">
        <v>43</v>
      </c>
      <c r="C25" t="s">
        <v>44</v>
      </c>
      <c r="D25">
        <v>30927</v>
      </c>
      <c r="E25">
        <v>6</v>
      </c>
    </row>
    <row r="26" spans="1:5" x14ac:dyDescent="0.25">
      <c r="A26" t="s">
        <v>45</v>
      </c>
      <c r="B26" t="s">
        <v>46</v>
      </c>
      <c r="C26" t="s">
        <v>44</v>
      </c>
      <c r="D26">
        <v>27016</v>
      </c>
      <c r="E26">
        <v>8</v>
      </c>
    </row>
    <row r="27" spans="1:5" x14ac:dyDescent="0.25">
      <c r="A27" t="s">
        <v>47</v>
      </c>
      <c r="B27" t="s">
        <v>48</v>
      </c>
      <c r="C27" t="s">
        <v>44</v>
      </c>
      <c r="D27">
        <v>44279</v>
      </c>
      <c r="E27">
        <v>6</v>
      </c>
    </row>
    <row r="28" spans="1:5" x14ac:dyDescent="0.25">
      <c r="A28" t="s">
        <v>38</v>
      </c>
      <c r="B28" t="s">
        <v>19</v>
      </c>
      <c r="C28" t="s">
        <v>44</v>
      </c>
      <c r="D28">
        <v>35608</v>
      </c>
      <c r="E28">
        <v>10</v>
      </c>
    </row>
    <row r="29" spans="1:5" x14ac:dyDescent="0.25">
      <c r="A29" t="s">
        <v>30</v>
      </c>
      <c r="B29" t="s">
        <v>49</v>
      </c>
      <c r="C29" t="s">
        <v>44</v>
      </c>
      <c r="D29">
        <v>25430</v>
      </c>
      <c r="E29">
        <v>8</v>
      </c>
    </row>
    <row r="30" spans="1:5" x14ac:dyDescent="0.25">
      <c r="A30" t="s">
        <v>38</v>
      </c>
      <c r="B30" t="s">
        <v>17</v>
      </c>
      <c r="C30" t="s">
        <v>44</v>
      </c>
      <c r="D30">
        <v>20221</v>
      </c>
      <c r="E30">
        <v>6</v>
      </c>
    </row>
    <row r="31" spans="1:5" x14ac:dyDescent="0.25">
      <c r="A31" t="s">
        <v>27</v>
      </c>
      <c r="B31" t="s">
        <v>31</v>
      </c>
      <c r="C31" t="s">
        <v>44</v>
      </c>
      <c r="D31">
        <v>24172</v>
      </c>
      <c r="E31">
        <v>5</v>
      </c>
    </row>
    <row r="32" spans="1:5" x14ac:dyDescent="0.25">
      <c r="A32" t="s">
        <v>27</v>
      </c>
      <c r="B32" t="s">
        <v>50</v>
      </c>
      <c r="C32" t="s">
        <v>44</v>
      </c>
      <c r="D32">
        <v>62593</v>
      </c>
      <c r="E32">
        <v>8</v>
      </c>
    </row>
    <row r="33" spans="1:5" x14ac:dyDescent="0.25">
      <c r="A33" t="s">
        <v>30</v>
      </c>
      <c r="B33" t="s">
        <v>51</v>
      </c>
      <c r="C33" t="s">
        <v>44</v>
      </c>
      <c r="D33">
        <v>45798</v>
      </c>
      <c r="E33">
        <v>3</v>
      </c>
    </row>
    <row r="34" spans="1:5" x14ac:dyDescent="0.25">
      <c r="A34" t="s">
        <v>27</v>
      </c>
      <c r="B34" t="s">
        <v>52</v>
      </c>
      <c r="C34" t="s">
        <v>44</v>
      </c>
      <c r="D34">
        <v>44430</v>
      </c>
      <c r="E34">
        <v>2</v>
      </c>
    </row>
    <row r="35" spans="1:5" x14ac:dyDescent="0.25">
      <c r="A35" t="s">
        <v>13</v>
      </c>
      <c r="B35" t="s">
        <v>53</v>
      </c>
      <c r="C35" t="s">
        <v>54</v>
      </c>
      <c r="D35">
        <v>16523</v>
      </c>
      <c r="E35">
        <v>9</v>
      </c>
    </row>
    <row r="36" spans="1:5" x14ac:dyDescent="0.25">
      <c r="A36" t="s">
        <v>16</v>
      </c>
      <c r="B36" t="s">
        <v>41</v>
      </c>
      <c r="C36" t="s">
        <v>54</v>
      </c>
      <c r="D36">
        <v>26957</v>
      </c>
      <c r="E36">
        <v>4</v>
      </c>
    </row>
    <row r="37" spans="1:5" x14ac:dyDescent="0.25">
      <c r="A37" t="s">
        <v>30</v>
      </c>
      <c r="B37" t="s">
        <v>55</v>
      </c>
      <c r="C37" t="s">
        <v>56</v>
      </c>
      <c r="D37">
        <v>15896</v>
      </c>
      <c r="E37">
        <v>7</v>
      </c>
    </row>
    <row r="38" spans="1:5" x14ac:dyDescent="0.25">
      <c r="A38" t="s">
        <v>25</v>
      </c>
      <c r="B38" t="s">
        <v>57</v>
      </c>
      <c r="C38" t="s">
        <v>56</v>
      </c>
      <c r="D38">
        <v>48097</v>
      </c>
      <c r="E38">
        <v>9</v>
      </c>
    </row>
    <row r="39" spans="1:5" x14ac:dyDescent="0.25">
      <c r="A39" t="s">
        <v>8</v>
      </c>
      <c r="B39" t="s">
        <v>32</v>
      </c>
      <c r="C39" t="s">
        <v>56</v>
      </c>
      <c r="D39">
        <v>38597</v>
      </c>
      <c r="E39">
        <v>9</v>
      </c>
    </row>
    <row r="40" spans="1:5" x14ac:dyDescent="0.25">
      <c r="A40" t="s">
        <v>5</v>
      </c>
      <c r="B40" t="s">
        <v>58</v>
      </c>
      <c r="C40" t="s">
        <v>56</v>
      </c>
      <c r="D40">
        <v>74405</v>
      </c>
      <c r="E40">
        <v>9</v>
      </c>
    </row>
    <row r="41" spans="1:5" x14ac:dyDescent="0.25">
      <c r="A41" t="s">
        <v>5</v>
      </c>
      <c r="B41" t="s">
        <v>59</v>
      </c>
      <c r="C41" t="s">
        <v>60</v>
      </c>
      <c r="D41">
        <v>37910</v>
      </c>
      <c r="E41">
        <v>9</v>
      </c>
    </row>
    <row r="42" spans="1:5" x14ac:dyDescent="0.25">
      <c r="A42" t="s">
        <v>5</v>
      </c>
      <c r="B42" t="s">
        <v>61</v>
      </c>
      <c r="C42" t="s">
        <v>62</v>
      </c>
      <c r="D42">
        <v>78611</v>
      </c>
      <c r="E42">
        <v>2</v>
      </c>
    </row>
    <row r="43" spans="1:5" x14ac:dyDescent="0.25">
      <c r="A43" t="s">
        <v>30</v>
      </c>
      <c r="B43" t="s">
        <v>63</v>
      </c>
      <c r="C43" t="s">
        <v>62</v>
      </c>
      <c r="D43">
        <v>65076</v>
      </c>
      <c r="E43">
        <v>6</v>
      </c>
    </row>
    <row r="44" spans="1:5" x14ac:dyDescent="0.25">
      <c r="A44" t="s">
        <v>30</v>
      </c>
      <c r="B44" t="s">
        <v>64</v>
      </c>
      <c r="C44" t="s">
        <v>62</v>
      </c>
      <c r="D44">
        <v>46536</v>
      </c>
      <c r="E44">
        <v>7</v>
      </c>
    </row>
    <row r="45" spans="1:5" x14ac:dyDescent="0.25">
      <c r="A45" t="s">
        <v>10</v>
      </c>
      <c r="B45" t="s">
        <v>65</v>
      </c>
      <c r="C45" t="s">
        <v>62</v>
      </c>
      <c r="D45">
        <v>70195</v>
      </c>
      <c r="E45">
        <v>4</v>
      </c>
    </row>
    <row r="46" spans="1:5" x14ac:dyDescent="0.25">
      <c r="A46" t="s">
        <v>45</v>
      </c>
      <c r="B46" t="s">
        <v>66</v>
      </c>
      <c r="C46" t="s">
        <v>62</v>
      </c>
      <c r="D46">
        <v>18447</v>
      </c>
      <c r="E46">
        <v>9</v>
      </c>
    </row>
    <row r="47" spans="1:5" x14ac:dyDescent="0.25">
      <c r="A47" t="s">
        <v>27</v>
      </c>
      <c r="B47" t="s">
        <v>37</v>
      </c>
      <c r="C47" t="s">
        <v>62</v>
      </c>
      <c r="D47">
        <v>89242</v>
      </c>
      <c r="E47">
        <v>6</v>
      </c>
    </row>
    <row r="48" spans="1:5" x14ac:dyDescent="0.25">
      <c r="A48" t="s">
        <v>38</v>
      </c>
      <c r="B48" t="s">
        <v>67</v>
      </c>
      <c r="C48" t="s">
        <v>62</v>
      </c>
      <c r="D48">
        <v>34383</v>
      </c>
      <c r="E48">
        <v>8</v>
      </c>
    </row>
    <row r="49" spans="1:5" x14ac:dyDescent="0.25">
      <c r="A49" t="s">
        <v>27</v>
      </c>
      <c r="B49" t="s">
        <v>68</v>
      </c>
      <c r="C49" t="s">
        <v>62</v>
      </c>
      <c r="D49">
        <v>11300</v>
      </c>
      <c r="E49">
        <v>5</v>
      </c>
    </row>
    <row r="50" spans="1:5" x14ac:dyDescent="0.25">
      <c r="A50" t="s">
        <v>16</v>
      </c>
      <c r="B50" t="s">
        <v>69</v>
      </c>
      <c r="C50" t="s">
        <v>62</v>
      </c>
      <c r="D50">
        <v>64611</v>
      </c>
      <c r="E50">
        <v>6</v>
      </c>
    </row>
    <row r="51" spans="1:5" x14ac:dyDescent="0.25">
      <c r="A51" t="s">
        <v>16</v>
      </c>
      <c r="B51" t="s">
        <v>70</v>
      </c>
      <c r="C51" t="s">
        <v>62</v>
      </c>
      <c r="D51">
        <v>37502</v>
      </c>
      <c r="E51">
        <v>4</v>
      </c>
    </row>
    <row r="52" spans="1:5" x14ac:dyDescent="0.25">
      <c r="A52" t="s">
        <v>47</v>
      </c>
      <c r="B52" t="s">
        <v>69</v>
      </c>
      <c r="C52" t="s">
        <v>62</v>
      </c>
      <c r="D52">
        <v>51661</v>
      </c>
      <c r="E52">
        <v>0</v>
      </c>
    </row>
    <row r="53" spans="1:5" x14ac:dyDescent="0.25">
      <c r="A53" t="s">
        <v>13</v>
      </c>
      <c r="B53" t="s">
        <v>36</v>
      </c>
      <c r="C53" t="s">
        <v>71</v>
      </c>
      <c r="D53">
        <v>64562</v>
      </c>
      <c r="E53">
        <v>10</v>
      </c>
    </row>
    <row r="54" spans="1:5" x14ac:dyDescent="0.25">
      <c r="A54" t="s">
        <v>47</v>
      </c>
      <c r="B54" t="s">
        <v>72</v>
      </c>
      <c r="C54" t="s">
        <v>71</v>
      </c>
      <c r="D54">
        <v>52590</v>
      </c>
      <c r="E54">
        <v>7</v>
      </c>
    </row>
    <row r="55" spans="1:5" x14ac:dyDescent="0.25">
      <c r="A55" t="s">
        <v>45</v>
      </c>
      <c r="B55" t="s">
        <v>22</v>
      </c>
      <c r="C55" t="s">
        <v>71</v>
      </c>
      <c r="D55">
        <v>85722</v>
      </c>
      <c r="E55">
        <v>7</v>
      </c>
    </row>
    <row r="56" spans="1:5" x14ac:dyDescent="0.25">
      <c r="A56" t="s">
        <v>5</v>
      </c>
      <c r="B56" t="s">
        <v>73</v>
      </c>
      <c r="C56" t="s">
        <v>71</v>
      </c>
      <c r="D56">
        <v>57693</v>
      </c>
      <c r="E56">
        <v>1</v>
      </c>
    </row>
    <row r="57" spans="1:5" x14ac:dyDescent="0.25">
      <c r="A57" t="s">
        <v>16</v>
      </c>
      <c r="B57" t="s">
        <v>74</v>
      </c>
      <c r="C57" t="s">
        <v>71</v>
      </c>
      <c r="D57">
        <v>49341</v>
      </c>
      <c r="E57">
        <v>4</v>
      </c>
    </row>
    <row r="58" spans="1:5" x14ac:dyDescent="0.25">
      <c r="A58" t="s">
        <v>30</v>
      </c>
      <c r="B58" t="s">
        <v>75</v>
      </c>
      <c r="C58" t="s">
        <v>76</v>
      </c>
      <c r="D58">
        <v>87309</v>
      </c>
      <c r="E58">
        <v>9</v>
      </c>
    </row>
    <row r="59" spans="1:5" x14ac:dyDescent="0.25">
      <c r="A59" t="s">
        <v>10</v>
      </c>
      <c r="B59" t="s">
        <v>58</v>
      </c>
      <c r="C59" t="s">
        <v>76</v>
      </c>
      <c r="D59">
        <v>93210</v>
      </c>
      <c r="E59">
        <v>9</v>
      </c>
    </row>
    <row r="60" spans="1:5" x14ac:dyDescent="0.25">
      <c r="A60" t="s">
        <v>16</v>
      </c>
      <c r="B60" t="s">
        <v>77</v>
      </c>
      <c r="C60" t="s">
        <v>76</v>
      </c>
      <c r="D60">
        <v>71076</v>
      </c>
      <c r="E60">
        <v>7</v>
      </c>
    </row>
    <row r="61" spans="1:5" x14ac:dyDescent="0.25">
      <c r="A61" t="s">
        <v>8</v>
      </c>
      <c r="B61" t="s">
        <v>78</v>
      </c>
      <c r="C61" t="s">
        <v>79</v>
      </c>
      <c r="D61">
        <v>88998</v>
      </c>
      <c r="E61">
        <v>6</v>
      </c>
    </row>
    <row r="62" spans="1:5" x14ac:dyDescent="0.25">
      <c r="A62" t="s">
        <v>10</v>
      </c>
      <c r="B62" t="s">
        <v>80</v>
      </c>
      <c r="C62" t="s">
        <v>79</v>
      </c>
      <c r="D62">
        <v>57146</v>
      </c>
      <c r="E62">
        <v>7</v>
      </c>
    </row>
    <row r="63" spans="1:5" x14ac:dyDescent="0.25">
      <c r="A63" t="s">
        <v>18</v>
      </c>
      <c r="B63" t="s">
        <v>81</v>
      </c>
      <c r="C63" t="s">
        <v>79</v>
      </c>
      <c r="D63">
        <v>95212</v>
      </c>
      <c r="E63">
        <v>5</v>
      </c>
    </row>
    <row r="64" spans="1:5" x14ac:dyDescent="0.25">
      <c r="A64" t="s">
        <v>18</v>
      </c>
      <c r="B64" t="s">
        <v>82</v>
      </c>
      <c r="C64" t="s">
        <v>83</v>
      </c>
      <c r="D64">
        <v>57103</v>
      </c>
      <c r="E64">
        <v>8</v>
      </c>
    </row>
    <row r="65" spans="1:5" x14ac:dyDescent="0.25">
      <c r="A65" t="s">
        <v>10</v>
      </c>
      <c r="B65" t="s">
        <v>84</v>
      </c>
      <c r="C65" t="s">
        <v>83</v>
      </c>
      <c r="D65">
        <v>96611</v>
      </c>
      <c r="E65">
        <v>10</v>
      </c>
    </row>
    <row r="66" spans="1:5" x14ac:dyDescent="0.25">
      <c r="A66" t="s">
        <v>10</v>
      </c>
      <c r="B66" t="s">
        <v>85</v>
      </c>
      <c r="C66" t="s">
        <v>83</v>
      </c>
      <c r="D66">
        <v>15126</v>
      </c>
      <c r="E66">
        <v>7</v>
      </c>
    </row>
    <row r="67" spans="1:5" x14ac:dyDescent="0.25">
      <c r="A67" t="s">
        <v>27</v>
      </c>
      <c r="B67" t="s">
        <v>86</v>
      </c>
      <c r="C67" t="s">
        <v>87</v>
      </c>
      <c r="D67">
        <v>99945</v>
      </c>
      <c r="E67">
        <v>6</v>
      </c>
    </row>
    <row r="68" spans="1:5" x14ac:dyDescent="0.25">
      <c r="A68" t="s">
        <v>8</v>
      </c>
      <c r="B68" t="s">
        <v>88</v>
      </c>
      <c r="C68" t="s">
        <v>87</v>
      </c>
      <c r="D68">
        <v>82853</v>
      </c>
      <c r="E68">
        <v>5</v>
      </c>
    </row>
    <row r="69" spans="1:5" x14ac:dyDescent="0.25">
      <c r="A69" t="s">
        <v>25</v>
      </c>
      <c r="B69" t="s">
        <v>89</v>
      </c>
      <c r="C69" t="s">
        <v>87</v>
      </c>
      <c r="D69">
        <v>92084</v>
      </c>
      <c r="E69">
        <v>4</v>
      </c>
    </row>
    <row r="70" spans="1:5" x14ac:dyDescent="0.25">
      <c r="A70" t="s">
        <v>8</v>
      </c>
      <c r="B70" t="s">
        <v>90</v>
      </c>
      <c r="C70" t="s">
        <v>87</v>
      </c>
      <c r="D70">
        <v>81247</v>
      </c>
      <c r="E70">
        <v>4</v>
      </c>
    </row>
    <row r="71" spans="1:5" x14ac:dyDescent="0.25">
      <c r="A71" t="s">
        <v>25</v>
      </c>
      <c r="B71" t="s">
        <v>91</v>
      </c>
      <c r="C71" t="s">
        <v>87</v>
      </c>
      <c r="D71">
        <v>53861</v>
      </c>
      <c r="E71">
        <v>8</v>
      </c>
    </row>
    <row r="72" spans="1:5" x14ac:dyDescent="0.25">
      <c r="A72" t="s">
        <v>10</v>
      </c>
      <c r="B72" t="s">
        <v>92</v>
      </c>
      <c r="C72" t="s">
        <v>87</v>
      </c>
      <c r="D72">
        <v>61384</v>
      </c>
      <c r="E72">
        <v>9</v>
      </c>
    </row>
    <row r="73" spans="1:5" x14ac:dyDescent="0.25">
      <c r="A73" t="s">
        <v>5</v>
      </c>
      <c r="B73" t="s">
        <v>93</v>
      </c>
      <c r="C73" t="s">
        <v>87</v>
      </c>
      <c r="D73">
        <v>43484</v>
      </c>
      <c r="E73">
        <v>8</v>
      </c>
    </row>
    <row r="74" spans="1:5" x14ac:dyDescent="0.25">
      <c r="A74" t="s">
        <v>18</v>
      </c>
      <c r="B74" t="s">
        <v>94</v>
      </c>
      <c r="C74" t="s">
        <v>87</v>
      </c>
      <c r="D74">
        <v>10779</v>
      </c>
      <c r="E74">
        <v>6</v>
      </c>
    </row>
    <row r="75" spans="1:5" x14ac:dyDescent="0.25">
      <c r="A75" t="s">
        <v>30</v>
      </c>
      <c r="B75" t="s">
        <v>42</v>
      </c>
      <c r="C75" t="s">
        <v>87</v>
      </c>
      <c r="D75">
        <v>47237</v>
      </c>
      <c r="E75">
        <v>8</v>
      </c>
    </row>
    <row r="76" spans="1:5" x14ac:dyDescent="0.25">
      <c r="A76" t="s">
        <v>13</v>
      </c>
      <c r="B76" t="s">
        <v>43</v>
      </c>
      <c r="C76" t="s">
        <v>95</v>
      </c>
      <c r="D76">
        <v>23337</v>
      </c>
      <c r="E76">
        <v>5</v>
      </c>
    </row>
    <row r="77" spans="1:5" x14ac:dyDescent="0.25">
      <c r="A77" t="s">
        <v>27</v>
      </c>
      <c r="B77" t="s">
        <v>96</v>
      </c>
      <c r="C77" t="s">
        <v>97</v>
      </c>
      <c r="D77">
        <v>97783</v>
      </c>
      <c r="E77">
        <v>8</v>
      </c>
    </row>
    <row r="78" spans="1:5" x14ac:dyDescent="0.25">
      <c r="A78" t="s">
        <v>47</v>
      </c>
      <c r="B78" t="s">
        <v>98</v>
      </c>
      <c r="C78" t="s">
        <v>97</v>
      </c>
      <c r="D78">
        <v>83123</v>
      </c>
      <c r="E78">
        <v>5</v>
      </c>
    </row>
    <row r="79" spans="1:5" x14ac:dyDescent="0.25">
      <c r="A79" t="s">
        <v>10</v>
      </c>
      <c r="B79" t="s">
        <v>99</v>
      </c>
      <c r="C79" t="s">
        <v>100</v>
      </c>
      <c r="D79">
        <v>95408</v>
      </c>
      <c r="E79">
        <v>5</v>
      </c>
    </row>
    <row r="80" spans="1:5" x14ac:dyDescent="0.25">
      <c r="A80" t="s">
        <v>10</v>
      </c>
      <c r="B80" t="s">
        <v>101</v>
      </c>
      <c r="C80" t="s">
        <v>102</v>
      </c>
      <c r="D80">
        <v>52724</v>
      </c>
      <c r="E80">
        <v>1</v>
      </c>
    </row>
    <row r="81" spans="1:5" x14ac:dyDescent="0.25">
      <c r="A81" t="s">
        <v>45</v>
      </c>
      <c r="B81" t="s">
        <v>36</v>
      </c>
      <c r="C81" t="s">
        <v>102</v>
      </c>
      <c r="D81">
        <v>80990</v>
      </c>
      <c r="E81">
        <v>2</v>
      </c>
    </row>
    <row r="82" spans="1:5" x14ac:dyDescent="0.25">
      <c r="A82" t="s">
        <v>30</v>
      </c>
      <c r="B82" t="s">
        <v>103</v>
      </c>
      <c r="C82" t="s">
        <v>104</v>
      </c>
      <c r="D82">
        <v>58839</v>
      </c>
      <c r="E82">
        <v>9</v>
      </c>
    </row>
    <row r="83" spans="1:5" x14ac:dyDescent="0.25">
      <c r="A83" t="s">
        <v>8</v>
      </c>
      <c r="B83" t="s">
        <v>105</v>
      </c>
      <c r="C83" t="s">
        <v>104</v>
      </c>
      <c r="D83">
        <v>75815</v>
      </c>
      <c r="E83">
        <v>8</v>
      </c>
    </row>
    <row r="84" spans="1:5" x14ac:dyDescent="0.25">
      <c r="A84" t="s">
        <v>8</v>
      </c>
      <c r="B84" t="s">
        <v>6</v>
      </c>
      <c r="C84" t="s">
        <v>104</v>
      </c>
      <c r="D84">
        <v>30299</v>
      </c>
      <c r="E84">
        <v>3</v>
      </c>
    </row>
    <row r="85" spans="1:5" x14ac:dyDescent="0.25">
      <c r="A85" t="s">
        <v>5</v>
      </c>
      <c r="B85" t="s">
        <v>106</v>
      </c>
      <c r="C85" t="s">
        <v>104</v>
      </c>
      <c r="D85">
        <v>76029</v>
      </c>
      <c r="E85">
        <v>7</v>
      </c>
    </row>
    <row r="86" spans="1:5" x14ac:dyDescent="0.25">
      <c r="A86" t="s">
        <v>13</v>
      </c>
      <c r="B86" t="s">
        <v>107</v>
      </c>
      <c r="C86" t="s">
        <v>104</v>
      </c>
      <c r="D86">
        <v>42572</v>
      </c>
      <c r="E86">
        <v>8</v>
      </c>
    </row>
    <row r="87" spans="1:5" x14ac:dyDescent="0.25">
      <c r="A87" t="s">
        <v>13</v>
      </c>
      <c r="B87" t="s">
        <v>108</v>
      </c>
      <c r="C87" t="s">
        <v>104</v>
      </c>
      <c r="D87">
        <v>11217</v>
      </c>
      <c r="E87">
        <v>2</v>
      </c>
    </row>
    <row r="88" spans="1:5" x14ac:dyDescent="0.25">
      <c r="A88" t="s">
        <v>16</v>
      </c>
      <c r="B88" t="s">
        <v>75</v>
      </c>
      <c r="C88" t="s">
        <v>104</v>
      </c>
      <c r="D88">
        <v>61547</v>
      </c>
      <c r="E88">
        <v>8</v>
      </c>
    </row>
    <row r="89" spans="1:5" x14ac:dyDescent="0.25">
      <c r="A89" t="s">
        <v>5</v>
      </c>
      <c r="B89" t="s">
        <v>39</v>
      </c>
      <c r="C89" t="s">
        <v>109</v>
      </c>
      <c r="D89">
        <v>94646</v>
      </c>
      <c r="E89">
        <v>8</v>
      </c>
    </row>
    <row r="90" spans="1:5" x14ac:dyDescent="0.25">
      <c r="A90" t="s">
        <v>27</v>
      </c>
      <c r="B90" t="s">
        <v>90</v>
      </c>
      <c r="C90" t="s">
        <v>109</v>
      </c>
      <c r="D90">
        <v>69358</v>
      </c>
      <c r="E90">
        <v>7</v>
      </c>
    </row>
    <row r="91" spans="1:5" x14ac:dyDescent="0.25">
      <c r="A91" t="s">
        <v>38</v>
      </c>
      <c r="B91" t="s">
        <v>110</v>
      </c>
      <c r="C91" t="s">
        <v>109</v>
      </c>
      <c r="D91">
        <v>63177</v>
      </c>
      <c r="E91">
        <v>7</v>
      </c>
    </row>
    <row r="92" spans="1:5" x14ac:dyDescent="0.25">
      <c r="A92" t="s">
        <v>27</v>
      </c>
      <c r="B92" t="s">
        <v>75</v>
      </c>
      <c r="C92" t="s">
        <v>109</v>
      </c>
      <c r="D92">
        <v>19847</v>
      </c>
      <c r="E92">
        <v>7</v>
      </c>
    </row>
    <row r="93" spans="1:5" x14ac:dyDescent="0.25">
      <c r="A93" t="s">
        <v>30</v>
      </c>
      <c r="B93" t="s">
        <v>111</v>
      </c>
      <c r="C93" t="s">
        <v>112</v>
      </c>
      <c r="D93">
        <v>56381</v>
      </c>
      <c r="E93">
        <v>5</v>
      </c>
    </row>
    <row r="94" spans="1:5" x14ac:dyDescent="0.25">
      <c r="A94" t="s">
        <v>30</v>
      </c>
      <c r="B94" t="s">
        <v>65</v>
      </c>
      <c r="C94" t="s">
        <v>112</v>
      </c>
      <c r="D94">
        <v>95364</v>
      </c>
      <c r="E94">
        <v>6</v>
      </c>
    </row>
    <row r="95" spans="1:5" x14ac:dyDescent="0.25">
      <c r="A95" t="s">
        <v>5</v>
      </c>
      <c r="B95" t="s">
        <v>113</v>
      </c>
      <c r="C95" t="s">
        <v>112</v>
      </c>
      <c r="D95">
        <v>68928</v>
      </c>
      <c r="E95">
        <v>3</v>
      </c>
    </row>
    <row r="96" spans="1:5" x14ac:dyDescent="0.25">
      <c r="A96" t="s">
        <v>18</v>
      </c>
      <c r="B96" t="s">
        <v>114</v>
      </c>
      <c r="C96" t="s">
        <v>115</v>
      </c>
      <c r="D96">
        <v>56713</v>
      </c>
      <c r="E96">
        <v>8</v>
      </c>
    </row>
    <row r="97" spans="1:5" x14ac:dyDescent="0.25">
      <c r="A97" t="s">
        <v>27</v>
      </c>
      <c r="B97" t="s">
        <v>116</v>
      </c>
      <c r="C97" t="s">
        <v>115</v>
      </c>
      <c r="D97">
        <v>67191</v>
      </c>
      <c r="E97">
        <v>3</v>
      </c>
    </row>
    <row r="98" spans="1:5" x14ac:dyDescent="0.25">
      <c r="A98" t="s">
        <v>25</v>
      </c>
      <c r="B98" t="s">
        <v>117</v>
      </c>
      <c r="C98" t="s">
        <v>115</v>
      </c>
      <c r="D98">
        <v>92723</v>
      </c>
      <c r="E98">
        <v>9</v>
      </c>
    </row>
    <row r="99" spans="1:5" x14ac:dyDescent="0.25">
      <c r="A99" t="s">
        <v>5</v>
      </c>
      <c r="B99" t="s">
        <v>111</v>
      </c>
      <c r="C99" t="s">
        <v>118</v>
      </c>
      <c r="D99">
        <v>28834</v>
      </c>
      <c r="E99">
        <v>6</v>
      </c>
    </row>
    <row r="100" spans="1:5" x14ac:dyDescent="0.25">
      <c r="A100" t="s">
        <v>5</v>
      </c>
      <c r="B100" t="s">
        <v>119</v>
      </c>
      <c r="C100" t="s">
        <v>118</v>
      </c>
      <c r="D100">
        <v>28347</v>
      </c>
      <c r="E100">
        <v>6</v>
      </c>
    </row>
    <row r="101" spans="1:5" x14ac:dyDescent="0.25">
      <c r="A101" t="s">
        <v>47</v>
      </c>
      <c r="B101" t="s">
        <v>33</v>
      </c>
      <c r="C101" t="s">
        <v>120</v>
      </c>
      <c r="D101">
        <v>53115</v>
      </c>
      <c r="E101">
        <v>5</v>
      </c>
    </row>
    <row r="102" spans="1:5" x14ac:dyDescent="0.25">
      <c r="A102" t="s">
        <v>5</v>
      </c>
      <c r="B102" t="s">
        <v>121</v>
      </c>
      <c r="C102" t="s">
        <v>120</v>
      </c>
      <c r="D102">
        <v>15194</v>
      </c>
      <c r="E102">
        <v>7</v>
      </c>
    </row>
    <row r="103" spans="1:5" x14ac:dyDescent="0.25">
      <c r="A103" t="s">
        <v>8</v>
      </c>
      <c r="B103" t="s">
        <v>99</v>
      </c>
      <c r="C103" t="s">
        <v>120</v>
      </c>
      <c r="D103">
        <v>89735</v>
      </c>
      <c r="E103">
        <v>7</v>
      </c>
    </row>
    <row r="104" spans="1:5" x14ac:dyDescent="0.25">
      <c r="A104" t="s">
        <v>16</v>
      </c>
      <c r="B104" t="s">
        <v>26</v>
      </c>
      <c r="C104" t="s">
        <v>120</v>
      </c>
      <c r="D104">
        <v>69956</v>
      </c>
      <c r="E104">
        <v>6</v>
      </c>
    </row>
    <row r="105" spans="1:5" x14ac:dyDescent="0.25">
      <c r="A105" t="s">
        <v>47</v>
      </c>
      <c r="B105" t="s">
        <v>122</v>
      </c>
      <c r="C105" t="s">
        <v>120</v>
      </c>
      <c r="D105">
        <v>66929</v>
      </c>
      <c r="E105">
        <v>0</v>
      </c>
    </row>
    <row r="106" spans="1:5" x14ac:dyDescent="0.25">
      <c r="A106" t="s">
        <v>38</v>
      </c>
      <c r="B106" t="s">
        <v>123</v>
      </c>
      <c r="C106" t="s">
        <v>120</v>
      </c>
      <c r="D106">
        <v>54092</v>
      </c>
      <c r="E106">
        <v>1</v>
      </c>
    </row>
    <row r="107" spans="1:5" x14ac:dyDescent="0.25">
      <c r="A107" t="s">
        <v>45</v>
      </c>
      <c r="B107" t="s">
        <v>124</v>
      </c>
      <c r="C107" t="s">
        <v>120</v>
      </c>
      <c r="D107">
        <v>64890</v>
      </c>
      <c r="E107">
        <v>9</v>
      </c>
    </row>
    <row r="108" spans="1:5" x14ac:dyDescent="0.25">
      <c r="A108" t="s">
        <v>8</v>
      </c>
      <c r="B108" t="s">
        <v>19</v>
      </c>
      <c r="C108" t="s">
        <v>120</v>
      </c>
      <c r="D108">
        <v>83867</v>
      </c>
      <c r="E108">
        <v>4</v>
      </c>
    </row>
    <row r="109" spans="1:5" x14ac:dyDescent="0.25">
      <c r="A109" t="s">
        <v>13</v>
      </c>
      <c r="B109" t="s">
        <v>125</v>
      </c>
      <c r="C109" t="s">
        <v>120</v>
      </c>
      <c r="D109">
        <v>70255</v>
      </c>
      <c r="E109">
        <v>5</v>
      </c>
    </row>
    <row r="110" spans="1:5" x14ac:dyDescent="0.25">
      <c r="A110" t="s">
        <v>25</v>
      </c>
      <c r="B110" t="s">
        <v>126</v>
      </c>
      <c r="C110" t="s">
        <v>120</v>
      </c>
      <c r="D110">
        <v>30795</v>
      </c>
      <c r="E110">
        <v>7</v>
      </c>
    </row>
    <row r="111" spans="1:5" x14ac:dyDescent="0.25">
      <c r="A111" t="s">
        <v>16</v>
      </c>
      <c r="B111" t="s">
        <v>78</v>
      </c>
      <c r="C111" t="s">
        <v>120</v>
      </c>
      <c r="D111">
        <v>15652</v>
      </c>
      <c r="E111">
        <v>8</v>
      </c>
    </row>
    <row r="112" spans="1:5" x14ac:dyDescent="0.25">
      <c r="A112" t="s">
        <v>27</v>
      </c>
      <c r="B112" t="s">
        <v>96</v>
      </c>
      <c r="C112" t="s">
        <v>127</v>
      </c>
      <c r="D112">
        <v>34353</v>
      </c>
      <c r="E112">
        <v>7</v>
      </c>
    </row>
    <row r="113" spans="1:5" x14ac:dyDescent="0.25">
      <c r="A113" t="s">
        <v>27</v>
      </c>
      <c r="B113" t="s">
        <v>128</v>
      </c>
      <c r="C113" t="s">
        <v>127</v>
      </c>
      <c r="D113">
        <v>48993</v>
      </c>
      <c r="E113">
        <v>7</v>
      </c>
    </row>
    <row r="114" spans="1:5" x14ac:dyDescent="0.25">
      <c r="A114" t="s">
        <v>5</v>
      </c>
      <c r="B114" t="s">
        <v>53</v>
      </c>
      <c r="C114" t="s">
        <v>127</v>
      </c>
      <c r="D114">
        <v>22398</v>
      </c>
      <c r="E114">
        <v>5</v>
      </c>
    </row>
    <row r="115" spans="1:5" x14ac:dyDescent="0.25">
      <c r="A115" t="s">
        <v>25</v>
      </c>
      <c r="B115" t="s">
        <v>129</v>
      </c>
      <c r="C115" t="s">
        <v>127</v>
      </c>
      <c r="D115">
        <v>24227</v>
      </c>
      <c r="E115">
        <v>2</v>
      </c>
    </row>
    <row r="116" spans="1:5" x14ac:dyDescent="0.25">
      <c r="A116" t="s">
        <v>13</v>
      </c>
      <c r="B116" t="s">
        <v>130</v>
      </c>
      <c r="C116" t="s">
        <v>127</v>
      </c>
      <c r="D116">
        <v>75831</v>
      </c>
      <c r="E116">
        <v>7</v>
      </c>
    </row>
    <row r="117" spans="1:5" x14ac:dyDescent="0.25">
      <c r="A117" t="s">
        <v>16</v>
      </c>
      <c r="B117" t="s">
        <v>119</v>
      </c>
      <c r="C117" t="s">
        <v>131</v>
      </c>
      <c r="D117">
        <v>91993</v>
      </c>
      <c r="E117">
        <v>0</v>
      </c>
    </row>
    <row r="118" spans="1:5" x14ac:dyDescent="0.25">
      <c r="A118" t="s">
        <v>10</v>
      </c>
      <c r="B118" t="s">
        <v>132</v>
      </c>
      <c r="C118" t="s">
        <v>131</v>
      </c>
      <c r="D118">
        <v>50577</v>
      </c>
      <c r="E118">
        <v>3</v>
      </c>
    </row>
    <row r="119" spans="1:5" x14ac:dyDescent="0.25">
      <c r="A119" t="s">
        <v>18</v>
      </c>
      <c r="B119" t="s">
        <v>133</v>
      </c>
      <c r="C119" t="s">
        <v>131</v>
      </c>
      <c r="D119">
        <v>60025</v>
      </c>
      <c r="E119">
        <v>6</v>
      </c>
    </row>
    <row r="120" spans="1:5" x14ac:dyDescent="0.25">
      <c r="A120" t="s">
        <v>13</v>
      </c>
      <c r="B120" t="s">
        <v>134</v>
      </c>
      <c r="C120" t="s">
        <v>131</v>
      </c>
      <c r="D120">
        <v>17020</v>
      </c>
      <c r="E120">
        <v>8</v>
      </c>
    </row>
    <row r="121" spans="1:5" x14ac:dyDescent="0.25">
      <c r="A121" t="s">
        <v>18</v>
      </c>
      <c r="B121" t="s">
        <v>125</v>
      </c>
      <c r="C121" t="s">
        <v>135</v>
      </c>
      <c r="D121">
        <v>65885</v>
      </c>
      <c r="E121">
        <v>6</v>
      </c>
    </row>
    <row r="122" spans="1:5" x14ac:dyDescent="0.25">
      <c r="A122" t="s">
        <v>13</v>
      </c>
      <c r="B122" t="s">
        <v>136</v>
      </c>
      <c r="C122" t="s">
        <v>135</v>
      </c>
      <c r="D122">
        <v>70793</v>
      </c>
      <c r="E122">
        <v>8</v>
      </c>
    </row>
    <row r="123" spans="1:5" x14ac:dyDescent="0.25">
      <c r="A123" t="s">
        <v>45</v>
      </c>
      <c r="B123" t="s">
        <v>14</v>
      </c>
      <c r="C123" t="s">
        <v>135</v>
      </c>
      <c r="D123">
        <v>16372</v>
      </c>
      <c r="E123">
        <v>3</v>
      </c>
    </row>
    <row r="124" spans="1:5" x14ac:dyDescent="0.25">
      <c r="A124" t="s">
        <v>47</v>
      </c>
      <c r="B124" t="s">
        <v>137</v>
      </c>
      <c r="C124" t="s">
        <v>138</v>
      </c>
      <c r="D124">
        <v>41243</v>
      </c>
      <c r="E124">
        <v>8</v>
      </c>
    </row>
    <row r="125" spans="1:5" x14ac:dyDescent="0.25">
      <c r="A125" t="s">
        <v>27</v>
      </c>
      <c r="B125" t="s">
        <v>139</v>
      </c>
      <c r="C125" t="s">
        <v>138</v>
      </c>
      <c r="D125">
        <v>16846</v>
      </c>
      <c r="E125">
        <v>1</v>
      </c>
    </row>
    <row r="126" spans="1:5" x14ac:dyDescent="0.25">
      <c r="A126" t="s">
        <v>18</v>
      </c>
      <c r="B126" t="s">
        <v>137</v>
      </c>
      <c r="C126" t="s">
        <v>140</v>
      </c>
      <c r="D126">
        <v>87118</v>
      </c>
      <c r="E126">
        <v>1</v>
      </c>
    </row>
    <row r="127" spans="1:5" x14ac:dyDescent="0.25">
      <c r="A127" t="s">
        <v>45</v>
      </c>
      <c r="B127" t="s">
        <v>96</v>
      </c>
      <c r="C127" t="s">
        <v>140</v>
      </c>
      <c r="D127">
        <v>80799</v>
      </c>
      <c r="E127">
        <v>2</v>
      </c>
    </row>
    <row r="128" spans="1:5" x14ac:dyDescent="0.25">
      <c r="A128" t="s">
        <v>45</v>
      </c>
      <c r="B128" t="s">
        <v>89</v>
      </c>
      <c r="C128" t="s">
        <v>140</v>
      </c>
      <c r="D128">
        <v>54320</v>
      </c>
      <c r="E128">
        <v>6</v>
      </c>
    </row>
    <row r="129" spans="1:5" x14ac:dyDescent="0.25">
      <c r="A129" t="s">
        <v>38</v>
      </c>
      <c r="B129" t="s">
        <v>141</v>
      </c>
      <c r="C129" t="s">
        <v>140</v>
      </c>
      <c r="D129">
        <v>47478</v>
      </c>
      <c r="E129">
        <v>7</v>
      </c>
    </row>
    <row r="130" spans="1:5" x14ac:dyDescent="0.25">
      <c r="A130" t="s">
        <v>13</v>
      </c>
      <c r="B130" t="s">
        <v>142</v>
      </c>
      <c r="C130" t="s">
        <v>143</v>
      </c>
      <c r="D130">
        <v>81042</v>
      </c>
      <c r="E130">
        <v>9</v>
      </c>
    </row>
    <row r="131" spans="1:5" x14ac:dyDescent="0.25">
      <c r="A131" t="s">
        <v>30</v>
      </c>
      <c r="B131" t="s">
        <v>144</v>
      </c>
      <c r="C131" t="s">
        <v>143</v>
      </c>
      <c r="D131">
        <v>56779</v>
      </c>
      <c r="E131">
        <v>7</v>
      </c>
    </row>
    <row r="132" spans="1:5" x14ac:dyDescent="0.25">
      <c r="A132" t="s">
        <v>27</v>
      </c>
      <c r="B132" t="s">
        <v>24</v>
      </c>
      <c r="C132" t="s">
        <v>143</v>
      </c>
      <c r="D132">
        <v>58768</v>
      </c>
      <c r="E132">
        <v>7</v>
      </c>
    </row>
    <row r="133" spans="1:5" x14ac:dyDescent="0.25">
      <c r="A133" t="s">
        <v>47</v>
      </c>
      <c r="B133" t="s">
        <v>17</v>
      </c>
      <c r="C133" t="s">
        <v>145</v>
      </c>
      <c r="D133">
        <v>26509</v>
      </c>
      <c r="E133">
        <v>8</v>
      </c>
    </row>
    <row r="134" spans="1:5" x14ac:dyDescent="0.25">
      <c r="A134" t="s">
        <v>25</v>
      </c>
      <c r="B134" t="s">
        <v>22</v>
      </c>
      <c r="C134" t="s">
        <v>145</v>
      </c>
      <c r="D134">
        <v>97346</v>
      </c>
      <c r="E134">
        <v>7</v>
      </c>
    </row>
    <row r="135" spans="1:5" x14ac:dyDescent="0.25">
      <c r="A135" t="s">
        <v>8</v>
      </c>
      <c r="B135" t="s">
        <v>146</v>
      </c>
      <c r="C135" t="s">
        <v>145</v>
      </c>
      <c r="D135">
        <v>80268</v>
      </c>
      <c r="E135">
        <v>6</v>
      </c>
    </row>
    <row r="136" spans="1:5" x14ac:dyDescent="0.25">
      <c r="A136" t="s">
        <v>13</v>
      </c>
      <c r="B136" t="s">
        <v>48</v>
      </c>
      <c r="C136" t="s">
        <v>147</v>
      </c>
      <c r="D136">
        <v>64703</v>
      </c>
      <c r="E136">
        <v>4</v>
      </c>
    </row>
    <row r="137" spans="1:5" x14ac:dyDescent="0.25">
      <c r="A137" t="s">
        <v>47</v>
      </c>
      <c r="B137" t="s">
        <v>141</v>
      </c>
      <c r="C137" t="s">
        <v>147</v>
      </c>
      <c r="D137">
        <v>70043</v>
      </c>
      <c r="E137">
        <v>4</v>
      </c>
    </row>
    <row r="138" spans="1:5" x14ac:dyDescent="0.25">
      <c r="A138" t="s">
        <v>30</v>
      </c>
      <c r="B138" t="s">
        <v>148</v>
      </c>
      <c r="C138" t="s">
        <v>147</v>
      </c>
      <c r="D138">
        <v>76470</v>
      </c>
      <c r="E138">
        <v>7</v>
      </c>
    </row>
    <row r="139" spans="1:5" x14ac:dyDescent="0.25">
      <c r="A139" t="s">
        <v>30</v>
      </c>
      <c r="B139" t="s">
        <v>136</v>
      </c>
      <c r="C139" t="s">
        <v>147</v>
      </c>
      <c r="D139">
        <v>52412</v>
      </c>
      <c r="E139">
        <v>8</v>
      </c>
    </row>
    <row r="140" spans="1:5" x14ac:dyDescent="0.25">
      <c r="A140" t="s">
        <v>47</v>
      </c>
      <c r="B140" t="s">
        <v>61</v>
      </c>
      <c r="C140" t="s">
        <v>147</v>
      </c>
      <c r="D140">
        <v>33287</v>
      </c>
      <c r="E140">
        <v>8</v>
      </c>
    </row>
    <row r="141" spans="1:5" x14ac:dyDescent="0.25">
      <c r="A141" t="s">
        <v>8</v>
      </c>
      <c r="B141" t="s">
        <v>149</v>
      </c>
      <c r="C141" t="s">
        <v>150</v>
      </c>
      <c r="D141">
        <v>43824</v>
      </c>
      <c r="E141">
        <v>9</v>
      </c>
    </row>
    <row r="142" spans="1:5" x14ac:dyDescent="0.25">
      <c r="A142" t="s">
        <v>47</v>
      </c>
      <c r="B142" t="s">
        <v>151</v>
      </c>
      <c r="C142" t="s">
        <v>150</v>
      </c>
      <c r="D142">
        <v>59277</v>
      </c>
      <c r="E142">
        <v>8</v>
      </c>
    </row>
    <row r="143" spans="1:5" x14ac:dyDescent="0.25">
      <c r="A143" t="s">
        <v>13</v>
      </c>
      <c r="B143" t="s">
        <v>152</v>
      </c>
      <c r="C143" t="s">
        <v>150</v>
      </c>
      <c r="D143">
        <v>28832</v>
      </c>
      <c r="E143">
        <v>9</v>
      </c>
    </row>
    <row r="144" spans="1:5" x14ac:dyDescent="0.25">
      <c r="A144" t="s">
        <v>18</v>
      </c>
      <c r="B144" t="s">
        <v>153</v>
      </c>
      <c r="C144" t="s">
        <v>150</v>
      </c>
      <c r="D144">
        <v>51355</v>
      </c>
      <c r="E144">
        <v>7</v>
      </c>
    </row>
    <row r="145" spans="1:5" x14ac:dyDescent="0.25">
      <c r="A145" t="s">
        <v>30</v>
      </c>
      <c r="B145" t="s">
        <v>77</v>
      </c>
      <c r="C145" t="s">
        <v>154</v>
      </c>
      <c r="D145">
        <v>90888</v>
      </c>
      <c r="E145">
        <v>4</v>
      </c>
    </row>
    <row r="146" spans="1:5" x14ac:dyDescent="0.25">
      <c r="A146" t="s">
        <v>8</v>
      </c>
      <c r="B146" t="s">
        <v>155</v>
      </c>
      <c r="C146" t="s">
        <v>154</v>
      </c>
      <c r="D146">
        <v>52369</v>
      </c>
      <c r="E146">
        <v>7</v>
      </c>
    </row>
    <row r="147" spans="1:5" x14ac:dyDescent="0.25">
      <c r="A147" t="s">
        <v>38</v>
      </c>
      <c r="B147" t="s">
        <v>35</v>
      </c>
      <c r="C147" t="s">
        <v>154</v>
      </c>
      <c r="D147">
        <v>30813</v>
      </c>
      <c r="E147">
        <v>4</v>
      </c>
    </row>
    <row r="148" spans="1:5" x14ac:dyDescent="0.25">
      <c r="A148" t="s">
        <v>13</v>
      </c>
      <c r="B148" t="s">
        <v>101</v>
      </c>
      <c r="C148" t="s">
        <v>154</v>
      </c>
      <c r="D148">
        <v>93610</v>
      </c>
      <c r="E148">
        <v>6</v>
      </c>
    </row>
    <row r="149" spans="1:5" x14ac:dyDescent="0.25">
      <c r="A149" t="s">
        <v>25</v>
      </c>
      <c r="B149" t="s">
        <v>141</v>
      </c>
      <c r="C149" t="s">
        <v>154</v>
      </c>
      <c r="D149">
        <v>72935</v>
      </c>
      <c r="E149">
        <v>10</v>
      </c>
    </row>
    <row r="150" spans="1:5" x14ac:dyDescent="0.25">
      <c r="A150" t="s">
        <v>30</v>
      </c>
      <c r="B150" t="s">
        <v>156</v>
      </c>
      <c r="C150" t="s">
        <v>154</v>
      </c>
      <c r="D150">
        <v>99505</v>
      </c>
      <c r="E150">
        <v>2</v>
      </c>
    </row>
    <row r="151" spans="1:5" x14ac:dyDescent="0.25">
      <c r="A151" t="s">
        <v>47</v>
      </c>
      <c r="B151" t="s">
        <v>90</v>
      </c>
      <c r="C151" t="s">
        <v>154</v>
      </c>
      <c r="D151">
        <v>22343</v>
      </c>
      <c r="E151">
        <v>7</v>
      </c>
    </row>
    <row r="152" spans="1:5" x14ac:dyDescent="0.25">
      <c r="A152" t="s">
        <v>47</v>
      </c>
      <c r="B152" t="s">
        <v>157</v>
      </c>
      <c r="C152" t="s">
        <v>154</v>
      </c>
      <c r="D152">
        <v>53176</v>
      </c>
      <c r="E152">
        <v>4</v>
      </c>
    </row>
    <row r="153" spans="1:5" x14ac:dyDescent="0.25">
      <c r="A153" t="s">
        <v>27</v>
      </c>
      <c r="B153" t="s">
        <v>158</v>
      </c>
      <c r="C153" t="s">
        <v>154</v>
      </c>
      <c r="D153">
        <v>84891</v>
      </c>
      <c r="E153">
        <v>5</v>
      </c>
    </row>
    <row r="154" spans="1:5" x14ac:dyDescent="0.25">
      <c r="A154" t="s">
        <v>8</v>
      </c>
      <c r="B154" t="s">
        <v>52</v>
      </c>
      <c r="C154" t="s">
        <v>159</v>
      </c>
      <c r="D154">
        <v>50779</v>
      </c>
      <c r="E154">
        <v>2</v>
      </c>
    </row>
    <row r="155" spans="1:5" x14ac:dyDescent="0.25">
      <c r="A155" t="s">
        <v>8</v>
      </c>
      <c r="B155" t="s">
        <v>101</v>
      </c>
      <c r="C155" t="s">
        <v>160</v>
      </c>
      <c r="D155">
        <v>92490</v>
      </c>
      <c r="E155">
        <v>7</v>
      </c>
    </row>
    <row r="156" spans="1:5" x14ac:dyDescent="0.25">
      <c r="A156" t="s">
        <v>16</v>
      </c>
      <c r="B156" t="s">
        <v>68</v>
      </c>
      <c r="C156" t="s">
        <v>160</v>
      </c>
      <c r="D156">
        <v>54355</v>
      </c>
      <c r="E156">
        <v>9</v>
      </c>
    </row>
    <row r="157" spans="1:5" x14ac:dyDescent="0.25">
      <c r="A157" t="s">
        <v>5</v>
      </c>
      <c r="B157" t="s">
        <v>161</v>
      </c>
      <c r="C157" t="s">
        <v>160</v>
      </c>
      <c r="D157">
        <v>50289</v>
      </c>
      <c r="E157">
        <v>2</v>
      </c>
    </row>
    <row r="158" spans="1:5" x14ac:dyDescent="0.25">
      <c r="A158" t="s">
        <v>10</v>
      </c>
      <c r="B158" t="s">
        <v>91</v>
      </c>
      <c r="C158" t="s">
        <v>160</v>
      </c>
      <c r="D158">
        <v>60062</v>
      </c>
      <c r="E158">
        <v>5</v>
      </c>
    </row>
    <row r="159" spans="1:5" x14ac:dyDescent="0.25">
      <c r="A159" t="s">
        <v>5</v>
      </c>
      <c r="B159" t="s">
        <v>162</v>
      </c>
      <c r="C159" t="s">
        <v>163</v>
      </c>
      <c r="D159">
        <v>34917</v>
      </c>
      <c r="E159">
        <v>8</v>
      </c>
    </row>
    <row r="160" spans="1:5" x14ac:dyDescent="0.25">
      <c r="A160" t="s">
        <v>45</v>
      </c>
      <c r="B160" t="s">
        <v>33</v>
      </c>
      <c r="C160" t="s">
        <v>164</v>
      </c>
      <c r="D160">
        <v>67985</v>
      </c>
      <c r="E160">
        <v>4</v>
      </c>
    </row>
    <row r="161" spans="1:5" x14ac:dyDescent="0.25">
      <c r="A161" t="s">
        <v>8</v>
      </c>
      <c r="B161" t="s">
        <v>85</v>
      </c>
      <c r="C161" t="s">
        <v>164</v>
      </c>
      <c r="D161">
        <v>38926</v>
      </c>
      <c r="E161">
        <v>3</v>
      </c>
    </row>
    <row r="162" spans="1:5" x14ac:dyDescent="0.25">
      <c r="A162" t="s">
        <v>16</v>
      </c>
      <c r="B162" t="s">
        <v>165</v>
      </c>
      <c r="C162" t="s">
        <v>164</v>
      </c>
      <c r="D162">
        <v>65958</v>
      </c>
      <c r="E162">
        <v>3</v>
      </c>
    </row>
    <row r="163" spans="1:5" x14ac:dyDescent="0.25">
      <c r="A163" t="s">
        <v>10</v>
      </c>
      <c r="B163" t="s">
        <v>146</v>
      </c>
      <c r="C163" t="s">
        <v>164</v>
      </c>
      <c r="D163">
        <v>80304</v>
      </c>
      <c r="E163">
        <v>5</v>
      </c>
    </row>
    <row r="164" spans="1:5" x14ac:dyDescent="0.25">
      <c r="A164" t="s">
        <v>18</v>
      </c>
      <c r="B164" t="s">
        <v>166</v>
      </c>
      <c r="C164" t="s">
        <v>164</v>
      </c>
      <c r="D164">
        <v>18426</v>
      </c>
      <c r="E164">
        <v>10</v>
      </c>
    </row>
    <row r="165" spans="1:5" x14ac:dyDescent="0.25">
      <c r="A165" t="s">
        <v>13</v>
      </c>
      <c r="B165" t="s">
        <v>167</v>
      </c>
      <c r="C165" t="s">
        <v>168</v>
      </c>
      <c r="D165">
        <v>34690</v>
      </c>
      <c r="E165">
        <v>9</v>
      </c>
    </row>
    <row r="166" spans="1:5" x14ac:dyDescent="0.25">
      <c r="A166" t="s">
        <v>13</v>
      </c>
      <c r="B166" t="s">
        <v>106</v>
      </c>
      <c r="C166" t="s">
        <v>168</v>
      </c>
      <c r="D166">
        <v>63212</v>
      </c>
      <c r="E166">
        <v>0</v>
      </c>
    </row>
    <row r="167" spans="1:5" x14ac:dyDescent="0.25">
      <c r="A167" t="s">
        <v>45</v>
      </c>
      <c r="B167" t="s">
        <v>169</v>
      </c>
      <c r="C167" t="s">
        <v>168</v>
      </c>
      <c r="D167">
        <v>39689</v>
      </c>
      <c r="E167">
        <v>1</v>
      </c>
    </row>
    <row r="168" spans="1:5" x14ac:dyDescent="0.25">
      <c r="A168" t="s">
        <v>30</v>
      </c>
      <c r="B168" t="s">
        <v>52</v>
      </c>
      <c r="C168" t="s">
        <v>168</v>
      </c>
      <c r="D168">
        <v>70276</v>
      </c>
      <c r="E168">
        <v>8</v>
      </c>
    </row>
    <row r="169" spans="1:5" x14ac:dyDescent="0.25">
      <c r="A169" t="s">
        <v>8</v>
      </c>
      <c r="B169" t="s">
        <v>141</v>
      </c>
      <c r="C169" t="s">
        <v>168</v>
      </c>
      <c r="D169">
        <v>98011</v>
      </c>
      <c r="E169">
        <v>8</v>
      </c>
    </row>
    <row r="170" spans="1:5" x14ac:dyDescent="0.25">
      <c r="A170" t="s">
        <v>47</v>
      </c>
      <c r="B170" t="s">
        <v>124</v>
      </c>
      <c r="C170" t="s">
        <v>168</v>
      </c>
      <c r="D170">
        <v>34428</v>
      </c>
      <c r="E170">
        <v>9</v>
      </c>
    </row>
    <row r="171" spans="1:5" x14ac:dyDescent="0.25">
      <c r="A171" t="s">
        <v>45</v>
      </c>
      <c r="B171" t="s">
        <v>170</v>
      </c>
      <c r="C171" t="s">
        <v>171</v>
      </c>
      <c r="D171">
        <v>15354</v>
      </c>
      <c r="E171">
        <v>6</v>
      </c>
    </row>
    <row r="172" spans="1:5" x14ac:dyDescent="0.25">
      <c r="A172" t="s">
        <v>25</v>
      </c>
      <c r="B172" t="s">
        <v>50</v>
      </c>
      <c r="C172" t="s">
        <v>171</v>
      </c>
      <c r="D172">
        <v>71716</v>
      </c>
      <c r="E172">
        <v>7</v>
      </c>
    </row>
    <row r="173" spans="1:5" x14ac:dyDescent="0.25">
      <c r="A173" t="s">
        <v>13</v>
      </c>
      <c r="B173" t="s">
        <v>144</v>
      </c>
      <c r="C173" t="s">
        <v>172</v>
      </c>
      <c r="D173">
        <v>96587</v>
      </c>
      <c r="E173">
        <v>5</v>
      </c>
    </row>
    <row r="174" spans="1:5" x14ac:dyDescent="0.25">
      <c r="A174" t="s">
        <v>10</v>
      </c>
      <c r="B174" t="s">
        <v>96</v>
      </c>
      <c r="C174" t="s">
        <v>172</v>
      </c>
      <c r="D174">
        <v>18712</v>
      </c>
      <c r="E174">
        <v>8</v>
      </c>
    </row>
    <row r="175" spans="1:5" x14ac:dyDescent="0.25">
      <c r="A175" t="s">
        <v>25</v>
      </c>
      <c r="B175" t="s">
        <v>46</v>
      </c>
      <c r="C175" t="s">
        <v>172</v>
      </c>
      <c r="D175">
        <v>60383</v>
      </c>
      <c r="E175">
        <v>5</v>
      </c>
    </row>
    <row r="176" spans="1:5" x14ac:dyDescent="0.25">
      <c r="A176" t="s">
        <v>45</v>
      </c>
      <c r="B176" t="s">
        <v>57</v>
      </c>
      <c r="C176" t="s">
        <v>172</v>
      </c>
      <c r="D176">
        <v>71495</v>
      </c>
      <c r="E176">
        <v>4</v>
      </c>
    </row>
    <row r="177" spans="1:5" x14ac:dyDescent="0.25">
      <c r="A177" t="s">
        <v>38</v>
      </c>
      <c r="B177" t="s">
        <v>170</v>
      </c>
      <c r="C177" t="s">
        <v>172</v>
      </c>
      <c r="D177">
        <v>78814</v>
      </c>
      <c r="E177">
        <v>1</v>
      </c>
    </row>
    <row r="178" spans="1:5" x14ac:dyDescent="0.25">
      <c r="A178" t="s">
        <v>13</v>
      </c>
      <c r="B178" t="s">
        <v>173</v>
      </c>
      <c r="C178" t="s">
        <v>174</v>
      </c>
      <c r="D178">
        <v>32327</v>
      </c>
      <c r="E178">
        <v>9</v>
      </c>
    </row>
    <row r="179" spans="1:5" x14ac:dyDescent="0.25">
      <c r="A179" t="s">
        <v>5</v>
      </c>
      <c r="B179" t="s">
        <v>101</v>
      </c>
      <c r="C179" t="s">
        <v>174</v>
      </c>
      <c r="D179">
        <v>90834</v>
      </c>
      <c r="E179">
        <v>5</v>
      </c>
    </row>
    <row r="180" spans="1:5" x14ac:dyDescent="0.25">
      <c r="A180" t="s">
        <v>8</v>
      </c>
      <c r="B180" t="s">
        <v>170</v>
      </c>
      <c r="C180" t="s">
        <v>175</v>
      </c>
      <c r="D180">
        <v>25079</v>
      </c>
      <c r="E180">
        <v>3</v>
      </c>
    </row>
    <row r="181" spans="1:5" x14ac:dyDescent="0.25">
      <c r="A181" t="s">
        <v>47</v>
      </c>
      <c r="B181" t="s">
        <v>176</v>
      </c>
      <c r="C181" t="s">
        <v>175</v>
      </c>
      <c r="D181">
        <v>79297</v>
      </c>
      <c r="E181">
        <v>8</v>
      </c>
    </row>
    <row r="182" spans="1:5" x14ac:dyDescent="0.25">
      <c r="A182" t="s">
        <v>30</v>
      </c>
      <c r="B182" t="s">
        <v>155</v>
      </c>
      <c r="C182" t="s">
        <v>175</v>
      </c>
      <c r="D182">
        <v>88112</v>
      </c>
      <c r="E182">
        <v>7</v>
      </c>
    </row>
    <row r="183" spans="1:5" x14ac:dyDescent="0.25">
      <c r="A183" t="s">
        <v>10</v>
      </c>
      <c r="B183" t="s">
        <v>177</v>
      </c>
      <c r="C183" t="s">
        <v>175</v>
      </c>
      <c r="D183">
        <v>52488</v>
      </c>
      <c r="E183">
        <v>2</v>
      </c>
    </row>
    <row r="184" spans="1:5" x14ac:dyDescent="0.25">
      <c r="A184" t="s">
        <v>27</v>
      </c>
      <c r="B184" t="s">
        <v>178</v>
      </c>
      <c r="C184" t="s">
        <v>179</v>
      </c>
      <c r="D184">
        <v>90276</v>
      </c>
      <c r="E184">
        <v>2</v>
      </c>
    </row>
    <row r="185" spans="1:5" x14ac:dyDescent="0.25">
      <c r="A185" t="s">
        <v>47</v>
      </c>
      <c r="B185" t="s">
        <v>180</v>
      </c>
      <c r="C185" t="s">
        <v>179</v>
      </c>
      <c r="D185">
        <v>35741</v>
      </c>
      <c r="E185">
        <v>6</v>
      </c>
    </row>
    <row r="186" spans="1:5" x14ac:dyDescent="0.25">
      <c r="A186" t="s">
        <v>8</v>
      </c>
      <c r="B186" t="s">
        <v>181</v>
      </c>
      <c r="C186" t="s">
        <v>179</v>
      </c>
      <c r="D186">
        <v>13188</v>
      </c>
      <c r="E186">
        <v>6</v>
      </c>
    </row>
    <row r="187" spans="1:5" x14ac:dyDescent="0.25">
      <c r="A187" t="s">
        <v>38</v>
      </c>
      <c r="B187" t="s">
        <v>182</v>
      </c>
      <c r="C187" t="s">
        <v>179</v>
      </c>
      <c r="D187">
        <v>37209</v>
      </c>
      <c r="E187">
        <v>8</v>
      </c>
    </row>
    <row r="188" spans="1:5" x14ac:dyDescent="0.25">
      <c r="A188" t="s">
        <v>45</v>
      </c>
      <c r="B188" t="s">
        <v>108</v>
      </c>
      <c r="C188" t="s">
        <v>179</v>
      </c>
      <c r="D188">
        <v>58805</v>
      </c>
      <c r="E188">
        <v>7</v>
      </c>
    </row>
    <row r="189" spans="1:5" x14ac:dyDescent="0.25">
      <c r="A189" t="s">
        <v>10</v>
      </c>
      <c r="B189" t="s">
        <v>119</v>
      </c>
      <c r="C189" t="s">
        <v>183</v>
      </c>
      <c r="D189">
        <v>70113</v>
      </c>
      <c r="E189">
        <v>8</v>
      </c>
    </row>
    <row r="190" spans="1:5" x14ac:dyDescent="0.25">
      <c r="A190" t="s">
        <v>30</v>
      </c>
      <c r="B190" t="s">
        <v>68</v>
      </c>
      <c r="C190" t="s">
        <v>183</v>
      </c>
      <c r="D190">
        <v>68300</v>
      </c>
      <c r="E190">
        <v>7</v>
      </c>
    </row>
    <row r="191" spans="1:5" x14ac:dyDescent="0.25">
      <c r="A191" t="s">
        <v>16</v>
      </c>
      <c r="B191" t="s">
        <v>68</v>
      </c>
      <c r="C191" t="s">
        <v>183</v>
      </c>
      <c r="D191">
        <v>44354</v>
      </c>
      <c r="E191">
        <v>9</v>
      </c>
    </row>
    <row r="192" spans="1:5" x14ac:dyDescent="0.25">
      <c r="A192" t="s">
        <v>30</v>
      </c>
      <c r="B192" t="s">
        <v>184</v>
      </c>
      <c r="C192" t="s">
        <v>185</v>
      </c>
      <c r="D192">
        <v>27219</v>
      </c>
      <c r="E192">
        <v>7</v>
      </c>
    </row>
    <row r="193" spans="1:5" x14ac:dyDescent="0.25">
      <c r="A193" t="s">
        <v>16</v>
      </c>
      <c r="B193" t="s">
        <v>75</v>
      </c>
      <c r="C193" t="s">
        <v>185</v>
      </c>
      <c r="D193">
        <v>24852</v>
      </c>
      <c r="E193">
        <v>2</v>
      </c>
    </row>
    <row r="194" spans="1:5" x14ac:dyDescent="0.25">
      <c r="A194" t="s">
        <v>10</v>
      </c>
      <c r="B194" t="s">
        <v>186</v>
      </c>
      <c r="C194" t="s">
        <v>185</v>
      </c>
      <c r="D194">
        <v>60472</v>
      </c>
      <c r="E194">
        <v>5</v>
      </c>
    </row>
    <row r="195" spans="1:5" x14ac:dyDescent="0.25">
      <c r="A195" t="s">
        <v>45</v>
      </c>
      <c r="B195" t="s">
        <v>187</v>
      </c>
      <c r="C195" t="s">
        <v>185</v>
      </c>
      <c r="D195">
        <v>39575</v>
      </c>
      <c r="E195">
        <v>7</v>
      </c>
    </row>
    <row r="196" spans="1:5" x14ac:dyDescent="0.25">
      <c r="A196" t="s">
        <v>45</v>
      </c>
      <c r="B196" t="s">
        <v>188</v>
      </c>
      <c r="C196" t="s">
        <v>189</v>
      </c>
      <c r="D196">
        <v>29570</v>
      </c>
      <c r="E196">
        <v>7</v>
      </c>
    </row>
    <row r="197" spans="1:5" x14ac:dyDescent="0.25">
      <c r="A197" t="s">
        <v>10</v>
      </c>
      <c r="B197" t="s">
        <v>116</v>
      </c>
      <c r="C197" t="s">
        <v>189</v>
      </c>
      <c r="D197">
        <v>63399</v>
      </c>
      <c r="E197">
        <v>7</v>
      </c>
    </row>
    <row r="198" spans="1:5" x14ac:dyDescent="0.25">
      <c r="A198" t="s">
        <v>30</v>
      </c>
      <c r="B198" t="s">
        <v>94</v>
      </c>
      <c r="C198" t="s">
        <v>189</v>
      </c>
      <c r="D198">
        <v>17188</v>
      </c>
      <c r="E198">
        <v>4</v>
      </c>
    </row>
    <row r="199" spans="1:5" x14ac:dyDescent="0.25">
      <c r="A199" t="s">
        <v>45</v>
      </c>
      <c r="B199" t="s">
        <v>43</v>
      </c>
      <c r="C199" t="s">
        <v>189</v>
      </c>
      <c r="D199">
        <v>89878</v>
      </c>
      <c r="E199">
        <v>4</v>
      </c>
    </row>
    <row r="200" spans="1:5" x14ac:dyDescent="0.25">
      <c r="A200" t="s">
        <v>13</v>
      </c>
      <c r="B200" t="s">
        <v>6</v>
      </c>
      <c r="C200" t="s">
        <v>189</v>
      </c>
      <c r="D200">
        <v>50829</v>
      </c>
      <c r="E200">
        <v>5</v>
      </c>
    </row>
    <row r="201" spans="1:5" x14ac:dyDescent="0.25">
      <c r="A201" t="s">
        <v>16</v>
      </c>
      <c r="B201" t="s">
        <v>72</v>
      </c>
      <c r="C201" t="s">
        <v>189</v>
      </c>
      <c r="D201">
        <v>35346</v>
      </c>
      <c r="E201">
        <v>8</v>
      </c>
    </row>
    <row r="202" spans="1:5" x14ac:dyDescent="0.25">
      <c r="A202" t="s">
        <v>30</v>
      </c>
      <c r="B202" t="s">
        <v>105</v>
      </c>
      <c r="C202" t="s">
        <v>189</v>
      </c>
      <c r="D202">
        <v>92124</v>
      </c>
      <c r="E202">
        <v>7</v>
      </c>
    </row>
    <row r="203" spans="1:5" x14ac:dyDescent="0.25">
      <c r="A203" t="s">
        <v>27</v>
      </c>
      <c r="B203" t="s">
        <v>64</v>
      </c>
      <c r="C203" t="s">
        <v>189</v>
      </c>
      <c r="D203">
        <v>45549</v>
      </c>
      <c r="E203">
        <v>10</v>
      </c>
    </row>
    <row r="204" spans="1:5" x14ac:dyDescent="0.25">
      <c r="A204" t="s">
        <v>5</v>
      </c>
      <c r="B204" t="s">
        <v>190</v>
      </c>
      <c r="C204" t="s">
        <v>189</v>
      </c>
      <c r="D204">
        <v>30967</v>
      </c>
      <c r="E204">
        <v>8</v>
      </c>
    </row>
    <row r="205" spans="1:5" x14ac:dyDescent="0.25">
      <c r="A205" t="s">
        <v>27</v>
      </c>
      <c r="B205" t="s">
        <v>49</v>
      </c>
      <c r="C205" t="s">
        <v>189</v>
      </c>
      <c r="D205">
        <v>82432</v>
      </c>
      <c r="E205">
        <v>5</v>
      </c>
    </row>
    <row r="206" spans="1:5" x14ac:dyDescent="0.25">
      <c r="A206" t="s">
        <v>30</v>
      </c>
      <c r="B206" t="s">
        <v>96</v>
      </c>
      <c r="C206" t="s">
        <v>189</v>
      </c>
      <c r="D206">
        <v>12352</v>
      </c>
      <c r="E206">
        <v>7</v>
      </c>
    </row>
    <row r="207" spans="1:5" x14ac:dyDescent="0.25">
      <c r="A207" t="s">
        <v>25</v>
      </c>
      <c r="B207" t="s">
        <v>128</v>
      </c>
      <c r="C207" t="s">
        <v>191</v>
      </c>
      <c r="D207">
        <v>78781</v>
      </c>
      <c r="E207">
        <v>5</v>
      </c>
    </row>
    <row r="208" spans="1:5" x14ac:dyDescent="0.25">
      <c r="A208" t="s">
        <v>5</v>
      </c>
      <c r="B208" t="s">
        <v>93</v>
      </c>
      <c r="C208" t="s">
        <v>191</v>
      </c>
      <c r="D208">
        <v>63400</v>
      </c>
      <c r="E208">
        <v>1</v>
      </c>
    </row>
    <row r="209" spans="1:5" x14ac:dyDescent="0.25">
      <c r="A209" t="s">
        <v>8</v>
      </c>
      <c r="B209" t="s">
        <v>123</v>
      </c>
      <c r="C209" t="s">
        <v>192</v>
      </c>
      <c r="D209">
        <v>23673</v>
      </c>
      <c r="E209">
        <v>5</v>
      </c>
    </row>
    <row r="210" spans="1:5" x14ac:dyDescent="0.25">
      <c r="A210" t="s">
        <v>16</v>
      </c>
      <c r="B210" t="s">
        <v>17</v>
      </c>
      <c r="C210" t="s">
        <v>192</v>
      </c>
      <c r="D210">
        <v>46519</v>
      </c>
      <c r="E210">
        <v>0</v>
      </c>
    </row>
    <row r="211" spans="1:5" x14ac:dyDescent="0.25">
      <c r="A211" t="s">
        <v>13</v>
      </c>
      <c r="B211" t="s">
        <v>39</v>
      </c>
      <c r="C211" t="s">
        <v>193</v>
      </c>
      <c r="D211">
        <v>59560</v>
      </c>
      <c r="E211">
        <v>7</v>
      </c>
    </row>
    <row r="212" spans="1:5" x14ac:dyDescent="0.25">
      <c r="A212" t="s">
        <v>5</v>
      </c>
      <c r="B212" t="s">
        <v>194</v>
      </c>
      <c r="C212" t="s">
        <v>193</v>
      </c>
      <c r="D212">
        <v>34120</v>
      </c>
      <c r="E212">
        <v>7</v>
      </c>
    </row>
    <row r="213" spans="1:5" x14ac:dyDescent="0.25">
      <c r="A213" t="s">
        <v>45</v>
      </c>
      <c r="B213" t="s">
        <v>195</v>
      </c>
      <c r="C213" t="s">
        <v>193</v>
      </c>
      <c r="D213">
        <v>67299</v>
      </c>
      <c r="E213">
        <v>7</v>
      </c>
    </row>
    <row r="214" spans="1:5" x14ac:dyDescent="0.25">
      <c r="A214" t="s">
        <v>5</v>
      </c>
      <c r="B214" t="s">
        <v>196</v>
      </c>
      <c r="C214" t="s">
        <v>197</v>
      </c>
      <c r="D214">
        <v>32589</v>
      </c>
      <c r="E214">
        <v>6</v>
      </c>
    </row>
    <row r="215" spans="1:5" x14ac:dyDescent="0.25">
      <c r="A215" t="s">
        <v>16</v>
      </c>
      <c r="B215" t="s">
        <v>124</v>
      </c>
      <c r="C215" t="s">
        <v>197</v>
      </c>
      <c r="D215">
        <v>50780</v>
      </c>
      <c r="E215">
        <v>2</v>
      </c>
    </row>
    <row r="216" spans="1:5" x14ac:dyDescent="0.25">
      <c r="A216" t="s">
        <v>25</v>
      </c>
      <c r="B216" t="s">
        <v>90</v>
      </c>
      <c r="C216" t="s">
        <v>197</v>
      </c>
      <c r="D216">
        <v>46426</v>
      </c>
      <c r="E216">
        <v>8</v>
      </c>
    </row>
    <row r="217" spans="1:5" x14ac:dyDescent="0.25">
      <c r="A217" t="s">
        <v>13</v>
      </c>
      <c r="B217" t="s">
        <v>198</v>
      </c>
      <c r="C217" t="s">
        <v>199</v>
      </c>
      <c r="D217">
        <v>39448</v>
      </c>
      <c r="E217">
        <v>7</v>
      </c>
    </row>
    <row r="218" spans="1:5" x14ac:dyDescent="0.25">
      <c r="A218" t="s">
        <v>5</v>
      </c>
      <c r="B218" t="s">
        <v>200</v>
      </c>
      <c r="C218" t="s">
        <v>199</v>
      </c>
      <c r="D218">
        <v>93791</v>
      </c>
      <c r="E218">
        <v>4</v>
      </c>
    </row>
    <row r="219" spans="1:5" x14ac:dyDescent="0.25">
      <c r="A219" t="s">
        <v>5</v>
      </c>
      <c r="B219" t="s">
        <v>201</v>
      </c>
      <c r="C219" t="s">
        <v>199</v>
      </c>
      <c r="D219">
        <v>15164</v>
      </c>
      <c r="E219">
        <v>7</v>
      </c>
    </row>
    <row r="220" spans="1:5" x14ac:dyDescent="0.25">
      <c r="A220" t="s">
        <v>38</v>
      </c>
      <c r="B220" t="s">
        <v>128</v>
      </c>
      <c r="C220" t="s">
        <v>199</v>
      </c>
      <c r="D220">
        <v>84651</v>
      </c>
      <c r="E220">
        <v>3</v>
      </c>
    </row>
    <row r="221" spans="1:5" x14ac:dyDescent="0.25">
      <c r="A221" t="s">
        <v>18</v>
      </c>
      <c r="B221" t="s">
        <v>130</v>
      </c>
      <c r="C221" t="s">
        <v>199</v>
      </c>
      <c r="D221">
        <v>76729</v>
      </c>
      <c r="E221">
        <v>7</v>
      </c>
    </row>
    <row r="222" spans="1:5" x14ac:dyDescent="0.25">
      <c r="A222" t="s">
        <v>45</v>
      </c>
      <c r="B222" t="s">
        <v>202</v>
      </c>
      <c r="C222" t="s">
        <v>199</v>
      </c>
      <c r="D222">
        <v>47274</v>
      </c>
      <c r="E222">
        <v>1</v>
      </c>
    </row>
    <row r="223" spans="1:5" x14ac:dyDescent="0.25">
      <c r="A223" t="s">
        <v>38</v>
      </c>
      <c r="B223" t="s">
        <v>14</v>
      </c>
      <c r="C223" t="s">
        <v>199</v>
      </c>
      <c r="D223">
        <v>66606</v>
      </c>
      <c r="E223">
        <v>7</v>
      </c>
    </row>
    <row r="224" spans="1:5" x14ac:dyDescent="0.25">
      <c r="A224" t="s">
        <v>47</v>
      </c>
      <c r="B224" t="s">
        <v>67</v>
      </c>
      <c r="C224" t="s">
        <v>199</v>
      </c>
      <c r="D224">
        <v>87171</v>
      </c>
      <c r="E224">
        <v>3</v>
      </c>
    </row>
    <row r="225" spans="1:5" x14ac:dyDescent="0.25">
      <c r="A225" t="s">
        <v>18</v>
      </c>
      <c r="B225" t="s">
        <v>103</v>
      </c>
      <c r="C225" t="s">
        <v>203</v>
      </c>
      <c r="D225">
        <v>33857</v>
      </c>
      <c r="E225">
        <v>1</v>
      </c>
    </row>
    <row r="226" spans="1:5" x14ac:dyDescent="0.25">
      <c r="A226" t="s">
        <v>25</v>
      </c>
      <c r="B226" t="s">
        <v>65</v>
      </c>
      <c r="C226" t="s">
        <v>203</v>
      </c>
      <c r="D226">
        <v>82836</v>
      </c>
      <c r="E226">
        <v>8</v>
      </c>
    </row>
    <row r="227" spans="1:5" x14ac:dyDescent="0.25">
      <c r="A227" t="s">
        <v>27</v>
      </c>
      <c r="B227" t="s">
        <v>33</v>
      </c>
      <c r="C227" t="s">
        <v>203</v>
      </c>
      <c r="D227">
        <v>38423</v>
      </c>
      <c r="E227">
        <v>6</v>
      </c>
    </row>
    <row r="228" spans="1:5" x14ac:dyDescent="0.25">
      <c r="A228" t="s">
        <v>25</v>
      </c>
      <c r="B228" t="s">
        <v>66</v>
      </c>
      <c r="C228" t="s">
        <v>203</v>
      </c>
      <c r="D228">
        <v>38711</v>
      </c>
      <c r="E228">
        <v>7</v>
      </c>
    </row>
    <row r="229" spans="1:5" x14ac:dyDescent="0.25">
      <c r="A229" t="s">
        <v>5</v>
      </c>
      <c r="B229" t="s">
        <v>141</v>
      </c>
      <c r="C229" t="s">
        <v>204</v>
      </c>
      <c r="D229">
        <v>79661</v>
      </c>
      <c r="E229">
        <v>7</v>
      </c>
    </row>
    <row r="230" spans="1:5" x14ac:dyDescent="0.25">
      <c r="A230" t="s">
        <v>27</v>
      </c>
      <c r="B230" t="s">
        <v>205</v>
      </c>
      <c r="C230" t="s">
        <v>204</v>
      </c>
      <c r="D230">
        <v>31304</v>
      </c>
      <c r="E230">
        <v>4</v>
      </c>
    </row>
    <row r="231" spans="1:5" x14ac:dyDescent="0.25">
      <c r="A231" t="s">
        <v>25</v>
      </c>
      <c r="B231" t="s">
        <v>206</v>
      </c>
      <c r="C231" t="s">
        <v>204</v>
      </c>
      <c r="D231">
        <v>41213</v>
      </c>
      <c r="E231">
        <v>4</v>
      </c>
    </row>
    <row r="232" spans="1:5" x14ac:dyDescent="0.25">
      <c r="A232" t="s">
        <v>8</v>
      </c>
      <c r="B232" t="s">
        <v>122</v>
      </c>
      <c r="C232" t="s">
        <v>204</v>
      </c>
      <c r="D232">
        <v>53543</v>
      </c>
      <c r="E232">
        <v>3</v>
      </c>
    </row>
    <row r="233" spans="1:5" x14ac:dyDescent="0.25">
      <c r="A233" t="s">
        <v>27</v>
      </c>
      <c r="B233" t="s">
        <v>28</v>
      </c>
      <c r="C233" t="s">
        <v>207</v>
      </c>
      <c r="D233">
        <v>43479</v>
      </c>
      <c r="E233">
        <v>9</v>
      </c>
    </row>
    <row r="234" spans="1:5" x14ac:dyDescent="0.25">
      <c r="A234" t="s">
        <v>38</v>
      </c>
      <c r="B234" t="s">
        <v>110</v>
      </c>
      <c r="C234" t="s">
        <v>207</v>
      </c>
      <c r="D234">
        <v>27815</v>
      </c>
      <c r="E234">
        <v>4</v>
      </c>
    </row>
    <row r="235" spans="1:5" x14ac:dyDescent="0.25">
      <c r="A235" t="s">
        <v>8</v>
      </c>
      <c r="B235" t="s">
        <v>35</v>
      </c>
      <c r="C235" t="s">
        <v>207</v>
      </c>
      <c r="D235">
        <v>18655</v>
      </c>
      <c r="E235">
        <v>5</v>
      </c>
    </row>
    <row r="236" spans="1:5" x14ac:dyDescent="0.25">
      <c r="A236" t="s">
        <v>47</v>
      </c>
      <c r="B236" t="s">
        <v>124</v>
      </c>
      <c r="C236" t="s">
        <v>208</v>
      </c>
      <c r="D236">
        <v>58212</v>
      </c>
      <c r="E236">
        <v>7</v>
      </c>
    </row>
    <row r="237" spans="1:5" x14ac:dyDescent="0.25">
      <c r="A237" t="s">
        <v>8</v>
      </c>
      <c r="B237" t="s">
        <v>209</v>
      </c>
      <c r="C237" t="s">
        <v>208</v>
      </c>
      <c r="D237">
        <v>32980</v>
      </c>
      <c r="E237">
        <v>8</v>
      </c>
    </row>
    <row r="238" spans="1:5" x14ac:dyDescent="0.25">
      <c r="A238" t="s">
        <v>45</v>
      </c>
      <c r="B238" t="s">
        <v>107</v>
      </c>
      <c r="C238" t="s">
        <v>210</v>
      </c>
      <c r="D238">
        <v>76344</v>
      </c>
      <c r="E238">
        <v>2</v>
      </c>
    </row>
    <row r="239" spans="1:5" x14ac:dyDescent="0.25">
      <c r="A239" t="s">
        <v>25</v>
      </c>
      <c r="B239" t="s">
        <v>182</v>
      </c>
      <c r="C239" t="s">
        <v>210</v>
      </c>
      <c r="D239">
        <v>17775</v>
      </c>
      <c r="E239">
        <v>7</v>
      </c>
    </row>
    <row r="240" spans="1:5" x14ac:dyDescent="0.25">
      <c r="A240" t="s">
        <v>16</v>
      </c>
      <c r="B240" t="s">
        <v>211</v>
      </c>
      <c r="C240" t="s">
        <v>210</v>
      </c>
      <c r="D240">
        <v>25041</v>
      </c>
      <c r="E240">
        <v>7</v>
      </c>
    </row>
    <row r="241" spans="1:5" x14ac:dyDescent="0.25">
      <c r="A241" t="s">
        <v>27</v>
      </c>
      <c r="B241" t="s">
        <v>43</v>
      </c>
      <c r="C241" t="s">
        <v>210</v>
      </c>
      <c r="D241">
        <v>79954</v>
      </c>
      <c r="E241">
        <v>3</v>
      </c>
    </row>
    <row r="242" spans="1:5" x14ac:dyDescent="0.25">
      <c r="A242" t="s">
        <v>25</v>
      </c>
      <c r="B242" t="s">
        <v>82</v>
      </c>
      <c r="C242" t="s">
        <v>210</v>
      </c>
      <c r="D242">
        <v>53102</v>
      </c>
      <c r="E242">
        <v>8</v>
      </c>
    </row>
    <row r="243" spans="1:5" x14ac:dyDescent="0.25">
      <c r="A243" t="s">
        <v>25</v>
      </c>
      <c r="B243" t="s">
        <v>105</v>
      </c>
      <c r="C243" t="s">
        <v>210</v>
      </c>
      <c r="D243">
        <v>89020</v>
      </c>
      <c r="E243">
        <v>10</v>
      </c>
    </row>
    <row r="244" spans="1:5" x14ac:dyDescent="0.25">
      <c r="A244" t="s">
        <v>16</v>
      </c>
      <c r="B244" t="s">
        <v>212</v>
      </c>
      <c r="C244" t="s">
        <v>210</v>
      </c>
      <c r="D244">
        <v>85290</v>
      </c>
      <c r="E244">
        <v>9</v>
      </c>
    </row>
    <row r="245" spans="1:5" x14ac:dyDescent="0.25">
      <c r="A245" t="s">
        <v>25</v>
      </c>
      <c r="B245" t="s">
        <v>55</v>
      </c>
      <c r="C245" t="s">
        <v>210</v>
      </c>
      <c r="D245">
        <v>44757</v>
      </c>
      <c r="E245">
        <v>0</v>
      </c>
    </row>
    <row r="246" spans="1:5" x14ac:dyDescent="0.25">
      <c r="A246" t="s">
        <v>10</v>
      </c>
      <c r="B246" t="s">
        <v>35</v>
      </c>
      <c r="C246" t="s">
        <v>210</v>
      </c>
      <c r="D246">
        <v>96835</v>
      </c>
      <c r="E246">
        <v>6</v>
      </c>
    </row>
    <row r="247" spans="1:5" x14ac:dyDescent="0.25">
      <c r="A247" t="s">
        <v>8</v>
      </c>
      <c r="B247" t="s">
        <v>17</v>
      </c>
      <c r="C247" t="s">
        <v>213</v>
      </c>
      <c r="D247">
        <v>97747</v>
      </c>
      <c r="E247">
        <v>7</v>
      </c>
    </row>
    <row r="248" spans="1:5" x14ac:dyDescent="0.25">
      <c r="A248" t="s">
        <v>30</v>
      </c>
      <c r="B248" t="s">
        <v>214</v>
      </c>
      <c r="C248" t="s">
        <v>213</v>
      </c>
      <c r="D248">
        <v>14266</v>
      </c>
      <c r="E248">
        <v>5</v>
      </c>
    </row>
    <row r="249" spans="1:5" x14ac:dyDescent="0.25">
      <c r="A249" t="s">
        <v>38</v>
      </c>
      <c r="B249" t="s">
        <v>215</v>
      </c>
      <c r="C249" t="s">
        <v>213</v>
      </c>
      <c r="D249">
        <v>30811</v>
      </c>
      <c r="E249">
        <v>7</v>
      </c>
    </row>
    <row r="250" spans="1:5" x14ac:dyDescent="0.25">
      <c r="A250" t="s">
        <v>27</v>
      </c>
      <c r="B250" t="s">
        <v>129</v>
      </c>
      <c r="C250" t="s">
        <v>216</v>
      </c>
      <c r="D250">
        <v>80839</v>
      </c>
      <c r="E250">
        <v>5</v>
      </c>
    </row>
    <row r="251" spans="1:5" x14ac:dyDescent="0.25">
      <c r="A251" t="s">
        <v>38</v>
      </c>
      <c r="B251" t="s">
        <v>217</v>
      </c>
      <c r="C251" t="s">
        <v>218</v>
      </c>
      <c r="D251">
        <v>14275</v>
      </c>
      <c r="E251">
        <v>6</v>
      </c>
    </row>
    <row r="252" spans="1:5" x14ac:dyDescent="0.25">
      <c r="A252" t="s">
        <v>8</v>
      </c>
      <c r="B252" t="s">
        <v>200</v>
      </c>
      <c r="C252" t="s">
        <v>218</v>
      </c>
      <c r="D252">
        <v>97245</v>
      </c>
      <c r="E252">
        <v>6</v>
      </c>
    </row>
    <row r="253" spans="1:5" x14ac:dyDescent="0.25">
      <c r="A253" t="s">
        <v>16</v>
      </c>
      <c r="B253" t="s">
        <v>136</v>
      </c>
      <c r="C253" t="s">
        <v>218</v>
      </c>
      <c r="D253">
        <v>89825</v>
      </c>
      <c r="E253">
        <v>5</v>
      </c>
    </row>
    <row r="254" spans="1:5" x14ac:dyDescent="0.25">
      <c r="A254" t="s">
        <v>18</v>
      </c>
      <c r="B254" t="s">
        <v>75</v>
      </c>
      <c r="C254" t="s">
        <v>218</v>
      </c>
      <c r="D254">
        <v>50851</v>
      </c>
      <c r="E254">
        <v>9</v>
      </c>
    </row>
    <row r="255" spans="1:5" x14ac:dyDescent="0.25">
      <c r="A255" t="s">
        <v>25</v>
      </c>
      <c r="B255" t="s">
        <v>149</v>
      </c>
      <c r="C255" t="s">
        <v>218</v>
      </c>
      <c r="D255">
        <v>27704</v>
      </c>
      <c r="E255">
        <v>6</v>
      </c>
    </row>
    <row r="256" spans="1:5" x14ac:dyDescent="0.25">
      <c r="A256" t="s">
        <v>8</v>
      </c>
      <c r="B256" t="s">
        <v>170</v>
      </c>
      <c r="C256" t="s">
        <v>218</v>
      </c>
      <c r="D256">
        <v>11019</v>
      </c>
      <c r="E256">
        <v>7</v>
      </c>
    </row>
    <row r="257" spans="1:5" x14ac:dyDescent="0.25">
      <c r="A257" t="s">
        <v>16</v>
      </c>
      <c r="B257" t="s">
        <v>9</v>
      </c>
      <c r="C257" t="s">
        <v>218</v>
      </c>
      <c r="D257">
        <v>45509</v>
      </c>
      <c r="E257">
        <v>7</v>
      </c>
    </row>
    <row r="258" spans="1:5" x14ac:dyDescent="0.25">
      <c r="A258" t="s">
        <v>18</v>
      </c>
      <c r="B258" t="s">
        <v>219</v>
      </c>
      <c r="C258" t="s">
        <v>220</v>
      </c>
      <c r="D258">
        <v>12192</v>
      </c>
      <c r="E258">
        <v>2</v>
      </c>
    </row>
    <row r="259" spans="1:5" x14ac:dyDescent="0.25">
      <c r="A259" t="s">
        <v>27</v>
      </c>
      <c r="B259" t="s">
        <v>110</v>
      </c>
      <c r="C259" t="s">
        <v>220</v>
      </c>
      <c r="D259">
        <v>49743</v>
      </c>
      <c r="E259">
        <v>4</v>
      </c>
    </row>
    <row r="260" spans="1:5" x14ac:dyDescent="0.25">
      <c r="A260" t="s">
        <v>47</v>
      </c>
      <c r="B260" t="s">
        <v>221</v>
      </c>
      <c r="C260" t="s">
        <v>222</v>
      </c>
      <c r="D260">
        <v>26654</v>
      </c>
      <c r="E260">
        <v>2</v>
      </c>
    </row>
    <row r="261" spans="1:5" x14ac:dyDescent="0.25">
      <c r="A261" t="s">
        <v>16</v>
      </c>
      <c r="B261" t="s">
        <v>223</v>
      </c>
      <c r="C261" t="s">
        <v>222</v>
      </c>
      <c r="D261">
        <v>46257</v>
      </c>
      <c r="E261">
        <v>6</v>
      </c>
    </row>
    <row r="262" spans="1:5" x14ac:dyDescent="0.25">
      <c r="A262" t="s">
        <v>13</v>
      </c>
      <c r="B262" t="s">
        <v>224</v>
      </c>
      <c r="C262" t="s">
        <v>222</v>
      </c>
      <c r="D262">
        <v>64807</v>
      </c>
      <c r="E262">
        <v>8</v>
      </c>
    </row>
    <row r="263" spans="1:5" x14ac:dyDescent="0.25">
      <c r="A263" t="s">
        <v>30</v>
      </c>
      <c r="B263" t="s">
        <v>20</v>
      </c>
      <c r="C263" t="s">
        <v>222</v>
      </c>
      <c r="D263">
        <v>89185</v>
      </c>
      <c r="E263">
        <v>5</v>
      </c>
    </row>
    <row r="264" spans="1:5" x14ac:dyDescent="0.25">
      <c r="A264" t="s">
        <v>5</v>
      </c>
      <c r="B264" t="s">
        <v>14</v>
      </c>
      <c r="C264" t="s">
        <v>225</v>
      </c>
      <c r="D264">
        <v>68267</v>
      </c>
      <c r="E264">
        <v>5</v>
      </c>
    </row>
    <row r="265" spans="1:5" x14ac:dyDescent="0.25">
      <c r="A265" t="s">
        <v>8</v>
      </c>
      <c r="B265" t="s">
        <v>48</v>
      </c>
      <c r="C265" t="s">
        <v>225</v>
      </c>
      <c r="D265">
        <v>84032</v>
      </c>
      <c r="E265">
        <v>7</v>
      </c>
    </row>
    <row r="266" spans="1:5" x14ac:dyDescent="0.25">
      <c r="A266" t="s">
        <v>30</v>
      </c>
      <c r="B266" t="s">
        <v>33</v>
      </c>
      <c r="C266" t="s">
        <v>225</v>
      </c>
      <c r="D266">
        <v>77540</v>
      </c>
      <c r="E266">
        <v>1</v>
      </c>
    </row>
    <row r="267" spans="1:5" x14ac:dyDescent="0.25">
      <c r="A267" t="s">
        <v>30</v>
      </c>
      <c r="B267" t="s">
        <v>226</v>
      </c>
      <c r="C267" t="s">
        <v>225</v>
      </c>
      <c r="D267">
        <v>57201</v>
      </c>
      <c r="E267">
        <v>8</v>
      </c>
    </row>
    <row r="268" spans="1:5" x14ac:dyDescent="0.25">
      <c r="A268" t="s">
        <v>8</v>
      </c>
      <c r="B268" t="s">
        <v>227</v>
      </c>
      <c r="C268" t="s">
        <v>228</v>
      </c>
      <c r="D268">
        <v>92651</v>
      </c>
      <c r="E268">
        <v>6</v>
      </c>
    </row>
    <row r="269" spans="1:5" x14ac:dyDescent="0.25">
      <c r="A269" t="s">
        <v>30</v>
      </c>
      <c r="B269" t="s">
        <v>184</v>
      </c>
      <c r="C269" t="s">
        <v>228</v>
      </c>
      <c r="D269">
        <v>76774</v>
      </c>
      <c r="E269">
        <v>8</v>
      </c>
    </row>
    <row r="270" spans="1:5" x14ac:dyDescent="0.25">
      <c r="A270" t="s">
        <v>30</v>
      </c>
      <c r="B270" t="s">
        <v>31</v>
      </c>
      <c r="C270" t="s">
        <v>228</v>
      </c>
      <c r="D270">
        <v>55109</v>
      </c>
      <c r="E270">
        <v>7</v>
      </c>
    </row>
    <row r="271" spans="1:5" x14ac:dyDescent="0.25">
      <c r="A271" t="s">
        <v>13</v>
      </c>
      <c r="B271" t="s">
        <v>229</v>
      </c>
      <c r="C271" t="s">
        <v>228</v>
      </c>
      <c r="D271">
        <v>63398</v>
      </c>
      <c r="E271">
        <v>3</v>
      </c>
    </row>
    <row r="272" spans="1:5" x14ac:dyDescent="0.25">
      <c r="A272" t="s">
        <v>10</v>
      </c>
      <c r="B272" t="s">
        <v>152</v>
      </c>
      <c r="C272" t="s">
        <v>228</v>
      </c>
      <c r="D272">
        <v>91099</v>
      </c>
      <c r="E272">
        <v>7</v>
      </c>
    </row>
    <row r="273" spans="1:5" x14ac:dyDescent="0.25">
      <c r="A273" t="s">
        <v>30</v>
      </c>
      <c r="B273" t="s">
        <v>33</v>
      </c>
      <c r="C273" t="s">
        <v>228</v>
      </c>
      <c r="D273">
        <v>92124</v>
      </c>
      <c r="E273">
        <v>7</v>
      </c>
    </row>
    <row r="274" spans="1:5" x14ac:dyDescent="0.25">
      <c r="A274" t="s">
        <v>30</v>
      </c>
      <c r="B274" t="s">
        <v>153</v>
      </c>
      <c r="C274" t="s">
        <v>230</v>
      </c>
      <c r="D274">
        <v>13092</v>
      </c>
      <c r="E274">
        <v>2</v>
      </c>
    </row>
    <row r="275" spans="1:5" x14ac:dyDescent="0.25">
      <c r="A275" t="s">
        <v>10</v>
      </c>
      <c r="B275" t="s">
        <v>231</v>
      </c>
      <c r="C275" t="s">
        <v>230</v>
      </c>
      <c r="D275">
        <v>87469</v>
      </c>
      <c r="E275">
        <v>8</v>
      </c>
    </row>
    <row r="276" spans="1:5" x14ac:dyDescent="0.25">
      <c r="A276" t="s">
        <v>5</v>
      </c>
      <c r="B276" t="s">
        <v>125</v>
      </c>
      <c r="C276" t="s">
        <v>230</v>
      </c>
      <c r="D276">
        <v>28052</v>
      </c>
      <c r="E276">
        <v>7</v>
      </c>
    </row>
    <row r="277" spans="1:5" x14ac:dyDescent="0.25">
      <c r="A277" t="s">
        <v>5</v>
      </c>
      <c r="B277" t="s">
        <v>68</v>
      </c>
      <c r="C277" t="s">
        <v>230</v>
      </c>
      <c r="D277">
        <v>13620</v>
      </c>
      <c r="E277">
        <v>9</v>
      </c>
    </row>
    <row r="278" spans="1:5" x14ac:dyDescent="0.25">
      <c r="A278" t="s">
        <v>27</v>
      </c>
      <c r="B278" t="s">
        <v>110</v>
      </c>
      <c r="C278" t="s">
        <v>230</v>
      </c>
      <c r="D278">
        <v>15374</v>
      </c>
      <c r="E278">
        <v>6</v>
      </c>
    </row>
    <row r="279" spans="1:5" x14ac:dyDescent="0.25">
      <c r="A279" t="s">
        <v>8</v>
      </c>
      <c r="B279" t="s">
        <v>217</v>
      </c>
      <c r="C279" t="s">
        <v>230</v>
      </c>
      <c r="D279">
        <v>51433</v>
      </c>
      <c r="E279">
        <v>7</v>
      </c>
    </row>
    <row r="280" spans="1:5" x14ac:dyDescent="0.25">
      <c r="A280" t="s">
        <v>27</v>
      </c>
      <c r="B280" t="s">
        <v>232</v>
      </c>
      <c r="C280" t="s">
        <v>230</v>
      </c>
      <c r="D280">
        <v>46765</v>
      </c>
      <c r="E280">
        <v>2</v>
      </c>
    </row>
    <row r="281" spans="1:5" x14ac:dyDescent="0.25">
      <c r="A281" t="s">
        <v>27</v>
      </c>
      <c r="B281" t="s">
        <v>134</v>
      </c>
      <c r="C281" t="s">
        <v>230</v>
      </c>
      <c r="D281">
        <v>51565</v>
      </c>
      <c r="E281">
        <v>2</v>
      </c>
    </row>
    <row r="282" spans="1:5" x14ac:dyDescent="0.25">
      <c r="A282" t="s">
        <v>45</v>
      </c>
      <c r="B282" t="s">
        <v>233</v>
      </c>
      <c r="C282" t="s">
        <v>230</v>
      </c>
      <c r="D282">
        <v>41034</v>
      </c>
      <c r="E282">
        <v>3</v>
      </c>
    </row>
    <row r="283" spans="1:5" x14ac:dyDescent="0.25">
      <c r="A283" t="s">
        <v>38</v>
      </c>
      <c r="B283" t="s">
        <v>194</v>
      </c>
      <c r="C283" t="s">
        <v>234</v>
      </c>
      <c r="D283">
        <v>18859</v>
      </c>
      <c r="E283">
        <v>7</v>
      </c>
    </row>
    <row r="284" spans="1:5" x14ac:dyDescent="0.25">
      <c r="A284" t="s">
        <v>13</v>
      </c>
      <c r="B284" t="s">
        <v>132</v>
      </c>
      <c r="C284" t="s">
        <v>235</v>
      </c>
      <c r="D284">
        <v>83825</v>
      </c>
      <c r="E284">
        <v>5</v>
      </c>
    </row>
    <row r="285" spans="1:5" x14ac:dyDescent="0.25">
      <c r="A285" t="s">
        <v>38</v>
      </c>
      <c r="B285" t="s">
        <v>55</v>
      </c>
      <c r="C285" t="s">
        <v>236</v>
      </c>
      <c r="D285">
        <v>46249</v>
      </c>
      <c r="E285">
        <v>5</v>
      </c>
    </row>
    <row r="286" spans="1:5" x14ac:dyDescent="0.25">
      <c r="A286" t="s">
        <v>13</v>
      </c>
      <c r="B286" t="s">
        <v>116</v>
      </c>
      <c r="C286" t="s">
        <v>236</v>
      </c>
      <c r="D286">
        <v>33097</v>
      </c>
      <c r="E286">
        <v>0</v>
      </c>
    </row>
    <row r="287" spans="1:5" x14ac:dyDescent="0.25">
      <c r="A287" t="s">
        <v>38</v>
      </c>
      <c r="B287" t="s">
        <v>53</v>
      </c>
      <c r="C287" t="s">
        <v>237</v>
      </c>
      <c r="D287">
        <v>64711</v>
      </c>
      <c r="E287">
        <v>10</v>
      </c>
    </row>
    <row r="288" spans="1:5" x14ac:dyDescent="0.25">
      <c r="A288" t="s">
        <v>13</v>
      </c>
      <c r="B288" t="s">
        <v>144</v>
      </c>
      <c r="C288" t="s">
        <v>237</v>
      </c>
      <c r="D288">
        <v>15898</v>
      </c>
      <c r="E288">
        <v>6</v>
      </c>
    </row>
    <row r="289" spans="1:5" x14ac:dyDescent="0.25">
      <c r="A289" t="s">
        <v>25</v>
      </c>
      <c r="B289" t="s">
        <v>53</v>
      </c>
      <c r="C289" t="s">
        <v>237</v>
      </c>
      <c r="D289">
        <v>69938</v>
      </c>
      <c r="E289">
        <v>7</v>
      </c>
    </row>
    <row r="290" spans="1:5" x14ac:dyDescent="0.25">
      <c r="A290" t="s">
        <v>5</v>
      </c>
      <c r="B290" t="s">
        <v>190</v>
      </c>
      <c r="C290" t="s">
        <v>237</v>
      </c>
      <c r="D290">
        <v>15330</v>
      </c>
      <c r="E290">
        <v>6</v>
      </c>
    </row>
    <row r="291" spans="1:5" x14ac:dyDescent="0.25">
      <c r="A291" t="s">
        <v>10</v>
      </c>
      <c r="B291" t="s">
        <v>41</v>
      </c>
      <c r="C291" t="s">
        <v>238</v>
      </c>
      <c r="D291">
        <v>48416</v>
      </c>
      <c r="E291">
        <v>2</v>
      </c>
    </row>
    <row r="292" spans="1:5" x14ac:dyDescent="0.25">
      <c r="A292" t="s">
        <v>30</v>
      </c>
      <c r="B292" t="s">
        <v>6</v>
      </c>
      <c r="C292" t="s">
        <v>238</v>
      </c>
      <c r="D292">
        <v>82934</v>
      </c>
      <c r="E292">
        <v>6</v>
      </c>
    </row>
    <row r="293" spans="1:5" x14ac:dyDescent="0.25">
      <c r="A293" t="s">
        <v>45</v>
      </c>
      <c r="B293" t="s">
        <v>194</v>
      </c>
      <c r="C293" t="s">
        <v>238</v>
      </c>
      <c r="D293">
        <v>11769</v>
      </c>
      <c r="E293">
        <v>8</v>
      </c>
    </row>
    <row r="294" spans="1:5" x14ac:dyDescent="0.25">
      <c r="A294" t="s">
        <v>8</v>
      </c>
      <c r="B294" t="s">
        <v>239</v>
      </c>
      <c r="C294" t="s">
        <v>238</v>
      </c>
      <c r="D294">
        <v>11184</v>
      </c>
      <c r="E294">
        <v>7</v>
      </c>
    </row>
    <row r="295" spans="1:5" x14ac:dyDescent="0.25">
      <c r="A295" t="s">
        <v>27</v>
      </c>
      <c r="B295" t="s">
        <v>65</v>
      </c>
      <c r="C295" t="s">
        <v>238</v>
      </c>
      <c r="D295">
        <v>80485</v>
      </c>
      <c r="E295">
        <v>4</v>
      </c>
    </row>
    <row r="296" spans="1:5" x14ac:dyDescent="0.25">
      <c r="A296" t="s">
        <v>25</v>
      </c>
      <c r="B296" t="s">
        <v>63</v>
      </c>
      <c r="C296" t="s">
        <v>238</v>
      </c>
      <c r="D296">
        <v>84960</v>
      </c>
      <c r="E296">
        <v>4</v>
      </c>
    </row>
    <row r="297" spans="1:5" x14ac:dyDescent="0.25">
      <c r="A297" t="s">
        <v>38</v>
      </c>
      <c r="B297" t="s">
        <v>31</v>
      </c>
      <c r="C297" t="s">
        <v>238</v>
      </c>
      <c r="D297">
        <v>97611</v>
      </c>
      <c r="E297">
        <v>6</v>
      </c>
    </row>
    <row r="298" spans="1:5" x14ac:dyDescent="0.25">
      <c r="A298" t="s">
        <v>38</v>
      </c>
      <c r="B298" t="s">
        <v>99</v>
      </c>
      <c r="C298" t="s">
        <v>238</v>
      </c>
      <c r="D298">
        <v>45898</v>
      </c>
      <c r="E298">
        <v>6</v>
      </c>
    </row>
    <row r="299" spans="1:5" x14ac:dyDescent="0.25">
      <c r="A299" t="s">
        <v>25</v>
      </c>
      <c r="B299" t="s">
        <v>214</v>
      </c>
      <c r="C299" t="s">
        <v>238</v>
      </c>
      <c r="D299">
        <v>52218</v>
      </c>
      <c r="E299">
        <v>5</v>
      </c>
    </row>
    <row r="300" spans="1:5" x14ac:dyDescent="0.25">
      <c r="A300" t="s">
        <v>45</v>
      </c>
      <c r="B300" t="s">
        <v>144</v>
      </c>
      <c r="C300" t="s">
        <v>240</v>
      </c>
      <c r="D300">
        <v>15585</v>
      </c>
      <c r="E300">
        <v>7</v>
      </c>
    </row>
    <row r="301" spans="1:5" x14ac:dyDescent="0.25">
      <c r="A301" t="s">
        <v>10</v>
      </c>
      <c r="B301" t="s">
        <v>144</v>
      </c>
      <c r="C301" t="s">
        <v>240</v>
      </c>
      <c r="D301">
        <v>39107</v>
      </c>
      <c r="E301">
        <v>9</v>
      </c>
    </row>
    <row r="302" spans="1:5" x14ac:dyDescent="0.25">
      <c r="A302" t="s">
        <v>10</v>
      </c>
      <c r="B302" t="s">
        <v>200</v>
      </c>
      <c r="C302" t="s">
        <v>241</v>
      </c>
      <c r="D302">
        <v>24943</v>
      </c>
      <c r="E302">
        <v>0</v>
      </c>
    </row>
    <row r="303" spans="1:5" x14ac:dyDescent="0.25">
      <c r="A303" t="s">
        <v>5</v>
      </c>
      <c r="B303" t="s">
        <v>63</v>
      </c>
      <c r="C303" t="s">
        <v>241</v>
      </c>
      <c r="D303">
        <v>23120</v>
      </c>
      <c r="E303">
        <v>6</v>
      </c>
    </row>
    <row r="304" spans="1:5" x14ac:dyDescent="0.25">
      <c r="A304" t="s">
        <v>47</v>
      </c>
      <c r="B304" t="s">
        <v>242</v>
      </c>
      <c r="C304" t="s">
        <v>241</v>
      </c>
      <c r="D304">
        <v>52464</v>
      </c>
      <c r="E304">
        <v>10</v>
      </c>
    </row>
    <row r="305" spans="1:5" x14ac:dyDescent="0.25">
      <c r="A305" t="s">
        <v>25</v>
      </c>
      <c r="B305" t="s">
        <v>177</v>
      </c>
      <c r="C305" t="s">
        <v>241</v>
      </c>
      <c r="D305">
        <v>26942</v>
      </c>
      <c r="E305">
        <v>10</v>
      </c>
    </row>
    <row r="306" spans="1:5" x14ac:dyDescent="0.25">
      <c r="A306" t="s">
        <v>25</v>
      </c>
      <c r="B306" t="s">
        <v>243</v>
      </c>
      <c r="C306" t="s">
        <v>241</v>
      </c>
      <c r="D306">
        <v>30186</v>
      </c>
      <c r="E306">
        <v>3</v>
      </c>
    </row>
    <row r="307" spans="1:5" x14ac:dyDescent="0.25">
      <c r="A307" t="s">
        <v>13</v>
      </c>
      <c r="B307" t="s">
        <v>92</v>
      </c>
      <c r="C307" t="s">
        <v>244</v>
      </c>
      <c r="D307">
        <v>64619</v>
      </c>
      <c r="E307">
        <v>10</v>
      </c>
    </row>
    <row r="308" spans="1:5" x14ac:dyDescent="0.25">
      <c r="A308" t="s">
        <v>8</v>
      </c>
      <c r="B308" t="s">
        <v>81</v>
      </c>
      <c r="C308" t="s">
        <v>244</v>
      </c>
      <c r="D308">
        <v>28331</v>
      </c>
      <c r="E308">
        <v>6</v>
      </c>
    </row>
    <row r="309" spans="1:5" x14ac:dyDescent="0.25">
      <c r="A309" t="s">
        <v>47</v>
      </c>
      <c r="B309" t="s">
        <v>173</v>
      </c>
      <c r="C309" t="s">
        <v>245</v>
      </c>
      <c r="D309">
        <v>45691</v>
      </c>
      <c r="E309">
        <v>4</v>
      </c>
    </row>
    <row r="310" spans="1:5" x14ac:dyDescent="0.25">
      <c r="A310" t="s">
        <v>25</v>
      </c>
      <c r="B310" t="s">
        <v>99</v>
      </c>
      <c r="C310" t="s">
        <v>245</v>
      </c>
      <c r="D310">
        <v>33573</v>
      </c>
      <c r="E310">
        <v>9</v>
      </c>
    </row>
    <row r="311" spans="1:5" x14ac:dyDescent="0.25">
      <c r="A311" t="s">
        <v>45</v>
      </c>
      <c r="B311" t="s">
        <v>77</v>
      </c>
      <c r="C311" t="s">
        <v>245</v>
      </c>
      <c r="D311">
        <v>36661</v>
      </c>
      <c r="E311">
        <v>5</v>
      </c>
    </row>
    <row r="312" spans="1:5" x14ac:dyDescent="0.25">
      <c r="A312" t="s">
        <v>16</v>
      </c>
      <c r="B312" t="s">
        <v>67</v>
      </c>
      <c r="C312" t="s">
        <v>246</v>
      </c>
      <c r="D312">
        <v>75582</v>
      </c>
      <c r="E312">
        <v>5</v>
      </c>
    </row>
    <row r="313" spans="1:5" x14ac:dyDescent="0.25">
      <c r="A313" t="s">
        <v>30</v>
      </c>
      <c r="B313" t="s">
        <v>247</v>
      </c>
      <c r="C313" t="s">
        <v>246</v>
      </c>
      <c r="D313">
        <v>62255</v>
      </c>
      <c r="E313">
        <v>0</v>
      </c>
    </row>
    <row r="314" spans="1:5" x14ac:dyDescent="0.25">
      <c r="A314" t="s">
        <v>30</v>
      </c>
      <c r="B314" t="s">
        <v>248</v>
      </c>
      <c r="C314" t="s">
        <v>246</v>
      </c>
      <c r="D314">
        <v>15528</v>
      </c>
      <c r="E314">
        <v>3</v>
      </c>
    </row>
    <row r="315" spans="1:5" x14ac:dyDescent="0.25">
      <c r="A315" t="s">
        <v>13</v>
      </c>
      <c r="B315" t="s">
        <v>89</v>
      </c>
      <c r="C315" t="s">
        <v>246</v>
      </c>
      <c r="D315">
        <v>22812</v>
      </c>
      <c r="E315">
        <v>8</v>
      </c>
    </row>
    <row r="316" spans="1:5" x14ac:dyDescent="0.25">
      <c r="A316" t="s">
        <v>18</v>
      </c>
      <c r="B316" t="s">
        <v>249</v>
      </c>
      <c r="C316" t="s">
        <v>246</v>
      </c>
      <c r="D316">
        <v>70908</v>
      </c>
      <c r="E316">
        <v>9</v>
      </c>
    </row>
    <row r="317" spans="1:5" x14ac:dyDescent="0.25">
      <c r="A317" t="s">
        <v>45</v>
      </c>
      <c r="B317" t="s">
        <v>61</v>
      </c>
      <c r="C317" t="s">
        <v>246</v>
      </c>
      <c r="D317">
        <v>53168</v>
      </c>
      <c r="E317">
        <v>8</v>
      </c>
    </row>
    <row r="318" spans="1:5" x14ac:dyDescent="0.25">
      <c r="A318" t="s">
        <v>10</v>
      </c>
      <c r="B318" t="s">
        <v>129</v>
      </c>
      <c r="C318" t="s">
        <v>246</v>
      </c>
      <c r="D318">
        <v>25383</v>
      </c>
      <c r="E318">
        <v>7</v>
      </c>
    </row>
    <row r="319" spans="1:5" x14ac:dyDescent="0.25">
      <c r="A319" t="s">
        <v>16</v>
      </c>
      <c r="B319" t="s">
        <v>130</v>
      </c>
      <c r="C319" t="s">
        <v>246</v>
      </c>
      <c r="D319">
        <v>99879</v>
      </c>
      <c r="E319">
        <v>8</v>
      </c>
    </row>
    <row r="320" spans="1:5" x14ac:dyDescent="0.25">
      <c r="A320" t="s">
        <v>25</v>
      </c>
      <c r="B320" t="s">
        <v>181</v>
      </c>
      <c r="C320" t="s">
        <v>246</v>
      </c>
      <c r="D320">
        <v>65904</v>
      </c>
      <c r="E320">
        <v>9</v>
      </c>
    </row>
    <row r="321" spans="1:5" x14ac:dyDescent="0.25">
      <c r="A321" t="s">
        <v>45</v>
      </c>
      <c r="B321" t="s">
        <v>101</v>
      </c>
      <c r="C321" t="s">
        <v>250</v>
      </c>
      <c r="D321">
        <v>26143</v>
      </c>
      <c r="E321">
        <v>2</v>
      </c>
    </row>
    <row r="322" spans="1:5" x14ac:dyDescent="0.25">
      <c r="A322" t="s">
        <v>38</v>
      </c>
      <c r="B322" t="s">
        <v>64</v>
      </c>
      <c r="C322" t="s">
        <v>250</v>
      </c>
      <c r="D322">
        <v>69386</v>
      </c>
      <c r="E322">
        <v>7</v>
      </c>
    </row>
    <row r="323" spans="1:5" x14ac:dyDescent="0.25">
      <c r="A323" t="s">
        <v>47</v>
      </c>
      <c r="B323" t="s">
        <v>49</v>
      </c>
      <c r="C323" t="s">
        <v>251</v>
      </c>
      <c r="D323">
        <v>34564</v>
      </c>
      <c r="E323">
        <v>5</v>
      </c>
    </row>
    <row r="324" spans="1:5" x14ac:dyDescent="0.25">
      <c r="A324" t="s">
        <v>38</v>
      </c>
      <c r="B324" t="s">
        <v>217</v>
      </c>
      <c r="C324" t="s">
        <v>251</v>
      </c>
      <c r="D324">
        <v>14897</v>
      </c>
      <c r="E324">
        <v>6</v>
      </c>
    </row>
    <row r="325" spans="1:5" x14ac:dyDescent="0.25">
      <c r="A325" t="s">
        <v>10</v>
      </c>
      <c r="B325" t="s">
        <v>75</v>
      </c>
      <c r="C325" t="s">
        <v>251</v>
      </c>
      <c r="D325">
        <v>23872</v>
      </c>
      <c r="E325">
        <v>7</v>
      </c>
    </row>
    <row r="326" spans="1:5" x14ac:dyDescent="0.25">
      <c r="A326" t="s">
        <v>30</v>
      </c>
      <c r="B326" t="s">
        <v>217</v>
      </c>
      <c r="C326" t="s">
        <v>251</v>
      </c>
      <c r="D326">
        <v>20727</v>
      </c>
      <c r="E326">
        <v>6</v>
      </c>
    </row>
    <row r="327" spans="1:5" x14ac:dyDescent="0.25">
      <c r="A327" t="s">
        <v>25</v>
      </c>
      <c r="B327" t="s">
        <v>55</v>
      </c>
      <c r="C327" t="s">
        <v>251</v>
      </c>
      <c r="D327">
        <v>66005</v>
      </c>
      <c r="E327">
        <v>8</v>
      </c>
    </row>
    <row r="328" spans="1:5" x14ac:dyDescent="0.25">
      <c r="A328" t="s">
        <v>10</v>
      </c>
      <c r="B328" t="s">
        <v>136</v>
      </c>
      <c r="C328" t="s">
        <v>251</v>
      </c>
      <c r="D328">
        <v>68993</v>
      </c>
      <c r="E328">
        <v>9</v>
      </c>
    </row>
    <row r="329" spans="1:5" x14ac:dyDescent="0.25">
      <c r="A329" t="s">
        <v>30</v>
      </c>
      <c r="B329" t="s">
        <v>252</v>
      </c>
      <c r="C329" t="s">
        <v>253</v>
      </c>
      <c r="D329">
        <v>55569</v>
      </c>
      <c r="E329">
        <v>3</v>
      </c>
    </row>
    <row r="330" spans="1:5" x14ac:dyDescent="0.25">
      <c r="A330" t="s">
        <v>47</v>
      </c>
      <c r="B330" t="s">
        <v>196</v>
      </c>
      <c r="C330" t="s">
        <v>254</v>
      </c>
      <c r="D330">
        <v>68591</v>
      </c>
      <c r="E330">
        <v>2</v>
      </c>
    </row>
    <row r="331" spans="1:5" x14ac:dyDescent="0.25">
      <c r="A331" t="s">
        <v>8</v>
      </c>
      <c r="B331" t="s">
        <v>217</v>
      </c>
      <c r="C331" t="s">
        <v>255</v>
      </c>
      <c r="D331">
        <v>52197</v>
      </c>
      <c r="E331">
        <v>7</v>
      </c>
    </row>
    <row r="332" spans="1:5" x14ac:dyDescent="0.25">
      <c r="A332" t="s">
        <v>38</v>
      </c>
      <c r="B332" t="s">
        <v>55</v>
      </c>
      <c r="C332" t="s">
        <v>255</v>
      </c>
      <c r="D332">
        <v>38286</v>
      </c>
      <c r="E332">
        <v>7</v>
      </c>
    </row>
    <row r="333" spans="1:5" x14ac:dyDescent="0.25">
      <c r="A333" t="s">
        <v>27</v>
      </c>
      <c r="B333" t="s">
        <v>223</v>
      </c>
      <c r="C333" t="s">
        <v>255</v>
      </c>
      <c r="D333">
        <v>88188</v>
      </c>
      <c r="E333">
        <v>7</v>
      </c>
    </row>
    <row r="334" spans="1:5" x14ac:dyDescent="0.25">
      <c r="A334" t="s">
        <v>25</v>
      </c>
      <c r="B334" t="s">
        <v>256</v>
      </c>
      <c r="C334" t="s">
        <v>255</v>
      </c>
      <c r="D334">
        <v>43631</v>
      </c>
      <c r="E334">
        <v>3</v>
      </c>
    </row>
    <row r="335" spans="1:5" x14ac:dyDescent="0.25">
      <c r="A335" t="s">
        <v>18</v>
      </c>
      <c r="B335" t="s">
        <v>173</v>
      </c>
      <c r="C335" t="s">
        <v>255</v>
      </c>
      <c r="D335">
        <v>80570</v>
      </c>
      <c r="E335">
        <v>7</v>
      </c>
    </row>
    <row r="336" spans="1:5" x14ac:dyDescent="0.25">
      <c r="A336" t="s">
        <v>25</v>
      </c>
      <c r="B336" t="s">
        <v>177</v>
      </c>
      <c r="C336" t="s">
        <v>255</v>
      </c>
      <c r="D336">
        <v>13042</v>
      </c>
      <c r="E336">
        <v>6</v>
      </c>
    </row>
    <row r="337" spans="1:5" x14ac:dyDescent="0.25">
      <c r="A337" t="s">
        <v>30</v>
      </c>
      <c r="B337" t="s">
        <v>223</v>
      </c>
      <c r="C337" t="s">
        <v>257</v>
      </c>
      <c r="D337">
        <v>65230</v>
      </c>
      <c r="E337">
        <v>5</v>
      </c>
    </row>
    <row r="338" spans="1:5" x14ac:dyDescent="0.25">
      <c r="A338" t="s">
        <v>38</v>
      </c>
      <c r="B338" t="s">
        <v>66</v>
      </c>
      <c r="C338" t="s">
        <v>257</v>
      </c>
      <c r="D338">
        <v>17286</v>
      </c>
      <c r="E338">
        <v>3</v>
      </c>
    </row>
    <row r="339" spans="1:5" x14ac:dyDescent="0.25">
      <c r="A339" t="s">
        <v>47</v>
      </c>
      <c r="B339" t="s">
        <v>165</v>
      </c>
      <c r="C339" t="s">
        <v>257</v>
      </c>
      <c r="D339">
        <v>58872</v>
      </c>
      <c r="E339">
        <v>4</v>
      </c>
    </row>
    <row r="340" spans="1:5" x14ac:dyDescent="0.25">
      <c r="A340" t="s">
        <v>5</v>
      </c>
      <c r="B340" t="s">
        <v>14</v>
      </c>
      <c r="C340" t="s">
        <v>258</v>
      </c>
      <c r="D340">
        <v>68332</v>
      </c>
      <c r="E340">
        <v>7</v>
      </c>
    </row>
    <row r="341" spans="1:5" x14ac:dyDescent="0.25">
      <c r="A341" t="s">
        <v>18</v>
      </c>
      <c r="B341" t="s">
        <v>173</v>
      </c>
      <c r="C341" t="s">
        <v>258</v>
      </c>
      <c r="D341">
        <v>43984</v>
      </c>
      <c r="E341">
        <v>7</v>
      </c>
    </row>
    <row r="342" spans="1:5" x14ac:dyDescent="0.25">
      <c r="A342" t="s">
        <v>5</v>
      </c>
      <c r="B342" t="s">
        <v>31</v>
      </c>
      <c r="C342" t="s">
        <v>259</v>
      </c>
      <c r="D342">
        <v>27979</v>
      </c>
      <c r="E342">
        <v>7</v>
      </c>
    </row>
    <row r="343" spans="1:5" x14ac:dyDescent="0.25">
      <c r="A343" t="s">
        <v>27</v>
      </c>
      <c r="B343" t="s">
        <v>20</v>
      </c>
      <c r="C343" t="s">
        <v>260</v>
      </c>
      <c r="D343">
        <v>10843</v>
      </c>
      <c r="E343">
        <v>4</v>
      </c>
    </row>
    <row r="344" spans="1:5" x14ac:dyDescent="0.25">
      <c r="A344" t="s">
        <v>30</v>
      </c>
      <c r="B344" t="s">
        <v>94</v>
      </c>
      <c r="C344" t="s">
        <v>261</v>
      </c>
      <c r="D344">
        <v>97321</v>
      </c>
      <c r="E344">
        <v>7</v>
      </c>
    </row>
    <row r="345" spans="1:5" x14ac:dyDescent="0.25">
      <c r="A345" t="s">
        <v>47</v>
      </c>
      <c r="B345" t="s">
        <v>55</v>
      </c>
      <c r="C345" t="s">
        <v>261</v>
      </c>
      <c r="D345">
        <v>10386</v>
      </c>
      <c r="E345">
        <v>2</v>
      </c>
    </row>
    <row r="346" spans="1:5" x14ac:dyDescent="0.25">
      <c r="A346" t="s">
        <v>5</v>
      </c>
      <c r="B346" t="s">
        <v>69</v>
      </c>
      <c r="C346" t="s">
        <v>261</v>
      </c>
      <c r="D346">
        <v>73600</v>
      </c>
      <c r="E346">
        <v>9</v>
      </c>
    </row>
    <row r="347" spans="1:5" x14ac:dyDescent="0.25">
      <c r="A347" t="s">
        <v>47</v>
      </c>
      <c r="B347" t="s">
        <v>35</v>
      </c>
      <c r="C347" t="s">
        <v>261</v>
      </c>
      <c r="D347">
        <v>28776</v>
      </c>
      <c r="E347">
        <v>5</v>
      </c>
    </row>
    <row r="348" spans="1:5" x14ac:dyDescent="0.25">
      <c r="A348" t="s">
        <v>8</v>
      </c>
      <c r="B348" t="s">
        <v>67</v>
      </c>
      <c r="C348" t="s">
        <v>261</v>
      </c>
      <c r="D348">
        <v>36433</v>
      </c>
      <c r="E348">
        <v>5</v>
      </c>
    </row>
    <row r="349" spans="1:5" x14ac:dyDescent="0.25">
      <c r="A349" t="s">
        <v>8</v>
      </c>
      <c r="B349" t="s">
        <v>196</v>
      </c>
      <c r="C349" t="s">
        <v>261</v>
      </c>
      <c r="D349">
        <v>11283</v>
      </c>
      <c r="E349">
        <v>1</v>
      </c>
    </row>
    <row r="350" spans="1:5" x14ac:dyDescent="0.25">
      <c r="A350" t="s">
        <v>45</v>
      </c>
      <c r="B350" t="s">
        <v>51</v>
      </c>
      <c r="C350" t="s">
        <v>262</v>
      </c>
      <c r="D350">
        <v>67795</v>
      </c>
      <c r="E350">
        <v>8</v>
      </c>
    </row>
    <row r="351" spans="1:5" x14ac:dyDescent="0.25">
      <c r="A351" t="s">
        <v>47</v>
      </c>
      <c r="B351" t="s">
        <v>221</v>
      </c>
      <c r="C351" t="s">
        <v>262</v>
      </c>
      <c r="D351">
        <v>80684</v>
      </c>
      <c r="E351">
        <v>1</v>
      </c>
    </row>
    <row r="352" spans="1:5" x14ac:dyDescent="0.25">
      <c r="A352" t="s">
        <v>16</v>
      </c>
      <c r="B352" t="s">
        <v>70</v>
      </c>
      <c r="C352" t="s">
        <v>262</v>
      </c>
      <c r="D352">
        <v>31639</v>
      </c>
      <c r="E352">
        <v>10</v>
      </c>
    </row>
    <row r="353" spans="1:5" x14ac:dyDescent="0.25">
      <c r="A353" t="s">
        <v>25</v>
      </c>
      <c r="B353" t="s">
        <v>64</v>
      </c>
      <c r="C353" t="s">
        <v>263</v>
      </c>
      <c r="D353">
        <v>41998</v>
      </c>
      <c r="E353">
        <v>4</v>
      </c>
    </row>
    <row r="354" spans="1:5" x14ac:dyDescent="0.25">
      <c r="A354" t="s">
        <v>45</v>
      </c>
      <c r="B354" t="s">
        <v>264</v>
      </c>
      <c r="C354" t="s">
        <v>263</v>
      </c>
      <c r="D354">
        <v>46841</v>
      </c>
      <c r="E354">
        <v>9</v>
      </c>
    </row>
    <row r="355" spans="1:5" x14ac:dyDescent="0.25">
      <c r="A355" t="s">
        <v>8</v>
      </c>
      <c r="B355" t="s">
        <v>17</v>
      </c>
      <c r="C355" t="s">
        <v>263</v>
      </c>
      <c r="D355">
        <v>86922</v>
      </c>
      <c r="E355">
        <v>8</v>
      </c>
    </row>
    <row r="356" spans="1:5" x14ac:dyDescent="0.25">
      <c r="A356" t="s">
        <v>45</v>
      </c>
      <c r="B356" t="s">
        <v>265</v>
      </c>
      <c r="C356" t="s">
        <v>266</v>
      </c>
      <c r="D356">
        <v>78582</v>
      </c>
      <c r="E356">
        <v>9</v>
      </c>
    </row>
    <row r="357" spans="1:5" x14ac:dyDescent="0.25">
      <c r="A357" t="s">
        <v>30</v>
      </c>
      <c r="B357" t="s">
        <v>152</v>
      </c>
      <c r="C357" t="s">
        <v>266</v>
      </c>
      <c r="D357">
        <v>52380</v>
      </c>
      <c r="E357">
        <v>4</v>
      </c>
    </row>
    <row r="358" spans="1:5" x14ac:dyDescent="0.25">
      <c r="A358" t="s">
        <v>18</v>
      </c>
      <c r="B358" t="s">
        <v>176</v>
      </c>
      <c r="C358" t="s">
        <v>266</v>
      </c>
      <c r="D358">
        <v>80655</v>
      </c>
      <c r="E358">
        <v>6</v>
      </c>
    </row>
    <row r="359" spans="1:5" x14ac:dyDescent="0.25">
      <c r="A359" t="s">
        <v>47</v>
      </c>
      <c r="B359" t="s">
        <v>267</v>
      </c>
      <c r="C359" t="s">
        <v>268</v>
      </c>
      <c r="D359">
        <v>89270</v>
      </c>
      <c r="E359">
        <v>6</v>
      </c>
    </row>
    <row r="360" spans="1:5" x14ac:dyDescent="0.25">
      <c r="A360" t="s">
        <v>8</v>
      </c>
      <c r="B360" t="s">
        <v>269</v>
      </c>
      <c r="C360" t="s">
        <v>268</v>
      </c>
      <c r="D360">
        <v>44923</v>
      </c>
      <c r="E360">
        <v>1</v>
      </c>
    </row>
    <row r="361" spans="1:5" x14ac:dyDescent="0.25">
      <c r="A361" t="s">
        <v>27</v>
      </c>
      <c r="B361" t="s">
        <v>92</v>
      </c>
      <c r="C361" t="s">
        <v>268</v>
      </c>
      <c r="D361">
        <v>85312</v>
      </c>
      <c r="E361">
        <v>7</v>
      </c>
    </row>
    <row r="362" spans="1:5" x14ac:dyDescent="0.25">
      <c r="A362" t="s">
        <v>30</v>
      </c>
      <c r="B362" t="s">
        <v>270</v>
      </c>
      <c r="C362" t="s">
        <v>271</v>
      </c>
      <c r="D362">
        <v>19804</v>
      </c>
      <c r="E362">
        <v>6</v>
      </c>
    </row>
    <row r="363" spans="1:5" x14ac:dyDescent="0.25">
      <c r="A363" t="s">
        <v>16</v>
      </c>
      <c r="B363" t="s">
        <v>188</v>
      </c>
      <c r="C363" t="s">
        <v>271</v>
      </c>
      <c r="D363">
        <v>91311</v>
      </c>
      <c r="E363">
        <v>9</v>
      </c>
    </row>
    <row r="364" spans="1:5" x14ac:dyDescent="0.25">
      <c r="A364" t="s">
        <v>47</v>
      </c>
      <c r="B364" t="s">
        <v>231</v>
      </c>
      <c r="C364" t="s">
        <v>271</v>
      </c>
      <c r="D364">
        <v>72214</v>
      </c>
      <c r="E364">
        <v>7</v>
      </c>
    </row>
    <row r="365" spans="1:5" x14ac:dyDescent="0.25">
      <c r="A365" t="s">
        <v>18</v>
      </c>
      <c r="B365" t="s">
        <v>272</v>
      </c>
      <c r="C365" t="s">
        <v>271</v>
      </c>
      <c r="D365">
        <v>43381</v>
      </c>
      <c r="E365">
        <v>7</v>
      </c>
    </row>
    <row r="366" spans="1:5" x14ac:dyDescent="0.25">
      <c r="A366" t="s">
        <v>30</v>
      </c>
      <c r="B366" t="s">
        <v>227</v>
      </c>
      <c r="C366" t="s">
        <v>271</v>
      </c>
      <c r="D366">
        <v>28460</v>
      </c>
      <c r="E366">
        <v>8</v>
      </c>
    </row>
    <row r="367" spans="1:5" x14ac:dyDescent="0.25">
      <c r="A367" t="s">
        <v>38</v>
      </c>
      <c r="B367" t="s">
        <v>50</v>
      </c>
      <c r="C367" t="s">
        <v>271</v>
      </c>
      <c r="D367">
        <v>59274</v>
      </c>
      <c r="E367">
        <v>5</v>
      </c>
    </row>
    <row r="368" spans="1:5" x14ac:dyDescent="0.25">
      <c r="A368" t="s">
        <v>47</v>
      </c>
      <c r="B368" t="s">
        <v>39</v>
      </c>
      <c r="C368" t="s">
        <v>271</v>
      </c>
      <c r="D368">
        <v>31258</v>
      </c>
      <c r="E368">
        <v>6</v>
      </c>
    </row>
    <row r="369" spans="1:5" x14ac:dyDescent="0.25">
      <c r="A369" t="s">
        <v>5</v>
      </c>
      <c r="B369" t="s">
        <v>52</v>
      </c>
      <c r="C369" t="s">
        <v>273</v>
      </c>
      <c r="D369">
        <v>44012</v>
      </c>
      <c r="E369">
        <v>5</v>
      </c>
    </row>
    <row r="370" spans="1:5" x14ac:dyDescent="0.25">
      <c r="A370" t="s">
        <v>47</v>
      </c>
      <c r="B370" t="s">
        <v>188</v>
      </c>
      <c r="C370" t="s">
        <v>273</v>
      </c>
      <c r="D370">
        <v>48980</v>
      </c>
      <c r="E370">
        <v>4</v>
      </c>
    </row>
    <row r="371" spans="1:5" x14ac:dyDescent="0.25">
      <c r="A371" t="s">
        <v>45</v>
      </c>
      <c r="B371" t="s">
        <v>36</v>
      </c>
      <c r="C371" t="s">
        <v>273</v>
      </c>
      <c r="D371">
        <v>40464</v>
      </c>
      <c r="E371">
        <v>9</v>
      </c>
    </row>
    <row r="372" spans="1:5" x14ac:dyDescent="0.25">
      <c r="A372" t="s">
        <v>13</v>
      </c>
      <c r="B372" t="s">
        <v>133</v>
      </c>
      <c r="C372" t="s">
        <v>274</v>
      </c>
      <c r="D372">
        <v>58781</v>
      </c>
      <c r="E372">
        <v>10</v>
      </c>
    </row>
    <row r="373" spans="1:5" x14ac:dyDescent="0.25">
      <c r="A373" t="s">
        <v>25</v>
      </c>
      <c r="B373" t="s">
        <v>28</v>
      </c>
      <c r="C373" t="s">
        <v>275</v>
      </c>
      <c r="D373">
        <v>99629</v>
      </c>
      <c r="E373">
        <v>5</v>
      </c>
    </row>
    <row r="374" spans="1:5" x14ac:dyDescent="0.25">
      <c r="A374" t="s">
        <v>25</v>
      </c>
      <c r="B374" t="s">
        <v>217</v>
      </c>
      <c r="C374" t="s">
        <v>275</v>
      </c>
      <c r="D374">
        <v>12636</v>
      </c>
      <c r="E374">
        <v>7</v>
      </c>
    </row>
    <row r="375" spans="1:5" x14ac:dyDescent="0.25">
      <c r="A375" t="s">
        <v>18</v>
      </c>
      <c r="B375" t="s">
        <v>26</v>
      </c>
      <c r="C375" t="s">
        <v>276</v>
      </c>
      <c r="D375">
        <v>13733</v>
      </c>
      <c r="E375">
        <v>9</v>
      </c>
    </row>
    <row r="376" spans="1:5" x14ac:dyDescent="0.25">
      <c r="A376" t="s">
        <v>10</v>
      </c>
      <c r="B376" t="s">
        <v>162</v>
      </c>
      <c r="C376" t="s">
        <v>276</v>
      </c>
      <c r="D376">
        <v>72293</v>
      </c>
      <c r="E376">
        <v>3</v>
      </c>
    </row>
    <row r="377" spans="1:5" x14ac:dyDescent="0.25">
      <c r="A377" t="s">
        <v>13</v>
      </c>
      <c r="B377" t="s">
        <v>146</v>
      </c>
      <c r="C377" t="s">
        <v>276</v>
      </c>
      <c r="D377">
        <v>16736</v>
      </c>
      <c r="E377">
        <v>3</v>
      </c>
    </row>
    <row r="378" spans="1:5" x14ac:dyDescent="0.25">
      <c r="A378" t="s">
        <v>16</v>
      </c>
      <c r="B378" t="s">
        <v>215</v>
      </c>
      <c r="C378" t="s">
        <v>277</v>
      </c>
      <c r="D378">
        <v>57909</v>
      </c>
      <c r="E378">
        <v>6</v>
      </c>
    </row>
    <row r="379" spans="1:5" x14ac:dyDescent="0.25">
      <c r="A379" t="s">
        <v>13</v>
      </c>
      <c r="B379" t="s">
        <v>156</v>
      </c>
      <c r="C379" t="s">
        <v>277</v>
      </c>
      <c r="D379">
        <v>80196</v>
      </c>
      <c r="E379">
        <v>7</v>
      </c>
    </row>
    <row r="380" spans="1:5" x14ac:dyDescent="0.25">
      <c r="A380" t="s">
        <v>45</v>
      </c>
      <c r="B380" t="s">
        <v>49</v>
      </c>
      <c r="C380" t="s">
        <v>277</v>
      </c>
      <c r="D380">
        <v>81618</v>
      </c>
      <c r="E380">
        <v>6</v>
      </c>
    </row>
    <row r="381" spans="1:5" x14ac:dyDescent="0.25">
      <c r="A381" t="s">
        <v>30</v>
      </c>
      <c r="B381" t="s">
        <v>187</v>
      </c>
      <c r="C381" t="s">
        <v>277</v>
      </c>
      <c r="D381">
        <v>16195</v>
      </c>
      <c r="E381">
        <v>3</v>
      </c>
    </row>
    <row r="382" spans="1:5" x14ac:dyDescent="0.25">
      <c r="A382" t="s">
        <v>13</v>
      </c>
      <c r="B382" t="s">
        <v>186</v>
      </c>
      <c r="C382" t="s">
        <v>277</v>
      </c>
      <c r="D382">
        <v>22749</v>
      </c>
      <c r="E382">
        <v>5</v>
      </c>
    </row>
    <row r="383" spans="1:5" x14ac:dyDescent="0.25">
      <c r="A383" t="s">
        <v>10</v>
      </c>
      <c r="B383" t="s">
        <v>239</v>
      </c>
      <c r="C383" t="s">
        <v>277</v>
      </c>
      <c r="D383">
        <v>68430</v>
      </c>
      <c r="E383">
        <v>6</v>
      </c>
    </row>
    <row r="384" spans="1:5" x14ac:dyDescent="0.25">
      <c r="A384" t="s">
        <v>18</v>
      </c>
      <c r="B384" t="s">
        <v>73</v>
      </c>
      <c r="C384" t="s">
        <v>278</v>
      </c>
      <c r="D384">
        <v>82814</v>
      </c>
      <c r="E384">
        <v>7</v>
      </c>
    </row>
    <row r="385" spans="1:5" x14ac:dyDescent="0.25">
      <c r="A385" t="s">
        <v>10</v>
      </c>
      <c r="B385" t="s">
        <v>173</v>
      </c>
      <c r="C385" t="s">
        <v>278</v>
      </c>
      <c r="D385">
        <v>73072</v>
      </c>
      <c r="E385">
        <v>1</v>
      </c>
    </row>
    <row r="386" spans="1:5" x14ac:dyDescent="0.25">
      <c r="A386" t="s">
        <v>10</v>
      </c>
      <c r="B386" t="s">
        <v>126</v>
      </c>
      <c r="C386" t="s">
        <v>278</v>
      </c>
      <c r="D386">
        <v>39083</v>
      </c>
      <c r="E386">
        <v>3</v>
      </c>
    </row>
    <row r="387" spans="1:5" x14ac:dyDescent="0.25">
      <c r="A387" t="s">
        <v>16</v>
      </c>
      <c r="B387" t="s">
        <v>205</v>
      </c>
      <c r="C387" t="s">
        <v>278</v>
      </c>
      <c r="D387">
        <v>19290</v>
      </c>
      <c r="E387">
        <v>9</v>
      </c>
    </row>
    <row r="388" spans="1:5" x14ac:dyDescent="0.25">
      <c r="A388" t="s">
        <v>47</v>
      </c>
      <c r="B388" t="s">
        <v>121</v>
      </c>
      <c r="C388" t="s">
        <v>278</v>
      </c>
      <c r="D388">
        <v>92039</v>
      </c>
      <c r="E388">
        <v>1</v>
      </c>
    </row>
    <row r="389" spans="1:5" x14ac:dyDescent="0.25">
      <c r="A389" t="s">
        <v>45</v>
      </c>
      <c r="B389" t="s">
        <v>279</v>
      </c>
      <c r="C389" t="s">
        <v>280</v>
      </c>
      <c r="D389">
        <v>18445</v>
      </c>
      <c r="E389">
        <v>6</v>
      </c>
    </row>
    <row r="390" spans="1:5" x14ac:dyDescent="0.25">
      <c r="A390" t="s">
        <v>10</v>
      </c>
      <c r="B390" t="s">
        <v>67</v>
      </c>
      <c r="C390" t="s">
        <v>281</v>
      </c>
      <c r="D390">
        <v>20763</v>
      </c>
      <c r="E390">
        <v>7</v>
      </c>
    </row>
    <row r="391" spans="1:5" x14ac:dyDescent="0.25">
      <c r="A391" t="s">
        <v>45</v>
      </c>
      <c r="B391" t="s">
        <v>196</v>
      </c>
      <c r="C391" t="s">
        <v>281</v>
      </c>
      <c r="D391">
        <v>44762</v>
      </c>
      <c r="E391">
        <v>9</v>
      </c>
    </row>
    <row r="392" spans="1:5" x14ac:dyDescent="0.25">
      <c r="A392" t="s">
        <v>25</v>
      </c>
      <c r="B392" t="s">
        <v>215</v>
      </c>
      <c r="C392" t="s">
        <v>282</v>
      </c>
      <c r="D392">
        <v>25454</v>
      </c>
      <c r="E392">
        <v>8</v>
      </c>
    </row>
    <row r="393" spans="1:5" x14ac:dyDescent="0.25">
      <c r="A393" t="s">
        <v>38</v>
      </c>
      <c r="B393" t="s">
        <v>55</v>
      </c>
      <c r="C393" t="s">
        <v>282</v>
      </c>
      <c r="D393">
        <v>53245</v>
      </c>
      <c r="E393">
        <v>6</v>
      </c>
    </row>
    <row r="394" spans="1:5" x14ac:dyDescent="0.25">
      <c r="A394" t="s">
        <v>10</v>
      </c>
      <c r="B394" t="s">
        <v>74</v>
      </c>
      <c r="C394" t="s">
        <v>282</v>
      </c>
      <c r="D394">
        <v>40123</v>
      </c>
      <c r="E394">
        <v>8</v>
      </c>
    </row>
    <row r="395" spans="1:5" x14ac:dyDescent="0.25">
      <c r="A395" t="s">
        <v>10</v>
      </c>
      <c r="B395" t="s">
        <v>139</v>
      </c>
      <c r="C395" t="s">
        <v>282</v>
      </c>
      <c r="D395">
        <v>65035</v>
      </c>
      <c r="E395">
        <v>5</v>
      </c>
    </row>
    <row r="396" spans="1:5" x14ac:dyDescent="0.25">
      <c r="A396" t="s">
        <v>5</v>
      </c>
      <c r="B396" t="s">
        <v>206</v>
      </c>
      <c r="C396" t="s">
        <v>282</v>
      </c>
      <c r="D396">
        <v>50796</v>
      </c>
      <c r="E396">
        <v>8</v>
      </c>
    </row>
    <row r="397" spans="1:5" x14ac:dyDescent="0.25">
      <c r="A397" t="s">
        <v>45</v>
      </c>
      <c r="B397" t="s">
        <v>187</v>
      </c>
      <c r="C397" t="s">
        <v>282</v>
      </c>
      <c r="D397">
        <v>27458</v>
      </c>
      <c r="E397">
        <v>6</v>
      </c>
    </row>
    <row r="398" spans="1:5" x14ac:dyDescent="0.25">
      <c r="A398" t="s">
        <v>38</v>
      </c>
      <c r="B398" t="s">
        <v>125</v>
      </c>
      <c r="C398" t="s">
        <v>282</v>
      </c>
      <c r="D398">
        <v>25877</v>
      </c>
      <c r="E398">
        <v>7</v>
      </c>
    </row>
    <row r="399" spans="1:5" x14ac:dyDescent="0.25">
      <c r="A399" t="s">
        <v>38</v>
      </c>
      <c r="B399" t="s">
        <v>73</v>
      </c>
      <c r="C399" t="s">
        <v>283</v>
      </c>
      <c r="D399">
        <v>59044</v>
      </c>
      <c r="E399">
        <v>0</v>
      </c>
    </row>
    <row r="400" spans="1:5" x14ac:dyDescent="0.25">
      <c r="A400" t="s">
        <v>8</v>
      </c>
      <c r="B400" t="s">
        <v>66</v>
      </c>
      <c r="C400" t="s">
        <v>283</v>
      </c>
      <c r="D400">
        <v>11613</v>
      </c>
      <c r="E400">
        <v>3</v>
      </c>
    </row>
    <row r="401" spans="1:5" x14ac:dyDescent="0.25">
      <c r="A401" t="s">
        <v>13</v>
      </c>
      <c r="B401" t="s">
        <v>141</v>
      </c>
      <c r="C401" t="s">
        <v>283</v>
      </c>
      <c r="D401">
        <v>44702</v>
      </c>
      <c r="E401">
        <v>0</v>
      </c>
    </row>
    <row r="402" spans="1:5" x14ac:dyDescent="0.25">
      <c r="A402" t="s">
        <v>30</v>
      </c>
      <c r="B402" t="s">
        <v>58</v>
      </c>
      <c r="C402" t="s">
        <v>283</v>
      </c>
      <c r="D402">
        <v>44485</v>
      </c>
      <c r="E402">
        <v>6</v>
      </c>
    </row>
    <row r="403" spans="1:5" x14ac:dyDescent="0.25">
      <c r="A403" t="s">
        <v>25</v>
      </c>
      <c r="B403" t="s">
        <v>202</v>
      </c>
      <c r="C403" t="s">
        <v>284</v>
      </c>
      <c r="D403">
        <v>12882</v>
      </c>
      <c r="E403">
        <v>10</v>
      </c>
    </row>
    <row r="404" spans="1:5" x14ac:dyDescent="0.25">
      <c r="A404" t="s">
        <v>8</v>
      </c>
      <c r="B404" t="s">
        <v>49</v>
      </c>
      <c r="C404" t="s">
        <v>285</v>
      </c>
      <c r="D404">
        <v>11789</v>
      </c>
      <c r="E404">
        <v>8</v>
      </c>
    </row>
    <row r="405" spans="1:5" x14ac:dyDescent="0.25">
      <c r="A405" t="s">
        <v>5</v>
      </c>
      <c r="B405" t="s">
        <v>226</v>
      </c>
      <c r="C405" t="s">
        <v>285</v>
      </c>
      <c r="D405">
        <v>72540</v>
      </c>
      <c r="E405">
        <v>7</v>
      </c>
    </row>
    <row r="406" spans="1:5" x14ac:dyDescent="0.25">
      <c r="A406" t="s">
        <v>30</v>
      </c>
      <c r="B406" t="s">
        <v>221</v>
      </c>
      <c r="C406" t="s">
        <v>285</v>
      </c>
      <c r="D406">
        <v>34658</v>
      </c>
      <c r="E406">
        <v>6</v>
      </c>
    </row>
    <row r="407" spans="1:5" x14ac:dyDescent="0.25">
      <c r="A407" t="s">
        <v>18</v>
      </c>
      <c r="B407" t="s">
        <v>265</v>
      </c>
      <c r="C407" t="s">
        <v>286</v>
      </c>
      <c r="D407">
        <v>51321</v>
      </c>
      <c r="E407">
        <v>7</v>
      </c>
    </row>
    <row r="408" spans="1:5" x14ac:dyDescent="0.25">
      <c r="A408" t="s">
        <v>10</v>
      </c>
      <c r="B408" t="s">
        <v>106</v>
      </c>
      <c r="C408" t="s">
        <v>286</v>
      </c>
      <c r="D408">
        <v>58634</v>
      </c>
      <c r="E408">
        <v>0</v>
      </c>
    </row>
    <row r="409" spans="1:5" x14ac:dyDescent="0.25">
      <c r="A409" t="s">
        <v>25</v>
      </c>
      <c r="B409" t="s">
        <v>287</v>
      </c>
      <c r="C409" t="s">
        <v>288</v>
      </c>
      <c r="D409">
        <v>84092</v>
      </c>
      <c r="E409">
        <v>6</v>
      </c>
    </row>
    <row r="410" spans="1:5" x14ac:dyDescent="0.25">
      <c r="A410" t="s">
        <v>18</v>
      </c>
      <c r="B410" t="s">
        <v>289</v>
      </c>
      <c r="C410" t="s">
        <v>288</v>
      </c>
      <c r="D410">
        <v>25816</v>
      </c>
      <c r="E410">
        <v>5</v>
      </c>
    </row>
    <row r="411" spans="1:5" x14ac:dyDescent="0.25">
      <c r="A411" t="s">
        <v>30</v>
      </c>
      <c r="B411" t="s">
        <v>20</v>
      </c>
      <c r="C411" t="s">
        <v>288</v>
      </c>
      <c r="D411">
        <v>29630</v>
      </c>
      <c r="E411">
        <v>6</v>
      </c>
    </row>
    <row r="412" spans="1:5" x14ac:dyDescent="0.25">
      <c r="A412" t="s">
        <v>16</v>
      </c>
      <c r="B412" t="s">
        <v>9</v>
      </c>
      <c r="C412" t="s">
        <v>288</v>
      </c>
      <c r="D412">
        <v>11739</v>
      </c>
      <c r="E412">
        <v>7</v>
      </c>
    </row>
    <row r="413" spans="1:5" x14ac:dyDescent="0.25">
      <c r="A413" t="s">
        <v>8</v>
      </c>
      <c r="B413" t="s">
        <v>20</v>
      </c>
      <c r="C413" t="s">
        <v>288</v>
      </c>
      <c r="D413">
        <v>87129</v>
      </c>
      <c r="E413">
        <v>3</v>
      </c>
    </row>
    <row r="414" spans="1:5" x14ac:dyDescent="0.25">
      <c r="A414" t="s">
        <v>16</v>
      </c>
      <c r="B414" t="s">
        <v>223</v>
      </c>
      <c r="C414" t="s">
        <v>288</v>
      </c>
      <c r="D414">
        <v>29234</v>
      </c>
      <c r="E414">
        <v>7</v>
      </c>
    </row>
    <row r="415" spans="1:5" x14ac:dyDescent="0.25">
      <c r="A415" t="s">
        <v>47</v>
      </c>
      <c r="B415" t="s">
        <v>196</v>
      </c>
      <c r="C415" t="s">
        <v>288</v>
      </c>
      <c r="D415">
        <v>67921</v>
      </c>
      <c r="E415">
        <v>1</v>
      </c>
    </row>
    <row r="416" spans="1:5" x14ac:dyDescent="0.25">
      <c r="A416" t="s">
        <v>47</v>
      </c>
      <c r="B416" t="s">
        <v>212</v>
      </c>
      <c r="C416" t="s">
        <v>288</v>
      </c>
      <c r="D416">
        <v>16657</v>
      </c>
      <c r="E416">
        <v>0</v>
      </c>
    </row>
    <row r="417" spans="1:5" x14ac:dyDescent="0.25">
      <c r="A417" t="s">
        <v>8</v>
      </c>
      <c r="B417" t="s">
        <v>144</v>
      </c>
      <c r="C417" t="s">
        <v>290</v>
      </c>
      <c r="D417">
        <v>12252</v>
      </c>
      <c r="E417">
        <v>9</v>
      </c>
    </row>
    <row r="418" spans="1:5" x14ac:dyDescent="0.25">
      <c r="A418" t="s">
        <v>47</v>
      </c>
      <c r="B418" t="s">
        <v>91</v>
      </c>
      <c r="C418" t="s">
        <v>290</v>
      </c>
      <c r="D418">
        <v>81580</v>
      </c>
      <c r="E418">
        <v>10</v>
      </c>
    </row>
    <row r="419" spans="1:5" x14ac:dyDescent="0.25">
      <c r="A419" t="s">
        <v>10</v>
      </c>
      <c r="B419" t="s">
        <v>142</v>
      </c>
      <c r="C419" t="s">
        <v>290</v>
      </c>
      <c r="D419">
        <v>26476</v>
      </c>
      <c r="E419">
        <v>0</v>
      </c>
    </row>
    <row r="420" spans="1:5" x14ac:dyDescent="0.25">
      <c r="A420" t="s">
        <v>27</v>
      </c>
      <c r="B420" t="s">
        <v>130</v>
      </c>
      <c r="C420" t="s">
        <v>291</v>
      </c>
      <c r="D420">
        <v>53498</v>
      </c>
      <c r="E420">
        <v>8</v>
      </c>
    </row>
    <row r="421" spans="1:5" x14ac:dyDescent="0.25">
      <c r="A421" t="s">
        <v>8</v>
      </c>
      <c r="B421" t="s">
        <v>121</v>
      </c>
      <c r="C421" t="s">
        <v>291</v>
      </c>
      <c r="D421">
        <v>38481</v>
      </c>
      <c r="E421">
        <v>8</v>
      </c>
    </row>
    <row r="422" spans="1:5" x14ac:dyDescent="0.25">
      <c r="A422" t="s">
        <v>38</v>
      </c>
      <c r="B422" t="s">
        <v>248</v>
      </c>
      <c r="C422" t="s">
        <v>291</v>
      </c>
      <c r="D422">
        <v>24642</v>
      </c>
      <c r="E422">
        <v>6</v>
      </c>
    </row>
    <row r="423" spans="1:5" x14ac:dyDescent="0.25">
      <c r="A423" t="s">
        <v>10</v>
      </c>
      <c r="B423" t="s">
        <v>217</v>
      </c>
      <c r="C423" t="s">
        <v>292</v>
      </c>
      <c r="D423">
        <v>69956</v>
      </c>
      <c r="E423">
        <v>3</v>
      </c>
    </row>
    <row r="424" spans="1:5" x14ac:dyDescent="0.25">
      <c r="A424" t="s">
        <v>45</v>
      </c>
      <c r="B424" t="s">
        <v>293</v>
      </c>
      <c r="C424" t="s">
        <v>292</v>
      </c>
      <c r="D424">
        <v>34583</v>
      </c>
      <c r="E424">
        <v>4</v>
      </c>
    </row>
    <row r="425" spans="1:5" x14ac:dyDescent="0.25">
      <c r="A425" t="s">
        <v>16</v>
      </c>
      <c r="B425" t="s">
        <v>122</v>
      </c>
      <c r="C425" t="s">
        <v>292</v>
      </c>
      <c r="D425">
        <v>81554</v>
      </c>
      <c r="E425">
        <v>9</v>
      </c>
    </row>
    <row r="426" spans="1:5" x14ac:dyDescent="0.25">
      <c r="A426" t="s">
        <v>45</v>
      </c>
      <c r="B426" t="s">
        <v>77</v>
      </c>
      <c r="C426" t="s">
        <v>292</v>
      </c>
      <c r="D426">
        <v>47962</v>
      </c>
      <c r="E426">
        <v>6</v>
      </c>
    </row>
    <row r="427" spans="1:5" x14ac:dyDescent="0.25">
      <c r="A427" t="s">
        <v>47</v>
      </c>
      <c r="B427" t="s">
        <v>227</v>
      </c>
      <c r="C427" t="s">
        <v>294</v>
      </c>
      <c r="D427">
        <v>91164</v>
      </c>
      <c r="E427">
        <v>2</v>
      </c>
    </row>
    <row r="428" spans="1:5" x14ac:dyDescent="0.25">
      <c r="A428" t="s">
        <v>10</v>
      </c>
      <c r="B428" t="s">
        <v>295</v>
      </c>
      <c r="C428" t="s">
        <v>294</v>
      </c>
      <c r="D428">
        <v>85979</v>
      </c>
      <c r="E428">
        <v>6</v>
      </c>
    </row>
    <row r="429" spans="1:5" x14ac:dyDescent="0.25">
      <c r="A429" t="s">
        <v>30</v>
      </c>
      <c r="B429" t="s">
        <v>134</v>
      </c>
      <c r="C429" t="s">
        <v>294</v>
      </c>
      <c r="D429">
        <v>51610</v>
      </c>
      <c r="E429">
        <v>4</v>
      </c>
    </row>
    <row r="430" spans="1:5" x14ac:dyDescent="0.25">
      <c r="A430" t="s">
        <v>18</v>
      </c>
      <c r="B430" t="s">
        <v>296</v>
      </c>
      <c r="C430" t="s">
        <v>294</v>
      </c>
      <c r="D430">
        <v>90805</v>
      </c>
      <c r="E430">
        <v>8</v>
      </c>
    </row>
    <row r="431" spans="1:5" x14ac:dyDescent="0.25">
      <c r="A431" t="s">
        <v>47</v>
      </c>
      <c r="B431" t="s">
        <v>165</v>
      </c>
      <c r="C431" t="s">
        <v>297</v>
      </c>
      <c r="D431">
        <v>16533</v>
      </c>
      <c r="E431">
        <v>7</v>
      </c>
    </row>
    <row r="432" spans="1:5" x14ac:dyDescent="0.25">
      <c r="A432" t="s">
        <v>8</v>
      </c>
      <c r="B432" t="s">
        <v>226</v>
      </c>
      <c r="C432" t="s">
        <v>297</v>
      </c>
      <c r="D432">
        <v>71070</v>
      </c>
      <c r="E432">
        <v>7</v>
      </c>
    </row>
    <row r="433" spans="1:5" x14ac:dyDescent="0.25">
      <c r="A433" t="s">
        <v>10</v>
      </c>
      <c r="B433" t="s">
        <v>149</v>
      </c>
      <c r="C433" t="s">
        <v>297</v>
      </c>
      <c r="D433">
        <v>64084</v>
      </c>
      <c r="E433">
        <v>5</v>
      </c>
    </row>
    <row r="434" spans="1:5" x14ac:dyDescent="0.25">
      <c r="A434" t="s">
        <v>30</v>
      </c>
      <c r="B434" t="s">
        <v>289</v>
      </c>
      <c r="C434" t="s">
        <v>297</v>
      </c>
      <c r="D434">
        <v>81103</v>
      </c>
      <c r="E434">
        <v>7</v>
      </c>
    </row>
    <row r="435" spans="1:5" x14ac:dyDescent="0.25">
      <c r="A435" t="s">
        <v>10</v>
      </c>
      <c r="B435" t="s">
        <v>298</v>
      </c>
      <c r="C435" t="s">
        <v>297</v>
      </c>
      <c r="D435">
        <v>90026</v>
      </c>
      <c r="E435">
        <v>9</v>
      </c>
    </row>
    <row r="436" spans="1:5" x14ac:dyDescent="0.25">
      <c r="A436" t="s">
        <v>18</v>
      </c>
      <c r="B436" t="s">
        <v>299</v>
      </c>
      <c r="C436" t="s">
        <v>297</v>
      </c>
      <c r="D436">
        <v>69833</v>
      </c>
      <c r="E436">
        <v>9</v>
      </c>
    </row>
    <row r="437" spans="1:5" x14ac:dyDescent="0.25">
      <c r="A437" t="s">
        <v>30</v>
      </c>
      <c r="B437" t="s">
        <v>20</v>
      </c>
      <c r="C437" t="s">
        <v>297</v>
      </c>
      <c r="D437">
        <v>33788</v>
      </c>
      <c r="E437">
        <v>8</v>
      </c>
    </row>
    <row r="438" spans="1:5" x14ac:dyDescent="0.25">
      <c r="A438" t="s">
        <v>16</v>
      </c>
      <c r="B438" t="s">
        <v>300</v>
      </c>
      <c r="C438" t="s">
        <v>297</v>
      </c>
      <c r="D438">
        <v>94410</v>
      </c>
      <c r="E438">
        <v>7</v>
      </c>
    </row>
    <row r="439" spans="1:5" x14ac:dyDescent="0.25">
      <c r="A439" t="s">
        <v>30</v>
      </c>
      <c r="B439" t="s">
        <v>190</v>
      </c>
      <c r="C439" t="s">
        <v>301</v>
      </c>
      <c r="D439">
        <v>43547</v>
      </c>
      <c r="E439">
        <v>6</v>
      </c>
    </row>
    <row r="440" spans="1:5" x14ac:dyDescent="0.25">
      <c r="A440" t="s">
        <v>16</v>
      </c>
      <c r="B440" t="s">
        <v>239</v>
      </c>
      <c r="C440" t="s">
        <v>301</v>
      </c>
      <c r="D440">
        <v>80046</v>
      </c>
      <c r="E440">
        <v>8</v>
      </c>
    </row>
    <row r="441" spans="1:5" x14ac:dyDescent="0.25">
      <c r="A441" t="s">
        <v>38</v>
      </c>
      <c r="B441" t="s">
        <v>195</v>
      </c>
      <c r="C441" t="s">
        <v>301</v>
      </c>
      <c r="D441">
        <v>73166</v>
      </c>
      <c r="E441">
        <v>5</v>
      </c>
    </row>
    <row r="442" spans="1:5" x14ac:dyDescent="0.25">
      <c r="A442" t="s">
        <v>10</v>
      </c>
      <c r="B442" t="s">
        <v>248</v>
      </c>
      <c r="C442" t="s">
        <v>302</v>
      </c>
      <c r="D442">
        <v>23412</v>
      </c>
      <c r="E442">
        <v>9</v>
      </c>
    </row>
    <row r="443" spans="1:5" x14ac:dyDescent="0.25">
      <c r="A443" t="s">
        <v>45</v>
      </c>
      <c r="B443" t="s">
        <v>128</v>
      </c>
      <c r="C443" t="s">
        <v>302</v>
      </c>
      <c r="D443">
        <v>55251</v>
      </c>
      <c r="E443">
        <v>5</v>
      </c>
    </row>
    <row r="444" spans="1:5" x14ac:dyDescent="0.25">
      <c r="A444" t="s">
        <v>47</v>
      </c>
      <c r="B444" t="s">
        <v>144</v>
      </c>
      <c r="C444" t="s">
        <v>302</v>
      </c>
      <c r="D444">
        <v>67868</v>
      </c>
      <c r="E444">
        <v>10</v>
      </c>
    </row>
    <row r="445" spans="1:5" x14ac:dyDescent="0.25">
      <c r="A445" t="s">
        <v>8</v>
      </c>
      <c r="B445" t="s">
        <v>58</v>
      </c>
      <c r="C445" t="s">
        <v>302</v>
      </c>
      <c r="D445">
        <v>48556</v>
      </c>
      <c r="E445">
        <v>6</v>
      </c>
    </row>
    <row r="446" spans="1:5" x14ac:dyDescent="0.25">
      <c r="A446" t="s">
        <v>30</v>
      </c>
      <c r="B446" t="s">
        <v>94</v>
      </c>
      <c r="C446" t="s">
        <v>303</v>
      </c>
      <c r="D446">
        <v>22123</v>
      </c>
      <c r="E446">
        <v>5</v>
      </c>
    </row>
    <row r="447" spans="1:5" x14ac:dyDescent="0.25">
      <c r="A447" t="s">
        <v>27</v>
      </c>
      <c r="B447" t="s">
        <v>178</v>
      </c>
      <c r="C447" t="s">
        <v>303</v>
      </c>
      <c r="D447">
        <v>81408</v>
      </c>
      <c r="E447">
        <v>6</v>
      </c>
    </row>
    <row r="448" spans="1:5" x14ac:dyDescent="0.25">
      <c r="A448" t="s">
        <v>45</v>
      </c>
      <c r="B448" t="s">
        <v>157</v>
      </c>
      <c r="C448" t="s">
        <v>304</v>
      </c>
      <c r="D448">
        <v>77306</v>
      </c>
      <c r="E448">
        <v>7</v>
      </c>
    </row>
    <row r="449" spans="1:5" x14ac:dyDescent="0.25">
      <c r="A449" t="s">
        <v>18</v>
      </c>
      <c r="B449" t="s">
        <v>114</v>
      </c>
      <c r="C449" t="s">
        <v>304</v>
      </c>
      <c r="D449">
        <v>15184</v>
      </c>
      <c r="E449">
        <v>8</v>
      </c>
    </row>
    <row r="450" spans="1:5" x14ac:dyDescent="0.25">
      <c r="A450" t="s">
        <v>25</v>
      </c>
      <c r="B450" t="s">
        <v>94</v>
      </c>
      <c r="C450" t="s">
        <v>304</v>
      </c>
      <c r="D450">
        <v>26572</v>
      </c>
      <c r="E450">
        <v>4</v>
      </c>
    </row>
    <row r="451" spans="1:5" x14ac:dyDescent="0.25">
      <c r="A451" t="s">
        <v>13</v>
      </c>
      <c r="B451" t="s">
        <v>187</v>
      </c>
      <c r="C451" t="s">
        <v>304</v>
      </c>
      <c r="D451">
        <v>95294</v>
      </c>
      <c r="E451">
        <v>6</v>
      </c>
    </row>
    <row r="452" spans="1:5" x14ac:dyDescent="0.25">
      <c r="A452" t="s">
        <v>5</v>
      </c>
      <c r="B452" t="s">
        <v>152</v>
      </c>
      <c r="C452" t="s">
        <v>305</v>
      </c>
      <c r="D452">
        <v>64723</v>
      </c>
      <c r="E452">
        <v>7</v>
      </c>
    </row>
    <row r="453" spans="1:5" x14ac:dyDescent="0.25">
      <c r="A453" t="s">
        <v>10</v>
      </c>
      <c r="B453" t="s">
        <v>50</v>
      </c>
      <c r="C453" t="s">
        <v>305</v>
      </c>
      <c r="D453">
        <v>57303</v>
      </c>
      <c r="E453">
        <v>6</v>
      </c>
    </row>
    <row r="454" spans="1:5" x14ac:dyDescent="0.25">
      <c r="A454" t="s">
        <v>30</v>
      </c>
      <c r="B454" t="s">
        <v>217</v>
      </c>
      <c r="C454" t="s">
        <v>305</v>
      </c>
      <c r="D454">
        <v>31469</v>
      </c>
      <c r="E454">
        <v>8</v>
      </c>
    </row>
    <row r="455" spans="1:5" x14ac:dyDescent="0.25">
      <c r="A455" t="s">
        <v>30</v>
      </c>
      <c r="B455" t="s">
        <v>306</v>
      </c>
      <c r="C455" t="s">
        <v>305</v>
      </c>
      <c r="D455">
        <v>40473</v>
      </c>
      <c r="E455">
        <v>5</v>
      </c>
    </row>
    <row r="456" spans="1:5" x14ac:dyDescent="0.25">
      <c r="A456" t="s">
        <v>30</v>
      </c>
      <c r="B456" t="s">
        <v>72</v>
      </c>
      <c r="C456" t="s">
        <v>305</v>
      </c>
      <c r="D456">
        <v>49564</v>
      </c>
      <c r="E456">
        <v>5</v>
      </c>
    </row>
    <row r="457" spans="1:5" x14ac:dyDescent="0.25">
      <c r="A457" t="s">
        <v>8</v>
      </c>
      <c r="B457" t="s">
        <v>155</v>
      </c>
      <c r="C457" t="s">
        <v>305</v>
      </c>
      <c r="D457">
        <v>60252</v>
      </c>
      <c r="E457">
        <v>4</v>
      </c>
    </row>
    <row r="458" spans="1:5" x14ac:dyDescent="0.25">
      <c r="A458" t="s">
        <v>16</v>
      </c>
      <c r="B458" t="s">
        <v>68</v>
      </c>
      <c r="C458" t="s">
        <v>305</v>
      </c>
      <c r="D458">
        <v>98743</v>
      </c>
      <c r="E458">
        <v>1</v>
      </c>
    </row>
    <row r="459" spans="1:5" x14ac:dyDescent="0.25">
      <c r="A459" t="s">
        <v>45</v>
      </c>
      <c r="B459" t="s">
        <v>153</v>
      </c>
      <c r="C459" t="s">
        <v>305</v>
      </c>
      <c r="D459">
        <v>22814</v>
      </c>
      <c r="E459">
        <v>7</v>
      </c>
    </row>
    <row r="460" spans="1:5" x14ac:dyDescent="0.25">
      <c r="A460" t="s">
        <v>47</v>
      </c>
      <c r="B460" t="s">
        <v>205</v>
      </c>
      <c r="C460" t="s">
        <v>305</v>
      </c>
      <c r="D460">
        <v>82369</v>
      </c>
      <c r="E460">
        <v>4</v>
      </c>
    </row>
    <row r="461" spans="1:5" x14ac:dyDescent="0.25">
      <c r="A461" t="s">
        <v>8</v>
      </c>
      <c r="B461" t="s">
        <v>73</v>
      </c>
      <c r="C461" t="s">
        <v>305</v>
      </c>
      <c r="D461">
        <v>69179</v>
      </c>
      <c r="E461">
        <v>3</v>
      </c>
    </row>
    <row r="462" spans="1:5" x14ac:dyDescent="0.25">
      <c r="A462" t="s">
        <v>5</v>
      </c>
      <c r="B462" t="s">
        <v>307</v>
      </c>
      <c r="C462" t="s">
        <v>305</v>
      </c>
      <c r="D462">
        <v>43982</v>
      </c>
      <c r="E462">
        <v>6</v>
      </c>
    </row>
    <row r="463" spans="1:5" x14ac:dyDescent="0.25">
      <c r="A463" t="s">
        <v>47</v>
      </c>
      <c r="B463" t="s">
        <v>51</v>
      </c>
      <c r="C463" t="s">
        <v>305</v>
      </c>
      <c r="D463">
        <v>31744</v>
      </c>
      <c r="E463">
        <v>5</v>
      </c>
    </row>
    <row r="464" spans="1:5" x14ac:dyDescent="0.25">
      <c r="A464" t="s">
        <v>25</v>
      </c>
      <c r="B464" t="s">
        <v>142</v>
      </c>
      <c r="C464" t="s">
        <v>308</v>
      </c>
      <c r="D464">
        <v>78749</v>
      </c>
      <c r="E464">
        <v>3</v>
      </c>
    </row>
    <row r="465" spans="1:5" x14ac:dyDescent="0.25">
      <c r="A465" t="s">
        <v>18</v>
      </c>
      <c r="B465" t="s">
        <v>309</v>
      </c>
      <c r="C465" t="s">
        <v>308</v>
      </c>
      <c r="D465">
        <v>10817</v>
      </c>
      <c r="E465">
        <v>6</v>
      </c>
    </row>
    <row r="466" spans="1:5" x14ac:dyDescent="0.25">
      <c r="A466" t="s">
        <v>8</v>
      </c>
      <c r="B466" t="s">
        <v>42</v>
      </c>
      <c r="C466" t="s">
        <v>308</v>
      </c>
      <c r="D466">
        <v>79846</v>
      </c>
      <c r="E466">
        <v>7</v>
      </c>
    </row>
    <row r="467" spans="1:5" x14ac:dyDescent="0.25">
      <c r="A467" t="s">
        <v>8</v>
      </c>
      <c r="B467" t="s">
        <v>80</v>
      </c>
      <c r="C467" t="s">
        <v>308</v>
      </c>
      <c r="D467">
        <v>87603</v>
      </c>
      <c r="E467">
        <v>2</v>
      </c>
    </row>
    <row r="468" spans="1:5" x14ac:dyDescent="0.25">
      <c r="A468" t="s">
        <v>13</v>
      </c>
      <c r="B468" t="s">
        <v>61</v>
      </c>
      <c r="C468" t="s">
        <v>308</v>
      </c>
      <c r="D468">
        <v>86275</v>
      </c>
      <c r="E468">
        <v>5</v>
      </c>
    </row>
    <row r="469" spans="1:5" x14ac:dyDescent="0.25">
      <c r="A469" t="s">
        <v>45</v>
      </c>
      <c r="B469" t="s">
        <v>22</v>
      </c>
      <c r="C469" t="s">
        <v>310</v>
      </c>
      <c r="D469">
        <v>83444</v>
      </c>
      <c r="E469">
        <v>7</v>
      </c>
    </row>
    <row r="470" spans="1:5" x14ac:dyDescent="0.25">
      <c r="A470" t="s">
        <v>45</v>
      </c>
      <c r="B470" t="s">
        <v>89</v>
      </c>
      <c r="C470" t="s">
        <v>311</v>
      </c>
      <c r="D470">
        <v>59269</v>
      </c>
      <c r="E470">
        <v>3</v>
      </c>
    </row>
    <row r="471" spans="1:5" x14ac:dyDescent="0.25">
      <c r="A471" t="s">
        <v>47</v>
      </c>
      <c r="B471" t="s">
        <v>142</v>
      </c>
      <c r="C471" t="s">
        <v>311</v>
      </c>
      <c r="D471">
        <v>44459</v>
      </c>
      <c r="E471">
        <v>7</v>
      </c>
    </row>
    <row r="472" spans="1:5" x14ac:dyDescent="0.25">
      <c r="A472" t="s">
        <v>16</v>
      </c>
      <c r="B472" t="s">
        <v>188</v>
      </c>
      <c r="C472" t="s">
        <v>312</v>
      </c>
      <c r="D472">
        <v>54781</v>
      </c>
      <c r="E472">
        <v>6</v>
      </c>
    </row>
    <row r="473" spans="1:5" x14ac:dyDescent="0.25">
      <c r="A473" t="s">
        <v>5</v>
      </c>
      <c r="B473" t="s">
        <v>11</v>
      </c>
      <c r="C473" t="s">
        <v>312</v>
      </c>
      <c r="D473">
        <v>23686</v>
      </c>
      <c r="E473">
        <v>5</v>
      </c>
    </row>
    <row r="474" spans="1:5" x14ac:dyDescent="0.25">
      <c r="A474" t="s">
        <v>45</v>
      </c>
      <c r="B474" t="s">
        <v>151</v>
      </c>
      <c r="C474" t="s">
        <v>312</v>
      </c>
      <c r="D474">
        <v>31226</v>
      </c>
      <c r="E474">
        <v>10</v>
      </c>
    </row>
    <row r="475" spans="1:5" x14ac:dyDescent="0.25">
      <c r="A475" t="s">
        <v>38</v>
      </c>
      <c r="B475" t="s">
        <v>65</v>
      </c>
      <c r="C475" t="s">
        <v>312</v>
      </c>
      <c r="D475">
        <v>98700</v>
      </c>
      <c r="E475">
        <v>2</v>
      </c>
    </row>
    <row r="476" spans="1:5" x14ac:dyDescent="0.25">
      <c r="A476" t="s">
        <v>45</v>
      </c>
      <c r="B476" t="s">
        <v>80</v>
      </c>
      <c r="C476" t="s">
        <v>312</v>
      </c>
      <c r="D476">
        <v>53059</v>
      </c>
      <c r="E476">
        <v>7</v>
      </c>
    </row>
    <row r="477" spans="1:5" x14ac:dyDescent="0.25">
      <c r="A477" t="s">
        <v>30</v>
      </c>
      <c r="B477" t="s">
        <v>61</v>
      </c>
      <c r="C477" t="s">
        <v>312</v>
      </c>
      <c r="D477">
        <v>86161</v>
      </c>
      <c r="E477">
        <v>7</v>
      </c>
    </row>
    <row r="478" spans="1:5" x14ac:dyDescent="0.25">
      <c r="A478" t="s">
        <v>13</v>
      </c>
      <c r="B478" t="s">
        <v>313</v>
      </c>
      <c r="C478" t="s">
        <v>312</v>
      </c>
      <c r="D478">
        <v>24798</v>
      </c>
      <c r="E478">
        <v>9</v>
      </c>
    </row>
    <row r="479" spans="1:5" x14ac:dyDescent="0.25">
      <c r="A479" t="s">
        <v>13</v>
      </c>
      <c r="B479" t="s">
        <v>35</v>
      </c>
      <c r="C479" t="s">
        <v>312</v>
      </c>
      <c r="D479">
        <v>55120</v>
      </c>
      <c r="E479">
        <v>4</v>
      </c>
    </row>
    <row r="480" spans="1:5" x14ac:dyDescent="0.25">
      <c r="A480" t="s">
        <v>38</v>
      </c>
      <c r="B480" t="s">
        <v>293</v>
      </c>
      <c r="C480" t="s">
        <v>312</v>
      </c>
      <c r="D480">
        <v>48520</v>
      </c>
      <c r="E480">
        <v>5</v>
      </c>
    </row>
    <row r="481" spans="1:5" x14ac:dyDescent="0.25">
      <c r="A481" t="s">
        <v>45</v>
      </c>
      <c r="B481" t="s">
        <v>53</v>
      </c>
      <c r="C481" t="s">
        <v>312</v>
      </c>
      <c r="D481">
        <v>25910</v>
      </c>
      <c r="E481">
        <v>3</v>
      </c>
    </row>
    <row r="482" spans="1:5" x14ac:dyDescent="0.25">
      <c r="A482" t="s">
        <v>45</v>
      </c>
      <c r="B482" t="s">
        <v>232</v>
      </c>
      <c r="C482" t="s">
        <v>312</v>
      </c>
      <c r="D482">
        <v>62556</v>
      </c>
      <c r="E482">
        <v>4</v>
      </c>
    </row>
    <row r="483" spans="1:5" x14ac:dyDescent="0.25">
      <c r="A483" t="s">
        <v>38</v>
      </c>
      <c r="B483" t="s">
        <v>128</v>
      </c>
      <c r="C483" t="s">
        <v>312</v>
      </c>
      <c r="D483">
        <v>99529</v>
      </c>
      <c r="E483">
        <v>6</v>
      </c>
    </row>
    <row r="484" spans="1:5" x14ac:dyDescent="0.25">
      <c r="A484" t="s">
        <v>8</v>
      </c>
      <c r="B484" t="s">
        <v>196</v>
      </c>
      <c r="C484" t="s">
        <v>312</v>
      </c>
      <c r="D484">
        <v>25124</v>
      </c>
      <c r="E484">
        <v>5</v>
      </c>
    </row>
    <row r="485" spans="1:5" x14ac:dyDescent="0.25">
      <c r="A485" t="s">
        <v>10</v>
      </c>
      <c r="B485" t="s">
        <v>132</v>
      </c>
      <c r="C485" t="s">
        <v>314</v>
      </c>
      <c r="D485">
        <v>92363</v>
      </c>
      <c r="E485">
        <v>2</v>
      </c>
    </row>
    <row r="486" spans="1:5" x14ac:dyDescent="0.25">
      <c r="A486" t="s">
        <v>8</v>
      </c>
      <c r="B486" t="s">
        <v>84</v>
      </c>
      <c r="C486" t="s">
        <v>314</v>
      </c>
      <c r="D486">
        <v>36285</v>
      </c>
      <c r="E486">
        <v>4</v>
      </c>
    </row>
    <row r="487" spans="1:5" x14ac:dyDescent="0.25">
      <c r="A487" t="s">
        <v>10</v>
      </c>
      <c r="B487" t="s">
        <v>99</v>
      </c>
      <c r="C487" t="s">
        <v>314</v>
      </c>
      <c r="D487">
        <v>97000</v>
      </c>
      <c r="E487">
        <v>8</v>
      </c>
    </row>
    <row r="488" spans="1:5" x14ac:dyDescent="0.25">
      <c r="A488" t="s">
        <v>27</v>
      </c>
      <c r="B488" t="s">
        <v>57</v>
      </c>
      <c r="C488" t="s">
        <v>314</v>
      </c>
      <c r="D488">
        <v>52124</v>
      </c>
      <c r="E488">
        <v>5</v>
      </c>
    </row>
    <row r="489" spans="1:5" x14ac:dyDescent="0.25">
      <c r="A489" t="s">
        <v>10</v>
      </c>
      <c r="B489" t="s">
        <v>248</v>
      </c>
      <c r="C489" t="s">
        <v>314</v>
      </c>
      <c r="D489">
        <v>17782</v>
      </c>
      <c r="E489">
        <v>6</v>
      </c>
    </row>
    <row r="490" spans="1:5" x14ac:dyDescent="0.25">
      <c r="A490" t="s">
        <v>5</v>
      </c>
      <c r="B490" t="s">
        <v>41</v>
      </c>
      <c r="C490" t="s">
        <v>315</v>
      </c>
      <c r="D490">
        <v>56939</v>
      </c>
      <c r="E490">
        <v>7</v>
      </c>
    </row>
    <row r="491" spans="1:5" x14ac:dyDescent="0.25">
      <c r="A491" t="s">
        <v>25</v>
      </c>
      <c r="B491" t="s">
        <v>270</v>
      </c>
      <c r="C491" t="s">
        <v>316</v>
      </c>
      <c r="D491">
        <v>71638</v>
      </c>
      <c r="E491">
        <v>7</v>
      </c>
    </row>
    <row r="492" spans="1:5" x14ac:dyDescent="0.25">
      <c r="A492" t="s">
        <v>30</v>
      </c>
      <c r="B492" t="s">
        <v>55</v>
      </c>
      <c r="C492" t="s">
        <v>317</v>
      </c>
      <c r="D492">
        <v>83603</v>
      </c>
      <c r="E492">
        <v>8</v>
      </c>
    </row>
    <row r="493" spans="1:5" x14ac:dyDescent="0.25">
      <c r="A493" t="s">
        <v>30</v>
      </c>
      <c r="B493" t="s">
        <v>103</v>
      </c>
      <c r="C493" t="s">
        <v>318</v>
      </c>
      <c r="D493">
        <v>18286</v>
      </c>
      <c r="E493">
        <v>10</v>
      </c>
    </row>
    <row r="494" spans="1:5" x14ac:dyDescent="0.25">
      <c r="A494" t="s">
        <v>5</v>
      </c>
      <c r="B494" t="s">
        <v>144</v>
      </c>
      <c r="C494" t="s">
        <v>318</v>
      </c>
      <c r="D494">
        <v>22804</v>
      </c>
      <c r="E494">
        <v>10</v>
      </c>
    </row>
    <row r="495" spans="1:5" x14ac:dyDescent="0.25">
      <c r="A495" t="s">
        <v>25</v>
      </c>
      <c r="B495" t="s">
        <v>35</v>
      </c>
      <c r="C495" t="s">
        <v>318</v>
      </c>
      <c r="D495">
        <v>53185</v>
      </c>
      <c r="E495">
        <v>5</v>
      </c>
    </row>
    <row r="496" spans="1:5" x14ac:dyDescent="0.25">
      <c r="A496" t="s">
        <v>47</v>
      </c>
      <c r="B496" t="s">
        <v>248</v>
      </c>
      <c r="C496" t="s">
        <v>318</v>
      </c>
      <c r="D496">
        <v>69122</v>
      </c>
      <c r="E496">
        <v>6</v>
      </c>
    </row>
    <row r="497" spans="1:5" x14ac:dyDescent="0.25">
      <c r="A497" t="s">
        <v>27</v>
      </c>
      <c r="B497" t="s">
        <v>188</v>
      </c>
      <c r="C497" t="s">
        <v>318</v>
      </c>
      <c r="D497">
        <v>65545</v>
      </c>
      <c r="E497">
        <v>2</v>
      </c>
    </row>
    <row r="498" spans="1:5" x14ac:dyDescent="0.25">
      <c r="A498" t="s">
        <v>47</v>
      </c>
      <c r="B498" t="s">
        <v>92</v>
      </c>
      <c r="C498" t="s">
        <v>318</v>
      </c>
      <c r="D498">
        <v>36924</v>
      </c>
      <c r="E498">
        <v>6</v>
      </c>
    </row>
    <row r="499" spans="1:5" x14ac:dyDescent="0.25">
      <c r="A499" t="s">
        <v>38</v>
      </c>
      <c r="B499" t="s">
        <v>32</v>
      </c>
      <c r="C499" t="s">
        <v>318</v>
      </c>
      <c r="D499">
        <v>69841</v>
      </c>
      <c r="E499">
        <v>4</v>
      </c>
    </row>
    <row r="500" spans="1:5" x14ac:dyDescent="0.25">
      <c r="A500" t="s">
        <v>8</v>
      </c>
      <c r="B500" t="s">
        <v>107</v>
      </c>
      <c r="C500" t="s">
        <v>318</v>
      </c>
      <c r="D500">
        <v>21669</v>
      </c>
      <c r="E500">
        <v>4</v>
      </c>
    </row>
    <row r="501" spans="1:5" x14ac:dyDescent="0.25">
      <c r="A501" t="s">
        <v>30</v>
      </c>
      <c r="B501" t="s">
        <v>264</v>
      </c>
      <c r="C501" t="s">
        <v>318</v>
      </c>
      <c r="D501">
        <v>80270</v>
      </c>
      <c r="E501">
        <v>4</v>
      </c>
    </row>
    <row r="502" spans="1:5" x14ac:dyDescent="0.25">
      <c r="A502" t="s">
        <v>27</v>
      </c>
      <c r="B502" t="s">
        <v>15</v>
      </c>
      <c r="C502" t="s">
        <v>318</v>
      </c>
      <c r="D502">
        <v>59839</v>
      </c>
      <c r="E502">
        <v>8</v>
      </c>
    </row>
    <row r="503" spans="1:5" x14ac:dyDescent="0.25">
      <c r="A503" t="s">
        <v>30</v>
      </c>
      <c r="B503" t="s">
        <v>152</v>
      </c>
      <c r="C503" t="s">
        <v>319</v>
      </c>
      <c r="D503">
        <v>86460</v>
      </c>
      <c r="E503">
        <v>3</v>
      </c>
    </row>
    <row r="504" spans="1:5" x14ac:dyDescent="0.25">
      <c r="A504" t="s">
        <v>5</v>
      </c>
      <c r="B504" t="s">
        <v>217</v>
      </c>
      <c r="C504" t="s">
        <v>319</v>
      </c>
      <c r="D504">
        <v>27287</v>
      </c>
      <c r="E504">
        <v>9</v>
      </c>
    </row>
    <row r="505" spans="1:5" x14ac:dyDescent="0.25">
      <c r="A505" t="s">
        <v>5</v>
      </c>
      <c r="B505" t="s">
        <v>126</v>
      </c>
      <c r="C505" t="s">
        <v>319</v>
      </c>
      <c r="D505">
        <v>43551</v>
      </c>
      <c r="E505">
        <v>8</v>
      </c>
    </row>
    <row r="506" spans="1:5" x14ac:dyDescent="0.25">
      <c r="A506" t="s">
        <v>45</v>
      </c>
      <c r="B506" t="s">
        <v>42</v>
      </c>
      <c r="C506" t="s">
        <v>319</v>
      </c>
      <c r="D506">
        <v>81850</v>
      </c>
      <c r="E506">
        <v>8</v>
      </c>
    </row>
    <row r="507" spans="1:5" x14ac:dyDescent="0.25">
      <c r="A507" t="s">
        <v>13</v>
      </c>
      <c r="B507" t="s">
        <v>227</v>
      </c>
      <c r="C507" t="s">
        <v>319</v>
      </c>
      <c r="D507">
        <v>67649</v>
      </c>
      <c r="E507">
        <v>6</v>
      </c>
    </row>
    <row r="508" spans="1:5" x14ac:dyDescent="0.25">
      <c r="A508" t="s">
        <v>10</v>
      </c>
      <c r="B508" t="s">
        <v>247</v>
      </c>
      <c r="C508" t="s">
        <v>320</v>
      </c>
      <c r="D508">
        <v>97658</v>
      </c>
      <c r="E508">
        <v>7</v>
      </c>
    </row>
    <row r="509" spans="1:5" x14ac:dyDescent="0.25">
      <c r="A509" t="s">
        <v>5</v>
      </c>
      <c r="B509" t="s">
        <v>73</v>
      </c>
      <c r="C509" t="s">
        <v>320</v>
      </c>
      <c r="D509">
        <v>67671</v>
      </c>
      <c r="E509">
        <v>3</v>
      </c>
    </row>
    <row r="510" spans="1:5" x14ac:dyDescent="0.25">
      <c r="A510" t="s">
        <v>47</v>
      </c>
      <c r="B510" t="s">
        <v>32</v>
      </c>
      <c r="C510" t="s">
        <v>320</v>
      </c>
      <c r="D510">
        <v>92782</v>
      </c>
      <c r="E510">
        <v>10</v>
      </c>
    </row>
    <row r="511" spans="1:5" x14ac:dyDescent="0.25">
      <c r="A511" t="s">
        <v>13</v>
      </c>
      <c r="B511" t="s">
        <v>84</v>
      </c>
      <c r="C511" t="s">
        <v>320</v>
      </c>
      <c r="D511">
        <v>26632</v>
      </c>
      <c r="E511">
        <v>1</v>
      </c>
    </row>
    <row r="512" spans="1:5" x14ac:dyDescent="0.25">
      <c r="A512" t="s">
        <v>18</v>
      </c>
      <c r="B512" t="s">
        <v>81</v>
      </c>
      <c r="C512" t="s">
        <v>320</v>
      </c>
      <c r="D512">
        <v>11041</v>
      </c>
      <c r="E512">
        <v>3</v>
      </c>
    </row>
    <row r="513" spans="1:5" x14ac:dyDescent="0.25">
      <c r="A513" t="s">
        <v>30</v>
      </c>
      <c r="B513" t="s">
        <v>9</v>
      </c>
      <c r="C513" t="s">
        <v>321</v>
      </c>
      <c r="D513">
        <v>82823</v>
      </c>
      <c r="E513">
        <v>9</v>
      </c>
    </row>
    <row r="514" spans="1:5" x14ac:dyDescent="0.25">
      <c r="A514" t="s">
        <v>25</v>
      </c>
      <c r="B514" t="s">
        <v>114</v>
      </c>
      <c r="C514" t="s">
        <v>321</v>
      </c>
      <c r="D514">
        <v>45226</v>
      </c>
      <c r="E514">
        <v>8</v>
      </c>
    </row>
    <row r="515" spans="1:5" x14ac:dyDescent="0.25">
      <c r="A515" t="s">
        <v>45</v>
      </c>
      <c r="B515" t="s">
        <v>128</v>
      </c>
      <c r="C515" t="s">
        <v>321</v>
      </c>
      <c r="D515">
        <v>76038</v>
      </c>
      <c r="E515">
        <v>6</v>
      </c>
    </row>
    <row r="516" spans="1:5" x14ac:dyDescent="0.25">
      <c r="A516" t="s">
        <v>27</v>
      </c>
      <c r="B516" t="s">
        <v>57</v>
      </c>
      <c r="C516" t="s">
        <v>322</v>
      </c>
      <c r="D516">
        <v>15686</v>
      </c>
      <c r="E516">
        <v>0</v>
      </c>
    </row>
    <row r="517" spans="1:5" x14ac:dyDescent="0.25">
      <c r="A517" t="s">
        <v>30</v>
      </c>
      <c r="B517" t="s">
        <v>269</v>
      </c>
      <c r="C517" t="s">
        <v>322</v>
      </c>
      <c r="D517">
        <v>75735</v>
      </c>
      <c r="E517">
        <v>10</v>
      </c>
    </row>
    <row r="518" spans="1:5" x14ac:dyDescent="0.25">
      <c r="A518" t="s">
        <v>5</v>
      </c>
      <c r="B518" t="s">
        <v>232</v>
      </c>
      <c r="C518" t="s">
        <v>323</v>
      </c>
      <c r="D518">
        <v>20910</v>
      </c>
      <c r="E518">
        <v>5</v>
      </c>
    </row>
    <row r="519" spans="1:5" x14ac:dyDescent="0.25">
      <c r="A519" t="s">
        <v>18</v>
      </c>
      <c r="B519" t="s">
        <v>89</v>
      </c>
      <c r="C519" t="s">
        <v>323</v>
      </c>
      <c r="D519">
        <v>23685</v>
      </c>
      <c r="E519">
        <v>9</v>
      </c>
    </row>
    <row r="520" spans="1:5" x14ac:dyDescent="0.25">
      <c r="A520" t="s">
        <v>45</v>
      </c>
      <c r="B520" t="s">
        <v>49</v>
      </c>
      <c r="C520" t="s">
        <v>323</v>
      </c>
      <c r="D520">
        <v>55772</v>
      </c>
      <c r="E520">
        <v>5</v>
      </c>
    </row>
    <row r="521" spans="1:5" x14ac:dyDescent="0.25">
      <c r="A521" t="s">
        <v>5</v>
      </c>
      <c r="B521" t="s">
        <v>195</v>
      </c>
      <c r="C521" t="s">
        <v>323</v>
      </c>
      <c r="D521">
        <v>25238</v>
      </c>
      <c r="E521">
        <v>7</v>
      </c>
    </row>
    <row r="522" spans="1:5" x14ac:dyDescent="0.25">
      <c r="A522" t="s">
        <v>8</v>
      </c>
      <c r="B522" t="s">
        <v>17</v>
      </c>
      <c r="C522" t="s">
        <v>324</v>
      </c>
      <c r="D522">
        <v>90662</v>
      </c>
      <c r="E522">
        <v>6</v>
      </c>
    </row>
    <row r="523" spans="1:5" x14ac:dyDescent="0.25">
      <c r="A523" t="s">
        <v>18</v>
      </c>
      <c r="B523" t="s">
        <v>158</v>
      </c>
      <c r="C523" t="s">
        <v>324</v>
      </c>
      <c r="D523">
        <v>40110</v>
      </c>
      <c r="E523">
        <v>7</v>
      </c>
    </row>
    <row r="524" spans="1:5" x14ac:dyDescent="0.25">
      <c r="A524" t="s">
        <v>18</v>
      </c>
      <c r="B524" t="s">
        <v>325</v>
      </c>
      <c r="C524" t="s">
        <v>324</v>
      </c>
      <c r="D524">
        <v>10902</v>
      </c>
      <c r="E524">
        <v>5</v>
      </c>
    </row>
    <row r="525" spans="1:5" x14ac:dyDescent="0.25">
      <c r="A525" t="s">
        <v>38</v>
      </c>
      <c r="B525" t="s">
        <v>43</v>
      </c>
      <c r="C525" t="s">
        <v>324</v>
      </c>
      <c r="D525">
        <v>77174</v>
      </c>
      <c r="E525">
        <v>8</v>
      </c>
    </row>
    <row r="526" spans="1:5" x14ac:dyDescent="0.25">
      <c r="A526" t="s">
        <v>45</v>
      </c>
      <c r="B526" t="s">
        <v>91</v>
      </c>
      <c r="C526" t="s">
        <v>326</v>
      </c>
      <c r="D526">
        <v>45398</v>
      </c>
      <c r="E526">
        <v>6</v>
      </c>
    </row>
    <row r="527" spans="1:5" x14ac:dyDescent="0.25">
      <c r="A527" t="s">
        <v>47</v>
      </c>
      <c r="B527" t="s">
        <v>49</v>
      </c>
      <c r="C527" t="s">
        <v>326</v>
      </c>
      <c r="D527">
        <v>16470</v>
      </c>
      <c r="E527">
        <v>6</v>
      </c>
    </row>
    <row r="528" spans="1:5" x14ac:dyDescent="0.25">
      <c r="A528" t="s">
        <v>18</v>
      </c>
      <c r="B528" t="s">
        <v>98</v>
      </c>
      <c r="C528" t="s">
        <v>327</v>
      </c>
      <c r="D528">
        <v>80556</v>
      </c>
      <c r="E528">
        <v>6</v>
      </c>
    </row>
    <row r="529" spans="1:5" x14ac:dyDescent="0.25">
      <c r="A529" t="s">
        <v>25</v>
      </c>
      <c r="B529" t="s">
        <v>272</v>
      </c>
      <c r="C529" t="s">
        <v>327</v>
      </c>
      <c r="D529">
        <v>14412</v>
      </c>
      <c r="E529">
        <v>8</v>
      </c>
    </row>
    <row r="530" spans="1:5" x14ac:dyDescent="0.25">
      <c r="A530" t="s">
        <v>5</v>
      </c>
      <c r="B530" t="s">
        <v>229</v>
      </c>
      <c r="C530" t="s">
        <v>328</v>
      </c>
      <c r="D530">
        <v>37306</v>
      </c>
      <c r="E530">
        <v>5</v>
      </c>
    </row>
    <row r="531" spans="1:5" x14ac:dyDescent="0.25">
      <c r="A531" t="s">
        <v>16</v>
      </c>
      <c r="B531" t="s">
        <v>152</v>
      </c>
      <c r="C531" t="s">
        <v>328</v>
      </c>
      <c r="D531">
        <v>40041</v>
      </c>
      <c r="E531">
        <v>8</v>
      </c>
    </row>
    <row r="532" spans="1:5" x14ac:dyDescent="0.25">
      <c r="A532" t="s">
        <v>8</v>
      </c>
      <c r="B532" t="s">
        <v>239</v>
      </c>
      <c r="C532" t="s">
        <v>328</v>
      </c>
      <c r="D532">
        <v>60918</v>
      </c>
      <c r="E532">
        <v>9</v>
      </c>
    </row>
    <row r="533" spans="1:5" x14ac:dyDescent="0.25">
      <c r="A533" t="s">
        <v>5</v>
      </c>
      <c r="B533" t="s">
        <v>329</v>
      </c>
      <c r="C533" t="s">
        <v>330</v>
      </c>
      <c r="D533">
        <v>55635</v>
      </c>
      <c r="E533">
        <v>5</v>
      </c>
    </row>
    <row r="534" spans="1:5" x14ac:dyDescent="0.25">
      <c r="A534" t="s">
        <v>25</v>
      </c>
      <c r="B534" t="s">
        <v>331</v>
      </c>
      <c r="C534" t="s">
        <v>330</v>
      </c>
      <c r="D534">
        <v>61166</v>
      </c>
      <c r="E534">
        <v>4</v>
      </c>
    </row>
    <row r="535" spans="1:5" x14ac:dyDescent="0.25">
      <c r="A535" t="s">
        <v>18</v>
      </c>
      <c r="B535" t="s">
        <v>248</v>
      </c>
      <c r="C535" t="s">
        <v>330</v>
      </c>
      <c r="D535">
        <v>52493</v>
      </c>
      <c r="E535">
        <v>8</v>
      </c>
    </row>
    <row r="536" spans="1:5" x14ac:dyDescent="0.25">
      <c r="A536" t="s">
        <v>5</v>
      </c>
      <c r="B536" t="s">
        <v>249</v>
      </c>
      <c r="C536" t="s">
        <v>330</v>
      </c>
      <c r="D536">
        <v>83654</v>
      </c>
      <c r="E536">
        <v>2</v>
      </c>
    </row>
    <row r="537" spans="1:5" x14ac:dyDescent="0.25">
      <c r="A537" t="s">
        <v>18</v>
      </c>
      <c r="B537" t="s">
        <v>265</v>
      </c>
      <c r="C537" t="s">
        <v>330</v>
      </c>
      <c r="D537">
        <v>76306</v>
      </c>
      <c r="E537">
        <v>6</v>
      </c>
    </row>
    <row r="538" spans="1:5" x14ac:dyDescent="0.25">
      <c r="A538" t="s">
        <v>25</v>
      </c>
      <c r="B538" t="s">
        <v>227</v>
      </c>
      <c r="C538" t="s">
        <v>330</v>
      </c>
      <c r="D538">
        <v>57915</v>
      </c>
      <c r="E538">
        <v>3</v>
      </c>
    </row>
    <row r="539" spans="1:5" x14ac:dyDescent="0.25">
      <c r="A539" t="s">
        <v>45</v>
      </c>
      <c r="B539" t="s">
        <v>53</v>
      </c>
      <c r="C539" t="s">
        <v>330</v>
      </c>
      <c r="D539">
        <v>81308</v>
      </c>
      <c r="E539">
        <v>3</v>
      </c>
    </row>
    <row r="540" spans="1:5" x14ac:dyDescent="0.25">
      <c r="A540" t="s">
        <v>8</v>
      </c>
      <c r="B540" t="s">
        <v>32</v>
      </c>
      <c r="C540" t="s">
        <v>330</v>
      </c>
      <c r="D540">
        <v>52608</v>
      </c>
      <c r="E540">
        <v>6</v>
      </c>
    </row>
    <row r="541" spans="1:5" x14ac:dyDescent="0.25">
      <c r="A541" t="s">
        <v>8</v>
      </c>
      <c r="B541" t="s">
        <v>176</v>
      </c>
      <c r="C541" t="s">
        <v>330</v>
      </c>
      <c r="D541">
        <v>35805</v>
      </c>
      <c r="E541">
        <v>10</v>
      </c>
    </row>
    <row r="542" spans="1:5" x14ac:dyDescent="0.25">
      <c r="A542" t="s">
        <v>47</v>
      </c>
      <c r="B542" t="s">
        <v>144</v>
      </c>
      <c r="C542" t="s">
        <v>330</v>
      </c>
      <c r="D542">
        <v>71200</v>
      </c>
      <c r="E542">
        <v>4</v>
      </c>
    </row>
    <row r="543" spans="1:5" x14ac:dyDescent="0.25">
      <c r="A543" t="s">
        <v>5</v>
      </c>
      <c r="B543" t="s">
        <v>332</v>
      </c>
      <c r="C543" t="s">
        <v>333</v>
      </c>
      <c r="D543">
        <v>69983</v>
      </c>
      <c r="E543">
        <v>3</v>
      </c>
    </row>
    <row r="544" spans="1:5" x14ac:dyDescent="0.25">
      <c r="A544" t="s">
        <v>38</v>
      </c>
      <c r="B544" t="s">
        <v>229</v>
      </c>
      <c r="C544" t="s">
        <v>334</v>
      </c>
      <c r="D544">
        <v>40515</v>
      </c>
      <c r="E544">
        <v>4</v>
      </c>
    </row>
    <row r="545" spans="1:5" x14ac:dyDescent="0.25">
      <c r="A545" t="s">
        <v>16</v>
      </c>
      <c r="B545" t="s">
        <v>177</v>
      </c>
      <c r="C545" t="s">
        <v>335</v>
      </c>
      <c r="D545">
        <v>54632</v>
      </c>
      <c r="E545">
        <v>9</v>
      </c>
    </row>
    <row r="546" spans="1:5" x14ac:dyDescent="0.25">
      <c r="A546" t="s">
        <v>25</v>
      </c>
      <c r="B546" t="s">
        <v>117</v>
      </c>
      <c r="C546" t="s">
        <v>335</v>
      </c>
      <c r="D546">
        <v>91783</v>
      </c>
      <c r="E546">
        <v>10</v>
      </c>
    </row>
    <row r="547" spans="1:5" x14ac:dyDescent="0.25">
      <c r="A547" t="s">
        <v>18</v>
      </c>
      <c r="B547" t="s">
        <v>57</v>
      </c>
      <c r="C547" t="s">
        <v>336</v>
      </c>
      <c r="D547">
        <v>93780</v>
      </c>
      <c r="E547">
        <v>7</v>
      </c>
    </row>
    <row r="548" spans="1:5" x14ac:dyDescent="0.25">
      <c r="A548" t="s">
        <v>8</v>
      </c>
      <c r="B548" t="s">
        <v>152</v>
      </c>
      <c r="C548" t="s">
        <v>336</v>
      </c>
      <c r="D548">
        <v>88851</v>
      </c>
      <c r="E548">
        <v>4</v>
      </c>
    </row>
    <row r="549" spans="1:5" x14ac:dyDescent="0.25">
      <c r="A549" t="s">
        <v>18</v>
      </c>
      <c r="B549" t="s">
        <v>33</v>
      </c>
      <c r="C549" t="s">
        <v>337</v>
      </c>
      <c r="D549">
        <v>86465</v>
      </c>
      <c r="E549">
        <v>7</v>
      </c>
    </row>
    <row r="550" spans="1:5" x14ac:dyDescent="0.25">
      <c r="A550" t="s">
        <v>45</v>
      </c>
      <c r="B550" t="s">
        <v>338</v>
      </c>
      <c r="C550" t="s">
        <v>337</v>
      </c>
      <c r="D550">
        <v>60537</v>
      </c>
      <c r="E550">
        <v>1</v>
      </c>
    </row>
    <row r="551" spans="1:5" x14ac:dyDescent="0.25">
      <c r="A551" t="s">
        <v>8</v>
      </c>
      <c r="B551" t="s">
        <v>243</v>
      </c>
      <c r="C551" t="s">
        <v>337</v>
      </c>
      <c r="D551">
        <v>25625</v>
      </c>
      <c r="E551">
        <v>5</v>
      </c>
    </row>
    <row r="552" spans="1:5" x14ac:dyDescent="0.25">
      <c r="A552" t="s">
        <v>5</v>
      </c>
      <c r="B552" t="s">
        <v>206</v>
      </c>
      <c r="C552" t="s">
        <v>339</v>
      </c>
      <c r="D552">
        <v>48001</v>
      </c>
      <c r="E552">
        <v>2</v>
      </c>
    </row>
    <row r="553" spans="1:5" x14ac:dyDescent="0.25">
      <c r="A553" t="s">
        <v>10</v>
      </c>
      <c r="B553" t="s">
        <v>224</v>
      </c>
      <c r="C553" t="s">
        <v>339</v>
      </c>
      <c r="D553">
        <v>11498</v>
      </c>
      <c r="E553">
        <v>7</v>
      </c>
    </row>
    <row r="554" spans="1:5" x14ac:dyDescent="0.25">
      <c r="A554" t="s">
        <v>38</v>
      </c>
      <c r="B554" t="s">
        <v>37</v>
      </c>
      <c r="C554" t="s">
        <v>339</v>
      </c>
      <c r="D554">
        <v>42918</v>
      </c>
      <c r="E554">
        <v>8</v>
      </c>
    </row>
    <row r="555" spans="1:5" x14ac:dyDescent="0.25">
      <c r="A555" t="s">
        <v>47</v>
      </c>
      <c r="B555" t="s">
        <v>116</v>
      </c>
      <c r="C555" t="s">
        <v>340</v>
      </c>
      <c r="D555">
        <v>24987</v>
      </c>
      <c r="E555">
        <v>6</v>
      </c>
    </row>
    <row r="556" spans="1:5" x14ac:dyDescent="0.25">
      <c r="A556" t="s">
        <v>13</v>
      </c>
      <c r="B556" t="s">
        <v>74</v>
      </c>
      <c r="C556" t="s">
        <v>340</v>
      </c>
      <c r="D556">
        <v>59543</v>
      </c>
      <c r="E556">
        <v>7</v>
      </c>
    </row>
    <row r="557" spans="1:5" x14ac:dyDescent="0.25">
      <c r="A557" t="s">
        <v>27</v>
      </c>
      <c r="B557" t="s">
        <v>32</v>
      </c>
      <c r="C557" t="s">
        <v>341</v>
      </c>
      <c r="D557">
        <v>90046</v>
      </c>
      <c r="E557">
        <v>7</v>
      </c>
    </row>
    <row r="558" spans="1:5" x14ac:dyDescent="0.25">
      <c r="A558" t="s">
        <v>30</v>
      </c>
      <c r="B558" t="s">
        <v>90</v>
      </c>
      <c r="C558" t="s">
        <v>341</v>
      </c>
      <c r="D558">
        <v>46328</v>
      </c>
      <c r="E558">
        <v>8</v>
      </c>
    </row>
    <row r="559" spans="1:5" x14ac:dyDescent="0.25">
      <c r="A559" t="s">
        <v>16</v>
      </c>
      <c r="B559" t="s">
        <v>215</v>
      </c>
      <c r="C559" t="s">
        <v>342</v>
      </c>
      <c r="D559">
        <v>59318</v>
      </c>
      <c r="E559">
        <v>7</v>
      </c>
    </row>
    <row r="560" spans="1:5" x14ac:dyDescent="0.25">
      <c r="A560" t="s">
        <v>25</v>
      </c>
      <c r="B560" t="s">
        <v>129</v>
      </c>
      <c r="C560" t="s">
        <v>342</v>
      </c>
      <c r="D560">
        <v>11404</v>
      </c>
      <c r="E560">
        <v>6</v>
      </c>
    </row>
    <row r="561" spans="1:5" x14ac:dyDescent="0.25">
      <c r="A561" t="s">
        <v>5</v>
      </c>
      <c r="B561" t="s">
        <v>227</v>
      </c>
      <c r="C561" t="s">
        <v>343</v>
      </c>
      <c r="D561">
        <v>38437</v>
      </c>
      <c r="E561">
        <v>7</v>
      </c>
    </row>
    <row r="562" spans="1:5" x14ac:dyDescent="0.25">
      <c r="A562" t="s">
        <v>47</v>
      </c>
      <c r="B562" t="s">
        <v>125</v>
      </c>
      <c r="C562" t="s">
        <v>343</v>
      </c>
      <c r="D562">
        <v>67209</v>
      </c>
      <c r="E562">
        <v>1</v>
      </c>
    </row>
    <row r="563" spans="1:5" x14ac:dyDescent="0.25">
      <c r="A563" t="s">
        <v>10</v>
      </c>
      <c r="B563" t="s">
        <v>96</v>
      </c>
      <c r="C563" t="s">
        <v>343</v>
      </c>
      <c r="D563">
        <v>78471</v>
      </c>
      <c r="E563">
        <v>6</v>
      </c>
    </row>
    <row r="564" spans="1:5" x14ac:dyDescent="0.25">
      <c r="A564" t="s">
        <v>16</v>
      </c>
      <c r="B564" t="s">
        <v>77</v>
      </c>
      <c r="C564" t="s">
        <v>343</v>
      </c>
      <c r="D564">
        <v>58627</v>
      </c>
      <c r="E564">
        <v>10</v>
      </c>
    </row>
    <row r="565" spans="1:5" x14ac:dyDescent="0.25">
      <c r="A565" t="s">
        <v>38</v>
      </c>
      <c r="B565" t="s">
        <v>42</v>
      </c>
      <c r="C565" t="s">
        <v>343</v>
      </c>
      <c r="D565">
        <v>88574</v>
      </c>
      <c r="E565">
        <v>5</v>
      </c>
    </row>
    <row r="566" spans="1:5" x14ac:dyDescent="0.25">
      <c r="A566" t="s">
        <v>47</v>
      </c>
      <c r="B566" t="s">
        <v>24</v>
      </c>
      <c r="C566" t="s">
        <v>343</v>
      </c>
      <c r="D566">
        <v>69737</v>
      </c>
      <c r="E566">
        <v>7</v>
      </c>
    </row>
    <row r="567" spans="1:5" x14ac:dyDescent="0.25">
      <c r="A567" t="s">
        <v>25</v>
      </c>
      <c r="B567" t="s">
        <v>187</v>
      </c>
      <c r="C567" t="s">
        <v>343</v>
      </c>
      <c r="D567">
        <v>17208</v>
      </c>
      <c r="E567">
        <v>5</v>
      </c>
    </row>
    <row r="568" spans="1:5" x14ac:dyDescent="0.25">
      <c r="A568" t="s">
        <v>18</v>
      </c>
      <c r="B568" t="s">
        <v>46</v>
      </c>
      <c r="C568" t="s">
        <v>343</v>
      </c>
      <c r="D568">
        <v>22039</v>
      </c>
      <c r="E568">
        <v>9</v>
      </c>
    </row>
    <row r="569" spans="1:5" x14ac:dyDescent="0.25">
      <c r="A569" t="s">
        <v>30</v>
      </c>
      <c r="B569" t="s">
        <v>156</v>
      </c>
      <c r="C569" t="s">
        <v>343</v>
      </c>
      <c r="D569">
        <v>91403</v>
      </c>
      <c r="E569">
        <v>8</v>
      </c>
    </row>
    <row r="570" spans="1:5" x14ac:dyDescent="0.25">
      <c r="A570" t="s">
        <v>16</v>
      </c>
      <c r="B570" t="s">
        <v>344</v>
      </c>
      <c r="C570" t="s">
        <v>345</v>
      </c>
      <c r="D570">
        <v>70068</v>
      </c>
      <c r="E570">
        <v>9</v>
      </c>
    </row>
    <row r="571" spans="1:5" x14ac:dyDescent="0.25">
      <c r="A571" t="s">
        <v>10</v>
      </c>
      <c r="B571" t="s">
        <v>296</v>
      </c>
      <c r="C571" t="s">
        <v>345</v>
      </c>
      <c r="D571">
        <v>65461</v>
      </c>
      <c r="E571">
        <v>6</v>
      </c>
    </row>
    <row r="572" spans="1:5" x14ac:dyDescent="0.25">
      <c r="A572" t="s">
        <v>27</v>
      </c>
      <c r="B572" t="s">
        <v>346</v>
      </c>
      <c r="C572" t="s">
        <v>345</v>
      </c>
      <c r="D572">
        <v>34157</v>
      </c>
      <c r="E572">
        <v>10</v>
      </c>
    </row>
    <row r="573" spans="1:5" x14ac:dyDescent="0.25">
      <c r="A573" t="s">
        <v>30</v>
      </c>
      <c r="B573" t="s">
        <v>110</v>
      </c>
      <c r="C573" t="s">
        <v>347</v>
      </c>
      <c r="D573">
        <v>55695</v>
      </c>
      <c r="E573">
        <v>6</v>
      </c>
    </row>
    <row r="574" spans="1:5" x14ac:dyDescent="0.25">
      <c r="A574" t="s">
        <v>47</v>
      </c>
      <c r="B574" t="s">
        <v>167</v>
      </c>
      <c r="C574" t="s">
        <v>347</v>
      </c>
      <c r="D574">
        <v>31835</v>
      </c>
      <c r="E574">
        <v>8</v>
      </c>
    </row>
    <row r="575" spans="1:5" x14ac:dyDescent="0.25">
      <c r="A575" t="s">
        <v>38</v>
      </c>
      <c r="B575" t="s">
        <v>68</v>
      </c>
      <c r="C575" t="s">
        <v>347</v>
      </c>
      <c r="D575">
        <v>59678</v>
      </c>
      <c r="E575">
        <v>3</v>
      </c>
    </row>
    <row r="576" spans="1:5" x14ac:dyDescent="0.25">
      <c r="A576" t="s">
        <v>5</v>
      </c>
      <c r="B576" t="s">
        <v>28</v>
      </c>
      <c r="C576" t="s">
        <v>348</v>
      </c>
      <c r="D576">
        <v>64998</v>
      </c>
      <c r="E576">
        <v>9</v>
      </c>
    </row>
    <row r="577" spans="1:5" x14ac:dyDescent="0.25">
      <c r="A577" t="s">
        <v>8</v>
      </c>
      <c r="B577" t="s">
        <v>247</v>
      </c>
      <c r="C577" t="s">
        <v>348</v>
      </c>
      <c r="D577">
        <v>26333</v>
      </c>
      <c r="E577">
        <v>6</v>
      </c>
    </row>
    <row r="578" spans="1:5" x14ac:dyDescent="0.25">
      <c r="A578" t="s">
        <v>8</v>
      </c>
      <c r="B578" t="s">
        <v>75</v>
      </c>
      <c r="C578" t="s">
        <v>349</v>
      </c>
      <c r="D578">
        <v>94955</v>
      </c>
      <c r="E578">
        <v>7</v>
      </c>
    </row>
    <row r="579" spans="1:5" x14ac:dyDescent="0.25">
      <c r="A579" t="s">
        <v>30</v>
      </c>
      <c r="B579" t="s">
        <v>186</v>
      </c>
      <c r="C579" t="s">
        <v>349</v>
      </c>
      <c r="D579">
        <v>93962</v>
      </c>
      <c r="E579">
        <v>3</v>
      </c>
    </row>
    <row r="580" spans="1:5" x14ac:dyDescent="0.25">
      <c r="A580" t="s">
        <v>47</v>
      </c>
      <c r="B580" t="s">
        <v>66</v>
      </c>
      <c r="C580" t="s">
        <v>350</v>
      </c>
      <c r="D580">
        <v>68581</v>
      </c>
      <c r="E580">
        <v>3</v>
      </c>
    </row>
    <row r="581" spans="1:5" x14ac:dyDescent="0.25">
      <c r="A581" t="s">
        <v>16</v>
      </c>
      <c r="B581" t="s">
        <v>158</v>
      </c>
      <c r="C581" t="s">
        <v>350</v>
      </c>
      <c r="D581">
        <v>93639</v>
      </c>
      <c r="E581">
        <v>6</v>
      </c>
    </row>
    <row r="582" spans="1:5" x14ac:dyDescent="0.25">
      <c r="A582" t="s">
        <v>18</v>
      </c>
      <c r="B582" t="s">
        <v>201</v>
      </c>
      <c r="C582" t="s">
        <v>350</v>
      </c>
      <c r="D582">
        <v>51767</v>
      </c>
      <c r="E582">
        <v>6</v>
      </c>
    </row>
    <row r="583" spans="1:5" x14ac:dyDescent="0.25">
      <c r="A583" t="s">
        <v>45</v>
      </c>
      <c r="B583" t="s">
        <v>111</v>
      </c>
      <c r="C583" t="s">
        <v>350</v>
      </c>
      <c r="D583">
        <v>26677</v>
      </c>
      <c r="E583">
        <v>4</v>
      </c>
    </row>
    <row r="584" spans="1:5" x14ac:dyDescent="0.25">
      <c r="A584" t="s">
        <v>30</v>
      </c>
      <c r="B584" t="s">
        <v>99</v>
      </c>
      <c r="C584" t="s">
        <v>350</v>
      </c>
      <c r="D584">
        <v>25598</v>
      </c>
      <c r="E584">
        <v>7</v>
      </c>
    </row>
    <row r="585" spans="1:5" x14ac:dyDescent="0.25">
      <c r="A585" t="s">
        <v>45</v>
      </c>
      <c r="B585" t="s">
        <v>248</v>
      </c>
      <c r="C585" t="s">
        <v>350</v>
      </c>
      <c r="D585">
        <v>85915</v>
      </c>
      <c r="E585">
        <v>4</v>
      </c>
    </row>
    <row r="586" spans="1:5" x14ac:dyDescent="0.25">
      <c r="A586" t="s">
        <v>13</v>
      </c>
      <c r="B586" t="s">
        <v>332</v>
      </c>
      <c r="C586" t="s">
        <v>351</v>
      </c>
      <c r="D586">
        <v>38859</v>
      </c>
      <c r="E586">
        <v>3</v>
      </c>
    </row>
    <row r="587" spans="1:5" x14ac:dyDescent="0.25">
      <c r="A587" t="s">
        <v>8</v>
      </c>
      <c r="B587" t="s">
        <v>331</v>
      </c>
      <c r="C587" t="s">
        <v>352</v>
      </c>
      <c r="D587">
        <v>83112</v>
      </c>
      <c r="E587">
        <v>8</v>
      </c>
    </row>
    <row r="588" spans="1:5" x14ac:dyDescent="0.25">
      <c r="A588" t="s">
        <v>18</v>
      </c>
      <c r="B588" t="s">
        <v>209</v>
      </c>
      <c r="C588" t="s">
        <v>352</v>
      </c>
      <c r="D588">
        <v>22953</v>
      </c>
      <c r="E588">
        <v>2</v>
      </c>
    </row>
    <row r="589" spans="1:5" x14ac:dyDescent="0.25">
      <c r="A589" t="s">
        <v>13</v>
      </c>
      <c r="B589" t="s">
        <v>167</v>
      </c>
      <c r="C589" t="s">
        <v>352</v>
      </c>
      <c r="D589">
        <v>56069</v>
      </c>
      <c r="E589">
        <v>3</v>
      </c>
    </row>
    <row r="590" spans="1:5" x14ac:dyDescent="0.25">
      <c r="A590" t="s">
        <v>18</v>
      </c>
      <c r="B590" t="s">
        <v>73</v>
      </c>
      <c r="C590" t="s">
        <v>353</v>
      </c>
      <c r="D590">
        <v>49393</v>
      </c>
      <c r="E590">
        <v>8</v>
      </c>
    </row>
    <row r="591" spans="1:5" x14ac:dyDescent="0.25">
      <c r="A591" t="s">
        <v>13</v>
      </c>
      <c r="B591" t="s">
        <v>239</v>
      </c>
      <c r="C591" t="s">
        <v>353</v>
      </c>
      <c r="D591">
        <v>76148</v>
      </c>
      <c r="E591">
        <v>4</v>
      </c>
    </row>
    <row r="592" spans="1:5" x14ac:dyDescent="0.25">
      <c r="A592" t="s">
        <v>8</v>
      </c>
      <c r="B592" t="s">
        <v>93</v>
      </c>
      <c r="C592" t="s">
        <v>353</v>
      </c>
      <c r="D592">
        <v>32198</v>
      </c>
      <c r="E592">
        <v>9</v>
      </c>
    </row>
    <row r="593" spans="1:5" x14ac:dyDescent="0.25">
      <c r="A593" t="s">
        <v>16</v>
      </c>
      <c r="B593" t="s">
        <v>121</v>
      </c>
      <c r="C593" t="s">
        <v>354</v>
      </c>
      <c r="D593">
        <v>12365</v>
      </c>
      <c r="E593">
        <v>7</v>
      </c>
    </row>
    <row r="594" spans="1:5" x14ac:dyDescent="0.25">
      <c r="A594" t="s">
        <v>10</v>
      </c>
      <c r="B594" t="s">
        <v>346</v>
      </c>
      <c r="C594" t="s">
        <v>354</v>
      </c>
      <c r="D594">
        <v>73411</v>
      </c>
      <c r="E594">
        <v>9</v>
      </c>
    </row>
    <row r="595" spans="1:5" x14ac:dyDescent="0.25">
      <c r="A595" t="s">
        <v>38</v>
      </c>
      <c r="B595" t="s">
        <v>99</v>
      </c>
      <c r="C595" t="s">
        <v>355</v>
      </c>
      <c r="D595">
        <v>23569</v>
      </c>
      <c r="E595">
        <v>8</v>
      </c>
    </row>
    <row r="596" spans="1:5" x14ac:dyDescent="0.25">
      <c r="A596" t="s">
        <v>16</v>
      </c>
      <c r="B596" t="s">
        <v>89</v>
      </c>
      <c r="C596" t="s">
        <v>355</v>
      </c>
      <c r="D596">
        <v>49149</v>
      </c>
      <c r="E596">
        <v>4</v>
      </c>
    </row>
    <row r="597" spans="1:5" x14ac:dyDescent="0.25">
      <c r="A597" t="s">
        <v>8</v>
      </c>
      <c r="B597" t="s">
        <v>22</v>
      </c>
      <c r="C597" t="s">
        <v>355</v>
      </c>
      <c r="D597">
        <v>10686</v>
      </c>
      <c r="E597">
        <v>8</v>
      </c>
    </row>
    <row r="598" spans="1:5" x14ac:dyDescent="0.25">
      <c r="A598" t="s">
        <v>25</v>
      </c>
      <c r="B598" t="s">
        <v>43</v>
      </c>
      <c r="C598" t="s">
        <v>355</v>
      </c>
      <c r="D598">
        <v>97493</v>
      </c>
      <c r="E598">
        <v>4</v>
      </c>
    </row>
    <row r="599" spans="1:5" x14ac:dyDescent="0.25">
      <c r="A599" t="s">
        <v>38</v>
      </c>
      <c r="B599" t="s">
        <v>161</v>
      </c>
      <c r="C599" t="s">
        <v>355</v>
      </c>
      <c r="D599">
        <v>96797</v>
      </c>
      <c r="E599">
        <v>5</v>
      </c>
    </row>
    <row r="600" spans="1:5" x14ac:dyDescent="0.25">
      <c r="A600" t="s">
        <v>13</v>
      </c>
      <c r="B600" t="s">
        <v>137</v>
      </c>
      <c r="C600" t="s">
        <v>356</v>
      </c>
      <c r="D600">
        <v>54024</v>
      </c>
      <c r="E600">
        <v>7</v>
      </c>
    </row>
    <row r="601" spans="1:5" x14ac:dyDescent="0.25">
      <c r="A601" t="s">
        <v>5</v>
      </c>
      <c r="B601" t="s">
        <v>22</v>
      </c>
      <c r="C601" t="s">
        <v>356</v>
      </c>
      <c r="D601">
        <v>48497</v>
      </c>
      <c r="E601">
        <v>6</v>
      </c>
    </row>
    <row r="602" spans="1:5" x14ac:dyDescent="0.25">
      <c r="A602" t="s">
        <v>13</v>
      </c>
      <c r="B602" t="s">
        <v>249</v>
      </c>
      <c r="C602" t="s">
        <v>356</v>
      </c>
      <c r="D602">
        <v>62557</v>
      </c>
      <c r="E602">
        <v>5</v>
      </c>
    </row>
    <row r="603" spans="1:5" x14ac:dyDescent="0.25">
      <c r="A603" t="s">
        <v>38</v>
      </c>
      <c r="B603" t="s">
        <v>212</v>
      </c>
      <c r="C603" t="s">
        <v>357</v>
      </c>
      <c r="D603">
        <v>74599</v>
      </c>
      <c r="E603">
        <v>0</v>
      </c>
    </row>
    <row r="604" spans="1:5" x14ac:dyDescent="0.25">
      <c r="A604" t="s">
        <v>47</v>
      </c>
      <c r="B604" t="s">
        <v>139</v>
      </c>
      <c r="C604" t="s">
        <v>357</v>
      </c>
      <c r="D604">
        <v>79747</v>
      </c>
      <c r="E604">
        <v>0</v>
      </c>
    </row>
    <row r="605" spans="1:5" x14ac:dyDescent="0.25">
      <c r="A605" t="s">
        <v>30</v>
      </c>
      <c r="B605" t="s">
        <v>70</v>
      </c>
      <c r="C605" t="s">
        <v>358</v>
      </c>
      <c r="D605">
        <v>87359</v>
      </c>
      <c r="E605">
        <v>7</v>
      </c>
    </row>
    <row r="606" spans="1:5" x14ac:dyDescent="0.25">
      <c r="A606" t="s">
        <v>38</v>
      </c>
      <c r="B606" t="s">
        <v>331</v>
      </c>
      <c r="C606" t="s">
        <v>358</v>
      </c>
      <c r="D606">
        <v>56272</v>
      </c>
      <c r="E606">
        <v>8</v>
      </c>
    </row>
    <row r="607" spans="1:5" x14ac:dyDescent="0.25">
      <c r="A607" t="s">
        <v>45</v>
      </c>
      <c r="B607" t="s">
        <v>24</v>
      </c>
      <c r="C607" t="s">
        <v>358</v>
      </c>
      <c r="D607">
        <v>42483</v>
      </c>
      <c r="E607">
        <v>6</v>
      </c>
    </row>
    <row r="608" spans="1:5" x14ac:dyDescent="0.25">
      <c r="A608" t="s">
        <v>5</v>
      </c>
      <c r="B608" t="s">
        <v>196</v>
      </c>
      <c r="C608" t="s">
        <v>358</v>
      </c>
      <c r="D608">
        <v>64612</v>
      </c>
      <c r="E608">
        <v>8</v>
      </c>
    </row>
    <row r="609" spans="1:5" x14ac:dyDescent="0.25">
      <c r="A609" t="s">
        <v>10</v>
      </c>
      <c r="B609" t="s">
        <v>50</v>
      </c>
      <c r="C609" t="s">
        <v>359</v>
      </c>
      <c r="D609">
        <v>82962</v>
      </c>
      <c r="E609">
        <v>5</v>
      </c>
    </row>
    <row r="610" spans="1:5" x14ac:dyDescent="0.25">
      <c r="A610" t="s">
        <v>27</v>
      </c>
      <c r="B610" t="s">
        <v>80</v>
      </c>
      <c r="C610" t="s">
        <v>359</v>
      </c>
      <c r="D610">
        <v>68655</v>
      </c>
      <c r="E610">
        <v>2</v>
      </c>
    </row>
    <row r="611" spans="1:5" x14ac:dyDescent="0.25">
      <c r="A611" t="s">
        <v>27</v>
      </c>
      <c r="B611" t="s">
        <v>239</v>
      </c>
      <c r="C611" t="s">
        <v>359</v>
      </c>
      <c r="D611">
        <v>25410</v>
      </c>
      <c r="E611">
        <v>7</v>
      </c>
    </row>
    <row r="612" spans="1:5" x14ac:dyDescent="0.25">
      <c r="A612" t="s">
        <v>25</v>
      </c>
      <c r="B612" t="s">
        <v>108</v>
      </c>
      <c r="C612" t="s">
        <v>360</v>
      </c>
      <c r="D612">
        <v>92576</v>
      </c>
      <c r="E612">
        <v>7</v>
      </c>
    </row>
    <row r="613" spans="1:5" x14ac:dyDescent="0.25">
      <c r="A613" t="s">
        <v>25</v>
      </c>
      <c r="B613" t="s">
        <v>287</v>
      </c>
      <c r="C613" t="s">
        <v>360</v>
      </c>
      <c r="D613">
        <v>72462</v>
      </c>
      <c r="E613">
        <v>3</v>
      </c>
    </row>
    <row r="614" spans="1:5" x14ac:dyDescent="0.25">
      <c r="A614" t="s">
        <v>8</v>
      </c>
      <c r="B614" t="s">
        <v>211</v>
      </c>
      <c r="C614" t="s">
        <v>360</v>
      </c>
      <c r="D614">
        <v>36631</v>
      </c>
      <c r="E614">
        <v>5</v>
      </c>
    </row>
    <row r="615" spans="1:5" x14ac:dyDescent="0.25">
      <c r="A615" t="s">
        <v>47</v>
      </c>
      <c r="B615" t="s">
        <v>306</v>
      </c>
      <c r="C615" t="s">
        <v>360</v>
      </c>
      <c r="D615">
        <v>39797</v>
      </c>
      <c r="E615">
        <v>7</v>
      </c>
    </row>
    <row r="616" spans="1:5" x14ac:dyDescent="0.25">
      <c r="A616" t="s">
        <v>5</v>
      </c>
      <c r="B616" t="s">
        <v>64</v>
      </c>
      <c r="C616" t="s">
        <v>360</v>
      </c>
      <c r="D616">
        <v>92045</v>
      </c>
      <c r="E616">
        <v>7</v>
      </c>
    </row>
    <row r="617" spans="1:5" x14ac:dyDescent="0.25">
      <c r="A617" t="s">
        <v>16</v>
      </c>
      <c r="B617" t="s">
        <v>81</v>
      </c>
      <c r="C617" t="s">
        <v>360</v>
      </c>
      <c r="D617">
        <v>34874</v>
      </c>
      <c r="E617">
        <v>9</v>
      </c>
    </row>
    <row r="618" spans="1:5" x14ac:dyDescent="0.25">
      <c r="A618" t="s">
        <v>30</v>
      </c>
      <c r="B618" t="s">
        <v>134</v>
      </c>
      <c r="C618" t="s">
        <v>360</v>
      </c>
      <c r="D618">
        <v>13045</v>
      </c>
      <c r="E618">
        <v>9</v>
      </c>
    </row>
    <row r="619" spans="1:5" x14ac:dyDescent="0.25">
      <c r="A619" t="s">
        <v>30</v>
      </c>
      <c r="B619" t="s">
        <v>28</v>
      </c>
      <c r="C619" t="s">
        <v>361</v>
      </c>
      <c r="D619">
        <v>38130</v>
      </c>
      <c r="E619">
        <v>6</v>
      </c>
    </row>
    <row r="620" spans="1:5" x14ac:dyDescent="0.25">
      <c r="A620" t="s">
        <v>47</v>
      </c>
      <c r="B620" t="s">
        <v>88</v>
      </c>
      <c r="C620" t="s">
        <v>361</v>
      </c>
      <c r="D620">
        <v>17185</v>
      </c>
      <c r="E620">
        <v>7</v>
      </c>
    </row>
    <row r="621" spans="1:5" x14ac:dyDescent="0.25">
      <c r="A621" t="s">
        <v>38</v>
      </c>
      <c r="B621" t="s">
        <v>307</v>
      </c>
      <c r="C621" t="s">
        <v>362</v>
      </c>
      <c r="D621">
        <v>15400</v>
      </c>
      <c r="E621">
        <v>8</v>
      </c>
    </row>
    <row r="622" spans="1:5" x14ac:dyDescent="0.25">
      <c r="A622" t="s">
        <v>47</v>
      </c>
      <c r="B622" t="s">
        <v>306</v>
      </c>
      <c r="C622" t="s">
        <v>362</v>
      </c>
      <c r="D622">
        <v>22193</v>
      </c>
      <c r="E622">
        <v>9</v>
      </c>
    </row>
    <row r="623" spans="1:5" x14ac:dyDescent="0.25">
      <c r="A623" t="s">
        <v>25</v>
      </c>
      <c r="B623" t="s">
        <v>82</v>
      </c>
      <c r="C623" t="s">
        <v>362</v>
      </c>
      <c r="D623">
        <v>98353</v>
      </c>
      <c r="E623">
        <v>8</v>
      </c>
    </row>
    <row r="624" spans="1:5" x14ac:dyDescent="0.25">
      <c r="A624" t="s">
        <v>30</v>
      </c>
      <c r="B624" t="s">
        <v>58</v>
      </c>
      <c r="C624" t="s">
        <v>362</v>
      </c>
      <c r="D624">
        <v>73229</v>
      </c>
      <c r="E624">
        <v>7</v>
      </c>
    </row>
    <row r="625" spans="1:5" x14ac:dyDescent="0.25">
      <c r="A625" t="s">
        <v>10</v>
      </c>
      <c r="B625" t="s">
        <v>113</v>
      </c>
      <c r="C625" t="s">
        <v>362</v>
      </c>
      <c r="D625">
        <v>48698</v>
      </c>
      <c r="E625">
        <v>8</v>
      </c>
    </row>
    <row r="626" spans="1:5" x14ac:dyDescent="0.25">
      <c r="A626" t="s">
        <v>16</v>
      </c>
      <c r="B626" t="s">
        <v>146</v>
      </c>
      <c r="C626" t="s">
        <v>362</v>
      </c>
      <c r="D626">
        <v>99307</v>
      </c>
      <c r="E626">
        <v>7</v>
      </c>
    </row>
    <row r="627" spans="1:5" x14ac:dyDescent="0.25">
      <c r="A627" t="s">
        <v>47</v>
      </c>
      <c r="B627" t="s">
        <v>363</v>
      </c>
      <c r="C627" t="s">
        <v>364</v>
      </c>
      <c r="D627">
        <v>32289</v>
      </c>
      <c r="E627">
        <v>6</v>
      </c>
    </row>
    <row r="628" spans="1:5" x14ac:dyDescent="0.25">
      <c r="A628" t="s">
        <v>30</v>
      </c>
      <c r="B628" t="s">
        <v>81</v>
      </c>
      <c r="C628" t="s">
        <v>364</v>
      </c>
      <c r="D628">
        <v>77055</v>
      </c>
      <c r="E628">
        <v>3</v>
      </c>
    </row>
    <row r="629" spans="1:5" x14ac:dyDescent="0.25">
      <c r="A629" t="s">
        <v>18</v>
      </c>
      <c r="B629" t="s">
        <v>180</v>
      </c>
      <c r="C629" t="s">
        <v>364</v>
      </c>
      <c r="D629">
        <v>59508</v>
      </c>
      <c r="E629">
        <v>8</v>
      </c>
    </row>
    <row r="630" spans="1:5" x14ac:dyDescent="0.25">
      <c r="A630" t="s">
        <v>13</v>
      </c>
      <c r="B630" t="s">
        <v>63</v>
      </c>
      <c r="C630" t="s">
        <v>365</v>
      </c>
      <c r="D630">
        <v>46297</v>
      </c>
      <c r="E630">
        <v>7</v>
      </c>
    </row>
    <row r="631" spans="1:5" x14ac:dyDescent="0.25">
      <c r="A631" t="s">
        <v>8</v>
      </c>
      <c r="B631" t="s">
        <v>190</v>
      </c>
      <c r="C631" t="s">
        <v>365</v>
      </c>
      <c r="D631">
        <v>85266</v>
      </c>
      <c r="E631">
        <v>10</v>
      </c>
    </row>
    <row r="632" spans="1:5" x14ac:dyDescent="0.25">
      <c r="A632" t="s">
        <v>45</v>
      </c>
      <c r="B632" t="s">
        <v>233</v>
      </c>
      <c r="C632" t="s">
        <v>365</v>
      </c>
      <c r="D632">
        <v>76054</v>
      </c>
      <c r="E632">
        <v>8</v>
      </c>
    </row>
    <row r="633" spans="1:5" x14ac:dyDescent="0.25">
      <c r="A633" t="s">
        <v>10</v>
      </c>
      <c r="B633" t="s">
        <v>279</v>
      </c>
      <c r="C633" t="s">
        <v>365</v>
      </c>
      <c r="D633">
        <v>72259</v>
      </c>
      <c r="E633">
        <v>6</v>
      </c>
    </row>
    <row r="634" spans="1:5" x14ac:dyDescent="0.25">
      <c r="A634" t="s">
        <v>10</v>
      </c>
      <c r="B634" t="s">
        <v>137</v>
      </c>
      <c r="C634" t="s">
        <v>365</v>
      </c>
      <c r="D634">
        <v>57241</v>
      </c>
      <c r="E634">
        <v>10</v>
      </c>
    </row>
    <row r="635" spans="1:5" x14ac:dyDescent="0.25">
      <c r="A635" t="s">
        <v>27</v>
      </c>
      <c r="B635" t="s">
        <v>215</v>
      </c>
      <c r="C635" t="s">
        <v>366</v>
      </c>
      <c r="D635">
        <v>35183</v>
      </c>
      <c r="E635">
        <v>6</v>
      </c>
    </row>
    <row r="636" spans="1:5" x14ac:dyDescent="0.25">
      <c r="A636" t="s">
        <v>16</v>
      </c>
      <c r="B636" t="s">
        <v>77</v>
      </c>
      <c r="C636" t="s">
        <v>367</v>
      </c>
      <c r="D636">
        <v>40205</v>
      </c>
      <c r="E636">
        <v>6</v>
      </c>
    </row>
    <row r="637" spans="1:5" x14ac:dyDescent="0.25">
      <c r="A637" t="s">
        <v>8</v>
      </c>
      <c r="B637" t="s">
        <v>70</v>
      </c>
      <c r="C637" t="s">
        <v>367</v>
      </c>
      <c r="D637">
        <v>95792</v>
      </c>
      <c r="E637">
        <v>5</v>
      </c>
    </row>
    <row r="638" spans="1:5" x14ac:dyDescent="0.25">
      <c r="A638" t="s">
        <v>16</v>
      </c>
      <c r="B638" t="s">
        <v>126</v>
      </c>
      <c r="C638" t="s">
        <v>368</v>
      </c>
      <c r="D638">
        <v>81544</v>
      </c>
      <c r="E638">
        <v>3</v>
      </c>
    </row>
    <row r="639" spans="1:5" x14ac:dyDescent="0.25">
      <c r="A639" t="s">
        <v>18</v>
      </c>
      <c r="B639" t="s">
        <v>19</v>
      </c>
      <c r="C639" t="s">
        <v>368</v>
      </c>
      <c r="D639">
        <v>84228</v>
      </c>
      <c r="E639">
        <v>5</v>
      </c>
    </row>
    <row r="640" spans="1:5" x14ac:dyDescent="0.25">
      <c r="A640" t="s">
        <v>10</v>
      </c>
      <c r="B640" t="s">
        <v>346</v>
      </c>
      <c r="C640" t="s">
        <v>368</v>
      </c>
      <c r="D640">
        <v>36770</v>
      </c>
      <c r="E640">
        <v>7</v>
      </c>
    </row>
    <row r="641" spans="1:5" x14ac:dyDescent="0.25">
      <c r="A641" t="s">
        <v>47</v>
      </c>
      <c r="B641" t="s">
        <v>344</v>
      </c>
      <c r="C641" t="s">
        <v>369</v>
      </c>
      <c r="D641">
        <v>70255</v>
      </c>
      <c r="E641">
        <v>6</v>
      </c>
    </row>
    <row r="642" spans="1:5" x14ac:dyDescent="0.25">
      <c r="A642" t="s">
        <v>16</v>
      </c>
      <c r="B642" t="s">
        <v>270</v>
      </c>
      <c r="C642" t="s">
        <v>369</v>
      </c>
      <c r="D642">
        <v>66119</v>
      </c>
      <c r="E642">
        <v>7</v>
      </c>
    </row>
    <row r="643" spans="1:5" x14ac:dyDescent="0.25">
      <c r="A643" t="s">
        <v>13</v>
      </c>
      <c r="B643" t="s">
        <v>11</v>
      </c>
      <c r="C643" t="s">
        <v>370</v>
      </c>
      <c r="D643">
        <v>79797</v>
      </c>
      <c r="E643">
        <v>1</v>
      </c>
    </row>
    <row r="644" spans="1:5" x14ac:dyDescent="0.25">
      <c r="A644" t="s">
        <v>27</v>
      </c>
      <c r="B644" t="s">
        <v>167</v>
      </c>
      <c r="C644" t="s">
        <v>370</v>
      </c>
      <c r="D644">
        <v>14046</v>
      </c>
      <c r="E644">
        <v>6</v>
      </c>
    </row>
    <row r="645" spans="1:5" x14ac:dyDescent="0.25">
      <c r="A645" t="s">
        <v>10</v>
      </c>
      <c r="B645" t="s">
        <v>21</v>
      </c>
      <c r="C645" t="s">
        <v>370</v>
      </c>
      <c r="D645">
        <v>31319</v>
      </c>
      <c r="E645">
        <v>8</v>
      </c>
    </row>
    <row r="646" spans="1:5" x14ac:dyDescent="0.25">
      <c r="A646" t="s">
        <v>38</v>
      </c>
      <c r="B646" t="s">
        <v>298</v>
      </c>
      <c r="C646" t="s">
        <v>370</v>
      </c>
      <c r="D646">
        <v>18012</v>
      </c>
      <c r="E646">
        <v>8</v>
      </c>
    </row>
    <row r="647" spans="1:5" x14ac:dyDescent="0.25">
      <c r="A647" t="s">
        <v>38</v>
      </c>
      <c r="B647" t="s">
        <v>221</v>
      </c>
      <c r="C647" t="s">
        <v>370</v>
      </c>
      <c r="D647">
        <v>21278</v>
      </c>
      <c r="E647">
        <v>9</v>
      </c>
    </row>
    <row r="648" spans="1:5" x14ac:dyDescent="0.25">
      <c r="A648" t="s">
        <v>45</v>
      </c>
      <c r="B648" t="s">
        <v>267</v>
      </c>
      <c r="C648" t="s">
        <v>370</v>
      </c>
      <c r="D648">
        <v>36092</v>
      </c>
      <c r="E648">
        <v>8</v>
      </c>
    </row>
    <row r="649" spans="1:5" x14ac:dyDescent="0.25">
      <c r="A649" t="s">
        <v>13</v>
      </c>
      <c r="B649" t="s">
        <v>77</v>
      </c>
      <c r="C649" t="s">
        <v>370</v>
      </c>
      <c r="D649">
        <v>60145</v>
      </c>
      <c r="E649">
        <v>7</v>
      </c>
    </row>
    <row r="650" spans="1:5" x14ac:dyDescent="0.25">
      <c r="A650" t="s">
        <v>45</v>
      </c>
      <c r="B650" t="s">
        <v>247</v>
      </c>
      <c r="C650" t="s">
        <v>371</v>
      </c>
      <c r="D650">
        <v>68160</v>
      </c>
      <c r="E650">
        <v>7</v>
      </c>
    </row>
    <row r="651" spans="1:5" x14ac:dyDescent="0.25">
      <c r="A651" t="s">
        <v>16</v>
      </c>
      <c r="B651" t="s">
        <v>15</v>
      </c>
      <c r="C651" t="s">
        <v>371</v>
      </c>
      <c r="D651">
        <v>17434</v>
      </c>
      <c r="E651">
        <v>6</v>
      </c>
    </row>
    <row r="652" spans="1:5" x14ac:dyDescent="0.25">
      <c r="A652" t="s">
        <v>25</v>
      </c>
      <c r="B652" t="s">
        <v>39</v>
      </c>
      <c r="C652" t="s">
        <v>372</v>
      </c>
      <c r="D652">
        <v>17409</v>
      </c>
      <c r="E652">
        <v>7</v>
      </c>
    </row>
    <row r="653" spans="1:5" x14ac:dyDescent="0.25">
      <c r="A653" t="s">
        <v>30</v>
      </c>
      <c r="B653" t="s">
        <v>36</v>
      </c>
      <c r="C653" t="s">
        <v>372</v>
      </c>
      <c r="D653">
        <v>41228</v>
      </c>
      <c r="E653">
        <v>8</v>
      </c>
    </row>
    <row r="654" spans="1:5" x14ac:dyDescent="0.25">
      <c r="A654" t="s">
        <v>10</v>
      </c>
      <c r="B654" t="s">
        <v>287</v>
      </c>
      <c r="C654" t="s">
        <v>373</v>
      </c>
      <c r="D654">
        <v>59734</v>
      </c>
      <c r="E654">
        <v>0</v>
      </c>
    </row>
    <row r="655" spans="1:5" x14ac:dyDescent="0.25">
      <c r="A655" t="s">
        <v>45</v>
      </c>
      <c r="B655" t="s">
        <v>264</v>
      </c>
      <c r="C655" t="s">
        <v>373</v>
      </c>
      <c r="D655">
        <v>50335</v>
      </c>
      <c r="E655">
        <v>10</v>
      </c>
    </row>
    <row r="656" spans="1:5" x14ac:dyDescent="0.25">
      <c r="A656" t="s">
        <v>10</v>
      </c>
      <c r="B656" t="s">
        <v>114</v>
      </c>
      <c r="C656" t="s">
        <v>374</v>
      </c>
      <c r="D656">
        <v>37379</v>
      </c>
      <c r="E656">
        <v>8</v>
      </c>
    </row>
    <row r="657" spans="1:5" x14ac:dyDescent="0.25">
      <c r="A657" t="s">
        <v>30</v>
      </c>
      <c r="B657" t="s">
        <v>375</v>
      </c>
      <c r="C657" t="s">
        <v>374</v>
      </c>
      <c r="D657">
        <v>40657</v>
      </c>
      <c r="E657">
        <v>7</v>
      </c>
    </row>
    <row r="658" spans="1:5" x14ac:dyDescent="0.25">
      <c r="A658" t="s">
        <v>8</v>
      </c>
      <c r="B658" t="s">
        <v>309</v>
      </c>
      <c r="C658" t="s">
        <v>376</v>
      </c>
      <c r="D658">
        <v>95673</v>
      </c>
      <c r="E658">
        <v>8</v>
      </c>
    </row>
    <row r="659" spans="1:5" x14ac:dyDescent="0.25">
      <c r="A659" t="s">
        <v>13</v>
      </c>
      <c r="B659" t="s">
        <v>124</v>
      </c>
      <c r="C659" t="s">
        <v>376</v>
      </c>
      <c r="D659">
        <v>27187</v>
      </c>
      <c r="E659">
        <v>3</v>
      </c>
    </row>
    <row r="660" spans="1:5" x14ac:dyDescent="0.25">
      <c r="A660" t="s">
        <v>38</v>
      </c>
      <c r="B660" t="s">
        <v>194</v>
      </c>
      <c r="C660" t="s">
        <v>376</v>
      </c>
      <c r="D660">
        <v>22103</v>
      </c>
      <c r="E660">
        <v>7</v>
      </c>
    </row>
    <row r="661" spans="1:5" x14ac:dyDescent="0.25">
      <c r="A661" t="s">
        <v>16</v>
      </c>
      <c r="B661" t="s">
        <v>187</v>
      </c>
      <c r="C661" t="s">
        <v>376</v>
      </c>
      <c r="D661">
        <v>45744</v>
      </c>
      <c r="E661">
        <v>6</v>
      </c>
    </row>
    <row r="662" spans="1:5" x14ac:dyDescent="0.25">
      <c r="A662" t="s">
        <v>13</v>
      </c>
      <c r="B662" t="s">
        <v>64</v>
      </c>
      <c r="C662" t="s">
        <v>376</v>
      </c>
      <c r="D662">
        <v>44537</v>
      </c>
      <c r="E662">
        <v>3</v>
      </c>
    </row>
    <row r="663" spans="1:5" x14ac:dyDescent="0.25">
      <c r="A663" t="s">
        <v>10</v>
      </c>
      <c r="B663" t="s">
        <v>300</v>
      </c>
      <c r="C663" t="s">
        <v>376</v>
      </c>
      <c r="D663">
        <v>33701</v>
      </c>
      <c r="E663">
        <v>7</v>
      </c>
    </row>
    <row r="664" spans="1:5" x14ac:dyDescent="0.25">
      <c r="A664" t="s">
        <v>8</v>
      </c>
      <c r="B664" t="s">
        <v>134</v>
      </c>
      <c r="C664" t="s">
        <v>376</v>
      </c>
      <c r="D664">
        <v>99947</v>
      </c>
      <c r="E664">
        <v>4</v>
      </c>
    </row>
    <row r="665" spans="1:5" x14ac:dyDescent="0.25">
      <c r="A665" t="s">
        <v>45</v>
      </c>
      <c r="B665" t="s">
        <v>332</v>
      </c>
      <c r="C665" t="s">
        <v>377</v>
      </c>
      <c r="D665">
        <v>32540</v>
      </c>
      <c r="E665">
        <v>0</v>
      </c>
    </row>
    <row r="666" spans="1:5" x14ac:dyDescent="0.25">
      <c r="A666" t="s">
        <v>38</v>
      </c>
      <c r="B666" t="s">
        <v>59</v>
      </c>
      <c r="C666" t="s">
        <v>377</v>
      </c>
      <c r="D666">
        <v>96394</v>
      </c>
      <c r="E666">
        <v>6</v>
      </c>
    </row>
    <row r="667" spans="1:5" x14ac:dyDescent="0.25">
      <c r="A667" t="s">
        <v>38</v>
      </c>
      <c r="B667" t="s">
        <v>137</v>
      </c>
      <c r="C667" t="s">
        <v>377</v>
      </c>
      <c r="D667">
        <v>63888</v>
      </c>
      <c r="E667">
        <v>0</v>
      </c>
    </row>
    <row r="668" spans="1:5" x14ac:dyDescent="0.25">
      <c r="A668" t="s">
        <v>5</v>
      </c>
      <c r="B668" t="s">
        <v>105</v>
      </c>
      <c r="C668" t="s">
        <v>378</v>
      </c>
      <c r="D668">
        <v>33636</v>
      </c>
      <c r="E668">
        <v>8</v>
      </c>
    </row>
    <row r="669" spans="1:5" x14ac:dyDescent="0.25">
      <c r="A669" t="s">
        <v>10</v>
      </c>
      <c r="B669" t="s">
        <v>69</v>
      </c>
      <c r="C669" t="s">
        <v>378</v>
      </c>
      <c r="D669">
        <v>73299</v>
      </c>
      <c r="E669">
        <v>4</v>
      </c>
    </row>
    <row r="670" spans="1:5" x14ac:dyDescent="0.25">
      <c r="A670" t="s">
        <v>18</v>
      </c>
      <c r="B670" t="s">
        <v>49</v>
      </c>
      <c r="C670" t="s">
        <v>379</v>
      </c>
      <c r="D670">
        <v>16842</v>
      </c>
      <c r="E670">
        <v>7</v>
      </c>
    </row>
    <row r="671" spans="1:5" x14ac:dyDescent="0.25">
      <c r="A671" t="s">
        <v>25</v>
      </c>
      <c r="B671" t="s">
        <v>313</v>
      </c>
      <c r="C671" t="s">
        <v>379</v>
      </c>
      <c r="D671">
        <v>98829</v>
      </c>
      <c r="E671">
        <v>10</v>
      </c>
    </row>
    <row r="672" spans="1:5" x14ac:dyDescent="0.25">
      <c r="A672" t="s">
        <v>30</v>
      </c>
      <c r="B672" t="s">
        <v>380</v>
      </c>
      <c r="C672" t="s">
        <v>379</v>
      </c>
      <c r="D672">
        <v>41145</v>
      </c>
      <c r="E672">
        <v>10</v>
      </c>
    </row>
    <row r="673" spans="1:5" x14ac:dyDescent="0.25">
      <c r="A673" t="s">
        <v>8</v>
      </c>
      <c r="B673" t="s">
        <v>132</v>
      </c>
      <c r="C673" t="s">
        <v>379</v>
      </c>
      <c r="D673">
        <v>81492</v>
      </c>
      <c r="E673">
        <v>8</v>
      </c>
    </row>
    <row r="674" spans="1:5" x14ac:dyDescent="0.25">
      <c r="A674" t="s">
        <v>47</v>
      </c>
      <c r="B674" t="s">
        <v>196</v>
      </c>
      <c r="C674" t="s">
        <v>379</v>
      </c>
      <c r="D674">
        <v>30243</v>
      </c>
      <c r="E674">
        <v>7</v>
      </c>
    </row>
    <row r="675" spans="1:5" x14ac:dyDescent="0.25">
      <c r="A675" t="s">
        <v>25</v>
      </c>
      <c r="B675" t="s">
        <v>105</v>
      </c>
      <c r="C675" t="s">
        <v>379</v>
      </c>
      <c r="D675">
        <v>15103</v>
      </c>
      <c r="E675">
        <v>5</v>
      </c>
    </row>
    <row r="676" spans="1:5" x14ac:dyDescent="0.25">
      <c r="A676" t="s">
        <v>30</v>
      </c>
      <c r="B676" t="s">
        <v>221</v>
      </c>
      <c r="C676" t="s">
        <v>379</v>
      </c>
      <c r="D676">
        <v>51938</v>
      </c>
      <c r="E676">
        <v>7</v>
      </c>
    </row>
    <row r="677" spans="1:5" x14ac:dyDescent="0.25">
      <c r="A677" t="s">
        <v>30</v>
      </c>
      <c r="B677" t="s">
        <v>202</v>
      </c>
      <c r="C677" t="s">
        <v>379</v>
      </c>
      <c r="D677">
        <v>68301</v>
      </c>
      <c r="E677">
        <v>3</v>
      </c>
    </row>
    <row r="678" spans="1:5" x14ac:dyDescent="0.25">
      <c r="A678" t="s">
        <v>30</v>
      </c>
      <c r="B678" t="s">
        <v>344</v>
      </c>
      <c r="C678" t="s">
        <v>381</v>
      </c>
      <c r="D678">
        <v>23651</v>
      </c>
      <c r="E678">
        <v>8</v>
      </c>
    </row>
    <row r="679" spans="1:5" x14ac:dyDescent="0.25">
      <c r="A679" t="s">
        <v>47</v>
      </c>
      <c r="B679" t="s">
        <v>307</v>
      </c>
      <c r="C679" t="s">
        <v>381</v>
      </c>
      <c r="D679">
        <v>48631</v>
      </c>
      <c r="E679">
        <v>7</v>
      </c>
    </row>
    <row r="680" spans="1:5" x14ac:dyDescent="0.25">
      <c r="A680" t="s">
        <v>8</v>
      </c>
      <c r="B680" t="s">
        <v>149</v>
      </c>
      <c r="C680" t="s">
        <v>381</v>
      </c>
      <c r="D680">
        <v>22093</v>
      </c>
      <c r="E680">
        <v>10</v>
      </c>
    </row>
    <row r="681" spans="1:5" x14ac:dyDescent="0.25">
      <c r="A681" t="s">
        <v>38</v>
      </c>
      <c r="B681" t="s">
        <v>158</v>
      </c>
      <c r="C681" t="s">
        <v>381</v>
      </c>
      <c r="D681">
        <v>75160</v>
      </c>
      <c r="E681">
        <v>5</v>
      </c>
    </row>
    <row r="682" spans="1:5" x14ac:dyDescent="0.25">
      <c r="A682" t="s">
        <v>8</v>
      </c>
      <c r="B682" t="s">
        <v>155</v>
      </c>
      <c r="C682" t="s">
        <v>381</v>
      </c>
      <c r="D682">
        <v>28426</v>
      </c>
      <c r="E682">
        <v>5</v>
      </c>
    </row>
    <row r="683" spans="1:5" x14ac:dyDescent="0.25">
      <c r="A683" t="s">
        <v>10</v>
      </c>
      <c r="B683" t="s">
        <v>382</v>
      </c>
      <c r="C683" t="s">
        <v>383</v>
      </c>
      <c r="D683">
        <v>40276</v>
      </c>
      <c r="E683">
        <v>5</v>
      </c>
    </row>
    <row r="684" spans="1:5" x14ac:dyDescent="0.25">
      <c r="A684" t="s">
        <v>30</v>
      </c>
      <c r="B684" t="s">
        <v>384</v>
      </c>
      <c r="C684" t="s">
        <v>383</v>
      </c>
      <c r="D684">
        <v>16429</v>
      </c>
      <c r="E684">
        <v>3</v>
      </c>
    </row>
    <row r="685" spans="1:5" x14ac:dyDescent="0.25">
      <c r="A685" t="s">
        <v>45</v>
      </c>
      <c r="B685" t="s">
        <v>142</v>
      </c>
      <c r="C685" t="s">
        <v>383</v>
      </c>
      <c r="D685">
        <v>25047</v>
      </c>
      <c r="E685">
        <v>9</v>
      </c>
    </row>
    <row r="686" spans="1:5" x14ac:dyDescent="0.25">
      <c r="A686" t="s">
        <v>13</v>
      </c>
      <c r="B686" t="s">
        <v>9</v>
      </c>
      <c r="C686" t="s">
        <v>383</v>
      </c>
      <c r="D686">
        <v>46160</v>
      </c>
      <c r="E686">
        <v>6</v>
      </c>
    </row>
    <row r="687" spans="1:5" x14ac:dyDescent="0.25">
      <c r="A687" t="s">
        <v>45</v>
      </c>
      <c r="B687" t="s">
        <v>26</v>
      </c>
      <c r="C687" t="s">
        <v>383</v>
      </c>
      <c r="D687">
        <v>38601</v>
      </c>
      <c r="E687">
        <v>7</v>
      </c>
    </row>
    <row r="688" spans="1:5" x14ac:dyDescent="0.25">
      <c r="A688" t="s">
        <v>45</v>
      </c>
      <c r="B688" t="s">
        <v>206</v>
      </c>
      <c r="C688" t="s">
        <v>383</v>
      </c>
      <c r="D688">
        <v>40768</v>
      </c>
      <c r="E688">
        <v>2</v>
      </c>
    </row>
    <row r="689" spans="1:5" x14ac:dyDescent="0.25">
      <c r="A689" t="s">
        <v>13</v>
      </c>
      <c r="B689" t="s">
        <v>67</v>
      </c>
      <c r="C689" t="s">
        <v>383</v>
      </c>
      <c r="D689">
        <v>64682</v>
      </c>
      <c r="E689">
        <v>4</v>
      </c>
    </row>
    <row r="690" spans="1:5" x14ac:dyDescent="0.25">
      <c r="A690" t="s">
        <v>16</v>
      </c>
      <c r="B690" t="s">
        <v>385</v>
      </c>
      <c r="C690" t="s">
        <v>383</v>
      </c>
      <c r="D690">
        <v>65426</v>
      </c>
      <c r="E690">
        <v>8</v>
      </c>
    </row>
    <row r="691" spans="1:5" x14ac:dyDescent="0.25">
      <c r="A691" t="s">
        <v>10</v>
      </c>
      <c r="B691" t="s">
        <v>68</v>
      </c>
      <c r="C691" t="s">
        <v>383</v>
      </c>
      <c r="D691">
        <v>93215</v>
      </c>
      <c r="E691">
        <v>5</v>
      </c>
    </row>
    <row r="692" spans="1:5" x14ac:dyDescent="0.25">
      <c r="A692" t="s">
        <v>5</v>
      </c>
      <c r="B692" t="s">
        <v>270</v>
      </c>
      <c r="C692" t="s">
        <v>383</v>
      </c>
      <c r="D692">
        <v>12958</v>
      </c>
      <c r="E692">
        <v>9</v>
      </c>
    </row>
    <row r="693" spans="1:5" x14ac:dyDescent="0.25">
      <c r="A693" t="s">
        <v>10</v>
      </c>
      <c r="B693" t="s">
        <v>125</v>
      </c>
      <c r="C693" t="s">
        <v>383</v>
      </c>
      <c r="D693">
        <v>89799</v>
      </c>
      <c r="E693">
        <v>7</v>
      </c>
    </row>
    <row r="694" spans="1:5" x14ac:dyDescent="0.25">
      <c r="A694" t="s">
        <v>30</v>
      </c>
      <c r="B694" t="s">
        <v>272</v>
      </c>
      <c r="C694" t="s">
        <v>383</v>
      </c>
      <c r="D694">
        <v>80671</v>
      </c>
      <c r="E694">
        <v>5</v>
      </c>
    </row>
    <row r="695" spans="1:5" x14ac:dyDescent="0.25">
      <c r="A695" t="s">
        <v>18</v>
      </c>
      <c r="B695" t="s">
        <v>110</v>
      </c>
      <c r="C695" t="s">
        <v>383</v>
      </c>
      <c r="D695">
        <v>33110</v>
      </c>
      <c r="E695">
        <v>4</v>
      </c>
    </row>
    <row r="696" spans="1:5" x14ac:dyDescent="0.25">
      <c r="A696" t="s">
        <v>45</v>
      </c>
      <c r="B696" t="s">
        <v>99</v>
      </c>
      <c r="C696" t="s">
        <v>386</v>
      </c>
      <c r="D696">
        <v>12347</v>
      </c>
      <c r="E696">
        <v>5</v>
      </c>
    </row>
    <row r="697" spans="1:5" x14ac:dyDescent="0.25">
      <c r="A697" t="s">
        <v>18</v>
      </c>
      <c r="B697" t="s">
        <v>96</v>
      </c>
      <c r="C697" t="s">
        <v>386</v>
      </c>
      <c r="D697">
        <v>60176</v>
      </c>
      <c r="E697">
        <v>7</v>
      </c>
    </row>
    <row r="698" spans="1:5" x14ac:dyDescent="0.25">
      <c r="A698" t="s">
        <v>38</v>
      </c>
      <c r="B698" t="s">
        <v>344</v>
      </c>
      <c r="C698" t="s">
        <v>386</v>
      </c>
      <c r="D698">
        <v>48892</v>
      </c>
      <c r="E698">
        <v>7</v>
      </c>
    </row>
    <row r="699" spans="1:5" x14ac:dyDescent="0.25">
      <c r="A699" t="s">
        <v>38</v>
      </c>
      <c r="B699" t="s">
        <v>299</v>
      </c>
      <c r="C699" t="s">
        <v>386</v>
      </c>
      <c r="D699">
        <v>48323</v>
      </c>
      <c r="E699">
        <v>3</v>
      </c>
    </row>
    <row r="700" spans="1:5" x14ac:dyDescent="0.25">
      <c r="A700" t="s">
        <v>18</v>
      </c>
      <c r="B700" t="s">
        <v>119</v>
      </c>
      <c r="C700" t="s">
        <v>387</v>
      </c>
      <c r="D700">
        <v>36165</v>
      </c>
      <c r="E700">
        <v>6</v>
      </c>
    </row>
    <row r="701" spans="1:5" x14ac:dyDescent="0.25">
      <c r="A701" t="s">
        <v>8</v>
      </c>
      <c r="B701" t="s">
        <v>107</v>
      </c>
      <c r="C701" t="s">
        <v>387</v>
      </c>
      <c r="D701">
        <v>25308</v>
      </c>
      <c r="E701">
        <v>6</v>
      </c>
    </row>
    <row r="702" spans="1:5" x14ac:dyDescent="0.25">
      <c r="A702" t="s">
        <v>13</v>
      </c>
      <c r="B702" t="s">
        <v>270</v>
      </c>
      <c r="C702" t="s">
        <v>387</v>
      </c>
      <c r="D702">
        <v>61005</v>
      </c>
      <c r="E702">
        <v>6</v>
      </c>
    </row>
    <row r="703" spans="1:5" x14ac:dyDescent="0.25">
      <c r="A703" t="s">
        <v>16</v>
      </c>
      <c r="B703" t="s">
        <v>94</v>
      </c>
      <c r="C703" t="s">
        <v>387</v>
      </c>
      <c r="D703">
        <v>28195</v>
      </c>
      <c r="E703">
        <v>7</v>
      </c>
    </row>
    <row r="704" spans="1:5" x14ac:dyDescent="0.25">
      <c r="A704" t="s">
        <v>30</v>
      </c>
      <c r="B704" t="s">
        <v>169</v>
      </c>
      <c r="C704" t="s">
        <v>388</v>
      </c>
      <c r="D704">
        <v>36661</v>
      </c>
      <c r="E704">
        <v>3</v>
      </c>
    </row>
    <row r="705" spans="1:5" x14ac:dyDescent="0.25">
      <c r="A705" t="s">
        <v>10</v>
      </c>
      <c r="B705" t="s">
        <v>177</v>
      </c>
      <c r="C705" t="s">
        <v>388</v>
      </c>
      <c r="D705">
        <v>43138</v>
      </c>
      <c r="E705">
        <v>8</v>
      </c>
    </row>
    <row r="706" spans="1:5" x14ac:dyDescent="0.25">
      <c r="A706" t="s">
        <v>30</v>
      </c>
      <c r="B706" t="s">
        <v>82</v>
      </c>
      <c r="C706" t="s">
        <v>388</v>
      </c>
      <c r="D706">
        <v>93660</v>
      </c>
      <c r="E706">
        <v>9</v>
      </c>
    </row>
    <row r="707" spans="1:5" x14ac:dyDescent="0.25">
      <c r="A707" t="s">
        <v>13</v>
      </c>
      <c r="B707" t="s">
        <v>157</v>
      </c>
      <c r="C707" t="s">
        <v>388</v>
      </c>
      <c r="D707">
        <v>13664</v>
      </c>
      <c r="E707">
        <v>6</v>
      </c>
    </row>
    <row r="708" spans="1:5" x14ac:dyDescent="0.25">
      <c r="A708" t="s">
        <v>30</v>
      </c>
      <c r="B708" t="s">
        <v>249</v>
      </c>
      <c r="C708" t="s">
        <v>388</v>
      </c>
      <c r="D708">
        <v>39899</v>
      </c>
      <c r="E708">
        <v>7</v>
      </c>
    </row>
    <row r="709" spans="1:5" x14ac:dyDescent="0.25">
      <c r="A709" t="s">
        <v>30</v>
      </c>
      <c r="B709" t="s">
        <v>134</v>
      </c>
      <c r="C709" t="s">
        <v>388</v>
      </c>
      <c r="D709">
        <v>93387</v>
      </c>
      <c r="E709">
        <v>6</v>
      </c>
    </row>
    <row r="710" spans="1:5" x14ac:dyDescent="0.25">
      <c r="A710" t="s">
        <v>38</v>
      </c>
      <c r="B710" t="s">
        <v>57</v>
      </c>
      <c r="C710" t="s">
        <v>388</v>
      </c>
      <c r="D710">
        <v>65818</v>
      </c>
      <c r="E710">
        <v>5</v>
      </c>
    </row>
    <row r="711" spans="1:5" x14ac:dyDescent="0.25">
      <c r="A711" t="s">
        <v>45</v>
      </c>
      <c r="B711" t="s">
        <v>219</v>
      </c>
      <c r="C711" t="s">
        <v>388</v>
      </c>
      <c r="D711">
        <v>66817</v>
      </c>
      <c r="E711">
        <v>8</v>
      </c>
    </row>
    <row r="712" spans="1:5" x14ac:dyDescent="0.25">
      <c r="A712" t="s">
        <v>13</v>
      </c>
      <c r="B712" t="s">
        <v>155</v>
      </c>
      <c r="C712" t="s">
        <v>388</v>
      </c>
      <c r="D712">
        <v>17068</v>
      </c>
      <c r="E712">
        <v>9</v>
      </c>
    </row>
    <row r="713" spans="1:5" x14ac:dyDescent="0.25">
      <c r="A713" t="s">
        <v>38</v>
      </c>
      <c r="B713" t="s">
        <v>173</v>
      </c>
      <c r="C713" t="s">
        <v>388</v>
      </c>
      <c r="D713">
        <v>29952</v>
      </c>
      <c r="E713">
        <v>9</v>
      </c>
    </row>
    <row r="714" spans="1:5" x14ac:dyDescent="0.25">
      <c r="A714" t="s">
        <v>27</v>
      </c>
      <c r="B714" t="s">
        <v>224</v>
      </c>
      <c r="C714" t="s">
        <v>388</v>
      </c>
      <c r="D714">
        <v>23678</v>
      </c>
      <c r="E714">
        <v>10</v>
      </c>
    </row>
    <row r="715" spans="1:5" x14ac:dyDescent="0.25">
      <c r="A715" t="s">
        <v>13</v>
      </c>
      <c r="B715" t="s">
        <v>211</v>
      </c>
      <c r="C715" t="s">
        <v>389</v>
      </c>
      <c r="D715">
        <v>54713</v>
      </c>
      <c r="E715">
        <v>5</v>
      </c>
    </row>
    <row r="716" spans="1:5" x14ac:dyDescent="0.25">
      <c r="A716" t="s">
        <v>45</v>
      </c>
      <c r="B716" t="s">
        <v>26</v>
      </c>
      <c r="C716" t="s">
        <v>389</v>
      </c>
      <c r="D716">
        <v>18871</v>
      </c>
      <c r="E716">
        <v>10</v>
      </c>
    </row>
    <row r="717" spans="1:5" x14ac:dyDescent="0.25">
      <c r="A717" t="s">
        <v>8</v>
      </c>
      <c r="B717" t="s">
        <v>247</v>
      </c>
      <c r="C717" t="s">
        <v>389</v>
      </c>
      <c r="D717">
        <v>75689</v>
      </c>
      <c r="E717">
        <v>7</v>
      </c>
    </row>
    <row r="718" spans="1:5" x14ac:dyDescent="0.25">
      <c r="A718" t="s">
        <v>47</v>
      </c>
      <c r="B718" t="s">
        <v>121</v>
      </c>
      <c r="C718" t="s">
        <v>389</v>
      </c>
      <c r="D718">
        <v>67529</v>
      </c>
      <c r="E718">
        <v>7</v>
      </c>
    </row>
    <row r="719" spans="1:5" x14ac:dyDescent="0.25">
      <c r="A719" t="s">
        <v>10</v>
      </c>
      <c r="B719" t="s">
        <v>287</v>
      </c>
      <c r="C719" t="s">
        <v>390</v>
      </c>
      <c r="D719">
        <v>79823</v>
      </c>
      <c r="E719">
        <v>7</v>
      </c>
    </row>
    <row r="720" spans="1:5" x14ac:dyDescent="0.25">
      <c r="A720" t="s">
        <v>27</v>
      </c>
      <c r="B720" t="s">
        <v>77</v>
      </c>
      <c r="C720" t="s">
        <v>391</v>
      </c>
      <c r="D720">
        <v>54463</v>
      </c>
      <c r="E720">
        <v>3</v>
      </c>
    </row>
    <row r="721" spans="1:5" x14ac:dyDescent="0.25">
      <c r="A721" t="s">
        <v>13</v>
      </c>
      <c r="B721" t="s">
        <v>226</v>
      </c>
      <c r="C721" t="s">
        <v>392</v>
      </c>
      <c r="D721">
        <v>56986</v>
      </c>
      <c r="E721">
        <v>6</v>
      </c>
    </row>
    <row r="722" spans="1:5" x14ac:dyDescent="0.25">
      <c r="A722" t="s">
        <v>18</v>
      </c>
      <c r="B722" t="s">
        <v>393</v>
      </c>
      <c r="C722" t="s">
        <v>392</v>
      </c>
      <c r="D722">
        <v>69779</v>
      </c>
      <c r="E722">
        <v>10</v>
      </c>
    </row>
    <row r="723" spans="1:5" x14ac:dyDescent="0.25">
      <c r="A723" t="s">
        <v>10</v>
      </c>
      <c r="B723" t="s">
        <v>22</v>
      </c>
      <c r="C723" t="s">
        <v>392</v>
      </c>
      <c r="D723">
        <v>36169</v>
      </c>
      <c r="E723">
        <v>1</v>
      </c>
    </row>
    <row r="724" spans="1:5" x14ac:dyDescent="0.25">
      <c r="A724" t="s">
        <v>27</v>
      </c>
      <c r="B724" t="s">
        <v>212</v>
      </c>
      <c r="C724" t="s">
        <v>392</v>
      </c>
      <c r="D724">
        <v>65869</v>
      </c>
      <c r="E724">
        <v>8</v>
      </c>
    </row>
    <row r="725" spans="1:5" x14ac:dyDescent="0.25">
      <c r="A725" t="s">
        <v>47</v>
      </c>
      <c r="B725" t="s">
        <v>89</v>
      </c>
      <c r="C725" t="s">
        <v>392</v>
      </c>
      <c r="D725">
        <v>19641</v>
      </c>
      <c r="E725">
        <v>9</v>
      </c>
    </row>
    <row r="726" spans="1:5" x14ac:dyDescent="0.25">
      <c r="A726" t="s">
        <v>25</v>
      </c>
      <c r="B726" t="s">
        <v>94</v>
      </c>
      <c r="C726" t="s">
        <v>394</v>
      </c>
      <c r="D726">
        <v>69572</v>
      </c>
      <c r="E726">
        <v>6</v>
      </c>
    </row>
    <row r="727" spans="1:5" x14ac:dyDescent="0.25">
      <c r="A727" t="s">
        <v>45</v>
      </c>
      <c r="B727" t="s">
        <v>279</v>
      </c>
      <c r="C727" t="s">
        <v>394</v>
      </c>
      <c r="D727">
        <v>24731</v>
      </c>
      <c r="E727">
        <v>10</v>
      </c>
    </row>
    <row r="728" spans="1:5" x14ac:dyDescent="0.25">
      <c r="A728" t="s">
        <v>18</v>
      </c>
      <c r="B728" t="s">
        <v>309</v>
      </c>
      <c r="C728" t="s">
        <v>394</v>
      </c>
      <c r="D728">
        <v>15847</v>
      </c>
      <c r="E728">
        <v>9</v>
      </c>
    </row>
    <row r="729" spans="1:5" x14ac:dyDescent="0.25">
      <c r="A729" t="s">
        <v>13</v>
      </c>
      <c r="B729" t="s">
        <v>55</v>
      </c>
      <c r="C729" t="s">
        <v>394</v>
      </c>
      <c r="D729">
        <v>72903</v>
      </c>
      <c r="E729">
        <v>8</v>
      </c>
    </row>
    <row r="730" spans="1:5" x14ac:dyDescent="0.25">
      <c r="A730" t="s">
        <v>8</v>
      </c>
      <c r="B730" t="s">
        <v>41</v>
      </c>
      <c r="C730" t="s">
        <v>394</v>
      </c>
      <c r="D730">
        <v>17317</v>
      </c>
      <c r="E730">
        <v>10</v>
      </c>
    </row>
    <row r="731" spans="1:5" x14ac:dyDescent="0.25">
      <c r="A731" t="s">
        <v>27</v>
      </c>
      <c r="B731" t="s">
        <v>126</v>
      </c>
      <c r="C731" t="s">
        <v>394</v>
      </c>
      <c r="D731">
        <v>90540</v>
      </c>
      <c r="E731">
        <v>1</v>
      </c>
    </row>
    <row r="732" spans="1:5" x14ac:dyDescent="0.25">
      <c r="A732" t="s">
        <v>45</v>
      </c>
      <c r="B732" t="s">
        <v>209</v>
      </c>
      <c r="C732" t="s">
        <v>394</v>
      </c>
      <c r="D732">
        <v>34578</v>
      </c>
      <c r="E732">
        <v>0</v>
      </c>
    </row>
    <row r="733" spans="1:5" x14ac:dyDescent="0.25">
      <c r="A733" t="s">
        <v>25</v>
      </c>
      <c r="B733" t="s">
        <v>137</v>
      </c>
      <c r="C733" t="s">
        <v>394</v>
      </c>
      <c r="D733">
        <v>91543</v>
      </c>
      <c r="E733">
        <v>7</v>
      </c>
    </row>
    <row r="734" spans="1:5" x14ac:dyDescent="0.25">
      <c r="A734" t="s">
        <v>18</v>
      </c>
      <c r="B734" t="s">
        <v>33</v>
      </c>
      <c r="C734" t="s">
        <v>394</v>
      </c>
      <c r="D734">
        <v>17476</v>
      </c>
      <c r="E734">
        <v>7</v>
      </c>
    </row>
    <row r="735" spans="1:5" x14ac:dyDescent="0.25">
      <c r="A735" t="s">
        <v>30</v>
      </c>
      <c r="B735" t="s">
        <v>194</v>
      </c>
      <c r="C735" t="s">
        <v>394</v>
      </c>
      <c r="D735">
        <v>69009</v>
      </c>
      <c r="E735">
        <v>8</v>
      </c>
    </row>
    <row r="736" spans="1:5" x14ac:dyDescent="0.25">
      <c r="A736" t="s">
        <v>18</v>
      </c>
      <c r="B736" t="s">
        <v>395</v>
      </c>
      <c r="C736" t="s">
        <v>396</v>
      </c>
      <c r="D736">
        <v>80655</v>
      </c>
      <c r="E736">
        <v>8</v>
      </c>
    </row>
    <row r="737" spans="1:5" x14ac:dyDescent="0.25">
      <c r="A737" t="s">
        <v>47</v>
      </c>
      <c r="B737" t="s">
        <v>157</v>
      </c>
      <c r="C737" t="s">
        <v>396</v>
      </c>
      <c r="D737">
        <v>94796</v>
      </c>
      <c r="E737">
        <v>7</v>
      </c>
    </row>
    <row r="738" spans="1:5" x14ac:dyDescent="0.25">
      <c r="A738" t="s">
        <v>18</v>
      </c>
      <c r="B738" t="s">
        <v>157</v>
      </c>
      <c r="C738" t="s">
        <v>396</v>
      </c>
      <c r="D738">
        <v>94973</v>
      </c>
      <c r="E738">
        <v>3</v>
      </c>
    </row>
    <row r="739" spans="1:5" x14ac:dyDescent="0.25">
      <c r="A739" t="s">
        <v>8</v>
      </c>
      <c r="B739" t="s">
        <v>53</v>
      </c>
      <c r="C739" t="s">
        <v>396</v>
      </c>
      <c r="D739">
        <v>58694</v>
      </c>
      <c r="E739">
        <v>7</v>
      </c>
    </row>
    <row r="740" spans="1:5" x14ac:dyDescent="0.25">
      <c r="A740" t="s">
        <v>47</v>
      </c>
      <c r="B740" t="s">
        <v>107</v>
      </c>
      <c r="C740" t="s">
        <v>397</v>
      </c>
      <c r="D740">
        <v>95450</v>
      </c>
      <c r="E740">
        <v>2</v>
      </c>
    </row>
    <row r="741" spans="1:5" x14ac:dyDescent="0.25">
      <c r="A741" t="s">
        <v>5</v>
      </c>
      <c r="B741" t="s">
        <v>363</v>
      </c>
      <c r="C741" t="s">
        <v>397</v>
      </c>
      <c r="D741">
        <v>24745</v>
      </c>
      <c r="E741">
        <v>3</v>
      </c>
    </row>
    <row r="742" spans="1:5" x14ac:dyDescent="0.25">
      <c r="A742" t="s">
        <v>45</v>
      </c>
      <c r="B742" t="s">
        <v>142</v>
      </c>
      <c r="C742" t="s">
        <v>397</v>
      </c>
      <c r="D742">
        <v>98077</v>
      </c>
      <c r="E742">
        <v>5</v>
      </c>
    </row>
    <row r="743" spans="1:5" x14ac:dyDescent="0.25">
      <c r="A743" t="s">
        <v>30</v>
      </c>
      <c r="B743" t="s">
        <v>85</v>
      </c>
      <c r="C743" t="s">
        <v>397</v>
      </c>
      <c r="D743">
        <v>97002</v>
      </c>
      <c r="E743">
        <v>2</v>
      </c>
    </row>
    <row r="744" spans="1:5" x14ac:dyDescent="0.25">
      <c r="A744" t="s">
        <v>38</v>
      </c>
      <c r="B744" t="s">
        <v>89</v>
      </c>
      <c r="C744" t="s">
        <v>398</v>
      </c>
      <c r="D744">
        <v>69205</v>
      </c>
      <c r="E744">
        <v>4</v>
      </c>
    </row>
    <row r="745" spans="1:5" x14ac:dyDescent="0.25">
      <c r="A745" t="s">
        <v>47</v>
      </c>
      <c r="B745" t="s">
        <v>289</v>
      </c>
      <c r="C745" t="s">
        <v>398</v>
      </c>
      <c r="D745">
        <v>43456</v>
      </c>
      <c r="E745">
        <v>6</v>
      </c>
    </row>
    <row r="746" spans="1:5" x14ac:dyDescent="0.25">
      <c r="A746" t="s">
        <v>47</v>
      </c>
      <c r="B746" t="s">
        <v>289</v>
      </c>
      <c r="C746" t="s">
        <v>399</v>
      </c>
      <c r="D746">
        <v>20854</v>
      </c>
      <c r="E746">
        <v>8</v>
      </c>
    </row>
    <row r="747" spans="1:5" x14ac:dyDescent="0.25">
      <c r="A747" t="s">
        <v>8</v>
      </c>
      <c r="B747" t="s">
        <v>77</v>
      </c>
      <c r="C747" t="s">
        <v>399</v>
      </c>
      <c r="D747">
        <v>90387</v>
      </c>
      <c r="E747">
        <v>7</v>
      </c>
    </row>
    <row r="748" spans="1:5" x14ac:dyDescent="0.25">
      <c r="A748" t="s">
        <v>38</v>
      </c>
      <c r="B748" t="s">
        <v>20</v>
      </c>
      <c r="C748" t="s">
        <v>399</v>
      </c>
      <c r="D748">
        <v>65604</v>
      </c>
      <c r="E748">
        <v>6</v>
      </c>
    </row>
    <row r="749" spans="1:5" x14ac:dyDescent="0.25">
      <c r="A749" t="s">
        <v>10</v>
      </c>
      <c r="B749" t="s">
        <v>393</v>
      </c>
      <c r="C749" t="s">
        <v>399</v>
      </c>
      <c r="D749">
        <v>28121</v>
      </c>
      <c r="E749">
        <v>5</v>
      </c>
    </row>
    <row r="750" spans="1:5" x14ac:dyDescent="0.25">
      <c r="A750" t="s">
        <v>47</v>
      </c>
      <c r="B750" t="s">
        <v>94</v>
      </c>
      <c r="C750" t="s">
        <v>400</v>
      </c>
      <c r="D750">
        <v>81835</v>
      </c>
      <c r="E750">
        <v>6</v>
      </c>
    </row>
    <row r="751" spans="1:5" x14ac:dyDescent="0.25">
      <c r="A751" t="s">
        <v>13</v>
      </c>
      <c r="B751" t="s">
        <v>114</v>
      </c>
      <c r="C751" t="s">
        <v>400</v>
      </c>
      <c r="D751">
        <v>38885</v>
      </c>
      <c r="E751">
        <v>4</v>
      </c>
    </row>
    <row r="752" spans="1:5" x14ac:dyDescent="0.25">
      <c r="A752" t="s">
        <v>18</v>
      </c>
      <c r="B752" t="s">
        <v>194</v>
      </c>
      <c r="C752" t="s">
        <v>400</v>
      </c>
      <c r="D752">
        <v>26714</v>
      </c>
      <c r="E752">
        <v>1</v>
      </c>
    </row>
    <row r="753" spans="1:5" x14ac:dyDescent="0.25">
      <c r="A753" t="s">
        <v>47</v>
      </c>
      <c r="B753" t="s">
        <v>24</v>
      </c>
      <c r="C753" t="s">
        <v>400</v>
      </c>
      <c r="D753">
        <v>10639</v>
      </c>
      <c r="E753">
        <v>7</v>
      </c>
    </row>
    <row r="754" spans="1:5" x14ac:dyDescent="0.25">
      <c r="A754" t="s">
        <v>47</v>
      </c>
      <c r="B754" t="s">
        <v>270</v>
      </c>
      <c r="C754" t="s">
        <v>400</v>
      </c>
      <c r="D754">
        <v>82789</v>
      </c>
      <c r="E754">
        <v>4</v>
      </c>
    </row>
    <row r="755" spans="1:5" x14ac:dyDescent="0.25">
      <c r="A755" t="s">
        <v>16</v>
      </c>
      <c r="B755" t="s">
        <v>9</v>
      </c>
      <c r="C755" t="s">
        <v>400</v>
      </c>
      <c r="D755">
        <v>67600</v>
      </c>
      <c r="E755">
        <v>5</v>
      </c>
    </row>
    <row r="756" spans="1:5" x14ac:dyDescent="0.25">
      <c r="A756" t="s">
        <v>45</v>
      </c>
      <c r="B756" t="s">
        <v>46</v>
      </c>
      <c r="C756" t="s">
        <v>400</v>
      </c>
      <c r="D756">
        <v>91973</v>
      </c>
      <c r="E756">
        <v>9</v>
      </c>
    </row>
    <row r="757" spans="1:5" x14ac:dyDescent="0.25">
      <c r="A757" t="s">
        <v>10</v>
      </c>
      <c r="B757" t="s">
        <v>187</v>
      </c>
      <c r="C757" t="s">
        <v>401</v>
      </c>
      <c r="D757">
        <v>49288</v>
      </c>
      <c r="E757">
        <v>8</v>
      </c>
    </row>
    <row r="758" spans="1:5" x14ac:dyDescent="0.25">
      <c r="A758" t="s">
        <v>38</v>
      </c>
      <c r="B758" t="s">
        <v>116</v>
      </c>
      <c r="C758" t="s">
        <v>401</v>
      </c>
      <c r="D758">
        <v>81721</v>
      </c>
      <c r="E758">
        <v>4</v>
      </c>
    </row>
    <row r="759" spans="1:5" x14ac:dyDescent="0.25">
      <c r="A759" t="s">
        <v>16</v>
      </c>
      <c r="B759" t="s">
        <v>149</v>
      </c>
      <c r="C759" t="s">
        <v>401</v>
      </c>
      <c r="D759">
        <v>76154</v>
      </c>
      <c r="E759">
        <v>5</v>
      </c>
    </row>
    <row r="760" spans="1:5" x14ac:dyDescent="0.25">
      <c r="A760" t="s">
        <v>30</v>
      </c>
      <c r="B760" t="s">
        <v>59</v>
      </c>
      <c r="C760" t="s">
        <v>401</v>
      </c>
      <c r="D760">
        <v>47775</v>
      </c>
      <c r="E760">
        <v>3</v>
      </c>
    </row>
    <row r="761" spans="1:5" x14ac:dyDescent="0.25">
      <c r="A761" t="s">
        <v>38</v>
      </c>
      <c r="B761" t="s">
        <v>146</v>
      </c>
      <c r="C761" t="s">
        <v>401</v>
      </c>
      <c r="D761">
        <v>47692</v>
      </c>
      <c r="E761">
        <v>7</v>
      </c>
    </row>
    <row r="762" spans="1:5" x14ac:dyDescent="0.25">
      <c r="A762" t="s">
        <v>8</v>
      </c>
      <c r="B762" t="s">
        <v>186</v>
      </c>
      <c r="C762" t="s">
        <v>401</v>
      </c>
      <c r="D762">
        <v>61715</v>
      </c>
      <c r="E762">
        <v>6</v>
      </c>
    </row>
    <row r="763" spans="1:5" x14ac:dyDescent="0.25">
      <c r="A763" t="s">
        <v>30</v>
      </c>
      <c r="B763" t="s">
        <v>33</v>
      </c>
      <c r="C763" t="s">
        <v>402</v>
      </c>
      <c r="D763">
        <v>74876</v>
      </c>
      <c r="E763">
        <v>9</v>
      </c>
    </row>
    <row r="764" spans="1:5" x14ac:dyDescent="0.25">
      <c r="A764" t="s">
        <v>38</v>
      </c>
      <c r="B764" t="s">
        <v>247</v>
      </c>
      <c r="C764" t="s">
        <v>402</v>
      </c>
      <c r="D764">
        <v>45109</v>
      </c>
      <c r="E764">
        <v>1</v>
      </c>
    </row>
    <row r="765" spans="1:5" x14ac:dyDescent="0.25">
      <c r="A765" t="s">
        <v>10</v>
      </c>
      <c r="B765" t="s">
        <v>153</v>
      </c>
      <c r="C765" t="s">
        <v>402</v>
      </c>
      <c r="D765">
        <v>11257</v>
      </c>
      <c r="E765">
        <v>8</v>
      </c>
    </row>
    <row r="766" spans="1:5" x14ac:dyDescent="0.25">
      <c r="A766" t="s">
        <v>18</v>
      </c>
      <c r="B766" t="s">
        <v>215</v>
      </c>
      <c r="C766" t="s">
        <v>402</v>
      </c>
      <c r="D766">
        <v>60501</v>
      </c>
      <c r="E766">
        <v>7</v>
      </c>
    </row>
    <row r="767" spans="1:5" x14ac:dyDescent="0.25">
      <c r="A767" t="s">
        <v>8</v>
      </c>
      <c r="B767" t="s">
        <v>300</v>
      </c>
      <c r="C767" t="s">
        <v>403</v>
      </c>
      <c r="D767">
        <v>19182</v>
      </c>
      <c r="E767">
        <v>8</v>
      </c>
    </row>
    <row r="768" spans="1:5" x14ac:dyDescent="0.25">
      <c r="A768" t="s">
        <v>10</v>
      </c>
      <c r="B768" t="s">
        <v>32</v>
      </c>
      <c r="C768" t="s">
        <v>403</v>
      </c>
      <c r="D768">
        <v>33561</v>
      </c>
      <c r="E768">
        <v>4</v>
      </c>
    </row>
    <row r="769" spans="1:5" x14ac:dyDescent="0.25">
      <c r="A769" t="s">
        <v>18</v>
      </c>
      <c r="B769" t="s">
        <v>252</v>
      </c>
      <c r="C769" t="s">
        <v>403</v>
      </c>
      <c r="D769">
        <v>40377</v>
      </c>
      <c r="E769">
        <v>6</v>
      </c>
    </row>
    <row r="770" spans="1:5" x14ac:dyDescent="0.25">
      <c r="A770" t="s">
        <v>45</v>
      </c>
      <c r="B770" t="s">
        <v>73</v>
      </c>
      <c r="C770" t="s">
        <v>403</v>
      </c>
      <c r="D770">
        <v>17538</v>
      </c>
      <c r="E770">
        <v>2</v>
      </c>
    </row>
    <row r="771" spans="1:5" x14ac:dyDescent="0.25">
      <c r="A771" t="s">
        <v>13</v>
      </c>
      <c r="B771" t="s">
        <v>184</v>
      </c>
      <c r="C771" t="s">
        <v>404</v>
      </c>
      <c r="D771">
        <v>20817</v>
      </c>
      <c r="E771">
        <v>4</v>
      </c>
    </row>
    <row r="772" spans="1:5" x14ac:dyDescent="0.25">
      <c r="A772" t="s">
        <v>47</v>
      </c>
      <c r="B772" t="s">
        <v>298</v>
      </c>
      <c r="C772" t="s">
        <v>404</v>
      </c>
      <c r="D772">
        <v>44978</v>
      </c>
      <c r="E772">
        <v>5</v>
      </c>
    </row>
    <row r="773" spans="1:5" x14ac:dyDescent="0.25">
      <c r="A773" t="s">
        <v>5</v>
      </c>
      <c r="B773" t="s">
        <v>243</v>
      </c>
      <c r="C773" t="s">
        <v>404</v>
      </c>
      <c r="D773">
        <v>24823</v>
      </c>
      <c r="E773">
        <v>6</v>
      </c>
    </row>
    <row r="774" spans="1:5" x14ac:dyDescent="0.25">
      <c r="A774" t="s">
        <v>47</v>
      </c>
      <c r="B774" t="s">
        <v>32</v>
      </c>
      <c r="C774" t="s">
        <v>404</v>
      </c>
      <c r="D774">
        <v>93394</v>
      </c>
      <c r="E774">
        <v>10</v>
      </c>
    </row>
    <row r="775" spans="1:5" x14ac:dyDescent="0.25">
      <c r="A775" t="s">
        <v>25</v>
      </c>
      <c r="B775" t="s">
        <v>68</v>
      </c>
      <c r="C775" t="s">
        <v>404</v>
      </c>
      <c r="D775">
        <v>67847</v>
      </c>
      <c r="E775">
        <v>9</v>
      </c>
    </row>
    <row r="776" spans="1:5" x14ac:dyDescent="0.25">
      <c r="A776" t="s">
        <v>38</v>
      </c>
      <c r="B776" t="s">
        <v>309</v>
      </c>
      <c r="C776" t="s">
        <v>405</v>
      </c>
      <c r="D776">
        <v>81900</v>
      </c>
      <c r="E776">
        <v>6</v>
      </c>
    </row>
    <row r="777" spans="1:5" x14ac:dyDescent="0.25">
      <c r="A777" t="s">
        <v>38</v>
      </c>
      <c r="B777" t="s">
        <v>152</v>
      </c>
      <c r="C777" t="s">
        <v>405</v>
      </c>
      <c r="D777">
        <v>41777</v>
      </c>
      <c r="E777">
        <v>9</v>
      </c>
    </row>
    <row r="778" spans="1:5" x14ac:dyDescent="0.25">
      <c r="A778" t="s">
        <v>30</v>
      </c>
      <c r="B778" t="s">
        <v>158</v>
      </c>
      <c r="C778" t="s">
        <v>405</v>
      </c>
      <c r="D778">
        <v>36982</v>
      </c>
      <c r="E778">
        <v>9</v>
      </c>
    </row>
    <row r="779" spans="1:5" x14ac:dyDescent="0.25">
      <c r="A779" t="s">
        <v>45</v>
      </c>
      <c r="B779" t="s">
        <v>26</v>
      </c>
      <c r="C779" t="s">
        <v>405</v>
      </c>
      <c r="D779">
        <v>13816</v>
      </c>
      <c r="E779">
        <v>8</v>
      </c>
    </row>
    <row r="780" spans="1:5" x14ac:dyDescent="0.25">
      <c r="A780" t="s">
        <v>8</v>
      </c>
      <c r="B780" t="s">
        <v>239</v>
      </c>
      <c r="C780" t="s">
        <v>405</v>
      </c>
      <c r="D780">
        <v>96463</v>
      </c>
      <c r="E780">
        <v>8</v>
      </c>
    </row>
    <row r="781" spans="1:5" x14ac:dyDescent="0.25">
      <c r="A781" t="s">
        <v>47</v>
      </c>
      <c r="B781" t="s">
        <v>252</v>
      </c>
      <c r="C781" t="s">
        <v>405</v>
      </c>
      <c r="D781">
        <v>87870</v>
      </c>
      <c r="E781">
        <v>7</v>
      </c>
    </row>
    <row r="782" spans="1:5" x14ac:dyDescent="0.25">
      <c r="A782" t="s">
        <v>45</v>
      </c>
      <c r="B782" t="s">
        <v>46</v>
      </c>
      <c r="C782" t="s">
        <v>405</v>
      </c>
      <c r="D782">
        <v>39417</v>
      </c>
      <c r="E782">
        <v>0</v>
      </c>
    </row>
    <row r="783" spans="1:5" x14ac:dyDescent="0.25">
      <c r="A783" t="s">
        <v>10</v>
      </c>
      <c r="B783" t="s">
        <v>90</v>
      </c>
      <c r="C783" t="s">
        <v>405</v>
      </c>
      <c r="D783">
        <v>62880</v>
      </c>
      <c r="E783">
        <v>4</v>
      </c>
    </row>
    <row r="784" spans="1:5" x14ac:dyDescent="0.25">
      <c r="A784" t="s">
        <v>25</v>
      </c>
      <c r="B784" t="s">
        <v>287</v>
      </c>
      <c r="C784" t="s">
        <v>405</v>
      </c>
      <c r="D784">
        <v>65442</v>
      </c>
      <c r="E784">
        <v>8</v>
      </c>
    </row>
    <row r="785" spans="1:5" x14ac:dyDescent="0.25">
      <c r="A785" t="s">
        <v>5</v>
      </c>
      <c r="B785" t="s">
        <v>19</v>
      </c>
      <c r="C785" t="s">
        <v>406</v>
      </c>
      <c r="D785">
        <v>35454</v>
      </c>
      <c r="E785">
        <v>8</v>
      </c>
    </row>
    <row r="786" spans="1:5" x14ac:dyDescent="0.25">
      <c r="A786" t="s">
        <v>45</v>
      </c>
      <c r="B786" t="s">
        <v>119</v>
      </c>
      <c r="C786" t="s">
        <v>406</v>
      </c>
      <c r="D786">
        <v>94535</v>
      </c>
      <c r="E786">
        <v>9</v>
      </c>
    </row>
    <row r="787" spans="1:5" x14ac:dyDescent="0.25">
      <c r="A787" t="s">
        <v>27</v>
      </c>
      <c r="B787" t="s">
        <v>248</v>
      </c>
      <c r="C787" t="s">
        <v>406</v>
      </c>
      <c r="D787">
        <v>10170</v>
      </c>
      <c r="E787">
        <v>5</v>
      </c>
    </row>
    <row r="788" spans="1:5" x14ac:dyDescent="0.25">
      <c r="A788" t="s">
        <v>16</v>
      </c>
      <c r="B788" t="s">
        <v>91</v>
      </c>
      <c r="C788" t="s">
        <v>407</v>
      </c>
      <c r="D788">
        <v>43440</v>
      </c>
      <c r="E788">
        <v>8</v>
      </c>
    </row>
    <row r="789" spans="1:5" x14ac:dyDescent="0.25">
      <c r="A789" t="s">
        <v>8</v>
      </c>
      <c r="B789" t="s">
        <v>214</v>
      </c>
      <c r="C789" t="s">
        <v>407</v>
      </c>
      <c r="D789">
        <v>49391</v>
      </c>
      <c r="E789">
        <v>10</v>
      </c>
    </row>
    <row r="790" spans="1:5" x14ac:dyDescent="0.25">
      <c r="A790" t="s">
        <v>25</v>
      </c>
      <c r="B790" t="s">
        <v>298</v>
      </c>
      <c r="C790" t="s">
        <v>407</v>
      </c>
      <c r="D790">
        <v>18116</v>
      </c>
      <c r="E790">
        <v>2</v>
      </c>
    </row>
    <row r="791" spans="1:5" x14ac:dyDescent="0.25">
      <c r="A791" t="s">
        <v>18</v>
      </c>
      <c r="B791" t="s">
        <v>152</v>
      </c>
      <c r="C791" t="s">
        <v>408</v>
      </c>
      <c r="D791">
        <v>43931</v>
      </c>
      <c r="E791">
        <v>2</v>
      </c>
    </row>
    <row r="792" spans="1:5" x14ac:dyDescent="0.25">
      <c r="A792" t="s">
        <v>25</v>
      </c>
      <c r="B792" t="s">
        <v>188</v>
      </c>
      <c r="C792" t="s">
        <v>408</v>
      </c>
      <c r="D792">
        <v>46742</v>
      </c>
      <c r="E792">
        <v>3</v>
      </c>
    </row>
    <row r="793" spans="1:5" x14ac:dyDescent="0.25">
      <c r="A793" t="s">
        <v>16</v>
      </c>
      <c r="B793" t="s">
        <v>64</v>
      </c>
      <c r="C793" t="s">
        <v>408</v>
      </c>
      <c r="D793">
        <v>47732</v>
      </c>
      <c r="E793">
        <v>7</v>
      </c>
    </row>
    <row r="794" spans="1:5" x14ac:dyDescent="0.25">
      <c r="A794" t="s">
        <v>5</v>
      </c>
      <c r="B794" t="s">
        <v>41</v>
      </c>
      <c r="C794" t="s">
        <v>408</v>
      </c>
      <c r="D794">
        <v>72672</v>
      </c>
      <c r="E794">
        <v>5</v>
      </c>
    </row>
    <row r="795" spans="1:5" x14ac:dyDescent="0.25">
      <c r="A795" t="s">
        <v>10</v>
      </c>
      <c r="B795" t="s">
        <v>37</v>
      </c>
      <c r="C795" t="s">
        <v>408</v>
      </c>
      <c r="D795">
        <v>41159</v>
      </c>
      <c r="E795">
        <v>9</v>
      </c>
    </row>
    <row r="796" spans="1:5" x14ac:dyDescent="0.25">
      <c r="A796" t="s">
        <v>8</v>
      </c>
      <c r="B796" t="s">
        <v>9</v>
      </c>
      <c r="C796" t="s">
        <v>408</v>
      </c>
      <c r="D796">
        <v>54105</v>
      </c>
      <c r="E796">
        <v>8</v>
      </c>
    </row>
    <row r="797" spans="1:5" x14ac:dyDescent="0.25">
      <c r="A797" t="s">
        <v>45</v>
      </c>
      <c r="B797" t="s">
        <v>28</v>
      </c>
      <c r="C797" t="s">
        <v>408</v>
      </c>
      <c r="D797">
        <v>32941</v>
      </c>
      <c r="E797">
        <v>8</v>
      </c>
    </row>
    <row r="798" spans="1:5" x14ac:dyDescent="0.25">
      <c r="A798" t="s">
        <v>27</v>
      </c>
      <c r="B798" t="s">
        <v>344</v>
      </c>
      <c r="C798" t="s">
        <v>409</v>
      </c>
      <c r="D798">
        <v>45913</v>
      </c>
      <c r="E798">
        <v>5</v>
      </c>
    </row>
    <row r="799" spans="1:5" x14ac:dyDescent="0.25">
      <c r="A799" t="s">
        <v>16</v>
      </c>
      <c r="B799" t="s">
        <v>96</v>
      </c>
      <c r="C799" t="s">
        <v>409</v>
      </c>
      <c r="D799">
        <v>38473</v>
      </c>
      <c r="E799">
        <v>3</v>
      </c>
    </row>
    <row r="800" spans="1:5" x14ac:dyDescent="0.25">
      <c r="A800" t="s">
        <v>30</v>
      </c>
      <c r="B800" t="s">
        <v>84</v>
      </c>
      <c r="C800" t="s">
        <v>409</v>
      </c>
      <c r="D800">
        <v>16356</v>
      </c>
      <c r="E800">
        <v>4</v>
      </c>
    </row>
    <row r="801" spans="1:5" x14ac:dyDescent="0.25">
      <c r="A801" t="s">
        <v>8</v>
      </c>
      <c r="B801" t="s">
        <v>82</v>
      </c>
      <c r="C801" t="s">
        <v>410</v>
      </c>
      <c r="D801">
        <v>55502</v>
      </c>
      <c r="E801">
        <v>3</v>
      </c>
    </row>
    <row r="802" spans="1:5" x14ac:dyDescent="0.25">
      <c r="A802" t="s">
        <v>13</v>
      </c>
      <c r="B802" t="s">
        <v>205</v>
      </c>
      <c r="C802" t="s">
        <v>410</v>
      </c>
      <c r="D802">
        <v>90543</v>
      </c>
      <c r="E802">
        <v>7</v>
      </c>
    </row>
    <row r="803" spans="1:5" x14ac:dyDescent="0.25">
      <c r="A803" t="s">
        <v>27</v>
      </c>
      <c r="B803" t="s">
        <v>53</v>
      </c>
      <c r="C803" t="s">
        <v>410</v>
      </c>
      <c r="D803">
        <v>28577</v>
      </c>
      <c r="E803">
        <v>7</v>
      </c>
    </row>
    <row r="804" spans="1:5" x14ac:dyDescent="0.25">
      <c r="A804" t="s">
        <v>16</v>
      </c>
      <c r="B804" t="s">
        <v>68</v>
      </c>
      <c r="C804" t="s">
        <v>411</v>
      </c>
      <c r="D804">
        <v>53960</v>
      </c>
      <c r="E804">
        <v>8</v>
      </c>
    </row>
    <row r="805" spans="1:5" x14ac:dyDescent="0.25">
      <c r="A805" t="s">
        <v>27</v>
      </c>
      <c r="B805" t="s">
        <v>325</v>
      </c>
      <c r="C805" t="s">
        <v>412</v>
      </c>
      <c r="D805">
        <v>73139</v>
      </c>
      <c r="E805">
        <v>8</v>
      </c>
    </row>
    <row r="806" spans="1:5" x14ac:dyDescent="0.25">
      <c r="A806" t="s">
        <v>16</v>
      </c>
      <c r="B806" t="s">
        <v>78</v>
      </c>
      <c r="C806" t="s">
        <v>412</v>
      </c>
      <c r="D806">
        <v>83726</v>
      </c>
      <c r="E806">
        <v>6</v>
      </c>
    </row>
    <row r="807" spans="1:5" x14ac:dyDescent="0.25">
      <c r="A807" t="s">
        <v>10</v>
      </c>
      <c r="B807" t="s">
        <v>395</v>
      </c>
      <c r="C807" t="s">
        <v>412</v>
      </c>
      <c r="D807">
        <v>34670</v>
      </c>
      <c r="E807">
        <v>5</v>
      </c>
    </row>
    <row r="808" spans="1:5" x14ac:dyDescent="0.25">
      <c r="A808" t="s">
        <v>47</v>
      </c>
      <c r="B808" t="s">
        <v>307</v>
      </c>
      <c r="C808" t="s">
        <v>413</v>
      </c>
      <c r="D808">
        <v>86620</v>
      </c>
      <c r="E808">
        <v>3</v>
      </c>
    </row>
    <row r="809" spans="1:5" x14ac:dyDescent="0.25">
      <c r="A809" t="s">
        <v>27</v>
      </c>
      <c r="B809" t="s">
        <v>126</v>
      </c>
      <c r="C809" t="s">
        <v>413</v>
      </c>
      <c r="D809">
        <v>27107</v>
      </c>
      <c r="E809">
        <v>6</v>
      </c>
    </row>
    <row r="810" spans="1:5" x14ac:dyDescent="0.25">
      <c r="A810" t="s">
        <v>8</v>
      </c>
      <c r="B810" t="s">
        <v>249</v>
      </c>
      <c r="C810" t="s">
        <v>413</v>
      </c>
      <c r="D810">
        <v>35755</v>
      </c>
      <c r="E810">
        <v>7</v>
      </c>
    </row>
    <row r="811" spans="1:5" x14ac:dyDescent="0.25">
      <c r="A811" t="s">
        <v>30</v>
      </c>
      <c r="B811" t="s">
        <v>142</v>
      </c>
      <c r="C811" t="s">
        <v>414</v>
      </c>
      <c r="D811">
        <v>78827</v>
      </c>
      <c r="E811">
        <v>10</v>
      </c>
    </row>
    <row r="812" spans="1:5" x14ac:dyDescent="0.25">
      <c r="A812" t="s">
        <v>13</v>
      </c>
      <c r="B812" t="s">
        <v>19</v>
      </c>
      <c r="C812" t="s">
        <v>414</v>
      </c>
      <c r="D812">
        <v>91413</v>
      </c>
      <c r="E812">
        <v>9</v>
      </c>
    </row>
    <row r="813" spans="1:5" x14ac:dyDescent="0.25">
      <c r="A813" t="s">
        <v>13</v>
      </c>
      <c r="B813" t="s">
        <v>184</v>
      </c>
      <c r="C813" t="s">
        <v>414</v>
      </c>
      <c r="D813">
        <v>41489</v>
      </c>
      <c r="E813">
        <v>7</v>
      </c>
    </row>
    <row r="814" spans="1:5" x14ac:dyDescent="0.25">
      <c r="A814" t="s">
        <v>13</v>
      </c>
      <c r="B814" t="s">
        <v>214</v>
      </c>
      <c r="C814" t="s">
        <v>415</v>
      </c>
      <c r="D814">
        <v>77456</v>
      </c>
      <c r="E814">
        <v>5</v>
      </c>
    </row>
    <row r="815" spans="1:5" x14ac:dyDescent="0.25">
      <c r="A815" t="s">
        <v>16</v>
      </c>
      <c r="B815" t="s">
        <v>151</v>
      </c>
      <c r="C815" t="s">
        <v>415</v>
      </c>
      <c r="D815">
        <v>47885</v>
      </c>
      <c r="E815">
        <v>9</v>
      </c>
    </row>
    <row r="816" spans="1:5" x14ac:dyDescent="0.25">
      <c r="A816" t="s">
        <v>25</v>
      </c>
      <c r="B816" t="s">
        <v>307</v>
      </c>
      <c r="C816" t="s">
        <v>415</v>
      </c>
      <c r="D816">
        <v>52963</v>
      </c>
      <c r="E816">
        <v>5</v>
      </c>
    </row>
    <row r="817" spans="1:5" x14ac:dyDescent="0.25">
      <c r="A817" t="s">
        <v>25</v>
      </c>
      <c r="B817" t="s">
        <v>332</v>
      </c>
      <c r="C817" t="s">
        <v>415</v>
      </c>
      <c r="D817">
        <v>18778</v>
      </c>
      <c r="E817">
        <v>7</v>
      </c>
    </row>
    <row r="818" spans="1:5" x14ac:dyDescent="0.25">
      <c r="A818" t="s">
        <v>5</v>
      </c>
      <c r="B818" t="s">
        <v>49</v>
      </c>
      <c r="C818" t="s">
        <v>415</v>
      </c>
      <c r="D818">
        <v>77790</v>
      </c>
      <c r="E818">
        <v>2</v>
      </c>
    </row>
    <row r="819" spans="1:5" x14ac:dyDescent="0.25">
      <c r="A819" t="s">
        <v>16</v>
      </c>
      <c r="B819" t="s">
        <v>106</v>
      </c>
      <c r="C819" t="s">
        <v>415</v>
      </c>
      <c r="D819">
        <v>33898</v>
      </c>
      <c r="E819">
        <v>9</v>
      </c>
    </row>
    <row r="820" spans="1:5" x14ac:dyDescent="0.25">
      <c r="A820" t="s">
        <v>13</v>
      </c>
      <c r="B820" t="s">
        <v>82</v>
      </c>
      <c r="C820" t="s">
        <v>415</v>
      </c>
      <c r="D820">
        <v>78647</v>
      </c>
      <c r="E820">
        <v>4</v>
      </c>
    </row>
    <row r="821" spans="1:5" x14ac:dyDescent="0.25">
      <c r="A821" t="s">
        <v>45</v>
      </c>
      <c r="B821" t="s">
        <v>105</v>
      </c>
      <c r="C821" t="s">
        <v>415</v>
      </c>
      <c r="D821">
        <v>32727</v>
      </c>
      <c r="E821">
        <v>8</v>
      </c>
    </row>
    <row r="822" spans="1:5" x14ac:dyDescent="0.25">
      <c r="A822" t="s">
        <v>30</v>
      </c>
      <c r="B822" t="s">
        <v>243</v>
      </c>
      <c r="C822" t="s">
        <v>415</v>
      </c>
      <c r="D822">
        <v>69766</v>
      </c>
      <c r="E822">
        <v>1</v>
      </c>
    </row>
    <row r="823" spans="1:5" x14ac:dyDescent="0.25">
      <c r="A823" t="s">
        <v>10</v>
      </c>
      <c r="B823" t="s">
        <v>231</v>
      </c>
      <c r="C823" t="s">
        <v>415</v>
      </c>
      <c r="D823">
        <v>62935</v>
      </c>
      <c r="E823">
        <v>5</v>
      </c>
    </row>
    <row r="824" spans="1:5" x14ac:dyDescent="0.25">
      <c r="A824" t="s">
        <v>45</v>
      </c>
      <c r="B824" t="s">
        <v>338</v>
      </c>
      <c r="C824" t="s">
        <v>416</v>
      </c>
      <c r="D824">
        <v>88832</v>
      </c>
      <c r="E824">
        <v>4</v>
      </c>
    </row>
    <row r="825" spans="1:5" x14ac:dyDescent="0.25">
      <c r="A825" t="s">
        <v>30</v>
      </c>
      <c r="B825" t="s">
        <v>50</v>
      </c>
      <c r="C825" t="s">
        <v>416</v>
      </c>
      <c r="D825">
        <v>45506</v>
      </c>
      <c r="E825">
        <v>0</v>
      </c>
    </row>
    <row r="826" spans="1:5" x14ac:dyDescent="0.25">
      <c r="A826" t="s">
        <v>5</v>
      </c>
      <c r="B826" t="s">
        <v>81</v>
      </c>
      <c r="C826" t="s">
        <v>416</v>
      </c>
      <c r="D826">
        <v>28762</v>
      </c>
      <c r="E826">
        <v>8</v>
      </c>
    </row>
    <row r="827" spans="1:5" x14ac:dyDescent="0.25">
      <c r="A827" t="s">
        <v>10</v>
      </c>
      <c r="B827" t="s">
        <v>139</v>
      </c>
      <c r="C827" t="s">
        <v>416</v>
      </c>
      <c r="D827">
        <v>84692</v>
      </c>
      <c r="E827">
        <v>7</v>
      </c>
    </row>
    <row r="828" spans="1:5" x14ac:dyDescent="0.25">
      <c r="A828" t="s">
        <v>13</v>
      </c>
      <c r="B828" t="s">
        <v>33</v>
      </c>
      <c r="C828" t="s">
        <v>416</v>
      </c>
      <c r="D828">
        <v>69773</v>
      </c>
      <c r="E828">
        <v>8</v>
      </c>
    </row>
    <row r="829" spans="1:5" x14ac:dyDescent="0.25">
      <c r="A829" t="s">
        <v>38</v>
      </c>
      <c r="B829" t="s">
        <v>114</v>
      </c>
      <c r="C829" t="s">
        <v>416</v>
      </c>
      <c r="D829">
        <v>41439</v>
      </c>
      <c r="E829">
        <v>7</v>
      </c>
    </row>
    <row r="830" spans="1:5" x14ac:dyDescent="0.25">
      <c r="A830" t="s">
        <v>30</v>
      </c>
      <c r="B830" t="s">
        <v>243</v>
      </c>
      <c r="C830" t="s">
        <v>417</v>
      </c>
      <c r="D830">
        <v>55212</v>
      </c>
      <c r="E830">
        <v>7</v>
      </c>
    </row>
    <row r="831" spans="1:5" x14ac:dyDescent="0.25">
      <c r="A831" t="s">
        <v>27</v>
      </c>
      <c r="B831" t="s">
        <v>57</v>
      </c>
      <c r="C831" t="s">
        <v>418</v>
      </c>
      <c r="D831">
        <v>64279</v>
      </c>
      <c r="E831">
        <v>9</v>
      </c>
    </row>
    <row r="832" spans="1:5" x14ac:dyDescent="0.25">
      <c r="A832" t="s">
        <v>38</v>
      </c>
      <c r="B832" t="s">
        <v>195</v>
      </c>
      <c r="C832" t="s">
        <v>418</v>
      </c>
      <c r="D832">
        <v>21014</v>
      </c>
      <c r="E832">
        <v>3</v>
      </c>
    </row>
    <row r="833" spans="1:5" x14ac:dyDescent="0.25">
      <c r="A833" t="s">
        <v>30</v>
      </c>
      <c r="B833" t="s">
        <v>141</v>
      </c>
      <c r="C833" t="s">
        <v>418</v>
      </c>
      <c r="D833">
        <v>86403</v>
      </c>
      <c r="E833">
        <v>6</v>
      </c>
    </row>
    <row r="834" spans="1:5" x14ac:dyDescent="0.25">
      <c r="A834" t="s">
        <v>5</v>
      </c>
      <c r="B834" t="s">
        <v>148</v>
      </c>
      <c r="C834" t="s">
        <v>419</v>
      </c>
      <c r="D834">
        <v>62384</v>
      </c>
      <c r="E834">
        <v>3</v>
      </c>
    </row>
    <row r="835" spans="1:5" x14ac:dyDescent="0.25">
      <c r="A835" t="s">
        <v>30</v>
      </c>
      <c r="B835" t="s">
        <v>22</v>
      </c>
      <c r="C835" t="s">
        <v>419</v>
      </c>
      <c r="D835">
        <v>87177</v>
      </c>
      <c r="E835">
        <v>7</v>
      </c>
    </row>
    <row r="836" spans="1:5" x14ac:dyDescent="0.25">
      <c r="A836" t="s">
        <v>45</v>
      </c>
      <c r="B836" t="s">
        <v>6</v>
      </c>
      <c r="C836" t="s">
        <v>420</v>
      </c>
      <c r="D836">
        <v>96631</v>
      </c>
      <c r="E836">
        <v>5</v>
      </c>
    </row>
    <row r="837" spans="1:5" x14ac:dyDescent="0.25">
      <c r="A837" t="s">
        <v>10</v>
      </c>
      <c r="B837" t="s">
        <v>167</v>
      </c>
      <c r="C837" t="s">
        <v>420</v>
      </c>
      <c r="D837">
        <v>83623</v>
      </c>
      <c r="E837">
        <v>6</v>
      </c>
    </row>
    <row r="838" spans="1:5" x14ac:dyDescent="0.25">
      <c r="A838" t="s">
        <v>47</v>
      </c>
      <c r="B838" t="s">
        <v>113</v>
      </c>
      <c r="C838" t="s">
        <v>420</v>
      </c>
      <c r="D838">
        <v>84721</v>
      </c>
      <c r="E838">
        <v>2</v>
      </c>
    </row>
    <row r="839" spans="1:5" x14ac:dyDescent="0.25">
      <c r="A839" t="s">
        <v>18</v>
      </c>
      <c r="B839" t="s">
        <v>264</v>
      </c>
      <c r="C839" t="s">
        <v>420</v>
      </c>
      <c r="D839">
        <v>66632</v>
      </c>
      <c r="E839">
        <v>6</v>
      </c>
    </row>
    <row r="840" spans="1:5" x14ac:dyDescent="0.25">
      <c r="A840" t="s">
        <v>45</v>
      </c>
      <c r="B840" t="s">
        <v>146</v>
      </c>
      <c r="C840" t="s">
        <v>420</v>
      </c>
      <c r="D840">
        <v>89522</v>
      </c>
      <c r="E840">
        <v>8</v>
      </c>
    </row>
    <row r="841" spans="1:5" x14ac:dyDescent="0.25">
      <c r="A841" t="s">
        <v>5</v>
      </c>
      <c r="B841" t="s">
        <v>50</v>
      </c>
      <c r="C841" t="s">
        <v>420</v>
      </c>
      <c r="D841">
        <v>81216</v>
      </c>
      <c r="E841">
        <v>7</v>
      </c>
    </row>
    <row r="842" spans="1:5" x14ac:dyDescent="0.25">
      <c r="A842" t="s">
        <v>13</v>
      </c>
      <c r="B842" t="s">
        <v>125</v>
      </c>
      <c r="C842" t="s">
        <v>421</v>
      </c>
      <c r="D842">
        <v>37556</v>
      </c>
      <c r="E842">
        <v>5</v>
      </c>
    </row>
    <row r="843" spans="1:5" x14ac:dyDescent="0.25">
      <c r="A843" t="s">
        <v>8</v>
      </c>
      <c r="B843" t="s">
        <v>33</v>
      </c>
      <c r="C843" t="s">
        <v>421</v>
      </c>
      <c r="D843">
        <v>45925</v>
      </c>
      <c r="E843">
        <v>2</v>
      </c>
    </row>
    <row r="844" spans="1:5" x14ac:dyDescent="0.25">
      <c r="A844" t="s">
        <v>5</v>
      </c>
      <c r="B844" t="s">
        <v>180</v>
      </c>
      <c r="C844" t="s">
        <v>422</v>
      </c>
      <c r="D844">
        <v>80479</v>
      </c>
      <c r="E844">
        <v>7</v>
      </c>
    </row>
    <row r="845" spans="1:5" x14ac:dyDescent="0.25">
      <c r="A845" t="s">
        <v>27</v>
      </c>
      <c r="B845" t="s">
        <v>363</v>
      </c>
      <c r="C845" t="s">
        <v>422</v>
      </c>
      <c r="D845">
        <v>33415</v>
      </c>
      <c r="E845">
        <v>5</v>
      </c>
    </row>
    <row r="846" spans="1:5" x14ac:dyDescent="0.25">
      <c r="A846" t="s">
        <v>18</v>
      </c>
      <c r="B846" t="s">
        <v>395</v>
      </c>
      <c r="C846" t="s">
        <v>422</v>
      </c>
      <c r="D846">
        <v>28722</v>
      </c>
      <c r="E846">
        <v>7</v>
      </c>
    </row>
    <row r="847" spans="1:5" x14ac:dyDescent="0.25">
      <c r="A847" t="s">
        <v>38</v>
      </c>
      <c r="B847" t="s">
        <v>19</v>
      </c>
      <c r="C847" t="s">
        <v>422</v>
      </c>
      <c r="D847">
        <v>97544</v>
      </c>
      <c r="E847">
        <v>10</v>
      </c>
    </row>
    <row r="848" spans="1:5" x14ac:dyDescent="0.25">
      <c r="A848" t="s">
        <v>18</v>
      </c>
      <c r="B848" t="s">
        <v>124</v>
      </c>
      <c r="C848" t="s">
        <v>422</v>
      </c>
      <c r="D848">
        <v>39349</v>
      </c>
      <c r="E848">
        <v>8</v>
      </c>
    </row>
    <row r="849" spans="1:5" x14ac:dyDescent="0.25">
      <c r="A849" t="s">
        <v>8</v>
      </c>
      <c r="B849" t="s">
        <v>92</v>
      </c>
      <c r="C849" t="s">
        <v>423</v>
      </c>
      <c r="D849">
        <v>47891</v>
      </c>
      <c r="E849">
        <v>6</v>
      </c>
    </row>
    <row r="850" spans="1:5" x14ac:dyDescent="0.25">
      <c r="A850" t="s">
        <v>5</v>
      </c>
      <c r="B850" t="s">
        <v>53</v>
      </c>
      <c r="C850" t="s">
        <v>423</v>
      </c>
      <c r="D850">
        <v>66084</v>
      </c>
      <c r="E850">
        <v>9</v>
      </c>
    </row>
    <row r="851" spans="1:5" x14ac:dyDescent="0.25">
      <c r="A851" t="s">
        <v>30</v>
      </c>
      <c r="B851" t="s">
        <v>69</v>
      </c>
      <c r="C851" t="s">
        <v>423</v>
      </c>
      <c r="D851">
        <v>20652</v>
      </c>
      <c r="E851">
        <v>7</v>
      </c>
    </row>
    <row r="852" spans="1:5" x14ac:dyDescent="0.25">
      <c r="A852" t="s">
        <v>8</v>
      </c>
      <c r="B852" t="s">
        <v>149</v>
      </c>
      <c r="C852" t="s">
        <v>424</v>
      </c>
      <c r="D852">
        <v>18006</v>
      </c>
      <c r="E852">
        <v>4</v>
      </c>
    </row>
    <row r="853" spans="1:5" x14ac:dyDescent="0.25">
      <c r="A853" t="s">
        <v>27</v>
      </c>
      <c r="B853" t="s">
        <v>41</v>
      </c>
      <c r="C853" t="s">
        <v>424</v>
      </c>
      <c r="D853">
        <v>88821</v>
      </c>
      <c r="E853">
        <v>6</v>
      </c>
    </row>
    <row r="854" spans="1:5" x14ac:dyDescent="0.25">
      <c r="A854" t="s">
        <v>16</v>
      </c>
      <c r="B854" t="s">
        <v>73</v>
      </c>
      <c r="C854" t="s">
        <v>424</v>
      </c>
      <c r="D854">
        <v>24958</v>
      </c>
      <c r="E854">
        <v>7</v>
      </c>
    </row>
    <row r="855" spans="1:5" x14ac:dyDescent="0.25">
      <c r="A855" t="s">
        <v>38</v>
      </c>
      <c r="B855" t="s">
        <v>130</v>
      </c>
      <c r="C855" t="s">
        <v>424</v>
      </c>
      <c r="D855">
        <v>18739</v>
      </c>
      <c r="E855">
        <v>6</v>
      </c>
    </row>
    <row r="856" spans="1:5" x14ac:dyDescent="0.25">
      <c r="A856" t="s">
        <v>25</v>
      </c>
      <c r="B856" t="s">
        <v>249</v>
      </c>
      <c r="C856" t="s">
        <v>425</v>
      </c>
      <c r="D856">
        <v>98086</v>
      </c>
      <c r="E856">
        <v>1</v>
      </c>
    </row>
    <row r="857" spans="1:5" x14ac:dyDescent="0.25">
      <c r="A857" t="s">
        <v>30</v>
      </c>
      <c r="B857" t="s">
        <v>144</v>
      </c>
      <c r="C857" t="s">
        <v>425</v>
      </c>
      <c r="D857">
        <v>79974</v>
      </c>
      <c r="E857">
        <v>2</v>
      </c>
    </row>
    <row r="858" spans="1:5" x14ac:dyDescent="0.25">
      <c r="A858" t="s">
        <v>10</v>
      </c>
      <c r="B858" t="s">
        <v>35</v>
      </c>
      <c r="C858" t="s">
        <v>426</v>
      </c>
      <c r="D858">
        <v>96626</v>
      </c>
      <c r="E858">
        <v>7</v>
      </c>
    </row>
    <row r="859" spans="1:5" x14ac:dyDescent="0.25">
      <c r="A859" t="s">
        <v>30</v>
      </c>
      <c r="B859" t="s">
        <v>148</v>
      </c>
      <c r="C859" t="s">
        <v>426</v>
      </c>
      <c r="D859">
        <v>84911</v>
      </c>
      <c r="E859">
        <v>9</v>
      </c>
    </row>
    <row r="860" spans="1:5" x14ac:dyDescent="0.25">
      <c r="A860" t="s">
        <v>45</v>
      </c>
      <c r="B860" t="s">
        <v>24</v>
      </c>
      <c r="C860" t="s">
        <v>427</v>
      </c>
      <c r="D860">
        <v>47472</v>
      </c>
      <c r="E860">
        <v>6</v>
      </c>
    </row>
    <row r="861" spans="1:5" x14ac:dyDescent="0.25">
      <c r="A861" t="s">
        <v>45</v>
      </c>
      <c r="B861" t="s">
        <v>21</v>
      </c>
      <c r="C861" t="s">
        <v>427</v>
      </c>
      <c r="D861">
        <v>46387</v>
      </c>
      <c r="E861">
        <v>8</v>
      </c>
    </row>
    <row r="862" spans="1:5" x14ac:dyDescent="0.25">
      <c r="A862" t="s">
        <v>47</v>
      </c>
      <c r="B862" t="s">
        <v>393</v>
      </c>
      <c r="C862" t="s">
        <v>427</v>
      </c>
      <c r="D862">
        <v>12947</v>
      </c>
      <c r="E862">
        <v>7</v>
      </c>
    </row>
    <row r="863" spans="1:5" x14ac:dyDescent="0.25">
      <c r="A863" t="s">
        <v>5</v>
      </c>
      <c r="B863" t="s">
        <v>205</v>
      </c>
      <c r="C863" t="s">
        <v>427</v>
      </c>
      <c r="D863">
        <v>24709</v>
      </c>
      <c r="E863">
        <v>7</v>
      </c>
    </row>
    <row r="864" spans="1:5" x14ac:dyDescent="0.25">
      <c r="A864" t="s">
        <v>27</v>
      </c>
      <c r="B864" t="s">
        <v>91</v>
      </c>
      <c r="C864" t="s">
        <v>428</v>
      </c>
      <c r="D864">
        <v>39780</v>
      </c>
      <c r="E864">
        <v>1</v>
      </c>
    </row>
    <row r="865" spans="1:5" x14ac:dyDescent="0.25">
      <c r="A865" t="s">
        <v>18</v>
      </c>
      <c r="B865" t="s">
        <v>395</v>
      </c>
      <c r="C865" t="s">
        <v>428</v>
      </c>
      <c r="D865">
        <v>13570</v>
      </c>
      <c r="E865">
        <v>1</v>
      </c>
    </row>
    <row r="866" spans="1:5" x14ac:dyDescent="0.25">
      <c r="A866" t="s">
        <v>27</v>
      </c>
      <c r="B866" t="s">
        <v>92</v>
      </c>
      <c r="C866" t="s">
        <v>429</v>
      </c>
      <c r="D866">
        <v>78241</v>
      </c>
      <c r="E866">
        <v>7</v>
      </c>
    </row>
    <row r="867" spans="1:5" x14ac:dyDescent="0.25">
      <c r="A867" t="s">
        <v>13</v>
      </c>
      <c r="B867" t="s">
        <v>67</v>
      </c>
      <c r="C867" t="s">
        <v>429</v>
      </c>
      <c r="D867">
        <v>62495</v>
      </c>
      <c r="E867">
        <v>6</v>
      </c>
    </row>
    <row r="868" spans="1:5" x14ac:dyDescent="0.25">
      <c r="A868" t="s">
        <v>25</v>
      </c>
      <c r="B868" t="s">
        <v>59</v>
      </c>
      <c r="C868" t="s">
        <v>429</v>
      </c>
      <c r="D868">
        <v>42860</v>
      </c>
      <c r="E868">
        <v>7</v>
      </c>
    </row>
    <row r="869" spans="1:5" x14ac:dyDescent="0.25">
      <c r="A869" t="s">
        <v>5</v>
      </c>
      <c r="B869" t="s">
        <v>66</v>
      </c>
      <c r="C869" t="s">
        <v>430</v>
      </c>
      <c r="D869">
        <v>89429</v>
      </c>
      <c r="E869">
        <v>7</v>
      </c>
    </row>
    <row r="870" spans="1:5" x14ac:dyDescent="0.25">
      <c r="A870" t="s">
        <v>25</v>
      </c>
      <c r="B870" t="s">
        <v>233</v>
      </c>
      <c r="C870" t="s">
        <v>430</v>
      </c>
      <c r="D870">
        <v>17979</v>
      </c>
      <c r="E870">
        <v>6</v>
      </c>
    </row>
    <row r="871" spans="1:5" x14ac:dyDescent="0.25">
      <c r="A871" t="s">
        <v>30</v>
      </c>
      <c r="B871" t="s">
        <v>65</v>
      </c>
      <c r="C871" t="s">
        <v>430</v>
      </c>
      <c r="D871">
        <v>30554</v>
      </c>
      <c r="E871">
        <v>4</v>
      </c>
    </row>
    <row r="872" spans="1:5" x14ac:dyDescent="0.25">
      <c r="A872" t="s">
        <v>16</v>
      </c>
      <c r="B872" t="s">
        <v>80</v>
      </c>
      <c r="C872" t="s">
        <v>430</v>
      </c>
      <c r="D872">
        <v>77338</v>
      </c>
      <c r="E872">
        <v>8</v>
      </c>
    </row>
    <row r="873" spans="1:5" x14ac:dyDescent="0.25">
      <c r="A873" t="s">
        <v>5</v>
      </c>
      <c r="B873" t="s">
        <v>224</v>
      </c>
      <c r="C873" t="s">
        <v>430</v>
      </c>
      <c r="D873">
        <v>40046</v>
      </c>
      <c r="E873">
        <v>0</v>
      </c>
    </row>
    <row r="874" spans="1:5" x14ac:dyDescent="0.25">
      <c r="A874" t="s">
        <v>16</v>
      </c>
      <c r="B874" t="s">
        <v>194</v>
      </c>
      <c r="C874" t="s">
        <v>430</v>
      </c>
      <c r="D874">
        <v>79373</v>
      </c>
      <c r="E874">
        <v>8</v>
      </c>
    </row>
    <row r="875" spans="1:5" x14ac:dyDescent="0.25">
      <c r="A875" t="s">
        <v>38</v>
      </c>
      <c r="B875" t="s">
        <v>57</v>
      </c>
      <c r="C875" t="s">
        <v>430</v>
      </c>
      <c r="D875">
        <v>14084</v>
      </c>
      <c r="E875">
        <v>8</v>
      </c>
    </row>
    <row r="876" spans="1:5" x14ac:dyDescent="0.25">
      <c r="A876" t="s">
        <v>18</v>
      </c>
      <c r="B876" t="s">
        <v>256</v>
      </c>
      <c r="C876" t="s">
        <v>431</v>
      </c>
      <c r="D876">
        <v>20663</v>
      </c>
      <c r="E876">
        <v>0</v>
      </c>
    </row>
    <row r="877" spans="1:5" x14ac:dyDescent="0.25">
      <c r="A877" t="s">
        <v>38</v>
      </c>
      <c r="B877" t="s">
        <v>65</v>
      </c>
      <c r="C877" t="s">
        <v>432</v>
      </c>
      <c r="D877">
        <v>48587</v>
      </c>
      <c r="E877">
        <v>8</v>
      </c>
    </row>
    <row r="878" spans="1:5" x14ac:dyDescent="0.25">
      <c r="A878" t="s">
        <v>25</v>
      </c>
      <c r="B878" t="s">
        <v>90</v>
      </c>
      <c r="C878" t="s">
        <v>432</v>
      </c>
      <c r="D878">
        <v>76818</v>
      </c>
      <c r="E878">
        <v>6</v>
      </c>
    </row>
    <row r="879" spans="1:5" x14ac:dyDescent="0.25">
      <c r="A879" t="s">
        <v>18</v>
      </c>
      <c r="B879" t="s">
        <v>88</v>
      </c>
      <c r="C879" t="s">
        <v>432</v>
      </c>
      <c r="D879">
        <v>88080</v>
      </c>
      <c r="E879">
        <v>6</v>
      </c>
    </row>
    <row r="880" spans="1:5" x14ac:dyDescent="0.25">
      <c r="A880" t="s">
        <v>45</v>
      </c>
      <c r="B880" t="s">
        <v>249</v>
      </c>
      <c r="C880" t="s">
        <v>433</v>
      </c>
      <c r="D880">
        <v>64643</v>
      </c>
      <c r="E880">
        <v>4</v>
      </c>
    </row>
    <row r="881" spans="1:5" x14ac:dyDescent="0.25">
      <c r="A881" t="s">
        <v>13</v>
      </c>
      <c r="B881" t="s">
        <v>194</v>
      </c>
      <c r="C881" t="s">
        <v>433</v>
      </c>
      <c r="D881">
        <v>93015</v>
      </c>
      <c r="E881">
        <v>8</v>
      </c>
    </row>
    <row r="882" spans="1:5" x14ac:dyDescent="0.25">
      <c r="A882" t="s">
        <v>8</v>
      </c>
      <c r="B882" t="s">
        <v>94</v>
      </c>
      <c r="C882" t="s">
        <v>433</v>
      </c>
      <c r="D882">
        <v>52380</v>
      </c>
      <c r="E882">
        <v>7</v>
      </c>
    </row>
    <row r="883" spans="1:5" x14ac:dyDescent="0.25">
      <c r="A883" t="s">
        <v>30</v>
      </c>
      <c r="B883" t="s">
        <v>65</v>
      </c>
      <c r="C883" t="s">
        <v>434</v>
      </c>
      <c r="D883">
        <v>46711</v>
      </c>
      <c r="E883">
        <v>7</v>
      </c>
    </row>
    <row r="884" spans="1:5" x14ac:dyDescent="0.25">
      <c r="A884" t="s">
        <v>16</v>
      </c>
      <c r="B884" t="s">
        <v>299</v>
      </c>
      <c r="C884" t="s">
        <v>434</v>
      </c>
      <c r="D884">
        <v>46844</v>
      </c>
      <c r="E884">
        <v>6</v>
      </c>
    </row>
    <row r="885" spans="1:5" x14ac:dyDescent="0.25">
      <c r="A885" t="s">
        <v>25</v>
      </c>
      <c r="B885" t="s">
        <v>111</v>
      </c>
      <c r="C885" t="s">
        <v>434</v>
      </c>
      <c r="D885">
        <v>98494</v>
      </c>
      <c r="E885">
        <v>7</v>
      </c>
    </row>
    <row r="886" spans="1:5" x14ac:dyDescent="0.25">
      <c r="A886" t="s">
        <v>27</v>
      </c>
      <c r="B886" t="s">
        <v>116</v>
      </c>
      <c r="C886" t="s">
        <v>434</v>
      </c>
      <c r="D886">
        <v>76081</v>
      </c>
      <c r="E886">
        <v>8</v>
      </c>
    </row>
    <row r="887" spans="1:5" x14ac:dyDescent="0.25">
      <c r="A887" t="s">
        <v>13</v>
      </c>
      <c r="B887" t="s">
        <v>73</v>
      </c>
      <c r="C887" t="s">
        <v>435</v>
      </c>
      <c r="D887">
        <v>98224</v>
      </c>
      <c r="E887">
        <v>1</v>
      </c>
    </row>
    <row r="888" spans="1:5" x14ac:dyDescent="0.25">
      <c r="A888" t="s">
        <v>18</v>
      </c>
      <c r="B888" t="s">
        <v>134</v>
      </c>
      <c r="C888" t="s">
        <v>435</v>
      </c>
      <c r="D888">
        <v>26536</v>
      </c>
      <c r="E888">
        <v>6</v>
      </c>
    </row>
    <row r="889" spans="1:5" x14ac:dyDescent="0.25">
      <c r="A889" t="s">
        <v>27</v>
      </c>
      <c r="B889" t="s">
        <v>69</v>
      </c>
      <c r="C889" t="s">
        <v>435</v>
      </c>
      <c r="D889">
        <v>14495</v>
      </c>
      <c r="E889">
        <v>9</v>
      </c>
    </row>
    <row r="890" spans="1:5" x14ac:dyDescent="0.25">
      <c r="A890" t="s">
        <v>47</v>
      </c>
      <c r="B890" t="s">
        <v>186</v>
      </c>
      <c r="C890" t="s">
        <v>435</v>
      </c>
      <c r="D890">
        <v>57063</v>
      </c>
      <c r="E890">
        <v>7</v>
      </c>
    </row>
    <row r="891" spans="1:5" x14ac:dyDescent="0.25">
      <c r="A891" t="s">
        <v>30</v>
      </c>
      <c r="B891" t="s">
        <v>239</v>
      </c>
      <c r="C891" t="s">
        <v>435</v>
      </c>
      <c r="D891">
        <v>95109</v>
      </c>
      <c r="E891">
        <v>8</v>
      </c>
    </row>
    <row r="892" spans="1:5" x14ac:dyDescent="0.25">
      <c r="A892" t="s">
        <v>30</v>
      </c>
      <c r="B892" t="s">
        <v>113</v>
      </c>
      <c r="C892" t="s">
        <v>435</v>
      </c>
      <c r="D892">
        <v>27421</v>
      </c>
      <c r="E892">
        <v>7</v>
      </c>
    </row>
    <row r="893" spans="1:5" x14ac:dyDescent="0.25">
      <c r="A893" t="s">
        <v>27</v>
      </c>
      <c r="B893" t="s">
        <v>169</v>
      </c>
      <c r="C893" t="s">
        <v>435</v>
      </c>
      <c r="D893">
        <v>47273</v>
      </c>
      <c r="E893">
        <v>5</v>
      </c>
    </row>
    <row r="894" spans="1:5" x14ac:dyDescent="0.25">
      <c r="A894" t="s">
        <v>47</v>
      </c>
      <c r="B894" t="s">
        <v>32</v>
      </c>
      <c r="C894" t="s">
        <v>435</v>
      </c>
      <c r="D894">
        <v>39709</v>
      </c>
      <c r="E894">
        <v>9</v>
      </c>
    </row>
    <row r="895" spans="1:5" x14ac:dyDescent="0.25">
      <c r="A895" t="s">
        <v>27</v>
      </c>
      <c r="B895" t="s">
        <v>69</v>
      </c>
      <c r="C895" t="s">
        <v>435</v>
      </c>
      <c r="D895">
        <v>38368</v>
      </c>
      <c r="E895">
        <v>7</v>
      </c>
    </row>
    <row r="896" spans="1:5" x14ac:dyDescent="0.25">
      <c r="A896" t="s">
        <v>25</v>
      </c>
      <c r="B896" t="s">
        <v>136</v>
      </c>
      <c r="C896" t="s">
        <v>435</v>
      </c>
      <c r="D896">
        <v>19620</v>
      </c>
      <c r="E896">
        <v>7</v>
      </c>
    </row>
    <row r="897" spans="1:5" x14ac:dyDescent="0.25">
      <c r="A897" t="s">
        <v>45</v>
      </c>
      <c r="B897" t="s">
        <v>363</v>
      </c>
      <c r="C897" t="s">
        <v>436</v>
      </c>
      <c r="D897">
        <v>87516</v>
      </c>
      <c r="E897">
        <v>3</v>
      </c>
    </row>
    <row r="898" spans="1:5" x14ac:dyDescent="0.25">
      <c r="A898" t="s">
        <v>47</v>
      </c>
      <c r="B898" t="s">
        <v>59</v>
      </c>
      <c r="C898" t="s">
        <v>436</v>
      </c>
      <c r="D898">
        <v>54125</v>
      </c>
      <c r="E898">
        <v>6</v>
      </c>
    </row>
    <row r="899" spans="1:5" x14ac:dyDescent="0.25">
      <c r="A899" t="s">
        <v>18</v>
      </c>
      <c r="B899" t="s">
        <v>363</v>
      </c>
      <c r="C899" t="s">
        <v>436</v>
      </c>
      <c r="D899">
        <v>64981</v>
      </c>
      <c r="E899">
        <v>5</v>
      </c>
    </row>
    <row r="900" spans="1:5" x14ac:dyDescent="0.25">
      <c r="A900" t="s">
        <v>10</v>
      </c>
      <c r="B900" t="s">
        <v>133</v>
      </c>
      <c r="C900" t="s">
        <v>436</v>
      </c>
      <c r="D900">
        <v>58280</v>
      </c>
      <c r="E900">
        <v>1</v>
      </c>
    </row>
    <row r="901" spans="1:5" x14ac:dyDescent="0.25">
      <c r="A901" t="s">
        <v>13</v>
      </c>
      <c r="B901" t="s">
        <v>155</v>
      </c>
      <c r="C901" t="s">
        <v>437</v>
      </c>
      <c r="D901">
        <v>89186</v>
      </c>
      <c r="E901">
        <v>6</v>
      </c>
    </row>
    <row r="902" spans="1:5" x14ac:dyDescent="0.25">
      <c r="A902" t="s">
        <v>45</v>
      </c>
      <c r="B902" t="s">
        <v>121</v>
      </c>
      <c r="C902" t="s">
        <v>437</v>
      </c>
      <c r="D902">
        <v>81674</v>
      </c>
      <c r="E902">
        <v>5</v>
      </c>
    </row>
    <row r="903" spans="1:5" x14ac:dyDescent="0.25">
      <c r="A903" t="s">
        <v>18</v>
      </c>
      <c r="B903" t="s">
        <v>198</v>
      </c>
      <c r="C903" t="s">
        <v>437</v>
      </c>
      <c r="D903">
        <v>77747</v>
      </c>
      <c r="E903">
        <v>3</v>
      </c>
    </row>
    <row r="904" spans="1:5" x14ac:dyDescent="0.25">
      <c r="A904" t="s">
        <v>38</v>
      </c>
      <c r="B904" t="s">
        <v>186</v>
      </c>
      <c r="C904" t="s">
        <v>438</v>
      </c>
      <c r="D904">
        <v>72907</v>
      </c>
      <c r="E904">
        <v>9</v>
      </c>
    </row>
    <row r="905" spans="1:5" x14ac:dyDescent="0.25">
      <c r="A905" t="s">
        <v>38</v>
      </c>
      <c r="B905" t="s">
        <v>132</v>
      </c>
      <c r="C905" t="s">
        <v>438</v>
      </c>
      <c r="D905">
        <v>19215</v>
      </c>
      <c r="E905">
        <v>7</v>
      </c>
    </row>
    <row r="906" spans="1:5" x14ac:dyDescent="0.25">
      <c r="A906" t="s">
        <v>25</v>
      </c>
      <c r="B906" t="s">
        <v>58</v>
      </c>
      <c r="C906" t="s">
        <v>438</v>
      </c>
      <c r="D906">
        <v>68805</v>
      </c>
      <c r="E906">
        <v>5</v>
      </c>
    </row>
    <row r="907" spans="1:5" x14ac:dyDescent="0.25">
      <c r="A907" t="s">
        <v>27</v>
      </c>
      <c r="B907" t="s">
        <v>170</v>
      </c>
      <c r="C907" t="s">
        <v>438</v>
      </c>
      <c r="D907">
        <v>82141</v>
      </c>
      <c r="E907">
        <v>7</v>
      </c>
    </row>
    <row r="908" spans="1:5" x14ac:dyDescent="0.25">
      <c r="A908" t="s">
        <v>10</v>
      </c>
      <c r="B908" t="s">
        <v>144</v>
      </c>
      <c r="C908" t="s">
        <v>439</v>
      </c>
      <c r="D908">
        <v>97241</v>
      </c>
      <c r="E908">
        <v>5</v>
      </c>
    </row>
    <row r="909" spans="1:5" x14ac:dyDescent="0.25">
      <c r="A909" t="s">
        <v>45</v>
      </c>
      <c r="B909" t="s">
        <v>68</v>
      </c>
      <c r="C909" t="s">
        <v>439</v>
      </c>
      <c r="D909">
        <v>51432</v>
      </c>
      <c r="E909">
        <v>9</v>
      </c>
    </row>
    <row r="910" spans="1:5" x14ac:dyDescent="0.25">
      <c r="A910" t="s">
        <v>27</v>
      </c>
      <c r="B910" t="s">
        <v>77</v>
      </c>
      <c r="C910" t="s">
        <v>440</v>
      </c>
      <c r="D910">
        <v>81510</v>
      </c>
      <c r="E910">
        <v>5</v>
      </c>
    </row>
    <row r="911" spans="1:5" x14ac:dyDescent="0.25">
      <c r="A911" t="s">
        <v>8</v>
      </c>
      <c r="B911" t="s">
        <v>42</v>
      </c>
      <c r="C911" t="s">
        <v>440</v>
      </c>
      <c r="D911">
        <v>68145</v>
      </c>
      <c r="E911">
        <v>10</v>
      </c>
    </row>
    <row r="912" spans="1:5" x14ac:dyDescent="0.25">
      <c r="A912" t="s">
        <v>10</v>
      </c>
      <c r="B912" t="s">
        <v>75</v>
      </c>
      <c r="C912" t="s">
        <v>440</v>
      </c>
      <c r="D912">
        <v>81023</v>
      </c>
      <c r="E912">
        <v>7</v>
      </c>
    </row>
    <row r="913" spans="1:5" x14ac:dyDescent="0.25">
      <c r="A913" t="s">
        <v>47</v>
      </c>
      <c r="B913" t="s">
        <v>58</v>
      </c>
      <c r="C913" t="s">
        <v>440</v>
      </c>
      <c r="D913">
        <v>70276</v>
      </c>
      <c r="E913">
        <v>10</v>
      </c>
    </row>
    <row r="914" spans="1:5" x14ac:dyDescent="0.25">
      <c r="A914" t="s">
        <v>27</v>
      </c>
      <c r="B914" t="s">
        <v>78</v>
      </c>
      <c r="C914" t="s">
        <v>440</v>
      </c>
      <c r="D914">
        <v>28980</v>
      </c>
      <c r="E914">
        <v>9</v>
      </c>
    </row>
    <row r="915" spans="1:5" x14ac:dyDescent="0.25">
      <c r="A915" t="s">
        <v>16</v>
      </c>
      <c r="B915" t="s">
        <v>90</v>
      </c>
      <c r="C915" t="s">
        <v>440</v>
      </c>
      <c r="D915">
        <v>27499</v>
      </c>
      <c r="E915">
        <v>3</v>
      </c>
    </row>
    <row r="916" spans="1:5" x14ac:dyDescent="0.25">
      <c r="A916" t="s">
        <v>13</v>
      </c>
      <c r="B916" t="s">
        <v>20</v>
      </c>
      <c r="C916" t="s">
        <v>440</v>
      </c>
      <c r="D916">
        <v>80337</v>
      </c>
      <c r="E916">
        <v>5</v>
      </c>
    </row>
    <row r="917" spans="1:5" x14ac:dyDescent="0.25">
      <c r="A917" t="s">
        <v>13</v>
      </c>
      <c r="B917" t="s">
        <v>9</v>
      </c>
      <c r="C917" t="s">
        <v>440</v>
      </c>
      <c r="D917">
        <v>61048</v>
      </c>
      <c r="E917">
        <v>9</v>
      </c>
    </row>
    <row r="918" spans="1:5" x14ac:dyDescent="0.25">
      <c r="A918" t="s">
        <v>10</v>
      </c>
      <c r="B918" t="s">
        <v>77</v>
      </c>
      <c r="C918" t="s">
        <v>440</v>
      </c>
      <c r="D918">
        <v>73082</v>
      </c>
      <c r="E918">
        <v>7</v>
      </c>
    </row>
    <row r="919" spans="1:5" x14ac:dyDescent="0.25">
      <c r="A919" t="s">
        <v>38</v>
      </c>
      <c r="B919" t="s">
        <v>148</v>
      </c>
      <c r="C919" t="s">
        <v>441</v>
      </c>
      <c r="D919">
        <v>42514</v>
      </c>
      <c r="E919">
        <v>9</v>
      </c>
    </row>
    <row r="920" spans="1:5" x14ac:dyDescent="0.25">
      <c r="A920" t="s">
        <v>47</v>
      </c>
      <c r="B920" t="s">
        <v>215</v>
      </c>
      <c r="C920" t="s">
        <v>441</v>
      </c>
      <c r="D920">
        <v>75579</v>
      </c>
      <c r="E920">
        <v>7</v>
      </c>
    </row>
    <row r="921" spans="1:5" x14ac:dyDescent="0.25">
      <c r="A921" t="s">
        <v>47</v>
      </c>
      <c r="B921" t="s">
        <v>77</v>
      </c>
      <c r="C921" t="s">
        <v>441</v>
      </c>
      <c r="D921">
        <v>26177</v>
      </c>
      <c r="E921">
        <v>4</v>
      </c>
    </row>
    <row r="922" spans="1:5" x14ac:dyDescent="0.25">
      <c r="A922" t="s">
        <v>27</v>
      </c>
      <c r="B922" t="s">
        <v>136</v>
      </c>
      <c r="C922" t="s">
        <v>442</v>
      </c>
      <c r="D922">
        <v>33132</v>
      </c>
      <c r="E922">
        <v>9</v>
      </c>
    </row>
    <row r="923" spans="1:5" x14ac:dyDescent="0.25">
      <c r="A923" t="s">
        <v>45</v>
      </c>
      <c r="B923" t="s">
        <v>243</v>
      </c>
      <c r="C923" t="s">
        <v>442</v>
      </c>
      <c r="D923">
        <v>28200</v>
      </c>
      <c r="E923">
        <v>7</v>
      </c>
    </row>
    <row r="924" spans="1:5" x14ac:dyDescent="0.25">
      <c r="A924" t="s">
        <v>27</v>
      </c>
      <c r="B924" t="s">
        <v>252</v>
      </c>
      <c r="C924" t="s">
        <v>442</v>
      </c>
      <c r="D924">
        <v>99108</v>
      </c>
      <c r="E924">
        <v>6</v>
      </c>
    </row>
    <row r="925" spans="1:5" x14ac:dyDescent="0.25">
      <c r="A925" t="s">
        <v>27</v>
      </c>
      <c r="B925" t="s">
        <v>93</v>
      </c>
      <c r="C925" t="s">
        <v>442</v>
      </c>
      <c r="D925">
        <v>31560</v>
      </c>
      <c r="E925">
        <v>5</v>
      </c>
    </row>
    <row r="926" spans="1:5" x14ac:dyDescent="0.25">
      <c r="A926" t="s">
        <v>10</v>
      </c>
      <c r="B926" t="s">
        <v>19</v>
      </c>
      <c r="C926" t="s">
        <v>442</v>
      </c>
      <c r="D926">
        <v>21254</v>
      </c>
      <c r="E926">
        <v>5</v>
      </c>
    </row>
    <row r="927" spans="1:5" x14ac:dyDescent="0.25">
      <c r="A927" t="s">
        <v>5</v>
      </c>
      <c r="B927" t="s">
        <v>128</v>
      </c>
      <c r="C927" t="s">
        <v>442</v>
      </c>
      <c r="D927">
        <v>93054</v>
      </c>
      <c r="E927">
        <v>9</v>
      </c>
    </row>
    <row r="928" spans="1:5" x14ac:dyDescent="0.25">
      <c r="A928" t="s">
        <v>45</v>
      </c>
      <c r="B928" t="s">
        <v>162</v>
      </c>
      <c r="C928" t="s">
        <v>442</v>
      </c>
      <c r="D928">
        <v>21888</v>
      </c>
      <c r="E928">
        <v>7</v>
      </c>
    </row>
    <row r="929" spans="1:5" x14ac:dyDescent="0.25">
      <c r="A929" t="s">
        <v>16</v>
      </c>
      <c r="B929" t="s">
        <v>106</v>
      </c>
      <c r="C929" t="s">
        <v>442</v>
      </c>
      <c r="D929">
        <v>11808</v>
      </c>
      <c r="E929">
        <v>7</v>
      </c>
    </row>
    <row r="930" spans="1:5" x14ac:dyDescent="0.25">
      <c r="A930" t="s">
        <v>5</v>
      </c>
      <c r="B930" t="s">
        <v>187</v>
      </c>
      <c r="C930" t="s">
        <v>443</v>
      </c>
      <c r="D930">
        <v>96082</v>
      </c>
      <c r="E930">
        <v>3</v>
      </c>
    </row>
    <row r="931" spans="1:5" x14ac:dyDescent="0.25">
      <c r="A931" t="s">
        <v>5</v>
      </c>
      <c r="B931" t="s">
        <v>444</v>
      </c>
      <c r="C931" t="s">
        <v>443</v>
      </c>
      <c r="D931">
        <v>42249</v>
      </c>
      <c r="E931">
        <v>9</v>
      </c>
    </row>
    <row r="932" spans="1:5" x14ac:dyDescent="0.25">
      <c r="A932" t="s">
        <v>27</v>
      </c>
      <c r="B932" t="s">
        <v>66</v>
      </c>
      <c r="C932" t="s">
        <v>445</v>
      </c>
      <c r="D932">
        <v>76334</v>
      </c>
      <c r="E932">
        <v>2</v>
      </c>
    </row>
    <row r="933" spans="1:5" x14ac:dyDescent="0.25">
      <c r="A933" t="s">
        <v>45</v>
      </c>
      <c r="B933" t="s">
        <v>19</v>
      </c>
      <c r="C933" t="s">
        <v>445</v>
      </c>
      <c r="D933">
        <v>32646</v>
      </c>
      <c r="E933">
        <v>4</v>
      </c>
    </row>
    <row r="934" spans="1:5" x14ac:dyDescent="0.25">
      <c r="A934" t="s">
        <v>27</v>
      </c>
      <c r="B934" t="s">
        <v>33</v>
      </c>
      <c r="C934" t="s">
        <v>446</v>
      </c>
      <c r="D934">
        <v>24913</v>
      </c>
      <c r="E934">
        <v>7</v>
      </c>
    </row>
    <row r="935" spans="1:5" x14ac:dyDescent="0.25">
      <c r="A935" t="s">
        <v>8</v>
      </c>
      <c r="B935" t="s">
        <v>196</v>
      </c>
      <c r="C935" t="s">
        <v>446</v>
      </c>
      <c r="D935">
        <v>16979</v>
      </c>
      <c r="E935">
        <v>8</v>
      </c>
    </row>
    <row r="936" spans="1:5" x14ac:dyDescent="0.25">
      <c r="A936" t="s">
        <v>18</v>
      </c>
      <c r="B936" t="s">
        <v>125</v>
      </c>
      <c r="C936" t="s">
        <v>446</v>
      </c>
      <c r="D936">
        <v>16800</v>
      </c>
      <c r="E936">
        <v>8</v>
      </c>
    </row>
    <row r="937" spans="1:5" x14ac:dyDescent="0.25">
      <c r="A937" t="s">
        <v>27</v>
      </c>
      <c r="B937" t="s">
        <v>11</v>
      </c>
      <c r="C937" t="s">
        <v>446</v>
      </c>
      <c r="D937">
        <v>48323</v>
      </c>
      <c r="E937">
        <v>1</v>
      </c>
    </row>
    <row r="938" spans="1:5" x14ac:dyDescent="0.25">
      <c r="A938" t="s">
        <v>8</v>
      </c>
      <c r="B938" t="s">
        <v>227</v>
      </c>
      <c r="C938" t="s">
        <v>446</v>
      </c>
      <c r="D938">
        <v>55920</v>
      </c>
      <c r="E938">
        <v>8</v>
      </c>
    </row>
    <row r="939" spans="1:5" x14ac:dyDescent="0.25">
      <c r="A939" t="s">
        <v>16</v>
      </c>
      <c r="B939" t="s">
        <v>92</v>
      </c>
      <c r="C939" t="s">
        <v>446</v>
      </c>
      <c r="D939">
        <v>26819</v>
      </c>
      <c r="E939">
        <v>1</v>
      </c>
    </row>
    <row r="940" spans="1:5" x14ac:dyDescent="0.25">
      <c r="A940" t="s">
        <v>25</v>
      </c>
      <c r="B940" t="s">
        <v>117</v>
      </c>
      <c r="C940" t="s">
        <v>446</v>
      </c>
      <c r="D940">
        <v>87568</v>
      </c>
      <c r="E940">
        <v>3</v>
      </c>
    </row>
    <row r="941" spans="1:5" x14ac:dyDescent="0.25">
      <c r="A941" t="s">
        <v>13</v>
      </c>
      <c r="B941" t="s">
        <v>101</v>
      </c>
      <c r="C941" t="s">
        <v>446</v>
      </c>
      <c r="D941">
        <v>76342</v>
      </c>
      <c r="E941">
        <v>3</v>
      </c>
    </row>
    <row r="942" spans="1:5" x14ac:dyDescent="0.25">
      <c r="A942" t="s">
        <v>16</v>
      </c>
      <c r="B942" t="s">
        <v>279</v>
      </c>
      <c r="C942" t="s">
        <v>446</v>
      </c>
      <c r="D942">
        <v>10352</v>
      </c>
      <c r="E942">
        <v>10</v>
      </c>
    </row>
    <row r="943" spans="1:5" x14ac:dyDescent="0.25">
      <c r="A943" t="s">
        <v>18</v>
      </c>
      <c r="B943" t="s">
        <v>229</v>
      </c>
      <c r="C943" t="s">
        <v>447</v>
      </c>
      <c r="D943">
        <v>77038</v>
      </c>
      <c r="E943">
        <v>5</v>
      </c>
    </row>
    <row r="944" spans="1:5" x14ac:dyDescent="0.25">
      <c r="A944" t="s">
        <v>38</v>
      </c>
      <c r="B944" t="s">
        <v>296</v>
      </c>
      <c r="C944" t="s">
        <v>448</v>
      </c>
      <c r="D944">
        <v>27077</v>
      </c>
      <c r="E944">
        <v>7</v>
      </c>
    </row>
    <row r="945" spans="1:5" x14ac:dyDescent="0.25">
      <c r="A945" t="s">
        <v>30</v>
      </c>
      <c r="B945" t="s">
        <v>20</v>
      </c>
      <c r="C945" t="s">
        <v>448</v>
      </c>
      <c r="D945">
        <v>10110</v>
      </c>
      <c r="E945">
        <v>5</v>
      </c>
    </row>
    <row r="946" spans="1:5" x14ac:dyDescent="0.25">
      <c r="A946" t="s">
        <v>5</v>
      </c>
      <c r="B946" t="s">
        <v>15</v>
      </c>
      <c r="C946" t="s">
        <v>448</v>
      </c>
      <c r="D946">
        <v>56192</v>
      </c>
      <c r="E946">
        <v>4</v>
      </c>
    </row>
    <row r="947" spans="1:5" x14ac:dyDescent="0.25">
      <c r="A947" t="s">
        <v>10</v>
      </c>
      <c r="B947" t="s">
        <v>69</v>
      </c>
      <c r="C947" t="s">
        <v>449</v>
      </c>
      <c r="D947">
        <v>84230</v>
      </c>
      <c r="E947">
        <v>0</v>
      </c>
    </row>
    <row r="948" spans="1:5" x14ac:dyDescent="0.25">
      <c r="A948" t="s">
        <v>27</v>
      </c>
      <c r="B948" t="s">
        <v>81</v>
      </c>
      <c r="C948" t="s">
        <v>449</v>
      </c>
      <c r="D948">
        <v>65909</v>
      </c>
      <c r="E948">
        <v>7</v>
      </c>
    </row>
    <row r="949" spans="1:5" x14ac:dyDescent="0.25">
      <c r="A949" t="s">
        <v>45</v>
      </c>
      <c r="B949" t="s">
        <v>300</v>
      </c>
      <c r="C949" t="s">
        <v>449</v>
      </c>
      <c r="D949">
        <v>23931</v>
      </c>
      <c r="E949">
        <v>9</v>
      </c>
    </row>
    <row r="950" spans="1:5" x14ac:dyDescent="0.25">
      <c r="A950" t="s">
        <v>38</v>
      </c>
      <c r="B950" t="s">
        <v>94</v>
      </c>
      <c r="C950" t="s">
        <v>449</v>
      </c>
      <c r="D950">
        <v>35818</v>
      </c>
      <c r="E950">
        <v>8</v>
      </c>
    </row>
    <row r="951" spans="1:5" x14ac:dyDescent="0.25">
      <c r="A951" t="s">
        <v>16</v>
      </c>
      <c r="B951" t="s">
        <v>26</v>
      </c>
      <c r="C951" t="s">
        <v>450</v>
      </c>
      <c r="D951">
        <v>69806</v>
      </c>
      <c r="E951">
        <v>6</v>
      </c>
    </row>
    <row r="952" spans="1:5" x14ac:dyDescent="0.25">
      <c r="A952" t="s">
        <v>16</v>
      </c>
      <c r="B952" t="s">
        <v>41</v>
      </c>
      <c r="C952" t="s">
        <v>450</v>
      </c>
      <c r="D952">
        <v>31565</v>
      </c>
      <c r="E952">
        <v>6</v>
      </c>
    </row>
    <row r="953" spans="1:5" x14ac:dyDescent="0.25">
      <c r="A953" t="s">
        <v>13</v>
      </c>
      <c r="B953" t="s">
        <v>239</v>
      </c>
      <c r="C953" t="s">
        <v>450</v>
      </c>
      <c r="D953">
        <v>48185</v>
      </c>
      <c r="E953">
        <v>9</v>
      </c>
    </row>
    <row r="954" spans="1:5" x14ac:dyDescent="0.25">
      <c r="A954" t="s">
        <v>5</v>
      </c>
      <c r="B954" t="s">
        <v>59</v>
      </c>
      <c r="C954" t="s">
        <v>450</v>
      </c>
      <c r="D954">
        <v>58063</v>
      </c>
      <c r="E954">
        <v>5</v>
      </c>
    </row>
    <row r="955" spans="1:5" x14ac:dyDescent="0.25">
      <c r="A955" t="s">
        <v>16</v>
      </c>
      <c r="B955" t="s">
        <v>101</v>
      </c>
      <c r="C955" t="s">
        <v>450</v>
      </c>
      <c r="D955">
        <v>57308</v>
      </c>
      <c r="E955">
        <v>8</v>
      </c>
    </row>
    <row r="956" spans="1:5" x14ac:dyDescent="0.25">
      <c r="A956" t="s">
        <v>13</v>
      </c>
      <c r="B956" t="s">
        <v>11</v>
      </c>
      <c r="C956" t="s">
        <v>451</v>
      </c>
      <c r="D956">
        <v>85016</v>
      </c>
      <c r="E956">
        <v>6</v>
      </c>
    </row>
    <row r="957" spans="1:5" x14ac:dyDescent="0.25">
      <c r="A957" t="s">
        <v>18</v>
      </c>
      <c r="B957" t="s">
        <v>176</v>
      </c>
      <c r="C957" t="s">
        <v>451</v>
      </c>
      <c r="D957">
        <v>80393</v>
      </c>
      <c r="E957">
        <v>6</v>
      </c>
    </row>
    <row r="958" spans="1:5" x14ac:dyDescent="0.25">
      <c r="A958" t="s">
        <v>8</v>
      </c>
      <c r="B958" t="s">
        <v>211</v>
      </c>
      <c r="C958" t="s">
        <v>451</v>
      </c>
      <c r="D958">
        <v>90220</v>
      </c>
      <c r="E958">
        <v>6</v>
      </c>
    </row>
    <row r="959" spans="1:5" x14ac:dyDescent="0.25">
      <c r="A959" t="s">
        <v>47</v>
      </c>
      <c r="B959" t="s">
        <v>182</v>
      </c>
      <c r="C959" t="s">
        <v>451</v>
      </c>
      <c r="D959">
        <v>41449</v>
      </c>
      <c r="E959">
        <v>1</v>
      </c>
    </row>
    <row r="960" spans="1:5" x14ac:dyDescent="0.25">
      <c r="A960" t="s">
        <v>25</v>
      </c>
      <c r="B960" t="s">
        <v>385</v>
      </c>
      <c r="C960" t="s">
        <v>451</v>
      </c>
      <c r="D960">
        <v>47717</v>
      </c>
      <c r="E960">
        <v>6</v>
      </c>
    </row>
    <row r="961" spans="1:5" x14ac:dyDescent="0.25">
      <c r="A961" t="s">
        <v>10</v>
      </c>
      <c r="B961" t="s">
        <v>35</v>
      </c>
      <c r="C961" t="s">
        <v>451</v>
      </c>
      <c r="D961">
        <v>48159</v>
      </c>
      <c r="E961">
        <v>8</v>
      </c>
    </row>
    <row r="962" spans="1:5" x14ac:dyDescent="0.25">
      <c r="A962" t="s">
        <v>5</v>
      </c>
      <c r="B962" t="s">
        <v>195</v>
      </c>
      <c r="C962" t="s">
        <v>452</v>
      </c>
      <c r="D962">
        <v>29634</v>
      </c>
      <c r="E962">
        <v>8</v>
      </c>
    </row>
    <row r="963" spans="1:5" x14ac:dyDescent="0.25">
      <c r="A963" t="s">
        <v>16</v>
      </c>
      <c r="B963" t="s">
        <v>75</v>
      </c>
      <c r="C963" t="s">
        <v>452</v>
      </c>
      <c r="D963">
        <v>95509</v>
      </c>
      <c r="E963">
        <v>5</v>
      </c>
    </row>
    <row r="964" spans="1:5" x14ac:dyDescent="0.25">
      <c r="A964" t="s">
        <v>18</v>
      </c>
      <c r="B964" t="s">
        <v>195</v>
      </c>
      <c r="C964" t="s">
        <v>452</v>
      </c>
      <c r="D964">
        <v>18535</v>
      </c>
      <c r="E964">
        <v>6</v>
      </c>
    </row>
    <row r="965" spans="1:5" x14ac:dyDescent="0.25">
      <c r="A965" t="s">
        <v>47</v>
      </c>
      <c r="B965" t="s">
        <v>215</v>
      </c>
      <c r="C965" t="s">
        <v>452</v>
      </c>
      <c r="D965">
        <v>83992</v>
      </c>
      <c r="E965">
        <v>8</v>
      </c>
    </row>
    <row r="966" spans="1:5" x14ac:dyDescent="0.25">
      <c r="A966" t="s">
        <v>30</v>
      </c>
      <c r="B966" t="s">
        <v>39</v>
      </c>
      <c r="C966" t="s">
        <v>453</v>
      </c>
      <c r="D966">
        <v>41258</v>
      </c>
      <c r="E966">
        <v>10</v>
      </c>
    </row>
    <row r="967" spans="1:5" x14ac:dyDescent="0.25">
      <c r="A967" t="s">
        <v>5</v>
      </c>
      <c r="B967" t="s">
        <v>82</v>
      </c>
      <c r="C967" t="s">
        <v>453</v>
      </c>
      <c r="D967">
        <v>85855</v>
      </c>
      <c r="E967">
        <v>9</v>
      </c>
    </row>
    <row r="968" spans="1:5" x14ac:dyDescent="0.25">
      <c r="A968" t="s">
        <v>47</v>
      </c>
      <c r="B968" t="s">
        <v>231</v>
      </c>
      <c r="C968" t="s">
        <v>454</v>
      </c>
      <c r="D968">
        <v>63302</v>
      </c>
      <c r="E968">
        <v>2</v>
      </c>
    </row>
    <row r="969" spans="1:5" x14ac:dyDescent="0.25">
      <c r="A969" t="s">
        <v>16</v>
      </c>
      <c r="B969" t="s">
        <v>114</v>
      </c>
      <c r="C969" t="s">
        <v>454</v>
      </c>
      <c r="D969">
        <v>48275</v>
      </c>
      <c r="E969">
        <v>7</v>
      </c>
    </row>
    <row r="970" spans="1:5" x14ac:dyDescent="0.25">
      <c r="A970" t="s">
        <v>27</v>
      </c>
      <c r="B970" t="s">
        <v>14</v>
      </c>
      <c r="C970" t="s">
        <v>454</v>
      </c>
      <c r="D970">
        <v>23511</v>
      </c>
      <c r="E970">
        <v>2</v>
      </c>
    </row>
    <row r="971" spans="1:5" x14ac:dyDescent="0.25">
      <c r="A971" t="s">
        <v>30</v>
      </c>
      <c r="B971" t="s">
        <v>84</v>
      </c>
      <c r="C971" t="s">
        <v>454</v>
      </c>
      <c r="D971">
        <v>24002</v>
      </c>
      <c r="E971">
        <v>3</v>
      </c>
    </row>
    <row r="972" spans="1:5" x14ac:dyDescent="0.25">
      <c r="A972" t="s">
        <v>25</v>
      </c>
      <c r="B972" t="s">
        <v>136</v>
      </c>
      <c r="C972" t="s">
        <v>454</v>
      </c>
      <c r="D972">
        <v>56672</v>
      </c>
      <c r="E972">
        <v>4</v>
      </c>
    </row>
    <row r="973" spans="1:5" x14ac:dyDescent="0.25">
      <c r="A973" t="s">
        <v>47</v>
      </c>
      <c r="B973" t="s">
        <v>307</v>
      </c>
      <c r="C973" t="s">
        <v>454</v>
      </c>
      <c r="D973">
        <v>57491</v>
      </c>
      <c r="E973">
        <v>6</v>
      </c>
    </row>
    <row r="974" spans="1:5" x14ac:dyDescent="0.25">
      <c r="A974" t="s">
        <v>5</v>
      </c>
      <c r="B974" t="s">
        <v>142</v>
      </c>
      <c r="C974" t="s">
        <v>454</v>
      </c>
      <c r="D974">
        <v>18142</v>
      </c>
      <c r="E974">
        <v>8</v>
      </c>
    </row>
    <row r="975" spans="1:5" x14ac:dyDescent="0.25">
      <c r="A975" t="s">
        <v>18</v>
      </c>
      <c r="B975" t="s">
        <v>9</v>
      </c>
      <c r="C975" t="s">
        <v>455</v>
      </c>
      <c r="D975">
        <v>25819</v>
      </c>
      <c r="E975">
        <v>8</v>
      </c>
    </row>
    <row r="976" spans="1:5" x14ac:dyDescent="0.25">
      <c r="A976" t="s">
        <v>18</v>
      </c>
      <c r="B976" t="s">
        <v>114</v>
      </c>
      <c r="C976" t="s">
        <v>455</v>
      </c>
      <c r="D976">
        <v>29208</v>
      </c>
      <c r="E976">
        <v>1</v>
      </c>
    </row>
    <row r="977" spans="1:5" x14ac:dyDescent="0.25">
      <c r="A977" t="s">
        <v>30</v>
      </c>
      <c r="B977" t="s">
        <v>130</v>
      </c>
      <c r="C977" t="s">
        <v>455</v>
      </c>
      <c r="D977">
        <v>18477</v>
      </c>
      <c r="E977">
        <v>5</v>
      </c>
    </row>
    <row r="978" spans="1:5" x14ac:dyDescent="0.25">
      <c r="A978" t="s">
        <v>45</v>
      </c>
      <c r="B978" t="s">
        <v>69</v>
      </c>
      <c r="C978" t="s">
        <v>455</v>
      </c>
      <c r="D978">
        <v>37012</v>
      </c>
      <c r="E978">
        <v>7</v>
      </c>
    </row>
    <row r="979" spans="1:5" x14ac:dyDescent="0.25">
      <c r="A979" t="s">
        <v>47</v>
      </c>
      <c r="B979" t="s">
        <v>344</v>
      </c>
      <c r="C979" t="s">
        <v>456</v>
      </c>
      <c r="D979">
        <v>53461</v>
      </c>
      <c r="E979">
        <v>3</v>
      </c>
    </row>
    <row r="980" spans="1:5" x14ac:dyDescent="0.25">
      <c r="A980" t="s">
        <v>25</v>
      </c>
      <c r="B980" t="s">
        <v>98</v>
      </c>
      <c r="C980" t="s">
        <v>456</v>
      </c>
      <c r="D980">
        <v>26874</v>
      </c>
      <c r="E980">
        <v>8</v>
      </c>
    </row>
    <row r="981" spans="1:5" x14ac:dyDescent="0.25">
      <c r="A981" t="s">
        <v>16</v>
      </c>
      <c r="B981" t="s">
        <v>33</v>
      </c>
      <c r="C981" t="s">
        <v>456</v>
      </c>
      <c r="D981">
        <v>63560</v>
      </c>
      <c r="E981">
        <v>7</v>
      </c>
    </row>
    <row r="982" spans="1:5" x14ac:dyDescent="0.25">
      <c r="A982" t="s">
        <v>30</v>
      </c>
      <c r="B982" t="s">
        <v>196</v>
      </c>
      <c r="C982" t="s">
        <v>456</v>
      </c>
      <c r="D982">
        <v>89531</v>
      </c>
      <c r="E982">
        <v>5</v>
      </c>
    </row>
    <row r="983" spans="1:5" x14ac:dyDescent="0.25">
      <c r="A983" t="s">
        <v>16</v>
      </c>
      <c r="B983" t="s">
        <v>146</v>
      </c>
      <c r="C983" t="s">
        <v>456</v>
      </c>
      <c r="D983">
        <v>49508</v>
      </c>
      <c r="E983">
        <v>5</v>
      </c>
    </row>
    <row r="984" spans="1:5" x14ac:dyDescent="0.25">
      <c r="A984" t="s">
        <v>25</v>
      </c>
      <c r="B984" t="s">
        <v>63</v>
      </c>
      <c r="C984" t="s">
        <v>456</v>
      </c>
      <c r="D984">
        <v>38600</v>
      </c>
      <c r="E984">
        <v>9</v>
      </c>
    </row>
    <row r="985" spans="1:5" x14ac:dyDescent="0.25">
      <c r="A985" t="s">
        <v>8</v>
      </c>
      <c r="B985" t="s">
        <v>33</v>
      </c>
      <c r="C985" t="s">
        <v>456</v>
      </c>
      <c r="D985">
        <v>11556</v>
      </c>
      <c r="E985">
        <v>4</v>
      </c>
    </row>
    <row r="986" spans="1:5" x14ac:dyDescent="0.25">
      <c r="A986" t="s">
        <v>25</v>
      </c>
      <c r="B986" t="s">
        <v>11</v>
      </c>
      <c r="C986" t="s">
        <v>456</v>
      </c>
      <c r="D986">
        <v>10985</v>
      </c>
      <c r="E986">
        <v>4</v>
      </c>
    </row>
    <row r="987" spans="1:5" x14ac:dyDescent="0.25">
      <c r="A987" t="s">
        <v>45</v>
      </c>
      <c r="B987" t="s">
        <v>295</v>
      </c>
      <c r="C987" t="s">
        <v>456</v>
      </c>
      <c r="D987">
        <v>85767</v>
      </c>
      <c r="E987">
        <v>3</v>
      </c>
    </row>
    <row r="988" spans="1:5" x14ac:dyDescent="0.25">
      <c r="A988" t="s">
        <v>27</v>
      </c>
      <c r="B988" t="s">
        <v>146</v>
      </c>
      <c r="C988" t="s">
        <v>456</v>
      </c>
      <c r="D988">
        <v>76128</v>
      </c>
      <c r="E988">
        <v>7</v>
      </c>
    </row>
    <row r="989" spans="1:5" x14ac:dyDescent="0.25">
      <c r="A989" t="s">
        <v>8</v>
      </c>
      <c r="B989" t="s">
        <v>195</v>
      </c>
      <c r="C989" t="s">
        <v>457</v>
      </c>
      <c r="D989">
        <v>62813</v>
      </c>
      <c r="E989">
        <v>10</v>
      </c>
    </row>
    <row r="990" spans="1:5" x14ac:dyDescent="0.25">
      <c r="A990" t="s">
        <v>13</v>
      </c>
      <c r="B990" t="s">
        <v>141</v>
      </c>
      <c r="C990" t="s">
        <v>457</v>
      </c>
      <c r="D990">
        <v>55228</v>
      </c>
      <c r="E990">
        <v>6</v>
      </c>
    </row>
    <row r="991" spans="1:5" x14ac:dyDescent="0.25">
      <c r="A991" t="s">
        <v>45</v>
      </c>
      <c r="B991" t="s">
        <v>176</v>
      </c>
      <c r="C991" t="s">
        <v>457</v>
      </c>
      <c r="D991">
        <v>44261</v>
      </c>
      <c r="E991">
        <v>10</v>
      </c>
    </row>
    <row r="992" spans="1:5" x14ac:dyDescent="0.25">
      <c r="A992" t="s">
        <v>16</v>
      </c>
      <c r="B992" t="s">
        <v>223</v>
      </c>
      <c r="C992" t="s">
        <v>458</v>
      </c>
      <c r="D992">
        <v>49562</v>
      </c>
      <c r="E992">
        <v>4</v>
      </c>
    </row>
    <row r="993" spans="1:5" x14ac:dyDescent="0.25">
      <c r="A993" t="s">
        <v>45</v>
      </c>
      <c r="B993" t="s">
        <v>256</v>
      </c>
      <c r="C993" t="s">
        <v>458</v>
      </c>
      <c r="D993">
        <v>59038</v>
      </c>
      <c r="E993">
        <v>5</v>
      </c>
    </row>
    <row r="994" spans="1:5" x14ac:dyDescent="0.25">
      <c r="A994" t="s">
        <v>10</v>
      </c>
      <c r="B994" t="s">
        <v>11</v>
      </c>
      <c r="C994" t="s">
        <v>459</v>
      </c>
      <c r="D994">
        <v>91020</v>
      </c>
      <c r="E994">
        <v>4</v>
      </c>
    </row>
    <row r="995" spans="1:5" x14ac:dyDescent="0.25">
      <c r="A995" t="s">
        <v>27</v>
      </c>
      <c r="B995" t="s">
        <v>344</v>
      </c>
      <c r="C995" t="s">
        <v>459</v>
      </c>
      <c r="D995">
        <v>74297</v>
      </c>
      <c r="E995">
        <v>5</v>
      </c>
    </row>
    <row r="996" spans="1:5" x14ac:dyDescent="0.25">
      <c r="A996" t="s">
        <v>27</v>
      </c>
      <c r="B996" t="s">
        <v>186</v>
      </c>
      <c r="C996" t="s">
        <v>459</v>
      </c>
      <c r="D996">
        <v>94413</v>
      </c>
      <c r="E996">
        <v>4</v>
      </c>
    </row>
    <row r="997" spans="1:5" x14ac:dyDescent="0.25">
      <c r="A997" t="s">
        <v>16</v>
      </c>
      <c r="B997" t="s">
        <v>69</v>
      </c>
      <c r="C997" t="s">
        <v>459</v>
      </c>
      <c r="D997">
        <v>73835</v>
      </c>
      <c r="E997">
        <v>3</v>
      </c>
    </row>
    <row r="998" spans="1:5" x14ac:dyDescent="0.25">
      <c r="A998" t="s">
        <v>16</v>
      </c>
      <c r="B998" t="s">
        <v>69</v>
      </c>
      <c r="C998" t="s">
        <v>460</v>
      </c>
      <c r="D998">
        <v>57679</v>
      </c>
      <c r="E998">
        <v>9</v>
      </c>
    </row>
    <row r="999" spans="1:5" x14ac:dyDescent="0.25">
      <c r="A999" t="s">
        <v>38</v>
      </c>
      <c r="B999" t="s">
        <v>139</v>
      </c>
      <c r="C999" t="s">
        <v>460</v>
      </c>
      <c r="D999">
        <v>98328</v>
      </c>
      <c r="E999">
        <v>7</v>
      </c>
    </row>
    <row r="1000" spans="1:5" x14ac:dyDescent="0.25">
      <c r="A1000" t="s">
        <v>45</v>
      </c>
      <c r="B1000" t="s">
        <v>256</v>
      </c>
      <c r="C1000" t="s">
        <v>461</v>
      </c>
      <c r="D1000">
        <v>16834</v>
      </c>
      <c r="E1000">
        <v>9</v>
      </c>
    </row>
    <row r="1001" spans="1:5" x14ac:dyDescent="0.25">
      <c r="A1001" t="s">
        <v>27</v>
      </c>
      <c r="B1001" t="s">
        <v>217</v>
      </c>
      <c r="C1001" t="s">
        <v>461</v>
      </c>
      <c r="D1001">
        <v>80783</v>
      </c>
      <c r="E1001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95"/>
  <sheetViews>
    <sheetView tabSelected="1" topLeftCell="C38" workbookViewId="0">
      <selection activeCell="S100" sqref="S100"/>
    </sheetView>
  </sheetViews>
  <sheetFormatPr defaultRowHeight="15" x14ac:dyDescent="0.25"/>
  <cols>
    <col min="1" max="1" width="27.140625" customWidth="1"/>
    <col min="2" max="2" width="46.85546875" customWidth="1"/>
    <col min="3" max="3" width="10.140625" bestFit="1" customWidth="1"/>
    <col min="4" max="4" width="10.28515625" bestFit="1" customWidth="1"/>
    <col min="5" max="5" width="10.140625" bestFit="1" customWidth="1"/>
    <col min="7" max="7" width="33.5703125" customWidth="1"/>
    <col min="8" max="9" width="13.140625" customWidth="1"/>
    <col min="10" max="10" width="14.28515625" customWidth="1"/>
    <col min="11" max="35" width="13.140625" customWidth="1"/>
  </cols>
  <sheetData>
    <row r="1" spans="1:11" x14ac:dyDescent="0.25">
      <c r="A1" t="s">
        <v>462</v>
      </c>
      <c r="B1" s="2" t="s">
        <v>511</v>
      </c>
    </row>
    <row r="2" spans="1:11" ht="30" x14ac:dyDescent="0.25">
      <c r="A2" s="3" t="s">
        <v>463</v>
      </c>
      <c r="B2" t="s">
        <v>464</v>
      </c>
      <c r="G2" s="4" t="s">
        <v>465</v>
      </c>
      <c r="H2" s="5" t="s">
        <v>466</v>
      </c>
      <c r="I2" s="5" t="s">
        <v>467</v>
      </c>
      <c r="J2" s="6" t="s">
        <v>468</v>
      </c>
      <c r="K2" s="5" t="s">
        <v>4</v>
      </c>
    </row>
    <row r="3" spans="1:11" x14ac:dyDescent="0.25">
      <c r="B3" t="s">
        <v>469</v>
      </c>
      <c r="F3">
        <v>1</v>
      </c>
      <c r="G3" s="7" t="s">
        <v>25</v>
      </c>
      <c r="H3" s="8">
        <v>64</v>
      </c>
      <c r="I3" s="24">
        <v>4182260</v>
      </c>
      <c r="J3" s="27">
        <v>312</v>
      </c>
      <c r="K3" s="28">
        <f>(COUNTIFS(Данные!A:A,результат!G3,Данные!E:E,"&gt;=9") - COUNTIFS(Данные!A:A,результат!G3,Данные!E:E,"&gt;=6") ) / COUNTIFS(Данные!A:A,результат!G3,Данные!E:E,"&gt;=0")</f>
        <v>-0.45454545454545453</v>
      </c>
    </row>
    <row r="4" spans="1:11" x14ac:dyDescent="0.25">
      <c r="B4" t="s">
        <v>470</v>
      </c>
      <c r="F4">
        <v>2</v>
      </c>
      <c r="G4" s="7" t="s">
        <v>5</v>
      </c>
      <c r="H4" s="8">
        <v>67</v>
      </c>
      <c r="I4" s="24">
        <v>3947444</v>
      </c>
      <c r="J4" s="27">
        <v>345</v>
      </c>
      <c r="K4" s="28">
        <f>(COUNTIFS(Данные!A:A,результат!G4,Данные!E:E,"&gt;=9") - COUNTIFS(Данные!A:A,результат!G4,Данные!E:E,"&gt;=6") ) / COUNTIFS(Данные!A:A,результат!G4,Данные!E:E,"&gt;=0")</f>
        <v>-0.5</v>
      </c>
    </row>
    <row r="5" spans="1:11" x14ac:dyDescent="0.25">
      <c r="B5" t="s">
        <v>471</v>
      </c>
      <c r="F5">
        <v>3</v>
      </c>
      <c r="G5" s="7" t="s">
        <v>13</v>
      </c>
      <c r="H5" s="8">
        <v>68</v>
      </c>
      <c r="I5" s="24">
        <v>4423866</v>
      </c>
      <c r="J5" s="27">
        <v>294</v>
      </c>
      <c r="K5" s="28">
        <f>(COUNTIFS(Данные!A:A,результат!G5,Данные!E:E,"&gt;=9") - COUNTIFS(Данные!A:A,результат!G5,Данные!E:E,"&gt;=6") ) / COUNTIFS(Данные!A:A,результат!G5,Данные!E:E,"&gt;=0")</f>
        <v>-0.39240506329113922</v>
      </c>
    </row>
    <row r="6" spans="1:11" x14ac:dyDescent="0.25">
      <c r="B6" s="9" t="s">
        <v>472</v>
      </c>
      <c r="F6">
        <v>4</v>
      </c>
      <c r="G6" s="7" t="s">
        <v>38</v>
      </c>
      <c r="H6" s="8">
        <v>62</v>
      </c>
      <c r="I6" s="24">
        <v>3756093</v>
      </c>
      <c r="J6" s="27">
        <v>303</v>
      </c>
      <c r="K6" s="28">
        <f>(COUNTIFS(Данные!A:A,результат!G6,Данные!E:E,"&gt;=9") - COUNTIFS(Данные!A:A,результат!G6,Данные!E:E,"&gt;=6") ) / COUNTIFS(Данные!A:A,результат!G6,Данные!E:E,"&gt;=0")</f>
        <v>-0.53424657534246578</v>
      </c>
    </row>
    <row r="7" spans="1:11" x14ac:dyDescent="0.25">
      <c r="B7" s="10" t="s">
        <v>473</v>
      </c>
      <c r="F7">
        <v>5</v>
      </c>
      <c r="G7" s="7" t="s">
        <v>45</v>
      </c>
      <c r="H7" s="8">
        <v>73</v>
      </c>
      <c r="I7" s="24">
        <v>4681158</v>
      </c>
      <c r="J7" s="27">
        <v>280</v>
      </c>
      <c r="K7" s="28">
        <f>(COUNTIFS(Данные!A:A,результат!G7,Данные!E:E,"&gt;=9") - COUNTIFS(Данные!A:A,результат!G7,Данные!E:E,"&gt;=6") ) / COUNTIFS(Данные!A:A,результат!G7,Данные!E:E,"&gt;=0")</f>
        <v>-0.41304347826086957</v>
      </c>
    </row>
    <row r="8" spans="1:11" x14ac:dyDescent="0.25">
      <c r="B8" t="s">
        <v>474</v>
      </c>
      <c r="F8">
        <v>6</v>
      </c>
      <c r="G8" s="7" t="s">
        <v>47</v>
      </c>
      <c r="H8" s="8">
        <v>66</v>
      </c>
      <c r="I8" s="24">
        <v>4632492</v>
      </c>
      <c r="J8" s="27">
        <v>225</v>
      </c>
      <c r="K8" s="28">
        <f>(COUNTIFS(Данные!A:A,результат!G8,Данные!E:E,"&gt;=9") - COUNTIFS(Данные!A:A,результат!G8,Данные!E:E,"&gt;=6") ) / COUNTIFS(Данные!A:A,результат!G8,Данные!E:E,"&gt;=0")</f>
        <v>-0.47058823529411764</v>
      </c>
    </row>
    <row r="9" spans="1:11" x14ac:dyDescent="0.25">
      <c r="F9">
        <v>7</v>
      </c>
      <c r="G9" s="7" t="s">
        <v>18</v>
      </c>
      <c r="H9" s="8">
        <v>61</v>
      </c>
      <c r="I9" s="24">
        <v>3621754</v>
      </c>
      <c r="J9" s="27">
        <v>323</v>
      </c>
      <c r="K9" s="28">
        <f>(COUNTIFS(Данные!A:A,результат!G9,Данные!E:E,"&gt;=9") - COUNTIFS(Данные!A:A,результат!G9,Данные!E:E,"&gt;=6") ) / COUNTIFS(Данные!A:A,результат!G9,Данные!E:E,"&gt;=0")</f>
        <v>-0.60810810810810811</v>
      </c>
    </row>
    <row r="10" spans="1:11" x14ac:dyDescent="0.25">
      <c r="F10">
        <v>8</v>
      </c>
      <c r="G10" s="7" t="s">
        <v>10</v>
      </c>
      <c r="H10" s="8">
        <v>68</v>
      </c>
      <c r="I10" s="24">
        <v>5034957</v>
      </c>
      <c r="J10" s="27">
        <v>360</v>
      </c>
      <c r="K10" s="28">
        <f>(COUNTIFS(Данные!A:A,результат!G10,Данные!E:E,"&gt;=9") - COUNTIFS(Данные!A:A,результат!G10,Данные!E:E,"&gt;=6") ) / COUNTIFS(Данные!A:A,результат!G10,Данные!E:E,"&gt;=0")</f>
        <v>-0.45882352941176469</v>
      </c>
    </row>
    <row r="11" spans="1:11" x14ac:dyDescent="0.25">
      <c r="F11">
        <v>9</v>
      </c>
      <c r="G11" s="7" t="s">
        <v>8</v>
      </c>
      <c r="H11" s="8">
        <v>72</v>
      </c>
      <c r="I11" s="24">
        <v>4946753</v>
      </c>
      <c r="J11" s="27">
        <v>293</v>
      </c>
      <c r="K11" s="28">
        <f>(COUNTIFS(Данные!A:A,результат!G11,Данные!E:E,"&gt;=9") - COUNTIFS(Данные!A:A,результат!G11,Данные!E:E,"&gt;=6") ) / COUNTIFS(Данные!A:A,результат!G11,Данные!E:E,"&gt;=0")</f>
        <v>-0.52173913043478259</v>
      </c>
    </row>
    <row r="12" spans="1:11" x14ac:dyDescent="0.25">
      <c r="B12" t="s">
        <v>475</v>
      </c>
      <c r="F12">
        <v>10</v>
      </c>
      <c r="G12" s="7" t="s">
        <v>27</v>
      </c>
      <c r="H12" s="8">
        <v>64</v>
      </c>
      <c r="I12" s="24">
        <v>4235998</v>
      </c>
      <c r="J12" s="27">
        <v>295</v>
      </c>
      <c r="K12" s="28">
        <f>(COUNTIFS(Данные!A:A,результат!G12,Данные!E:E,"&gt;=9") - COUNTIFS(Данные!A:A,результат!G12,Данные!E:E,"&gt;=6") ) / COUNTIFS(Данные!A:A,результат!G12,Данные!E:E,"&gt;=0")</f>
        <v>-0.44155844155844154</v>
      </c>
    </row>
    <row r="13" spans="1:11" x14ac:dyDescent="0.25">
      <c r="A13" t="s">
        <v>476</v>
      </c>
      <c r="B13" s="7" t="str">
        <f>INDEX(G3:G14,MATCH(MAX(H3:H14),H3:H14,0))</f>
        <v>Яковлев Артем Игоревич</v>
      </c>
      <c r="F13">
        <v>11</v>
      </c>
      <c r="G13" s="7" t="s">
        <v>16</v>
      </c>
      <c r="H13" s="8">
        <v>59</v>
      </c>
      <c r="I13" s="24">
        <v>4415812</v>
      </c>
      <c r="J13" s="27">
        <v>347</v>
      </c>
      <c r="K13" s="28">
        <f>(COUNTIFS(Данные!A:A,результат!G13,Данные!E:E,"&gt;=9") - COUNTIFS(Данные!A:A,результат!G13,Данные!E:E,"&gt;=6") ) / COUNTIFS(Данные!A:A,результат!G13,Данные!E:E,"&gt;=0")</f>
        <v>-0.51219512195121952</v>
      </c>
    </row>
    <row r="14" spans="1:11" x14ac:dyDescent="0.25">
      <c r="F14">
        <v>12</v>
      </c>
      <c r="G14" s="7" t="s">
        <v>30</v>
      </c>
      <c r="H14" s="8">
        <v>82</v>
      </c>
      <c r="I14" s="24">
        <v>5887985</v>
      </c>
      <c r="J14" s="27">
        <v>296</v>
      </c>
      <c r="K14" s="28">
        <f>(COUNTIFS(Данные!A:A,результат!G14,Данные!E:E,"&gt;=9") - COUNTIFS(Данные!A:A,результат!G14,Данные!E:E,"&gt;=6") ) / COUNTIFS(Данные!A:A,результат!G14,Данные!E:E,"&gt;=0")</f>
        <v>-0.51886792452830188</v>
      </c>
    </row>
    <row r="15" spans="1:11" x14ac:dyDescent="0.25">
      <c r="A15" t="s">
        <v>477</v>
      </c>
      <c r="B15" s="11" t="str">
        <f>INDEX(G3:G14,MATCH(MAX(I3:I14),I3:I14,0))</f>
        <v>Яковлев Артем Игоревич</v>
      </c>
    </row>
    <row r="17" spans="1:11" ht="15.75" x14ac:dyDescent="0.25">
      <c r="A17" t="s">
        <v>478</v>
      </c>
      <c r="B17" s="11" t="str">
        <f>INDEX(G3:G14,MATCH(MAX(J3:J14),J3:J14,0))</f>
        <v>Семенова Ирина Валерьевна</v>
      </c>
      <c r="G17" s="12"/>
    </row>
    <row r="19" spans="1:11" x14ac:dyDescent="0.25">
      <c r="A19" t="s">
        <v>4</v>
      </c>
      <c r="B19" s="11" t="str">
        <f>INDEX(G3:G14,MATCH(MAX(K3:K14),K3:K14,0))</f>
        <v>Иванова Анна Сергеевна</v>
      </c>
    </row>
    <row r="21" spans="1:11" x14ac:dyDescent="0.25">
      <c r="A21" s="13"/>
      <c r="B21" s="13"/>
      <c r="C21" s="13"/>
      <c r="D21" s="13"/>
      <c r="E21" s="13"/>
      <c r="F21" s="13"/>
      <c r="G21" s="13"/>
      <c r="H21" s="13"/>
      <c r="I21" s="13"/>
      <c r="J21" s="13"/>
      <c r="K21" s="13"/>
    </row>
    <row r="23" spans="1:11" x14ac:dyDescent="0.25">
      <c r="A23" s="3" t="s">
        <v>479</v>
      </c>
      <c r="B23" t="s">
        <v>480</v>
      </c>
      <c r="G23" t="s">
        <v>481</v>
      </c>
    </row>
    <row r="24" spans="1:11" x14ac:dyDescent="0.25">
      <c r="B24" s="14" t="s">
        <v>482</v>
      </c>
      <c r="G24" t="s">
        <v>483</v>
      </c>
      <c r="H24" t="s">
        <v>484</v>
      </c>
      <c r="I24" t="s">
        <v>467</v>
      </c>
    </row>
    <row r="25" spans="1:11" x14ac:dyDescent="0.25">
      <c r="B25" s="14" t="s">
        <v>485</v>
      </c>
      <c r="F25">
        <v>1</v>
      </c>
      <c r="G25" s="7" t="s">
        <v>33</v>
      </c>
      <c r="H25" s="7">
        <v>14</v>
      </c>
      <c r="I25" s="7">
        <v>759518</v>
      </c>
    </row>
    <row r="26" spans="1:11" x14ac:dyDescent="0.25">
      <c r="B26" s="14" t="s">
        <v>486</v>
      </c>
      <c r="F26">
        <v>2</v>
      </c>
      <c r="G26" s="7" t="s">
        <v>77</v>
      </c>
      <c r="H26" s="7">
        <v>12</v>
      </c>
      <c r="I26" s="7">
        <v>731183</v>
      </c>
    </row>
    <row r="27" spans="1:11" x14ac:dyDescent="0.25">
      <c r="F27">
        <v>3</v>
      </c>
      <c r="G27" s="7" t="s">
        <v>68</v>
      </c>
      <c r="H27" s="7">
        <v>11</v>
      </c>
      <c r="I27" s="7">
        <v>616804</v>
      </c>
    </row>
    <row r="28" spans="1:11" x14ac:dyDescent="0.25">
      <c r="F28">
        <v>4</v>
      </c>
      <c r="G28" s="7" t="s">
        <v>69</v>
      </c>
      <c r="H28" s="7">
        <v>11</v>
      </c>
      <c r="I28" s="7">
        <v>589442</v>
      </c>
    </row>
    <row r="29" spans="1:11" x14ac:dyDescent="0.25">
      <c r="F29">
        <v>5</v>
      </c>
      <c r="G29" s="7" t="s">
        <v>144</v>
      </c>
      <c r="H29" s="7">
        <v>11</v>
      </c>
      <c r="I29" s="7">
        <v>575295</v>
      </c>
    </row>
    <row r="30" spans="1:11" x14ac:dyDescent="0.25">
      <c r="F30">
        <v>6</v>
      </c>
      <c r="G30" s="7" t="s">
        <v>32</v>
      </c>
      <c r="H30" s="7">
        <v>9</v>
      </c>
      <c r="I30" s="7">
        <v>574422</v>
      </c>
    </row>
    <row r="31" spans="1:11" x14ac:dyDescent="0.25">
      <c r="F31">
        <v>7</v>
      </c>
      <c r="G31" s="7" t="s">
        <v>239</v>
      </c>
      <c r="H31" s="7">
        <v>9</v>
      </c>
      <c r="I31" s="7">
        <v>561893</v>
      </c>
    </row>
    <row r="32" spans="1:11" x14ac:dyDescent="0.25">
      <c r="F32">
        <v>8</v>
      </c>
      <c r="G32" s="7" t="s">
        <v>141</v>
      </c>
      <c r="H32" s="7">
        <v>8</v>
      </c>
      <c r="I32" s="7">
        <v>554461</v>
      </c>
    </row>
    <row r="33" spans="6:9" x14ac:dyDescent="0.25">
      <c r="F33">
        <v>9</v>
      </c>
      <c r="G33" s="7" t="s">
        <v>65</v>
      </c>
      <c r="H33" s="7">
        <v>8</v>
      </c>
      <c r="I33" s="7">
        <v>553432</v>
      </c>
    </row>
    <row r="34" spans="6:9" x14ac:dyDescent="0.25">
      <c r="F34">
        <v>10</v>
      </c>
      <c r="G34" s="7" t="s">
        <v>75</v>
      </c>
      <c r="H34" s="7">
        <v>9</v>
      </c>
      <c r="I34" s="7">
        <v>539765</v>
      </c>
    </row>
    <row r="37" spans="6:9" x14ac:dyDescent="0.25">
      <c r="G37" t="s">
        <v>487</v>
      </c>
    </row>
    <row r="38" spans="6:9" x14ac:dyDescent="0.25">
      <c r="G38" t="s">
        <v>483</v>
      </c>
      <c r="H38" t="s">
        <v>484</v>
      </c>
      <c r="I38" t="s">
        <v>467</v>
      </c>
    </row>
    <row r="39" spans="6:9" x14ac:dyDescent="0.25">
      <c r="F39">
        <v>1</v>
      </c>
      <c r="G39" s="7" t="s">
        <v>117</v>
      </c>
      <c r="H39" s="7">
        <v>3</v>
      </c>
      <c r="I39" s="7">
        <v>272074</v>
      </c>
    </row>
    <row r="40" spans="6:9" x14ac:dyDescent="0.25">
      <c r="F40">
        <v>2</v>
      </c>
      <c r="G40" s="7" t="s">
        <v>178</v>
      </c>
      <c r="H40" s="7">
        <v>2</v>
      </c>
      <c r="I40" s="7">
        <v>171684</v>
      </c>
    </row>
    <row r="41" spans="6:9" x14ac:dyDescent="0.25">
      <c r="F41">
        <v>3</v>
      </c>
      <c r="G41" s="7" t="s">
        <v>338</v>
      </c>
      <c r="H41" s="7">
        <v>2</v>
      </c>
      <c r="I41" s="7">
        <v>149369</v>
      </c>
    </row>
    <row r="42" spans="6:9" x14ac:dyDescent="0.25">
      <c r="F42">
        <v>4</v>
      </c>
      <c r="G42" s="7" t="s">
        <v>86</v>
      </c>
      <c r="H42" s="7">
        <v>1</v>
      </c>
      <c r="I42" s="7">
        <v>99945</v>
      </c>
    </row>
    <row r="43" spans="6:9" x14ac:dyDescent="0.25">
      <c r="F43">
        <v>5</v>
      </c>
      <c r="G43" s="7" t="s">
        <v>329</v>
      </c>
      <c r="H43" s="7">
        <v>1</v>
      </c>
      <c r="I43" s="7">
        <v>55635</v>
      </c>
    </row>
    <row r="44" spans="6:9" x14ac:dyDescent="0.25">
      <c r="F44">
        <v>6</v>
      </c>
      <c r="G44" s="7" t="s">
        <v>242</v>
      </c>
      <c r="H44" s="7">
        <v>1</v>
      </c>
      <c r="I44" s="7">
        <v>52464</v>
      </c>
    </row>
    <row r="45" spans="6:9" x14ac:dyDescent="0.25">
      <c r="F45">
        <v>7</v>
      </c>
      <c r="G45" s="7" t="s">
        <v>444</v>
      </c>
      <c r="H45" s="7">
        <v>1</v>
      </c>
      <c r="I45" s="7">
        <v>42249</v>
      </c>
    </row>
    <row r="46" spans="6:9" x14ac:dyDescent="0.25">
      <c r="F46">
        <v>8</v>
      </c>
      <c r="G46" s="7" t="s">
        <v>380</v>
      </c>
      <c r="H46" s="7">
        <v>1</v>
      </c>
      <c r="I46" s="7">
        <v>41145</v>
      </c>
    </row>
    <row r="47" spans="6:9" x14ac:dyDescent="0.25">
      <c r="F47">
        <v>9</v>
      </c>
      <c r="G47" s="7" t="s">
        <v>375</v>
      </c>
      <c r="H47" s="7">
        <v>1</v>
      </c>
      <c r="I47" s="7">
        <v>40657</v>
      </c>
    </row>
    <row r="48" spans="6:9" x14ac:dyDescent="0.25">
      <c r="F48">
        <v>10</v>
      </c>
      <c r="G48" s="7" t="s">
        <v>382</v>
      </c>
      <c r="H48" s="7">
        <v>1</v>
      </c>
      <c r="I48" s="7">
        <v>40276</v>
      </c>
    </row>
    <row r="50" spans="1:20" x14ac:dyDescent="0.25">
      <c r="A50" s="13"/>
      <c r="B50" s="13"/>
      <c r="C50" s="13"/>
      <c r="D50" s="13"/>
      <c r="E50" s="13"/>
      <c r="F50" s="13"/>
      <c r="G50" s="13"/>
      <c r="H50" s="13"/>
      <c r="I50" s="13"/>
      <c r="J50" s="13"/>
      <c r="K50" s="13"/>
    </row>
    <row r="51" spans="1:20" x14ac:dyDescent="0.25">
      <c r="C51" s="15" t="s">
        <v>488</v>
      </c>
      <c r="D51" s="15">
        <v>13</v>
      </c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</row>
    <row r="52" spans="1:20" x14ac:dyDescent="0.25">
      <c r="A52" s="3" t="s">
        <v>489</v>
      </c>
      <c r="B52" t="s">
        <v>490</v>
      </c>
      <c r="C52" s="15"/>
      <c r="D52" s="15"/>
      <c r="G52" t="s">
        <v>491</v>
      </c>
    </row>
    <row r="53" spans="1:20" x14ac:dyDescent="0.25">
      <c r="B53" t="s">
        <v>492</v>
      </c>
      <c r="C53" s="15" t="s">
        <v>493</v>
      </c>
      <c r="D53" s="15" t="s">
        <v>494</v>
      </c>
      <c r="G53" s="17" t="s">
        <v>465</v>
      </c>
      <c r="H53" s="7" t="s">
        <v>495</v>
      </c>
      <c r="I53" s="7" t="s">
        <v>496</v>
      </c>
      <c r="J53" s="7" t="s">
        <v>497</v>
      </c>
      <c r="K53" s="7" t="s">
        <v>498</v>
      </c>
      <c r="L53" s="7" t="s">
        <v>499</v>
      </c>
      <c r="M53" s="7" t="s">
        <v>500</v>
      </c>
      <c r="N53" s="7" t="s">
        <v>501</v>
      </c>
      <c r="O53" s="7" t="s">
        <v>502</v>
      </c>
      <c r="P53" s="7" t="s">
        <v>503</v>
      </c>
      <c r="Q53" s="7" t="s">
        <v>504</v>
      </c>
      <c r="R53" s="7" t="s">
        <v>505</v>
      </c>
      <c r="S53" s="7" t="s">
        <v>506</v>
      </c>
      <c r="T53" s="7" t="s">
        <v>507</v>
      </c>
    </row>
    <row r="54" spans="1:20" x14ac:dyDescent="0.25">
      <c r="B54" t="s">
        <v>508</v>
      </c>
      <c r="C54" s="18">
        <v>45170</v>
      </c>
      <c r="D54" s="19">
        <v>45537</v>
      </c>
      <c r="G54" s="7" t="s">
        <v>25</v>
      </c>
      <c r="H54" s="7">
        <v>5</v>
      </c>
      <c r="I54" s="7">
        <v>6</v>
      </c>
      <c r="J54" s="7">
        <v>10</v>
      </c>
      <c r="K54" s="7">
        <v>9</v>
      </c>
      <c r="L54" s="7">
        <v>7</v>
      </c>
      <c r="M54" s="7">
        <v>4</v>
      </c>
      <c r="N54" s="7">
        <v>7</v>
      </c>
      <c r="O54" s="7">
        <v>5</v>
      </c>
      <c r="P54" s="7">
        <v>3</v>
      </c>
      <c r="Q54" s="7">
        <v>6</v>
      </c>
      <c r="R54" s="7">
        <v>8</v>
      </c>
      <c r="S54" s="7">
        <v>7</v>
      </c>
      <c r="T54" s="7">
        <v>0</v>
      </c>
    </row>
    <row r="55" spans="1:20" x14ac:dyDescent="0.25">
      <c r="B55" t="s">
        <v>509</v>
      </c>
      <c r="C55" s="15">
        <v>2023</v>
      </c>
      <c r="D55" s="15">
        <v>2024</v>
      </c>
      <c r="G55" s="7" t="s">
        <v>5</v>
      </c>
      <c r="H55" s="7">
        <v>7</v>
      </c>
      <c r="I55" s="7">
        <v>9</v>
      </c>
      <c r="J55" s="7">
        <v>8</v>
      </c>
      <c r="K55" s="7">
        <v>5</v>
      </c>
      <c r="L55" s="7">
        <v>5</v>
      </c>
      <c r="M55" s="7">
        <v>5</v>
      </c>
      <c r="N55" s="7">
        <v>11</v>
      </c>
      <c r="O55" s="7">
        <v>5</v>
      </c>
      <c r="P55" s="7">
        <v>2</v>
      </c>
      <c r="Q55" s="7">
        <v>4</v>
      </c>
      <c r="R55" s="7">
        <v>9</v>
      </c>
      <c r="S55" s="7">
        <v>8</v>
      </c>
      <c r="T55" s="7">
        <v>0</v>
      </c>
    </row>
    <row r="56" spans="1:20" x14ac:dyDescent="0.25">
      <c r="C56" s="15">
        <v>9</v>
      </c>
      <c r="D56" s="15">
        <v>9</v>
      </c>
      <c r="G56" s="7" t="s">
        <v>13</v>
      </c>
      <c r="H56" s="7">
        <v>6</v>
      </c>
      <c r="I56" s="7">
        <v>12</v>
      </c>
      <c r="J56" s="7">
        <v>5</v>
      </c>
      <c r="K56" s="7">
        <v>7</v>
      </c>
      <c r="L56" s="7">
        <v>5</v>
      </c>
      <c r="M56" s="7">
        <v>4</v>
      </c>
      <c r="N56" s="7">
        <v>3</v>
      </c>
      <c r="O56" s="7">
        <v>6</v>
      </c>
      <c r="P56" s="7">
        <v>11</v>
      </c>
      <c r="Q56" s="7">
        <v>6</v>
      </c>
      <c r="R56" s="7">
        <v>8</v>
      </c>
      <c r="S56" s="7">
        <v>6</v>
      </c>
      <c r="T56" s="7">
        <v>0</v>
      </c>
    </row>
    <row r="57" spans="1:20" x14ac:dyDescent="0.25">
      <c r="G57" s="7" t="s">
        <v>38</v>
      </c>
      <c r="H57" s="7">
        <v>4</v>
      </c>
      <c r="I57" s="7">
        <v>4</v>
      </c>
      <c r="J57" s="7">
        <v>6</v>
      </c>
      <c r="K57" s="7">
        <v>8</v>
      </c>
      <c r="L57" s="7">
        <v>6</v>
      </c>
      <c r="M57" s="7">
        <v>5</v>
      </c>
      <c r="N57" s="7">
        <v>4</v>
      </c>
      <c r="O57" s="7">
        <v>7</v>
      </c>
      <c r="P57" s="7">
        <v>10</v>
      </c>
      <c r="Q57" s="7">
        <v>7</v>
      </c>
      <c r="R57" s="7">
        <v>6</v>
      </c>
      <c r="S57" s="7">
        <v>6</v>
      </c>
      <c r="T57" s="7">
        <v>0</v>
      </c>
    </row>
    <row r="58" spans="1:20" x14ac:dyDescent="0.25">
      <c r="G58" s="7" t="s">
        <v>45</v>
      </c>
      <c r="H58" s="7">
        <v>4</v>
      </c>
      <c r="I58" s="7">
        <v>7</v>
      </c>
      <c r="J58" s="7">
        <v>8</v>
      </c>
      <c r="K58" s="7">
        <v>6</v>
      </c>
      <c r="L58" s="7">
        <v>8</v>
      </c>
      <c r="M58" s="7">
        <v>11</v>
      </c>
      <c r="N58" s="7">
        <v>6</v>
      </c>
      <c r="O58" s="7">
        <v>4</v>
      </c>
      <c r="P58" s="7">
        <v>10</v>
      </c>
      <c r="Q58" s="7">
        <v>9</v>
      </c>
      <c r="R58" s="7">
        <v>9</v>
      </c>
      <c r="S58" s="7">
        <v>9</v>
      </c>
      <c r="T58" s="7">
        <v>1</v>
      </c>
    </row>
    <row r="59" spans="1:20" x14ac:dyDescent="0.25">
      <c r="G59" s="7" t="s">
        <v>47</v>
      </c>
      <c r="H59" s="7">
        <v>4</v>
      </c>
      <c r="I59" s="7">
        <v>10</v>
      </c>
      <c r="J59" s="7">
        <v>4</v>
      </c>
      <c r="K59" s="7">
        <v>5</v>
      </c>
      <c r="L59" s="7">
        <v>9</v>
      </c>
      <c r="M59" s="7">
        <v>9</v>
      </c>
      <c r="N59" s="7">
        <v>6</v>
      </c>
      <c r="O59" s="7">
        <v>9</v>
      </c>
      <c r="P59" s="7">
        <v>5</v>
      </c>
      <c r="Q59" s="7">
        <v>11</v>
      </c>
      <c r="R59" s="7">
        <v>5</v>
      </c>
      <c r="S59" s="7">
        <v>8</v>
      </c>
      <c r="T59" s="7">
        <v>0</v>
      </c>
    </row>
    <row r="60" spans="1:20" x14ac:dyDescent="0.25">
      <c r="G60" s="7" t="s">
        <v>18</v>
      </c>
      <c r="H60" s="7">
        <v>8</v>
      </c>
      <c r="I60" s="7">
        <v>6</v>
      </c>
      <c r="J60" s="7">
        <v>2</v>
      </c>
      <c r="K60" s="7">
        <v>3</v>
      </c>
      <c r="L60" s="7">
        <v>6</v>
      </c>
      <c r="M60" s="7">
        <v>6</v>
      </c>
      <c r="N60" s="7">
        <v>9</v>
      </c>
      <c r="O60" s="7">
        <v>5</v>
      </c>
      <c r="P60" s="7">
        <v>6</v>
      </c>
      <c r="Q60" s="7">
        <v>8</v>
      </c>
      <c r="R60" s="7">
        <v>9</v>
      </c>
      <c r="S60" s="7">
        <v>6</v>
      </c>
      <c r="T60" s="7">
        <v>0</v>
      </c>
    </row>
    <row r="61" spans="1:20" x14ac:dyDescent="0.25">
      <c r="G61" s="7" t="s">
        <v>10</v>
      </c>
      <c r="H61" s="7">
        <v>10</v>
      </c>
      <c r="I61" s="7">
        <v>3</v>
      </c>
      <c r="J61" s="7">
        <v>6</v>
      </c>
      <c r="K61" s="7">
        <v>8</v>
      </c>
      <c r="L61" s="7">
        <v>7</v>
      </c>
      <c r="M61" s="7">
        <v>11</v>
      </c>
      <c r="N61" s="7">
        <v>2</v>
      </c>
      <c r="O61" s="7">
        <v>7</v>
      </c>
      <c r="P61" s="7">
        <v>12</v>
      </c>
      <c r="Q61" s="7">
        <v>7</v>
      </c>
      <c r="R61" s="7">
        <v>5</v>
      </c>
      <c r="S61" s="7">
        <v>7</v>
      </c>
      <c r="T61" s="7">
        <v>0</v>
      </c>
    </row>
    <row r="62" spans="1:20" x14ac:dyDescent="0.25">
      <c r="G62" s="7" t="s">
        <v>8</v>
      </c>
      <c r="H62" s="7">
        <v>7</v>
      </c>
      <c r="I62" s="7">
        <v>11</v>
      </c>
      <c r="J62" s="7">
        <v>7</v>
      </c>
      <c r="K62" s="7">
        <v>7</v>
      </c>
      <c r="L62" s="7">
        <v>6</v>
      </c>
      <c r="M62" s="7">
        <v>12</v>
      </c>
      <c r="N62" s="7">
        <v>7</v>
      </c>
      <c r="O62" s="7">
        <v>7</v>
      </c>
      <c r="P62" s="7">
        <v>8</v>
      </c>
      <c r="Q62" s="7">
        <v>10</v>
      </c>
      <c r="R62" s="7">
        <v>4</v>
      </c>
      <c r="S62" s="7">
        <v>6</v>
      </c>
      <c r="T62" s="7">
        <v>0</v>
      </c>
    </row>
    <row r="63" spans="1:20" x14ac:dyDescent="0.25">
      <c r="G63" s="7" t="s">
        <v>27</v>
      </c>
      <c r="H63" s="7">
        <v>8</v>
      </c>
      <c r="I63" s="7">
        <v>8</v>
      </c>
      <c r="J63" s="7">
        <v>7</v>
      </c>
      <c r="K63" s="7">
        <v>6</v>
      </c>
      <c r="L63" s="7">
        <v>3</v>
      </c>
      <c r="M63" s="7">
        <v>3</v>
      </c>
      <c r="N63" s="7">
        <v>4</v>
      </c>
      <c r="O63" s="7">
        <v>4</v>
      </c>
      <c r="P63" s="7">
        <v>4</v>
      </c>
      <c r="Q63" s="7">
        <v>6</v>
      </c>
      <c r="R63" s="7">
        <v>9</v>
      </c>
      <c r="S63" s="7">
        <v>14</v>
      </c>
      <c r="T63" s="7">
        <v>1</v>
      </c>
    </row>
    <row r="64" spans="1:20" x14ac:dyDescent="0.25">
      <c r="G64" s="7" t="s">
        <v>16</v>
      </c>
      <c r="H64" s="7">
        <v>9</v>
      </c>
      <c r="I64" s="7">
        <v>6</v>
      </c>
      <c r="J64" s="7">
        <v>7</v>
      </c>
      <c r="K64" s="7">
        <v>5</v>
      </c>
      <c r="L64" s="7">
        <v>4</v>
      </c>
      <c r="M64" s="7">
        <v>7</v>
      </c>
      <c r="N64" s="7">
        <v>3</v>
      </c>
      <c r="O64" s="7">
        <v>7</v>
      </c>
      <c r="P64" s="7">
        <v>7</v>
      </c>
      <c r="Q64" s="7">
        <v>7</v>
      </c>
      <c r="R64" s="7">
        <v>6</v>
      </c>
      <c r="S64" s="7">
        <v>14</v>
      </c>
      <c r="T64" s="7">
        <v>0</v>
      </c>
    </row>
    <row r="65" spans="7:20" x14ac:dyDescent="0.25">
      <c r="G65" s="7" t="s">
        <v>30</v>
      </c>
      <c r="H65" s="7">
        <v>8</v>
      </c>
      <c r="I65" s="7">
        <v>9</v>
      </c>
      <c r="J65" s="7">
        <v>7</v>
      </c>
      <c r="K65" s="7">
        <v>12</v>
      </c>
      <c r="L65" s="7">
        <v>7</v>
      </c>
      <c r="M65" s="7">
        <v>11</v>
      </c>
      <c r="N65" s="7">
        <v>7</v>
      </c>
      <c r="O65" s="7">
        <v>9</v>
      </c>
      <c r="P65" s="7">
        <v>12</v>
      </c>
      <c r="Q65" s="7">
        <v>7</v>
      </c>
      <c r="R65" s="7">
        <v>12</v>
      </c>
      <c r="S65" s="7">
        <v>5</v>
      </c>
      <c r="T65" s="7">
        <v>0</v>
      </c>
    </row>
    <row r="66" spans="7:20" x14ac:dyDescent="0.25"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</row>
    <row r="67" spans="7:20" x14ac:dyDescent="0.25">
      <c r="G67" t="s">
        <v>4</v>
      </c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</row>
    <row r="68" spans="7:20" x14ac:dyDescent="0.25">
      <c r="G68" s="17" t="s">
        <v>465</v>
      </c>
      <c r="H68" s="7" t="s">
        <v>495</v>
      </c>
      <c r="I68" s="7" t="s">
        <v>496</v>
      </c>
      <c r="J68" s="7" t="s">
        <v>497</v>
      </c>
      <c r="K68" s="7" t="s">
        <v>498</v>
      </c>
      <c r="L68" s="7" t="s">
        <v>499</v>
      </c>
      <c r="M68" s="7" t="s">
        <v>500</v>
      </c>
      <c r="N68" s="7" t="s">
        <v>501</v>
      </c>
      <c r="O68" s="7" t="s">
        <v>502</v>
      </c>
      <c r="P68" s="7" t="s">
        <v>503</v>
      </c>
      <c r="Q68" s="7" t="s">
        <v>504</v>
      </c>
      <c r="R68" s="7" t="s">
        <v>505</v>
      </c>
      <c r="S68" s="7" t="s">
        <v>506</v>
      </c>
      <c r="T68" s="7" t="s">
        <v>507</v>
      </c>
    </row>
    <row r="69" spans="7:20" x14ac:dyDescent="0.25">
      <c r="G69" s="7" t="s">
        <v>25</v>
      </c>
      <c r="H69" s="21">
        <v>-0.2</v>
      </c>
      <c r="I69" s="21">
        <v>0.16666666666666666</v>
      </c>
      <c r="J69" s="21">
        <v>-0.33333333333333331</v>
      </c>
      <c r="K69" s="21">
        <v>-0.1111111111111111</v>
      </c>
      <c r="L69" s="21">
        <v>-0.42857142857142855</v>
      </c>
      <c r="M69" s="21">
        <v>-0.75</v>
      </c>
      <c r="N69" s="21">
        <v>-0.42857142857142855</v>
      </c>
      <c r="O69" s="21">
        <v>-0.6</v>
      </c>
      <c r="P69" s="21">
        <v>0</v>
      </c>
      <c r="Q69" s="21">
        <v>-0.33333333333333331</v>
      </c>
      <c r="R69" s="21">
        <v>-0.5</v>
      </c>
      <c r="S69" s="21">
        <v>-0.5714285714285714</v>
      </c>
      <c r="T69" s="21">
        <v>0</v>
      </c>
    </row>
    <row r="70" spans="7:20" x14ac:dyDescent="0.25">
      <c r="G70" s="7" t="s">
        <v>5</v>
      </c>
      <c r="H70" s="21">
        <v>-0.14285714285714285</v>
      </c>
      <c r="I70" s="21">
        <v>-0.55555555555555558</v>
      </c>
      <c r="J70" s="21">
        <v>-0.5</v>
      </c>
      <c r="K70" s="21">
        <v>-0.4</v>
      </c>
      <c r="L70" s="21">
        <v>0</v>
      </c>
      <c r="M70" s="21">
        <v>-0.4</v>
      </c>
      <c r="N70" s="21">
        <v>-0.45454545454545453</v>
      </c>
      <c r="O70" s="21">
        <v>0</v>
      </c>
      <c r="P70" s="21">
        <v>0.5</v>
      </c>
      <c r="Q70" s="21">
        <v>-0.75</v>
      </c>
      <c r="R70" s="21">
        <v>-0.25</v>
      </c>
      <c r="S70" s="21">
        <v>0</v>
      </c>
      <c r="T70" s="33">
        <v>0</v>
      </c>
    </row>
    <row r="71" spans="7:20" x14ac:dyDescent="0.25">
      <c r="G71" s="7" t="s">
        <v>13</v>
      </c>
      <c r="H71" s="21">
        <v>0.16666666666666666</v>
      </c>
      <c r="I71" s="21">
        <v>-0.18181818181818182</v>
      </c>
      <c r="J71" s="21">
        <v>-0.2</v>
      </c>
      <c r="K71" s="21">
        <v>-0.5</v>
      </c>
      <c r="L71" s="21">
        <v>-0.5</v>
      </c>
      <c r="M71" s="21">
        <v>-0.5</v>
      </c>
      <c r="N71" s="21">
        <v>-0.66666666666666663</v>
      </c>
      <c r="O71" s="21">
        <v>-0.66666666666666663</v>
      </c>
      <c r="P71" s="21">
        <v>-0.72727272727272729</v>
      </c>
      <c r="Q71" s="21">
        <v>-0.16666666666666666</v>
      </c>
      <c r="R71" s="21">
        <v>-0.75</v>
      </c>
      <c r="S71" s="21">
        <v>-0.33333333333333331</v>
      </c>
      <c r="T71" s="21">
        <v>0</v>
      </c>
    </row>
    <row r="72" spans="7:20" x14ac:dyDescent="0.25">
      <c r="G72" s="7" t="s">
        <v>38</v>
      </c>
      <c r="H72" s="21">
        <v>0</v>
      </c>
      <c r="I72" s="21">
        <v>-0.5</v>
      </c>
      <c r="J72" s="21">
        <v>-0.5</v>
      </c>
      <c r="K72" s="21">
        <v>-0.5</v>
      </c>
      <c r="L72" s="21">
        <v>-0.8</v>
      </c>
      <c r="M72" s="21">
        <v>-1</v>
      </c>
      <c r="N72" s="21">
        <v>-0.5</v>
      </c>
      <c r="O72" s="21">
        <v>-0.66666666666666663</v>
      </c>
      <c r="P72" s="21">
        <v>-0.33333333333333331</v>
      </c>
      <c r="Q72" s="21">
        <v>-0.5714285714285714</v>
      </c>
      <c r="R72" s="21">
        <v>-0.16666666666666666</v>
      </c>
      <c r="S72" s="21">
        <v>0.33333333333333331</v>
      </c>
      <c r="T72" s="21">
        <v>0</v>
      </c>
    </row>
    <row r="73" spans="7:20" x14ac:dyDescent="0.25">
      <c r="G73" s="7" t="s">
        <v>45</v>
      </c>
      <c r="H73" s="21">
        <v>0</v>
      </c>
      <c r="I73" s="21">
        <v>-0.7142857142857143</v>
      </c>
      <c r="J73" s="21">
        <v>-0.5</v>
      </c>
      <c r="K73" s="21">
        <v>-0.5</v>
      </c>
      <c r="L73" s="21">
        <v>0.125</v>
      </c>
      <c r="M73" s="21">
        <v>-0.45454545454545453</v>
      </c>
      <c r="N73" s="21">
        <v>-0.83333333333333337</v>
      </c>
      <c r="O73" s="21">
        <v>-0.75</v>
      </c>
      <c r="P73" s="21">
        <v>0</v>
      </c>
      <c r="Q73" s="21">
        <v>-0.14285714285714285</v>
      </c>
      <c r="R73" s="21">
        <v>-0.66666666666666663</v>
      </c>
      <c r="S73" s="21">
        <v>0</v>
      </c>
      <c r="T73" s="21">
        <v>1</v>
      </c>
    </row>
    <row r="74" spans="7:20" x14ac:dyDescent="0.25">
      <c r="G74" s="7" t="s">
        <v>47</v>
      </c>
      <c r="H74" s="21">
        <v>-1</v>
      </c>
      <c r="I74" s="21">
        <v>-0.33333333333333331</v>
      </c>
      <c r="J74" s="21">
        <v>-0.5</v>
      </c>
      <c r="K74" s="21">
        <v>-0.6</v>
      </c>
      <c r="L74" s="21">
        <v>-0.88888888888888884</v>
      </c>
      <c r="M74" s="21">
        <v>-0.375</v>
      </c>
      <c r="N74" s="21">
        <v>-0.66666666666666663</v>
      </c>
      <c r="O74" s="21">
        <v>-0.375</v>
      </c>
      <c r="P74" s="21">
        <v>0</v>
      </c>
      <c r="Q74" s="21">
        <v>-0.45454545454545453</v>
      </c>
      <c r="R74" s="21">
        <v>-0.2</v>
      </c>
      <c r="S74" s="21">
        <v>-0.5</v>
      </c>
      <c r="T74" s="21">
        <v>0</v>
      </c>
    </row>
    <row r="75" spans="7:20" x14ac:dyDescent="0.25">
      <c r="G75" s="7" t="s">
        <v>18</v>
      </c>
      <c r="H75" s="21">
        <v>-0.75</v>
      </c>
      <c r="I75" s="21">
        <v>-0.33333333333333331</v>
      </c>
      <c r="J75" s="21">
        <v>-0.5</v>
      </c>
      <c r="K75" s="21">
        <v>0.33333333333333331</v>
      </c>
      <c r="L75" s="21">
        <v>0</v>
      </c>
      <c r="M75" s="21">
        <v>-0.16666666666666666</v>
      </c>
      <c r="N75" s="21">
        <v>-0.33333333333333331</v>
      </c>
      <c r="O75" s="21">
        <v>-0.2</v>
      </c>
      <c r="P75" s="21">
        <v>-0.33333333333333331</v>
      </c>
      <c r="Q75" s="21">
        <v>-0.375</v>
      </c>
      <c r="R75" s="21">
        <v>-0.875</v>
      </c>
      <c r="S75" s="21">
        <v>-0.66666666666666663</v>
      </c>
      <c r="T75" s="21">
        <v>0</v>
      </c>
    </row>
    <row r="76" spans="7:20" x14ac:dyDescent="0.25">
      <c r="G76" s="7" t="s">
        <v>10</v>
      </c>
      <c r="H76" s="21">
        <v>-0.1</v>
      </c>
      <c r="I76" s="21">
        <v>-1</v>
      </c>
      <c r="J76" s="21">
        <v>-0.5</v>
      </c>
      <c r="K76" s="21">
        <v>0</v>
      </c>
      <c r="L76" s="21">
        <v>-0.7142857142857143</v>
      </c>
      <c r="M76" s="21">
        <v>-0.66666666666666663</v>
      </c>
      <c r="N76" s="21">
        <v>0</v>
      </c>
      <c r="O76" s="21">
        <v>-0.2857142857142857</v>
      </c>
      <c r="P76" s="21">
        <v>-0.45454545454545453</v>
      </c>
      <c r="Q76" s="21">
        <v>-0.42857142857142855</v>
      </c>
      <c r="R76" s="21">
        <v>-0.6</v>
      </c>
      <c r="S76" s="21">
        <v>-0.66666666666666663</v>
      </c>
      <c r="T76" s="21">
        <v>0</v>
      </c>
    </row>
    <row r="77" spans="7:20" x14ac:dyDescent="0.25">
      <c r="G77" s="7" t="s">
        <v>8</v>
      </c>
      <c r="H77" s="21">
        <v>-0.42857142857142855</v>
      </c>
      <c r="I77" s="21">
        <v>-0.36363636363636365</v>
      </c>
      <c r="J77" s="21">
        <v>-0.7142857142857143</v>
      </c>
      <c r="K77" s="21">
        <v>-0.42857142857142855</v>
      </c>
      <c r="L77" s="21">
        <v>-0.66666666666666663</v>
      </c>
      <c r="M77" s="21">
        <v>-0.5</v>
      </c>
      <c r="N77" s="21">
        <v>-0.42857142857142855</v>
      </c>
      <c r="O77" s="21">
        <v>0</v>
      </c>
      <c r="P77" s="21">
        <v>-0.375</v>
      </c>
      <c r="Q77" s="21">
        <v>0</v>
      </c>
      <c r="R77" s="21">
        <v>-0.75</v>
      </c>
      <c r="S77" s="21">
        <v>0</v>
      </c>
      <c r="T77" s="21">
        <v>0</v>
      </c>
    </row>
    <row r="78" spans="7:20" x14ac:dyDescent="0.25">
      <c r="G78" s="7" t="s">
        <v>27</v>
      </c>
      <c r="H78" s="21">
        <v>-0.75</v>
      </c>
      <c r="I78" s="21">
        <v>-0.375</v>
      </c>
      <c r="J78" s="21">
        <v>-0.42857142857142855</v>
      </c>
      <c r="K78" s="21">
        <v>-1</v>
      </c>
      <c r="L78" s="21">
        <v>-0.33333333333333331</v>
      </c>
      <c r="M78" s="21">
        <v>-0.66666666666666663</v>
      </c>
      <c r="N78" s="21">
        <v>-0.66666666666666663</v>
      </c>
      <c r="O78" s="21">
        <v>-0.25</v>
      </c>
      <c r="P78" s="21">
        <v>-0.25</v>
      </c>
      <c r="Q78" s="21">
        <v>-0.66666666666666663</v>
      </c>
      <c r="R78" s="21">
        <v>-0.22222222222222221</v>
      </c>
      <c r="S78" s="21">
        <v>-0.42857142857142855</v>
      </c>
      <c r="T78" s="21">
        <v>-1</v>
      </c>
    </row>
    <row r="79" spans="7:20" x14ac:dyDescent="0.25">
      <c r="G79" s="7" t="s">
        <v>16</v>
      </c>
      <c r="H79" s="21">
        <v>-0.75</v>
      </c>
      <c r="I79" s="21">
        <v>-0.4</v>
      </c>
      <c r="J79" s="21">
        <v>-0.16666666666666666</v>
      </c>
      <c r="K79" s="21">
        <v>-0.6</v>
      </c>
      <c r="L79" s="21">
        <v>0.5</v>
      </c>
      <c r="M79" s="21">
        <v>-0.14285714285714285</v>
      </c>
      <c r="N79" s="21">
        <v>0.33333333333333331</v>
      </c>
      <c r="O79" s="21">
        <v>0.14285714285714285</v>
      </c>
      <c r="P79" s="21">
        <v>-0.5714285714285714</v>
      </c>
      <c r="Q79" s="21">
        <v>-0.5714285714285714</v>
      </c>
      <c r="R79" s="21">
        <v>0.16666666666666666</v>
      </c>
      <c r="S79" s="21">
        <v>-0.42857142857142855</v>
      </c>
      <c r="T79" s="21">
        <v>0</v>
      </c>
    </row>
    <row r="80" spans="7:20" x14ac:dyDescent="0.25">
      <c r="G80" s="7" t="s">
        <v>30</v>
      </c>
      <c r="H80" s="21">
        <v>-0.25</v>
      </c>
      <c r="I80" s="21">
        <v>-0.33333333333333331</v>
      </c>
      <c r="J80" s="21">
        <v>-0.2857142857142857</v>
      </c>
      <c r="K80" s="21">
        <v>-0.72727272727272729</v>
      </c>
      <c r="L80" s="21">
        <v>-0.7142857142857143</v>
      </c>
      <c r="M80" s="21">
        <v>-0.63636363636363635</v>
      </c>
      <c r="N80" s="21">
        <v>0.14285714285714285</v>
      </c>
      <c r="O80" s="21">
        <v>-0.33333333333333331</v>
      </c>
      <c r="P80" s="21">
        <v>-0.25</v>
      </c>
      <c r="Q80" s="21">
        <v>0</v>
      </c>
      <c r="R80" s="21">
        <v>-0.36363636363636365</v>
      </c>
      <c r="S80" s="21">
        <v>-0.6</v>
      </c>
      <c r="T80" s="21">
        <v>0</v>
      </c>
    </row>
    <row r="81" spans="7:20" x14ac:dyDescent="0.25"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</row>
    <row r="82" spans="7:20" x14ac:dyDescent="0.25">
      <c r="G82" t="s">
        <v>510</v>
      </c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</row>
    <row r="83" spans="7:20" x14ac:dyDescent="0.25">
      <c r="G83" s="17" t="s">
        <v>465</v>
      </c>
      <c r="H83" s="7" t="s">
        <v>495</v>
      </c>
      <c r="I83" s="7" t="s">
        <v>496</v>
      </c>
      <c r="J83" s="7" t="s">
        <v>497</v>
      </c>
      <c r="K83" s="7" t="s">
        <v>498</v>
      </c>
      <c r="L83" s="7" t="s">
        <v>499</v>
      </c>
      <c r="M83" s="7" t="s">
        <v>500</v>
      </c>
      <c r="N83" s="7" t="s">
        <v>501</v>
      </c>
      <c r="O83" s="7" t="s">
        <v>502</v>
      </c>
      <c r="P83" s="7" t="s">
        <v>503</v>
      </c>
      <c r="Q83" s="7" t="s">
        <v>504</v>
      </c>
      <c r="R83" s="7" t="s">
        <v>505</v>
      </c>
      <c r="S83" s="7" t="s">
        <v>506</v>
      </c>
      <c r="T83" s="7" t="s">
        <v>507</v>
      </c>
    </row>
    <row r="84" spans="7:20" x14ac:dyDescent="0.25">
      <c r="G84" s="7" t="s">
        <v>25</v>
      </c>
      <c r="H84" s="7">
        <v>64957</v>
      </c>
      <c r="I84" s="7">
        <v>55300.4</v>
      </c>
      <c r="J84" s="7">
        <v>50825.555555555555</v>
      </c>
      <c r="K84" s="7">
        <v>61031.199999999997</v>
      </c>
      <c r="L84" s="7">
        <v>35610.285714285717</v>
      </c>
      <c r="M84" s="7">
        <v>65262.75</v>
      </c>
      <c r="N84" s="7">
        <v>47870.142857142855</v>
      </c>
      <c r="O84" s="7">
        <v>75618.399999999994</v>
      </c>
      <c r="P84" s="7">
        <v>43780.333333333336</v>
      </c>
      <c r="Q84" s="7">
        <v>59877</v>
      </c>
      <c r="R84" s="7">
        <v>53199.75</v>
      </c>
      <c r="S84" s="7">
        <v>48174.428571428572</v>
      </c>
      <c r="T84" s="7"/>
    </row>
    <row r="85" spans="7:20" x14ac:dyDescent="0.25">
      <c r="G85" s="7" t="s">
        <v>5</v>
      </c>
      <c r="H85" s="7">
        <v>46620.222222222219</v>
      </c>
      <c r="I85" s="7">
        <v>55065.75</v>
      </c>
      <c r="J85" s="7">
        <v>29677.8</v>
      </c>
      <c r="K85" s="7">
        <v>52467.285714285717</v>
      </c>
      <c r="L85" s="7">
        <v>52943.8</v>
      </c>
      <c r="M85" s="7">
        <v>52374</v>
      </c>
      <c r="N85" s="7">
        <v>45640</v>
      </c>
      <c r="O85" s="7">
        <v>61717.8</v>
      </c>
      <c r="P85" s="7">
        <v>23297</v>
      </c>
      <c r="Q85" s="7">
        <v>39423.5</v>
      </c>
      <c r="R85" s="7">
        <v>61211</v>
      </c>
      <c r="S85" s="7">
        <v>59908.875</v>
      </c>
      <c r="T85" s="7"/>
    </row>
    <row r="86" spans="7:20" x14ac:dyDescent="0.25">
      <c r="G86" s="7" t="s">
        <v>13</v>
      </c>
      <c r="H86" s="7">
        <v>54481.416666666664</v>
      </c>
      <c r="I86" s="7">
        <v>55750.2</v>
      </c>
      <c r="J86" s="7">
        <v>49779.428571428572</v>
      </c>
      <c r="K86" s="7">
        <v>45991.833333333336</v>
      </c>
      <c r="L86" s="7">
        <v>44632.800000000003</v>
      </c>
      <c r="M86" s="7">
        <v>65371.75</v>
      </c>
      <c r="N86" s="7">
        <v>51274.666666666664</v>
      </c>
      <c r="O86" s="7">
        <v>55659</v>
      </c>
      <c r="P86" s="7">
        <v>47813.090909090912</v>
      </c>
      <c r="Q86" s="7">
        <v>59341.666666666664</v>
      </c>
      <c r="R86" s="7">
        <v>75794</v>
      </c>
      <c r="S86" s="7">
        <v>67692.666666666672</v>
      </c>
      <c r="T86" s="7"/>
    </row>
    <row r="87" spans="7:20" x14ac:dyDescent="0.25">
      <c r="G87" s="7" t="s">
        <v>38</v>
      </c>
      <c r="H87" s="7">
        <v>48890</v>
      </c>
      <c r="I87" s="7">
        <v>54317.666666666664</v>
      </c>
      <c r="J87" s="7">
        <v>46485.75</v>
      </c>
      <c r="K87" s="7">
        <v>39935.25</v>
      </c>
      <c r="L87" s="7">
        <v>42168.666666666664</v>
      </c>
      <c r="M87" s="7">
        <v>68911.399999999994</v>
      </c>
      <c r="N87" s="7">
        <v>57612</v>
      </c>
      <c r="O87" s="7">
        <v>59269.857142857145</v>
      </c>
      <c r="P87" s="7">
        <v>48982</v>
      </c>
      <c r="Q87" s="7">
        <v>61858.285714285717</v>
      </c>
      <c r="R87" s="7">
        <v>40234.5</v>
      </c>
      <c r="S87" s="7">
        <v>49309.833333333336</v>
      </c>
      <c r="T87" s="7"/>
    </row>
    <row r="88" spans="7:20" x14ac:dyDescent="0.25">
      <c r="G88" s="7" t="s">
        <v>45</v>
      </c>
      <c r="H88" s="7">
        <v>48487</v>
      </c>
      <c r="I88" s="7">
        <v>60030</v>
      </c>
      <c r="J88" s="7">
        <v>30726.666666666668</v>
      </c>
      <c r="K88" s="7">
        <v>53043.75</v>
      </c>
      <c r="L88" s="7">
        <v>50745.625</v>
      </c>
      <c r="M88" s="7">
        <v>50307.272727272728</v>
      </c>
      <c r="N88" s="7">
        <v>66817.166666666672</v>
      </c>
      <c r="O88" s="7">
        <v>57782.25</v>
      </c>
      <c r="P88" s="7">
        <v>38957.800000000003</v>
      </c>
      <c r="Q88" s="7">
        <v>49734</v>
      </c>
      <c r="R88" s="7">
        <v>70600.444444444438</v>
      </c>
      <c r="S88" s="7">
        <v>42686.111111111109</v>
      </c>
      <c r="T88" s="7">
        <v>16834</v>
      </c>
    </row>
    <row r="89" spans="7:20" x14ac:dyDescent="0.25">
      <c r="G89" s="7" t="s">
        <v>47</v>
      </c>
      <c r="H89" s="7">
        <v>46035</v>
      </c>
      <c r="I89" s="7">
        <v>65105.25</v>
      </c>
      <c r="J89" s="7">
        <v>45592.800000000003</v>
      </c>
      <c r="K89" s="7">
        <v>57913.25</v>
      </c>
      <c r="L89" s="7">
        <v>56942.111111111109</v>
      </c>
      <c r="M89" s="7">
        <v>55588.333333333336</v>
      </c>
      <c r="N89" s="7">
        <v>51914.166666666664</v>
      </c>
      <c r="O89" s="7">
        <v>47619.222222222219</v>
      </c>
      <c r="P89" s="7">
        <v>47259.8</v>
      </c>
      <c r="Q89" s="7">
        <v>67516.454545454544</v>
      </c>
      <c r="R89" s="7">
        <v>49713</v>
      </c>
      <c r="S89" s="7">
        <v>58965.875</v>
      </c>
      <c r="T89" s="7"/>
    </row>
    <row r="90" spans="7:20" x14ac:dyDescent="0.25">
      <c r="G90" s="7" t="s">
        <v>18</v>
      </c>
      <c r="H90" s="7">
        <v>56587</v>
      </c>
      <c r="I90" s="7">
        <v>55293</v>
      </c>
      <c r="J90" s="7">
        <v>44650.333333333336</v>
      </c>
      <c r="K90" s="7">
        <v>49117.125</v>
      </c>
      <c r="L90" s="7">
        <v>57522.833333333336</v>
      </c>
      <c r="M90" s="7">
        <v>43962.666666666664</v>
      </c>
      <c r="N90" s="7">
        <v>52815.333333333336</v>
      </c>
      <c r="O90" s="7">
        <v>41132</v>
      </c>
      <c r="P90" s="7">
        <v>50050</v>
      </c>
      <c r="Q90" s="7">
        <v>47559.25</v>
      </c>
      <c r="R90" s="7">
        <v>47364.444444444445</v>
      </c>
      <c r="S90" s="7">
        <v>41298.833333333336</v>
      </c>
      <c r="T90" s="7"/>
    </row>
    <row r="91" spans="7:20" x14ac:dyDescent="0.25">
      <c r="G91" s="7" t="s">
        <v>10</v>
      </c>
      <c r="H91" s="7">
        <v>63647.666666666664</v>
      </c>
      <c r="I91" s="7">
        <v>60336.5</v>
      </c>
      <c r="J91" s="7">
        <v>51160.25</v>
      </c>
      <c r="K91" s="7">
        <v>62551.7</v>
      </c>
      <c r="L91" s="7">
        <v>54114.142857142855</v>
      </c>
      <c r="M91" s="7">
        <v>62092.272727272728</v>
      </c>
      <c r="N91" s="7">
        <v>54578</v>
      </c>
      <c r="O91" s="7">
        <v>68357.571428571435</v>
      </c>
      <c r="P91" s="7">
        <v>54551.833333333336</v>
      </c>
      <c r="Q91" s="7">
        <v>37276.571428571428</v>
      </c>
      <c r="R91" s="7">
        <v>77231.199999999997</v>
      </c>
      <c r="S91" s="7">
        <v>70858.428571428565</v>
      </c>
      <c r="T91" s="7"/>
    </row>
    <row r="92" spans="7:20" x14ac:dyDescent="0.25">
      <c r="G92" s="7" t="s">
        <v>8</v>
      </c>
      <c r="H92" s="7">
        <v>66943.909090909088</v>
      </c>
      <c r="I92" s="7">
        <v>37837.857142857145</v>
      </c>
      <c r="J92" s="7">
        <v>53699.285714285717</v>
      </c>
      <c r="K92" s="7">
        <v>60084</v>
      </c>
      <c r="L92" s="7">
        <v>40561.833333333336</v>
      </c>
      <c r="M92" s="7">
        <v>52297.166666666664</v>
      </c>
      <c r="N92" s="7">
        <v>53734</v>
      </c>
      <c r="O92" s="7">
        <v>52740.142857142855</v>
      </c>
      <c r="P92" s="7">
        <v>65552.5</v>
      </c>
      <c r="Q92" s="7">
        <v>53851.1</v>
      </c>
      <c r="R92" s="7">
        <v>41050.5</v>
      </c>
      <c r="S92" s="7">
        <v>50938.833333333336</v>
      </c>
      <c r="T92" s="7"/>
    </row>
    <row r="93" spans="7:20" x14ac:dyDescent="0.25">
      <c r="G93" s="7" t="s">
        <v>27</v>
      </c>
      <c r="H93" s="7">
        <v>50030.875</v>
      </c>
      <c r="I93" s="7">
        <v>58773.857142857145</v>
      </c>
      <c r="J93" s="7">
        <v>54128.5</v>
      </c>
      <c r="K93" s="7">
        <v>62296.5</v>
      </c>
      <c r="L93" s="7">
        <v>61447.666666666664</v>
      </c>
      <c r="M93" s="7">
        <v>62343.333333333336</v>
      </c>
      <c r="N93" s="7">
        <v>57779</v>
      </c>
      <c r="O93" s="7">
        <v>40851.25</v>
      </c>
      <c r="P93" s="7">
        <v>39514</v>
      </c>
      <c r="Q93" s="7">
        <v>45907.666666666664</v>
      </c>
      <c r="R93" s="7">
        <v>53417</v>
      </c>
      <c r="S93" s="7">
        <v>60018.5</v>
      </c>
      <c r="T93" s="7">
        <v>80783</v>
      </c>
    </row>
    <row r="94" spans="7:20" x14ac:dyDescent="0.25">
      <c r="G94" s="7" t="s">
        <v>16</v>
      </c>
      <c r="H94" s="7">
        <v>59910.166666666664</v>
      </c>
      <c r="I94" s="7">
        <v>44597.428571428572</v>
      </c>
      <c r="J94" s="7">
        <v>71410.399999999994</v>
      </c>
      <c r="K94" s="7">
        <v>47256.444444444445</v>
      </c>
      <c r="L94" s="7">
        <v>50037.25</v>
      </c>
      <c r="M94" s="7">
        <v>64358.142857142855</v>
      </c>
      <c r="N94" s="7">
        <v>51330.333333333336</v>
      </c>
      <c r="O94" s="7">
        <v>59718.428571428572</v>
      </c>
      <c r="P94" s="7">
        <v>49238.142857142855</v>
      </c>
      <c r="Q94" s="7">
        <v>58726.428571428572</v>
      </c>
      <c r="R94" s="7">
        <v>51716</v>
      </c>
      <c r="S94" s="7">
        <v>48077.5</v>
      </c>
      <c r="T94" s="7"/>
    </row>
    <row r="95" spans="7:20" x14ac:dyDescent="0.25">
      <c r="G95" s="7" t="s">
        <v>30</v>
      </c>
      <c r="H95" s="7">
        <v>72990.444444444438</v>
      </c>
      <c r="I95" s="7">
        <v>45651.571428571428</v>
      </c>
      <c r="J95" s="7">
        <v>58169.833333333336</v>
      </c>
      <c r="K95" s="7">
        <v>49407.75</v>
      </c>
      <c r="L95" s="7">
        <v>46267.857142857145</v>
      </c>
      <c r="M95" s="7">
        <v>45829.63636363636</v>
      </c>
      <c r="N95" s="7">
        <v>67643.571428571435</v>
      </c>
      <c r="O95" s="7">
        <v>61719.555555555555</v>
      </c>
      <c r="P95" s="7">
        <v>52302.25</v>
      </c>
      <c r="Q95" s="7">
        <v>60118.142857142855</v>
      </c>
      <c r="R95" s="7">
        <v>60783</v>
      </c>
      <c r="S95" s="7">
        <v>36675.599999999999</v>
      </c>
      <c r="T95" s="7"/>
    </row>
  </sheetData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0BB669-698B-432D-904D-4E8D7B03E2F5}">
  <dimension ref="A1:X1001"/>
  <sheetViews>
    <sheetView workbookViewId="0">
      <selection activeCell="D1" sqref="D1:H1048576"/>
    </sheetView>
  </sheetViews>
  <sheetFormatPr defaultRowHeight="15" x14ac:dyDescent="0.25"/>
  <cols>
    <col min="1" max="1" width="31.140625" customWidth="1"/>
    <col min="4" max="5" width="33" customWidth="1"/>
    <col min="6" max="6" width="21.140625" style="26" customWidth="1"/>
    <col min="7" max="7" width="25" style="26" customWidth="1"/>
    <col min="12" max="13" width="33" customWidth="1"/>
    <col min="14" max="14" width="12" customWidth="1"/>
    <col min="18" max="18" width="7.42578125" customWidth="1"/>
    <col min="19" max="19" width="20.7109375" hidden="1" customWidth="1"/>
    <col min="20" max="21" width="36" hidden="1" customWidth="1"/>
    <col min="22" max="22" width="14.42578125" hidden="1" customWidth="1"/>
    <col min="23" max="23" width="15" customWidth="1"/>
    <col min="24" max="24" width="5" customWidth="1"/>
  </cols>
  <sheetData>
    <row r="1" spans="1:24" x14ac:dyDescent="0.25">
      <c r="B1" s="1"/>
      <c r="C1" s="1"/>
      <c r="D1" s="1" t="s">
        <v>0</v>
      </c>
      <c r="E1" s="1" t="s">
        <v>1</v>
      </c>
      <c r="F1" s="25" t="s">
        <v>517</v>
      </c>
      <c r="G1" s="25" t="s">
        <v>518</v>
      </c>
      <c r="H1" s="1"/>
      <c r="I1" s="1"/>
      <c r="J1" s="1"/>
      <c r="L1" s="1" t="s">
        <v>0</v>
      </c>
      <c r="M1" s="1" t="s">
        <v>1</v>
      </c>
      <c r="N1" s="1" t="s">
        <v>2</v>
      </c>
      <c r="S1" t="s">
        <v>516</v>
      </c>
      <c r="T1" s="1" t="s">
        <v>0</v>
      </c>
      <c r="U1" s="1" t="s">
        <v>1</v>
      </c>
      <c r="V1" s="1" t="s">
        <v>2</v>
      </c>
      <c r="W1" s="1"/>
      <c r="X1" s="1"/>
    </row>
    <row r="2" spans="1:24" x14ac:dyDescent="0.25">
      <c r="A2" s="7" t="s">
        <v>25</v>
      </c>
      <c r="D2" t="s">
        <v>5</v>
      </c>
      <c r="E2" t="s">
        <v>6</v>
      </c>
      <c r="F2" s="26" t="str">
        <f>VLOOKUP(D2&amp;E2,S:V,4,0)</f>
        <v>2023-09-01</v>
      </c>
      <c r="G2" s="26" t="str">
        <f>VLOOKUP(D2&amp;E2,K:N,4,0)</f>
        <v>2023-09-01</v>
      </c>
      <c r="H2">
        <f>G2-F2</f>
        <v>0</v>
      </c>
      <c r="K2" t="str">
        <f>L2&amp;M2</f>
        <v>Новикова Ольга ПетровнаНиколаева Наталья Геннадьевна</v>
      </c>
      <c r="L2" t="s">
        <v>45</v>
      </c>
      <c r="M2" t="s">
        <v>256</v>
      </c>
      <c r="N2" t="s">
        <v>461</v>
      </c>
      <c r="S2" t="str">
        <f>T2&amp;U2</f>
        <v>Громова Мария ИльиничнаВолкова Валерия Алексеевна</v>
      </c>
      <c r="T2" t="s">
        <v>5</v>
      </c>
      <c r="U2" t="s">
        <v>6</v>
      </c>
      <c r="V2" t="s">
        <v>7</v>
      </c>
    </row>
    <row r="3" spans="1:24" x14ac:dyDescent="0.25">
      <c r="A3" s="7" t="s">
        <v>5</v>
      </c>
      <c r="D3" t="s">
        <v>8</v>
      </c>
      <c r="E3" t="s">
        <v>9</v>
      </c>
      <c r="F3" s="26" t="str">
        <f t="shared" ref="F3:F66" si="0">VLOOKUP(D3&amp;E3,S:V,4,0)</f>
        <v>2023-09-01</v>
      </c>
      <c r="G3" s="26" t="str">
        <f t="shared" ref="G3:G66" si="1">VLOOKUP(D3&amp;E3,K:N,4,0)</f>
        <v>2024-06-20</v>
      </c>
      <c r="H3">
        <f t="shared" ref="H3:H66" si="2">G3-F3</f>
        <v>293</v>
      </c>
      <c r="K3" t="str">
        <f t="shared" ref="K3:K66" si="3">L3&amp;M3</f>
        <v>Ткаченко Андрей ОлеговичПопова Людмила Егоровна</v>
      </c>
      <c r="L3" t="s">
        <v>27</v>
      </c>
      <c r="M3" t="s">
        <v>217</v>
      </c>
      <c r="N3" t="s">
        <v>461</v>
      </c>
      <c r="S3" t="str">
        <f t="shared" ref="S3:S66" si="4">T3&amp;U3</f>
        <v>Сидорова Елена ВасильевнаМорозов Егор Андреевич</v>
      </c>
      <c r="T3" t="s">
        <v>8</v>
      </c>
      <c r="U3" t="s">
        <v>9</v>
      </c>
      <c r="V3" t="s">
        <v>7</v>
      </c>
    </row>
    <row r="4" spans="1:24" x14ac:dyDescent="0.25">
      <c r="A4" s="7" t="s">
        <v>13</v>
      </c>
      <c r="D4" t="s">
        <v>10</v>
      </c>
      <c r="E4" t="s">
        <v>11</v>
      </c>
      <c r="F4" s="26" t="str">
        <f t="shared" si="0"/>
        <v>2023-09-04</v>
      </c>
      <c r="G4" s="26" t="str">
        <f t="shared" si="1"/>
        <v>2024-08-29</v>
      </c>
      <c r="H4">
        <f t="shared" si="2"/>
        <v>360</v>
      </c>
      <c r="K4" t="str">
        <f t="shared" si="3"/>
        <v>Фролов Сергей ВикторовичСтепанов Дмитрий Иванович</v>
      </c>
      <c r="L4" t="s">
        <v>16</v>
      </c>
      <c r="M4" t="s">
        <v>69</v>
      </c>
      <c r="N4" t="s">
        <v>460</v>
      </c>
      <c r="S4" t="str">
        <f t="shared" si="4"/>
        <v>Семенова Ирина ВалерьевнаОрлов Константин Станиславович</v>
      </c>
      <c r="T4" t="s">
        <v>10</v>
      </c>
      <c r="U4" t="s">
        <v>11</v>
      </c>
      <c r="V4" t="s">
        <v>12</v>
      </c>
    </row>
    <row r="5" spans="1:24" x14ac:dyDescent="0.25">
      <c r="A5" s="7" t="s">
        <v>38</v>
      </c>
      <c r="D5" t="s">
        <v>13</v>
      </c>
      <c r="E5" t="s">
        <v>14</v>
      </c>
      <c r="F5" s="26" t="str">
        <f t="shared" si="0"/>
        <v>2023-09-04</v>
      </c>
      <c r="G5" s="26" t="str">
        <f t="shared" si="1"/>
        <v>2023-09-04</v>
      </c>
      <c r="H5">
        <f t="shared" si="2"/>
        <v>0</v>
      </c>
      <c r="K5" t="str">
        <f t="shared" si="3"/>
        <v>Кузнецов Дмитрий ЛьвовичПетрова Александра Олеговна</v>
      </c>
      <c r="L5" t="s">
        <v>38</v>
      </c>
      <c r="M5" t="s">
        <v>139</v>
      </c>
      <c r="N5" t="s">
        <v>460</v>
      </c>
      <c r="S5" t="str">
        <f t="shared" si="4"/>
        <v>Иванова Анна СергеевнаИванова Наталья Дмитриевна</v>
      </c>
      <c r="T5" t="s">
        <v>13</v>
      </c>
      <c r="U5" t="s">
        <v>14</v>
      </c>
      <c r="V5" t="s">
        <v>12</v>
      </c>
    </row>
    <row r="6" spans="1:24" x14ac:dyDescent="0.25">
      <c r="A6" s="7" t="s">
        <v>45</v>
      </c>
      <c r="D6" t="s">
        <v>5</v>
      </c>
      <c r="E6" t="s">
        <v>15</v>
      </c>
      <c r="F6" s="26" t="str">
        <f t="shared" si="0"/>
        <v>2023-09-04</v>
      </c>
      <c r="G6" s="26" t="str">
        <f t="shared" si="1"/>
        <v>2024-08-14</v>
      </c>
      <c r="H6">
        <f t="shared" si="2"/>
        <v>345</v>
      </c>
      <c r="K6" t="str">
        <f t="shared" si="3"/>
        <v>Семенова Ирина ВалерьевнаОрлов Константин Станиславович</v>
      </c>
      <c r="L6" t="s">
        <v>10</v>
      </c>
      <c r="M6" t="s">
        <v>11</v>
      </c>
      <c r="N6" t="s">
        <v>459</v>
      </c>
      <c r="S6" t="str">
        <f t="shared" si="4"/>
        <v>Громова Мария ИльиничнаНиколаев Матвей Викторович</v>
      </c>
      <c r="T6" t="s">
        <v>5</v>
      </c>
      <c r="U6" t="s">
        <v>15</v>
      </c>
      <c r="V6" t="s">
        <v>12</v>
      </c>
    </row>
    <row r="7" spans="1:24" x14ac:dyDescent="0.25">
      <c r="A7" s="7" t="s">
        <v>47</v>
      </c>
      <c r="D7" t="s">
        <v>16</v>
      </c>
      <c r="E7" t="s">
        <v>17</v>
      </c>
      <c r="F7" s="26" t="str">
        <f t="shared" si="0"/>
        <v>2023-09-04</v>
      </c>
      <c r="G7" s="26" t="str">
        <f t="shared" si="1"/>
        <v>2023-11-15</v>
      </c>
      <c r="H7">
        <f t="shared" si="2"/>
        <v>72</v>
      </c>
      <c r="K7" t="str">
        <f t="shared" si="3"/>
        <v>Ткаченко Андрей ОлеговичПетрова Александра Ильинична</v>
      </c>
      <c r="L7" t="s">
        <v>27</v>
      </c>
      <c r="M7" t="s">
        <v>344</v>
      </c>
      <c r="N7" t="s">
        <v>459</v>
      </c>
      <c r="S7" t="str">
        <f t="shared" si="4"/>
        <v>Фролов Сергей ВикторовичКозлова Полина Артемовна</v>
      </c>
      <c r="T7" t="s">
        <v>16</v>
      </c>
      <c r="U7" t="s">
        <v>17</v>
      </c>
      <c r="V7" t="s">
        <v>12</v>
      </c>
    </row>
    <row r="8" spans="1:24" x14ac:dyDescent="0.25">
      <c r="A8" s="7" t="s">
        <v>18</v>
      </c>
      <c r="D8" t="s">
        <v>18</v>
      </c>
      <c r="E8" t="s">
        <v>19</v>
      </c>
      <c r="F8" s="26" t="str">
        <f t="shared" si="0"/>
        <v>2023-09-04</v>
      </c>
      <c r="G8" s="26" t="str">
        <f t="shared" si="1"/>
        <v>2024-05-02</v>
      </c>
      <c r="H8">
        <f t="shared" si="2"/>
        <v>241</v>
      </c>
      <c r="K8" t="str">
        <f t="shared" si="3"/>
        <v>Ткаченко Андрей ОлеговичЛебедева Ольга Романовна</v>
      </c>
      <c r="L8" t="s">
        <v>27</v>
      </c>
      <c r="M8" t="s">
        <v>186</v>
      </c>
      <c r="N8" t="s">
        <v>459</v>
      </c>
      <c r="S8" t="str">
        <f t="shared" si="4"/>
        <v>Петров Владимир КирилловичОрлова Анна Романовна</v>
      </c>
      <c r="T8" t="s">
        <v>18</v>
      </c>
      <c r="U8" t="s">
        <v>19</v>
      </c>
      <c r="V8" t="s">
        <v>12</v>
      </c>
    </row>
    <row r="9" spans="1:24" x14ac:dyDescent="0.25">
      <c r="A9" s="7" t="s">
        <v>10</v>
      </c>
      <c r="D9" t="s">
        <v>18</v>
      </c>
      <c r="E9" t="s">
        <v>20</v>
      </c>
      <c r="F9" s="26" t="str">
        <f t="shared" si="0"/>
        <v>2023-09-04</v>
      </c>
      <c r="G9" s="26" t="str">
        <f t="shared" si="1"/>
        <v>2023-09-04</v>
      </c>
      <c r="H9">
        <f t="shared" si="2"/>
        <v>0</v>
      </c>
      <c r="K9" t="str">
        <f t="shared" si="3"/>
        <v>Фролов Сергей ВикторовичСтепанов Дмитрий Иванович</v>
      </c>
      <c r="L9" t="s">
        <v>16</v>
      </c>
      <c r="M9" t="s">
        <v>69</v>
      </c>
      <c r="N9" t="s">
        <v>459</v>
      </c>
      <c r="S9" t="str">
        <f t="shared" si="4"/>
        <v>Петров Владимир КирилловичЛебедева Александра Дмитриевна</v>
      </c>
      <c r="T9" t="s">
        <v>18</v>
      </c>
      <c r="U9" t="s">
        <v>20</v>
      </c>
      <c r="V9" t="s">
        <v>12</v>
      </c>
    </row>
    <row r="10" spans="1:24" x14ac:dyDescent="0.25">
      <c r="A10" s="7" t="s">
        <v>8</v>
      </c>
      <c r="D10" t="s">
        <v>13</v>
      </c>
      <c r="E10" t="s">
        <v>21</v>
      </c>
      <c r="F10" s="26" t="str">
        <f t="shared" si="0"/>
        <v>2023-09-04</v>
      </c>
      <c r="G10" s="26" t="str">
        <f t="shared" si="1"/>
        <v>2023-09-04</v>
      </c>
      <c r="H10">
        <f t="shared" si="2"/>
        <v>0</v>
      </c>
      <c r="K10" t="str">
        <f t="shared" si="3"/>
        <v>Фролов Сергей ВикторовичКузнецова Валерия Дмитриевна</v>
      </c>
      <c r="L10" t="s">
        <v>16</v>
      </c>
      <c r="M10" t="s">
        <v>223</v>
      </c>
      <c r="N10" t="s">
        <v>458</v>
      </c>
      <c r="S10" t="str">
        <f t="shared" si="4"/>
        <v>Иванова Анна СергеевнаВолкова Ольга Андреевна</v>
      </c>
      <c r="T10" t="s">
        <v>13</v>
      </c>
      <c r="U10" t="s">
        <v>21</v>
      </c>
      <c r="V10" t="s">
        <v>12</v>
      </c>
    </row>
    <row r="11" spans="1:24" x14ac:dyDescent="0.25">
      <c r="A11" s="7" t="s">
        <v>27</v>
      </c>
      <c r="D11" t="s">
        <v>10</v>
      </c>
      <c r="E11" t="s">
        <v>22</v>
      </c>
      <c r="F11" s="26" t="str">
        <f t="shared" si="0"/>
        <v>2023-09-05</v>
      </c>
      <c r="G11" s="26" t="str">
        <f t="shared" si="1"/>
        <v>2024-05-31</v>
      </c>
      <c r="H11">
        <f t="shared" si="2"/>
        <v>269</v>
      </c>
      <c r="K11" t="str">
        <f t="shared" si="3"/>
        <v>Новикова Ольга ПетровнаНиколаева Наталья Геннадьевна</v>
      </c>
      <c r="L11" t="s">
        <v>45</v>
      </c>
      <c r="M11" t="s">
        <v>256</v>
      </c>
      <c r="N11" t="s">
        <v>458</v>
      </c>
      <c r="S11" t="str">
        <f t="shared" si="4"/>
        <v>Семенова Ирина ВалерьевнаПетров Алексей Юрьевич</v>
      </c>
      <c r="T11" t="s">
        <v>10</v>
      </c>
      <c r="U11" t="s">
        <v>22</v>
      </c>
      <c r="V11" t="s">
        <v>23</v>
      </c>
    </row>
    <row r="12" spans="1:24" x14ac:dyDescent="0.25">
      <c r="A12" s="7" t="s">
        <v>16</v>
      </c>
      <c r="D12" t="s">
        <v>18</v>
      </c>
      <c r="E12" t="s">
        <v>24</v>
      </c>
      <c r="F12" s="26" t="str">
        <f t="shared" si="0"/>
        <v>2023-09-05</v>
      </c>
      <c r="G12" s="26" t="str">
        <f t="shared" si="1"/>
        <v>2023-09-05</v>
      </c>
      <c r="H12">
        <f t="shared" si="2"/>
        <v>0</v>
      </c>
      <c r="K12" t="str">
        <f t="shared" si="3"/>
        <v>Сидорова Елена ВасильевнаФедорова Ксения Павловна</v>
      </c>
      <c r="L12" t="s">
        <v>8</v>
      </c>
      <c r="M12" t="s">
        <v>195</v>
      </c>
      <c r="N12" t="s">
        <v>457</v>
      </c>
      <c r="S12" t="str">
        <f t="shared" si="4"/>
        <v>Петров Владимир КирилловичВолкова Наталья Андреевна</v>
      </c>
      <c r="T12" t="s">
        <v>18</v>
      </c>
      <c r="U12" t="s">
        <v>24</v>
      </c>
      <c r="V12" t="s">
        <v>23</v>
      </c>
    </row>
    <row r="13" spans="1:24" x14ac:dyDescent="0.25">
      <c r="A13" s="7" t="s">
        <v>30</v>
      </c>
      <c r="D13" t="s">
        <v>25</v>
      </c>
      <c r="E13" t="s">
        <v>26</v>
      </c>
      <c r="F13" s="26" t="str">
        <f t="shared" si="0"/>
        <v>2023-09-05</v>
      </c>
      <c r="G13" s="26" t="str">
        <f t="shared" si="1"/>
        <v>2023-09-05</v>
      </c>
      <c r="H13">
        <f t="shared" si="2"/>
        <v>0</v>
      </c>
      <c r="K13" t="str">
        <f t="shared" si="3"/>
        <v>Иванова Анна СергеевнаОрлова Анна Артемовна</v>
      </c>
      <c r="L13" t="s">
        <v>13</v>
      </c>
      <c r="M13" t="s">
        <v>141</v>
      </c>
      <c r="N13" t="s">
        <v>457</v>
      </c>
      <c r="S13" t="str">
        <f t="shared" si="4"/>
        <v>Белов Алексей КонстантиновичСмирнов Илья Олегович</v>
      </c>
      <c r="T13" t="s">
        <v>25</v>
      </c>
      <c r="U13" t="s">
        <v>26</v>
      </c>
      <c r="V13" t="s">
        <v>23</v>
      </c>
    </row>
    <row r="14" spans="1:24" x14ac:dyDescent="0.25">
      <c r="D14" t="s">
        <v>27</v>
      </c>
      <c r="E14" t="s">
        <v>28</v>
      </c>
      <c r="F14" s="26" t="str">
        <f t="shared" si="0"/>
        <v>2023-09-06</v>
      </c>
      <c r="G14" s="26" t="str">
        <f t="shared" si="1"/>
        <v>2023-11-23</v>
      </c>
      <c r="H14">
        <f t="shared" si="2"/>
        <v>78</v>
      </c>
      <c r="K14" t="str">
        <f t="shared" si="3"/>
        <v>Новикова Ольга ПетровнаНиколаева София Никитична</v>
      </c>
      <c r="L14" t="s">
        <v>45</v>
      </c>
      <c r="M14" t="s">
        <v>176</v>
      </c>
      <c r="N14" t="s">
        <v>457</v>
      </c>
      <c r="S14" t="str">
        <f t="shared" si="4"/>
        <v>Ткаченко Андрей ОлеговичКозлова Татьяна Сергеевна</v>
      </c>
      <c r="T14" t="s">
        <v>27</v>
      </c>
      <c r="U14" t="s">
        <v>28</v>
      </c>
      <c r="V14" t="s">
        <v>29</v>
      </c>
    </row>
    <row r="15" spans="1:24" x14ac:dyDescent="0.25">
      <c r="D15" t="s">
        <v>30</v>
      </c>
      <c r="E15" t="s">
        <v>31</v>
      </c>
      <c r="F15" s="26" t="str">
        <f t="shared" si="0"/>
        <v>2023-09-06</v>
      </c>
      <c r="G15" s="26" t="str">
        <f t="shared" si="1"/>
        <v>2023-12-08</v>
      </c>
      <c r="H15">
        <f t="shared" si="2"/>
        <v>93</v>
      </c>
      <c r="K15" t="str">
        <f t="shared" si="3"/>
        <v>Орлов Павел ДенисовичПетрова Александра Ильинична</v>
      </c>
      <c r="L15" t="s">
        <v>47</v>
      </c>
      <c r="M15" t="s">
        <v>344</v>
      </c>
      <c r="N15" t="s">
        <v>456</v>
      </c>
      <c r="S15" t="str">
        <f t="shared" si="4"/>
        <v>Яковлев Артем ИгоревичВасильев Артур Артемович</v>
      </c>
      <c r="T15" t="s">
        <v>30</v>
      </c>
      <c r="U15" t="s">
        <v>31</v>
      </c>
      <c r="V15" t="s">
        <v>29</v>
      </c>
    </row>
    <row r="16" spans="1:24" x14ac:dyDescent="0.25">
      <c r="D16" t="s">
        <v>13</v>
      </c>
      <c r="E16" t="s">
        <v>32</v>
      </c>
      <c r="F16" s="26" t="str">
        <f t="shared" si="0"/>
        <v>2023-09-06</v>
      </c>
      <c r="G16" s="26" t="str">
        <f t="shared" si="1"/>
        <v>2023-09-06</v>
      </c>
      <c r="H16">
        <f t="shared" si="2"/>
        <v>0</v>
      </c>
      <c r="K16" t="str">
        <f t="shared" si="3"/>
        <v>Белов Алексей КонстантиновичВолков Алексей Егорович</v>
      </c>
      <c r="L16" t="s">
        <v>25</v>
      </c>
      <c r="M16" t="s">
        <v>98</v>
      </c>
      <c r="N16" t="s">
        <v>456</v>
      </c>
      <c r="S16" t="str">
        <f t="shared" si="4"/>
        <v>Иванова Анна СергеевнаСидоров Владимир Артемович</v>
      </c>
      <c r="T16" t="s">
        <v>13</v>
      </c>
      <c r="U16" t="s">
        <v>32</v>
      </c>
      <c r="V16" t="s">
        <v>29</v>
      </c>
    </row>
    <row r="17" spans="4:22" x14ac:dyDescent="0.25">
      <c r="D17" t="s">
        <v>25</v>
      </c>
      <c r="E17" t="s">
        <v>33</v>
      </c>
      <c r="F17" s="26" t="str">
        <f t="shared" si="0"/>
        <v>2023-09-07</v>
      </c>
      <c r="G17" s="26" t="str">
        <f t="shared" si="1"/>
        <v>2023-09-07</v>
      </c>
      <c r="H17">
        <f t="shared" si="2"/>
        <v>0</v>
      </c>
      <c r="K17" t="str">
        <f t="shared" si="3"/>
        <v>Фролов Сергей ВикторовичНовиков Матвей Егорович</v>
      </c>
      <c r="L17" t="s">
        <v>16</v>
      </c>
      <c r="M17" t="s">
        <v>33</v>
      </c>
      <c r="N17" t="s">
        <v>456</v>
      </c>
      <c r="S17" t="str">
        <f t="shared" si="4"/>
        <v>Белов Алексей КонстантиновичНовиков Матвей Егорович</v>
      </c>
      <c r="T17" t="s">
        <v>25</v>
      </c>
      <c r="U17" t="s">
        <v>33</v>
      </c>
      <c r="V17" t="s">
        <v>34</v>
      </c>
    </row>
    <row r="18" spans="4:22" x14ac:dyDescent="0.25">
      <c r="D18" t="s">
        <v>16</v>
      </c>
      <c r="E18" t="s">
        <v>20</v>
      </c>
      <c r="F18" s="26" t="str">
        <f t="shared" si="0"/>
        <v>2023-09-07</v>
      </c>
      <c r="G18" s="26" t="str">
        <f t="shared" si="1"/>
        <v>2023-09-07</v>
      </c>
      <c r="H18">
        <f t="shared" si="2"/>
        <v>0</v>
      </c>
      <c r="K18" t="str">
        <f t="shared" si="3"/>
        <v>Яковлев Артем ИгоревичСеменов Роман Павлович</v>
      </c>
      <c r="L18" t="s">
        <v>30</v>
      </c>
      <c r="M18" t="s">
        <v>196</v>
      </c>
      <c r="N18" t="s">
        <v>456</v>
      </c>
      <c r="S18" t="str">
        <f t="shared" si="4"/>
        <v>Фролов Сергей ВикторовичЛебедева Александра Дмитриевна</v>
      </c>
      <c r="T18" t="s">
        <v>16</v>
      </c>
      <c r="U18" t="s">
        <v>20</v>
      </c>
      <c r="V18" t="s">
        <v>34</v>
      </c>
    </row>
    <row r="19" spans="4:22" x14ac:dyDescent="0.25">
      <c r="D19" t="s">
        <v>16</v>
      </c>
      <c r="E19" t="s">
        <v>35</v>
      </c>
      <c r="F19" s="26" t="str">
        <f t="shared" si="0"/>
        <v>2023-09-07</v>
      </c>
      <c r="G19" s="26" t="str">
        <f t="shared" si="1"/>
        <v>2023-09-07</v>
      </c>
      <c r="H19">
        <f t="shared" si="2"/>
        <v>0</v>
      </c>
      <c r="K19" t="str">
        <f t="shared" si="3"/>
        <v>Фролов Сергей ВикторовичПопов Михаил Павлович</v>
      </c>
      <c r="L19" t="s">
        <v>16</v>
      </c>
      <c r="M19" t="s">
        <v>146</v>
      </c>
      <c r="N19" t="s">
        <v>456</v>
      </c>
      <c r="S19" t="str">
        <f t="shared" si="4"/>
        <v>Фролов Сергей ВикторовичСеменов Алексей Владимирович</v>
      </c>
      <c r="T19" t="s">
        <v>16</v>
      </c>
      <c r="U19" t="s">
        <v>35</v>
      </c>
      <c r="V19" t="s">
        <v>34</v>
      </c>
    </row>
    <row r="20" spans="4:22" x14ac:dyDescent="0.25">
      <c r="D20" t="s">
        <v>8</v>
      </c>
      <c r="E20" t="s">
        <v>36</v>
      </c>
      <c r="F20" s="26" t="str">
        <f t="shared" si="0"/>
        <v>2023-09-07</v>
      </c>
      <c r="G20" s="26" t="str">
        <f t="shared" si="1"/>
        <v>2023-09-07</v>
      </c>
      <c r="H20">
        <f t="shared" si="2"/>
        <v>0</v>
      </c>
      <c r="K20" t="str">
        <f t="shared" si="3"/>
        <v>Белов Алексей КонстантиновичФедоров Владимир Павлович</v>
      </c>
      <c r="L20" t="s">
        <v>25</v>
      </c>
      <c r="M20" t="s">
        <v>63</v>
      </c>
      <c r="N20" t="s">
        <v>456</v>
      </c>
      <c r="S20" t="str">
        <f t="shared" si="4"/>
        <v>Сидорова Елена ВасильевнаПавлов Никита Иванович</v>
      </c>
      <c r="T20" t="s">
        <v>8</v>
      </c>
      <c r="U20" t="s">
        <v>36</v>
      </c>
      <c r="V20" t="s">
        <v>34</v>
      </c>
    </row>
    <row r="21" spans="4:22" x14ac:dyDescent="0.25">
      <c r="D21" t="s">
        <v>8</v>
      </c>
      <c r="E21" t="s">
        <v>37</v>
      </c>
      <c r="F21" s="26" t="str">
        <f t="shared" si="0"/>
        <v>2023-09-07</v>
      </c>
      <c r="G21" s="26" t="str">
        <f t="shared" si="1"/>
        <v>2023-09-07</v>
      </c>
      <c r="H21">
        <f t="shared" si="2"/>
        <v>0</v>
      </c>
      <c r="K21" t="str">
        <f t="shared" si="3"/>
        <v>Сидорова Елена ВасильевнаНовиков Матвей Егорович</v>
      </c>
      <c r="L21" t="s">
        <v>8</v>
      </c>
      <c r="M21" t="s">
        <v>33</v>
      </c>
      <c r="N21" t="s">
        <v>456</v>
      </c>
      <c r="S21" t="str">
        <f t="shared" si="4"/>
        <v>Сидорова Елена ВасильевнаСмирнов Константин Кириллович</v>
      </c>
      <c r="T21" t="s">
        <v>8</v>
      </c>
      <c r="U21" t="s">
        <v>37</v>
      </c>
      <c r="V21" t="s">
        <v>34</v>
      </c>
    </row>
    <row r="22" spans="4:22" x14ac:dyDescent="0.25">
      <c r="D22" t="s">
        <v>38</v>
      </c>
      <c r="E22" t="s">
        <v>39</v>
      </c>
      <c r="F22" s="26" t="str">
        <f t="shared" si="0"/>
        <v>2023-09-08</v>
      </c>
      <c r="G22" s="26" t="str">
        <f t="shared" si="1"/>
        <v>2023-09-08</v>
      </c>
      <c r="H22">
        <f t="shared" si="2"/>
        <v>0</v>
      </c>
      <c r="K22" t="str">
        <f t="shared" si="3"/>
        <v>Белов Алексей КонстантиновичОрлов Константин Станиславович</v>
      </c>
      <c r="L22" t="s">
        <v>25</v>
      </c>
      <c r="M22" t="s">
        <v>11</v>
      </c>
      <c r="N22" t="s">
        <v>456</v>
      </c>
      <c r="S22" t="str">
        <f t="shared" si="4"/>
        <v>Кузнецов Дмитрий ЛьвовичСмирнова Татьяна Александровна</v>
      </c>
      <c r="T22" t="s">
        <v>38</v>
      </c>
      <c r="U22" t="s">
        <v>39</v>
      </c>
      <c r="V22" t="s">
        <v>40</v>
      </c>
    </row>
    <row r="23" spans="4:22" x14ac:dyDescent="0.25">
      <c r="D23" t="s">
        <v>16</v>
      </c>
      <c r="E23" t="s">
        <v>41</v>
      </c>
      <c r="F23" s="26" t="str">
        <f t="shared" si="0"/>
        <v>2023-09-08</v>
      </c>
      <c r="G23" s="26" t="str">
        <f t="shared" si="1"/>
        <v>2024-08-16</v>
      </c>
      <c r="H23">
        <f t="shared" si="2"/>
        <v>343</v>
      </c>
      <c r="K23" t="str">
        <f t="shared" si="3"/>
        <v>Новикова Ольга ПетровнаСмирнов Александр Иванович</v>
      </c>
      <c r="L23" t="s">
        <v>45</v>
      </c>
      <c r="M23" t="s">
        <v>295</v>
      </c>
      <c r="N23" t="s">
        <v>456</v>
      </c>
      <c r="S23" t="str">
        <f t="shared" si="4"/>
        <v>Фролов Сергей ВикторовичСеменова Светлана Дмитриевна</v>
      </c>
      <c r="T23" t="s">
        <v>16</v>
      </c>
      <c r="U23" t="s">
        <v>41</v>
      </c>
      <c r="V23" t="s">
        <v>40</v>
      </c>
    </row>
    <row r="24" spans="4:22" x14ac:dyDescent="0.25">
      <c r="D24" t="s">
        <v>18</v>
      </c>
      <c r="E24" t="s">
        <v>42</v>
      </c>
      <c r="F24" s="26" t="str">
        <f t="shared" si="0"/>
        <v>2023-09-08</v>
      </c>
      <c r="G24" s="26" t="str">
        <f t="shared" si="1"/>
        <v>2023-09-08</v>
      </c>
      <c r="H24">
        <f t="shared" si="2"/>
        <v>0</v>
      </c>
      <c r="K24" t="str">
        <f t="shared" si="3"/>
        <v>Ткаченко Андрей ОлеговичПопов Михаил Павлович</v>
      </c>
      <c r="L24" t="s">
        <v>27</v>
      </c>
      <c r="M24" t="s">
        <v>146</v>
      </c>
      <c r="N24" t="s">
        <v>456</v>
      </c>
      <c r="S24" t="str">
        <f t="shared" si="4"/>
        <v>Петров Владимир КирилловичКузнецова Мария Дмитриевна</v>
      </c>
      <c r="T24" t="s">
        <v>18</v>
      </c>
      <c r="U24" t="s">
        <v>42</v>
      </c>
      <c r="V24" t="s">
        <v>40</v>
      </c>
    </row>
    <row r="25" spans="4:22" x14ac:dyDescent="0.25">
      <c r="D25" t="s">
        <v>18</v>
      </c>
      <c r="E25" t="s">
        <v>43</v>
      </c>
      <c r="F25" s="26" t="str">
        <f t="shared" si="0"/>
        <v>2023-09-11</v>
      </c>
      <c r="G25" s="26" t="str">
        <f t="shared" si="1"/>
        <v>2023-09-11</v>
      </c>
      <c r="H25">
        <f t="shared" si="2"/>
        <v>0</v>
      </c>
      <c r="K25" t="str">
        <f t="shared" si="3"/>
        <v>Петров Владимир КирилловичМорозов Егор Андреевич</v>
      </c>
      <c r="L25" t="s">
        <v>18</v>
      </c>
      <c r="M25" t="s">
        <v>9</v>
      </c>
      <c r="N25" t="s">
        <v>455</v>
      </c>
      <c r="S25" t="str">
        <f t="shared" si="4"/>
        <v>Петров Владимир КирилловичФедорова Наталья Геннадьевна</v>
      </c>
      <c r="T25" t="s">
        <v>18</v>
      </c>
      <c r="U25" t="s">
        <v>43</v>
      </c>
      <c r="V25" t="s">
        <v>44</v>
      </c>
    </row>
    <row r="26" spans="4:22" x14ac:dyDescent="0.25">
      <c r="D26" t="s">
        <v>45</v>
      </c>
      <c r="E26" t="s">
        <v>46</v>
      </c>
      <c r="F26" s="26" t="str">
        <f t="shared" si="0"/>
        <v>2023-09-11</v>
      </c>
      <c r="G26" s="26" t="str">
        <f t="shared" si="1"/>
        <v>2024-06-17</v>
      </c>
      <c r="H26">
        <f t="shared" si="2"/>
        <v>280</v>
      </c>
      <c r="K26" t="str">
        <f t="shared" si="3"/>
        <v>Петров Владимир КирилловичСмирнов Иван Ильич</v>
      </c>
      <c r="L26" t="s">
        <v>18</v>
      </c>
      <c r="M26" t="s">
        <v>114</v>
      </c>
      <c r="N26" t="s">
        <v>455</v>
      </c>
      <c r="S26" t="str">
        <f t="shared" si="4"/>
        <v>Новикова Ольга ПетровнаКузнецова Алиса Владимировна</v>
      </c>
      <c r="T26" t="s">
        <v>45</v>
      </c>
      <c r="U26" t="s">
        <v>46</v>
      </c>
      <c r="V26" t="s">
        <v>44</v>
      </c>
    </row>
    <row r="27" spans="4:22" x14ac:dyDescent="0.25">
      <c r="D27" t="s">
        <v>47</v>
      </c>
      <c r="E27" t="s">
        <v>48</v>
      </c>
      <c r="F27" s="26" t="str">
        <f t="shared" si="0"/>
        <v>2023-09-11</v>
      </c>
      <c r="G27" s="26" t="str">
        <f t="shared" si="1"/>
        <v>2023-09-11</v>
      </c>
      <c r="H27">
        <f t="shared" si="2"/>
        <v>0</v>
      </c>
      <c r="K27" t="str">
        <f t="shared" si="3"/>
        <v>Яковлев Артем ИгоревичПавлов Никита Андреевич</v>
      </c>
      <c r="L27" t="s">
        <v>30</v>
      </c>
      <c r="M27" t="s">
        <v>130</v>
      </c>
      <c r="N27" t="s">
        <v>455</v>
      </c>
      <c r="S27" t="str">
        <f t="shared" si="4"/>
        <v>Орлов Павел ДенисовичПетрова Татьяна Павловна</v>
      </c>
      <c r="T27" t="s">
        <v>47</v>
      </c>
      <c r="U27" t="s">
        <v>48</v>
      </c>
      <c r="V27" t="s">
        <v>44</v>
      </c>
    </row>
    <row r="28" spans="4:22" x14ac:dyDescent="0.25">
      <c r="D28" t="s">
        <v>38</v>
      </c>
      <c r="E28" t="s">
        <v>19</v>
      </c>
      <c r="F28" s="26" t="str">
        <f t="shared" si="0"/>
        <v>2023-09-11</v>
      </c>
      <c r="G28" s="26" t="str">
        <f t="shared" si="1"/>
        <v>2024-07-10</v>
      </c>
      <c r="H28">
        <f t="shared" si="2"/>
        <v>303</v>
      </c>
      <c r="K28" t="str">
        <f t="shared" si="3"/>
        <v>Новикова Ольга ПетровнаСтепанов Дмитрий Иванович</v>
      </c>
      <c r="L28" t="s">
        <v>45</v>
      </c>
      <c r="M28" t="s">
        <v>69</v>
      </c>
      <c r="N28" t="s">
        <v>455</v>
      </c>
      <c r="S28" t="str">
        <f t="shared" si="4"/>
        <v>Кузнецов Дмитрий ЛьвовичОрлова Анна Романовна</v>
      </c>
      <c r="T28" t="s">
        <v>38</v>
      </c>
      <c r="U28" t="s">
        <v>19</v>
      </c>
      <c r="V28" t="s">
        <v>44</v>
      </c>
    </row>
    <row r="29" spans="4:22" x14ac:dyDescent="0.25">
      <c r="D29" t="s">
        <v>30</v>
      </c>
      <c r="E29" t="s">
        <v>49</v>
      </c>
      <c r="F29" s="26" t="str">
        <f t="shared" si="0"/>
        <v>2023-09-11</v>
      </c>
      <c r="G29" s="26" t="str">
        <f t="shared" si="1"/>
        <v>2023-09-11</v>
      </c>
      <c r="H29">
        <f t="shared" si="2"/>
        <v>0</v>
      </c>
      <c r="K29" t="str">
        <f t="shared" si="3"/>
        <v>Орлов Павел ДенисовичФедорова Алиса Юрьевна</v>
      </c>
      <c r="L29" t="s">
        <v>47</v>
      </c>
      <c r="M29" t="s">
        <v>231</v>
      </c>
      <c r="N29" t="s">
        <v>454</v>
      </c>
      <c r="S29" t="str">
        <f t="shared" si="4"/>
        <v>Яковлев Артем ИгоревичСмирнов Максим Сергеевич</v>
      </c>
      <c r="T29" t="s">
        <v>30</v>
      </c>
      <c r="U29" t="s">
        <v>49</v>
      </c>
      <c r="V29" t="s">
        <v>44</v>
      </c>
    </row>
    <row r="30" spans="4:22" x14ac:dyDescent="0.25">
      <c r="D30" t="s">
        <v>38</v>
      </c>
      <c r="E30" t="s">
        <v>17</v>
      </c>
      <c r="F30" s="26" t="str">
        <f t="shared" si="0"/>
        <v>2023-09-11</v>
      </c>
      <c r="G30" s="26" t="str">
        <f t="shared" si="1"/>
        <v>2023-09-11</v>
      </c>
      <c r="H30">
        <f t="shared" si="2"/>
        <v>0</v>
      </c>
      <c r="K30" t="str">
        <f t="shared" si="3"/>
        <v>Фролов Сергей ВикторовичСмирнов Иван Ильич</v>
      </c>
      <c r="L30" t="s">
        <v>16</v>
      </c>
      <c r="M30" t="s">
        <v>114</v>
      </c>
      <c r="N30" t="s">
        <v>454</v>
      </c>
      <c r="S30" t="str">
        <f t="shared" si="4"/>
        <v>Кузнецов Дмитрий ЛьвовичКозлова Полина Артемовна</v>
      </c>
      <c r="T30" t="s">
        <v>38</v>
      </c>
      <c r="U30" t="s">
        <v>17</v>
      </c>
      <c r="V30" t="s">
        <v>44</v>
      </c>
    </row>
    <row r="31" spans="4:22" x14ac:dyDescent="0.25">
      <c r="D31" t="s">
        <v>27</v>
      </c>
      <c r="E31" t="s">
        <v>31</v>
      </c>
      <c r="F31" s="26" t="str">
        <f t="shared" si="0"/>
        <v>2023-09-11</v>
      </c>
      <c r="G31" s="26" t="str">
        <f t="shared" si="1"/>
        <v>2023-09-11</v>
      </c>
      <c r="H31">
        <f t="shared" si="2"/>
        <v>0</v>
      </c>
      <c r="K31" t="str">
        <f t="shared" si="3"/>
        <v>Ткаченко Андрей ОлеговичИванова Наталья Дмитриевна</v>
      </c>
      <c r="L31" t="s">
        <v>27</v>
      </c>
      <c r="M31" t="s">
        <v>14</v>
      </c>
      <c r="N31" t="s">
        <v>454</v>
      </c>
      <c r="S31" t="str">
        <f t="shared" si="4"/>
        <v>Ткаченко Андрей ОлеговичВасильев Артур Артемович</v>
      </c>
      <c r="T31" t="s">
        <v>27</v>
      </c>
      <c r="U31" t="s">
        <v>31</v>
      </c>
      <c r="V31" t="s">
        <v>44</v>
      </c>
    </row>
    <row r="32" spans="4:22" x14ac:dyDescent="0.25">
      <c r="D32" t="s">
        <v>27</v>
      </c>
      <c r="E32" t="s">
        <v>50</v>
      </c>
      <c r="F32" s="26" t="str">
        <f t="shared" si="0"/>
        <v>2023-09-11</v>
      </c>
      <c r="G32" s="26" t="str">
        <f t="shared" si="1"/>
        <v>2023-09-11</v>
      </c>
      <c r="H32">
        <f t="shared" si="2"/>
        <v>0</v>
      </c>
      <c r="K32" t="str">
        <f t="shared" si="3"/>
        <v>Яковлев Артем ИгоревичСеменов Илья Андреевич</v>
      </c>
      <c r="L32" t="s">
        <v>30</v>
      </c>
      <c r="M32" t="s">
        <v>84</v>
      </c>
      <c r="N32" t="s">
        <v>454</v>
      </c>
      <c r="S32" t="str">
        <f t="shared" si="4"/>
        <v>Ткаченко Андрей ОлеговичСтепанова Полина Михайловна</v>
      </c>
      <c r="T32" t="s">
        <v>27</v>
      </c>
      <c r="U32" t="s">
        <v>50</v>
      </c>
      <c r="V32" t="s">
        <v>44</v>
      </c>
    </row>
    <row r="33" spans="4:22" x14ac:dyDescent="0.25">
      <c r="D33" t="s">
        <v>30</v>
      </c>
      <c r="E33" t="s">
        <v>51</v>
      </c>
      <c r="F33" s="26" t="str">
        <f t="shared" si="0"/>
        <v>2023-09-11</v>
      </c>
      <c r="G33" s="26" t="str">
        <f t="shared" si="1"/>
        <v>2023-09-11</v>
      </c>
      <c r="H33">
        <f t="shared" si="2"/>
        <v>0</v>
      </c>
      <c r="K33" t="str">
        <f t="shared" si="3"/>
        <v>Белов Алексей КонстантиновичЛебедев Егор Никитич</v>
      </c>
      <c r="L33" t="s">
        <v>25</v>
      </c>
      <c r="M33" t="s">
        <v>136</v>
      </c>
      <c r="N33" t="s">
        <v>454</v>
      </c>
      <c r="S33" t="str">
        <f t="shared" si="4"/>
        <v>Яковлев Артем ИгоревичПетров Алексей Артемович</v>
      </c>
      <c r="T33" t="s">
        <v>30</v>
      </c>
      <c r="U33" t="s">
        <v>51</v>
      </c>
      <c r="V33" t="s">
        <v>44</v>
      </c>
    </row>
    <row r="34" spans="4:22" x14ac:dyDescent="0.25">
      <c r="D34" t="s">
        <v>27</v>
      </c>
      <c r="E34" t="s">
        <v>52</v>
      </c>
      <c r="F34" s="26" t="str">
        <f t="shared" si="0"/>
        <v>2023-09-11</v>
      </c>
      <c r="G34" s="26" t="str">
        <f t="shared" si="1"/>
        <v>2023-09-11</v>
      </c>
      <c r="H34">
        <f t="shared" si="2"/>
        <v>0</v>
      </c>
      <c r="K34" t="str">
        <f t="shared" si="3"/>
        <v>Орлов Павел ДенисовичСтепанова Ольга Андреевна</v>
      </c>
      <c r="L34" t="s">
        <v>47</v>
      </c>
      <c r="M34" t="s">
        <v>307</v>
      </c>
      <c r="N34" t="s">
        <v>454</v>
      </c>
      <c r="S34" t="str">
        <f t="shared" si="4"/>
        <v>Ткаченко Андрей ОлеговичСидорова Ольга Андреевна</v>
      </c>
      <c r="T34" t="s">
        <v>27</v>
      </c>
      <c r="U34" t="s">
        <v>52</v>
      </c>
      <c r="V34" t="s">
        <v>44</v>
      </c>
    </row>
    <row r="35" spans="4:22" x14ac:dyDescent="0.25">
      <c r="D35" t="s">
        <v>13</v>
      </c>
      <c r="E35" t="s">
        <v>53</v>
      </c>
      <c r="F35" s="26" t="str">
        <f t="shared" si="0"/>
        <v>2023-09-13</v>
      </c>
      <c r="G35" s="26" t="str">
        <f t="shared" si="1"/>
        <v>2023-09-13</v>
      </c>
      <c r="H35">
        <f t="shared" si="2"/>
        <v>0</v>
      </c>
      <c r="K35" t="str">
        <f t="shared" si="3"/>
        <v>Громова Мария ИльиничнаОрлов Андрей Никитич</v>
      </c>
      <c r="L35" t="s">
        <v>5</v>
      </c>
      <c r="M35" t="s">
        <v>142</v>
      </c>
      <c r="N35" t="s">
        <v>454</v>
      </c>
      <c r="S35" t="str">
        <f t="shared" si="4"/>
        <v>Иванова Анна СергеевнаКузнецов Максим Алексеевич</v>
      </c>
      <c r="T35" t="s">
        <v>13</v>
      </c>
      <c r="U35" t="s">
        <v>53</v>
      </c>
      <c r="V35" t="s">
        <v>54</v>
      </c>
    </row>
    <row r="36" spans="4:22" x14ac:dyDescent="0.25">
      <c r="D36" t="s">
        <v>30</v>
      </c>
      <c r="E36" t="s">
        <v>55</v>
      </c>
      <c r="F36" s="26" t="str">
        <f t="shared" si="0"/>
        <v>2023-09-14</v>
      </c>
      <c r="G36" s="26" t="str">
        <f t="shared" si="1"/>
        <v>2024-03-01</v>
      </c>
      <c r="H36">
        <f t="shared" si="2"/>
        <v>169</v>
      </c>
      <c r="K36" t="str">
        <f t="shared" si="3"/>
        <v>Яковлев Артем ИгоревичСмирнова Татьяна Александровна</v>
      </c>
      <c r="L36" t="s">
        <v>30</v>
      </c>
      <c r="M36" t="s">
        <v>39</v>
      </c>
      <c r="N36" t="s">
        <v>453</v>
      </c>
      <c r="S36" t="str">
        <f t="shared" si="4"/>
        <v>Фролов Сергей ВикторовичСеменова Светлана Дмитриевна</v>
      </c>
      <c r="T36" t="s">
        <v>16</v>
      </c>
      <c r="U36" t="s">
        <v>41</v>
      </c>
      <c r="V36" t="s">
        <v>54</v>
      </c>
    </row>
    <row r="37" spans="4:22" x14ac:dyDescent="0.25">
      <c r="D37" t="s">
        <v>25</v>
      </c>
      <c r="E37" t="s">
        <v>57</v>
      </c>
      <c r="F37" s="26" t="str">
        <f t="shared" si="0"/>
        <v>2023-09-14</v>
      </c>
      <c r="G37" s="26" t="str">
        <f t="shared" si="1"/>
        <v>2023-09-14</v>
      </c>
      <c r="H37">
        <f t="shared" si="2"/>
        <v>0</v>
      </c>
      <c r="K37" t="str">
        <f t="shared" si="3"/>
        <v>Громова Мария ИльиничнаОрлова Ольга Алексеевна</v>
      </c>
      <c r="L37" t="s">
        <v>5</v>
      </c>
      <c r="M37" t="s">
        <v>82</v>
      </c>
      <c r="N37" t="s">
        <v>453</v>
      </c>
      <c r="S37" t="str">
        <f t="shared" si="4"/>
        <v>Яковлев Артем ИгоревичМорозова Александра Станиславовна</v>
      </c>
      <c r="T37" t="s">
        <v>30</v>
      </c>
      <c r="U37" t="s">
        <v>55</v>
      </c>
      <c r="V37" t="s">
        <v>56</v>
      </c>
    </row>
    <row r="38" spans="4:22" x14ac:dyDescent="0.25">
      <c r="D38" t="s">
        <v>8</v>
      </c>
      <c r="E38" t="s">
        <v>32</v>
      </c>
      <c r="F38" s="26" t="str">
        <f t="shared" si="0"/>
        <v>2023-09-14</v>
      </c>
      <c r="G38" s="26" t="str">
        <f t="shared" si="1"/>
        <v>2024-03-18</v>
      </c>
      <c r="H38">
        <f t="shared" si="2"/>
        <v>186</v>
      </c>
      <c r="K38" t="str">
        <f t="shared" si="3"/>
        <v>Громова Мария ИльиничнаФедорова Ксения Павловна</v>
      </c>
      <c r="L38" t="s">
        <v>5</v>
      </c>
      <c r="M38" t="s">
        <v>195</v>
      </c>
      <c r="N38" t="s">
        <v>452</v>
      </c>
      <c r="S38" t="str">
        <f t="shared" si="4"/>
        <v>Белов Алексей КонстантиновичВасильева Ксения Михайловна</v>
      </c>
      <c r="T38" t="s">
        <v>25</v>
      </c>
      <c r="U38" t="s">
        <v>57</v>
      </c>
      <c r="V38" t="s">
        <v>56</v>
      </c>
    </row>
    <row r="39" spans="4:22" x14ac:dyDescent="0.25">
      <c r="D39" t="s">
        <v>5</v>
      </c>
      <c r="E39" t="s">
        <v>58</v>
      </c>
      <c r="F39" s="26" t="str">
        <f t="shared" si="0"/>
        <v>2023-09-14</v>
      </c>
      <c r="G39" s="26" t="str">
        <f t="shared" si="1"/>
        <v>2023-09-14</v>
      </c>
      <c r="H39">
        <f t="shared" si="2"/>
        <v>0</v>
      </c>
      <c r="K39" t="str">
        <f t="shared" si="3"/>
        <v>Фролов Сергей ВикторовичПетров Роман Алексеевич</v>
      </c>
      <c r="L39" t="s">
        <v>16</v>
      </c>
      <c r="M39" t="s">
        <v>75</v>
      </c>
      <c r="N39" t="s">
        <v>452</v>
      </c>
      <c r="S39" t="str">
        <f t="shared" si="4"/>
        <v>Сидорова Елена ВасильевнаСидоров Владимир Артемович</v>
      </c>
      <c r="T39" t="s">
        <v>8</v>
      </c>
      <c r="U39" t="s">
        <v>32</v>
      </c>
      <c r="V39" t="s">
        <v>56</v>
      </c>
    </row>
    <row r="40" spans="4:22" x14ac:dyDescent="0.25">
      <c r="D40" t="s">
        <v>5</v>
      </c>
      <c r="E40" t="s">
        <v>59</v>
      </c>
      <c r="F40" s="26" t="str">
        <f t="shared" si="0"/>
        <v>2023-09-15</v>
      </c>
      <c r="G40" s="26" t="str">
        <f t="shared" si="1"/>
        <v>2024-08-16</v>
      </c>
      <c r="H40">
        <f t="shared" si="2"/>
        <v>336</v>
      </c>
      <c r="K40" t="str">
        <f t="shared" si="3"/>
        <v>Петров Владимир КирилловичФедорова Ксения Павловна</v>
      </c>
      <c r="L40" t="s">
        <v>18</v>
      </c>
      <c r="M40" t="s">
        <v>195</v>
      </c>
      <c r="N40" t="s">
        <v>452</v>
      </c>
      <c r="S40" t="str">
        <f t="shared" si="4"/>
        <v>Громова Мария ИльиничнаКозлов Илья Сергеевич</v>
      </c>
      <c r="T40" t="s">
        <v>5</v>
      </c>
      <c r="U40" t="s">
        <v>58</v>
      </c>
      <c r="V40" t="s">
        <v>56</v>
      </c>
    </row>
    <row r="41" spans="4:22" x14ac:dyDescent="0.25">
      <c r="D41" t="s">
        <v>5</v>
      </c>
      <c r="E41" t="s">
        <v>61</v>
      </c>
      <c r="F41" s="26" t="str">
        <f t="shared" si="0"/>
        <v>2023-09-18</v>
      </c>
      <c r="G41" s="26" t="str">
        <f t="shared" si="1"/>
        <v>2023-09-18</v>
      </c>
      <c r="H41">
        <f t="shared" si="2"/>
        <v>0</v>
      </c>
      <c r="K41" t="str">
        <f t="shared" si="3"/>
        <v>Орлов Павел ДенисовичСеменов Егор Никитич</v>
      </c>
      <c r="L41" t="s">
        <v>47</v>
      </c>
      <c r="M41" t="s">
        <v>215</v>
      </c>
      <c r="N41" t="s">
        <v>452</v>
      </c>
      <c r="S41" t="str">
        <f t="shared" si="4"/>
        <v>Громова Мария ИльиничнаЛебедев Сергей Станиславович</v>
      </c>
      <c r="T41" t="s">
        <v>5</v>
      </c>
      <c r="U41" t="s">
        <v>59</v>
      </c>
      <c r="V41" t="s">
        <v>60</v>
      </c>
    </row>
    <row r="42" spans="4:22" x14ac:dyDescent="0.25">
      <c r="D42" t="s">
        <v>30</v>
      </c>
      <c r="E42" t="s">
        <v>63</v>
      </c>
      <c r="F42" s="26" t="str">
        <f t="shared" si="0"/>
        <v>2023-09-18</v>
      </c>
      <c r="G42" s="26" t="str">
        <f t="shared" si="1"/>
        <v>2023-09-18</v>
      </c>
      <c r="H42">
        <f t="shared" si="2"/>
        <v>0</v>
      </c>
      <c r="K42" t="str">
        <f t="shared" si="3"/>
        <v>Иванова Анна СергеевнаОрлов Константин Станиславович</v>
      </c>
      <c r="L42" t="s">
        <v>13</v>
      </c>
      <c r="M42" t="s">
        <v>11</v>
      </c>
      <c r="N42" t="s">
        <v>451</v>
      </c>
      <c r="S42" t="str">
        <f t="shared" si="4"/>
        <v>Громова Мария ИльиничнаОрлова Анна Юрьевна</v>
      </c>
      <c r="T42" t="s">
        <v>5</v>
      </c>
      <c r="U42" t="s">
        <v>61</v>
      </c>
      <c r="V42" t="s">
        <v>62</v>
      </c>
    </row>
    <row r="43" spans="4:22" x14ac:dyDescent="0.25">
      <c r="D43" t="s">
        <v>30</v>
      </c>
      <c r="E43" t="s">
        <v>64</v>
      </c>
      <c r="F43" s="26" t="str">
        <f t="shared" si="0"/>
        <v>2023-09-18</v>
      </c>
      <c r="G43" s="26" t="str">
        <f t="shared" si="1"/>
        <v>2023-09-18</v>
      </c>
      <c r="H43">
        <f t="shared" si="2"/>
        <v>0</v>
      </c>
      <c r="K43" t="str">
        <f t="shared" si="3"/>
        <v>Петров Владимир КирилловичНиколаева София Никитична</v>
      </c>
      <c r="L43" t="s">
        <v>18</v>
      </c>
      <c r="M43" t="s">
        <v>176</v>
      </c>
      <c r="N43" t="s">
        <v>451</v>
      </c>
      <c r="S43" t="str">
        <f t="shared" si="4"/>
        <v>Яковлев Артем ИгоревичФедоров Владимир Павлович</v>
      </c>
      <c r="T43" t="s">
        <v>30</v>
      </c>
      <c r="U43" t="s">
        <v>63</v>
      </c>
      <c r="V43" t="s">
        <v>62</v>
      </c>
    </row>
    <row r="44" spans="4:22" x14ac:dyDescent="0.25">
      <c r="D44" t="s">
        <v>10</v>
      </c>
      <c r="E44" t="s">
        <v>65</v>
      </c>
      <c r="F44" s="26" t="str">
        <f t="shared" si="0"/>
        <v>2023-09-18</v>
      </c>
      <c r="G44" s="26" t="str">
        <f t="shared" si="1"/>
        <v>2023-09-18</v>
      </c>
      <c r="H44">
        <f t="shared" si="2"/>
        <v>0</v>
      </c>
      <c r="K44" t="str">
        <f t="shared" si="3"/>
        <v>Сидорова Елена ВасильевнаНовикова Анна Викторовна</v>
      </c>
      <c r="L44" t="s">
        <v>8</v>
      </c>
      <c r="M44" t="s">
        <v>211</v>
      </c>
      <c r="N44" t="s">
        <v>451</v>
      </c>
      <c r="S44" t="str">
        <f t="shared" si="4"/>
        <v>Яковлев Артем ИгоревичФедоров Артур Олегович</v>
      </c>
      <c r="T44" t="s">
        <v>30</v>
      </c>
      <c r="U44" t="s">
        <v>64</v>
      </c>
      <c r="V44" t="s">
        <v>62</v>
      </c>
    </row>
    <row r="45" spans="4:22" x14ac:dyDescent="0.25">
      <c r="D45" t="s">
        <v>45</v>
      </c>
      <c r="E45" t="s">
        <v>66</v>
      </c>
      <c r="F45" s="26" t="str">
        <f t="shared" si="0"/>
        <v>2023-09-18</v>
      </c>
      <c r="G45" s="26" t="str">
        <f t="shared" si="1"/>
        <v>2023-09-18</v>
      </c>
      <c r="H45">
        <f t="shared" si="2"/>
        <v>0</v>
      </c>
      <c r="K45" t="str">
        <f t="shared" si="3"/>
        <v>Орлов Павел ДенисовичФедорова София Егоровна</v>
      </c>
      <c r="L45" t="s">
        <v>47</v>
      </c>
      <c r="M45" t="s">
        <v>182</v>
      </c>
      <c r="N45" t="s">
        <v>451</v>
      </c>
      <c r="S45" t="str">
        <f t="shared" si="4"/>
        <v>Семенова Ирина ВалерьевнаПетрова Алиса Станиславовна</v>
      </c>
      <c r="T45" t="s">
        <v>10</v>
      </c>
      <c r="U45" t="s">
        <v>65</v>
      </c>
      <c r="V45" t="s">
        <v>62</v>
      </c>
    </row>
    <row r="46" spans="4:22" x14ac:dyDescent="0.25">
      <c r="D46" t="s">
        <v>27</v>
      </c>
      <c r="E46" t="s">
        <v>37</v>
      </c>
      <c r="F46" s="26" t="str">
        <f t="shared" si="0"/>
        <v>2023-09-18</v>
      </c>
      <c r="G46" s="26" t="str">
        <f t="shared" si="1"/>
        <v>2023-09-18</v>
      </c>
      <c r="H46">
        <f t="shared" si="2"/>
        <v>0</v>
      </c>
      <c r="K46" t="str">
        <f t="shared" si="3"/>
        <v>Белов Алексей КонстантиновичЕгоров Никита Кириллович</v>
      </c>
      <c r="L46" t="s">
        <v>25</v>
      </c>
      <c r="M46" t="s">
        <v>385</v>
      </c>
      <c r="N46" t="s">
        <v>451</v>
      </c>
      <c r="S46" t="str">
        <f t="shared" si="4"/>
        <v>Новикова Ольга ПетровнаСмирнова Елена Викторовна</v>
      </c>
      <c r="T46" t="s">
        <v>45</v>
      </c>
      <c r="U46" t="s">
        <v>66</v>
      </c>
      <c r="V46" t="s">
        <v>62</v>
      </c>
    </row>
    <row r="47" spans="4:22" x14ac:dyDescent="0.25">
      <c r="D47" t="s">
        <v>38</v>
      </c>
      <c r="E47" t="s">
        <v>67</v>
      </c>
      <c r="F47" s="26" t="str">
        <f t="shared" si="0"/>
        <v>2023-09-18</v>
      </c>
      <c r="G47" s="26" t="str">
        <f t="shared" si="1"/>
        <v>2023-09-18</v>
      </c>
      <c r="H47">
        <f t="shared" si="2"/>
        <v>0</v>
      </c>
      <c r="K47" t="str">
        <f t="shared" si="3"/>
        <v>Семенова Ирина ВалерьевнаСеменов Алексей Владимирович</v>
      </c>
      <c r="L47" t="s">
        <v>10</v>
      </c>
      <c r="M47" t="s">
        <v>35</v>
      </c>
      <c r="N47" t="s">
        <v>451</v>
      </c>
      <c r="S47" t="str">
        <f t="shared" si="4"/>
        <v>Ткаченко Андрей ОлеговичСмирнов Константин Кириллович</v>
      </c>
      <c r="T47" t="s">
        <v>27</v>
      </c>
      <c r="U47" t="s">
        <v>37</v>
      </c>
      <c r="V47" t="s">
        <v>62</v>
      </c>
    </row>
    <row r="48" spans="4:22" x14ac:dyDescent="0.25">
      <c r="D48" t="s">
        <v>27</v>
      </c>
      <c r="E48" t="s">
        <v>68</v>
      </c>
      <c r="F48" s="26" t="str">
        <f t="shared" si="0"/>
        <v>2023-09-18</v>
      </c>
      <c r="G48" s="26" t="str">
        <f t="shared" si="1"/>
        <v>2023-09-18</v>
      </c>
      <c r="H48">
        <f t="shared" si="2"/>
        <v>0</v>
      </c>
      <c r="K48" t="str">
        <f t="shared" si="3"/>
        <v>Фролов Сергей ВикторовичСмирнов Илья Олегович</v>
      </c>
      <c r="L48" t="s">
        <v>16</v>
      </c>
      <c r="M48" t="s">
        <v>26</v>
      </c>
      <c r="N48" t="s">
        <v>450</v>
      </c>
      <c r="S48" t="str">
        <f t="shared" si="4"/>
        <v>Кузнецов Дмитрий ЛьвовичМорозов Илья Геннадьевич</v>
      </c>
      <c r="T48" t="s">
        <v>38</v>
      </c>
      <c r="U48" t="s">
        <v>67</v>
      </c>
      <c r="V48" t="s">
        <v>62</v>
      </c>
    </row>
    <row r="49" spans="4:22" x14ac:dyDescent="0.25">
      <c r="D49" t="s">
        <v>16</v>
      </c>
      <c r="E49" t="s">
        <v>69</v>
      </c>
      <c r="F49" s="26" t="str">
        <f t="shared" si="0"/>
        <v>2023-09-18</v>
      </c>
      <c r="G49" s="26" t="str">
        <f t="shared" si="1"/>
        <v>2024-08-30</v>
      </c>
      <c r="H49">
        <f t="shared" si="2"/>
        <v>347</v>
      </c>
      <c r="K49" t="str">
        <f t="shared" si="3"/>
        <v>Фролов Сергей ВикторовичСеменова Светлана Дмитриевна</v>
      </c>
      <c r="L49" t="s">
        <v>16</v>
      </c>
      <c r="M49" t="s">
        <v>41</v>
      </c>
      <c r="N49" t="s">
        <v>450</v>
      </c>
      <c r="S49" t="str">
        <f t="shared" si="4"/>
        <v>Ткаченко Андрей ОлеговичПопов Никита Геннадьевич</v>
      </c>
      <c r="T49" t="s">
        <v>27</v>
      </c>
      <c r="U49" t="s">
        <v>68</v>
      </c>
      <c r="V49" t="s">
        <v>62</v>
      </c>
    </row>
    <row r="50" spans="4:22" x14ac:dyDescent="0.25">
      <c r="D50" t="s">
        <v>16</v>
      </c>
      <c r="E50" t="s">
        <v>70</v>
      </c>
      <c r="F50" s="26" t="str">
        <f t="shared" si="0"/>
        <v>2023-09-18</v>
      </c>
      <c r="G50" s="26" t="str">
        <f t="shared" si="1"/>
        <v>2024-01-09</v>
      </c>
      <c r="H50">
        <f t="shared" si="2"/>
        <v>113</v>
      </c>
      <c r="K50" t="str">
        <f t="shared" si="3"/>
        <v>Иванова Анна СергеевнаМорозов Максим Сергеевич</v>
      </c>
      <c r="L50" t="s">
        <v>13</v>
      </c>
      <c r="M50" t="s">
        <v>239</v>
      </c>
      <c r="N50" t="s">
        <v>450</v>
      </c>
      <c r="S50" t="str">
        <f t="shared" si="4"/>
        <v>Фролов Сергей ВикторовичСтепанов Дмитрий Иванович</v>
      </c>
      <c r="T50" t="s">
        <v>16</v>
      </c>
      <c r="U50" t="s">
        <v>69</v>
      </c>
      <c r="V50" t="s">
        <v>62</v>
      </c>
    </row>
    <row r="51" spans="4:22" x14ac:dyDescent="0.25">
      <c r="D51" t="s">
        <v>47</v>
      </c>
      <c r="E51" t="s">
        <v>69</v>
      </c>
      <c r="F51" s="26" t="str">
        <f t="shared" si="0"/>
        <v>2023-09-18</v>
      </c>
      <c r="G51" s="26" t="str">
        <f t="shared" si="1"/>
        <v>2023-09-18</v>
      </c>
      <c r="H51">
        <f t="shared" si="2"/>
        <v>0</v>
      </c>
      <c r="K51" t="str">
        <f t="shared" si="3"/>
        <v>Громова Мария ИльиничнаЛебедев Сергей Станиславович</v>
      </c>
      <c r="L51" t="s">
        <v>5</v>
      </c>
      <c r="M51" t="s">
        <v>59</v>
      </c>
      <c r="N51" t="s">
        <v>450</v>
      </c>
      <c r="S51" t="str">
        <f t="shared" si="4"/>
        <v>Фролов Сергей ВикторовичВолкова Ирина Геннадьевна</v>
      </c>
      <c r="T51" t="s">
        <v>16</v>
      </c>
      <c r="U51" t="s">
        <v>70</v>
      </c>
      <c r="V51" t="s">
        <v>62</v>
      </c>
    </row>
    <row r="52" spans="4:22" x14ac:dyDescent="0.25">
      <c r="D52" t="s">
        <v>13</v>
      </c>
      <c r="E52" t="s">
        <v>36</v>
      </c>
      <c r="F52" s="26" t="str">
        <f t="shared" si="0"/>
        <v>2023-09-19</v>
      </c>
      <c r="G52" s="26" t="str">
        <f t="shared" si="1"/>
        <v>2023-09-19</v>
      </c>
      <c r="H52">
        <f t="shared" si="2"/>
        <v>0</v>
      </c>
      <c r="K52" t="str">
        <f t="shared" si="3"/>
        <v>Фролов Сергей ВикторовичНовикова Виктория Александровна</v>
      </c>
      <c r="L52" t="s">
        <v>16</v>
      </c>
      <c r="M52" t="s">
        <v>101</v>
      </c>
      <c r="N52" t="s">
        <v>450</v>
      </c>
      <c r="S52" t="str">
        <f t="shared" si="4"/>
        <v>Орлов Павел ДенисовичСтепанов Дмитрий Иванович</v>
      </c>
      <c r="T52" t="s">
        <v>47</v>
      </c>
      <c r="U52" t="s">
        <v>69</v>
      </c>
      <c r="V52" t="s">
        <v>62</v>
      </c>
    </row>
    <row r="53" spans="4:22" x14ac:dyDescent="0.25">
      <c r="D53" t="s">
        <v>47</v>
      </c>
      <c r="E53" t="s">
        <v>72</v>
      </c>
      <c r="F53" s="26" t="str">
        <f t="shared" si="0"/>
        <v>2023-09-19</v>
      </c>
      <c r="G53" s="26" t="str">
        <f t="shared" si="1"/>
        <v>2023-09-19</v>
      </c>
      <c r="H53">
        <f t="shared" si="2"/>
        <v>0</v>
      </c>
      <c r="K53" t="str">
        <f t="shared" si="3"/>
        <v>Семенова Ирина ВалерьевнаСтепанов Дмитрий Иванович</v>
      </c>
      <c r="L53" t="s">
        <v>10</v>
      </c>
      <c r="M53" t="s">
        <v>69</v>
      </c>
      <c r="N53" t="s">
        <v>449</v>
      </c>
      <c r="S53" t="str">
        <f t="shared" si="4"/>
        <v>Иванова Анна СергеевнаПавлов Никита Иванович</v>
      </c>
      <c r="T53" t="s">
        <v>13</v>
      </c>
      <c r="U53" t="s">
        <v>36</v>
      </c>
      <c r="V53" t="s">
        <v>71</v>
      </c>
    </row>
    <row r="54" spans="4:22" x14ac:dyDescent="0.25">
      <c r="D54" t="s">
        <v>45</v>
      </c>
      <c r="E54" t="s">
        <v>22</v>
      </c>
      <c r="F54" s="26" t="str">
        <f t="shared" si="0"/>
        <v>2023-09-19</v>
      </c>
      <c r="G54" s="26" t="str">
        <f t="shared" si="1"/>
        <v>2024-02-22</v>
      </c>
      <c r="H54">
        <f t="shared" si="2"/>
        <v>156</v>
      </c>
      <c r="K54" t="str">
        <f t="shared" si="3"/>
        <v>Ткаченко Андрей ОлеговичВолков Максим Дмитриевич</v>
      </c>
      <c r="L54" t="s">
        <v>27</v>
      </c>
      <c r="M54" t="s">
        <v>81</v>
      </c>
      <c r="N54" t="s">
        <v>449</v>
      </c>
      <c r="S54" t="str">
        <f t="shared" si="4"/>
        <v>Орлов Павел ДенисовичОрлов Роман Ильич</v>
      </c>
      <c r="T54" t="s">
        <v>47</v>
      </c>
      <c r="U54" t="s">
        <v>72</v>
      </c>
      <c r="V54" t="s">
        <v>71</v>
      </c>
    </row>
    <row r="55" spans="4:22" x14ac:dyDescent="0.25">
      <c r="D55" t="s">
        <v>5</v>
      </c>
      <c r="E55" t="s">
        <v>73</v>
      </c>
      <c r="F55" s="26" t="str">
        <f t="shared" si="0"/>
        <v>2023-09-19</v>
      </c>
      <c r="G55" s="26" t="str">
        <f t="shared" si="1"/>
        <v>2024-03-06</v>
      </c>
      <c r="H55">
        <f t="shared" si="2"/>
        <v>169</v>
      </c>
      <c r="K55" t="str">
        <f t="shared" si="3"/>
        <v>Новикова Ольга ПетровнаЕгорова Вероника Егоровна</v>
      </c>
      <c r="L55" t="s">
        <v>45</v>
      </c>
      <c r="M55" t="s">
        <v>300</v>
      </c>
      <c r="N55" t="s">
        <v>449</v>
      </c>
      <c r="S55" t="str">
        <f t="shared" si="4"/>
        <v>Новикова Ольга ПетровнаПетров Алексей Юрьевич</v>
      </c>
      <c r="T55" t="s">
        <v>45</v>
      </c>
      <c r="U55" t="s">
        <v>22</v>
      </c>
      <c r="V55" t="s">
        <v>71</v>
      </c>
    </row>
    <row r="56" spans="4:22" x14ac:dyDescent="0.25">
      <c r="D56" t="s">
        <v>16</v>
      </c>
      <c r="E56" t="s">
        <v>74</v>
      </c>
      <c r="F56" s="26" t="str">
        <f t="shared" si="0"/>
        <v>2023-09-19</v>
      </c>
      <c r="G56" s="26" t="str">
        <f t="shared" si="1"/>
        <v>2023-09-19</v>
      </c>
      <c r="H56">
        <f t="shared" si="2"/>
        <v>0</v>
      </c>
      <c r="K56" t="str">
        <f t="shared" si="3"/>
        <v>Кузнецов Дмитрий ЛьвовичНиколаев Иван Михайлович</v>
      </c>
      <c r="L56" t="s">
        <v>38</v>
      </c>
      <c r="M56" t="s">
        <v>94</v>
      </c>
      <c r="N56" t="s">
        <v>449</v>
      </c>
      <c r="S56" t="str">
        <f t="shared" si="4"/>
        <v>Громова Мария ИльиничнаЛебедева Ирина Кирилловна</v>
      </c>
      <c r="T56" t="s">
        <v>5</v>
      </c>
      <c r="U56" t="s">
        <v>73</v>
      </c>
      <c r="V56" t="s">
        <v>71</v>
      </c>
    </row>
    <row r="57" spans="4:22" x14ac:dyDescent="0.25">
      <c r="D57" t="s">
        <v>30</v>
      </c>
      <c r="E57" t="s">
        <v>75</v>
      </c>
      <c r="F57" s="26" t="str">
        <f t="shared" si="0"/>
        <v>2023-09-20</v>
      </c>
      <c r="G57" s="26" t="str">
        <f t="shared" si="1"/>
        <v>2023-09-20</v>
      </c>
      <c r="H57">
        <f t="shared" si="2"/>
        <v>0</v>
      </c>
      <c r="K57" t="str">
        <f t="shared" si="3"/>
        <v>Кузнецов Дмитрий ЛьвовичФедоров Егор Михайлович</v>
      </c>
      <c r="L57" t="s">
        <v>38</v>
      </c>
      <c r="M57" t="s">
        <v>296</v>
      </c>
      <c r="N57" t="s">
        <v>448</v>
      </c>
      <c r="S57" t="str">
        <f t="shared" si="4"/>
        <v>Фролов Сергей ВикторовичВолков Сергей Иванович</v>
      </c>
      <c r="T57" t="s">
        <v>16</v>
      </c>
      <c r="U57" t="s">
        <v>74</v>
      </c>
      <c r="V57" t="s">
        <v>71</v>
      </c>
    </row>
    <row r="58" spans="4:22" x14ac:dyDescent="0.25">
      <c r="D58" t="s">
        <v>10</v>
      </c>
      <c r="E58" t="s">
        <v>58</v>
      </c>
      <c r="F58" s="26" t="str">
        <f t="shared" si="0"/>
        <v>2023-09-20</v>
      </c>
      <c r="G58" s="26" t="str">
        <f t="shared" si="1"/>
        <v>2023-09-20</v>
      </c>
      <c r="H58">
        <f t="shared" si="2"/>
        <v>0</v>
      </c>
      <c r="K58" t="str">
        <f t="shared" si="3"/>
        <v>Яковлев Артем ИгоревичЛебедева Александра Дмитриевна</v>
      </c>
      <c r="L58" t="s">
        <v>30</v>
      </c>
      <c r="M58" t="s">
        <v>20</v>
      </c>
      <c r="N58" t="s">
        <v>448</v>
      </c>
      <c r="S58" t="str">
        <f t="shared" si="4"/>
        <v>Яковлев Артем ИгоревичПетров Роман Алексеевич</v>
      </c>
      <c r="T58" t="s">
        <v>30</v>
      </c>
      <c r="U58" t="s">
        <v>75</v>
      </c>
      <c r="V58" t="s">
        <v>76</v>
      </c>
    </row>
    <row r="59" spans="4:22" x14ac:dyDescent="0.25">
      <c r="D59" t="s">
        <v>16</v>
      </c>
      <c r="E59" t="s">
        <v>77</v>
      </c>
      <c r="F59" s="26" t="str">
        <f t="shared" si="0"/>
        <v>2023-09-20</v>
      </c>
      <c r="G59" s="26" t="str">
        <f t="shared" si="1"/>
        <v>2024-05-01</v>
      </c>
      <c r="H59">
        <f t="shared" si="2"/>
        <v>224</v>
      </c>
      <c r="K59" t="str">
        <f t="shared" si="3"/>
        <v>Громова Мария ИльиничнаНиколаев Матвей Викторович</v>
      </c>
      <c r="L59" t="s">
        <v>5</v>
      </c>
      <c r="M59" t="s">
        <v>15</v>
      </c>
      <c r="N59" t="s">
        <v>448</v>
      </c>
      <c r="S59" t="str">
        <f t="shared" si="4"/>
        <v>Семенова Ирина ВалерьевнаКозлов Илья Сергеевич</v>
      </c>
      <c r="T59" t="s">
        <v>10</v>
      </c>
      <c r="U59" t="s">
        <v>58</v>
      </c>
      <c r="V59" t="s">
        <v>76</v>
      </c>
    </row>
    <row r="60" spans="4:22" x14ac:dyDescent="0.25">
      <c r="D60" t="s">
        <v>8</v>
      </c>
      <c r="E60" t="s">
        <v>78</v>
      </c>
      <c r="F60" s="26" t="str">
        <f t="shared" si="0"/>
        <v>2023-09-21</v>
      </c>
      <c r="G60" s="26" t="str">
        <f t="shared" si="1"/>
        <v>2023-09-21</v>
      </c>
      <c r="H60">
        <f t="shared" si="2"/>
        <v>0</v>
      </c>
      <c r="K60" t="str">
        <f t="shared" si="3"/>
        <v>Петров Владимир КирилловичСмирнов Роман Юрьевич</v>
      </c>
      <c r="L60" t="s">
        <v>18</v>
      </c>
      <c r="M60" t="s">
        <v>229</v>
      </c>
      <c r="N60" t="s">
        <v>447</v>
      </c>
      <c r="S60" t="str">
        <f t="shared" si="4"/>
        <v>Фролов Сергей ВикторовичСтепанова София Михайловна</v>
      </c>
      <c r="T60" t="s">
        <v>16</v>
      </c>
      <c r="U60" t="s">
        <v>77</v>
      </c>
      <c r="V60" t="s">
        <v>76</v>
      </c>
    </row>
    <row r="61" spans="4:22" x14ac:dyDescent="0.25">
      <c r="D61" t="s">
        <v>10</v>
      </c>
      <c r="E61" t="s">
        <v>80</v>
      </c>
      <c r="F61" s="26" t="str">
        <f t="shared" si="0"/>
        <v>2023-09-21</v>
      </c>
      <c r="G61" s="26" t="str">
        <f t="shared" si="1"/>
        <v>2023-09-21</v>
      </c>
      <c r="H61">
        <f t="shared" si="2"/>
        <v>0</v>
      </c>
      <c r="K61" t="str">
        <f t="shared" si="3"/>
        <v>Ткаченко Андрей ОлеговичНовиков Матвей Егорович</v>
      </c>
      <c r="L61" t="s">
        <v>27</v>
      </c>
      <c r="M61" t="s">
        <v>33</v>
      </c>
      <c r="N61" t="s">
        <v>446</v>
      </c>
      <c r="S61" t="str">
        <f t="shared" si="4"/>
        <v>Сидорова Елена ВасильевнаПетров Михаил Кириллович</v>
      </c>
      <c r="T61" t="s">
        <v>8</v>
      </c>
      <c r="U61" t="s">
        <v>78</v>
      </c>
      <c r="V61" t="s">
        <v>79</v>
      </c>
    </row>
    <row r="62" spans="4:22" x14ac:dyDescent="0.25">
      <c r="D62" t="s">
        <v>18</v>
      </c>
      <c r="E62" t="s">
        <v>81</v>
      </c>
      <c r="F62" s="26" t="str">
        <f t="shared" si="0"/>
        <v>2023-09-21</v>
      </c>
      <c r="G62" s="26" t="str">
        <f t="shared" si="1"/>
        <v>2024-03-06</v>
      </c>
      <c r="H62">
        <f t="shared" si="2"/>
        <v>167</v>
      </c>
      <c r="K62" t="str">
        <f t="shared" si="3"/>
        <v>Сидорова Елена ВасильевнаСеменов Роман Павлович</v>
      </c>
      <c r="L62" t="s">
        <v>8</v>
      </c>
      <c r="M62" t="s">
        <v>196</v>
      </c>
      <c r="N62" t="s">
        <v>446</v>
      </c>
      <c r="S62" t="str">
        <f t="shared" si="4"/>
        <v>Семенова Ирина ВалерьевнаКозлов Илья Егорович</v>
      </c>
      <c r="T62" t="s">
        <v>10</v>
      </c>
      <c r="U62" t="s">
        <v>80</v>
      </c>
      <c r="V62" t="s">
        <v>79</v>
      </c>
    </row>
    <row r="63" spans="4:22" x14ac:dyDescent="0.25">
      <c r="D63" t="s">
        <v>18</v>
      </c>
      <c r="E63" t="s">
        <v>82</v>
      </c>
      <c r="F63" s="26" t="str">
        <f t="shared" si="0"/>
        <v>2023-09-22</v>
      </c>
      <c r="G63" s="26" t="str">
        <f t="shared" si="1"/>
        <v>2023-09-22</v>
      </c>
      <c r="H63">
        <f t="shared" si="2"/>
        <v>0</v>
      </c>
      <c r="K63" t="str">
        <f t="shared" si="3"/>
        <v>Петров Владимир КирилловичВасильев Дмитрий Иванович</v>
      </c>
      <c r="L63" t="s">
        <v>18</v>
      </c>
      <c r="M63" t="s">
        <v>125</v>
      </c>
      <c r="N63" t="s">
        <v>446</v>
      </c>
      <c r="S63" t="str">
        <f t="shared" si="4"/>
        <v>Петров Владимир КирилловичВолков Максим Дмитриевич</v>
      </c>
      <c r="T63" t="s">
        <v>18</v>
      </c>
      <c r="U63" t="s">
        <v>81</v>
      </c>
      <c r="V63" t="s">
        <v>79</v>
      </c>
    </row>
    <row r="64" spans="4:22" x14ac:dyDescent="0.25">
      <c r="D64" t="s">
        <v>10</v>
      </c>
      <c r="E64" t="s">
        <v>84</v>
      </c>
      <c r="F64" s="26" t="str">
        <f t="shared" si="0"/>
        <v>2023-09-22</v>
      </c>
      <c r="G64" s="26" t="str">
        <f t="shared" si="1"/>
        <v>2023-09-22</v>
      </c>
      <c r="H64">
        <f t="shared" si="2"/>
        <v>0</v>
      </c>
      <c r="K64" t="str">
        <f t="shared" si="3"/>
        <v>Ткаченко Андрей ОлеговичОрлов Константин Станиславович</v>
      </c>
      <c r="L64" t="s">
        <v>27</v>
      </c>
      <c r="M64" t="s">
        <v>11</v>
      </c>
      <c r="N64" t="s">
        <v>446</v>
      </c>
      <c r="S64" t="str">
        <f t="shared" si="4"/>
        <v>Петров Владимир КирилловичОрлова Ольга Алексеевна</v>
      </c>
      <c r="T64" t="s">
        <v>18</v>
      </c>
      <c r="U64" t="s">
        <v>82</v>
      </c>
      <c r="V64" t="s">
        <v>83</v>
      </c>
    </row>
    <row r="65" spans="4:22" x14ac:dyDescent="0.25">
      <c r="D65" t="s">
        <v>10</v>
      </c>
      <c r="E65" t="s">
        <v>85</v>
      </c>
      <c r="F65" s="26" t="str">
        <f t="shared" si="0"/>
        <v>2023-09-22</v>
      </c>
      <c r="G65" s="26" t="str">
        <f t="shared" si="1"/>
        <v>2023-09-22</v>
      </c>
      <c r="H65">
        <f t="shared" si="2"/>
        <v>0</v>
      </c>
      <c r="K65" t="str">
        <f t="shared" si="3"/>
        <v>Сидорова Елена ВасильевнаОрлов Павел Юрьевич</v>
      </c>
      <c r="L65" t="s">
        <v>8</v>
      </c>
      <c r="M65" t="s">
        <v>227</v>
      </c>
      <c r="N65" t="s">
        <v>446</v>
      </c>
      <c r="S65" t="str">
        <f t="shared" si="4"/>
        <v>Семенова Ирина ВалерьевнаСеменов Илья Андреевич</v>
      </c>
      <c r="T65" t="s">
        <v>10</v>
      </c>
      <c r="U65" t="s">
        <v>84</v>
      </c>
      <c r="V65" t="s">
        <v>83</v>
      </c>
    </row>
    <row r="66" spans="4:22" x14ac:dyDescent="0.25">
      <c r="D66" t="s">
        <v>27</v>
      </c>
      <c r="E66" t="s">
        <v>86</v>
      </c>
      <c r="F66" s="26" t="str">
        <f t="shared" si="0"/>
        <v>2023-09-25</v>
      </c>
      <c r="G66" s="26" t="str">
        <f t="shared" si="1"/>
        <v>2023-09-25</v>
      </c>
      <c r="H66">
        <f t="shared" si="2"/>
        <v>0</v>
      </c>
      <c r="K66" t="str">
        <f t="shared" si="3"/>
        <v>Фролов Сергей ВикторовичМорозов Никита Алексеевич</v>
      </c>
      <c r="L66" t="s">
        <v>16</v>
      </c>
      <c r="M66" t="s">
        <v>92</v>
      </c>
      <c r="N66" t="s">
        <v>446</v>
      </c>
      <c r="S66" t="str">
        <f t="shared" si="4"/>
        <v>Семенова Ирина ВалерьевнаСмирнов Александр Дмитриевич</v>
      </c>
      <c r="T66" t="s">
        <v>10</v>
      </c>
      <c r="U66" t="s">
        <v>85</v>
      </c>
      <c r="V66" t="s">
        <v>83</v>
      </c>
    </row>
    <row r="67" spans="4:22" x14ac:dyDescent="0.25">
      <c r="D67" t="s">
        <v>8</v>
      </c>
      <c r="E67" t="s">
        <v>88</v>
      </c>
      <c r="F67" s="26" t="str">
        <f t="shared" ref="F67:F130" si="5">VLOOKUP(D67&amp;E67,S:V,4,0)</f>
        <v>2023-09-25</v>
      </c>
      <c r="G67" s="26" t="str">
        <f t="shared" ref="G67:G130" si="6">VLOOKUP(D67&amp;E67,K:N,4,0)</f>
        <v>2023-09-25</v>
      </c>
      <c r="H67">
        <f t="shared" ref="H67:H130" si="7">G67-F67</f>
        <v>0</v>
      </c>
      <c r="K67" t="str">
        <f t="shared" ref="K67:K130" si="8">L67&amp;M67</f>
        <v>Белов Алексей КонстантиновичЕгорова Алиса Михайловна</v>
      </c>
      <c r="L67" t="s">
        <v>25</v>
      </c>
      <c r="M67" t="s">
        <v>117</v>
      </c>
      <c r="N67" t="s">
        <v>446</v>
      </c>
      <c r="S67" t="str">
        <f t="shared" ref="S67:S130" si="9">T67&amp;U67</f>
        <v>Ткаченко Андрей ОлеговичНовиков Артем Павлович</v>
      </c>
      <c r="T67" t="s">
        <v>27</v>
      </c>
      <c r="U67" t="s">
        <v>86</v>
      </c>
      <c r="V67" t="s">
        <v>87</v>
      </c>
    </row>
    <row r="68" spans="4:22" x14ac:dyDescent="0.25">
      <c r="D68" t="s">
        <v>25</v>
      </c>
      <c r="E68" t="s">
        <v>89</v>
      </c>
      <c r="F68" s="26" t="str">
        <f t="shared" si="5"/>
        <v>2023-09-25</v>
      </c>
      <c r="G68" s="26" t="str">
        <f t="shared" si="6"/>
        <v>2023-09-25</v>
      </c>
      <c r="H68">
        <f t="shared" si="7"/>
        <v>0</v>
      </c>
      <c r="K68" t="str">
        <f t="shared" si="8"/>
        <v>Иванова Анна СергеевнаНовикова Виктория Александровна</v>
      </c>
      <c r="L68" t="s">
        <v>13</v>
      </c>
      <c r="M68" t="s">
        <v>101</v>
      </c>
      <c r="N68" t="s">
        <v>446</v>
      </c>
      <c r="S68" t="str">
        <f t="shared" si="9"/>
        <v>Сидорова Елена ВасильевнаКозлов Александр Дмитриевич</v>
      </c>
      <c r="T68" t="s">
        <v>8</v>
      </c>
      <c r="U68" t="s">
        <v>88</v>
      </c>
      <c r="V68" t="s">
        <v>87</v>
      </c>
    </row>
    <row r="69" spans="4:22" x14ac:dyDescent="0.25">
      <c r="D69" t="s">
        <v>8</v>
      </c>
      <c r="E69" t="s">
        <v>90</v>
      </c>
      <c r="F69" s="26" t="str">
        <f t="shared" si="5"/>
        <v>2023-09-25</v>
      </c>
      <c r="G69" s="26" t="str">
        <f t="shared" si="6"/>
        <v>2023-09-25</v>
      </c>
      <c r="H69">
        <f t="shared" si="7"/>
        <v>0</v>
      </c>
      <c r="K69" t="str">
        <f t="shared" si="8"/>
        <v>Фролов Сергей ВикторовичЕгоров Александр Александрович</v>
      </c>
      <c r="L69" t="s">
        <v>16</v>
      </c>
      <c r="M69" t="s">
        <v>279</v>
      </c>
      <c r="N69" t="s">
        <v>446</v>
      </c>
      <c r="S69" t="str">
        <f t="shared" si="9"/>
        <v>Белов Алексей КонстантиновичВолкова Татьяна Станиславовна</v>
      </c>
      <c r="T69" t="s">
        <v>25</v>
      </c>
      <c r="U69" t="s">
        <v>89</v>
      </c>
      <c r="V69" t="s">
        <v>87</v>
      </c>
    </row>
    <row r="70" spans="4:22" x14ac:dyDescent="0.25">
      <c r="D70" t="s">
        <v>25</v>
      </c>
      <c r="E70" t="s">
        <v>91</v>
      </c>
      <c r="F70" s="26" t="str">
        <f t="shared" si="5"/>
        <v>2023-09-25</v>
      </c>
      <c r="G70" s="26" t="str">
        <f t="shared" si="6"/>
        <v>2023-09-25</v>
      </c>
      <c r="H70">
        <f t="shared" si="7"/>
        <v>0</v>
      </c>
      <c r="K70" t="str">
        <f t="shared" si="8"/>
        <v>Ткаченко Андрей ОлеговичСмирнова Елена Викторовна</v>
      </c>
      <c r="L70" t="s">
        <v>27</v>
      </c>
      <c r="M70" t="s">
        <v>66</v>
      </c>
      <c r="N70" t="s">
        <v>445</v>
      </c>
      <c r="S70" t="str">
        <f t="shared" si="9"/>
        <v>Сидорова Елена ВасильевнаАлексеев Кирилл Иванович</v>
      </c>
      <c r="T70" t="s">
        <v>8</v>
      </c>
      <c r="U70" t="s">
        <v>90</v>
      </c>
      <c r="V70" t="s">
        <v>87</v>
      </c>
    </row>
    <row r="71" spans="4:22" x14ac:dyDescent="0.25">
      <c r="D71" t="s">
        <v>10</v>
      </c>
      <c r="E71" t="s">
        <v>92</v>
      </c>
      <c r="F71" s="26" t="str">
        <f t="shared" si="5"/>
        <v>2023-09-25</v>
      </c>
      <c r="G71" s="26" t="str">
        <f t="shared" si="6"/>
        <v>2023-09-25</v>
      </c>
      <c r="H71">
        <f t="shared" si="7"/>
        <v>0</v>
      </c>
      <c r="K71" t="str">
        <f t="shared" si="8"/>
        <v>Новикова Ольга ПетровнаОрлова Анна Романовна</v>
      </c>
      <c r="L71" t="s">
        <v>45</v>
      </c>
      <c r="M71" t="s">
        <v>19</v>
      </c>
      <c r="N71" t="s">
        <v>445</v>
      </c>
      <c r="S71" t="str">
        <f t="shared" si="9"/>
        <v>Белов Алексей КонстантиновичИванов Роман Кириллович</v>
      </c>
      <c r="T71" t="s">
        <v>25</v>
      </c>
      <c r="U71" t="s">
        <v>91</v>
      </c>
      <c r="V71" t="s">
        <v>87</v>
      </c>
    </row>
    <row r="72" spans="4:22" x14ac:dyDescent="0.25">
      <c r="D72" t="s">
        <v>5</v>
      </c>
      <c r="E72" t="s">
        <v>93</v>
      </c>
      <c r="F72" s="26" t="str">
        <f t="shared" si="5"/>
        <v>2023-09-25</v>
      </c>
      <c r="G72" s="26" t="str">
        <f t="shared" si="6"/>
        <v>2023-11-14</v>
      </c>
      <c r="H72">
        <f t="shared" si="7"/>
        <v>50</v>
      </c>
      <c r="K72" t="str">
        <f t="shared" si="8"/>
        <v>Громова Мария ИльиничнаСидоров Михаил Сергеевич</v>
      </c>
      <c r="L72" t="s">
        <v>5</v>
      </c>
      <c r="M72" t="s">
        <v>187</v>
      </c>
      <c r="N72" t="s">
        <v>443</v>
      </c>
      <c r="S72" t="str">
        <f t="shared" si="9"/>
        <v>Семенова Ирина ВалерьевнаМорозов Никита Алексеевич</v>
      </c>
      <c r="T72" t="s">
        <v>10</v>
      </c>
      <c r="U72" t="s">
        <v>92</v>
      </c>
      <c r="V72" t="s">
        <v>87</v>
      </c>
    </row>
    <row r="73" spans="4:22" x14ac:dyDescent="0.25">
      <c r="D73" t="s">
        <v>18</v>
      </c>
      <c r="E73" t="s">
        <v>94</v>
      </c>
      <c r="F73" s="26" t="str">
        <f t="shared" si="5"/>
        <v>2023-09-25</v>
      </c>
      <c r="G73" s="26" t="str">
        <f t="shared" si="6"/>
        <v>2023-09-25</v>
      </c>
      <c r="H73">
        <f t="shared" si="7"/>
        <v>0</v>
      </c>
      <c r="K73" t="str">
        <f t="shared" si="8"/>
        <v>Громова Мария ИльиничнаВолкова Ольга Геннадьевна</v>
      </c>
      <c r="L73" t="s">
        <v>5</v>
      </c>
      <c r="M73" t="s">
        <v>444</v>
      </c>
      <c r="N73" t="s">
        <v>443</v>
      </c>
      <c r="S73" t="str">
        <f t="shared" si="9"/>
        <v>Громова Мария ИльиничнаЛебедев Никита Алексеевич</v>
      </c>
      <c r="T73" t="s">
        <v>5</v>
      </c>
      <c r="U73" t="s">
        <v>93</v>
      </c>
      <c r="V73" t="s">
        <v>87</v>
      </c>
    </row>
    <row r="74" spans="4:22" x14ac:dyDescent="0.25">
      <c r="D74" t="s">
        <v>30</v>
      </c>
      <c r="E74" t="s">
        <v>42</v>
      </c>
      <c r="F74" s="26" t="str">
        <f t="shared" si="5"/>
        <v>2023-09-25</v>
      </c>
      <c r="G74" s="26" t="str">
        <f t="shared" si="6"/>
        <v>2023-09-25</v>
      </c>
      <c r="H74">
        <f t="shared" si="7"/>
        <v>0</v>
      </c>
      <c r="K74" t="str">
        <f t="shared" si="8"/>
        <v>Ткаченко Андрей ОлеговичЛебедев Егор Никитич</v>
      </c>
      <c r="L74" t="s">
        <v>27</v>
      </c>
      <c r="M74" t="s">
        <v>136</v>
      </c>
      <c r="N74" t="s">
        <v>442</v>
      </c>
      <c r="S74" t="str">
        <f t="shared" si="9"/>
        <v>Петров Владимир КирилловичНиколаев Иван Михайлович</v>
      </c>
      <c r="T74" t="s">
        <v>18</v>
      </c>
      <c r="U74" t="s">
        <v>94</v>
      </c>
      <c r="V74" t="s">
        <v>87</v>
      </c>
    </row>
    <row r="75" spans="4:22" x14ac:dyDescent="0.25">
      <c r="D75" t="s">
        <v>13</v>
      </c>
      <c r="E75" t="s">
        <v>43</v>
      </c>
      <c r="F75" s="26" t="str">
        <f t="shared" si="5"/>
        <v>2023-09-26</v>
      </c>
      <c r="G75" s="26" t="str">
        <f t="shared" si="6"/>
        <v>2023-09-26</v>
      </c>
      <c r="H75">
        <f t="shared" si="7"/>
        <v>0</v>
      </c>
      <c r="K75" t="str">
        <f t="shared" si="8"/>
        <v>Новикова Ольга ПетровнаЛебедев Матвей Сергеевич</v>
      </c>
      <c r="L75" t="s">
        <v>45</v>
      </c>
      <c r="M75" t="s">
        <v>243</v>
      </c>
      <c r="N75" t="s">
        <v>442</v>
      </c>
      <c r="S75" t="str">
        <f t="shared" si="9"/>
        <v>Яковлев Артем ИгоревичКузнецова Мария Дмитриевна</v>
      </c>
      <c r="T75" t="s">
        <v>30</v>
      </c>
      <c r="U75" t="s">
        <v>42</v>
      </c>
      <c r="V75" t="s">
        <v>87</v>
      </c>
    </row>
    <row r="76" spans="4:22" x14ac:dyDescent="0.25">
      <c r="D76" t="s">
        <v>27</v>
      </c>
      <c r="E76" t="s">
        <v>96</v>
      </c>
      <c r="F76" s="26" t="str">
        <f t="shared" si="5"/>
        <v>2023-09-27</v>
      </c>
      <c r="G76" s="26" t="str">
        <f t="shared" si="6"/>
        <v>2023-10-10</v>
      </c>
      <c r="H76">
        <f t="shared" si="7"/>
        <v>13</v>
      </c>
      <c r="K76" t="str">
        <f t="shared" si="8"/>
        <v>Ткаченко Андрей ОлеговичФедоров Илья Егорович</v>
      </c>
      <c r="L76" t="s">
        <v>27</v>
      </c>
      <c r="M76" t="s">
        <v>252</v>
      </c>
      <c r="N76" t="s">
        <v>442</v>
      </c>
      <c r="S76" t="str">
        <f t="shared" si="9"/>
        <v>Иванова Анна СергеевнаФедорова Наталья Геннадьевна</v>
      </c>
      <c r="T76" t="s">
        <v>13</v>
      </c>
      <c r="U76" t="s">
        <v>43</v>
      </c>
      <c r="V76" t="s">
        <v>95</v>
      </c>
    </row>
    <row r="77" spans="4:22" x14ac:dyDescent="0.25">
      <c r="D77" t="s">
        <v>47</v>
      </c>
      <c r="E77" t="s">
        <v>98</v>
      </c>
      <c r="F77" s="26" t="str">
        <f t="shared" si="5"/>
        <v>2023-09-27</v>
      </c>
      <c r="G77" s="26" t="str">
        <f t="shared" si="6"/>
        <v>2023-09-27</v>
      </c>
      <c r="H77">
        <f t="shared" si="7"/>
        <v>0</v>
      </c>
      <c r="K77" t="str">
        <f t="shared" si="8"/>
        <v>Ткаченко Андрей ОлеговичЛебедев Никита Алексеевич</v>
      </c>
      <c r="L77" t="s">
        <v>27</v>
      </c>
      <c r="M77" t="s">
        <v>93</v>
      </c>
      <c r="N77" t="s">
        <v>442</v>
      </c>
      <c r="S77" t="str">
        <f t="shared" si="9"/>
        <v>Ткаченко Андрей ОлеговичИванова Анна Егоровна</v>
      </c>
      <c r="T77" t="s">
        <v>27</v>
      </c>
      <c r="U77" t="s">
        <v>96</v>
      </c>
      <c r="V77" t="s">
        <v>97</v>
      </c>
    </row>
    <row r="78" spans="4:22" x14ac:dyDescent="0.25">
      <c r="D78" t="s">
        <v>10</v>
      </c>
      <c r="E78" t="s">
        <v>99</v>
      </c>
      <c r="F78" s="26" t="str">
        <f t="shared" si="5"/>
        <v>2023-09-28</v>
      </c>
      <c r="G78" s="26" t="str">
        <f t="shared" si="6"/>
        <v>2024-02-27</v>
      </c>
      <c r="H78">
        <f t="shared" si="7"/>
        <v>152</v>
      </c>
      <c r="K78" t="str">
        <f t="shared" si="8"/>
        <v>Семенова Ирина ВалерьевнаОрлова Анна Романовна</v>
      </c>
      <c r="L78" t="s">
        <v>10</v>
      </c>
      <c r="M78" t="s">
        <v>19</v>
      </c>
      <c r="N78" t="s">
        <v>442</v>
      </c>
      <c r="S78" t="str">
        <f t="shared" si="9"/>
        <v>Орлов Павел ДенисовичВолков Алексей Егорович</v>
      </c>
      <c r="T78" t="s">
        <v>47</v>
      </c>
      <c r="U78" t="s">
        <v>98</v>
      </c>
      <c r="V78" t="s">
        <v>97</v>
      </c>
    </row>
    <row r="79" spans="4:22" x14ac:dyDescent="0.25">
      <c r="D79" t="s">
        <v>10</v>
      </c>
      <c r="E79" t="s">
        <v>101</v>
      </c>
      <c r="F79" s="26" t="str">
        <f t="shared" si="5"/>
        <v>2023-09-29</v>
      </c>
      <c r="G79" s="26" t="str">
        <f t="shared" si="6"/>
        <v>2023-09-29</v>
      </c>
      <c r="H79">
        <f t="shared" si="7"/>
        <v>0</v>
      </c>
      <c r="K79" t="str">
        <f t="shared" si="8"/>
        <v>Громова Мария ИльиничнаСеменов Павел Юрьевич</v>
      </c>
      <c r="L79" t="s">
        <v>5</v>
      </c>
      <c r="M79" t="s">
        <v>128</v>
      </c>
      <c r="N79" t="s">
        <v>442</v>
      </c>
      <c r="S79" t="str">
        <f t="shared" si="9"/>
        <v>Семенова Ирина ВалерьевнаЛебедев Сергей Алексеевич</v>
      </c>
      <c r="T79" t="s">
        <v>10</v>
      </c>
      <c r="U79" t="s">
        <v>99</v>
      </c>
      <c r="V79" t="s">
        <v>100</v>
      </c>
    </row>
    <row r="80" spans="4:22" x14ac:dyDescent="0.25">
      <c r="D80" t="s">
        <v>45</v>
      </c>
      <c r="E80" t="s">
        <v>36</v>
      </c>
      <c r="F80" s="26" t="str">
        <f t="shared" si="5"/>
        <v>2023-09-29</v>
      </c>
      <c r="G80" s="26" t="str">
        <f t="shared" si="6"/>
        <v>2024-01-16</v>
      </c>
      <c r="H80">
        <f t="shared" si="7"/>
        <v>109</v>
      </c>
      <c r="K80" t="str">
        <f t="shared" si="8"/>
        <v>Новикова Ольга ПетровнаКузнецова Анна Павловна</v>
      </c>
      <c r="L80" t="s">
        <v>45</v>
      </c>
      <c r="M80" t="s">
        <v>162</v>
      </c>
      <c r="N80" t="s">
        <v>442</v>
      </c>
      <c r="S80" t="str">
        <f t="shared" si="9"/>
        <v>Семенова Ирина ВалерьевнаНовикова Виктория Александровна</v>
      </c>
      <c r="T80" t="s">
        <v>10</v>
      </c>
      <c r="U80" t="s">
        <v>101</v>
      </c>
      <c r="V80" t="s">
        <v>102</v>
      </c>
    </row>
    <row r="81" spans="4:22" x14ac:dyDescent="0.25">
      <c r="D81" t="s">
        <v>30</v>
      </c>
      <c r="E81" t="s">
        <v>103</v>
      </c>
      <c r="F81" s="26" t="str">
        <f t="shared" si="5"/>
        <v>2023-10-02</v>
      </c>
      <c r="G81" s="26" t="str">
        <f t="shared" si="6"/>
        <v>2024-03-04</v>
      </c>
      <c r="H81">
        <f t="shared" si="7"/>
        <v>154</v>
      </c>
      <c r="K81" t="str">
        <f t="shared" si="8"/>
        <v>Фролов Сергей ВикторовичСидорова Полина Олеговна</v>
      </c>
      <c r="L81" t="s">
        <v>16</v>
      </c>
      <c r="M81" t="s">
        <v>106</v>
      </c>
      <c r="N81" t="s">
        <v>442</v>
      </c>
      <c r="S81" t="str">
        <f t="shared" si="9"/>
        <v>Новикова Ольга ПетровнаПавлов Никита Иванович</v>
      </c>
      <c r="T81" t="s">
        <v>45</v>
      </c>
      <c r="U81" t="s">
        <v>36</v>
      </c>
      <c r="V81" t="s">
        <v>102</v>
      </c>
    </row>
    <row r="82" spans="4:22" x14ac:dyDescent="0.25">
      <c r="D82" t="s">
        <v>8</v>
      </c>
      <c r="E82" t="s">
        <v>105</v>
      </c>
      <c r="F82" s="26" t="str">
        <f t="shared" si="5"/>
        <v>2023-10-02</v>
      </c>
      <c r="G82" s="26" t="str">
        <f t="shared" si="6"/>
        <v>2023-10-02</v>
      </c>
      <c r="H82">
        <f t="shared" si="7"/>
        <v>0</v>
      </c>
      <c r="K82" t="str">
        <f t="shared" si="8"/>
        <v>Кузнецов Дмитрий ЛьвовичИванова Людмила Юрьевна</v>
      </c>
      <c r="L82" t="s">
        <v>38</v>
      </c>
      <c r="M82" t="s">
        <v>148</v>
      </c>
      <c r="N82" t="s">
        <v>441</v>
      </c>
      <c r="S82" t="str">
        <f t="shared" si="9"/>
        <v>Яковлев Артем ИгоревичНовикова Елена Геннадьевна</v>
      </c>
      <c r="T82" t="s">
        <v>30</v>
      </c>
      <c r="U82" t="s">
        <v>103</v>
      </c>
      <c r="V82" t="s">
        <v>104</v>
      </c>
    </row>
    <row r="83" spans="4:22" x14ac:dyDescent="0.25">
      <c r="D83" t="s">
        <v>8</v>
      </c>
      <c r="E83" t="s">
        <v>6</v>
      </c>
      <c r="F83" s="26" t="str">
        <f t="shared" si="5"/>
        <v>2023-10-02</v>
      </c>
      <c r="G83" s="26" t="str">
        <f t="shared" si="6"/>
        <v>2023-10-02</v>
      </c>
      <c r="H83">
        <f t="shared" si="7"/>
        <v>0</v>
      </c>
      <c r="K83" t="str">
        <f t="shared" si="8"/>
        <v>Орлов Павел ДенисовичСеменов Егор Никитич</v>
      </c>
      <c r="L83" t="s">
        <v>47</v>
      </c>
      <c r="M83" t="s">
        <v>215</v>
      </c>
      <c r="N83" t="s">
        <v>441</v>
      </c>
      <c r="S83" t="str">
        <f t="shared" si="9"/>
        <v>Сидорова Елена ВасильевнаСеменов Иван Павлович</v>
      </c>
      <c r="T83" t="s">
        <v>8</v>
      </c>
      <c r="U83" t="s">
        <v>105</v>
      </c>
      <c r="V83" t="s">
        <v>104</v>
      </c>
    </row>
    <row r="84" spans="4:22" x14ac:dyDescent="0.25">
      <c r="D84" t="s">
        <v>5</v>
      </c>
      <c r="E84" t="s">
        <v>106</v>
      </c>
      <c r="F84" s="26" t="str">
        <f t="shared" si="5"/>
        <v>2023-10-02</v>
      </c>
      <c r="G84" s="26" t="str">
        <f t="shared" si="6"/>
        <v>2023-10-02</v>
      </c>
      <c r="H84">
        <f t="shared" si="7"/>
        <v>0</v>
      </c>
      <c r="K84" t="str">
        <f t="shared" si="8"/>
        <v>Орлов Павел ДенисовичСтепанова София Михайловна</v>
      </c>
      <c r="L84" t="s">
        <v>47</v>
      </c>
      <c r="M84" t="s">
        <v>77</v>
      </c>
      <c r="N84" t="s">
        <v>441</v>
      </c>
      <c r="S84" t="str">
        <f t="shared" si="9"/>
        <v>Сидорова Елена ВасильевнаВолкова Валерия Алексеевна</v>
      </c>
      <c r="T84" t="s">
        <v>8</v>
      </c>
      <c r="U84" t="s">
        <v>6</v>
      </c>
      <c r="V84" t="s">
        <v>104</v>
      </c>
    </row>
    <row r="85" spans="4:22" x14ac:dyDescent="0.25">
      <c r="D85" t="s">
        <v>13</v>
      </c>
      <c r="E85" t="s">
        <v>107</v>
      </c>
      <c r="F85" s="26" t="str">
        <f t="shared" si="5"/>
        <v>2023-10-02</v>
      </c>
      <c r="G85" s="26" t="str">
        <f t="shared" si="6"/>
        <v>2023-10-02</v>
      </c>
      <c r="H85">
        <f t="shared" si="7"/>
        <v>0</v>
      </c>
      <c r="K85" t="str">
        <f t="shared" si="8"/>
        <v>Ткаченко Андрей ОлеговичСтепанова София Михайловна</v>
      </c>
      <c r="L85" t="s">
        <v>27</v>
      </c>
      <c r="M85" t="s">
        <v>77</v>
      </c>
      <c r="N85" t="s">
        <v>440</v>
      </c>
      <c r="S85" t="str">
        <f t="shared" si="9"/>
        <v>Громова Мария ИльиничнаСидорова Полина Олеговна</v>
      </c>
      <c r="T85" t="s">
        <v>5</v>
      </c>
      <c r="U85" t="s">
        <v>106</v>
      </c>
      <c r="V85" t="s">
        <v>104</v>
      </c>
    </row>
    <row r="86" spans="4:22" x14ac:dyDescent="0.25">
      <c r="D86" t="s">
        <v>13</v>
      </c>
      <c r="E86" t="s">
        <v>108</v>
      </c>
      <c r="F86" s="26" t="str">
        <f t="shared" si="5"/>
        <v>2023-10-02</v>
      </c>
      <c r="G86" s="26" t="str">
        <f t="shared" si="6"/>
        <v>2023-10-02</v>
      </c>
      <c r="H86">
        <f t="shared" si="7"/>
        <v>0</v>
      </c>
      <c r="K86" t="str">
        <f t="shared" si="8"/>
        <v>Сидорова Елена ВасильевнаКузнецова Мария Дмитриевна</v>
      </c>
      <c r="L86" t="s">
        <v>8</v>
      </c>
      <c r="M86" t="s">
        <v>42</v>
      </c>
      <c r="N86" t="s">
        <v>440</v>
      </c>
      <c r="S86" t="str">
        <f t="shared" si="9"/>
        <v>Иванова Анна СергеевнаОрлов Дмитрий Ильич</v>
      </c>
      <c r="T86" t="s">
        <v>13</v>
      </c>
      <c r="U86" t="s">
        <v>107</v>
      </c>
      <c r="V86" t="s">
        <v>104</v>
      </c>
    </row>
    <row r="87" spans="4:22" x14ac:dyDescent="0.25">
      <c r="D87" t="s">
        <v>16</v>
      </c>
      <c r="E87" t="s">
        <v>75</v>
      </c>
      <c r="F87" s="26" t="str">
        <f t="shared" si="5"/>
        <v>2023-10-02</v>
      </c>
      <c r="G87" s="26" t="str">
        <f t="shared" si="6"/>
        <v>2024-08-20</v>
      </c>
      <c r="H87">
        <f t="shared" si="7"/>
        <v>323</v>
      </c>
      <c r="K87" t="str">
        <f t="shared" si="8"/>
        <v>Семенова Ирина ВалерьевнаПетров Роман Алексеевич</v>
      </c>
      <c r="L87" t="s">
        <v>10</v>
      </c>
      <c r="M87" t="s">
        <v>75</v>
      </c>
      <c r="N87" t="s">
        <v>440</v>
      </c>
      <c r="S87" t="str">
        <f t="shared" si="9"/>
        <v>Иванова Анна СергеевнаЕгорова Светлана Андреевна</v>
      </c>
      <c r="T87" t="s">
        <v>13</v>
      </c>
      <c r="U87" t="s">
        <v>108</v>
      </c>
      <c r="V87" t="s">
        <v>104</v>
      </c>
    </row>
    <row r="88" spans="4:22" x14ac:dyDescent="0.25">
      <c r="D88" t="s">
        <v>5</v>
      </c>
      <c r="E88" t="s">
        <v>39</v>
      </c>
      <c r="F88" s="26" t="str">
        <f t="shared" si="5"/>
        <v>2023-10-03</v>
      </c>
      <c r="G88" s="26" t="str">
        <f t="shared" si="6"/>
        <v>2023-10-03</v>
      </c>
      <c r="H88">
        <f t="shared" si="7"/>
        <v>0</v>
      </c>
      <c r="K88" t="str">
        <f t="shared" si="8"/>
        <v>Орлов Павел ДенисовичКозлов Илья Сергеевич</v>
      </c>
      <c r="L88" t="s">
        <v>47</v>
      </c>
      <c r="M88" t="s">
        <v>58</v>
      </c>
      <c r="N88" t="s">
        <v>440</v>
      </c>
      <c r="S88" t="str">
        <f t="shared" si="9"/>
        <v>Фролов Сергей ВикторовичПетров Роман Алексеевич</v>
      </c>
      <c r="T88" t="s">
        <v>16</v>
      </c>
      <c r="U88" t="s">
        <v>75</v>
      </c>
      <c r="V88" t="s">
        <v>104</v>
      </c>
    </row>
    <row r="89" spans="4:22" x14ac:dyDescent="0.25">
      <c r="D89" t="s">
        <v>27</v>
      </c>
      <c r="E89" t="s">
        <v>90</v>
      </c>
      <c r="F89" s="26" t="str">
        <f t="shared" si="5"/>
        <v>2023-10-03</v>
      </c>
      <c r="G89" s="26" t="str">
        <f t="shared" si="6"/>
        <v>2023-10-03</v>
      </c>
      <c r="H89">
        <f t="shared" si="7"/>
        <v>0</v>
      </c>
      <c r="K89" t="str">
        <f t="shared" si="8"/>
        <v>Ткаченко Андрей ОлеговичПетров Михаил Кириллович</v>
      </c>
      <c r="L89" t="s">
        <v>27</v>
      </c>
      <c r="M89" t="s">
        <v>78</v>
      </c>
      <c r="N89" t="s">
        <v>440</v>
      </c>
      <c r="S89" t="str">
        <f t="shared" si="9"/>
        <v>Громова Мария ИльиничнаСмирнова Татьяна Александровна</v>
      </c>
      <c r="T89" t="s">
        <v>5</v>
      </c>
      <c r="U89" t="s">
        <v>39</v>
      </c>
      <c r="V89" t="s">
        <v>109</v>
      </c>
    </row>
    <row r="90" spans="4:22" x14ac:dyDescent="0.25">
      <c r="D90" t="s">
        <v>38</v>
      </c>
      <c r="E90" t="s">
        <v>110</v>
      </c>
      <c r="F90" s="26" t="str">
        <f t="shared" si="5"/>
        <v>2023-10-03</v>
      </c>
      <c r="G90" s="26" t="str">
        <f t="shared" si="6"/>
        <v>2023-11-23</v>
      </c>
      <c r="H90">
        <f t="shared" si="7"/>
        <v>51</v>
      </c>
      <c r="K90" t="str">
        <f t="shared" si="8"/>
        <v>Фролов Сергей ВикторовичАлексеев Кирилл Иванович</v>
      </c>
      <c r="L90" t="s">
        <v>16</v>
      </c>
      <c r="M90" t="s">
        <v>90</v>
      </c>
      <c r="N90" t="s">
        <v>440</v>
      </c>
      <c r="S90" t="str">
        <f t="shared" si="9"/>
        <v>Ткаченко Андрей ОлеговичАлексеев Кирилл Иванович</v>
      </c>
      <c r="T90" t="s">
        <v>27</v>
      </c>
      <c r="U90" t="s">
        <v>90</v>
      </c>
      <c r="V90" t="s">
        <v>109</v>
      </c>
    </row>
    <row r="91" spans="4:22" x14ac:dyDescent="0.25">
      <c r="D91" t="s">
        <v>27</v>
      </c>
      <c r="E91" t="s">
        <v>75</v>
      </c>
      <c r="F91" s="26" t="str">
        <f t="shared" si="5"/>
        <v>2023-10-03</v>
      </c>
      <c r="G91" s="26" t="str">
        <f t="shared" si="6"/>
        <v>2023-10-03</v>
      </c>
      <c r="H91">
        <f t="shared" si="7"/>
        <v>0</v>
      </c>
      <c r="K91" t="str">
        <f t="shared" si="8"/>
        <v>Иванова Анна СергеевнаЛебедева Александра Дмитриевна</v>
      </c>
      <c r="L91" t="s">
        <v>13</v>
      </c>
      <c r="M91" t="s">
        <v>20</v>
      </c>
      <c r="N91" t="s">
        <v>440</v>
      </c>
      <c r="S91" t="str">
        <f t="shared" si="9"/>
        <v>Кузнецов Дмитрий ЛьвовичСтепанова Анна Станиславовна</v>
      </c>
      <c r="T91" t="s">
        <v>38</v>
      </c>
      <c r="U91" t="s">
        <v>110</v>
      </c>
      <c r="V91" t="s">
        <v>109</v>
      </c>
    </row>
    <row r="92" spans="4:22" x14ac:dyDescent="0.25">
      <c r="D92" t="s">
        <v>30</v>
      </c>
      <c r="E92" t="s">
        <v>111</v>
      </c>
      <c r="F92" s="26" t="str">
        <f t="shared" si="5"/>
        <v>2023-10-04</v>
      </c>
      <c r="G92" s="26" t="str">
        <f t="shared" si="6"/>
        <v>2023-10-04</v>
      </c>
      <c r="H92">
        <f t="shared" si="7"/>
        <v>0</v>
      </c>
      <c r="K92" t="str">
        <f t="shared" si="8"/>
        <v>Иванова Анна СергеевнаМорозов Егор Андреевич</v>
      </c>
      <c r="L92" t="s">
        <v>13</v>
      </c>
      <c r="M92" t="s">
        <v>9</v>
      </c>
      <c r="N92" t="s">
        <v>440</v>
      </c>
      <c r="S92" t="str">
        <f t="shared" si="9"/>
        <v>Ткаченко Андрей ОлеговичПетров Роман Алексеевич</v>
      </c>
      <c r="T92" t="s">
        <v>27</v>
      </c>
      <c r="U92" t="s">
        <v>75</v>
      </c>
      <c r="V92" t="s">
        <v>109</v>
      </c>
    </row>
    <row r="93" spans="4:22" x14ac:dyDescent="0.25">
      <c r="D93" t="s">
        <v>30</v>
      </c>
      <c r="E93" t="s">
        <v>65</v>
      </c>
      <c r="F93" s="26" t="str">
        <f t="shared" si="5"/>
        <v>2023-10-04</v>
      </c>
      <c r="G93" s="26" t="str">
        <f t="shared" si="6"/>
        <v>2024-07-26</v>
      </c>
      <c r="H93">
        <f t="shared" si="7"/>
        <v>296</v>
      </c>
      <c r="K93" t="str">
        <f t="shared" si="8"/>
        <v>Семенова Ирина ВалерьевнаСтепанова София Михайловна</v>
      </c>
      <c r="L93" t="s">
        <v>10</v>
      </c>
      <c r="M93" t="s">
        <v>77</v>
      </c>
      <c r="N93" t="s">
        <v>440</v>
      </c>
      <c r="S93" t="str">
        <f t="shared" si="9"/>
        <v>Яковлев Артем ИгоревичИванова Алиса Алексеевна</v>
      </c>
      <c r="T93" t="s">
        <v>30</v>
      </c>
      <c r="U93" t="s">
        <v>111</v>
      </c>
      <c r="V93" t="s">
        <v>112</v>
      </c>
    </row>
    <row r="94" spans="4:22" x14ac:dyDescent="0.25">
      <c r="D94" t="s">
        <v>5</v>
      </c>
      <c r="E94" t="s">
        <v>113</v>
      </c>
      <c r="F94" s="26" t="str">
        <f t="shared" si="5"/>
        <v>2023-10-04</v>
      </c>
      <c r="G94" s="26" t="str">
        <f t="shared" si="6"/>
        <v>2023-10-04</v>
      </c>
      <c r="H94">
        <f t="shared" si="7"/>
        <v>0</v>
      </c>
      <c r="K94" t="str">
        <f t="shared" si="8"/>
        <v>Семенова Ирина ВалерьевнаПавлов Сергей Артемович</v>
      </c>
      <c r="L94" t="s">
        <v>10</v>
      </c>
      <c r="M94" t="s">
        <v>144</v>
      </c>
      <c r="N94" t="s">
        <v>439</v>
      </c>
      <c r="S94" t="str">
        <f t="shared" si="9"/>
        <v>Яковлев Артем ИгоревичПетрова Алиса Станиславовна</v>
      </c>
      <c r="T94" t="s">
        <v>30</v>
      </c>
      <c r="U94" t="s">
        <v>65</v>
      </c>
      <c r="V94" t="s">
        <v>112</v>
      </c>
    </row>
    <row r="95" spans="4:22" x14ac:dyDescent="0.25">
      <c r="D95" t="s">
        <v>18</v>
      </c>
      <c r="E95" t="s">
        <v>114</v>
      </c>
      <c r="F95" s="26" t="str">
        <f t="shared" si="5"/>
        <v>2023-10-05</v>
      </c>
      <c r="G95" s="26" t="str">
        <f t="shared" si="6"/>
        <v>2024-08-23</v>
      </c>
      <c r="H95">
        <f t="shared" si="7"/>
        <v>323</v>
      </c>
      <c r="K95" t="str">
        <f t="shared" si="8"/>
        <v>Новикова Ольга ПетровнаПопов Никита Геннадьевич</v>
      </c>
      <c r="L95" t="s">
        <v>45</v>
      </c>
      <c r="M95" t="s">
        <v>68</v>
      </c>
      <c r="N95" t="s">
        <v>439</v>
      </c>
      <c r="S95" t="str">
        <f t="shared" si="9"/>
        <v>Громова Мария ИльиничнаНовикова Людмила Владимировна</v>
      </c>
      <c r="T95" t="s">
        <v>5</v>
      </c>
      <c r="U95" t="s">
        <v>113</v>
      </c>
      <c r="V95" t="s">
        <v>112</v>
      </c>
    </row>
    <row r="96" spans="4:22" x14ac:dyDescent="0.25">
      <c r="D96" t="s">
        <v>27</v>
      </c>
      <c r="E96" t="s">
        <v>116</v>
      </c>
      <c r="F96" s="26" t="str">
        <f t="shared" si="5"/>
        <v>2023-10-05</v>
      </c>
      <c r="G96" s="26" t="str">
        <f t="shared" si="6"/>
        <v>2024-07-26</v>
      </c>
      <c r="H96">
        <f t="shared" si="7"/>
        <v>295</v>
      </c>
      <c r="K96" t="str">
        <f t="shared" si="8"/>
        <v>Кузнецов Дмитрий ЛьвовичЛебедева Ольга Романовна</v>
      </c>
      <c r="L96" t="s">
        <v>38</v>
      </c>
      <c r="M96" t="s">
        <v>186</v>
      </c>
      <c r="N96" t="s">
        <v>438</v>
      </c>
      <c r="S96" t="str">
        <f t="shared" si="9"/>
        <v>Петров Владимир КирилловичСмирнов Иван Ильич</v>
      </c>
      <c r="T96" t="s">
        <v>18</v>
      </c>
      <c r="U96" t="s">
        <v>114</v>
      </c>
      <c r="V96" t="s">
        <v>115</v>
      </c>
    </row>
    <row r="97" spans="4:22" x14ac:dyDescent="0.25">
      <c r="D97" t="s">
        <v>25</v>
      </c>
      <c r="E97" t="s">
        <v>117</v>
      </c>
      <c r="F97" s="26" t="str">
        <f t="shared" si="5"/>
        <v>2023-10-05</v>
      </c>
      <c r="G97" s="26" t="str">
        <f t="shared" si="6"/>
        <v>2024-08-12</v>
      </c>
      <c r="H97">
        <f t="shared" si="7"/>
        <v>312</v>
      </c>
      <c r="K97" t="str">
        <f t="shared" si="8"/>
        <v>Кузнецов Дмитрий ЛьвовичСтепанов Дмитрий Геннадьевич</v>
      </c>
      <c r="L97" t="s">
        <v>38</v>
      </c>
      <c r="M97" t="s">
        <v>132</v>
      </c>
      <c r="N97" t="s">
        <v>438</v>
      </c>
      <c r="S97" t="str">
        <f t="shared" si="9"/>
        <v>Ткаченко Андрей ОлеговичПетрова Елена Юрьевна</v>
      </c>
      <c r="T97" t="s">
        <v>27</v>
      </c>
      <c r="U97" t="s">
        <v>116</v>
      </c>
      <c r="V97" t="s">
        <v>115</v>
      </c>
    </row>
    <row r="98" spans="4:22" x14ac:dyDescent="0.25">
      <c r="D98" t="s">
        <v>5</v>
      </c>
      <c r="E98" t="s">
        <v>111</v>
      </c>
      <c r="F98" s="26" t="str">
        <f t="shared" si="5"/>
        <v>2023-10-06</v>
      </c>
      <c r="G98" s="26" t="str">
        <f t="shared" si="6"/>
        <v>2023-10-06</v>
      </c>
      <c r="H98">
        <f t="shared" si="7"/>
        <v>0</v>
      </c>
      <c r="K98" t="str">
        <f t="shared" si="8"/>
        <v>Белов Алексей КонстантиновичКозлов Илья Сергеевич</v>
      </c>
      <c r="L98" t="s">
        <v>25</v>
      </c>
      <c r="M98" t="s">
        <v>58</v>
      </c>
      <c r="N98" t="s">
        <v>438</v>
      </c>
      <c r="S98" t="str">
        <f t="shared" si="9"/>
        <v>Белов Алексей КонстантиновичЕгорова Алиса Михайловна</v>
      </c>
      <c r="T98" t="s">
        <v>25</v>
      </c>
      <c r="U98" t="s">
        <v>117</v>
      </c>
      <c r="V98" t="s">
        <v>115</v>
      </c>
    </row>
    <row r="99" spans="4:22" x14ac:dyDescent="0.25">
      <c r="D99" t="s">
        <v>5</v>
      </c>
      <c r="E99" t="s">
        <v>119</v>
      </c>
      <c r="F99" s="26" t="str">
        <f t="shared" si="5"/>
        <v>2023-10-06</v>
      </c>
      <c r="G99" s="26" t="str">
        <f t="shared" si="6"/>
        <v>2023-10-06</v>
      </c>
      <c r="H99">
        <f t="shared" si="7"/>
        <v>0</v>
      </c>
      <c r="K99" t="str">
        <f t="shared" si="8"/>
        <v>Ткаченко Андрей ОлеговичФедоров Егор Никитич</v>
      </c>
      <c r="L99" t="s">
        <v>27</v>
      </c>
      <c r="M99" t="s">
        <v>170</v>
      </c>
      <c r="N99" t="s">
        <v>438</v>
      </c>
      <c r="S99" t="str">
        <f t="shared" si="9"/>
        <v>Громова Мария ИльиничнаИванова Алиса Алексеевна</v>
      </c>
      <c r="T99" t="s">
        <v>5</v>
      </c>
      <c r="U99" t="s">
        <v>111</v>
      </c>
      <c r="V99" t="s">
        <v>118</v>
      </c>
    </row>
    <row r="100" spans="4:22" x14ac:dyDescent="0.25">
      <c r="D100" t="s">
        <v>47</v>
      </c>
      <c r="E100" t="s">
        <v>33</v>
      </c>
      <c r="F100" s="26" t="str">
        <f t="shared" si="5"/>
        <v>2023-10-09</v>
      </c>
      <c r="G100" s="26" t="str">
        <f t="shared" si="6"/>
        <v>2023-10-09</v>
      </c>
      <c r="H100">
        <f t="shared" si="7"/>
        <v>0</v>
      </c>
      <c r="K100" t="str">
        <f t="shared" si="8"/>
        <v>Иванова Анна СергеевнаСидоров Дмитрий Владимирович</v>
      </c>
      <c r="L100" t="s">
        <v>13</v>
      </c>
      <c r="M100" t="s">
        <v>155</v>
      </c>
      <c r="N100" t="s">
        <v>437</v>
      </c>
      <c r="S100" t="str">
        <f t="shared" si="9"/>
        <v>Громова Мария ИльиничнаСтепанов Константин Геннадьевич</v>
      </c>
      <c r="T100" t="s">
        <v>5</v>
      </c>
      <c r="U100" t="s">
        <v>119</v>
      </c>
      <c r="V100" t="s">
        <v>118</v>
      </c>
    </row>
    <row r="101" spans="4:22" x14ac:dyDescent="0.25">
      <c r="D101" t="s">
        <v>5</v>
      </c>
      <c r="E101" t="s">
        <v>121</v>
      </c>
      <c r="F101" s="26" t="str">
        <f t="shared" si="5"/>
        <v>2023-10-09</v>
      </c>
      <c r="G101" s="26" t="str">
        <f t="shared" si="6"/>
        <v>2023-10-09</v>
      </c>
      <c r="H101">
        <f t="shared" si="7"/>
        <v>0</v>
      </c>
      <c r="K101" t="str">
        <f t="shared" si="8"/>
        <v>Новикова Ольга ПетровнаСидоров Никита Романович</v>
      </c>
      <c r="L101" t="s">
        <v>45</v>
      </c>
      <c r="M101" t="s">
        <v>121</v>
      </c>
      <c r="N101" t="s">
        <v>437</v>
      </c>
      <c r="S101" t="str">
        <f t="shared" si="9"/>
        <v>Орлов Павел ДенисовичНовиков Матвей Егорович</v>
      </c>
      <c r="T101" t="s">
        <v>47</v>
      </c>
      <c r="U101" t="s">
        <v>33</v>
      </c>
      <c r="V101" t="s">
        <v>120</v>
      </c>
    </row>
    <row r="102" spans="4:22" x14ac:dyDescent="0.25">
      <c r="D102" t="s">
        <v>8</v>
      </c>
      <c r="E102" t="s">
        <v>99</v>
      </c>
      <c r="F102" s="26" t="str">
        <f t="shared" si="5"/>
        <v>2023-10-09</v>
      </c>
      <c r="G102" s="26" t="str">
        <f t="shared" si="6"/>
        <v>2023-10-09</v>
      </c>
      <c r="H102">
        <f t="shared" si="7"/>
        <v>0</v>
      </c>
      <c r="K102" t="str">
        <f t="shared" si="8"/>
        <v>Петров Владимир КирилловичПавлова София Романовна</v>
      </c>
      <c r="L102" t="s">
        <v>18</v>
      </c>
      <c r="M102" t="s">
        <v>198</v>
      </c>
      <c r="N102" t="s">
        <v>437</v>
      </c>
      <c r="S102" t="str">
        <f t="shared" si="9"/>
        <v>Громова Мария ИльиничнаСидоров Никита Романович</v>
      </c>
      <c r="T102" t="s">
        <v>5</v>
      </c>
      <c r="U102" t="s">
        <v>121</v>
      </c>
      <c r="V102" t="s">
        <v>120</v>
      </c>
    </row>
    <row r="103" spans="4:22" x14ac:dyDescent="0.25">
      <c r="D103" t="s">
        <v>16</v>
      </c>
      <c r="E103" t="s">
        <v>26</v>
      </c>
      <c r="F103" s="26" t="str">
        <f t="shared" si="5"/>
        <v>2023-10-09</v>
      </c>
      <c r="G103" s="26" t="str">
        <f t="shared" si="6"/>
        <v>2024-08-16</v>
      </c>
      <c r="H103">
        <f t="shared" si="7"/>
        <v>312</v>
      </c>
      <c r="K103" t="str">
        <f t="shared" si="8"/>
        <v>Новикова Ольга ПетровнаКозлов Павел Андреевич</v>
      </c>
      <c r="L103" t="s">
        <v>45</v>
      </c>
      <c r="M103" t="s">
        <v>363</v>
      </c>
      <c r="N103" t="s">
        <v>436</v>
      </c>
      <c r="S103" t="str">
        <f t="shared" si="9"/>
        <v>Сидорова Елена ВасильевнаЛебедев Сергей Алексеевич</v>
      </c>
      <c r="T103" t="s">
        <v>8</v>
      </c>
      <c r="U103" t="s">
        <v>99</v>
      </c>
      <c r="V103" t="s">
        <v>120</v>
      </c>
    </row>
    <row r="104" spans="4:22" x14ac:dyDescent="0.25">
      <c r="D104" t="s">
        <v>47</v>
      </c>
      <c r="E104" t="s">
        <v>122</v>
      </c>
      <c r="F104" s="26" t="str">
        <f t="shared" si="5"/>
        <v>2023-10-09</v>
      </c>
      <c r="G104" s="26" t="str">
        <f t="shared" si="6"/>
        <v>2023-10-09</v>
      </c>
      <c r="H104">
        <f t="shared" si="7"/>
        <v>0</v>
      </c>
      <c r="K104" t="str">
        <f t="shared" si="8"/>
        <v>Орлов Павел ДенисовичЛебедев Сергей Станиславович</v>
      </c>
      <c r="L104" t="s">
        <v>47</v>
      </c>
      <c r="M104" t="s">
        <v>59</v>
      </c>
      <c r="N104" t="s">
        <v>436</v>
      </c>
      <c r="S104" t="str">
        <f t="shared" si="9"/>
        <v>Фролов Сергей ВикторовичСмирнов Илья Олегович</v>
      </c>
      <c r="T104" t="s">
        <v>16</v>
      </c>
      <c r="U104" t="s">
        <v>26</v>
      </c>
      <c r="V104" t="s">
        <v>120</v>
      </c>
    </row>
    <row r="105" spans="4:22" x14ac:dyDescent="0.25">
      <c r="D105" t="s">
        <v>38</v>
      </c>
      <c r="E105" t="s">
        <v>123</v>
      </c>
      <c r="F105" s="26" t="str">
        <f t="shared" si="5"/>
        <v>2023-10-09</v>
      </c>
      <c r="G105" s="26" t="str">
        <f t="shared" si="6"/>
        <v>2023-10-09</v>
      </c>
      <c r="H105">
        <f t="shared" si="7"/>
        <v>0</v>
      </c>
      <c r="K105" t="str">
        <f t="shared" si="8"/>
        <v>Петров Владимир КирилловичКозлов Павел Андреевич</v>
      </c>
      <c r="L105" t="s">
        <v>18</v>
      </c>
      <c r="M105" t="s">
        <v>363</v>
      </c>
      <c r="N105" t="s">
        <v>436</v>
      </c>
      <c r="S105" t="str">
        <f t="shared" si="9"/>
        <v>Орлов Павел ДенисовичПавлов Дмитрий Павлович</v>
      </c>
      <c r="T105" t="s">
        <v>47</v>
      </c>
      <c r="U105" t="s">
        <v>122</v>
      </c>
      <c r="V105" t="s">
        <v>120</v>
      </c>
    </row>
    <row r="106" spans="4:22" x14ac:dyDescent="0.25">
      <c r="D106" t="s">
        <v>45</v>
      </c>
      <c r="E106" t="s">
        <v>124</v>
      </c>
      <c r="F106" s="26" t="str">
        <f t="shared" si="5"/>
        <v>2023-10-09</v>
      </c>
      <c r="G106" s="26" t="str">
        <f t="shared" si="6"/>
        <v>2023-10-09</v>
      </c>
      <c r="H106">
        <f t="shared" si="7"/>
        <v>0</v>
      </c>
      <c r="K106" t="str">
        <f t="shared" si="8"/>
        <v>Семенова Ирина ВалерьевнаЛебедева Вероника Никитична</v>
      </c>
      <c r="L106" t="s">
        <v>10</v>
      </c>
      <c r="M106" t="s">
        <v>133</v>
      </c>
      <c r="N106" t="s">
        <v>436</v>
      </c>
      <c r="S106" t="str">
        <f t="shared" si="9"/>
        <v>Кузнецов Дмитрий ЛьвовичВолкова Ирина Сергеевна</v>
      </c>
      <c r="T106" t="s">
        <v>38</v>
      </c>
      <c r="U106" t="s">
        <v>123</v>
      </c>
      <c r="V106" t="s">
        <v>120</v>
      </c>
    </row>
    <row r="107" spans="4:22" x14ac:dyDescent="0.25">
      <c r="D107" t="s">
        <v>8</v>
      </c>
      <c r="E107" t="s">
        <v>19</v>
      </c>
      <c r="F107" s="26" t="str">
        <f t="shared" si="5"/>
        <v>2023-10-09</v>
      </c>
      <c r="G107" s="26" t="str">
        <f t="shared" si="6"/>
        <v>2023-10-09</v>
      </c>
      <c r="H107">
        <f t="shared" si="7"/>
        <v>0</v>
      </c>
      <c r="K107" t="str">
        <f t="shared" si="8"/>
        <v>Иванова Анна СергеевнаЛебедева Ирина Кирилловна</v>
      </c>
      <c r="L107" t="s">
        <v>13</v>
      </c>
      <c r="M107" t="s">
        <v>73</v>
      </c>
      <c r="N107" t="s">
        <v>435</v>
      </c>
      <c r="S107" t="str">
        <f t="shared" si="9"/>
        <v>Новикова Ольга ПетровнаКозлов Артем Викторович</v>
      </c>
      <c r="T107" t="s">
        <v>45</v>
      </c>
      <c r="U107" t="s">
        <v>124</v>
      </c>
      <c r="V107" t="s">
        <v>120</v>
      </c>
    </row>
    <row r="108" spans="4:22" x14ac:dyDescent="0.25">
      <c r="D108" t="s">
        <v>13</v>
      </c>
      <c r="E108" t="s">
        <v>125</v>
      </c>
      <c r="F108" s="26" t="str">
        <f t="shared" si="5"/>
        <v>2023-10-09</v>
      </c>
      <c r="G108" s="26" t="str">
        <f t="shared" si="6"/>
        <v>2024-07-09</v>
      </c>
      <c r="H108">
        <f t="shared" si="7"/>
        <v>274</v>
      </c>
      <c r="K108" t="str">
        <f t="shared" si="8"/>
        <v>Петров Владимир КирилловичЕгоров Павел Сергеевич</v>
      </c>
      <c r="L108" t="s">
        <v>18</v>
      </c>
      <c r="M108" t="s">
        <v>134</v>
      </c>
      <c r="N108" t="s">
        <v>435</v>
      </c>
      <c r="S108" t="str">
        <f t="shared" si="9"/>
        <v>Сидорова Елена ВасильевнаОрлова Анна Романовна</v>
      </c>
      <c r="T108" t="s">
        <v>8</v>
      </c>
      <c r="U108" t="s">
        <v>19</v>
      </c>
      <c r="V108" t="s">
        <v>120</v>
      </c>
    </row>
    <row r="109" spans="4:22" x14ac:dyDescent="0.25">
      <c r="D109" t="s">
        <v>25</v>
      </c>
      <c r="E109" t="s">
        <v>126</v>
      </c>
      <c r="F109" s="26" t="str">
        <f t="shared" si="5"/>
        <v>2023-10-09</v>
      </c>
      <c r="G109" s="26" t="str">
        <f t="shared" si="6"/>
        <v>2023-10-09</v>
      </c>
      <c r="H109">
        <f t="shared" si="7"/>
        <v>0</v>
      </c>
      <c r="K109" t="str">
        <f t="shared" si="8"/>
        <v>Ткаченко Андрей ОлеговичСтепанов Дмитрий Иванович</v>
      </c>
      <c r="L109" t="s">
        <v>27</v>
      </c>
      <c r="M109" t="s">
        <v>69</v>
      </c>
      <c r="N109" t="s">
        <v>435</v>
      </c>
      <c r="S109" t="str">
        <f t="shared" si="9"/>
        <v>Иванова Анна СергеевнаВасильев Дмитрий Иванович</v>
      </c>
      <c r="T109" t="s">
        <v>13</v>
      </c>
      <c r="U109" t="s">
        <v>125</v>
      </c>
      <c r="V109" t="s">
        <v>120</v>
      </c>
    </row>
    <row r="110" spans="4:22" x14ac:dyDescent="0.25">
      <c r="D110" t="s">
        <v>16</v>
      </c>
      <c r="E110" t="s">
        <v>78</v>
      </c>
      <c r="F110" s="26" t="str">
        <f t="shared" si="5"/>
        <v>2023-10-09</v>
      </c>
      <c r="G110" s="26" t="str">
        <f t="shared" si="6"/>
        <v>2024-06-26</v>
      </c>
      <c r="H110">
        <f t="shared" si="7"/>
        <v>261</v>
      </c>
      <c r="K110" t="str">
        <f t="shared" si="8"/>
        <v>Орлов Павел ДенисовичЛебедева Ольга Романовна</v>
      </c>
      <c r="L110" t="s">
        <v>47</v>
      </c>
      <c r="M110" t="s">
        <v>186</v>
      </c>
      <c r="N110" t="s">
        <v>435</v>
      </c>
      <c r="S110" t="str">
        <f t="shared" si="9"/>
        <v>Белов Алексей КонстантиновичВасильев Константин Дмитриевич</v>
      </c>
      <c r="T110" t="s">
        <v>25</v>
      </c>
      <c r="U110" t="s">
        <v>126</v>
      </c>
      <c r="V110" t="s">
        <v>120</v>
      </c>
    </row>
    <row r="111" spans="4:22" x14ac:dyDescent="0.25">
      <c r="D111" t="s">
        <v>27</v>
      </c>
      <c r="E111" t="s">
        <v>128</v>
      </c>
      <c r="F111" s="26" t="str">
        <f t="shared" si="5"/>
        <v>2023-10-10</v>
      </c>
      <c r="G111" s="26" t="str">
        <f t="shared" si="6"/>
        <v>2023-10-10</v>
      </c>
      <c r="H111">
        <f t="shared" si="7"/>
        <v>0</v>
      </c>
      <c r="K111" t="str">
        <f t="shared" si="8"/>
        <v>Яковлев Артем ИгоревичМорозов Максим Сергеевич</v>
      </c>
      <c r="L111" t="s">
        <v>30</v>
      </c>
      <c r="M111" t="s">
        <v>239</v>
      </c>
      <c r="N111" t="s">
        <v>435</v>
      </c>
      <c r="S111" t="str">
        <f t="shared" si="9"/>
        <v>Фролов Сергей ВикторовичПетров Михаил Кириллович</v>
      </c>
      <c r="T111" t="s">
        <v>16</v>
      </c>
      <c r="U111" t="s">
        <v>78</v>
      </c>
      <c r="V111" t="s">
        <v>120</v>
      </c>
    </row>
    <row r="112" spans="4:22" x14ac:dyDescent="0.25">
      <c r="D112" t="s">
        <v>5</v>
      </c>
      <c r="E112" t="s">
        <v>53</v>
      </c>
      <c r="F112" s="26" t="str">
        <f t="shared" si="5"/>
        <v>2023-10-10</v>
      </c>
      <c r="G112" s="26" t="str">
        <f t="shared" si="6"/>
        <v>2024-07-11</v>
      </c>
      <c r="H112">
        <f t="shared" si="7"/>
        <v>275</v>
      </c>
      <c r="K112" t="str">
        <f t="shared" si="8"/>
        <v>Яковлев Артем ИгоревичНовикова Людмила Владимировна</v>
      </c>
      <c r="L112" t="s">
        <v>30</v>
      </c>
      <c r="M112" t="s">
        <v>113</v>
      </c>
      <c r="N112" t="s">
        <v>435</v>
      </c>
      <c r="S112" t="str">
        <f t="shared" si="9"/>
        <v>Ткаченко Андрей ОлеговичИванова Анна Егоровна</v>
      </c>
      <c r="T112" t="s">
        <v>27</v>
      </c>
      <c r="U112" t="s">
        <v>96</v>
      </c>
      <c r="V112" t="s">
        <v>127</v>
      </c>
    </row>
    <row r="113" spans="4:22" x14ac:dyDescent="0.25">
      <c r="D113" t="s">
        <v>25</v>
      </c>
      <c r="E113" t="s">
        <v>129</v>
      </c>
      <c r="F113" s="26" t="str">
        <f t="shared" si="5"/>
        <v>2023-10-10</v>
      </c>
      <c r="G113" s="26" t="str">
        <f t="shared" si="6"/>
        <v>2024-03-29</v>
      </c>
      <c r="H113">
        <f t="shared" si="7"/>
        <v>171</v>
      </c>
      <c r="K113" t="str">
        <f t="shared" si="8"/>
        <v>Ткаченко Андрей ОлеговичСеменов Михаил Егорович</v>
      </c>
      <c r="L113" t="s">
        <v>27</v>
      </c>
      <c r="M113" t="s">
        <v>169</v>
      </c>
      <c r="N113" t="s">
        <v>435</v>
      </c>
      <c r="S113" t="str">
        <f t="shared" si="9"/>
        <v>Ткаченко Андрей ОлеговичСеменов Павел Юрьевич</v>
      </c>
      <c r="T113" t="s">
        <v>27</v>
      </c>
      <c r="U113" t="s">
        <v>128</v>
      </c>
      <c r="V113" t="s">
        <v>127</v>
      </c>
    </row>
    <row r="114" spans="4:22" x14ac:dyDescent="0.25">
      <c r="D114" t="s">
        <v>13</v>
      </c>
      <c r="E114" t="s">
        <v>130</v>
      </c>
      <c r="F114" s="26" t="str">
        <f t="shared" si="5"/>
        <v>2023-10-10</v>
      </c>
      <c r="G114" s="26" t="str">
        <f t="shared" si="6"/>
        <v>2023-10-10</v>
      </c>
      <c r="H114">
        <f t="shared" si="7"/>
        <v>0</v>
      </c>
      <c r="K114" t="str">
        <f t="shared" si="8"/>
        <v>Орлов Павел ДенисовичСидоров Владимир Артемович</v>
      </c>
      <c r="L114" t="s">
        <v>47</v>
      </c>
      <c r="M114" t="s">
        <v>32</v>
      </c>
      <c r="N114" t="s">
        <v>435</v>
      </c>
      <c r="S114" t="str">
        <f t="shared" si="9"/>
        <v>Громова Мария ИльиничнаКузнецов Максим Алексеевич</v>
      </c>
      <c r="T114" t="s">
        <v>5</v>
      </c>
      <c r="U114" t="s">
        <v>53</v>
      </c>
      <c r="V114" t="s">
        <v>127</v>
      </c>
    </row>
    <row r="115" spans="4:22" x14ac:dyDescent="0.25">
      <c r="D115" t="s">
        <v>16</v>
      </c>
      <c r="E115" t="s">
        <v>119</v>
      </c>
      <c r="F115" s="26" t="str">
        <f t="shared" si="5"/>
        <v>2023-10-11</v>
      </c>
      <c r="G115" s="26" t="str">
        <f t="shared" si="6"/>
        <v>2023-10-11</v>
      </c>
      <c r="H115">
        <f t="shared" si="7"/>
        <v>0</v>
      </c>
      <c r="K115" t="str">
        <f t="shared" si="8"/>
        <v>Ткаченко Андрей ОлеговичСтепанов Дмитрий Иванович</v>
      </c>
      <c r="L115" t="s">
        <v>27</v>
      </c>
      <c r="M115" t="s">
        <v>69</v>
      </c>
      <c r="N115" t="s">
        <v>435</v>
      </c>
      <c r="S115" t="str">
        <f t="shared" si="9"/>
        <v>Белов Алексей КонстантиновичВолкова Виктория Павловна</v>
      </c>
      <c r="T115" t="s">
        <v>25</v>
      </c>
      <c r="U115" t="s">
        <v>129</v>
      </c>
      <c r="V115" t="s">
        <v>127</v>
      </c>
    </row>
    <row r="116" spans="4:22" x14ac:dyDescent="0.25">
      <c r="D116" t="s">
        <v>10</v>
      </c>
      <c r="E116" t="s">
        <v>132</v>
      </c>
      <c r="F116" s="26" t="str">
        <f t="shared" si="5"/>
        <v>2023-10-11</v>
      </c>
      <c r="G116" s="26" t="str">
        <f t="shared" si="6"/>
        <v>2024-02-27</v>
      </c>
      <c r="H116">
        <f t="shared" si="7"/>
        <v>139</v>
      </c>
      <c r="K116" t="str">
        <f t="shared" si="8"/>
        <v>Белов Алексей КонстантиновичЛебедев Егор Никитич</v>
      </c>
      <c r="L116" t="s">
        <v>25</v>
      </c>
      <c r="M116" t="s">
        <v>136</v>
      </c>
      <c r="N116" t="s">
        <v>435</v>
      </c>
      <c r="S116" t="str">
        <f t="shared" si="9"/>
        <v>Иванова Анна СергеевнаПавлов Никита Андреевич</v>
      </c>
      <c r="T116" t="s">
        <v>13</v>
      </c>
      <c r="U116" t="s">
        <v>130</v>
      </c>
      <c r="V116" t="s">
        <v>127</v>
      </c>
    </row>
    <row r="117" spans="4:22" x14ac:dyDescent="0.25">
      <c r="D117" t="s">
        <v>18</v>
      </c>
      <c r="E117" t="s">
        <v>133</v>
      </c>
      <c r="F117" s="26" t="str">
        <f t="shared" si="5"/>
        <v>2023-10-11</v>
      </c>
      <c r="G117" s="26" t="str">
        <f t="shared" si="6"/>
        <v>2023-10-11</v>
      </c>
      <c r="H117">
        <f t="shared" si="7"/>
        <v>0</v>
      </c>
      <c r="K117" t="str">
        <f t="shared" si="8"/>
        <v>Яковлев Артем ИгоревичПетрова Алиса Станиславовна</v>
      </c>
      <c r="L117" t="s">
        <v>30</v>
      </c>
      <c r="M117" t="s">
        <v>65</v>
      </c>
      <c r="N117" t="s">
        <v>434</v>
      </c>
      <c r="S117" t="str">
        <f t="shared" si="9"/>
        <v>Фролов Сергей ВикторовичСтепанов Константин Геннадьевич</v>
      </c>
      <c r="T117" t="s">
        <v>16</v>
      </c>
      <c r="U117" t="s">
        <v>119</v>
      </c>
      <c r="V117" t="s">
        <v>131</v>
      </c>
    </row>
    <row r="118" spans="4:22" x14ac:dyDescent="0.25">
      <c r="D118" t="s">
        <v>13</v>
      </c>
      <c r="E118" t="s">
        <v>134</v>
      </c>
      <c r="F118" s="26" t="str">
        <f t="shared" si="5"/>
        <v>2023-10-11</v>
      </c>
      <c r="G118" s="26" t="str">
        <f t="shared" si="6"/>
        <v>2023-10-11</v>
      </c>
      <c r="H118">
        <f t="shared" si="7"/>
        <v>0</v>
      </c>
      <c r="K118" t="str">
        <f t="shared" si="8"/>
        <v>Фролов Сергей ВикторовичЕгорова Татьяна Романовна</v>
      </c>
      <c r="L118" t="s">
        <v>16</v>
      </c>
      <c r="M118" t="s">
        <v>299</v>
      </c>
      <c r="N118" t="s">
        <v>434</v>
      </c>
      <c r="S118" t="str">
        <f t="shared" si="9"/>
        <v>Семенова Ирина ВалерьевнаСтепанов Дмитрий Геннадьевич</v>
      </c>
      <c r="T118" t="s">
        <v>10</v>
      </c>
      <c r="U118" t="s">
        <v>132</v>
      </c>
      <c r="V118" t="s">
        <v>131</v>
      </c>
    </row>
    <row r="119" spans="4:22" x14ac:dyDescent="0.25">
      <c r="D119" t="s">
        <v>18</v>
      </c>
      <c r="E119" t="s">
        <v>125</v>
      </c>
      <c r="F119" s="26" t="str">
        <f t="shared" si="5"/>
        <v>2023-10-12</v>
      </c>
      <c r="G119" s="26" t="str">
        <f t="shared" si="6"/>
        <v>2024-08-12</v>
      </c>
      <c r="H119">
        <f t="shared" si="7"/>
        <v>305</v>
      </c>
      <c r="K119" t="str">
        <f t="shared" si="8"/>
        <v>Белов Алексей КонстантиновичИванова Алиса Алексеевна</v>
      </c>
      <c r="L119" t="s">
        <v>25</v>
      </c>
      <c r="M119" t="s">
        <v>111</v>
      </c>
      <c r="N119" t="s">
        <v>434</v>
      </c>
      <c r="S119" t="str">
        <f t="shared" si="9"/>
        <v>Петров Владимир КирилловичЛебедева Вероника Никитична</v>
      </c>
      <c r="T119" t="s">
        <v>18</v>
      </c>
      <c r="U119" t="s">
        <v>133</v>
      </c>
      <c r="V119" t="s">
        <v>131</v>
      </c>
    </row>
    <row r="120" spans="4:22" x14ac:dyDescent="0.25">
      <c r="D120" t="s">
        <v>13</v>
      </c>
      <c r="E120" t="s">
        <v>136</v>
      </c>
      <c r="F120" s="26" t="str">
        <f t="shared" si="5"/>
        <v>2023-10-12</v>
      </c>
      <c r="G120" s="26" t="str">
        <f t="shared" si="6"/>
        <v>2023-10-12</v>
      </c>
      <c r="H120">
        <f t="shared" si="7"/>
        <v>0</v>
      </c>
      <c r="K120" t="str">
        <f t="shared" si="8"/>
        <v>Ткаченко Андрей ОлеговичПетрова Елена Юрьевна</v>
      </c>
      <c r="L120" t="s">
        <v>27</v>
      </c>
      <c r="M120" t="s">
        <v>116</v>
      </c>
      <c r="N120" t="s">
        <v>434</v>
      </c>
      <c r="S120" t="str">
        <f t="shared" si="9"/>
        <v>Иванова Анна СергеевнаЕгоров Павел Сергеевич</v>
      </c>
      <c r="T120" t="s">
        <v>13</v>
      </c>
      <c r="U120" t="s">
        <v>134</v>
      </c>
      <c r="V120" t="s">
        <v>131</v>
      </c>
    </row>
    <row r="121" spans="4:22" x14ac:dyDescent="0.25">
      <c r="D121" t="s">
        <v>45</v>
      </c>
      <c r="E121" t="s">
        <v>14</v>
      </c>
      <c r="F121" s="26" t="str">
        <f t="shared" si="5"/>
        <v>2023-10-12</v>
      </c>
      <c r="G121" s="26" t="str">
        <f t="shared" si="6"/>
        <v>2023-10-12</v>
      </c>
      <c r="H121">
        <f t="shared" si="7"/>
        <v>0</v>
      </c>
      <c r="K121" t="str">
        <f t="shared" si="8"/>
        <v>Новикова Ольга ПетровнаСеменова Наталья Олеговна</v>
      </c>
      <c r="L121" t="s">
        <v>45</v>
      </c>
      <c r="M121" t="s">
        <v>249</v>
      </c>
      <c r="N121" t="s">
        <v>433</v>
      </c>
      <c r="S121" t="str">
        <f t="shared" si="9"/>
        <v>Петров Владимир КирилловичВасильев Дмитрий Иванович</v>
      </c>
      <c r="T121" t="s">
        <v>18</v>
      </c>
      <c r="U121" t="s">
        <v>125</v>
      </c>
      <c r="V121" t="s">
        <v>135</v>
      </c>
    </row>
    <row r="122" spans="4:22" x14ac:dyDescent="0.25">
      <c r="D122" t="s">
        <v>47</v>
      </c>
      <c r="E122" t="s">
        <v>137</v>
      </c>
      <c r="F122" s="26" t="str">
        <f t="shared" si="5"/>
        <v>2023-10-13</v>
      </c>
      <c r="G122" s="26" t="str">
        <f t="shared" si="6"/>
        <v>2023-10-13</v>
      </c>
      <c r="H122">
        <f t="shared" si="7"/>
        <v>0</v>
      </c>
      <c r="K122" t="str">
        <f t="shared" si="8"/>
        <v>Иванова Анна СергеевнаНиколаев Георгий Сергеевич</v>
      </c>
      <c r="L122" t="s">
        <v>13</v>
      </c>
      <c r="M122" t="s">
        <v>194</v>
      </c>
      <c r="N122" t="s">
        <v>433</v>
      </c>
      <c r="S122" t="str">
        <f t="shared" si="9"/>
        <v>Иванова Анна СергеевнаЛебедев Егор Никитич</v>
      </c>
      <c r="T122" t="s">
        <v>13</v>
      </c>
      <c r="U122" t="s">
        <v>136</v>
      </c>
      <c r="V122" t="s">
        <v>135</v>
      </c>
    </row>
    <row r="123" spans="4:22" x14ac:dyDescent="0.25">
      <c r="D123" t="s">
        <v>27</v>
      </c>
      <c r="E123" t="s">
        <v>139</v>
      </c>
      <c r="F123" s="26" t="str">
        <f t="shared" si="5"/>
        <v>2023-10-13</v>
      </c>
      <c r="G123" s="26" t="str">
        <f t="shared" si="6"/>
        <v>2023-10-13</v>
      </c>
      <c r="H123">
        <f t="shared" si="7"/>
        <v>0</v>
      </c>
      <c r="K123" t="str">
        <f t="shared" si="8"/>
        <v>Сидорова Елена ВасильевнаНиколаев Иван Михайлович</v>
      </c>
      <c r="L123" t="s">
        <v>8</v>
      </c>
      <c r="M123" t="s">
        <v>94</v>
      </c>
      <c r="N123" t="s">
        <v>433</v>
      </c>
      <c r="S123" t="str">
        <f t="shared" si="9"/>
        <v>Новикова Ольга ПетровнаИванова Наталья Дмитриевна</v>
      </c>
      <c r="T123" t="s">
        <v>45</v>
      </c>
      <c r="U123" t="s">
        <v>14</v>
      </c>
      <c r="V123" t="s">
        <v>135</v>
      </c>
    </row>
    <row r="124" spans="4:22" x14ac:dyDescent="0.25">
      <c r="D124" t="s">
        <v>18</v>
      </c>
      <c r="E124" t="s">
        <v>137</v>
      </c>
      <c r="F124" s="26" t="str">
        <f t="shared" si="5"/>
        <v>2023-10-16</v>
      </c>
      <c r="G124" s="26" t="str">
        <f t="shared" si="6"/>
        <v>2023-10-16</v>
      </c>
      <c r="H124">
        <f t="shared" si="7"/>
        <v>0</v>
      </c>
      <c r="K124" t="str">
        <f t="shared" si="8"/>
        <v>Кузнецов Дмитрий ЛьвовичПетрова Алиса Станиславовна</v>
      </c>
      <c r="L124" t="s">
        <v>38</v>
      </c>
      <c r="M124" t="s">
        <v>65</v>
      </c>
      <c r="N124" t="s">
        <v>432</v>
      </c>
      <c r="S124" t="str">
        <f t="shared" si="9"/>
        <v>Орлов Павел ДенисовичВасильев Илья Александрович</v>
      </c>
      <c r="T124" t="s">
        <v>47</v>
      </c>
      <c r="U124" t="s">
        <v>137</v>
      </c>
      <c r="V124" t="s">
        <v>138</v>
      </c>
    </row>
    <row r="125" spans="4:22" x14ac:dyDescent="0.25">
      <c r="D125" t="s">
        <v>45</v>
      </c>
      <c r="E125" t="s">
        <v>96</v>
      </c>
      <c r="F125" s="26" t="str">
        <f t="shared" si="5"/>
        <v>2023-10-16</v>
      </c>
      <c r="G125" s="26" t="str">
        <f t="shared" si="6"/>
        <v>2023-10-16</v>
      </c>
      <c r="H125">
        <f t="shared" si="7"/>
        <v>0</v>
      </c>
      <c r="K125" t="str">
        <f t="shared" si="8"/>
        <v>Белов Алексей КонстантиновичАлексеев Кирилл Иванович</v>
      </c>
      <c r="L125" t="s">
        <v>25</v>
      </c>
      <c r="M125" t="s">
        <v>90</v>
      </c>
      <c r="N125" t="s">
        <v>432</v>
      </c>
      <c r="S125" t="str">
        <f t="shared" si="9"/>
        <v>Ткаченко Андрей ОлеговичПетрова Александра Олеговна</v>
      </c>
      <c r="T125" t="s">
        <v>27</v>
      </c>
      <c r="U125" t="s">
        <v>139</v>
      </c>
      <c r="V125" t="s">
        <v>138</v>
      </c>
    </row>
    <row r="126" spans="4:22" x14ac:dyDescent="0.25">
      <c r="D126" t="s">
        <v>45</v>
      </c>
      <c r="E126" t="s">
        <v>89</v>
      </c>
      <c r="F126" s="26" t="str">
        <f t="shared" si="5"/>
        <v>2023-10-16</v>
      </c>
      <c r="G126" s="26" t="str">
        <f t="shared" si="6"/>
        <v>2024-02-23</v>
      </c>
      <c r="H126">
        <f t="shared" si="7"/>
        <v>130</v>
      </c>
      <c r="K126" t="str">
        <f t="shared" si="8"/>
        <v>Петров Владимир КирилловичКозлов Александр Дмитриевич</v>
      </c>
      <c r="L126" t="s">
        <v>18</v>
      </c>
      <c r="M126" t="s">
        <v>88</v>
      </c>
      <c r="N126" t="s">
        <v>432</v>
      </c>
      <c r="S126" t="str">
        <f t="shared" si="9"/>
        <v>Петров Владимир КирилловичВасильев Илья Александрович</v>
      </c>
      <c r="T126" t="s">
        <v>18</v>
      </c>
      <c r="U126" t="s">
        <v>137</v>
      </c>
      <c r="V126" t="s">
        <v>140</v>
      </c>
    </row>
    <row r="127" spans="4:22" x14ac:dyDescent="0.25">
      <c r="D127" t="s">
        <v>38</v>
      </c>
      <c r="E127" t="s">
        <v>141</v>
      </c>
      <c r="F127" s="26" t="str">
        <f t="shared" si="5"/>
        <v>2023-10-16</v>
      </c>
      <c r="G127" s="26" t="str">
        <f t="shared" si="6"/>
        <v>2023-10-16</v>
      </c>
      <c r="H127">
        <f t="shared" si="7"/>
        <v>0</v>
      </c>
      <c r="K127" t="str">
        <f t="shared" si="8"/>
        <v>Петров Владимир КирилловичНиколаева Наталья Геннадьевна</v>
      </c>
      <c r="L127" t="s">
        <v>18</v>
      </c>
      <c r="M127" t="s">
        <v>256</v>
      </c>
      <c r="N127" t="s">
        <v>431</v>
      </c>
      <c r="S127" t="str">
        <f t="shared" si="9"/>
        <v>Новикова Ольга ПетровнаИванова Анна Егоровна</v>
      </c>
      <c r="T127" t="s">
        <v>45</v>
      </c>
      <c r="U127" t="s">
        <v>96</v>
      </c>
      <c r="V127" t="s">
        <v>140</v>
      </c>
    </row>
    <row r="128" spans="4:22" x14ac:dyDescent="0.25">
      <c r="D128" t="s">
        <v>13</v>
      </c>
      <c r="E128" t="s">
        <v>142</v>
      </c>
      <c r="F128" s="26" t="str">
        <f t="shared" si="5"/>
        <v>2023-10-17</v>
      </c>
      <c r="G128" s="26" t="str">
        <f t="shared" si="6"/>
        <v>2023-10-17</v>
      </c>
      <c r="H128">
        <f t="shared" si="7"/>
        <v>0</v>
      </c>
      <c r="K128" t="str">
        <f t="shared" si="8"/>
        <v>Громова Мария ИльиничнаСмирнова Елена Викторовна</v>
      </c>
      <c r="L128" t="s">
        <v>5</v>
      </c>
      <c r="M128" t="s">
        <v>66</v>
      </c>
      <c r="N128" t="s">
        <v>430</v>
      </c>
      <c r="S128" t="str">
        <f t="shared" si="9"/>
        <v>Новикова Ольга ПетровнаВолкова Татьяна Станиславовна</v>
      </c>
      <c r="T128" t="s">
        <v>45</v>
      </c>
      <c r="U128" t="s">
        <v>89</v>
      </c>
      <c r="V128" t="s">
        <v>140</v>
      </c>
    </row>
    <row r="129" spans="4:22" x14ac:dyDescent="0.25">
      <c r="D129" t="s">
        <v>30</v>
      </c>
      <c r="E129" t="s">
        <v>144</v>
      </c>
      <c r="F129" s="26" t="str">
        <f t="shared" si="5"/>
        <v>2023-10-17</v>
      </c>
      <c r="G129" s="26" t="str">
        <f t="shared" si="6"/>
        <v>2024-07-15</v>
      </c>
      <c r="H129">
        <f t="shared" si="7"/>
        <v>272</v>
      </c>
      <c r="K129" t="str">
        <f t="shared" si="8"/>
        <v>Белов Алексей КонстантиновичОрлов Константин Никитич</v>
      </c>
      <c r="L129" t="s">
        <v>25</v>
      </c>
      <c r="M129" t="s">
        <v>233</v>
      </c>
      <c r="N129" t="s">
        <v>430</v>
      </c>
      <c r="S129" t="str">
        <f t="shared" si="9"/>
        <v>Кузнецов Дмитрий ЛьвовичОрлова Анна Артемовна</v>
      </c>
      <c r="T129" t="s">
        <v>38</v>
      </c>
      <c r="U129" t="s">
        <v>141</v>
      </c>
      <c r="V129" t="s">
        <v>140</v>
      </c>
    </row>
    <row r="130" spans="4:22" x14ac:dyDescent="0.25">
      <c r="D130" t="s">
        <v>27</v>
      </c>
      <c r="E130" t="s">
        <v>24</v>
      </c>
      <c r="F130" s="26" t="str">
        <f t="shared" si="5"/>
        <v>2023-10-17</v>
      </c>
      <c r="G130" s="26" t="str">
        <f t="shared" si="6"/>
        <v>2023-10-17</v>
      </c>
      <c r="H130">
        <f t="shared" si="7"/>
        <v>0</v>
      </c>
      <c r="K130" t="str">
        <f t="shared" si="8"/>
        <v>Яковлев Артем ИгоревичПетрова Алиса Станиславовна</v>
      </c>
      <c r="L130" t="s">
        <v>30</v>
      </c>
      <c r="M130" t="s">
        <v>65</v>
      </c>
      <c r="N130" t="s">
        <v>430</v>
      </c>
      <c r="S130" t="str">
        <f t="shared" si="9"/>
        <v>Иванова Анна СергеевнаОрлов Андрей Никитич</v>
      </c>
      <c r="T130" t="s">
        <v>13</v>
      </c>
      <c r="U130" t="s">
        <v>142</v>
      </c>
      <c r="V130" t="s">
        <v>143</v>
      </c>
    </row>
    <row r="131" spans="4:22" x14ac:dyDescent="0.25">
      <c r="D131" t="s">
        <v>47</v>
      </c>
      <c r="E131" t="s">
        <v>17</v>
      </c>
      <c r="F131" s="26" t="str">
        <f t="shared" ref="F131:F194" si="10">VLOOKUP(D131&amp;E131,S:V,4,0)</f>
        <v>2023-10-18</v>
      </c>
      <c r="G131" s="26" t="str">
        <f t="shared" ref="G131:G194" si="11">VLOOKUP(D131&amp;E131,K:N,4,0)</f>
        <v>2023-10-18</v>
      </c>
      <c r="H131">
        <f t="shared" ref="H131:H194" si="12">G131-F131</f>
        <v>0</v>
      </c>
      <c r="K131" t="str">
        <f t="shared" ref="K131:K194" si="13">L131&amp;M131</f>
        <v>Фролов Сергей ВикторовичКозлов Илья Егорович</v>
      </c>
      <c r="L131" t="s">
        <v>16</v>
      </c>
      <c r="M131" t="s">
        <v>80</v>
      </c>
      <c r="N131" t="s">
        <v>430</v>
      </c>
      <c r="S131" t="str">
        <f t="shared" ref="S131:S194" si="14">T131&amp;U131</f>
        <v>Яковлев Артем ИгоревичПавлов Сергей Артемович</v>
      </c>
      <c r="T131" t="s">
        <v>30</v>
      </c>
      <c r="U131" t="s">
        <v>144</v>
      </c>
      <c r="V131" t="s">
        <v>143</v>
      </c>
    </row>
    <row r="132" spans="4:22" x14ac:dyDescent="0.25">
      <c r="D132" t="s">
        <v>25</v>
      </c>
      <c r="E132" t="s">
        <v>22</v>
      </c>
      <c r="F132" s="26" t="str">
        <f t="shared" si="10"/>
        <v>2023-10-18</v>
      </c>
      <c r="G132" s="26" t="str">
        <f t="shared" si="11"/>
        <v>2023-10-18</v>
      </c>
      <c r="H132">
        <f t="shared" si="12"/>
        <v>0</v>
      </c>
      <c r="K132" t="str">
        <f t="shared" si="13"/>
        <v>Громова Мария ИльиничнаЕгоров Дмитрий Дмитриевич</v>
      </c>
      <c r="L132" t="s">
        <v>5</v>
      </c>
      <c r="M132" t="s">
        <v>224</v>
      </c>
      <c r="N132" t="s">
        <v>430</v>
      </c>
      <c r="S132" t="str">
        <f t="shared" si="14"/>
        <v>Ткаченко Андрей ОлеговичВолкова Наталья Андреевна</v>
      </c>
      <c r="T132" t="s">
        <v>27</v>
      </c>
      <c r="U132" t="s">
        <v>24</v>
      </c>
      <c r="V132" t="s">
        <v>143</v>
      </c>
    </row>
    <row r="133" spans="4:22" x14ac:dyDescent="0.25">
      <c r="D133" t="s">
        <v>8</v>
      </c>
      <c r="E133" t="s">
        <v>146</v>
      </c>
      <c r="F133" s="26" t="str">
        <f t="shared" si="10"/>
        <v>2023-10-18</v>
      </c>
      <c r="G133" s="26" t="str">
        <f t="shared" si="11"/>
        <v>2023-10-18</v>
      </c>
      <c r="H133">
        <f t="shared" si="12"/>
        <v>0</v>
      </c>
      <c r="K133" t="str">
        <f t="shared" si="13"/>
        <v>Фролов Сергей ВикторовичНиколаев Георгий Сергеевич</v>
      </c>
      <c r="L133" t="s">
        <v>16</v>
      </c>
      <c r="M133" t="s">
        <v>194</v>
      </c>
      <c r="N133" t="s">
        <v>430</v>
      </c>
      <c r="S133" t="str">
        <f t="shared" si="14"/>
        <v>Орлов Павел ДенисовичКозлова Полина Артемовна</v>
      </c>
      <c r="T133" t="s">
        <v>47</v>
      </c>
      <c r="U133" t="s">
        <v>17</v>
      </c>
      <c r="V133" t="s">
        <v>145</v>
      </c>
    </row>
    <row r="134" spans="4:22" x14ac:dyDescent="0.25">
      <c r="D134" t="s">
        <v>13</v>
      </c>
      <c r="E134" t="s">
        <v>48</v>
      </c>
      <c r="F134" s="26" t="str">
        <f t="shared" si="10"/>
        <v>2023-10-19</v>
      </c>
      <c r="G134" s="26" t="str">
        <f t="shared" si="11"/>
        <v>2023-10-19</v>
      </c>
      <c r="H134">
        <f t="shared" si="12"/>
        <v>0</v>
      </c>
      <c r="K134" t="str">
        <f t="shared" si="13"/>
        <v>Кузнецов Дмитрий ЛьвовичВасильева Ксения Михайловна</v>
      </c>
      <c r="L134" t="s">
        <v>38</v>
      </c>
      <c r="M134" t="s">
        <v>57</v>
      </c>
      <c r="N134" t="s">
        <v>430</v>
      </c>
      <c r="S134" t="str">
        <f t="shared" si="14"/>
        <v>Белов Алексей КонстантиновичПетров Алексей Юрьевич</v>
      </c>
      <c r="T134" t="s">
        <v>25</v>
      </c>
      <c r="U134" t="s">
        <v>22</v>
      </c>
      <c r="V134" t="s">
        <v>145</v>
      </c>
    </row>
    <row r="135" spans="4:22" x14ac:dyDescent="0.25">
      <c r="D135" t="s">
        <v>47</v>
      </c>
      <c r="E135" t="s">
        <v>141</v>
      </c>
      <c r="F135" s="26" t="str">
        <f t="shared" si="10"/>
        <v>2023-10-19</v>
      </c>
      <c r="G135" s="26" t="str">
        <f t="shared" si="11"/>
        <v>2023-10-19</v>
      </c>
      <c r="H135">
        <f t="shared" si="12"/>
        <v>0</v>
      </c>
      <c r="K135" t="str">
        <f t="shared" si="13"/>
        <v>Ткаченко Андрей ОлеговичМорозов Никита Алексеевич</v>
      </c>
      <c r="L135" t="s">
        <v>27</v>
      </c>
      <c r="M135" t="s">
        <v>92</v>
      </c>
      <c r="N135" t="s">
        <v>429</v>
      </c>
      <c r="S135" t="str">
        <f t="shared" si="14"/>
        <v>Сидорова Елена ВасильевнаПопов Михаил Павлович</v>
      </c>
      <c r="T135" t="s">
        <v>8</v>
      </c>
      <c r="U135" t="s">
        <v>146</v>
      </c>
      <c r="V135" t="s">
        <v>145</v>
      </c>
    </row>
    <row r="136" spans="4:22" x14ac:dyDescent="0.25">
      <c r="D136" t="s">
        <v>30</v>
      </c>
      <c r="E136" t="s">
        <v>148</v>
      </c>
      <c r="F136" s="26" t="str">
        <f t="shared" si="10"/>
        <v>2023-10-19</v>
      </c>
      <c r="G136" s="26" t="str">
        <f t="shared" si="11"/>
        <v>2024-07-16</v>
      </c>
      <c r="H136">
        <f t="shared" si="12"/>
        <v>271</v>
      </c>
      <c r="K136" t="str">
        <f t="shared" si="13"/>
        <v>Иванова Анна СергеевнаМорозов Илья Геннадьевич</v>
      </c>
      <c r="L136" t="s">
        <v>13</v>
      </c>
      <c r="M136" t="s">
        <v>67</v>
      </c>
      <c r="N136" t="s">
        <v>429</v>
      </c>
      <c r="S136" t="str">
        <f t="shared" si="14"/>
        <v>Иванова Анна СергеевнаПетрова Татьяна Павловна</v>
      </c>
      <c r="T136" t="s">
        <v>13</v>
      </c>
      <c r="U136" t="s">
        <v>48</v>
      </c>
      <c r="V136" t="s">
        <v>147</v>
      </c>
    </row>
    <row r="137" spans="4:22" x14ac:dyDescent="0.25">
      <c r="D137" t="s">
        <v>30</v>
      </c>
      <c r="E137" t="s">
        <v>136</v>
      </c>
      <c r="F137" s="26" t="str">
        <f t="shared" si="10"/>
        <v>2023-10-19</v>
      </c>
      <c r="G137" s="26" t="str">
        <f t="shared" si="11"/>
        <v>2023-10-19</v>
      </c>
      <c r="H137">
        <f t="shared" si="12"/>
        <v>0</v>
      </c>
      <c r="K137" t="str">
        <f t="shared" si="13"/>
        <v>Белов Алексей КонстантиновичЛебедев Сергей Станиславович</v>
      </c>
      <c r="L137" t="s">
        <v>25</v>
      </c>
      <c r="M137" t="s">
        <v>59</v>
      </c>
      <c r="N137" t="s">
        <v>429</v>
      </c>
      <c r="S137" t="str">
        <f t="shared" si="14"/>
        <v>Орлов Павел ДенисовичОрлова Анна Артемовна</v>
      </c>
      <c r="T137" t="s">
        <v>47</v>
      </c>
      <c r="U137" t="s">
        <v>141</v>
      </c>
      <c r="V137" t="s">
        <v>147</v>
      </c>
    </row>
    <row r="138" spans="4:22" x14ac:dyDescent="0.25">
      <c r="D138" t="s">
        <v>47</v>
      </c>
      <c r="E138" t="s">
        <v>61</v>
      </c>
      <c r="F138" s="26" t="str">
        <f t="shared" si="10"/>
        <v>2023-10-19</v>
      </c>
      <c r="G138" s="26" t="str">
        <f t="shared" si="11"/>
        <v>2023-10-19</v>
      </c>
      <c r="H138">
        <f t="shared" si="12"/>
        <v>0</v>
      </c>
      <c r="K138" t="str">
        <f t="shared" si="13"/>
        <v>Ткаченко Андрей ОлеговичИванов Роман Кириллович</v>
      </c>
      <c r="L138" t="s">
        <v>27</v>
      </c>
      <c r="M138" t="s">
        <v>91</v>
      </c>
      <c r="N138" t="s">
        <v>428</v>
      </c>
      <c r="S138" t="str">
        <f t="shared" si="14"/>
        <v>Яковлев Артем ИгоревичИванова Людмила Юрьевна</v>
      </c>
      <c r="T138" t="s">
        <v>30</v>
      </c>
      <c r="U138" t="s">
        <v>148</v>
      </c>
      <c r="V138" t="s">
        <v>147</v>
      </c>
    </row>
    <row r="139" spans="4:22" x14ac:dyDescent="0.25">
      <c r="D139" t="s">
        <v>8</v>
      </c>
      <c r="E139" t="s">
        <v>149</v>
      </c>
      <c r="F139" s="26" t="str">
        <f t="shared" si="10"/>
        <v>2023-10-20</v>
      </c>
      <c r="G139" s="26" t="str">
        <f t="shared" si="11"/>
        <v>2024-07-12</v>
      </c>
      <c r="H139">
        <f t="shared" si="12"/>
        <v>266</v>
      </c>
      <c r="K139" t="str">
        <f t="shared" si="13"/>
        <v>Петров Владимир КирилловичФедорова Алиса Викторовна</v>
      </c>
      <c r="L139" t="s">
        <v>18</v>
      </c>
      <c r="M139" t="s">
        <v>395</v>
      </c>
      <c r="N139" t="s">
        <v>428</v>
      </c>
      <c r="S139" t="str">
        <f t="shared" si="14"/>
        <v>Яковлев Артем ИгоревичЛебедев Егор Никитич</v>
      </c>
      <c r="T139" t="s">
        <v>30</v>
      </c>
      <c r="U139" t="s">
        <v>136</v>
      </c>
      <c r="V139" t="s">
        <v>147</v>
      </c>
    </row>
    <row r="140" spans="4:22" x14ac:dyDescent="0.25">
      <c r="D140" t="s">
        <v>47</v>
      </c>
      <c r="E140" t="s">
        <v>151</v>
      </c>
      <c r="F140" s="26" t="str">
        <f t="shared" si="10"/>
        <v>2023-10-20</v>
      </c>
      <c r="G140" s="26" t="str">
        <f t="shared" si="11"/>
        <v>2023-10-20</v>
      </c>
      <c r="H140">
        <f t="shared" si="12"/>
        <v>0</v>
      </c>
      <c r="K140" t="str">
        <f t="shared" si="13"/>
        <v>Новикова Ольга ПетровнаВолкова Наталья Андреевна</v>
      </c>
      <c r="L140" t="s">
        <v>45</v>
      </c>
      <c r="M140" t="s">
        <v>24</v>
      </c>
      <c r="N140" t="s">
        <v>427</v>
      </c>
      <c r="S140" t="str">
        <f t="shared" si="14"/>
        <v>Орлов Павел ДенисовичОрлова Анна Юрьевна</v>
      </c>
      <c r="T140" t="s">
        <v>47</v>
      </c>
      <c r="U140" t="s">
        <v>61</v>
      </c>
      <c r="V140" t="s">
        <v>147</v>
      </c>
    </row>
    <row r="141" spans="4:22" x14ac:dyDescent="0.25">
      <c r="D141" t="s">
        <v>13</v>
      </c>
      <c r="E141" t="s">
        <v>152</v>
      </c>
      <c r="F141" s="26" t="str">
        <f t="shared" si="10"/>
        <v>2023-10-20</v>
      </c>
      <c r="G141" s="26" t="str">
        <f t="shared" si="11"/>
        <v>2023-10-20</v>
      </c>
      <c r="H141">
        <f t="shared" si="12"/>
        <v>0</v>
      </c>
      <c r="K141" t="str">
        <f t="shared" si="13"/>
        <v>Новикова Ольга ПетровнаВолкова Ольга Андреевна</v>
      </c>
      <c r="L141" t="s">
        <v>45</v>
      </c>
      <c r="M141" t="s">
        <v>21</v>
      </c>
      <c r="N141" t="s">
        <v>427</v>
      </c>
      <c r="S141" t="str">
        <f t="shared" si="14"/>
        <v>Сидорова Елена ВасильевнаСтепанов Александр Дмитриевич</v>
      </c>
      <c r="T141" t="s">
        <v>8</v>
      </c>
      <c r="U141" t="s">
        <v>149</v>
      </c>
      <c r="V141" t="s">
        <v>150</v>
      </c>
    </row>
    <row r="142" spans="4:22" x14ac:dyDescent="0.25">
      <c r="D142" t="s">
        <v>18</v>
      </c>
      <c r="E142" t="s">
        <v>153</v>
      </c>
      <c r="F142" s="26" t="str">
        <f t="shared" si="10"/>
        <v>2023-10-20</v>
      </c>
      <c r="G142" s="26" t="str">
        <f t="shared" si="11"/>
        <v>2023-10-20</v>
      </c>
      <c r="H142">
        <f t="shared" si="12"/>
        <v>0</v>
      </c>
      <c r="K142" t="str">
        <f t="shared" si="13"/>
        <v>Орлов Павел ДенисовичСмирнова Светлана Кирилловна</v>
      </c>
      <c r="L142" t="s">
        <v>47</v>
      </c>
      <c r="M142" t="s">
        <v>393</v>
      </c>
      <c r="N142" t="s">
        <v>427</v>
      </c>
      <c r="S142" t="str">
        <f t="shared" si="14"/>
        <v>Орлов Павел ДенисовичВолков Кирилл Юрьевич</v>
      </c>
      <c r="T142" t="s">
        <v>47</v>
      </c>
      <c r="U142" t="s">
        <v>151</v>
      </c>
      <c r="V142" t="s">
        <v>150</v>
      </c>
    </row>
    <row r="143" spans="4:22" x14ac:dyDescent="0.25">
      <c r="D143" t="s">
        <v>30</v>
      </c>
      <c r="E143" t="s">
        <v>77</v>
      </c>
      <c r="F143" s="26" t="str">
        <f t="shared" si="10"/>
        <v>2023-10-23</v>
      </c>
      <c r="G143" s="26" t="str">
        <f t="shared" si="11"/>
        <v>2023-10-23</v>
      </c>
      <c r="H143">
        <f t="shared" si="12"/>
        <v>0</v>
      </c>
      <c r="K143" t="str">
        <f t="shared" si="13"/>
        <v>Громова Мария ИльиничнаСмирнова Алиса Михайловна</v>
      </c>
      <c r="L143" t="s">
        <v>5</v>
      </c>
      <c r="M143" t="s">
        <v>205</v>
      </c>
      <c r="N143" t="s">
        <v>427</v>
      </c>
      <c r="S143" t="str">
        <f t="shared" si="14"/>
        <v>Иванова Анна СергеевнаПавлов Матвей Владимирович</v>
      </c>
      <c r="T143" t="s">
        <v>13</v>
      </c>
      <c r="U143" t="s">
        <v>152</v>
      </c>
      <c r="V143" t="s">
        <v>150</v>
      </c>
    </row>
    <row r="144" spans="4:22" x14ac:dyDescent="0.25">
      <c r="D144" t="s">
        <v>8</v>
      </c>
      <c r="E144" t="s">
        <v>155</v>
      </c>
      <c r="F144" s="26" t="str">
        <f t="shared" si="10"/>
        <v>2023-10-23</v>
      </c>
      <c r="G144" s="26" t="str">
        <f t="shared" si="11"/>
        <v>2024-05-17</v>
      </c>
      <c r="H144">
        <f t="shared" si="12"/>
        <v>207</v>
      </c>
      <c r="K144" t="str">
        <f t="shared" si="13"/>
        <v>Семенова Ирина ВалерьевнаСеменов Алексей Владимирович</v>
      </c>
      <c r="L144" t="s">
        <v>10</v>
      </c>
      <c r="M144" t="s">
        <v>35</v>
      </c>
      <c r="N144" t="s">
        <v>426</v>
      </c>
      <c r="S144" t="str">
        <f t="shared" si="14"/>
        <v>Петров Владимир КирилловичСидоров Егор Александрович</v>
      </c>
      <c r="T144" t="s">
        <v>18</v>
      </c>
      <c r="U144" t="s">
        <v>153</v>
      </c>
      <c r="V144" t="s">
        <v>150</v>
      </c>
    </row>
    <row r="145" spans="4:22" x14ac:dyDescent="0.25">
      <c r="D145" t="s">
        <v>38</v>
      </c>
      <c r="E145" t="s">
        <v>35</v>
      </c>
      <c r="F145" s="26" t="str">
        <f t="shared" si="10"/>
        <v>2023-10-23</v>
      </c>
      <c r="G145" s="26" t="str">
        <f t="shared" si="11"/>
        <v>2023-10-23</v>
      </c>
      <c r="H145">
        <f t="shared" si="12"/>
        <v>0</v>
      </c>
      <c r="K145" t="str">
        <f t="shared" si="13"/>
        <v>Яковлев Артем ИгоревичИванова Людмила Юрьевна</v>
      </c>
      <c r="L145" t="s">
        <v>30</v>
      </c>
      <c r="M145" t="s">
        <v>148</v>
      </c>
      <c r="N145" t="s">
        <v>426</v>
      </c>
      <c r="S145" t="str">
        <f t="shared" si="14"/>
        <v>Яковлев Артем ИгоревичСтепанова София Михайловна</v>
      </c>
      <c r="T145" t="s">
        <v>30</v>
      </c>
      <c r="U145" t="s">
        <v>77</v>
      </c>
      <c r="V145" t="s">
        <v>154</v>
      </c>
    </row>
    <row r="146" spans="4:22" x14ac:dyDescent="0.25">
      <c r="D146" t="s">
        <v>13</v>
      </c>
      <c r="E146" t="s">
        <v>101</v>
      </c>
      <c r="F146" s="26" t="str">
        <f t="shared" si="10"/>
        <v>2023-10-23</v>
      </c>
      <c r="G146" s="26" t="str">
        <f t="shared" si="11"/>
        <v>2024-08-12</v>
      </c>
      <c r="H146">
        <f t="shared" si="12"/>
        <v>294</v>
      </c>
      <c r="K146" t="str">
        <f t="shared" si="13"/>
        <v>Белов Алексей КонстантиновичСеменова Наталья Олеговна</v>
      </c>
      <c r="L146" t="s">
        <v>25</v>
      </c>
      <c r="M146" t="s">
        <v>249</v>
      </c>
      <c r="N146" t="s">
        <v>425</v>
      </c>
      <c r="S146" t="str">
        <f t="shared" si="14"/>
        <v>Сидорова Елена ВасильевнаСидоров Дмитрий Владимирович</v>
      </c>
      <c r="T146" t="s">
        <v>8</v>
      </c>
      <c r="U146" t="s">
        <v>155</v>
      </c>
      <c r="V146" t="s">
        <v>154</v>
      </c>
    </row>
    <row r="147" spans="4:22" x14ac:dyDescent="0.25">
      <c r="D147" t="s">
        <v>25</v>
      </c>
      <c r="E147" t="s">
        <v>141</v>
      </c>
      <c r="F147" s="26" t="str">
        <f t="shared" si="10"/>
        <v>2023-10-23</v>
      </c>
      <c r="G147" s="26" t="str">
        <f t="shared" si="11"/>
        <v>2023-10-23</v>
      </c>
      <c r="H147">
        <f t="shared" si="12"/>
        <v>0</v>
      </c>
      <c r="K147" t="str">
        <f t="shared" si="13"/>
        <v>Яковлев Артем ИгоревичПавлов Сергей Артемович</v>
      </c>
      <c r="L147" t="s">
        <v>30</v>
      </c>
      <c r="M147" t="s">
        <v>144</v>
      </c>
      <c r="N147" t="s">
        <v>425</v>
      </c>
      <c r="S147" t="str">
        <f t="shared" si="14"/>
        <v>Кузнецов Дмитрий ЛьвовичСеменов Алексей Владимирович</v>
      </c>
      <c r="T147" t="s">
        <v>38</v>
      </c>
      <c r="U147" t="s">
        <v>35</v>
      </c>
      <c r="V147" t="s">
        <v>154</v>
      </c>
    </row>
    <row r="148" spans="4:22" x14ac:dyDescent="0.25">
      <c r="D148" t="s">
        <v>30</v>
      </c>
      <c r="E148" t="s">
        <v>156</v>
      </c>
      <c r="F148" s="26" t="str">
        <f t="shared" si="10"/>
        <v>2023-10-23</v>
      </c>
      <c r="G148" s="26" t="str">
        <f t="shared" si="11"/>
        <v>2024-04-01</v>
      </c>
      <c r="H148">
        <f t="shared" si="12"/>
        <v>161</v>
      </c>
      <c r="K148" t="str">
        <f t="shared" si="13"/>
        <v>Сидорова Елена ВасильевнаСтепанов Александр Дмитриевич</v>
      </c>
      <c r="L148" t="s">
        <v>8</v>
      </c>
      <c r="M148" t="s">
        <v>149</v>
      </c>
      <c r="N148" t="s">
        <v>424</v>
      </c>
      <c r="S148" t="str">
        <f t="shared" si="14"/>
        <v>Иванова Анна СергеевнаНовикова Виктория Александровна</v>
      </c>
      <c r="T148" t="s">
        <v>13</v>
      </c>
      <c r="U148" t="s">
        <v>101</v>
      </c>
      <c r="V148" t="s">
        <v>154</v>
      </c>
    </row>
    <row r="149" spans="4:22" x14ac:dyDescent="0.25">
      <c r="D149" t="s">
        <v>47</v>
      </c>
      <c r="E149" t="s">
        <v>90</v>
      </c>
      <c r="F149" s="26" t="str">
        <f t="shared" si="10"/>
        <v>2023-10-23</v>
      </c>
      <c r="G149" s="26" t="str">
        <f t="shared" si="11"/>
        <v>2023-10-23</v>
      </c>
      <c r="H149">
        <f t="shared" si="12"/>
        <v>0</v>
      </c>
      <c r="K149" t="str">
        <f t="shared" si="13"/>
        <v>Ткаченко Андрей ОлеговичСеменова Светлана Дмитриевна</v>
      </c>
      <c r="L149" t="s">
        <v>27</v>
      </c>
      <c r="M149" t="s">
        <v>41</v>
      </c>
      <c r="N149" t="s">
        <v>424</v>
      </c>
      <c r="S149" t="str">
        <f t="shared" si="14"/>
        <v>Белов Алексей КонстантиновичОрлова Анна Артемовна</v>
      </c>
      <c r="T149" t="s">
        <v>25</v>
      </c>
      <c r="U149" t="s">
        <v>141</v>
      </c>
      <c r="V149" t="s">
        <v>154</v>
      </c>
    </row>
    <row r="150" spans="4:22" x14ac:dyDescent="0.25">
      <c r="D150" t="s">
        <v>47</v>
      </c>
      <c r="E150" t="s">
        <v>157</v>
      </c>
      <c r="F150" s="26" t="str">
        <f t="shared" si="10"/>
        <v>2023-10-23</v>
      </c>
      <c r="G150" s="26" t="str">
        <f t="shared" si="11"/>
        <v>2024-06-04</v>
      </c>
      <c r="H150">
        <f t="shared" si="12"/>
        <v>225</v>
      </c>
      <c r="K150" t="str">
        <f t="shared" si="13"/>
        <v>Фролов Сергей ВикторовичЛебедева Ирина Кирилловна</v>
      </c>
      <c r="L150" t="s">
        <v>16</v>
      </c>
      <c r="M150" t="s">
        <v>73</v>
      </c>
      <c r="N150" t="s">
        <v>424</v>
      </c>
      <c r="S150" t="str">
        <f t="shared" si="14"/>
        <v>Яковлев Артем ИгоревичКозлов Алексей Романович</v>
      </c>
      <c r="T150" t="s">
        <v>30</v>
      </c>
      <c r="U150" t="s">
        <v>156</v>
      </c>
      <c r="V150" t="s">
        <v>154</v>
      </c>
    </row>
    <row r="151" spans="4:22" x14ac:dyDescent="0.25">
      <c r="D151" t="s">
        <v>27</v>
      </c>
      <c r="E151" t="s">
        <v>158</v>
      </c>
      <c r="F151" s="26" t="str">
        <f t="shared" si="10"/>
        <v>2023-10-23</v>
      </c>
      <c r="G151" s="26" t="str">
        <f t="shared" si="11"/>
        <v>2023-10-23</v>
      </c>
      <c r="H151">
        <f t="shared" si="12"/>
        <v>0</v>
      </c>
      <c r="K151" t="str">
        <f t="shared" si="13"/>
        <v>Кузнецов Дмитрий ЛьвовичПавлов Никита Андреевич</v>
      </c>
      <c r="L151" t="s">
        <v>38</v>
      </c>
      <c r="M151" t="s">
        <v>130</v>
      </c>
      <c r="N151" t="s">
        <v>424</v>
      </c>
      <c r="S151" t="str">
        <f t="shared" si="14"/>
        <v>Орлов Павел ДенисовичАлексеев Кирилл Иванович</v>
      </c>
      <c r="T151" t="s">
        <v>47</v>
      </c>
      <c r="U151" t="s">
        <v>90</v>
      </c>
      <c r="V151" t="s">
        <v>154</v>
      </c>
    </row>
    <row r="152" spans="4:22" x14ac:dyDescent="0.25">
      <c r="D152" t="s">
        <v>8</v>
      </c>
      <c r="E152" t="s">
        <v>52</v>
      </c>
      <c r="F152" s="26" t="str">
        <f t="shared" si="10"/>
        <v>2023-10-24</v>
      </c>
      <c r="G152" s="26" t="str">
        <f t="shared" si="11"/>
        <v>2023-10-24</v>
      </c>
      <c r="H152">
        <f t="shared" si="12"/>
        <v>0</v>
      </c>
      <c r="K152" t="str">
        <f t="shared" si="13"/>
        <v>Сидорова Елена ВасильевнаМорозов Никита Алексеевич</v>
      </c>
      <c r="L152" t="s">
        <v>8</v>
      </c>
      <c r="M152" t="s">
        <v>92</v>
      </c>
      <c r="N152" t="s">
        <v>423</v>
      </c>
      <c r="S152" t="str">
        <f t="shared" si="14"/>
        <v>Орлов Павел ДенисовичОрлова Юлия Сергеевна</v>
      </c>
      <c r="T152" t="s">
        <v>47</v>
      </c>
      <c r="U152" t="s">
        <v>157</v>
      </c>
      <c r="V152" t="s">
        <v>154</v>
      </c>
    </row>
    <row r="153" spans="4:22" x14ac:dyDescent="0.25">
      <c r="D153" t="s">
        <v>8</v>
      </c>
      <c r="E153" t="s">
        <v>101</v>
      </c>
      <c r="F153" s="26" t="str">
        <f t="shared" si="10"/>
        <v>2023-10-25</v>
      </c>
      <c r="G153" s="26" t="str">
        <f t="shared" si="11"/>
        <v>2023-10-25</v>
      </c>
      <c r="H153">
        <f t="shared" si="12"/>
        <v>0</v>
      </c>
      <c r="K153" t="str">
        <f t="shared" si="13"/>
        <v>Громова Мария ИльиничнаКузнецов Максим Алексеевич</v>
      </c>
      <c r="L153" t="s">
        <v>5</v>
      </c>
      <c r="M153" t="s">
        <v>53</v>
      </c>
      <c r="N153" t="s">
        <v>423</v>
      </c>
      <c r="S153" t="str">
        <f t="shared" si="14"/>
        <v>Ткаченко Андрей ОлеговичКозлова Ксения Ильинична</v>
      </c>
      <c r="T153" t="s">
        <v>27</v>
      </c>
      <c r="U153" t="s">
        <v>158</v>
      </c>
      <c r="V153" t="s">
        <v>154</v>
      </c>
    </row>
    <row r="154" spans="4:22" x14ac:dyDescent="0.25">
      <c r="D154" t="s">
        <v>16</v>
      </c>
      <c r="E154" t="s">
        <v>68</v>
      </c>
      <c r="F154" s="26" t="str">
        <f t="shared" si="10"/>
        <v>2023-10-25</v>
      </c>
      <c r="G154" s="26" t="str">
        <f t="shared" si="11"/>
        <v>2024-06-25</v>
      </c>
      <c r="H154">
        <f t="shared" si="12"/>
        <v>244</v>
      </c>
      <c r="K154" t="str">
        <f t="shared" si="13"/>
        <v>Яковлев Артем ИгоревичСтепанов Дмитрий Иванович</v>
      </c>
      <c r="L154" t="s">
        <v>30</v>
      </c>
      <c r="M154" t="s">
        <v>69</v>
      </c>
      <c r="N154" t="s">
        <v>423</v>
      </c>
      <c r="S154" t="str">
        <f t="shared" si="14"/>
        <v>Сидорова Елена ВасильевнаСидорова Ольга Андреевна</v>
      </c>
      <c r="T154" t="s">
        <v>8</v>
      </c>
      <c r="U154" t="s">
        <v>52</v>
      </c>
      <c r="V154" t="s">
        <v>159</v>
      </c>
    </row>
    <row r="155" spans="4:22" x14ac:dyDescent="0.25">
      <c r="D155" t="s">
        <v>5</v>
      </c>
      <c r="E155" t="s">
        <v>161</v>
      </c>
      <c r="F155" s="26" t="str">
        <f t="shared" si="10"/>
        <v>2023-10-25</v>
      </c>
      <c r="G155" s="26" t="str">
        <f t="shared" si="11"/>
        <v>2023-10-25</v>
      </c>
      <c r="H155">
        <f t="shared" si="12"/>
        <v>0</v>
      </c>
      <c r="K155" t="str">
        <f t="shared" si="13"/>
        <v>Громова Мария ИльиничнаСмирнова Людмила Олеговна</v>
      </c>
      <c r="L155" t="s">
        <v>5</v>
      </c>
      <c r="M155" t="s">
        <v>180</v>
      </c>
      <c r="N155" t="s">
        <v>422</v>
      </c>
      <c r="S155" t="str">
        <f t="shared" si="14"/>
        <v>Сидорова Елена ВасильевнаНовикова Виктория Александровна</v>
      </c>
      <c r="T155" t="s">
        <v>8</v>
      </c>
      <c r="U155" t="s">
        <v>101</v>
      </c>
      <c r="V155" t="s">
        <v>160</v>
      </c>
    </row>
    <row r="156" spans="4:22" x14ac:dyDescent="0.25">
      <c r="D156" t="s">
        <v>10</v>
      </c>
      <c r="E156" t="s">
        <v>91</v>
      </c>
      <c r="F156" s="26" t="str">
        <f t="shared" si="10"/>
        <v>2023-10-25</v>
      </c>
      <c r="G156" s="26" t="str">
        <f t="shared" si="11"/>
        <v>2023-10-25</v>
      </c>
      <c r="H156">
        <f t="shared" si="12"/>
        <v>0</v>
      </c>
      <c r="K156" t="str">
        <f t="shared" si="13"/>
        <v>Ткаченко Андрей ОлеговичКозлов Павел Андреевич</v>
      </c>
      <c r="L156" t="s">
        <v>27</v>
      </c>
      <c r="M156" t="s">
        <v>363</v>
      </c>
      <c r="N156" t="s">
        <v>422</v>
      </c>
      <c r="S156" t="str">
        <f t="shared" si="14"/>
        <v>Фролов Сергей ВикторовичПопов Никита Геннадьевич</v>
      </c>
      <c r="T156" t="s">
        <v>16</v>
      </c>
      <c r="U156" t="s">
        <v>68</v>
      </c>
      <c r="V156" t="s">
        <v>160</v>
      </c>
    </row>
    <row r="157" spans="4:22" x14ac:dyDescent="0.25">
      <c r="D157" t="s">
        <v>5</v>
      </c>
      <c r="E157" t="s">
        <v>162</v>
      </c>
      <c r="F157" s="26" t="str">
        <f t="shared" si="10"/>
        <v>2023-10-26</v>
      </c>
      <c r="G157" s="26" t="str">
        <f t="shared" si="11"/>
        <v>2023-10-26</v>
      </c>
      <c r="H157">
        <f t="shared" si="12"/>
        <v>0</v>
      </c>
      <c r="K157" t="str">
        <f t="shared" si="13"/>
        <v>Петров Владимир КирилловичФедорова Алиса Викторовна</v>
      </c>
      <c r="L157" t="s">
        <v>18</v>
      </c>
      <c r="M157" t="s">
        <v>395</v>
      </c>
      <c r="N157" t="s">
        <v>422</v>
      </c>
      <c r="S157" t="str">
        <f t="shared" si="14"/>
        <v>Громова Мария ИльиничнаПетрова Ольга Сергеевна</v>
      </c>
      <c r="T157" t="s">
        <v>5</v>
      </c>
      <c r="U157" t="s">
        <v>161</v>
      </c>
      <c r="V157" t="s">
        <v>160</v>
      </c>
    </row>
    <row r="158" spans="4:22" x14ac:dyDescent="0.25">
      <c r="D158" t="s">
        <v>45</v>
      </c>
      <c r="E158" t="s">
        <v>33</v>
      </c>
      <c r="F158" s="26" t="str">
        <f t="shared" si="10"/>
        <v>2023-10-27</v>
      </c>
      <c r="G158" s="26" t="str">
        <f t="shared" si="11"/>
        <v>2023-10-27</v>
      </c>
      <c r="H158">
        <f t="shared" si="12"/>
        <v>0</v>
      </c>
      <c r="K158" t="str">
        <f t="shared" si="13"/>
        <v>Кузнецов Дмитрий ЛьвовичОрлова Анна Романовна</v>
      </c>
      <c r="L158" t="s">
        <v>38</v>
      </c>
      <c r="M158" t="s">
        <v>19</v>
      </c>
      <c r="N158" t="s">
        <v>422</v>
      </c>
      <c r="S158" t="str">
        <f t="shared" si="14"/>
        <v>Семенова Ирина ВалерьевнаИванов Роман Кириллович</v>
      </c>
      <c r="T158" t="s">
        <v>10</v>
      </c>
      <c r="U158" t="s">
        <v>91</v>
      </c>
      <c r="V158" t="s">
        <v>160</v>
      </c>
    </row>
    <row r="159" spans="4:22" x14ac:dyDescent="0.25">
      <c r="D159" t="s">
        <v>8</v>
      </c>
      <c r="E159" t="s">
        <v>85</v>
      </c>
      <c r="F159" s="26" t="str">
        <f t="shared" si="10"/>
        <v>2023-10-27</v>
      </c>
      <c r="G159" s="26" t="str">
        <f t="shared" si="11"/>
        <v>2023-10-27</v>
      </c>
      <c r="H159">
        <f t="shared" si="12"/>
        <v>0</v>
      </c>
      <c r="K159" t="str">
        <f t="shared" si="13"/>
        <v>Петров Владимир КирилловичКозлов Артем Викторович</v>
      </c>
      <c r="L159" t="s">
        <v>18</v>
      </c>
      <c r="M159" t="s">
        <v>124</v>
      </c>
      <c r="N159" t="s">
        <v>422</v>
      </c>
      <c r="S159" t="str">
        <f t="shared" si="14"/>
        <v>Громова Мария ИльиничнаКузнецова Анна Павловна</v>
      </c>
      <c r="T159" t="s">
        <v>5</v>
      </c>
      <c r="U159" t="s">
        <v>162</v>
      </c>
      <c r="V159" t="s">
        <v>163</v>
      </c>
    </row>
    <row r="160" spans="4:22" x14ac:dyDescent="0.25">
      <c r="D160" t="s">
        <v>16</v>
      </c>
      <c r="E160" t="s">
        <v>165</v>
      </c>
      <c r="F160" s="26" t="str">
        <f t="shared" si="10"/>
        <v>2023-10-27</v>
      </c>
      <c r="G160" s="26" t="str">
        <f t="shared" si="11"/>
        <v>2023-10-27</v>
      </c>
      <c r="H160">
        <f t="shared" si="12"/>
        <v>0</v>
      </c>
      <c r="K160" t="str">
        <f t="shared" si="13"/>
        <v>Иванова Анна СергеевнаВасильев Дмитрий Иванович</v>
      </c>
      <c r="L160" t="s">
        <v>13</v>
      </c>
      <c r="M160" t="s">
        <v>125</v>
      </c>
      <c r="N160" t="s">
        <v>421</v>
      </c>
      <c r="S160" t="str">
        <f t="shared" si="14"/>
        <v>Новикова Ольга ПетровнаНовиков Матвей Егорович</v>
      </c>
      <c r="T160" t="s">
        <v>45</v>
      </c>
      <c r="U160" t="s">
        <v>33</v>
      </c>
      <c r="V160" t="s">
        <v>164</v>
      </c>
    </row>
    <row r="161" spans="4:22" x14ac:dyDescent="0.25">
      <c r="D161" t="s">
        <v>10</v>
      </c>
      <c r="E161" t="s">
        <v>146</v>
      </c>
      <c r="F161" s="26" t="str">
        <f t="shared" si="10"/>
        <v>2023-10-27</v>
      </c>
      <c r="G161" s="26" t="str">
        <f t="shared" si="11"/>
        <v>2023-10-27</v>
      </c>
      <c r="H161">
        <f t="shared" si="12"/>
        <v>0</v>
      </c>
      <c r="K161" t="str">
        <f t="shared" si="13"/>
        <v>Сидорова Елена ВасильевнаНовиков Матвей Егорович</v>
      </c>
      <c r="L161" t="s">
        <v>8</v>
      </c>
      <c r="M161" t="s">
        <v>33</v>
      </c>
      <c r="N161" t="s">
        <v>421</v>
      </c>
      <c r="S161" t="str">
        <f t="shared" si="14"/>
        <v>Сидорова Елена ВасильевнаСмирнов Александр Дмитриевич</v>
      </c>
      <c r="T161" t="s">
        <v>8</v>
      </c>
      <c r="U161" t="s">
        <v>85</v>
      </c>
      <c r="V161" t="s">
        <v>164</v>
      </c>
    </row>
    <row r="162" spans="4:22" x14ac:dyDescent="0.25">
      <c r="D162" t="s">
        <v>18</v>
      </c>
      <c r="E162" t="s">
        <v>166</v>
      </c>
      <c r="F162" s="26" t="str">
        <f t="shared" si="10"/>
        <v>2023-10-27</v>
      </c>
      <c r="G162" s="26" t="str">
        <f t="shared" si="11"/>
        <v>2023-10-27</v>
      </c>
      <c r="H162">
        <f t="shared" si="12"/>
        <v>0</v>
      </c>
      <c r="K162" t="str">
        <f t="shared" si="13"/>
        <v>Новикова Ольга ПетровнаВолкова Валерия Алексеевна</v>
      </c>
      <c r="L162" t="s">
        <v>45</v>
      </c>
      <c r="M162" t="s">
        <v>6</v>
      </c>
      <c r="N162" t="s">
        <v>420</v>
      </c>
      <c r="S162" t="str">
        <f t="shared" si="14"/>
        <v>Фролов Сергей ВикторовичВасильев Владимир Дмитриевич</v>
      </c>
      <c r="T162" t="s">
        <v>16</v>
      </c>
      <c r="U162" t="s">
        <v>165</v>
      </c>
      <c r="V162" t="s">
        <v>164</v>
      </c>
    </row>
    <row r="163" spans="4:22" x14ac:dyDescent="0.25">
      <c r="D163" t="s">
        <v>13</v>
      </c>
      <c r="E163" t="s">
        <v>167</v>
      </c>
      <c r="F163" s="26" t="str">
        <f t="shared" si="10"/>
        <v>2023-10-30</v>
      </c>
      <c r="G163" s="26" t="str">
        <f t="shared" si="11"/>
        <v>2024-04-10</v>
      </c>
      <c r="H163">
        <f t="shared" si="12"/>
        <v>163</v>
      </c>
      <c r="K163" t="str">
        <f t="shared" si="13"/>
        <v>Семенова Ирина ВалерьевнаФедорова Ольга Кирилловна</v>
      </c>
      <c r="L163" t="s">
        <v>10</v>
      </c>
      <c r="M163" t="s">
        <v>167</v>
      </c>
      <c r="N163" t="s">
        <v>420</v>
      </c>
      <c r="S163" t="str">
        <f t="shared" si="14"/>
        <v>Семенова Ирина ВалерьевнаПопов Михаил Павлович</v>
      </c>
      <c r="T163" t="s">
        <v>10</v>
      </c>
      <c r="U163" t="s">
        <v>146</v>
      </c>
      <c r="V163" t="s">
        <v>164</v>
      </c>
    </row>
    <row r="164" spans="4:22" x14ac:dyDescent="0.25">
      <c r="D164" t="s">
        <v>13</v>
      </c>
      <c r="E164" t="s">
        <v>106</v>
      </c>
      <c r="F164" s="26" t="str">
        <f t="shared" si="10"/>
        <v>2023-10-30</v>
      </c>
      <c r="G164" s="26" t="str">
        <f t="shared" si="11"/>
        <v>2023-10-30</v>
      </c>
      <c r="H164">
        <f t="shared" si="12"/>
        <v>0</v>
      </c>
      <c r="K164" t="str">
        <f t="shared" si="13"/>
        <v>Орлов Павел ДенисовичНовикова Людмила Владимировна</v>
      </c>
      <c r="L164" t="s">
        <v>47</v>
      </c>
      <c r="M164" t="s">
        <v>113</v>
      </c>
      <c r="N164" t="s">
        <v>420</v>
      </c>
      <c r="S164" t="str">
        <f t="shared" si="14"/>
        <v>Петров Владимир КирилловичМорозова Светлана Ивановна</v>
      </c>
      <c r="T164" t="s">
        <v>18</v>
      </c>
      <c r="U164" t="s">
        <v>166</v>
      </c>
      <c r="V164" t="s">
        <v>164</v>
      </c>
    </row>
    <row r="165" spans="4:22" x14ac:dyDescent="0.25">
      <c r="D165" t="s">
        <v>45</v>
      </c>
      <c r="E165" t="s">
        <v>169</v>
      </c>
      <c r="F165" s="26" t="str">
        <f t="shared" si="10"/>
        <v>2023-10-30</v>
      </c>
      <c r="G165" s="26" t="str">
        <f t="shared" si="11"/>
        <v>2023-10-30</v>
      </c>
      <c r="H165">
        <f t="shared" si="12"/>
        <v>0</v>
      </c>
      <c r="K165" t="str">
        <f t="shared" si="13"/>
        <v>Петров Владимир КирилловичФедорова Виктория Егоровна</v>
      </c>
      <c r="L165" t="s">
        <v>18</v>
      </c>
      <c r="M165" t="s">
        <v>264</v>
      </c>
      <c r="N165" t="s">
        <v>420</v>
      </c>
      <c r="S165" t="str">
        <f t="shared" si="14"/>
        <v>Иванова Анна СергеевнаФедорова Ольга Кирилловна</v>
      </c>
      <c r="T165" t="s">
        <v>13</v>
      </c>
      <c r="U165" t="s">
        <v>167</v>
      </c>
      <c r="V165" t="s">
        <v>168</v>
      </c>
    </row>
    <row r="166" spans="4:22" x14ac:dyDescent="0.25">
      <c r="D166" t="s">
        <v>30</v>
      </c>
      <c r="E166" t="s">
        <v>52</v>
      </c>
      <c r="F166" s="26" t="str">
        <f t="shared" si="10"/>
        <v>2023-10-30</v>
      </c>
      <c r="G166" s="26" t="str">
        <f t="shared" si="11"/>
        <v>2023-10-30</v>
      </c>
      <c r="H166">
        <f t="shared" si="12"/>
        <v>0</v>
      </c>
      <c r="K166" t="str">
        <f t="shared" si="13"/>
        <v>Новикова Ольга ПетровнаПопов Михаил Павлович</v>
      </c>
      <c r="L166" t="s">
        <v>45</v>
      </c>
      <c r="M166" t="s">
        <v>146</v>
      </c>
      <c r="N166" t="s">
        <v>420</v>
      </c>
      <c r="S166" t="str">
        <f t="shared" si="14"/>
        <v>Иванова Анна СергеевнаСидорова Полина Олеговна</v>
      </c>
      <c r="T166" t="s">
        <v>13</v>
      </c>
      <c r="U166" t="s">
        <v>106</v>
      </c>
      <c r="V166" t="s">
        <v>168</v>
      </c>
    </row>
    <row r="167" spans="4:22" x14ac:dyDescent="0.25">
      <c r="D167" t="s">
        <v>8</v>
      </c>
      <c r="E167" t="s">
        <v>141</v>
      </c>
      <c r="F167" s="26" t="str">
        <f t="shared" si="10"/>
        <v>2023-10-30</v>
      </c>
      <c r="G167" s="26" t="str">
        <f t="shared" si="11"/>
        <v>2023-10-30</v>
      </c>
      <c r="H167">
        <f t="shared" si="12"/>
        <v>0</v>
      </c>
      <c r="K167" t="str">
        <f t="shared" si="13"/>
        <v>Громова Мария ИльиничнаСтепанова Полина Михайловна</v>
      </c>
      <c r="L167" t="s">
        <v>5</v>
      </c>
      <c r="M167" t="s">
        <v>50</v>
      </c>
      <c r="N167" t="s">
        <v>420</v>
      </c>
      <c r="S167" t="str">
        <f t="shared" si="14"/>
        <v>Новикова Ольга ПетровнаСеменов Михаил Егорович</v>
      </c>
      <c r="T167" t="s">
        <v>45</v>
      </c>
      <c r="U167" t="s">
        <v>169</v>
      </c>
      <c r="V167" t="s">
        <v>168</v>
      </c>
    </row>
    <row r="168" spans="4:22" x14ac:dyDescent="0.25">
      <c r="D168" t="s">
        <v>47</v>
      </c>
      <c r="E168" t="s">
        <v>124</v>
      </c>
      <c r="F168" s="26" t="str">
        <f t="shared" si="10"/>
        <v>2023-10-30</v>
      </c>
      <c r="G168" s="26" t="str">
        <f t="shared" si="11"/>
        <v>2023-11-24</v>
      </c>
      <c r="H168">
        <f t="shared" si="12"/>
        <v>25</v>
      </c>
      <c r="K168" t="str">
        <f t="shared" si="13"/>
        <v>Громова Мария ИльиничнаИванова Людмила Юрьевна</v>
      </c>
      <c r="L168" t="s">
        <v>5</v>
      </c>
      <c r="M168" t="s">
        <v>148</v>
      </c>
      <c r="N168" t="s">
        <v>419</v>
      </c>
      <c r="S168" t="str">
        <f t="shared" si="14"/>
        <v>Яковлев Артем ИгоревичСидорова Ольга Андреевна</v>
      </c>
      <c r="T168" t="s">
        <v>30</v>
      </c>
      <c r="U168" t="s">
        <v>52</v>
      </c>
      <c r="V168" t="s">
        <v>168</v>
      </c>
    </row>
    <row r="169" spans="4:22" x14ac:dyDescent="0.25">
      <c r="D169" t="s">
        <v>45</v>
      </c>
      <c r="E169" t="s">
        <v>170</v>
      </c>
      <c r="F169" s="26" t="str">
        <f t="shared" si="10"/>
        <v>2023-10-31</v>
      </c>
      <c r="G169" s="26" t="str">
        <f t="shared" si="11"/>
        <v>2023-10-31</v>
      </c>
      <c r="H169">
        <f t="shared" si="12"/>
        <v>0</v>
      </c>
      <c r="K169" t="str">
        <f t="shared" si="13"/>
        <v>Яковлев Артем ИгоревичПетров Алексей Юрьевич</v>
      </c>
      <c r="L169" t="s">
        <v>30</v>
      </c>
      <c r="M169" t="s">
        <v>22</v>
      </c>
      <c r="N169" t="s">
        <v>419</v>
      </c>
      <c r="S169" t="str">
        <f t="shared" si="14"/>
        <v>Сидорова Елена ВасильевнаОрлова Анна Артемовна</v>
      </c>
      <c r="T169" t="s">
        <v>8</v>
      </c>
      <c r="U169" t="s">
        <v>141</v>
      </c>
      <c r="V169" t="s">
        <v>168</v>
      </c>
    </row>
    <row r="170" spans="4:22" x14ac:dyDescent="0.25">
      <c r="D170" t="s">
        <v>25</v>
      </c>
      <c r="E170" t="s">
        <v>50</v>
      </c>
      <c r="F170" s="26" t="str">
        <f t="shared" si="10"/>
        <v>2023-10-31</v>
      </c>
      <c r="G170" s="26" t="str">
        <f t="shared" si="11"/>
        <v>2023-10-31</v>
      </c>
      <c r="H170">
        <f t="shared" si="12"/>
        <v>0</v>
      </c>
      <c r="K170" t="str">
        <f t="shared" si="13"/>
        <v>Ткаченко Андрей ОлеговичВасильева Ксения Михайловна</v>
      </c>
      <c r="L170" t="s">
        <v>27</v>
      </c>
      <c r="M170" t="s">
        <v>57</v>
      </c>
      <c r="N170" t="s">
        <v>418</v>
      </c>
      <c r="S170" t="str">
        <f t="shared" si="14"/>
        <v>Орлов Павел ДенисовичКозлов Артем Викторович</v>
      </c>
      <c r="T170" t="s">
        <v>47</v>
      </c>
      <c r="U170" t="s">
        <v>124</v>
      </c>
      <c r="V170" t="s">
        <v>168</v>
      </c>
    </row>
    <row r="171" spans="4:22" x14ac:dyDescent="0.25">
      <c r="D171" t="s">
        <v>13</v>
      </c>
      <c r="E171" t="s">
        <v>144</v>
      </c>
      <c r="F171" s="26" t="str">
        <f t="shared" si="10"/>
        <v>2023-11-01</v>
      </c>
      <c r="G171" s="26" t="str">
        <f t="shared" si="11"/>
        <v>2023-12-15</v>
      </c>
      <c r="H171">
        <f t="shared" si="12"/>
        <v>44</v>
      </c>
      <c r="K171" t="str">
        <f t="shared" si="13"/>
        <v>Кузнецов Дмитрий ЛьвовичФедорова Ксения Павловна</v>
      </c>
      <c r="L171" t="s">
        <v>38</v>
      </c>
      <c r="M171" t="s">
        <v>195</v>
      </c>
      <c r="N171" t="s">
        <v>418</v>
      </c>
      <c r="S171" t="str">
        <f t="shared" si="14"/>
        <v>Новикова Ольга ПетровнаФедоров Егор Никитич</v>
      </c>
      <c r="T171" t="s">
        <v>45</v>
      </c>
      <c r="U171" t="s">
        <v>170</v>
      </c>
      <c r="V171" t="s">
        <v>171</v>
      </c>
    </row>
    <row r="172" spans="4:22" x14ac:dyDescent="0.25">
      <c r="D172" t="s">
        <v>10</v>
      </c>
      <c r="E172" t="s">
        <v>96</v>
      </c>
      <c r="F172" s="26" t="str">
        <f t="shared" si="10"/>
        <v>2023-11-01</v>
      </c>
      <c r="G172" s="26" t="str">
        <f t="shared" si="11"/>
        <v>2024-04-01</v>
      </c>
      <c r="H172">
        <f t="shared" si="12"/>
        <v>152</v>
      </c>
      <c r="K172" t="str">
        <f t="shared" si="13"/>
        <v>Яковлев Артем ИгоревичОрлова Анна Артемовна</v>
      </c>
      <c r="L172" t="s">
        <v>30</v>
      </c>
      <c r="M172" t="s">
        <v>141</v>
      </c>
      <c r="N172" t="s">
        <v>418</v>
      </c>
      <c r="S172" t="str">
        <f t="shared" si="14"/>
        <v>Белов Алексей КонстантиновичСтепанова Полина Михайловна</v>
      </c>
      <c r="T172" t="s">
        <v>25</v>
      </c>
      <c r="U172" t="s">
        <v>50</v>
      </c>
      <c r="V172" t="s">
        <v>171</v>
      </c>
    </row>
    <row r="173" spans="4:22" x14ac:dyDescent="0.25">
      <c r="D173" t="s">
        <v>25</v>
      </c>
      <c r="E173" t="s">
        <v>46</v>
      </c>
      <c r="F173" s="26" t="str">
        <f t="shared" si="10"/>
        <v>2023-11-01</v>
      </c>
      <c r="G173" s="26" t="str">
        <f t="shared" si="11"/>
        <v>2023-11-01</v>
      </c>
      <c r="H173">
        <f t="shared" si="12"/>
        <v>0</v>
      </c>
      <c r="K173" t="str">
        <f t="shared" si="13"/>
        <v>Яковлев Артем ИгоревичЛебедев Матвей Сергеевич</v>
      </c>
      <c r="L173" t="s">
        <v>30</v>
      </c>
      <c r="M173" t="s">
        <v>243</v>
      </c>
      <c r="N173" t="s">
        <v>417</v>
      </c>
      <c r="S173" t="str">
        <f t="shared" si="14"/>
        <v>Иванова Анна СергеевнаПавлов Сергей Артемович</v>
      </c>
      <c r="T173" t="s">
        <v>13</v>
      </c>
      <c r="U173" t="s">
        <v>144</v>
      </c>
      <c r="V173" t="s">
        <v>172</v>
      </c>
    </row>
    <row r="174" spans="4:22" x14ac:dyDescent="0.25">
      <c r="D174" t="s">
        <v>45</v>
      </c>
      <c r="E174" t="s">
        <v>57</v>
      </c>
      <c r="F174" s="26" t="str">
        <f t="shared" si="10"/>
        <v>2023-11-01</v>
      </c>
      <c r="G174" s="26" t="str">
        <f t="shared" si="11"/>
        <v>2023-11-01</v>
      </c>
      <c r="H174">
        <f t="shared" si="12"/>
        <v>0</v>
      </c>
      <c r="K174" t="str">
        <f t="shared" si="13"/>
        <v>Новикова Ольга ПетровнаНиколаев Иван Сергеевич</v>
      </c>
      <c r="L174" t="s">
        <v>45</v>
      </c>
      <c r="M174" t="s">
        <v>338</v>
      </c>
      <c r="N174" t="s">
        <v>416</v>
      </c>
      <c r="S174" t="str">
        <f t="shared" si="14"/>
        <v>Семенова Ирина ВалерьевнаИванова Анна Егоровна</v>
      </c>
      <c r="T174" t="s">
        <v>10</v>
      </c>
      <c r="U174" t="s">
        <v>96</v>
      </c>
      <c r="V174" t="s">
        <v>172</v>
      </c>
    </row>
    <row r="175" spans="4:22" x14ac:dyDescent="0.25">
      <c r="D175" t="s">
        <v>38</v>
      </c>
      <c r="E175" t="s">
        <v>170</v>
      </c>
      <c r="F175" s="26" t="str">
        <f t="shared" si="10"/>
        <v>2023-11-01</v>
      </c>
      <c r="G175" s="26" t="str">
        <f t="shared" si="11"/>
        <v>2023-11-01</v>
      </c>
      <c r="H175">
        <f t="shared" si="12"/>
        <v>0</v>
      </c>
      <c r="K175" t="str">
        <f t="shared" si="13"/>
        <v>Яковлев Артем ИгоревичСтепанова Полина Михайловна</v>
      </c>
      <c r="L175" t="s">
        <v>30</v>
      </c>
      <c r="M175" t="s">
        <v>50</v>
      </c>
      <c r="N175" t="s">
        <v>416</v>
      </c>
      <c r="S175" t="str">
        <f t="shared" si="14"/>
        <v>Белов Алексей КонстантиновичКузнецова Алиса Владимировна</v>
      </c>
      <c r="T175" t="s">
        <v>25</v>
      </c>
      <c r="U175" t="s">
        <v>46</v>
      </c>
      <c r="V175" t="s">
        <v>172</v>
      </c>
    </row>
    <row r="176" spans="4:22" x14ac:dyDescent="0.25">
      <c r="D176" t="s">
        <v>13</v>
      </c>
      <c r="E176" t="s">
        <v>173</v>
      </c>
      <c r="F176" s="26" t="str">
        <f t="shared" si="10"/>
        <v>2023-11-03</v>
      </c>
      <c r="G176" s="26" t="str">
        <f t="shared" si="11"/>
        <v>2023-11-03</v>
      </c>
      <c r="H176">
        <f t="shared" si="12"/>
        <v>0</v>
      </c>
      <c r="K176" t="str">
        <f t="shared" si="13"/>
        <v>Громова Мария ИльиничнаВолков Максим Дмитриевич</v>
      </c>
      <c r="L176" t="s">
        <v>5</v>
      </c>
      <c r="M176" t="s">
        <v>81</v>
      </c>
      <c r="N176" t="s">
        <v>416</v>
      </c>
      <c r="S176" t="str">
        <f t="shared" si="14"/>
        <v>Новикова Ольга ПетровнаВасильева Ксения Михайловна</v>
      </c>
      <c r="T176" t="s">
        <v>45</v>
      </c>
      <c r="U176" t="s">
        <v>57</v>
      </c>
      <c r="V176" t="s">
        <v>172</v>
      </c>
    </row>
    <row r="177" spans="4:22" x14ac:dyDescent="0.25">
      <c r="D177" t="s">
        <v>5</v>
      </c>
      <c r="E177" t="s">
        <v>101</v>
      </c>
      <c r="F177" s="26" t="str">
        <f t="shared" si="10"/>
        <v>2023-11-03</v>
      </c>
      <c r="G177" s="26" t="str">
        <f t="shared" si="11"/>
        <v>2023-11-03</v>
      </c>
      <c r="H177">
        <f t="shared" si="12"/>
        <v>0</v>
      </c>
      <c r="K177" t="str">
        <f t="shared" si="13"/>
        <v>Семенова Ирина ВалерьевнаПетрова Александра Олеговна</v>
      </c>
      <c r="L177" t="s">
        <v>10</v>
      </c>
      <c r="M177" t="s">
        <v>139</v>
      </c>
      <c r="N177" t="s">
        <v>416</v>
      </c>
      <c r="S177" t="str">
        <f t="shared" si="14"/>
        <v>Кузнецов Дмитрий ЛьвовичФедоров Егор Никитич</v>
      </c>
      <c r="T177" t="s">
        <v>38</v>
      </c>
      <c r="U177" t="s">
        <v>170</v>
      </c>
      <c r="V177" t="s">
        <v>172</v>
      </c>
    </row>
    <row r="178" spans="4:22" x14ac:dyDescent="0.25">
      <c r="D178" t="s">
        <v>8</v>
      </c>
      <c r="E178" t="s">
        <v>170</v>
      </c>
      <c r="F178" s="26" t="str">
        <f t="shared" si="10"/>
        <v>2023-11-06</v>
      </c>
      <c r="G178" s="26" t="str">
        <f t="shared" si="11"/>
        <v>2023-12-04</v>
      </c>
      <c r="H178">
        <f t="shared" si="12"/>
        <v>28</v>
      </c>
      <c r="K178" t="str">
        <f t="shared" si="13"/>
        <v>Иванова Анна СергеевнаНовиков Матвей Егорович</v>
      </c>
      <c r="L178" t="s">
        <v>13</v>
      </c>
      <c r="M178" t="s">
        <v>33</v>
      </c>
      <c r="N178" t="s">
        <v>416</v>
      </c>
      <c r="S178" t="str">
        <f t="shared" si="14"/>
        <v>Иванова Анна СергеевнаКозлов Константин Александрович</v>
      </c>
      <c r="T178" t="s">
        <v>13</v>
      </c>
      <c r="U178" t="s">
        <v>173</v>
      </c>
      <c r="V178" t="s">
        <v>174</v>
      </c>
    </row>
    <row r="179" spans="4:22" x14ac:dyDescent="0.25">
      <c r="D179" t="s">
        <v>47</v>
      </c>
      <c r="E179" t="s">
        <v>176</v>
      </c>
      <c r="F179" s="26" t="str">
        <f t="shared" si="10"/>
        <v>2023-11-06</v>
      </c>
      <c r="G179" s="26" t="str">
        <f t="shared" si="11"/>
        <v>2023-11-06</v>
      </c>
      <c r="H179">
        <f t="shared" si="12"/>
        <v>0</v>
      </c>
      <c r="K179" t="str">
        <f t="shared" si="13"/>
        <v>Кузнецов Дмитрий ЛьвовичСмирнов Иван Ильич</v>
      </c>
      <c r="L179" t="s">
        <v>38</v>
      </c>
      <c r="M179" t="s">
        <v>114</v>
      </c>
      <c r="N179" t="s">
        <v>416</v>
      </c>
      <c r="S179" t="str">
        <f t="shared" si="14"/>
        <v>Громова Мария ИльиничнаНовикова Виктория Александровна</v>
      </c>
      <c r="T179" t="s">
        <v>5</v>
      </c>
      <c r="U179" t="s">
        <v>101</v>
      </c>
      <c r="V179" t="s">
        <v>174</v>
      </c>
    </row>
    <row r="180" spans="4:22" x14ac:dyDescent="0.25">
      <c r="D180" t="s">
        <v>30</v>
      </c>
      <c r="E180" t="s">
        <v>155</v>
      </c>
      <c r="F180" s="26" t="str">
        <f t="shared" si="10"/>
        <v>2023-11-06</v>
      </c>
      <c r="G180" s="26" t="str">
        <f t="shared" si="11"/>
        <v>2023-11-06</v>
      </c>
      <c r="H180">
        <f t="shared" si="12"/>
        <v>0</v>
      </c>
      <c r="K180" t="str">
        <f t="shared" si="13"/>
        <v>Иванова Анна СергеевнаСтепанов Александр Андреевич</v>
      </c>
      <c r="L180" t="s">
        <v>13</v>
      </c>
      <c r="M180" t="s">
        <v>214</v>
      </c>
      <c r="N180" t="s">
        <v>415</v>
      </c>
      <c r="S180" t="str">
        <f t="shared" si="14"/>
        <v>Сидорова Елена ВасильевнаФедоров Егор Никитич</v>
      </c>
      <c r="T180" t="s">
        <v>8</v>
      </c>
      <c r="U180" t="s">
        <v>170</v>
      </c>
      <c r="V180" t="s">
        <v>175</v>
      </c>
    </row>
    <row r="181" spans="4:22" x14ac:dyDescent="0.25">
      <c r="D181" t="s">
        <v>10</v>
      </c>
      <c r="E181" t="s">
        <v>177</v>
      </c>
      <c r="F181" s="26" t="str">
        <f t="shared" si="10"/>
        <v>2023-11-06</v>
      </c>
      <c r="G181" s="26" t="str">
        <f t="shared" si="11"/>
        <v>2024-05-27</v>
      </c>
      <c r="H181">
        <f t="shared" si="12"/>
        <v>203</v>
      </c>
      <c r="K181" t="str">
        <f t="shared" si="13"/>
        <v>Фролов Сергей ВикторовичВолков Кирилл Юрьевич</v>
      </c>
      <c r="L181" t="s">
        <v>16</v>
      </c>
      <c r="M181" t="s">
        <v>151</v>
      </c>
      <c r="N181" t="s">
        <v>415</v>
      </c>
      <c r="S181" t="str">
        <f t="shared" si="14"/>
        <v>Орлов Павел ДенисовичНиколаева София Никитична</v>
      </c>
      <c r="T181" t="s">
        <v>47</v>
      </c>
      <c r="U181" t="s">
        <v>176</v>
      </c>
      <c r="V181" t="s">
        <v>175</v>
      </c>
    </row>
    <row r="182" spans="4:22" x14ac:dyDescent="0.25">
      <c r="D182" t="s">
        <v>27</v>
      </c>
      <c r="E182" t="s">
        <v>178</v>
      </c>
      <c r="F182" s="26" t="str">
        <f t="shared" si="10"/>
        <v>2023-11-08</v>
      </c>
      <c r="G182" s="26" t="str">
        <f t="shared" si="11"/>
        <v>2024-02-15</v>
      </c>
      <c r="H182">
        <f t="shared" si="12"/>
        <v>99</v>
      </c>
      <c r="K182" t="str">
        <f t="shared" si="13"/>
        <v>Белов Алексей КонстантиновичСтепанова Ольга Андреевна</v>
      </c>
      <c r="L182" t="s">
        <v>25</v>
      </c>
      <c r="M182" t="s">
        <v>307</v>
      </c>
      <c r="N182" t="s">
        <v>415</v>
      </c>
      <c r="S182" t="str">
        <f t="shared" si="14"/>
        <v>Яковлев Артем ИгоревичСидоров Дмитрий Владимирович</v>
      </c>
      <c r="T182" t="s">
        <v>30</v>
      </c>
      <c r="U182" t="s">
        <v>155</v>
      </c>
      <c r="V182" t="s">
        <v>175</v>
      </c>
    </row>
    <row r="183" spans="4:22" x14ac:dyDescent="0.25">
      <c r="D183" t="s">
        <v>47</v>
      </c>
      <c r="E183" t="s">
        <v>180</v>
      </c>
      <c r="F183" s="26" t="str">
        <f t="shared" si="10"/>
        <v>2023-11-08</v>
      </c>
      <c r="G183" s="26" t="str">
        <f t="shared" si="11"/>
        <v>2023-11-08</v>
      </c>
      <c r="H183">
        <f t="shared" si="12"/>
        <v>0</v>
      </c>
      <c r="K183" t="str">
        <f t="shared" si="13"/>
        <v>Белов Алексей КонстантиновичАлексеев Илья Владимирович</v>
      </c>
      <c r="L183" t="s">
        <v>25</v>
      </c>
      <c r="M183" t="s">
        <v>332</v>
      </c>
      <c r="N183" t="s">
        <v>415</v>
      </c>
      <c r="S183" t="str">
        <f t="shared" si="14"/>
        <v>Семенова Ирина ВалерьевнаПетров Михаил Ильич</v>
      </c>
      <c r="T183" t="s">
        <v>10</v>
      </c>
      <c r="U183" t="s">
        <v>177</v>
      </c>
      <c r="V183" t="s">
        <v>175</v>
      </c>
    </row>
    <row r="184" spans="4:22" x14ac:dyDescent="0.25">
      <c r="D184" t="s">
        <v>8</v>
      </c>
      <c r="E184" t="s">
        <v>181</v>
      </c>
      <c r="F184" s="26" t="str">
        <f t="shared" si="10"/>
        <v>2023-11-08</v>
      </c>
      <c r="G184" s="26" t="str">
        <f t="shared" si="11"/>
        <v>2023-11-08</v>
      </c>
      <c r="H184">
        <f t="shared" si="12"/>
        <v>0</v>
      </c>
      <c r="K184" t="str">
        <f t="shared" si="13"/>
        <v>Громова Мария ИльиничнаСмирнов Максим Сергеевич</v>
      </c>
      <c r="L184" t="s">
        <v>5</v>
      </c>
      <c r="M184" t="s">
        <v>49</v>
      </c>
      <c r="N184" t="s">
        <v>415</v>
      </c>
      <c r="S184" t="str">
        <f t="shared" si="14"/>
        <v>Ткаченко Андрей ОлеговичИванова Наталья Михайловна</v>
      </c>
      <c r="T184" t="s">
        <v>27</v>
      </c>
      <c r="U184" t="s">
        <v>178</v>
      </c>
      <c r="V184" t="s">
        <v>179</v>
      </c>
    </row>
    <row r="185" spans="4:22" x14ac:dyDescent="0.25">
      <c r="D185" t="s">
        <v>38</v>
      </c>
      <c r="E185" t="s">
        <v>182</v>
      </c>
      <c r="F185" s="26" t="str">
        <f t="shared" si="10"/>
        <v>2023-11-08</v>
      </c>
      <c r="G185" s="26" t="str">
        <f t="shared" si="11"/>
        <v>2023-11-08</v>
      </c>
      <c r="H185">
        <f t="shared" si="12"/>
        <v>0</v>
      </c>
      <c r="K185" t="str">
        <f t="shared" si="13"/>
        <v>Фролов Сергей ВикторовичСидорова Полина Олеговна</v>
      </c>
      <c r="L185" t="s">
        <v>16</v>
      </c>
      <c r="M185" t="s">
        <v>106</v>
      </c>
      <c r="N185" t="s">
        <v>415</v>
      </c>
      <c r="S185" t="str">
        <f t="shared" si="14"/>
        <v>Орлов Павел ДенисовичСмирнова Людмила Олеговна</v>
      </c>
      <c r="T185" t="s">
        <v>47</v>
      </c>
      <c r="U185" t="s">
        <v>180</v>
      </c>
      <c r="V185" t="s">
        <v>179</v>
      </c>
    </row>
    <row r="186" spans="4:22" x14ac:dyDescent="0.25">
      <c r="D186" t="s">
        <v>45</v>
      </c>
      <c r="E186" t="s">
        <v>108</v>
      </c>
      <c r="F186" s="26" t="str">
        <f t="shared" si="10"/>
        <v>2023-11-08</v>
      </c>
      <c r="G186" s="26" t="str">
        <f t="shared" si="11"/>
        <v>2023-11-08</v>
      </c>
      <c r="H186">
        <f t="shared" si="12"/>
        <v>0</v>
      </c>
      <c r="K186" t="str">
        <f t="shared" si="13"/>
        <v>Иванова Анна СергеевнаОрлова Ольга Алексеевна</v>
      </c>
      <c r="L186" t="s">
        <v>13</v>
      </c>
      <c r="M186" t="s">
        <v>82</v>
      </c>
      <c r="N186" t="s">
        <v>415</v>
      </c>
      <c r="S186" t="str">
        <f t="shared" si="14"/>
        <v>Сидорова Елена ВасильевнаНовиков Егор Юрьевич</v>
      </c>
      <c r="T186" t="s">
        <v>8</v>
      </c>
      <c r="U186" t="s">
        <v>181</v>
      </c>
      <c r="V186" t="s">
        <v>179</v>
      </c>
    </row>
    <row r="187" spans="4:22" x14ac:dyDescent="0.25">
      <c r="D187" t="s">
        <v>10</v>
      </c>
      <c r="E187" t="s">
        <v>119</v>
      </c>
      <c r="F187" s="26" t="str">
        <f t="shared" si="10"/>
        <v>2023-11-09</v>
      </c>
      <c r="G187" s="26" t="str">
        <f t="shared" si="11"/>
        <v>2023-11-09</v>
      </c>
      <c r="H187">
        <f t="shared" si="12"/>
        <v>0</v>
      </c>
      <c r="K187" t="str">
        <f t="shared" si="13"/>
        <v>Новикова Ольга ПетровнаСеменов Иван Павлович</v>
      </c>
      <c r="L187" t="s">
        <v>45</v>
      </c>
      <c r="M187" t="s">
        <v>105</v>
      </c>
      <c r="N187" t="s">
        <v>415</v>
      </c>
      <c r="S187" t="str">
        <f t="shared" si="14"/>
        <v>Кузнецов Дмитрий ЛьвовичФедорова София Егоровна</v>
      </c>
      <c r="T187" t="s">
        <v>38</v>
      </c>
      <c r="U187" t="s">
        <v>182</v>
      </c>
      <c r="V187" t="s">
        <v>179</v>
      </c>
    </row>
    <row r="188" spans="4:22" x14ac:dyDescent="0.25">
      <c r="D188" t="s">
        <v>30</v>
      </c>
      <c r="E188" t="s">
        <v>68</v>
      </c>
      <c r="F188" s="26" t="str">
        <f t="shared" si="10"/>
        <v>2023-11-09</v>
      </c>
      <c r="G188" s="26" t="str">
        <f t="shared" si="11"/>
        <v>2023-11-09</v>
      </c>
      <c r="H188">
        <f t="shared" si="12"/>
        <v>0</v>
      </c>
      <c r="K188" t="str">
        <f t="shared" si="13"/>
        <v>Яковлев Артем ИгоревичЛебедев Матвей Сергеевич</v>
      </c>
      <c r="L188" t="s">
        <v>30</v>
      </c>
      <c r="M188" t="s">
        <v>243</v>
      </c>
      <c r="N188" t="s">
        <v>415</v>
      </c>
      <c r="S188" t="str">
        <f t="shared" si="14"/>
        <v>Новикова Ольга ПетровнаЕгорова Светлана Андреевна</v>
      </c>
      <c r="T188" t="s">
        <v>45</v>
      </c>
      <c r="U188" t="s">
        <v>108</v>
      </c>
      <c r="V188" t="s">
        <v>179</v>
      </c>
    </row>
    <row r="189" spans="4:22" x14ac:dyDescent="0.25">
      <c r="D189" t="s">
        <v>30</v>
      </c>
      <c r="E189" t="s">
        <v>184</v>
      </c>
      <c r="F189" s="26" t="str">
        <f t="shared" si="10"/>
        <v>2023-11-10</v>
      </c>
      <c r="G189" s="26" t="str">
        <f t="shared" si="11"/>
        <v>2023-12-08</v>
      </c>
      <c r="H189">
        <f t="shared" si="12"/>
        <v>28</v>
      </c>
      <c r="K189" t="str">
        <f t="shared" si="13"/>
        <v>Семенова Ирина ВалерьевнаФедорова Алиса Юрьевна</v>
      </c>
      <c r="L189" t="s">
        <v>10</v>
      </c>
      <c r="M189" t="s">
        <v>231</v>
      </c>
      <c r="N189" t="s">
        <v>415</v>
      </c>
      <c r="S189" t="str">
        <f t="shared" si="14"/>
        <v>Семенова Ирина ВалерьевнаСтепанов Константин Геннадьевич</v>
      </c>
      <c r="T189" t="s">
        <v>10</v>
      </c>
      <c r="U189" t="s">
        <v>119</v>
      </c>
      <c r="V189" t="s">
        <v>183</v>
      </c>
    </row>
    <row r="190" spans="4:22" x14ac:dyDescent="0.25">
      <c r="D190" t="s">
        <v>10</v>
      </c>
      <c r="E190" t="s">
        <v>186</v>
      </c>
      <c r="F190" s="26" t="str">
        <f t="shared" si="10"/>
        <v>2023-11-10</v>
      </c>
      <c r="G190" s="26" t="str">
        <f t="shared" si="11"/>
        <v>2023-11-10</v>
      </c>
      <c r="H190">
        <f t="shared" si="12"/>
        <v>0</v>
      </c>
      <c r="K190" t="str">
        <f t="shared" si="13"/>
        <v>Яковлев Артем ИгоревичОрлов Андрей Никитич</v>
      </c>
      <c r="L190" t="s">
        <v>30</v>
      </c>
      <c r="M190" t="s">
        <v>142</v>
      </c>
      <c r="N190" t="s">
        <v>414</v>
      </c>
      <c r="S190" t="str">
        <f t="shared" si="14"/>
        <v>Яковлев Артем ИгоревичПопов Никита Геннадьевич</v>
      </c>
      <c r="T190" t="s">
        <v>30</v>
      </c>
      <c r="U190" t="s">
        <v>68</v>
      </c>
      <c r="V190" t="s">
        <v>183</v>
      </c>
    </row>
    <row r="191" spans="4:22" x14ac:dyDescent="0.25">
      <c r="D191" t="s">
        <v>45</v>
      </c>
      <c r="E191" t="s">
        <v>187</v>
      </c>
      <c r="F191" s="26" t="str">
        <f t="shared" si="10"/>
        <v>2023-11-10</v>
      </c>
      <c r="G191" s="26" t="str">
        <f t="shared" si="11"/>
        <v>2024-01-29</v>
      </c>
      <c r="H191">
        <f t="shared" si="12"/>
        <v>80</v>
      </c>
      <c r="K191" t="str">
        <f t="shared" si="13"/>
        <v>Иванова Анна СергеевнаОрлова Анна Романовна</v>
      </c>
      <c r="L191" t="s">
        <v>13</v>
      </c>
      <c r="M191" t="s">
        <v>19</v>
      </c>
      <c r="N191" t="s">
        <v>414</v>
      </c>
      <c r="S191" t="str">
        <f t="shared" si="14"/>
        <v>Фролов Сергей ВикторовичПопов Никита Геннадьевич</v>
      </c>
      <c r="T191" t="s">
        <v>16</v>
      </c>
      <c r="U191" t="s">
        <v>68</v>
      </c>
      <c r="V191" t="s">
        <v>183</v>
      </c>
    </row>
    <row r="192" spans="4:22" x14ac:dyDescent="0.25">
      <c r="D192" t="s">
        <v>45</v>
      </c>
      <c r="E192" t="s">
        <v>188</v>
      </c>
      <c r="F192" s="26" t="str">
        <f t="shared" si="10"/>
        <v>2023-11-13</v>
      </c>
      <c r="G192" s="26" t="str">
        <f t="shared" si="11"/>
        <v>2023-11-13</v>
      </c>
      <c r="H192">
        <f t="shared" si="12"/>
        <v>0</v>
      </c>
      <c r="K192" t="str">
        <f t="shared" si="13"/>
        <v>Иванова Анна СергеевнаСтепанов Сергей Егорович</v>
      </c>
      <c r="L192" t="s">
        <v>13</v>
      </c>
      <c r="M192" t="s">
        <v>184</v>
      </c>
      <c r="N192" t="s">
        <v>414</v>
      </c>
      <c r="S192" t="str">
        <f t="shared" si="14"/>
        <v>Яковлев Артем ИгоревичСтепанов Сергей Егорович</v>
      </c>
      <c r="T192" t="s">
        <v>30</v>
      </c>
      <c r="U192" t="s">
        <v>184</v>
      </c>
      <c r="V192" t="s">
        <v>185</v>
      </c>
    </row>
    <row r="193" spans="4:22" x14ac:dyDescent="0.25">
      <c r="D193" t="s">
        <v>10</v>
      </c>
      <c r="E193" t="s">
        <v>116</v>
      </c>
      <c r="F193" s="26" t="str">
        <f t="shared" si="10"/>
        <v>2023-11-13</v>
      </c>
      <c r="G193" s="26" t="str">
        <f t="shared" si="11"/>
        <v>2023-11-13</v>
      </c>
      <c r="H193">
        <f t="shared" si="12"/>
        <v>0</v>
      </c>
      <c r="K193" t="str">
        <f t="shared" si="13"/>
        <v>Орлов Павел ДенисовичСтепанова Ольга Андреевна</v>
      </c>
      <c r="L193" t="s">
        <v>47</v>
      </c>
      <c r="M193" t="s">
        <v>307</v>
      </c>
      <c r="N193" t="s">
        <v>413</v>
      </c>
      <c r="S193" t="str">
        <f t="shared" si="14"/>
        <v>Фролов Сергей ВикторовичПетров Роман Алексеевич</v>
      </c>
      <c r="T193" t="s">
        <v>16</v>
      </c>
      <c r="U193" t="s">
        <v>75</v>
      </c>
      <c r="V193" t="s">
        <v>185</v>
      </c>
    </row>
    <row r="194" spans="4:22" x14ac:dyDescent="0.25">
      <c r="D194" t="s">
        <v>30</v>
      </c>
      <c r="E194" t="s">
        <v>94</v>
      </c>
      <c r="F194" s="26" t="str">
        <f t="shared" si="10"/>
        <v>2023-11-13</v>
      </c>
      <c r="G194" s="26" t="str">
        <f t="shared" si="11"/>
        <v>2024-02-15</v>
      </c>
      <c r="H194">
        <f t="shared" si="12"/>
        <v>94</v>
      </c>
      <c r="K194" t="str">
        <f t="shared" si="13"/>
        <v>Ткаченко Андрей ОлеговичВасильев Константин Дмитриевич</v>
      </c>
      <c r="L194" t="s">
        <v>27</v>
      </c>
      <c r="M194" t="s">
        <v>126</v>
      </c>
      <c r="N194" t="s">
        <v>413</v>
      </c>
      <c r="S194" t="str">
        <f t="shared" si="14"/>
        <v>Семенова Ирина ВалерьевнаЛебедева Ольга Романовна</v>
      </c>
      <c r="T194" t="s">
        <v>10</v>
      </c>
      <c r="U194" t="s">
        <v>186</v>
      </c>
      <c r="V194" t="s">
        <v>185</v>
      </c>
    </row>
    <row r="195" spans="4:22" x14ac:dyDescent="0.25">
      <c r="D195" t="s">
        <v>45</v>
      </c>
      <c r="E195" t="s">
        <v>43</v>
      </c>
      <c r="F195" s="26" t="str">
        <f t="shared" ref="F195:F258" si="15">VLOOKUP(D195&amp;E195,S:V,4,0)</f>
        <v>2023-11-13</v>
      </c>
      <c r="G195" s="26" t="str">
        <f t="shared" ref="G195:G258" si="16">VLOOKUP(D195&amp;E195,K:N,4,0)</f>
        <v>2023-11-13</v>
      </c>
      <c r="H195">
        <f t="shared" ref="H195:H258" si="17">G195-F195</f>
        <v>0</v>
      </c>
      <c r="K195" t="str">
        <f t="shared" ref="K195:K258" si="18">L195&amp;M195</f>
        <v>Сидорова Елена ВасильевнаСеменова Наталья Олеговна</v>
      </c>
      <c r="L195" t="s">
        <v>8</v>
      </c>
      <c r="M195" t="s">
        <v>249</v>
      </c>
      <c r="N195" t="s">
        <v>413</v>
      </c>
      <c r="S195" t="str">
        <f t="shared" ref="S195:S258" si="19">T195&amp;U195</f>
        <v>Новикова Ольга ПетровнаСидоров Михаил Сергеевич</v>
      </c>
      <c r="T195" t="s">
        <v>45</v>
      </c>
      <c r="U195" t="s">
        <v>187</v>
      </c>
      <c r="V195" t="s">
        <v>185</v>
      </c>
    </row>
    <row r="196" spans="4:22" x14ac:dyDescent="0.25">
      <c r="D196" t="s">
        <v>13</v>
      </c>
      <c r="E196" t="s">
        <v>6</v>
      </c>
      <c r="F196" s="26" t="str">
        <f t="shared" si="15"/>
        <v>2023-11-13</v>
      </c>
      <c r="G196" s="26" t="str">
        <f t="shared" si="16"/>
        <v>2023-11-13</v>
      </c>
      <c r="H196">
        <f t="shared" si="17"/>
        <v>0</v>
      </c>
      <c r="K196" t="str">
        <f t="shared" si="18"/>
        <v>Ткаченко Андрей ОлеговичИванов Роман Ильич</v>
      </c>
      <c r="L196" t="s">
        <v>27</v>
      </c>
      <c r="M196" t="s">
        <v>325</v>
      </c>
      <c r="N196" t="s">
        <v>412</v>
      </c>
      <c r="S196" t="str">
        <f t="shared" si="19"/>
        <v>Новикова Ольга ПетровнаСеменов Константин Егорович</v>
      </c>
      <c r="T196" t="s">
        <v>45</v>
      </c>
      <c r="U196" t="s">
        <v>188</v>
      </c>
      <c r="V196" t="s">
        <v>189</v>
      </c>
    </row>
    <row r="197" spans="4:22" x14ac:dyDescent="0.25">
      <c r="D197" t="s">
        <v>16</v>
      </c>
      <c r="E197" t="s">
        <v>72</v>
      </c>
      <c r="F197" s="26" t="str">
        <f t="shared" si="15"/>
        <v>2023-11-13</v>
      </c>
      <c r="G197" s="26" t="str">
        <f t="shared" si="16"/>
        <v>2023-11-13</v>
      </c>
      <c r="H197">
        <f t="shared" si="17"/>
        <v>0</v>
      </c>
      <c r="K197" t="str">
        <f t="shared" si="18"/>
        <v>Фролов Сергей ВикторовичПетров Михаил Кириллович</v>
      </c>
      <c r="L197" t="s">
        <v>16</v>
      </c>
      <c r="M197" t="s">
        <v>78</v>
      </c>
      <c r="N197" t="s">
        <v>412</v>
      </c>
      <c r="S197" t="str">
        <f t="shared" si="19"/>
        <v>Семенова Ирина ВалерьевнаПетрова Елена Юрьевна</v>
      </c>
      <c r="T197" t="s">
        <v>10</v>
      </c>
      <c r="U197" t="s">
        <v>116</v>
      </c>
      <c r="V197" t="s">
        <v>189</v>
      </c>
    </row>
    <row r="198" spans="4:22" x14ac:dyDescent="0.25">
      <c r="D198" t="s">
        <v>30</v>
      </c>
      <c r="E198" t="s">
        <v>105</v>
      </c>
      <c r="F198" s="26" t="str">
        <f t="shared" si="15"/>
        <v>2023-11-13</v>
      </c>
      <c r="G198" s="26" t="str">
        <f t="shared" si="16"/>
        <v>2023-11-13</v>
      </c>
      <c r="H198">
        <f t="shared" si="17"/>
        <v>0</v>
      </c>
      <c r="K198" t="str">
        <f t="shared" si="18"/>
        <v>Семенова Ирина ВалерьевнаФедорова Алиса Викторовна</v>
      </c>
      <c r="L198" t="s">
        <v>10</v>
      </c>
      <c r="M198" t="s">
        <v>395</v>
      </c>
      <c r="N198" t="s">
        <v>412</v>
      </c>
      <c r="S198" t="str">
        <f t="shared" si="19"/>
        <v>Яковлев Артем ИгоревичНиколаев Иван Михайлович</v>
      </c>
      <c r="T198" t="s">
        <v>30</v>
      </c>
      <c r="U198" t="s">
        <v>94</v>
      </c>
      <c r="V198" t="s">
        <v>189</v>
      </c>
    </row>
    <row r="199" spans="4:22" x14ac:dyDescent="0.25">
      <c r="D199" t="s">
        <v>27</v>
      </c>
      <c r="E199" t="s">
        <v>64</v>
      </c>
      <c r="F199" s="26" t="str">
        <f t="shared" si="15"/>
        <v>2023-11-13</v>
      </c>
      <c r="G199" s="26" t="str">
        <f t="shared" si="16"/>
        <v>2023-11-13</v>
      </c>
      <c r="H199">
        <f t="shared" si="17"/>
        <v>0</v>
      </c>
      <c r="K199" t="str">
        <f t="shared" si="18"/>
        <v>Фролов Сергей ВикторовичПопов Никита Геннадьевич</v>
      </c>
      <c r="L199" t="s">
        <v>16</v>
      </c>
      <c r="M199" t="s">
        <v>68</v>
      </c>
      <c r="N199" t="s">
        <v>411</v>
      </c>
      <c r="S199" t="str">
        <f t="shared" si="19"/>
        <v>Новикова Ольга ПетровнаФедорова Наталья Геннадьевна</v>
      </c>
      <c r="T199" t="s">
        <v>45</v>
      </c>
      <c r="U199" t="s">
        <v>43</v>
      </c>
      <c r="V199" t="s">
        <v>189</v>
      </c>
    </row>
    <row r="200" spans="4:22" x14ac:dyDescent="0.25">
      <c r="D200" t="s">
        <v>5</v>
      </c>
      <c r="E200" t="s">
        <v>190</v>
      </c>
      <c r="F200" s="26" t="str">
        <f t="shared" si="15"/>
        <v>2023-11-13</v>
      </c>
      <c r="G200" s="26" t="str">
        <f t="shared" si="16"/>
        <v>2023-12-15</v>
      </c>
      <c r="H200">
        <f t="shared" si="17"/>
        <v>32</v>
      </c>
      <c r="K200" t="str">
        <f t="shared" si="18"/>
        <v>Сидорова Елена ВасильевнаОрлова Ольга Алексеевна</v>
      </c>
      <c r="L200" t="s">
        <v>8</v>
      </c>
      <c r="M200" t="s">
        <v>82</v>
      </c>
      <c r="N200" t="s">
        <v>410</v>
      </c>
      <c r="S200" t="str">
        <f t="shared" si="19"/>
        <v>Иванова Анна СергеевнаВолкова Валерия Алексеевна</v>
      </c>
      <c r="T200" t="s">
        <v>13</v>
      </c>
      <c r="U200" t="s">
        <v>6</v>
      </c>
      <c r="V200" t="s">
        <v>189</v>
      </c>
    </row>
    <row r="201" spans="4:22" x14ac:dyDescent="0.25">
      <c r="D201" t="s">
        <v>27</v>
      </c>
      <c r="E201" t="s">
        <v>49</v>
      </c>
      <c r="F201" s="26" t="str">
        <f t="shared" si="15"/>
        <v>2023-11-13</v>
      </c>
      <c r="G201" s="26" t="str">
        <f t="shared" si="16"/>
        <v>2023-11-13</v>
      </c>
      <c r="H201">
        <f t="shared" si="17"/>
        <v>0</v>
      </c>
      <c r="K201" t="str">
        <f t="shared" si="18"/>
        <v>Иванова Анна СергеевнаСмирнова Алиса Михайловна</v>
      </c>
      <c r="L201" t="s">
        <v>13</v>
      </c>
      <c r="M201" t="s">
        <v>205</v>
      </c>
      <c r="N201" t="s">
        <v>410</v>
      </c>
      <c r="S201" t="str">
        <f t="shared" si="19"/>
        <v>Фролов Сергей ВикторовичОрлов Роман Ильич</v>
      </c>
      <c r="T201" t="s">
        <v>16</v>
      </c>
      <c r="U201" t="s">
        <v>72</v>
      </c>
      <c r="V201" t="s">
        <v>189</v>
      </c>
    </row>
    <row r="202" spans="4:22" x14ac:dyDescent="0.25">
      <c r="D202" t="s">
        <v>30</v>
      </c>
      <c r="E202" t="s">
        <v>96</v>
      </c>
      <c r="F202" s="26" t="str">
        <f t="shared" si="15"/>
        <v>2023-11-13</v>
      </c>
      <c r="G202" s="26" t="str">
        <f t="shared" si="16"/>
        <v>2023-11-13</v>
      </c>
      <c r="H202">
        <f t="shared" si="17"/>
        <v>0</v>
      </c>
      <c r="K202" t="str">
        <f t="shared" si="18"/>
        <v>Ткаченко Андрей ОлеговичКузнецов Максим Алексеевич</v>
      </c>
      <c r="L202" t="s">
        <v>27</v>
      </c>
      <c r="M202" t="s">
        <v>53</v>
      </c>
      <c r="N202" t="s">
        <v>410</v>
      </c>
      <c r="S202" t="str">
        <f t="shared" si="19"/>
        <v>Яковлев Артем ИгоревичСеменов Иван Павлович</v>
      </c>
      <c r="T202" t="s">
        <v>30</v>
      </c>
      <c r="U202" t="s">
        <v>105</v>
      </c>
      <c r="V202" t="s">
        <v>189</v>
      </c>
    </row>
    <row r="203" spans="4:22" x14ac:dyDescent="0.25">
      <c r="D203" t="s">
        <v>25</v>
      </c>
      <c r="E203" t="s">
        <v>128</v>
      </c>
      <c r="F203" s="26" t="str">
        <f t="shared" si="15"/>
        <v>2023-11-14</v>
      </c>
      <c r="G203" s="26" t="str">
        <f t="shared" si="16"/>
        <v>2023-11-14</v>
      </c>
      <c r="H203">
        <f t="shared" si="17"/>
        <v>0</v>
      </c>
      <c r="K203" t="str">
        <f t="shared" si="18"/>
        <v>Ткаченко Андрей ОлеговичПетрова Александра Ильинична</v>
      </c>
      <c r="L203" t="s">
        <v>27</v>
      </c>
      <c r="M203" t="s">
        <v>344</v>
      </c>
      <c r="N203" t="s">
        <v>409</v>
      </c>
      <c r="S203" t="str">
        <f t="shared" si="19"/>
        <v>Ткаченко Андрей ОлеговичФедоров Артур Олегович</v>
      </c>
      <c r="T203" t="s">
        <v>27</v>
      </c>
      <c r="U203" t="s">
        <v>64</v>
      </c>
      <c r="V203" t="s">
        <v>189</v>
      </c>
    </row>
    <row r="204" spans="4:22" x14ac:dyDescent="0.25">
      <c r="D204" t="s">
        <v>8</v>
      </c>
      <c r="E204" t="s">
        <v>123</v>
      </c>
      <c r="F204" s="26" t="str">
        <f t="shared" si="15"/>
        <v>2023-11-15</v>
      </c>
      <c r="G204" s="26" t="str">
        <f t="shared" si="16"/>
        <v>2023-11-15</v>
      </c>
      <c r="H204">
        <f t="shared" si="17"/>
        <v>0</v>
      </c>
      <c r="K204" t="str">
        <f t="shared" si="18"/>
        <v>Фролов Сергей ВикторовичИванова Анна Егоровна</v>
      </c>
      <c r="L204" t="s">
        <v>16</v>
      </c>
      <c r="M204" t="s">
        <v>96</v>
      </c>
      <c r="N204" t="s">
        <v>409</v>
      </c>
      <c r="S204" t="str">
        <f t="shared" si="19"/>
        <v>Громова Мария ИльиничнаИванов Андрей Андреевич</v>
      </c>
      <c r="T204" t="s">
        <v>5</v>
      </c>
      <c r="U204" t="s">
        <v>190</v>
      </c>
      <c r="V204" t="s">
        <v>189</v>
      </c>
    </row>
    <row r="205" spans="4:22" x14ac:dyDescent="0.25">
      <c r="D205" t="s">
        <v>13</v>
      </c>
      <c r="E205" t="s">
        <v>39</v>
      </c>
      <c r="F205" s="26" t="str">
        <f t="shared" si="15"/>
        <v>2023-11-16</v>
      </c>
      <c r="G205" s="26" t="str">
        <f t="shared" si="16"/>
        <v>2023-11-16</v>
      </c>
      <c r="H205">
        <f t="shared" si="17"/>
        <v>0</v>
      </c>
      <c r="K205" t="str">
        <f t="shared" si="18"/>
        <v>Яковлев Артем ИгоревичСеменов Илья Андреевич</v>
      </c>
      <c r="L205" t="s">
        <v>30</v>
      </c>
      <c r="M205" t="s">
        <v>84</v>
      </c>
      <c r="N205" t="s">
        <v>409</v>
      </c>
      <c r="S205" t="str">
        <f t="shared" si="19"/>
        <v>Ткаченко Андрей ОлеговичСмирнов Максим Сергеевич</v>
      </c>
      <c r="T205" t="s">
        <v>27</v>
      </c>
      <c r="U205" t="s">
        <v>49</v>
      </c>
      <c r="V205" t="s">
        <v>189</v>
      </c>
    </row>
    <row r="206" spans="4:22" x14ac:dyDescent="0.25">
      <c r="D206" t="s">
        <v>5</v>
      </c>
      <c r="E206" t="s">
        <v>194</v>
      </c>
      <c r="F206" s="26" t="str">
        <f t="shared" si="15"/>
        <v>2023-11-16</v>
      </c>
      <c r="G206" s="26" t="str">
        <f t="shared" si="16"/>
        <v>2023-11-16</v>
      </c>
      <c r="H206">
        <f t="shared" si="17"/>
        <v>0</v>
      </c>
      <c r="K206" t="str">
        <f t="shared" si="18"/>
        <v>Петров Владимир КирилловичПавлов Матвей Владимирович</v>
      </c>
      <c r="L206" t="s">
        <v>18</v>
      </c>
      <c r="M206" t="s">
        <v>152</v>
      </c>
      <c r="N206" t="s">
        <v>408</v>
      </c>
      <c r="S206" t="str">
        <f t="shared" si="19"/>
        <v>Яковлев Артем ИгоревичИванова Анна Егоровна</v>
      </c>
      <c r="T206" t="s">
        <v>30</v>
      </c>
      <c r="U206" t="s">
        <v>96</v>
      </c>
      <c r="V206" t="s">
        <v>189</v>
      </c>
    </row>
    <row r="207" spans="4:22" x14ac:dyDescent="0.25">
      <c r="D207" t="s">
        <v>45</v>
      </c>
      <c r="E207" t="s">
        <v>195</v>
      </c>
      <c r="F207" s="26" t="str">
        <f t="shared" si="15"/>
        <v>2023-11-16</v>
      </c>
      <c r="G207" s="26" t="str">
        <f t="shared" si="16"/>
        <v>2023-11-16</v>
      </c>
      <c r="H207">
        <f t="shared" si="17"/>
        <v>0</v>
      </c>
      <c r="K207" t="str">
        <f t="shared" si="18"/>
        <v>Белов Алексей КонстантиновичСеменов Константин Егорович</v>
      </c>
      <c r="L207" t="s">
        <v>25</v>
      </c>
      <c r="M207" t="s">
        <v>188</v>
      </c>
      <c r="N207" t="s">
        <v>408</v>
      </c>
      <c r="S207" t="str">
        <f t="shared" si="19"/>
        <v>Белов Алексей КонстантиновичСеменов Павел Юрьевич</v>
      </c>
      <c r="T207" t="s">
        <v>25</v>
      </c>
      <c r="U207" t="s">
        <v>128</v>
      </c>
      <c r="V207" t="s">
        <v>191</v>
      </c>
    </row>
    <row r="208" spans="4:22" x14ac:dyDescent="0.25">
      <c r="D208" t="s">
        <v>5</v>
      </c>
      <c r="E208" t="s">
        <v>196</v>
      </c>
      <c r="F208" s="26" t="str">
        <f t="shared" si="15"/>
        <v>2023-11-17</v>
      </c>
      <c r="G208" s="26" t="str">
        <f t="shared" si="16"/>
        <v>2024-04-18</v>
      </c>
      <c r="H208">
        <f t="shared" si="17"/>
        <v>153</v>
      </c>
      <c r="K208" t="str">
        <f t="shared" si="18"/>
        <v>Фролов Сергей ВикторовичФедоров Артур Олегович</v>
      </c>
      <c r="L208" t="s">
        <v>16</v>
      </c>
      <c r="M208" t="s">
        <v>64</v>
      </c>
      <c r="N208" t="s">
        <v>408</v>
      </c>
      <c r="S208" t="str">
        <f t="shared" si="19"/>
        <v>Громова Мария ИльиничнаЛебедев Никита Алексеевич</v>
      </c>
      <c r="T208" t="s">
        <v>5</v>
      </c>
      <c r="U208" t="s">
        <v>93</v>
      </c>
      <c r="V208" t="s">
        <v>191</v>
      </c>
    </row>
    <row r="209" spans="4:22" x14ac:dyDescent="0.25">
      <c r="D209" t="s">
        <v>16</v>
      </c>
      <c r="E209" t="s">
        <v>124</v>
      </c>
      <c r="F209" s="26" t="str">
        <f t="shared" si="15"/>
        <v>2023-11-17</v>
      </c>
      <c r="G209" s="26" t="str">
        <f t="shared" si="16"/>
        <v>2023-11-17</v>
      </c>
      <c r="H209">
        <f t="shared" si="17"/>
        <v>0</v>
      </c>
      <c r="K209" t="str">
        <f t="shared" si="18"/>
        <v>Громова Мария ИльиничнаСеменова Светлана Дмитриевна</v>
      </c>
      <c r="L209" t="s">
        <v>5</v>
      </c>
      <c r="M209" t="s">
        <v>41</v>
      </c>
      <c r="N209" t="s">
        <v>408</v>
      </c>
      <c r="S209" t="str">
        <f t="shared" si="19"/>
        <v>Сидорова Елена ВасильевнаВолкова Ирина Сергеевна</v>
      </c>
      <c r="T209" t="s">
        <v>8</v>
      </c>
      <c r="U209" t="s">
        <v>123</v>
      </c>
      <c r="V209" t="s">
        <v>192</v>
      </c>
    </row>
    <row r="210" spans="4:22" x14ac:dyDescent="0.25">
      <c r="D210" t="s">
        <v>25</v>
      </c>
      <c r="E210" t="s">
        <v>90</v>
      </c>
      <c r="F210" s="26" t="str">
        <f t="shared" si="15"/>
        <v>2023-11-17</v>
      </c>
      <c r="G210" s="26" t="str">
        <f t="shared" si="16"/>
        <v>2024-07-24</v>
      </c>
      <c r="H210">
        <f t="shared" si="17"/>
        <v>250</v>
      </c>
      <c r="K210" t="str">
        <f t="shared" si="18"/>
        <v>Семенова Ирина ВалерьевнаСмирнов Константин Кириллович</v>
      </c>
      <c r="L210" t="s">
        <v>10</v>
      </c>
      <c r="M210" t="s">
        <v>37</v>
      </c>
      <c r="N210" t="s">
        <v>408</v>
      </c>
      <c r="S210" t="str">
        <f t="shared" si="19"/>
        <v>Фролов Сергей ВикторовичКозлова Полина Артемовна</v>
      </c>
      <c r="T210" t="s">
        <v>16</v>
      </c>
      <c r="U210" t="s">
        <v>17</v>
      </c>
      <c r="V210" t="s">
        <v>192</v>
      </c>
    </row>
    <row r="211" spans="4:22" x14ac:dyDescent="0.25">
      <c r="D211" t="s">
        <v>13</v>
      </c>
      <c r="E211" t="s">
        <v>198</v>
      </c>
      <c r="F211" s="26" t="str">
        <f t="shared" si="15"/>
        <v>2023-11-20</v>
      </c>
      <c r="G211" s="26" t="str">
        <f t="shared" si="16"/>
        <v>2023-11-20</v>
      </c>
      <c r="H211">
        <f t="shared" si="17"/>
        <v>0</v>
      </c>
      <c r="K211" t="str">
        <f t="shared" si="18"/>
        <v>Сидорова Елена ВасильевнаМорозов Егор Андреевич</v>
      </c>
      <c r="L211" t="s">
        <v>8</v>
      </c>
      <c r="M211" t="s">
        <v>9</v>
      </c>
      <c r="N211" t="s">
        <v>408</v>
      </c>
      <c r="S211" t="str">
        <f t="shared" si="19"/>
        <v>Иванова Анна СергеевнаСмирнова Татьяна Александровна</v>
      </c>
      <c r="T211" t="s">
        <v>13</v>
      </c>
      <c r="U211" t="s">
        <v>39</v>
      </c>
      <c r="V211" t="s">
        <v>193</v>
      </c>
    </row>
    <row r="212" spans="4:22" x14ac:dyDescent="0.25">
      <c r="D212" t="s">
        <v>5</v>
      </c>
      <c r="E212" t="s">
        <v>200</v>
      </c>
      <c r="F212" s="26" t="str">
        <f t="shared" si="15"/>
        <v>2023-11-20</v>
      </c>
      <c r="G212" s="26" t="str">
        <f t="shared" si="16"/>
        <v>2023-11-20</v>
      </c>
      <c r="H212">
        <f t="shared" si="17"/>
        <v>0</v>
      </c>
      <c r="K212" t="str">
        <f t="shared" si="18"/>
        <v>Новикова Ольга ПетровнаКозлова Татьяна Сергеевна</v>
      </c>
      <c r="L212" t="s">
        <v>45</v>
      </c>
      <c r="M212" t="s">
        <v>28</v>
      </c>
      <c r="N212" t="s">
        <v>408</v>
      </c>
      <c r="S212" t="str">
        <f t="shared" si="19"/>
        <v>Громова Мария ИльиничнаНиколаев Георгий Сергеевич</v>
      </c>
      <c r="T212" t="s">
        <v>5</v>
      </c>
      <c r="U212" t="s">
        <v>194</v>
      </c>
      <c r="V212" t="s">
        <v>193</v>
      </c>
    </row>
    <row r="213" spans="4:22" x14ac:dyDescent="0.25">
      <c r="D213" t="s">
        <v>5</v>
      </c>
      <c r="E213" t="s">
        <v>201</v>
      </c>
      <c r="F213" s="26" t="str">
        <f t="shared" si="15"/>
        <v>2023-11-20</v>
      </c>
      <c r="G213" s="26" t="str">
        <f t="shared" si="16"/>
        <v>2023-11-20</v>
      </c>
      <c r="H213">
        <f t="shared" si="17"/>
        <v>0</v>
      </c>
      <c r="K213" t="str">
        <f t="shared" si="18"/>
        <v>Фролов Сергей ВикторовичИванов Роман Кириллович</v>
      </c>
      <c r="L213" t="s">
        <v>16</v>
      </c>
      <c r="M213" t="s">
        <v>91</v>
      </c>
      <c r="N213" t="s">
        <v>407</v>
      </c>
      <c r="S213" t="str">
        <f t="shared" si="19"/>
        <v>Новикова Ольга ПетровнаФедорова Ксения Павловна</v>
      </c>
      <c r="T213" t="s">
        <v>45</v>
      </c>
      <c r="U213" t="s">
        <v>195</v>
      </c>
      <c r="V213" t="s">
        <v>193</v>
      </c>
    </row>
    <row r="214" spans="4:22" x14ac:dyDescent="0.25">
      <c r="D214" t="s">
        <v>38</v>
      </c>
      <c r="E214" t="s">
        <v>128</v>
      </c>
      <c r="F214" s="26" t="str">
        <f t="shared" si="15"/>
        <v>2023-11-20</v>
      </c>
      <c r="G214" s="26" t="str">
        <f t="shared" si="16"/>
        <v>2024-02-26</v>
      </c>
      <c r="H214">
        <f t="shared" si="17"/>
        <v>98</v>
      </c>
      <c r="K214" t="str">
        <f t="shared" si="18"/>
        <v>Сидорова Елена ВасильевнаСтепанов Александр Андреевич</v>
      </c>
      <c r="L214" t="s">
        <v>8</v>
      </c>
      <c r="M214" t="s">
        <v>214</v>
      </c>
      <c r="N214" t="s">
        <v>407</v>
      </c>
      <c r="S214" t="str">
        <f t="shared" si="19"/>
        <v>Громова Мария ИльиничнаСеменов Роман Павлович</v>
      </c>
      <c r="T214" t="s">
        <v>5</v>
      </c>
      <c r="U214" t="s">
        <v>196</v>
      </c>
      <c r="V214" t="s">
        <v>197</v>
      </c>
    </row>
    <row r="215" spans="4:22" x14ac:dyDescent="0.25">
      <c r="D215" t="s">
        <v>18</v>
      </c>
      <c r="E215" t="s">
        <v>130</v>
      </c>
      <c r="F215" s="26" t="str">
        <f t="shared" si="15"/>
        <v>2023-11-20</v>
      </c>
      <c r="G215" s="26" t="str">
        <f t="shared" si="16"/>
        <v>2023-11-20</v>
      </c>
      <c r="H215">
        <f t="shared" si="17"/>
        <v>0</v>
      </c>
      <c r="K215" t="str">
        <f t="shared" si="18"/>
        <v>Белов Алексей КонстантиновичСеменов Артем Станиславович</v>
      </c>
      <c r="L215" t="s">
        <v>25</v>
      </c>
      <c r="M215" t="s">
        <v>298</v>
      </c>
      <c r="N215" t="s">
        <v>407</v>
      </c>
      <c r="S215" t="str">
        <f t="shared" si="19"/>
        <v>Фролов Сергей ВикторовичКозлов Артем Викторович</v>
      </c>
      <c r="T215" t="s">
        <v>16</v>
      </c>
      <c r="U215" t="s">
        <v>124</v>
      </c>
      <c r="V215" t="s">
        <v>197</v>
      </c>
    </row>
    <row r="216" spans="4:22" x14ac:dyDescent="0.25">
      <c r="D216" t="s">
        <v>45</v>
      </c>
      <c r="E216" t="s">
        <v>202</v>
      </c>
      <c r="F216" s="26" t="str">
        <f t="shared" si="15"/>
        <v>2023-11-20</v>
      </c>
      <c r="G216" s="26" t="str">
        <f t="shared" si="16"/>
        <v>2023-11-20</v>
      </c>
      <c r="H216">
        <f t="shared" si="17"/>
        <v>0</v>
      </c>
      <c r="K216" t="str">
        <f t="shared" si="18"/>
        <v>Громова Мария ИльиничнаОрлова Анна Романовна</v>
      </c>
      <c r="L216" t="s">
        <v>5</v>
      </c>
      <c r="M216" t="s">
        <v>19</v>
      </c>
      <c r="N216" t="s">
        <v>406</v>
      </c>
      <c r="S216" t="str">
        <f t="shared" si="19"/>
        <v>Белов Алексей КонстантиновичАлексеев Кирилл Иванович</v>
      </c>
      <c r="T216" t="s">
        <v>25</v>
      </c>
      <c r="U216" t="s">
        <v>90</v>
      </c>
      <c r="V216" t="s">
        <v>197</v>
      </c>
    </row>
    <row r="217" spans="4:22" x14ac:dyDescent="0.25">
      <c r="D217" t="s">
        <v>38</v>
      </c>
      <c r="E217" t="s">
        <v>14</v>
      </c>
      <c r="F217" s="26" t="str">
        <f t="shared" si="15"/>
        <v>2023-11-20</v>
      </c>
      <c r="G217" s="26" t="str">
        <f t="shared" si="16"/>
        <v>2023-11-20</v>
      </c>
      <c r="H217">
        <f t="shared" si="17"/>
        <v>0</v>
      </c>
      <c r="K217" t="str">
        <f t="shared" si="18"/>
        <v>Новикова Ольга ПетровнаСтепанов Константин Геннадьевич</v>
      </c>
      <c r="L217" t="s">
        <v>45</v>
      </c>
      <c r="M217" t="s">
        <v>119</v>
      </c>
      <c r="N217" t="s">
        <v>406</v>
      </c>
      <c r="S217" t="str">
        <f t="shared" si="19"/>
        <v>Иванова Анна СергеевнаПавлова София Романовна</v>
      </c>
      <c r="T217" t="s">
        <v>13</v>
      </c>
      <c r="U217" t="s">
        <v>198</v>
      </c>
      <c r="V217" t="s">
        <v>199</v>
      </c>
    </row>
    <row r="218" spans="4:22" x14ac:dyDescent="0.25">
      <c r="D218" t="s">
        <v>47</v>
      </c>
      <c r="E218" t="s">
        <v>67</v>
      </c>
      <c r="F218" s="26" t="str">
        <f t="shared" si="15"/>
        <v>2023-11-20</v>
      </c>
      <c r="G218" s="26" t="str">
        <f t="shared" si="16"/>
        <v>2023-11-20</v>
      </c>
      <c r="H218">
        <f t="shared" si="17"/>
        <v>0</v>
      </c>
      <c r="K218" t="str">
        <f t="shared" si="18"/>
        <v>Ткаченко Андрей ОлеговичНовиков Илья Кириллович</v>
      </c>
      <c r="L218" t="s">
        <v>27</v>
      </c>
      <c r="M218" t="s">
        <v>248</v>
      </c>
      <c r="N218" t="s">
        <v>406</v>
      </c>
      <c r="S218" t="str">
        <f t="shared" si="19"/>
        <v>Громова Мария ИльиничнаНовикова Юлия Егоровна</v>
      </c>
      <c r="T218" t="s">
        <v>5</v>
      </c>
      <c r="U218" t="s">
        <v>200</v>
      </c>
      <c r="V218" t="s">
        <v>199</v>
      </c>
    </row>
    <row r="219" spans="4:22" x14ac:dyDescent="0.25">
      <c r="D219" t="s">
        <v>18</v>
      </c>
      <c r="E219" t="s">
        <v>103</v>
      </c>
      <c r="F219" s="26" t="str">
        <f t="shared" si="15"/>
        <v>2023-11-21</v>
      </c>
      <c r="G219" s="26" t="str">
        <f t="shared" si="16"/>
        <v>2023-11-21</v>
      </c>
      <c r="H219">
        <f t="shared" si="17"/>
        <v>0</v>
      </c>
      <c r="K219" t="str">
        <f t="shared" si="18"/>
        <v>Кузнецов Дмитрий ЛьвовичФедоров Артур Станиславович</v>
      </c>
      <c r="L219" t="s">
        <v>38</v>
      </c>
      <c r="M219" t="s">
        <v>309</v>
      </c>
      <c r="N219" t="s">
        <v>405</v>
      </c>
      <c r="S219" t="str">
        <f t="shared" si="19"/>
        <v>Громова Мария ИльиничнаВасильев Иван Олегович</v>
      </c>
      <c r="T219" t="s">
        <v>5</v>
      </c>
      <c r="U219" t="s">
        <v>201</v>
      </c>
      <c r="V219" t="s">
        <v>199</v>
      </c>
    </row>
    <row r="220" spans="4:22" x14ac:dyDescent="0.25">
      <c r="D220" t="s">
        <v>25</v>
      </c>
      <c r="E220" t="s">
        <v>65</v>
      </c>
      <c r="F220" s="26" t="str">
        <f t="shared" si="15"/>
        <v>2023-11-21</v>
      </c>
      <c r="G220" s="26" t="str">
        <f t="shared" si="16"/>
        <v>2023-11-21</v>
      </c>
      <c r="H220">
        <f t="shared" si="17"/>
        <v>0</v>
      </c>
      <c r="K220" t="str">
        <f t="shared" si="18"/>
        <v>Кузнецов Дмитрий ЛьвовичПавлов Матвей Владимирович</v>
      </c>
      <c r="L220" t="s">
        <v>38</v>
      </c>
      <c r="M220" t="s">
        <v>152</v>
      </c>
      <c r="N220" t="s">
        <v>405</v>
      </c>
      <c r="S220" t="str">
        <f t="shared" si="19"/>
        <v>Кузнецов Дмитрий ЛьвовичСеменов Павел Юрьевич</v>
      </c>
      <c r="T220" t="s">
        <v>38</v>
      </c>
      <c r="U220" t="s">
        <v>128</v>
      </c>
      <c r="V220" t="s">
        <v>199</v>
      </c>
    </row>
    <row r="221" spans="4:22" x14ac:dyDescent="0.25">
      <c r="D221" t="s">
        <v>27</v>
      </c>
      <c r="E221" t="s">
        <v>33</v>
      </c>
      <c r="F221" s="26" t="str">
        <f t="shared" si="15"/>
        <v>2023-11-21</v>
      </c>
      <c r="G221" s="26" t="str">
        <f t="shared" si="16"/>
        <v>2024-08-12</v>
      </c>
      <c r="H221">
        <f t="shared" si="17"/>
        <v>265</v>
      </c>
      <c r="K221" t="str">
        <f t="shared" si="18"/>
        <v>Яковлев Артем ИгоревичКозлова Ксения Ильинична</v>
      </c>
      <c r="L221" t="s">
        <v>30</v>
      </c>
      <c r="M221" t="s">
        <v>158</v>
      </c>
      <c r="N221" t="s">
        <v>405</v>
      </c>
      <c r="S221" t="str">
        <f t="shared" si="19"/>
        <v>Петров Владимир КирилловичПавлов Никита Андреевич</v>
      </c>
      <c r="T221" t="s">
        <v>18</v>
      </c>
      <c r="U221" t="s">
        <v>130</v>
      </c>
      <c r="V221" t="s">
        <v>199</v>
      </c>
    </row>
    <row r="222" spans="4:22" x14ac:dyDescent="0.25">
      <c r="D222" t="s">
        <v>25</v>
      </c>
      <c r="E222" t="s">
        <v>66</v>
      </c>
      <c r="F222" s="26" t="str">
        <f t="shared" si="15"/>
        <v>2023-11-21</v>
      </c>
      <c r="G222" s="26" t="str">
        <f t="shared" si="16"/>
        <v>2023-11-21</v>
      </c>
      <c r="H222">
        <f t="shared" si="17"/>
        <v>0</v>
      </c>
      <c r="K222" t="str">
        <f t="shared" si="18"/>
        <v>Новикова Ольга ПетровнаСмирнов Илья Олегович</v>
      </c>
      <c r="L222" t="s">
        <v>45</v>
      </c>
      <c r="M222" t="s">
        <v>26</v>
      </c>
      <c r="N222" t="s">
        <v>405</v>
      </c>
      <c r="S222" t="str">
        <f t="shared" si="19"/>
        <v>Новикова Ольга ПетровнаНовикова Алиса Ивановна</v>
      </c>
      <c r="T222" t="s">
        <v>45</v>
      </c>
      <c r="U222" t="s">
        <v>202</v>
      </c>
      <c r="V222" t="s">
        <v>199</v>
      </c>
    </row>
    <row r="223" spans="4:22" x14ac:dyDescent="0.25">
      <c r="D223" t="s">
        <v>5</v>
      </c>
      <c r="E223" t="s">
        <v>141</v>
      </c>
      <c r="F223" s="26" t="str">
        <f t="shared" si="15"/>
        <v>2023-11-22</v>
      </c>
      <c r="G223" s="26" t="str">
        <f t="shared" si="16"/>
        <v>2023-11-22</v>
      </c>
      <c r="H223">
        <f t="shared" si="17"/>
        <v>0</v>
      </c>
      <c r="K223" t="str">
        <f t="shared" si="18"/>
        <v>Сидорова Елена ВасильевнаМорозов Максим Сергеевич</v>
      </c>
      <c r="L223" t="s">
        <v>8</v>
      </c>
      <c r="M223" t="s">
        <v>239</v>
      </c>
      <c r="N223" t="s">
        <v>405</v>
      </c>
      <c r="S223" t="str">
        <f t="shared" si="19"/>
        <v>Кузнецов Дмитрий ЛьвовичИванова Наталья Дмитриевна</v>
      </c>
      <c r="T223" t="s">
        <v>38</v>
      </c>
      <c r="U223" t="s">
        <v>14</v>
      </c>
      <c r="V223" t="s">
        <v>199</v>
      </c>
    </row>
    <row r="224" spans="4:22" x14ac:dyDescent="0.25">
      <c r="D224" t="s">
        <v>27</v>
      </c>
      <c r="E224" t="s">
        <v>205</v>
      </c>
      <c r="F224" s="26" t="str">
        <f t="shared" si="15"/>
        <v>2023-11-22</v>
      </c>
      <c r="G224" s="26" t="str">
        <f t="shared" si="16"/>
        <v>2023-11-22</v>
      </c>
      <c r="H224">
        <f t="shared" si="17"/>
        <v>0</v>
      </c>
      <c r="K224" t="str">
        <f t="shared" si="18"/>
        <v>Орлов Павел ДенисовичФедоров Илья Егорович</v>
      </c>
      <c r="L224" t="s">
        <v>47</v>
      </c>
      <c r="M224" t="s">
        <v>252</v>
      </c>
      <c r="N224" t="s">
        <v>405</v>
      </c>
      <c r="S224" t="str">
        <f t="shared" si="19"/>
        <v>Орлов Павел ДенисовичМорозов Илья Геннадьевич</v>
      </c>
      <c r="T224" t="s">
        <v>47</v>
      </c>
      <c r="U224" t="s">
        <v>67</v>
      </c>
      <c r="V224" t="s">
        <v>199</v>
      </c>
    </row>
    <row r="225" spans="4:22" x14ac:dyDescent="0.25">
      <c r="D225" t="s">
        <v>25</v>
      </c>
      <c r="E225" t="s">
        <v>206</v>
      </c>
      <c r="F225" s="26" t="str">
        <f t="shared" si="15"/>
        <v>2023-11-22</v>
      </c>
      <c r="G225" s="26" t="str">
        <f t="shared" si="16"/>
        <v>2023-11-22</v>
      </c>
      <c r="H225">
        <f t="shared" si="17"/>
        <v>0</v>
      </c>
      <c r="K225" t="str">
        <f t="shared" si="18"/>
        <v>Новикова Ольга ПетровнаКузнецова Алиса Владимировна</v>
      </c>
      <c r="L225" t="s">
        <v>45</v>
      </c>
      <c r="M225" t="s">
        <v>46</v>
      </c>
      <c r="N225" t="s">
        <v>405</v>
      </c>
      <c r="S225" t="str">
        <f t="shared" si="19"/>
        <v>Петров Владимир КирилловичНовикова Елена Геннадьевна</v>
      </c>
      <c r="T225" t="s">
        <v>18</v>
      </c>
      <c r="U225" t="s">
        <v>103</v>
      </c>
      <c r="V225" t="s">
        <v>203</v>
      </c>
    </row>
    <row r="226" spans="4:22" x14ac:dyDescent="0.25">
      <c r="D226" t="s">
        <v>8</v>
      </c>
      <c r="E226" t="s">
        <v>122</v>
      </c>
      <c r="F226" s="26" t="str">
        <f t="shared" si="15"/>
        <v>2023-11-22</v>
      </c>
      <c r="G226" s="26" t="str">
        <f t="shared" si="16"/>
        <v>2023-11-22</v>
      </c>
      <c r="H226">
        <f t="shared" si="17"/>
        <v>0</v>
      </c>
      <c r="K226" t="str">
        <f t="shared" si="18"/>
        <v>Семенова Ирина ВалерьевнаАлексеев Кирилл Иванович</v>
      </c>
      <c r="L226" t="s">
        <v>10</v>
      </c>
      <c r="M226" t="s">
        <v>90</v>
      </c>
      <c r="N226" t="s">
        <v>405</v>
      </c>
      <c r="S226" t="str">
        <f t="shared" si="19"/>
        <v>Белов Алексей КонстантиновичПетрова Алиса Станиславовна</v>
      </c>
      <c r="T226" t="s">
        <v>25</v>
      </c>
      <c r="U226" t="s">
        <v>65</v>
      </c>
      <c r="V226" t="s">
        <v>203</v>
      </c>
    </row>
    <row r="227" spans="4:22" x14ac:dyDescent="0.25">
      <c r="D227" t="s">
        <v>8</v>
      </c>
      <c r="E227" t="s">
        <v>35</v>
      </c>
      <c r="F227" s="26" t="str">
        <f t="shared" si="15"/>
        <v>2023-11-23</v>
      </c>
      <c r="G227" s="26" t="str">
        <f t="shared" si="16"/>
        <v>2023-11-23</v>
      </c>
      <c r="H227">
        <f t="shared" si="17"/>
        <v>0</v>
      </c>
      <c r="K227" t="str">
        <f t="shared" si="18"/>
        <v>Белов Алексей КонстантиновичФедоров Кирилл Алексеевич</v>
      </c>
      <c r="L227" t="s">
        <v>25</v>
      </c>
      <c r="M227" t="s">
        <v>287</v>
      </c>
      <c r="N227" t="s">
        <v>405</v>
      </c>
      <c r="S227" t="str">
        <f t="shared" si="19"/>
        <v>Ткаченко Андрей ОлеговичНовиков Матвей Егорович</v>
      </c>
      <c r="T227" t="s">
        <v>27</v>
      </c>
      <c r="U227" t="s">
        <v>33</v>
      </c>
      <c r="V227" t="s">
        <v>203</v>
      </c>
    </row>
    <row r="228" spans="4:22" x14ac:dyDescent="0.25">
      <c r="D228" t="s">
        <v>8</v>
      </c>
      <c r="E228" t="s">
        <v>209</v>
      </c>
      <c r="F228" s="26" t="str">
        <f t="shared" si="15"/>
        <v>2023-11-24</v>
      </c>
      <c r="G228" s="26" t="str">
        <f t="shared" si="16"/>
        <v>2023-11-24</v>
      </c>
      <c r="H228">
        <f t="shared" si="17"/>
        <v>0</v>
      </c>
      <c r="K228" t="str">
        <f t="shared" si="18"/>
        <v>Иванова Анна СергеевнаСтепанов Сергей Егорович</v>
      </c>
      <c r="L228" t="s">
        <v>13</v>
      </c>
      <c r="M228" t="s">
        <v>184</v>
      </c>
      <c r="N228" t="s">
        <v>404</v>
      </c>
      <c r="S228" t="str">
        <f t="shared" si="19"/>
        <v>Белов Алексей КонстантиновичСмирнова Елена Викторовна</v>
      </c>
      <c r="T228" t="s">
        <v>25</v>
      </c>
      <c r="U228" t="s">
        <v>66</v>
      </c>
      <c r="V228" t="s">
        <v>203</v>
      </c>
    </row>
    <row r="229" spans="4:22" x14ac:dyDescent="0.25">
      <c r="D229" t="s">
        <v>45</v>
      </c>
      <c r="E229" t="s">
        <v>107</v>
      </c>
      <c r="F229" s="26" t="str">
        <f t="shared" si="15"/>
        <v>2023-11-27</v>
      </c>
      <c r="G229" s="26" t="str">
        <f t="shared" si="16"/>
        <v>2023-11-27</v>
      </c>
      <c r="H229">
        <f t="shared" si="17"/>
        <v>0</v>
      </c>
      <c r="K229" t="str">
        <f t="shared" si="18"/>
        <v>Орлов Павел ДенисовичСеменов Артем Станиславович</v>
      </c>
      <c r="L229" t="s">
        <v>47</v>
      </c>
      <c r="M229" t="s">
        <v>298</v>
      </c>
      <c r="N229" t="s">
        <v>404</v>
      </c>
      <c r="S229" t="str">
        <f t="shared" si="19"/>
        <v>Громова Мария ИльиничнаОрлова Анна Артемовна</v>
      </c>
      <c r="T229" t="s">
        <v>5</v>
      </c>
      <c r="U229" t="s">
        <v>141</v>
      </c>
      <c r="V229" t="s">
        <v>204</v>
      </c>
    </row>
    <row r="230" spans="4:22" x14ac:dyDescent="0.25">
      <c r="D230" t="s">
        <v>25</v>
      </c>
      <c r="E230" t="s">
        <v>182</v>
      </c>
      <c r="F230" s="26" t="str">
        <f t="shared" si="15"/>
        <v>2023-11-27</v>
      </c>
      <c r="G230" s="26" t="str">
        <f t="shared" si="16"/>
        <v>2023-11-27</v>
      </c>
      <c r="H230">
        <f t="shared" si="17"/>
        <v>0</v>
      </c>
      <c r="K230" t="str">
        <f t="shared" si="18"/>
        <v>Громова Мария ИльиничнаЛебедев Матвей Сергеевич</v>
      </c>
      <c r="L230" t="s">
        <v>5</v>
      </c>
      <c r="M230" t="s">
        <v>243</v>
      </c>
      <c r="N230" t="s">
        <v>404</v>
      </c>
      <c r="S230" t="str">
        <f t="shared" si="19"/>
        <v>Ткаченко Андрей ОлеговичСмирнова Алиса Михайловна</v>
      </c>
      <c r="T230" t="s">
        <v>27</v>
      </c>
      <c r="U230" t="s">
        <v>205</v>
      </c>
      <c r="V230" t="s">
        <v>204</v>
      </c>
    </row>
    <row r="231" spans="4:22" x14ac:dyDescent="0.25">
      <c r="D231" t="s">
        <v>16</v>
      </c>
      <c r="E231" t="s">
        <v>211</v>
      </c>
      <c r="F231" s="26" t="str">
        <f t="shared" si="15"/>
        <v>2023-11-27</v>
      </c>
      <c r="G231" s="26" t="str">
        <f t="shared" si="16"/>
        <v>2023-11-27</v>
      </c>
      <c r="H231">
        <f t="shared" si="17"/>
        <v>0</v>
      </c>
      <c r="K231" t="str">
        <f t="shared" si="18"/>
        <v>Орлов Павел ДенисовичСидоров Владимир Артемович</v>
      </c>
      <c r="L231" t="s">
        <v>47</v>
      </c>
      <c r="M231" t="s">
        <v>32</v>
      </c>
      <c r="N231" t="s">
        <v>404</v>
      </c>
      <c r="S231" t="str">
        <f t="shared" si="19"/>
        <v>Белов Алексей КонстантиновичАлексеев Кирилл Сергеевич</v>
      </c>
      <c r="T231" t="s">
        <v>25</v>
      </c>
      <c r="U231" t="s">
        <v>206</v>
      </c>
      <c r="V231" t="s">
        <v>204</v>
      </c>
    </row>
    <row r="232" spans="4:22" x14ac:dyDescent="0.25">
      <c r="D232" t="s">
        <v>27</v>
      </c>
      <c r="E232" t="s">
        <v>43</v>
      </c>
      <c r="F232" s="26" t="str">
        <f t="shared" si="15"/>
        <v>2023-11-27</v>
      </c>
      <c r="G232" s="26" t="str">
        <f t="shared" si="16"/>
        <v>2023-11-27</v>
      </c>
      <c r="H232">
        <f t="shared" si="17"/>
        <v>0</v>
      </c>
      <c r="K232" t="str">
        <f t="shared" si="18"/>
        <v>Белов Алексей КонстантиновичПопов Никита Геннадьевич</v>
      </c>
      <c r="L232" t="s">
        <v>25</v>
      </c>
      <c r="M232" t="s">
        <v>68</v>
      </c>
      <c r="N232" t="s">
        <v>404</v>
      </c>
      <c r="S232" t="str">
        <f t="shared" si="19"/>
        <v>Сидорова Елена ВасильевнаПавлов Дмитрий Павлович</v>
      </c>
      <c r="T232" t="s">
        <v>8</v>
      </c>
      <c r="U232" t="s">
        <v>122</v>
      </c>
      <c r="V232" t="s">
        <v>204</v>
      </c>
    </row>
    <row r="233" spans="4:22" x14ac:dyDescent="0.25">
      <c r="D233" t="s">
        <v>25</v>
      </c>
      <c r="E233" t="s">
        <v>82</v>
      </c>
      <c r="F233" s="26" t="str">
        <f t="shared" si="15"/>
        <v>2023-11-27</v>
      </c>
      <c r="G233" s="26" t="str">
        <f t="shared" si="16"/>
        <v>2024-04-25</v>
      </c>
      <c r="H233">
        <f t="shared" si="17"/>
        <v>150</v>
      </c>
      <c r="K233" t="str">
        <f t="shared" si="18"/>
        <v>Сидорова Елена ВасильевнаЕгорова Вероника Егоровна</v>
      </c>
      <c r="L233" t="s">
        <v>8</v>
      </c>
      <c r="M233" t="s">
        <v>300</v>
      </c>
      <c r="N233" t="s">
        <v>403</v>
      </c>
      <c r="S233" t="str">
        <f t="shared" si="19"/>
        <v>Ткаченко Андрей ОлеговичКозлова Татьяна Сергеевна</v>
      </c>
      <c r="T233" t="s">
        <v>27</v>
      </c>
      <c r="U233" t="s">
        <v>28</v>
      </c>
      <c r="V233" t="s">
        <v>207</v>
      </c>
    </row>
    <row r="234" spans="4:22" x14ac:dyDescent="0.25">
      <c r="D234" t="s">
        <v>25</v>
      </c>
      <c r="E234" t="s">
        <v>105</v>
      </c>
      <c r="F234" s="26" t="str">
        <f t="shared" si="15"/>
        <v>2023-11-27</v>
      </c>
      <c r="G234" s="26" t="str">
        <f t="shared" si="16"/>
        <v>2024-05-16</v>
      </c>
      <c r="H234">
        <f t="shared" si="17"/>
        <v>171</v>
      </c>
      <c r="K234" t="str">
        <f t="shared" si="18"/>
        <v>Семенова Ирина ВалерьевнаСидоров Владимир Артемович</v>
      </c>
      <c r="L234" t="s">
        <v>10</v>
      </c>
      <c r="M234" t="s">
        <v>32</v>
      </c>
      <c r="N234" t="s">
        <v>403</v>
      </c>
      <c r="S234" t="str">
        <f t="shared" si="19"/>
        <v>Кузнецов Дмитрий ЛьвовичСтепанова Анна Станиславовна</v>
      </c>
      <c r="T234" t="s">
        <v>38</v>
      </c>
      <c r="U234" t="s">
        <v>110</v>
      </c>
      <c r="V234" t="s">
        <v>207</v>
      </c>
    </row>
    <row r="235" spans="4:22" x14ac:dyDescent="0.25">
      <c r="D235" t="s">
        <v>16</v>
      </c>
      <c r="E235" t="s">
        <v>212</v>
      </c>
      <c r="F235" s="26" t="str">
        <f t="shared" si="15"/>
        <v>2023-11-27</v>
      </c>
      <c r="G235" s="26" t="str">
        <f t="shared" si="16"/>
        <v>2023-11-27</v>
      </c>
      <c r="H235">
        <f t="shared" si="17"/>
        <v>0</v>
      </c>
      <c r="K235" t="str">
        <f t="shared" si="18"/>
        <v>Петров Владимир КирилловичФедоров Илья Егорович</v>
      </c>
      <c r="L235" t="s">
        <v>18</v>
      </c>
      <c r="M235" t="s">
        <v>252</v>
      </c>
      <c r="N235" t="s">
        <v>403</v>
      </c>
      <c r="S235" t="str">
        <f t="shared" si="19"/>
        <v>Сидорова Елена ВасильевнаСеменов Алексей Владимирович</v>
      </c>
      <c r="T235" t="s">
        <v>8</v>
      </c>
      <c r="U235" t="s">
        <v>35</v>
      </c>
      <c r="V235" t="s">
        <v>207</v>
      </c>
    </row>
    <row r="236" spans="4:22" x14ac:dyDescent="0.25">
      <c r="D236" t="s">
        <v>25</v>
      </c>
      <c r="E236" t="s">
        <v>55</v>
      </c>
      <c r="F236" s="26" t="str">
        <f t="shared" si="15"/>
        <v>2023-11-27</v>
      </c>
      <c r="G236" s="26" t="str">
        <f t="shared" si="16"/>
        <v>2023-12-27</v>
      </c>
      <c r="H236">
        <f t="shared" si="17"/>
        <v>30</v>
      </c>
      <c r="K236" t="str">
        <f t="shared" si="18"/>
        <v>Новикова Ольга ПетровнаЛебедева Ирина Кирилловна</v>
      </c>
      <c r="L236" t="s">
        <v>45</v>
      </c>
      <c r="M236" t="s">
        <v>73</v>
      </c>
      <c r="N236" t="s">
        <v>403</v>
      </c>
      <c r="S236" t="str">
        <f t="shared" si="19"/>
        <v>Орлов Павел ДенисовичКозлов Артем Викторович</v>
      </c>
      <c r="T236" t="s">
        <v>47</v>
      </c>
      <c r="U236" t="s">
        <v>124</v>
      </c>
      <c r="V236" t="s">
        <v>208</v>
      </c>
    </row>
    <row r="237" spans="4:22" x14ac:dyDescent="0.25">
      <c r="D237" t="s">
        <v>10</v>
      </c>
      <c r="E237" t="s">
        <v>35</v>
      </c>
      <c r="F237" s="26" t="str">
        <f t="shared" si="15"/>
        <v>2023-11-27</v>
      </c>
      <c r="G237" s="26" t="str">
        <f t="shared" si="16"/>
        <v>2024-08-19</v>
      </c>
      <c r="H237">
        <f t="shared" si="17"/>
        <v>266</v>
      </c>
      <c r="K237" t="str">
        <f t="shared" si="18"/>
        <v>Яковлев Артем ИгоревичНовиков Матвей Егорович</v>
      </c>
      <c r="L237" t="s">
        <v>30</v>
      </c>
      <c r="M237" t="s">
        <v>33</v>
      </c>
      <c r="N237" t="s">
        <v>402</v>
      </c>
      <c r="S237" t="str">
        <f t="shared" si="19"/>
        <v>Сидорова Елена ВасильевнаЛебедева Екатерина Олеговна</v>
      </c>
      <c r="T237" t="s">
        <v>8</v>
      </c>
      <c r="U237" t="s">
        <v>209</v>
      </c>
      <c r="V237" t="s">
        <v>208</v>
      </c>
    </row>
    <row r="238" spans="4:22" x14ac:dyDescent="0.25">
      <c r="D238" t="s">
        <v>8</v>
      </c>
      <c r="E238" t="s">
        <v>17</v>
      </c>
      <c r="F238" s="26" t="str">
        <f t="shared" si="15"/>
        <v>2023-11-29</v>
      </c>
      <c r="G238" s="26" t="str">
        <f t="shared" si="16"/>
        <v>2024-03-12</v>
      </c>
      <c r="H238">
        <f t="shared" si="17"/>
        <v>104</v>
      </c>
      <c r="K238" t="str">
        <f t="shared" si="18"/>
        <v>Кузнецов Дмитрий ЛьвовичКузнецов Алексей Егорович</v>
      </c>
      <c r="L238" t="s">
        <v>38</v>
      </c>
      <c r="M238" t="s">
        <v>247</v>
      </c>
      <c r="N238" t="s">
        <v>402</v>
      </c>
      <c r="S238" t="str">
        <f t="shared" si="19"/>
        <v>Новикова Ольга ПетровнаОрлов Дмитрий Ильич</v>
      </c>
      <c r="T238" t="s">
        <v>45</v>
      </c>
      <c r="U238" t="s">
        <v>107</v>
      </c>
      <c r="V238" t="s">
        <v>210</v>
      </c>
    </row>
    <row r="239" spans="4:22" x14ac:dyDescent="0.25">
      <c r="D239" t="s">
        <v>30</v>
      </c>
      <c r="E239" t="s">
        <v>214</v>
      </c>
      <c r="F239" s="26" t="str">
        <f t="shared" si="15"/>
        <v>2023-11-29</v>
      </c>
      <c r="G239" s="26" t="str">
        <f t="shared" si="16"/>
        <v>2023-11-29</v>
      </c>
      <c r="H239">
        <f t="shared" si="17"/>
        <v>0</v>
      </c>
      <c r="K239" t="str">
        <f t="shared" si="18"/>
        <v>Семенова Ирина ВалерьевнаСидоров Егор Александрович</v>
      </c>
      <c r="L239" t="s">
        <v>10</v>
      </c>
      <c r="M239" t="s">
        <v>153</v>
      </c>
      <c r="N239" t="s">
        <v>402</v>
      </c>
      <c r="S239" t="str">
        <f t="shared" si="19"/>
        <v>Белов Алексей КонстантиновичФедорова София Егоровна</v>
      </c>
      <c r="T239" t="s">
        <v>25</v>
      </c>
      <c r="U239" t="s">
        <v>182</v>
      </c>
      <c r="V239" t="s">
        <v>210</v>
      </c>
    </row>
    <row r="240" spans="4:22" x14ac:dyDescent="0.25">
      <c r="D240" t="s">
        <v>38</v>
      </c>
      <c r="E240" t="s">
        <v>215</v>
      </c>
      <c r="F240" s="26" t="str">
        <f t="shared" si="15"/>
        <v>2023-11-29</v>
      </c>
      <c r="G240" s="26" t="str">
        <f t="shared" si="16"/>
        <v>2023-11-29</v>
      </c>
      <c r="H240">
        <f t="shared" si="17"/>
        <v>0</v>
      </c>
      <c r="K240" t="str">
        <f t="shared" si="18"/>
        <v>Петров Владимир КирилловичСеменов Егор Никитич</v>
      </c>
      <c r="L240" t="s">
        <v>18</v>
      </c>
      <c r="M240" t="s">
        <v>215</v>
      </c>
      <c r="N240" t="s">
        <v>402</v>
      </c>
      <c r="S240" t="str">
        <f t="shared" si="19"/>
        <v>Фролов Сергей ВикторовичНовикова Анна Викторовна</v>
      </c>
      <c r="T240" t="s">
        <v>16</v>
      </c>
      <c r="U240" t="s">
        <v>211</v>
      </c>
      <c r="V240" t="s">
        <v>210</v>
      </c>
    </row>
    <row r="241" spans="4:22" x14ac:dyDescent="0.25">
      <c r="D241" t="s">
        <v>27</v>
      </c>
      <c r="E241" t="s">
        <v>129</v>
      </c>
      <c r="F241" s="26" t="str">
        <f t="shared" si="15"/>
        <v>2023-12-01</v>
      </c>
      <c r="G241" s="26" t="str">
        <f t="shared" si="16"/>
        <v>2023-12-01</v>
      </c>
      <c r="H241">
        <f t="shared" si="17"/>
        <v>0</v>
      </c>
      <c r="K241" t="str">
        <f t="shared" si="18"/>
        <v>Семенова Ирина ВалерьевнаСидоров Михаил Сергеевич</v>
      </c>
      <c r="L241" t="s">
        <v>10</v>
      </c>
      <c r="M241" t="s">
        <v>187</v>
      </c>
      <c r="N241" t="s">
        <v>401</v>
      </c>
      <c r="S241" t="str">
        <f t="shared" si="19"/>
        <v>Ткаченко Андрей ОлеговичФедорова Наталья Геннадьевна</v>
      </c>
      <c r="T241" t="s">
        <v>27</v>
      </c>
      <c r="U241" t="s">
        <v>43</v>
      </c>
      <c r="V241" t="s">
        <v>210</v>
      </c>
    </row>
    <row r="242" spans="4:22" x14ac:dyDescent="0.25">
      <c r="D242" t="s">
        <v>38</v>
      </c>
      <c r="E242" t="s">
        <v>217</v>
      </c>
      <c r="F242" s="26" t="str">
        <f t="shared" si="15"/>
        <v>2023-12-04</v>
      </c>
      <c r="G242" s="26" t="str">
        <f t="shared" si="16"/>
        <v>2023-12-27</v>
      </c>
      <c r="H242">
        <f t="shared" si="17"/>
        <v>23</v>
      </c>
      <c r="K242" t="str">
        <f t="shared" si="18"/>
        <v>Кузнецов Дмитрий ЛьвовичПетрова Елена Юрьевна</v>
      </c>
      <c r="L242" t="s">
        <v>38</v>
      </c>
      <c r="M242" t="s">
        <v>116</v>
      </c>
      <c r="N242" t="s">
        <v>401</v>
      </c>
      <c r="S242" t="str">
        <f t="shared" si="19"/>
        <v>Белов Алексей КонстантиновичОрлова Ольга Алексеевна</v>
      </c>
      <c r="T242" t="s">
        <v>25</v>
      </c>
      <c r="U242" t="s">
        <v>82</v>
      </c>
      <c r="V242" t="s">
        <v>210</v>
      </c>
    </row>
    <row r="243" spans="4:22" x14ac:dyDescent="0.25">
      <c r="D243" t="s">
        <v>8</v>
      </c>
      <c r="E243" t="s">
        <v>200</v>
      </c>
      <c r="F243" s="26" t="str">
        <f t="shared" si="15"/>
        <v>2023-12-04</v>
      </c>
      <c r="G243" s="26" t="str">
        <f t="shared" si="16"/>
        <v>2023-12-04</v>
      </c>
      <c r="H243">
        <f t="shared" si="17"/>
        <v>0</v>
      </c>
      <c r="K243" t="str">
        <f t="shared" si="18"/>
        <v>Фролов Сергей ВикторовичСтепанов Александр Дмитриевич</v>
      </c>
      <c r="L243" t="s">
        <v>16</v>
      </c>
      <c r="M243" t="s">
        <v>149</v>
      </c>
      <c r="N243" t="s">
        <v>401</v>
      </c>
      <c r="S243" t="str">
        <f t="shared" si="19"/>
        <v>Белов Алексей КонстантиновичСеменов Иван Павлович</v>
      </c>
      <c r="T243" t="s">
        <v>25</v>
      </c>
      <c r="U243" t="s">
        <v>105</v>
      </c>
      <c r="V243" t="s">
        <v>210</v>
      </c>
    </row>
    <row r="244" spans="4:22" x14ac:dyDescent="0.25">
      <c r="D244" t="s">
        <v>16</v>
      </c>
      <c r="E244" t="s">
        <v>136</v>
      </c>
      <c r="F244" s="26" t="str">
        <f t="shared" si="15"/>
        <v>2023-12-04</v>
      </c>
      <c r="G244" s="26" t="str">
        <f t="shared" si="16"/>
        <v>2023-12-04</v>
      </c>
      <c r="H244">
        <f t="shared" si="17"/>
        <v>0</v>
      </c>
      <c r="K244" t="str">
        <f t="shared" si="18"/>
        <v>Яковлев Артем ИгоревичЛебедев Сергей Станиславович</v>
      </c>
      <c r="L244" t="s">
        <v>30</v>
      </c>
      <c r="M244" t="s">
        <v>59</v>
      </c>
      <c r="N244" t="s">
        <v>401</v>
      </c>
      <c r="S244" t="str">
        <f t="shared" si="19"/>
        <v>Фролов Сергей ВикторовичВасильев Максим Иванович</v>
      </c>
      <c r="T244" t="s">
        <v>16</v>
      </c>
      <c r="U244" t="s">
        <v>212</v>
      </c>
      <c r="V244" t="s">
        <v>210</v>
      </c>
    </row>
    <row r="245" spans="4:22" x14ac:dyDescent="0.25">
      <c r="D245" t="s">
        <v>18</v>
      </c>
      <c r="E245" t="s">
        <v>75</v>
      </c>
      <c r="F245" s="26" t="str">
        <f t="shared" si="15"/>
        <v>2023-12-04</v>
      </c>
      <c r="G245" s="26" t="str">
        <f t="shared" si="16"/>
        <v>2023-12-04</v>
      </c>
      <c r="H245">
        <f t="shared" si="17"/>
        <v>0</v>
      </c>
      <c r="K245" t="str">
        <f t="shared" si="18"/>
        <v>Кузнецов Дмитрий ЛьвовичПопов Михаил Павлович</v>
      </c>
      <c r="L245" t="s">
        <v>38</v>
      </c>
      <c r="M245" t="s">
        <v>146</v>
      </c>
      <c r="N245" t="s">
        <v>401</v>
      </c>
      <c r="S245" t="str">
        <f t="shared" si="19"/>
        <v>Белов Алексей КонстантиновичМорозова Александра Станиславовна</v>
      </c>
      <c r="T245" t="s">
        <v>25</v>
      </c>
      <c r="U245" t="s">
        <v>55</v>
      </c>
      <c r="V245" t="s">
        <v>210</v>
      </c>
    </row>
    <row r="246" spans="4:22" x14ac:dyDescent="0.25">
      <c r="D246" t="s">
        <v>25</v>
      </c>
      <c r="E246" t="s">
        <v>149</v>
      </c>
      <c r="F246" s="26" t="str">
        <f t="shared" si="15"/>
        <v>2023-12-04</v>
      </c>
      <c r="G246" s="26" t="str">
        <f t="shared" si="16"/>
        <v>2023-12-04</v>
      </c>
      <c r="H246">
        <f t="shared" si="17"/>
        <v>0</v>
      </c>
      <c r="K246" t="str">
        <f t="shared" si="18"/>
        <v>Сидорова Елена ВасильевнаЛебедева Ольга Романовна</v>
      </c>
      <c r="L246" t="s">
        <v>8</v>
      </c>
      <c r="M246" t="s">
        <v>186</v>
      </c>
      <c r="N246" t="s">
        <v>401</v>
      </c>
      <c r="S246" t="str">
        <f t="shared" si="19"/>
        <v>Семенова Ирина ВалерьевнаСеменов Алексей Владимирович</v>
      </c>
      <c r="T246" t="s">
        <v>10</v>
      </c>
      <c r="U246" t="s">
        <v>35</v>
      </c>
      <c r="V246" t="s">
        <v>210</v>
      </c>
    </row>
    <row r="247" spans="4:22" x14ac:dyDescent="0.25">
      <c r="D247" t="s">
        <v>16</v>
      </c>
      <c r="E247" t="s">
        <v>9</v>
      </c>
      <c r="F247" s="26" t="str">
        <f t="shared" si="15"/>
        <v>2023-12-04</v>
      </c>
      <c r="G247" s="26" t="str">
        <f t="shared" si="16"/>
        <v>2024-06-10</v>
      </c>
      <c r="H247">
        <f t="shared" si="17"/>
        <v>189</v>
      </c>
      <c r="K247" t="str">
        <f t="shared" si="18"/>
        <v>Орлов Павел ДенисовичНиколаев Иван Михайлович</v>
      </c>
      <c r="L247" t="s">
        <v>47</v>
      </c>
      <c r="M247" t="s">
        <v>94</v>
      </c>
      <c r="N247" t="s">
        <v>400</v>
      </c>
      <c r="S247" t="str">
        <f t="shared" si="19"/>
        <v>Сидорова Елена ВасильевнаКозлова Полина Артемовна</v>
      </c>
      <c r="T247" t="s">
        <v>8</v>
      </c>
      <c r="U247" t="s">
        <v>17</v>
      </c>
      <c r="V247" t="s">
        <v>213</v>
      </c>
    </row>
    <row r="248" spans="4:22" x14ac:dyDescent="0.25">
      <c r="D248" t="s">
        <v>18</v>
      </c>
      <c r="E248" t="s">
        <v>219</v>
      </c>
      <c r="F248" s="26" t="str">
        <f t="shared" si="15"/>
        <v>2023-12-05</v>
      </c>
      <c r="G248" s="26" t="str">
        <f t="shared" si="16"/>
        <v>2023-12-05</v>
      </c>
      <c r="H248">
        <f t="shared" si="17"/>
        <v>0</v>
      </c>
      <c r="K248" t="str">
        <f t="shared" si="18"/>
        <v>Иванова Анна СергеевнаСмирнов Иван Ильич</v>
      </c>
      <c r="L248" t="s">
        <v>13</v>
      </c>
      <c r="M248" t="s">
        <v>114</v>
      </c>
      <c r="N248" t="s">
        <v>400</v>
      </c>
      <c r="S248" t="str">
        <f t="shared" si="19"/>
        <v>Яковлев Артем ИгоревичСтепанов Александр Андреевич</v>
      </c>
      <c r="T248" t="s">
        <v>30</v>
      </c>
      <c r="U248" t="s">
        <v>214</v>
      </c>
      <c r="V248" t="s">
        <v>213</v>
      </c>
    </row>
    <row r="249" spans="4:22" x14ac:dyDescent="0.25">
      <c r="D249" t="s">
        <v>27</v>
      </c>
      <c r="E249" t="s">
        <v>110</v>
      </c>
      <c r="F249" s="26" t="str">
        <f t="shared" si="15"/>
        <v>2023-12-05</v>
      </c>
      <c r="G249" s="26" t="str">
        <f t="shared" si="16"/>
        <v>2023-12-11</v>
      </c>
      <c r="H249">
        <f t="shared" si="17"/>
        <v>6</v>
      </c>
      <c r="K249" t="str">
        <f t="shared" si="18"/>
        <v>Петров Владимир КирилловичНиколаев Георгий Сергеевич</v>
      </c>
      <c r="L249" t="s">
        <v>18</v>
      </c>
      <c r="M249" t="s">
        <v>194</v>
      </c>
      <c r="N249" t="s">
        <v>400</v>
      </c>
      <c r="S249" t="str">
        <f t="shared" si="19"/>
        <v>Кузнецов Дмитрий ЛьвовичСеменов Егор Никитич</v>
      </c>
      <c r="T249" t="s">
        <v>38</v>
      </c>
      <c r="U249" t="s">
        <v>215</v>
      </c>
      <c r="V249" t="s">
        <v>213</v>
      </c>
    </row>
    <row r="250" spans="4:22" x14ac:dyDescent="0.25">
      <c r="D250" t="s">
        <v>47</v>
      </c>
      <c r="E250" t="s">
        <v>221</v>
      </c>
      <c r="F250" s="26" t="str">
        <f t="shared" si="15"/>
        <v>2023-12-06</v>
      </c>
      <c r="G250" s="26" t="str">
        <f t="shared" si="16"/>
        <v>2024-01-09</v>
      </c>
      <c r="H250">
        <f t="shared" si="17"/>
        <v>34</v>
      </c>
      <c r="K250" t="str">
        <f t="shared" si="18"/>
        <v>Орлов Павел ДенисовичВолкова Наталья Андреевна</v>
      </c>
      <c r="L250" t="s">
        <v>47</v>
      </c>
      <c r="M250" t="s">
        <v>24</v>
      </c>
      <c r="N250" t="s">
        <v>400</v>
      </c>
      <c r="S250" t="str">
        <f t="shared" si="19"/>
        <v>Ткаченко Андрей ОлеговичВолкова Виктория Павловна</v>
      </c>
      <c r="T250" t="s">
        <v>27</v>
      </c>
      <c r="U250" t="s">
        <v>129</v>
      </c>
      <c r="V250" t="s">
        <v>216</v>
      </c>
    </row>
    <row r="251" spans="4:22" x14ac:dyDescent="0.25">
      <c r="D251" t="s">
        <v>16</v>
      </c>
      <c r="E251" t="s">
        <v>223</v>
      </c>
      <c r="F251" s="26" t="str">
        <f t="shared" si="15"/>
        <v>2023-12-06</v>
      </c>
      <c r="G251" s="26" t="str">
        <f t="shared" si="16"/>
        <v>2024-08-28</v>
      </c>
      <c r="H251">
        <f t="shared" si="17"/>
        <v>266</v>
      </c>
      <c r="K251" t="str">
        <f t="shared" si="18"/>
        <v>Орлов Павел ДенисовичОрлов Кирилл Романович</v>
      </c>
      <c r="L251" t="s">
        <v>47</v>
      </c>
      <c r="M251" t="s">
        <v>270</v>
      </c>
      <c r="N251" t="s">
        <v>400</v>
      </c>
      <c r="S251" t="str">
        <f t="shared" si="19"/>
        <v>Кузнецов Дмитрий ЛьвовичПопова Людмила Егоровна</v>
      </c>
      <c r="T251" t="s">
        <v>38</v>
      </c>
      <c r="U251" t="s">
        <v>217</v>
      </c>
      <c r="V251" t="s">
        <v>218</v>
      </c>
    </row>
    <row r="252" spans="4:22" x14ac:dyDescent="0.25">
      <c r="D252" t="s">
        <v>13</v>
      </c>
      <c r="E252" t="s">
        <v>224</v>
      </c>
      <c r="F252" s="26" t="str">
        <f t="shared" si="15"/>
        <v>2023-12-06</v>
      </c>
      <c r="G252" s="26" t="str">
        <f t="shared" si="16"/>
        <v>2023-12-06</v>
      </c>
      <c r="H252">
        <f t="shared" si="17"/>
        <v>0</v>
      </c>
      <c r="K252" t="str">
        <f t="shared" si="18"/>
        <v>Фролов Сергей ВикторовичМорозов Егор Андреевич</v>
      </c>
      <c r="L252" t="s">
        <v>16</v>
      </c>
      <c r="M252" t="s">
        <v>9</v>
      </c>
      <c r="N252" t="s">
        <v>400</v>
      </c>
      <c r="S252" t="str">
        <f t="shared" si="19"/>
        <v>Сидорова Елена ВасильевнаНовикова Юлия Егоровна</v>
      </c>
      <c r="T252" t="s">
        <v>8</v>
      </c>
      <c r="U252" t="s">
        <v>200</v>
      </c>
      <c r="V252" t="s">
        <v>218</v>
      </c>
    </row>
    <row r="253" spans="4:22" x14ac:dyDescent="0.25">
      <c r="D253" t="s">
        <v>30</v>
      </c>
      <c r="E253" t="s">
        <v>20</v>
      </c>
      <c r="F253" s="26" t="str">
        <f t="shared" si="15"/>
        <v>2023-12-06</v>
      </c>
      <c r="G253" s="26" t="str">
        <f t="shared" si="16"/>
        <v>2024-08-14</v>
      </c>
      <c r="H253">
        <f t="shared" si="17"/>
        <v>252</v>
      </c>
      <c r="K253" t="str">
        <f t="shared" si="18"/>
        <v>Новикова Ольга ПетровнаКузнецова Алиса Владимировна</v>
      </c>
      <c r="L253" t="s">
        <v>45</v>
      </c>
      <c r="M253" t="s">
        <v>46</v>
      </c>
      <c r="N253" t="s">
        <v>400</v>
      </c>
      <c r="S253" t="str">
        <f t="shared" si="19"/>
        <v>Фролов Сергей ВикторовичЛебедев Егор Никитич</v>
      </c>
      <c r="T253" t="s">
        <v>16</v>
      </c>
      <c r="U253" t="s">
        <v>136</v>
      </c>
      <c r="V253" t="s">
        <v>218</v>
      </c>
    </row>
    <row r="254" spans="4:22" x14ac:dyDescent="0.25">
      <c r="D254" t="s">
        <v>5</v>
      </c>
      <c r="E254" t="s">
        <v>14</v>
      </c>
      <c r="F254" s="26" t="str">
        <f t="shared" si="15"/>
        <v>2023-12-07</v>
      </c>
      <c r="G254" s="26" t="str">
        <f t="shared" si="16"/>
        <v>2024-01-03</v>
      </c>
      <c r="H254">
        <f t="shared" si="17"/>
        <v>27</v>
      </c>
      <c r="K254" t="str">
        <f t="shared" si="18"/>
        <v>Орлов Павел ДенисовичВолкова София Владимировна</v>
      </c>
      <c r="L254" t="s">
        <v>47</v>
      </c>
      <c r="M254" t="s">
        <v>289</v>
      </c>
      <c r="N254" t="s">
        <v>399</v>
      </c>
      <c r="S254" t="str">
        <f t="shared" si="19"/>
        <v>Петров Владимир КирилловичПетров Роман Алексеевич</v>
      </c>
      <c r="T254" t="s">
        <v>18</v>
      </c>
      <c r="U254" t="s">
        <v>75</v>
      </c>
      <c r="V254" t="s">
        <v>218</v>
      </c>
    </row>
    <row r="255" spans="4:22" x14ac:dyDescent="0.25">
      <c r="D255" t="s">
        <v>8</v>
      </c>
      <c r="E255" t="s">
        <v>48</v>
      </c>
      <c r="F255" s="26" t="str">
        <f t="shared" si="15"/>
        <v>2023-12-07</v>
      </c>
      <c r="G255" s="26" t="str">
        <f t="shared" si="16"/>
        <v>2023-12-07</v>
      </c>
      <c r="H255">
        <f t="shared" si="17"/>
        <v>0</v>
      </c>
      <c r="K255" t="str">
        <f t="shared" si="18"/>
        <v>Сидорова Елена ВасильевнаСтепанова София Михайловна</v>
      </c>
      <c r="L255" t="s">
        <v>8</v>
      </c>
      <c r="M255" t="s">
        <v>77</v>
      </c>
      <c r="N255" t="s">
        <v>399</v>
      </c>
      <c r="S255" t="str">
        <f t="shared" si="19"/>
        <v>Белов Алексей КонстантиновичСтепанов Александр Дмитриевич</v>
      </c>
      <c r="T255" t="s">
        <v>25</v>
      </c>
      <c r="U255" t="s">
        <v>149</v>
      </c>
      <c r="V255" t="s">
        <v>218</v>
      </c>
    </row>
    <row r="256" spans="4:22" x14ac:dyDescent="0.25">
      <c r="D256" t="s">
        <v>30</v>
      </c>
      <c r="E256" t="s">
        <v>33</v>
      </c>
      <c r="F256" s="26" t="str">
        <f t="shared" si="15"/>
        <v>2023-12-07</v>
      </c>
      <c r="G256" s="26" t="str">
        <f t="shared" si="16"/>
        <v>2024-06-12</v>
      </c>
      <c r="H256">
        <f t="shared" si="17"/>
        <v>188</v>
      </c>
      <c r="K256" t="str">
        <f t="shared" si="18"/>
        <v>Кузнецов Дмитрий ЛьвовичЛебедева Александра Дмитриевна</v>
      </c>
      <c r="L256" t="s">
        <v>38</v>
      </c>
      <c r="M256" t="s">
        <v>20</v>
      </c>
      <c r="N256" t="s">
        <v>399</v>
      </c>
      <c r="S256" t="str">
        <f t="shared" si="19"/>
        <v>Сидорова Елена ВасильевнаФедоров Егор Никитич</v>
      </c>
      <c r="T256" t="s">
        <v>8</v>
      </c>
      <c r="U256" t="s">
        <v>170</v>
      </c>
      <c r="V256" t="s">
        <v>218</v>
      </c>
    </row>
    <row r="257" spans="4:22" x14ac:dyDescent="0.25">
      <c r="D257" t="s">
        <v>30</v>
      </c>
      <c r="E257" t="s">
        <v>226</v>
      </c>
      <c r="F257" s="26" t="str">
        <f t="shared" si="15"/>
        <v>2023-12-07</v>
      </c>
      <c r="G257" s="26" t="str">
        <f t="shared" si="16"/>
        <v>2023-12-07</v>
      </c>
      <c r="H257">
        <f t="shared" si="17"/>
        <v>0</v>
      </c>
      <c r="K257" t="str">
        <f t="shared" si="18"/>
        <v>Семенова Ирина ВалерьевнаСмирнова Светлана Кирилловна</v>
      </c>
      <c r="L257" t="s">
        <v>10</v>
      </c>
      <c r="M257" t="s">
        <v>393</v>
      </c>
      <c r="N257" t="s">
        <v>399</v>
      </c>
      <c r="S257" t="str">
        <f t="shared" si="19"/>
        <v>Фролов Сергей ВикторовичМорозов Егор Андреевич</v>
      </c>
      <c r="T257" t="s">
        <v>16</v>
      </c>
      <c r="U257" t="s">
        <v>9</v>
      </c>
      <c r="V257" t="s">
        <v>218</v>
      </c>
    </row>
    <row r="258" spans="4:22" x14ac:dyDescent="0.25">
      <c r="D258" t="s">
        <v>8</v>
      </c>
      <c r="E258" t="s">
        <v>227</v>
      </c>
      <c r="F258" s="26" t="str">
        <f t="shared" si="15"/>
        <v>2023-12-08</v>
      </c>
      <c r="G258" s="26" t="str">
        <f t="shared" si="16"/>
        <v>2024-08-12</v>
      </c>
      <c r="H258">
        <f t="shared" si="17"/>
        <v>248</v>
      </c>
      <c r="K258" t="str">
        <f t="shared" si="18"/>
        <v>Кузнецов Дмитрий ЛьвовичВолкова Татьяна Станиславовна</v>
      </c>
      <c r="L258" t="s">
        <v>38</v>
      </c>
      <c r="M258" t="s">
        <v>89</v>
      </c>
      <c r="N258" t="s">
        <v>398</v>
      </c>
      <c r="S258" t="str">
        <f t="shared" si="19"/>
        <v>Петров Владимир КирилловичВолков Иван Юрьевич</v>
      </c>
      <c r="T258" t="s">
        <v>18</v>
      </c>
      <c r="U258" t="s">
        <v>219</v>
      </c>
      <c r="V258" t="s">
        <v>220</v>
      </c>
    </row>
    <row r="259" spans="4:22" x14ac:dyDescent="0.25">
      <c r="D259" t="s">
        <v>13</v>
      </c>
      <c r="E259" t="s">
        <v>229</v>
      </c>
      <c r="F259" s="26" t="str">
        <f t="shared" ref="F259:F322" si="20">VLOOKUP(D259&amp;E259,S:V,4,0)</f>
        <v>2023-12-08</v>
      </c>
      <c r="G259" s="26" t="str">
        <f t="shared" ref="G259:G322" si="21">VLOOKUP(D259&amp;E259,K:N,4,0)</f>
        <v>2023-12-08</v>
      </c>
      <c r="H259">
        <f t="shared" ref="H259:H322" si="22">G259-F259</f>
        <v>0</v>
      </c>
      <c r="K259" t="str">
        <f t="shared" ref="K259:K322" si="23">L259&amp;M259</f>
        <v>Орлов Павел ДенисовичВолкова София Владимировна</v>
      </c>
      <c r="L259" t="s">
        <v>47</v>
      </c>
      <c r="M259" t="s">
        <v>289</v>
      </c>
      <c r="N259" t="s">
        <v>398</v>
      </c>
      <c r="S259" t="str">
        <f t="shared" ref="S259:S322" si="24">T259&amp;U259</f>
        <v>Ткаченко Андрей ОлеговичСтепанова Анна Станиславовна</v>
      </c>
      <c r="T259" t="s">
        <v>27</v>
      </c>
      <c r="U259" t="s">
        <v>110</v>
      </c>
      <c r="V259" t="s">
        <v>220</v>
      </c>
    </row>
    <row r="260" spans="4:22" x14ac:dyDescent="0.25">
      <c r="D260" t="s">
        <v>10</v>
      </c>
      <c r="E260" t="s">
        <v>152</v>
      </c>
      <c r="F260" s="26" t="str">
        <f t="shared" si="20"/>
        <v>2023-12-08</v>
      </c>
      <c r="G260" s="26" t="str">
        <f t="shared" si="21"/>
        <v>2023-12-08</v>
      </c>
      <c r="H260">
        <f t="shared" si="22"/>
        <v>0</v>
      </c>
      <c r="K260" t="str">
        <f t="shared" si="23"/>
        <v>Орлов Павел ДенисовичОрлов Дмитрий Ильич</v>
      </c>
      <c r="L260" t="s">
        <v>47</v>
      </c>
      <c r="M260" t="s">
        <v>107</v>
      </c>
      <c r="N260" t="s">
        <v>397</v>
      </c>
      <c r="S260" t="str">
        <f t="shared" si="24"/>
        <v>Орлов Павел ДенисовичСтепанова Анна Ивановна</v>
      </c>
      <c r="T260" t="s">
        <v>47</v>
      </c>
      <c r="U260" t="s">
        <v>221</v>
      </c>
      <c r="V260" t="s">
        <v>222</v>
      </c>
    </row>
    <row r="261" spans="4:22" x14ac:dyDescent="0.25">
      <c r="D261" t="s">
        <v>30</v>
      </c>
      <c r="E261" t="s">
        <v>153</v>
      </c>
      <c r="F261" s="26" t="str">
        <f t="shared" si="20"/>
        <v>2023-12-11</v>
      </c>
      <c r="G261" s="26" t="str">
        <f t="shared" si="21"/>
        <v>2023-12-11</v>
      </c>
      <c r="H261">
        <f t="shared" si="22"/>
        <v>0</v>
      </c>
      <c r="K261" t="str">
        <f t="shared" si="23"/>
        <v>Громова Мария ИльиничнаКозлов Павел Андреевич</v>
      </c>
      <c r="L261" t="s">
        <v>5</v>
      </c>
      <c r="M261" t="s">
        <v>363</v>
      </c>
      <c r="N261" t="s">
        <v>397</v>
      </c>
      <c r="S261" t="str">
        <f t="shared" si="24"/>
        <v>Фролов Сергей ВикторовичКузнецова Валерия Дмитриевна</v>
      </c>
      <c r="T261" t="s">
        <v>16</v>
      </c>
      <c r="U261" t="s">
        <v>223</v>
      </c>
      <c r="V261" t="s">
        <v>222</v>
      </c>
    </row>
    <row r="262" spans="4:22" x14ac:dyDescent="0.25">
      <c r="D262" t="s">
        <v>10</v>
      </c>
      <c r="E262" t="s">
        <v>231</v>
      </c>
      <c r="F262" s="26" t="str">
        <f t="shared" si="20"/>
        <v>2023-12-11</v>
      </c>
      <c r="G262" s="26" t="str">
        <f t="shared" si="21"/>
        <v>2024-07-01</v>
      </c>
      <c r="H262">
        <f t="shared" si="22"/>
        <v>203</v>
      </c>
      <c r="K262" t="str">
        <f t="shared" si="23"/>
        <v>Новикова Ольга ПетровнаОрлов Андрей Никитич</v>
      </c>
      <c r="L262" t="s">
        <v>45</v>
      </c>
      <c r="M262" t="s">
        <v>142</v>
      </c>
      <c r="N262" t="s">
        <v>397</v>
      </c>
      <c r="S262" t="str">
        <f t="shared" si="24"/>
        <v>Иванова Анна СергеевнаЕгоров Дмитрий Дмитриевич</v>
      </c>
      <c r="T262" t="s">
        <v>13</v>
      </c>
      <c r="U262" t="s">
        <v>224</v>
      </c>
      <c r="V262" t="s">
        <v>222</v>
      </c>
    </row>
    <row r="263" spans="4:22" x14ac:dyDescent="0.25">
      <c r="D263" t="s">
        <v>5</v>
      </c>
      <c r="E263" t="s">
        <v>125</v>
      </c>
      <c r="F263" s="26" t="str">
        <f t="shared" si="20"/>
        <v>2023-12-11</v>
      </c>
      <c r="G263" s="26" t="str">
        <f t="shared" si="21"/>
        <v>2023-12-11</v>
      </c>
      <c r="H263">
        <f t="shared" si="22"/>
        <v>0</v>
      </c>
      <c r="K263" t="str">
        <f t="shared" si="23"/>
        <v>Яковлев Артем ИгоревичСмирнов Александр Дмитриевич</v>
      </c>
      <c r="L263" t="s">
        <v>30</v>
      </c>
      <c r="M263" t="s">
        <v>85</v>
      </c>
      <c r="N263" t="s">
        <v>397</v>
      </c>
      <c r="S263" t="str">
        <f t="shared" si="24"/>
        <v>Яковлев Артем ИгоревичЛебедева Александра Дмитриевна</v>
      </c>
      <c r="T263" t="s">
        <v>30</v>
      </c>
      <c r="U263" t="s">
        <v>20</v>
      </c>
      <c r="V263" t="s">
        <v>222</v>
      </c>
    </row>
    <row r="264" spans="4:22" x14ac:dyDescent="0.25">
      <c r="D264" t="s">
        <v>5</v>
      </c>
      <c r="E264" t="s">
        <v>68</v>
      </c>
      <c r="F264" s="26" t="str">
        <f t="shared" si="20"/>
        <v>2023-12-11</v>
      </c>
      <c r="G264" s="26" t="str">
        <f t="shared" si="21"/>
        <v>2023-12-11</v>
      </c>
      <c r="H264">
        <f t="shared" si="22"/>
        <v>0</v>
      </c>
      <c r="K264" t="str">
        <f t="shared" si="23"/>
        <v>Петров Владимир КирилловичФедорова Алиса Викторовна</v>
      </c>
      <c r="L264" t="s">
        <v>18</v>
      </c>
      <c r="M264" t="s">
        <v>395</v>
      </c>
      <c r="N264" t="s">
        <v>396</v>
      </c>
      <c r="S264" t="str">
        <f t="shared" si="24"/>
        <v>Громова Мария ИльиничнаИванова Наталья Дмитриевна</v>
      </c>
      <c r="T264" t="s">
        <v>5</v>
      </c>
      <c r="U264" t="s">
        <v>14</v>
      </c>
      <c r="V264" t="s">
        <v>225</v>
      </c>
    </row>
    <row r="265" spans="4:22" x14ac:dyDescent="0.25">
      <c r="D265" t="s">
        <v>8</v>
      </c>
      <c r="E265" t="s">
        <v>217</v>
      </c>
      <c r="F265" s="26" t="str">
        <f t="shared" si="20"/>
        <v>2023-12-11</v>
      </c>
      <c r="G265" s="26" t="str">
        <f t="shared" si="21"/>
        <v>2024-01-01</v>
      </c>
      <c r="H265">
        <f t="shared" si="22"/>
        <v>21</v>
      </c>
      <c r="K265" t="str">
        <f t="shared" si="23"/>
        <v>Орлов Павел ДенисовичОрлова Юлия Сергеевна</v>
      </c>
      <c r="L265" t="s">
        <v>47</v>
      </c>
      <c r="M265" t="s">
        <v>157</v>
      </c>
      <c r="N265" t="s">
        <v>396</v>
      </c>
      <c r="S265" t="str">
        <f t="shared" si="24"/>
        <v>Сидорова Елена ВасильевнаПетрова Татьяна Павловна</v>
      </c>
      <c r="T265" t="s">
        <v>8</v>
      </c>
      <c r="U265" t="s">
        <v>48</v>
      </c>
      <c r="V265" t="s">
        <v>225</v>
      </c>
    </row>
    <row r="266" spans="4:22" x14ac:dyDescent="0.25">
      <c r="D266" t="s">
        <v>27</v>
      </c>
      <c r="E266" t="s">
        <v>232</v>
      </c>
      <c r="F266" s="26" t="str">
        <f t="shared" si="20"/>
        <v>2023-12-11</v>
      </c>
      <c r="G266" s="26" t="str">
        <f t="shared" si="21"/>
        <v>2023-12-11</v>
      </c>
      <c r="H266">
        <f t="shared" si="22"/>
        <v>0</v>
      </c>
      <c r="K266" t="str">
        <f t="shared" si="23"/>
        <v>Петров Владимир КирилловичОрлова Юлия Сергеевна</v>
      </c>
      <c r="L266" t="s">
        <v>18</v>
      </c>
      <c r="M266" t="s">
        <v>157</v>
      </c>
      <c r="N266" t="s">
        <v>396</v>
      </c>
      <c r="S266" t="str">
        <f t="shared" si="24"/>
        <v>Яковлев Артем ИгоревичНовиков Матвей Егорович</v>
      </c>
      <c r="T266" t="s">
        <v>30</v>
      </c>
      <c r="U266" t="s">
        <v>33</v>
      </c>
      <c r="V266" t="s">
        <v>225</v>
      </c>
    </row>
    <row r="267" spans="4:22" x14ac:dyDescent="0.25">
      <c r="D267" t="s">
        <v>27</v>
      </c>
      <c r="E267" t="s">
        <v>134</v>
      </c>
      <c r="F267" s="26" t="str">
        <f t="shared" si="20"/>
        <v>2023-12-11</v>
      </c>
      <c r="G267" s="26" t="str">
        <f t="shared" si="21"/>
        <v>2023-12-11</v>
      </c>
      <c r="H267">
        <f t="shared" si="22"/>
        <v>0</v>
      </c>
      <c r="K267" t="str">
        <f t="shared" si="23"/>
        <v>Сидорова Елена ВасильевнаКузнецов Максим Алексеевич</v>
      </c>
      <c r="L267" t="s">
        <v>8</v>
      </c>
      <c r="M267" t="s">
        <v>53</v>
      </c>
      <c r="N267" t="s">
        <v>396</v>
      </c>
      <c r="S267" t="str">
        <f t="shared" si="24"/>
        <v>Яковлев Артем ИгоревичНовиков Павел Олегович</v>
      </c>
      <c r="T267" t="s">
        <v>30</v>
      </c>
      <c r="U267" t="s">
        <v>226</v>
      </c>
      <c r="V267" t="s">
        <v>225</v>
      </c>
    </row>
    <row r="268" spans="4:22" x14ac:dyDescent="0.25">
      <c r="D268" t="s">
        <v>45</v>
      </c>
      <c r="E268" t="s">
        <v>233</v>
      </c>
      <c r="F268" s="26" t="str">
        <f t="shared" si="20"/>
        <v>2023-12-11</v>
      </c>
      <c r="G268" s="26" t="str">
        <f t="shared" si="21"/>
        <v>2024-04-29</v>
      </c>
      <c r="H268">
        <f t="shared" si="22"/>
        <v>140</v>
      </c>
      <c r="K268" t="str">
        <f t="shared" si="23"/>
        <v>Белов Алексей КонстантиновичНиколаев Иван Михайлович</v>
      </c>
      <c r="L268" t="s">
        <v>25</v>
      </c>
      <c r="M268" t="s">
        <v>94</v>
      </c>
      <c r="N268" t="s">
        <v>394</v>
      </c>
      <c r="S268" t="str">
        <f t="shared" si="24"/>
        <v>Сидорова Елена ВасильевнаОрлов Павел Юрьевич</v>
      </c>
      <c r="T268" t="s">
        <v>8</v>
      </c>
      <c r="U268" t="s">
        <v>227</v>
      </c>
      <c r="V268" t="s">
        <v>228</v>
      </c>
    </row>
    <row r="269" spans="4:22" x14ac:dyDescent="0.25">
      <c r="D269" t="s">
        <v>38</v>
      </c>
      <c r="E269" t="s">
        <v>194</v>
      </c>
      <c r="F269" s="26" t="str">
        <f t="shared" si="20"/>
        <v>2023-12-12</v>
      </c>
      <c r="G269" s="26" t="str">
        <f t="shared" si="21"/>
        <v>2024-05-13</v>
      </c>
      <c r="H269">
        <f t="shared" si="22"/>
        <v>153</v>
      </c>
      <c r="K269" t="str">
        <f t="shared" si="23"/>
        <v>Новикова Ольга ПетровнаЕгоров Александр Александрович</v>
      </c>
      <c r="L269" t="s">
        <v>45</v>
      </c>
      <c r="M269" t="s">
        <v>279</v>
      </c>
      <c r="N269" t="s">
        <v>394</v>
      </c>
      <c r="S269" t="str">
        <f t="shared" si="24"/>
        <v>Яковлев Артем ИгоревичСтепанов Сергей Егорович</v>
      </c>
      <c r="T269" t="s">
        <v>30</v>
      </c>
      <c r="U269" t="s">
        <v>184</v>
      </c>
      <c r="V269" t="s">
        <v>228</v>
      </c>
    </row>
    <row r="270" spans="4:22" x14ac:dyDescent="0.25">
      <c r="D270" t="s">
        <v>13</v>
      </c>
      <c r="E270" t="s">
        <v>132</v>
      </c>
      <c r="F270" s="26" t="str">
        <f t="shared" si="20"/>
        <v>2023-12-13</v>
      </c>
      <c r="G270" s="26" t="str">
        <f t="shared" si="21"/>
        <v>2023-12-13</v>
      </c>
      <c r="H270">
        <f t="shared" si="22"/>
        <v>0</v>
      </c>
      <c r="K270" t="str">
        <f t="shared" si="23"/>
        <v>Петров Владимир КирилловичФедоров Артур Станиславович</v>
      </c>
      <c r="L270" t="s">
        <v>18</v>
      </c>
      <c r="M270" t="s">
        <v>309</v>
      </c>
      <c r="N270" t="s">
        <v>394</v>
      </c>
      <c r="S270" t="str">
        <f t="shared" si="24"/>
        <v>Яковлев Артем ИгоревичВасильев Артур Артемович</v>
      </c>
      <c r="T270" t="s">
        <v>30</v>
      </c>
      <c r="U270" t="s">
        <v>31</v>
      </c>
      <c r="V270" t="s">
        <v>228</v>
      </c>
    </row>
    <row r="271" spans="4:22" x14ac:dyDescent="0.25">
      <c r="D271" t="s">
        <v>38</v>
      </c>
      <c r="E271" t="s">
        <v>55</v>
      </c>
      <c r="F271" s="26" t="str">
        <f t="shared" si="20"/>
        <v>2023-12-14</v>
      </c>
      <c r="G271" s="26" t="str">
        <f t="shared" si="21"/>
        <v>2024-01-29</v>
      </c>
      <c r="H271">
        <f t="shared" si="22"/>
        <v>46</v>
      </c>
      <c r="K271" t="str">
        <f t="shared" si="23"/>
        <v>Иванова Анна СергеевнаМорозова Александра Станиславовна</v>
      </c>
      <c r="L271" t="s">
        <v>13</v>
      </c>
      <c r="M271" t="s">
        <v>55</v>
      </c>
      <c r="N271" t="s">
        <v>394</v>
      </c>
      <c r="S271" t="str">
        <f t="shared" si="24"/>
        <v>Иванова Анна СергеевнаСмирнов Роман Юрьевич</v>
      </c>
      <c r="T271" t="s">
        <v>13</v>
      </c>
      <c r="U271" t="s">
        <v>229</v>
      </c>
      <c r="V271" t="s">
        <v>228</v>
      </c>
    </row>
    <row r="272" spans="4:22" x14ac:dyDescent="0.25">
      <c r="D272" t="s">
        <v>13</v>
      </c>
      <c r="E272" t="s">
        <v>116</v>
      </c>
      <c r="F272" s="26" t="str">
        <f t="shared" si="20"/>
        <v>2023-12-14</v>
      </c>
      <c r="G272" s="26" t="str">
        <f t="shared" si="21"/>
        <v>2023-12-14</v>
      </c>
      <c r="H272">
        <f t="shared" si="22"/>
        <v>0</v>
      </c>
      <c r="K272" t="str">
        <f t="shared" si="23"/>
        <v>Сидорова Елена ВасильевнаСеменова Светлана Дмитриевна</v>
      </c>
      <c r="L272" t="s">
        <v>8</v>
      </c>
      <c r="M272" t="s">
        <v>41</v>
      </c>
      <c r="N272" t="s">
        <v>394</v>
      </c>
      <c r="S272" t="str">
        <f t="shared" si="24"/>
        <v>Семенова Ирина ВалерьевнаПавлов Матвей Владимирович</v>
      </c>
      <c r="T272" t="s">
        <v>10</v>
      </c>
      <c r="U272" t="s">
        <v>152</v>
      </c>
      <c r="V272" t="s">
        <v>228</v>
      </c>
    </row>
    <row r="273" spans="4:22" x14ac:dyDescent="0.25">
      <c r="D273" t="s">
        <v>38</v>
      </c>
      <c r="E273" t="s">
        <v>53</v>
      </c>
      <c r="F273" s="26" t="str">
        <f t="shared" si="20"/>
        <v>2023-12-15</v>
      </c>
      <c r="G273" s="26" t="str">
        <f t="shared" si="21"/>
        <v>2023-12-15</v>
      </c>
      <c r="H273">
        <f t="shared" si="22"/>
        <v>0</v>
      </c>
      <c r="K273" t="str">
        <f t="shared" si="23"/>
        <v>Ткаченко Андрей ОлеговичВасильев Константин Дмитриевич</v>
      </c>
      <c r="L273" t="s">
        <v>27</v>
      </c>
      <c r="M273" t="s">
        <v>126</v>
      </c>
      <c r="N273" t="s">
        <v>394</v>
      </c>
      <c r="S273" t="str">
        <f t="shared" si="24"/>
        <v>Яковлев Артем ИгоревичНовиков Матвей Егорович</v>
      </c>
      <c r="T273" t="s">
        <v>30</v>
      </c>
      <c r="U273" t="s">
        <v>33</v>
      </c>
      <c r="V273" t="s">
        <v>228</v>
      </c>
    </row>
    <row r="274" spans="4:22" x14ac:dyDescent="0.25">
      <c r="D274" t="s">
        <v>25</v>
      </c>
      <c r="E274" t="s">
        <v>53</v>
      </c>
      <c r="F274" s="26" t="str">
        <f t="shared" si="20"/>
        <v>2023-12-15</v>
      </c>
      <c r="G274" s="26" t="str">
        <f t="shared" si="21"/>
        <v>2023-12-15</v>
      </c>
      <c r="H274">
        <f t="shared" si="22"/>
        <v>0</v>
      </c>
      <c r="K274" t="str">
        <f t="shared" si="23"/>
        <v>Новикова Ольга ПетровнаЛебедева Екатерина Олеговна</v>
      </c>
      <c r="L274" t="s">
        <v>45</v>
      </c>
      <c r="M274" t="s">
        <v>209</v>
      </c>
      <c r="N274" t="s">
        <v>394</v>
      </c>
      <c r="S274" t="str">
        <f t="shared" si="24"/>
        <v>Яковлев Артем ИгоревичСидоров Егор Александрович</v>
      </c>
      <c r="T274" t="s">
        <v>30</v>
      </c>
      <c r="U274" t="s">
        <v>153</v>
      </c>
      <c r="V274" t="s">
        <v>230</v>
      </c>
    </row>
    <row r="275" spans="4:22" x14ac:dyDescent="0.25">
      <c r="D275" t="s">
        <v>10</v>
      </c>
      <c r="E275" t="s">
        <v>41</v>
      </c>
      <c r="F275" s="26" t="str">
        <f t="shared" si="20"/>
        <v>2023-12-18</v>
      </c>
      <c r="G275" s="26" t="str">
        <f t="shared" si="21"/>
        <v>2023-12-18</v>
      </c>
      <c r="H275">
        <f t="shared" si="22"/>
        <v>0</v>
      </c>
      <c r="K275" t="str">
        <f t="shared" si="23"/>
        <v>Белов Алексей КонстантиновичВасильев Илья Александрович</v>
      </c>
      <c r="L275" t="s">
        <v>25</v>
      </c>
      <c r="M275" t="s">
        <v>137</v>
      </c>
      <c r="N275" t="s">
        <v>394</v>
      </c>
      <c r="S275" t="str">
        <f t="shared" si="24"/>
        <v>Семенова Ирина ВалерьевнаФедорова Алиса Юрьевна</v>
      </c>
      <c r="T275" t="s">
        <v>10</v>
      </c>
      <c r="U275" t="s">
        <v>231</v>
      </c>
      <c r="V275" t="s">
        <v>230</v>
      </c>
    </row>
    <row r="276" spans="4:22" x14ac:dyDescent="0.25">
      <c r="D276" t="s">
        <v>30</v>
      </c>
      <c r="E276" t="s">
        <v>6</v>
      </c>
      <c r="F276" s="26" t="str">
        <f t="shared" si="20"/>
        <v>2023-12-18</v>
      </c>
      <c r="G276" s="26" t="str">
        <f t="shared" si="21"/>
        <v>2023-12-18</v>
      </c>
      <c r="H276">
        <f t="shared" si="22"/>
        <v>0</v>
      </c>
      <c r="K276" t="str">
        <f t="shared" si="23"/>
        <v>Петров Владимир КирилловичНовиков Матвей Егорович</v>
      </c>
      <c r="L276" t="s">
        <v>18</v>
      </c>
      <c r="M276" t="s">
        <v>33</v>
      </c>
      <c r="N276" t="s">
        <v>394</v>
      </c>
      <c r="S276" t="str">
        <f t="shared" si="24"/>
        <v>Громова Мария ИльиничнаВасильев Дмитрий Иванович</v>
      </c>
      <c r="T276" t="s">
        <v>5</v>
      </c>
      <c r="U276" t="s">
        <v>125</v>
      </c>
      <c r="V276" t="s">
        <v>230</v>
      </c>
    </row>
    <row r="277" spans="4:22" x14ac:dyDescent="0.25">
      <c r="D277" t="s">
        <v>45</v>
      </c>
      <c r="E277" t="s">
        <v>194</v>
      </c>
      <c r="F277" s="26" t="str">
        <f t="shared" si="20"/>
        <v>2023-12-18</v>
      </c>
      <c r="G277" s="26" t="str">
        <f t="shared" si="21"/>
        <v>2023-12-18</v>
      </c>
      <c r="H277">
        <f t="shared" si="22"/>
        <v>0</v>
      </c>
      <c r="K277" t="str">
        <f t="shared" si="23"/>
        <v>Яковлев Артем ИгоревичНиколаев Георгий Сергеевич</v>
      </c>
      <c r="L277" t="s">
        <v>30</v>
      </c>
      <c r="M277" t="s">
        <v>194</v>
      </c>
      <c r="N277" t="s">
        <v>394</v>
      </c>
      <c r="S277" t="str">
        <f t="shared" si="24"/>
        <v>Громова Мария ИльиничнаПопов Никита Геннадьевич</v>
      </c>
      <c r="T277" t="s">
        <v>5</v>
      </c>
      <c r="U277" t="s">
        <v>68</v>
      </c>
      <c r="V277" t="s">
        <v>230</v>
      </c>
    </row>
    <row r="278" spans="4:22" x14ac:dyDescent="0.25">
      <c r="D278" t="s">
        <v>8</v>
      </c>
      <c r="E278" t="s">
        <v>239</v>
      </c>
      <c r="F278" s="26" t="str">
        <f t="shared" si="20"/>
        <v>2023-12-18</v>
      </c>
      <c r="G278" s="26" t="str">
        <f t="shared" si="21"/>
        <v>2024-06-17</v>
      </c>
      <c r="H278">
        <f t="shared" si="22"/>
        <v>182</v>
      </c>
      <c r="K278" t="str">
        <f t="shared" si="23"/>
        <v>Иванова Анна СергеевнаНовиков Павел Олегович</v>
      </c>
      <c r="L278" t="s">
        <v>13</v>
      </c>
      <c r="M278" t="s">
        <v>226</v>
      </c>
      <c r="N278" t="s">
        <v>392</v>
      </c>
      <c r="S278" t="str">
        <f t="shared" si="24"/>
        <v>Ткаченко Андрей ОлеговичСтепанова Анна Станиславовна</v>
      </c>
      <c r="T278" t="s">
        <v>27</v>
      </c>
      <c r="U278" t="s">
        <v>110</v>
      </c>
      <c r="V278" t="s">
        <v>230</v>
      </c>
    </row>
    <row r="279" spans="4:22" x14ac:dyDescent="0.25">
      <c r="D279" t="s">
        <v>27</v>
      </c>
      <c r="E279" t="s">
        <v>65</v>
      </c>
      <c r="F279" s="26" t="str">
        <f t="shared" si="20"/>
        <v>2023-12-18</v>
      </c>
      <c r="G279" s="26" t="str">
        <f t="shared" si="21"/>
        <v>2023-12-18</v>
      </c>
      <c r="H279">
        <f t="shared" si="22"/>
        <v>0</v>
      </c>
      <c r="K279" t="str">
        <f t="shared" si="23"/>
        <v>Петров Владимир КирилловичСмирнова Светлана Кирилловна</v>
      </c>
      <c r="L279" t="s">
        <v>18</v>
      </c>
      <c r="M279" t="s">
        <v>393</v>
      </c>
      <c r="N279" t="s">
        <v>392</v>
      </c>
      <c r="S279" t="str">
        <f t="shared" si="24"/>
        <v>Сидорова Елена ВасильевнаПопова Людмила Егоровна</v>
      </c>
      <c r="T279" t="s">
        <v>8</v>
      </c>
      <c r="U279" t="s">
        <v>217</v>
      </c>
      <c r="V279" t="s">
        <v>230</v>
      </c>
    </row>
    <row r="280" spans="4:22" x14ac:dyDescent="0.25">
      <c r="D280" t="s">
        <v>25</v>
      </c>
      <c r="E280" t="s">
        <v>63</v>
      </c>
      <c r="F280" s="26" t="str">
        <f t="shared" si="20"/>
        <v>2023-12-18</v>
      </c>
      <c r="G280" s="26" t="str">
        <f t="shared" si="21"/>
        <v>2024-08-26</v>
      </c>
      <c r="H280">
        <f t="shared" si="22"/>
        <v>252</v>
      </c>
      <c r="K280" t="str">
        <f t="shared" si="23"/>
        <v>Семенова Ирина ВалерьевнаПетров Алексей Юрьевич</v>
      </c>
      <c r="L280" t="s">
        <v>10</v>
      </c>
      <c r="M280" t="s">
        <v>22</v>
      </c>
      <c r="N280" t="s">
        <v>392</v>
      </c>
      <c r="S280" t="str">
        <f t="shared" si="24"/>
        <v>Ткаченко Андрей ОлеговичПопов Илья Сергеевич</v>
      </c>
      <c r="T280" t="s">
        <v>27</v>
      </c>
      <c r="U280" t="s">
        <v>232</v>
      </c>
      <c r="V280" t="s">
        <v>230</v>
      </c>
    </row>
    <row r="281" spans="4:22" x14ac:dyDescent="0.25">
      <c r="D281" t="s">
        <v>38</v>
      </c>
      <c r="E281" t="s">
        <v>31</v>
      </c>
      <c r="F281" s="26" t="str">
        <f t="shared" si="20"/>
        <v>2023-12-18</v>
      </c>
      <c r="G281" s="26" t="str">
        <f t="shared" si="21"/>
        <v>2023-12-18</v>
      </c>
      <c r="H281">
        <f t="shared" si="22"/>
        <v>0</v>
      </c>
      <c r="K281" t="str">
        <f t="shared" si="23"/>
        <v>Ткаченко Андрей ОлеговичВасильев Максим Иванович</v>
      </c>
      <c r="L281" t="s">
        <v>27</v>
      </c>
      <c r="M281" t="s">
        <v>212</v>
      </c>
      <c r="N281" t="s">
        <v>392</v>
      </c>
      <c r="S281" t="str">
        <f t="shared" si="24"/>
        <v>Ткаченко Андрей ОлеговичЕгоров Павел Сергеевич</v>
      </c>
      <c r="T281" t="s">
        <v>27</v>
      </c>
      <c r="U281" t="s">
        <v>134</v>
      </c>
      <c r="V281" t="s">
        <v>230</v>
      </c>
    </row>
    <row r="282" spans="4:22" x14ac:dyDescent="0.25">
      <c r="D282" t="s">
        <v>38</v>
      </c>
      <c r="E282" t="s">
        <v>99</v>
      </c>
      <c r="F282" s="26" t="str">
        <f t="shared" si="20"/>
        <v>2023-12-18</v>
      </c>
      <c r="G282" s="26" t="str">
        <f t="shared" si="21"/>
        <v>2024-04-15</v>
      </c>
      <c r="H282">
        <f t="shared" si="22"/>
        <v>119</v>
      </c>
      <c r="K282" t="str">
        <f t="shared" si="23"/>
        <v>Орлов Павел ДенисовичВолкова Татьяна Станиславовна</v>
      </c>
      <c r="L282" t="s">
        <v>47</v>
      </c>
      <c r="M282" t="s">
        <v>89</v>
      </c>
      <c r="N282" t="s">
        <v>392</v>
      </c>
      <c r="S282" t="str">
        <f t="shared" si="24"/>
        <v>Новикова Ольга ПетровнаОрлов Константин Никитич</v>
      </c>
      <c r="T282" t="s">
        <v>45</v>
      </c>
      <c r="U282" t="s">
        <v>233</v>
      </c>
      <c r="V282" t="s">
        <v>230</v>
      </c>
    </row>
    <row r="283" spans="4:22" x14ac:dyDescent="0.25">
      <c r="D283" t="s">
        <v>25</v>
      </c>
      <c r="E283" t="s">
        <v>214</v>
      </c>
      <c r="F283" s="26" t="str">
        <f t="shared" si="20"/>
        <v>2023-12-18</v>
      </c>
      <c r="G283" s="26" t="str">
        <f t="shared" si="21"/>
        <v>2023-12-18</v>
      </c>
      <c r="H283">
        <f t="shared" si="22"/>
        <v>0</v>
      </c>
      <c r="K283" t="str">
        <f t="shared" si="23"/>
        <v>Ткаченко Андрей ОлеговичСтепанова София Михайловна</v>
      </c>
      <c r="L283" t="s">
        <v>27</v>
      </c>
      <c r="M283" t="s">
        <v>77</v>
      </c>
      <c r="N283" t="s">
        <v>391</v>
      </c>
      <c r="S283" t="str">
        <f t="shared" si="24"/>
        <v>Кузнецов Дмитрий ЛьвовичНиколаев Георгий Сергеевич</v>
      </c>
      <c r="T283" t="s">
        <v>38</v>
      </c>
      <c r="U283" t="s">
        <v>194</v>
      </c>
      <c r="V283" t="s">
        <v>234</v>
      </c>
    </row>
    <row r="284" spans="4:22" x14ac:dyDescent="0.25">
      <c r="D284" t="s">
        <v>45</v>
      </c>
      <c r="E284" t="s">
        <v>144</v>
      </c>
      <c r="F284" s="26" t="str">
        <f t="shared" si="20"/>
        <v>2023-12-19</v>
      </c>
      <c r="G284" s="26" t="str">
        <f t="shared" si="21"/>
        <v>2023-12-19</v>
      </c>
      <c r="H284">
        <f t="shared" si="22"/>
        <v>0</v>
      </c>
      <c r="K284" t="str">
        <f t="shared" si="23"/>
        <v>Семенова Ирина ВалерьевнаФедоров Кирилл Алексеевич</v>
      </c>
      <c r="L284" t="s">
        <v>10</v>
      </c>
      <c r="M284" t="s">
        <v>287</v>
      </c>
      <c r="N284" t="s">
        <v>390</v>
      </c>
      <c r="S284" t="str">
        <f t="shared" si="24"/>
        <v>Иванова Анна СергеевнаСтепанов Дмитрий Геннадьевич</v>
      </c>
      <c r="T284" t="s">
        <v>13</v>
      </c>
      <c r="U284" t="s">
        <v>132</v>
      </c>
      <c r="V284" t="s">
        <v>235</v>
      </c>
    </row>
    <row r="285" spans="4:22" x14ac:dyDescent="0.25">
      <c r="D285" t="s">
        <v>10</v>
      </c>
      <c r="E285" t="s">
        <v>144</v>
      </c>
      <c r="F285" s="26" t="str">
        <f t="shared" si="20"/>
        <v>2023-12-19</v>
      </c>
      <c r="G285" s="26" t="str">
        <f t="shared" si="21"/>
        <v>2024-08-02</v>
      </c>
      <c r="H285">
        <f t="shared" si="22"/>
        <v>227</v>
      </c>
      <c r="K285" t="str">
        <f t="shared" si="23"/>
        <v>Иванова Анна СергеевнаНовикова Анна Викторовна</v>
      </c>
      <c r="L285" t="s">
        <v>13</v>
      </c>
      <c r="M285" t="s">
        <v>211</v>
      </c>
      <c r="N285" t="s">
        <v>389</v>
      </c>
      <c r="S285" t="str">
        <f t="shared" si="24"/>
        <v>Кузнецов Дмитрий ЛьвовичМорозова Александра Станиславовна</v>
      </c>
      <c r="T285" t="s">
        <v>38</v>
      </c>
      <c r="U285" t="s">
        <v>55</v>
      </c>
      <c r="V285" t="s">
        <v>236</v>
      </c>
    </row>
    <row r="286" spans="4:22" x14ac:dyDescent="0.25">
      <c r="D286" t="s">
        <v>10</v>
      </c>
      <c r="E286" t="s">
        <v>200</v>
      </c>
      <c r="F286" s="26" t="str">
        <f t="shared" si="20"/>
        <v>2023-12-20</v>
      </c>
      <c r="G286" s="26" t="str">
        <f t="shared" si="21"/>
        <v>2023-12-20</v>
      </c>
      <c r="H286">
        <f t="shared" si="22"/>
        <v>0</v>
      </c>
      <c r="K286" t="str">
        <f t="shared" si="23"/>
        <v>Новикова Ольга ПетровнаСмирнов Илья Олегович</v>
      </c>
      <c r="L286" t="s">
        <v>45</v>
      </c>
      <c r="M286" t="s">
        <v>26</v>
      </c>
      <c r="N286" t="s">
        <v>389</v>
      </c>
      <c r="S286" t="str">
        <f t="shared" si="24"/>
        <v>Иванова Анна СергеевнаПетрова Елена Юрьевна</v>
      </c>
      <c r="T286" t="s">
        <v>13</v>
      </c>
      <c r="U286" t="s">
        <v>116</v>
      </c>
      <c r="V286" t="s">
        <v>236</v>
      </c>
    </row>
    <row r="287" spans="4:22" x14ac:dyDescent="0.25">
      <c r="D287" t="s">
        <v>5</v>
      </c>
      <c r="E287" t="s">
        <v>63</v>
      </c>
      <c r="F287" s="26" t="str">
        <f t="shared" si="20"/>
        <v>2023-12-20</v>
      </c>
      <c r="G287" s="26" t="str">
        <f t="shared" si="21"/>
        <v>2023-12-20</v>
      </c>
      <c r="H287">
        <f t="shared" si="22"/>
        <v>0</v>
      </c>
      <c r="K287" t="str">
        <f t="shared" si="23"/>
        <v>Сидорова Елена ВасильевнаКузнецов Алексей Егорович</v>
      </c>
      <c r="L287" t="s">
        <v>8</v>
      </c>
      <c r="M287" t="s">
        <v>247</v>
      </c>
      <c r="N287" t="s">
        <v>389</v>
      </c>
      <c r="S287" t="str">
        <f t="shared" si="24"/>
        <v>Кузнецов Дмитрий ЛьвовичКузнецов Максим Алексеевич</v>
      </c>
      <c r="T287" t="s">
        <v>38</v>
      </c>
      <c r="U287" t="s">
        <v>53</v>
      </c>
      <c r="V287" t="s">
        <v>237</v>
      </c>
    </row>
    <row r="288" spans="4:22" x14ac:dyDescent="0.25">
      <c r="D288" t="s">
        <v>47</v>
      </c>
      <c r="E288" t="s">
        <v>242</v>
      </c>
      <c r="F288" s="26" t="str">
        <f t="shared" si="20"/>
        <v>2023-12-20</v>
      </c>
      <c r="G288" s="26" t="str">
        <f t="shared" si="21"/>
        <v>2023-12-20</v>
      </c>
      <c r="H288">
        <f t="shared" si="22"/>
        <v>0</v>
      </c>
      <c r="K288" t="str">
        <f t="shared" si="23"/>
        <v>Орлов Павел ДенисовичСидоров Никита Романович</v>
      </c>
      <c r="L288" t="s">
        <v>47</v>
      </c>
      <c r="M288" t="s">
        <v>121</v>
      </c>
      <c r="N288" t="s">
        <v>389</v>
      </c>
      <c r="S288" t="str">
        <f t="shared" si="24"/>
        <v>Иванова Анна СергеевнаПавлов Сергей Артемович</v>
      </c>
      <c r="T288" t="s">
        <v>13</v>
      </c>
      <c r="U288" t="s">
        <v>144</v>
      </c>
      <c r="V288" t="s">
        <v>237</v>
      </c>
    </row>
    <row r="289" spans="4:22" x14ac:dyDescent="0.25">
      <c r="D289" t="s">
        <v>25</v>
      </c>
      <c r="E289" t="s">
        <v>177</v>
      </c>
      <c r="F289" s="26" t="str">
        <f t="shared" si="20"/>
        <v>2023-12-20</v>
      </c>
      <c r="G289" s="26" t="str">
        <f t="shared" si="21"/>
        <v>2024-01-01</v>
      </c>
      <c r="H289">
        <f t="shared" si="22"/>
        <v>12</v>
      </c>
      <c r="K289" t="str">
        <f t="shared" si="23"/>
        <v>Яковлев Артем ИгоревичСеменов Михаил Егорович</v>
      </c>
      <c r="L289" t="s">
        <v>30</v>
      </c>
      <c r="M289" t="s">
        <v>169</v>
      </c>
      <c r="N289" t="s">
        <v>388</v>
      </c>
      <c r="S289" t="str">
        <f t="shared" si="24"/>
        <v>Белов Алексей КонстантиновичКузнецов Максим Алексеевич</v>
      </c>
      <c r="T289" t="s">
        <v>25</v>
      </c>
      <c r="U289" t="s">
        <v>53</v>
      </c>
      <c r="V289" t="s">
        <v>237</v>
      </c>
    </row>
    <row r="290" spans="4:22" x14ac:dyDescent="0.25">
      <c r="D290" t="s">
        <v>25</v>
      </c>
      <c r="E290" t="s">
        <v>243</v>
      </c>
      <c r="F290" s="26" t="str">
        <f t="shared" si="20"/>
        <v>2023-12-20</v>
      </c>
      <c r="G290" s="26" t="str">
        <f t="shared" si="21"/>
        <v>2023-12-20</v>
      </c>
      <c r="H290">
        <f t="shared" si="22"/>
        <v>0</v>
      </c>
      <c r="K290" t="str">
        <f t="shared" si="23"/>
        <v>Семенова Ирина ВалерьевнаПетров Михаил Ильич</v>
      </c>
      <c r="L290" t="s">
        <v>10</v>
      </c>
      <c r="M290" t="s">
        <v>177</v>
      </c>
      <c r="N290" t="s">
        <v>388</v>
      </c>
      <c r="S290" t="str">
        <f t="shared" si="24"/>
        <v>Громова Мария ИльиничнаИванов Андрей Андреевич</v>
      </c>
      <c r="T290" t="s">
        <v>5</v>
      </c>
      <c r="U290" t="s">
        <v>190</v>
      </c>
      <c r="V290" t="s">
        <v>237</v>
      </c>
    </row>
    <row r="291" spans="4:22" x14ac:dyDescent="0.25">
      <c r="D291" t="s">
        <v>13</v>
      </c>
      <c r="E291" t="s">
        <v>92</v>
      </c>
      <c r="F291" s="26" t="str">
        <f t="shared" si="20"/>
        <v>2023-12-21</v>
      </c>
      <c r="G291" s="26" t="str">
        <f t="shared" si="21"/>
        <v>2023-12-21</v>
      </c>
      <c r="H291">
        <f t="shared" si="22"/>
        <v>0</v>
      </c>
      <c r="K291" t="str">
        <f t="shared" si="23"/>
        <v>Яковлев Артем ИгоревичОрлова Ольга Алексеевна</v>
      </c>
      <c r="L291" t="s">
        <v>30</v>
      </c>
      <c r="M291" t="s">
        <v>82</v>
      </c>
      <c r="N291" t="s">
        <v>388</v>
      </c>
      <c r="S291" t="str">
        <f t="shared" si="24"/>
        <v>Семенова Ирина ВалерьевнаСеменова Светлана Дмитриевна</v>
      </c>
      <c r="T291" t="s">
        <v>10</v>
      </c>
      <c r="U291" t="s">
        <v>41</v>
      </c>
      <c r="V291" t="s">
        <v>238</v>
      </c>
    </row>
    <row r="292" spans="4:22" x14ac:dyDescent="0.25">
      <c r="D292" t="s">
        <v>8</v>
      </c>
      <c r="E292" t="s">
        <v>81</v>
      </c>
      <c r="F292" s="26" t="str">
        <f t="shared" si="20"/>
        <v>2023-12-21</v>
      </c>
      <c r="G292" s="26" t="str">
        <f t="shared" si="21"/>
        <v>2023-12-21</v>
      </c>
      <c r="H292">
        <f t="shared" si="22"/>
        <v>0</v>
      </c>
      <c r="K292" t="str">
        <f t="shared" si="23"/>
        <v>Иванова Анна СергеевнаОрлова Юлия Сергеевна</v>
      </c>
      <c r="L292" t="s">
        <v>13</v>
      </c>
      <c r="M292" t="s">
        <v>157</v>
      </c>
      <c r="N292" t="s">
        <v>388</v>
      </c>
      <c r="S292" t="str">
        <f t="shared" si="24"/>
        <v>Яковлев Артем ИгоревичВолкова Валерия Алексеевна</v>
      </c>
      <c r="T292" t="s">
        <v>30</v>
      </c>
      <c r="U292" t="s">
        <v>6</v>
      </c>
      <c r="V292" t="s">
        <v>238</v>
      </c>
    </row>
    <row r="293" spans="4:22" x14ac:dyDescent="0.25">
      <c r="D293" t="s">
        <v>47</v>
      </c>
      <c r="E293" t="s">
        <v>173</v>
      </c>
      <c r="F293" s="26" t="str">
        <f t="shared" si="20"/>
        <v>2023-12-22</v>
      </c>
      <c r="G293" s="26" t="str">
        <f t="shared" si="21"/>
        <v>2023-12-22</v>
      </c>
      <c r="H293">
        <f t="shared" si="22"/>
        <v>0</v>
      </c>
      <c r="K293" t="str">
        <f t="shared" si="23"/>
        <v>Яковлев Артем ИгоревичСеменова Наталья Олеговна</v>
      </c>
      <c r="L293" t="s">
        <v>30</v>
      </c>
      <c r="M293" t="s">
        <v>249</v>
      </c>
      <c r="N293" t="s">
        <v>388</v>
      </c>
      <c r="S293" t="str">
        <f t="shared" si="24"/>
        <v>Новикова Ольга ПетровнаНиколаев Георгий Сергеевич</v>
      </c>
      <c r="T293" t="s">
        <v>45</v>
      </c>
      <c r="U293" t="s">
        <v>194</v>
      </c>
      <c r="V293" t="s">
        <v>238</v>
      </c>
    </row>
    <row r="294" spans="4:22" x14ac:dyDescent="0.25">
      <c r="D294" t="s">
        <v>25</v>
      </c>
      <c r="E294" t="s">
        <v>99</v>
      </c>
      <c r="F294" s="26" t="str">
        <f t="shared" si="20"/>
        <v>2023-12-22</v>
      </c>
      <c r="G294" s="26" t="str">
        <f t="shared" si="21"/>
        <v>2023-12-22</v>
      </c>
      <c r="H294">
        <f t="shared" si="22"/>
        <v>0</v>
      </c>
      <c r="K294" t="str">
        <f t="shared" si="23"/>
        <v>Яковлев Артем ИгоревичЕгоров Павел Сергеевич</v>
      </c>
      <c r="L294" t="s">
        <v>30</v>
      </c>
      <c r="M294" t="s">
        <v>134</v>
      </c>
      <c r="N294" t="s">
        <v>388</v>
      </c>
      <c r="S294" t="str">
        <f t="shared" si="24"/>
        <v>Сидорова Елена ВасильевнаМорозов Максим Сергеевич</v>
      </c>
      <c r="T294" t="s">
        <v>8</v>
      </c>
      <c r="U294" t="s">
        <v>239</v>
      </c>
      <c r="V294" t="s">
        <v>238</v>
      </c>
    </row>
    <row r="295" spans="4:22" x14ac:dyDescent="0.25">
      <c r="D295" t="s">
        <v>45</v>
      </c>
      <c r="E295" t="s">
        <v>77</v>
      </c>
      <c r="F295" s="26" t="str">
        <f t="shared" si="20"/>
        <v>2023-12-22</v>
      </c>
      <c r="G295" s="26" t="str">
        <f t="shared" si="21"/>
        <v>2024-02-08</v>
      </c>
      <c r="H295">
        <f t="shared" si="22"/>
        <v>48</v>
      </c>
      <c r="K295" t="str">
        <f t="shared" si="23"/>
        <v>Кузнецов Дмитрий ЛьвовичВасильева Ксения Михайловна</v>
      </c>
      <c r="L295" t="s">
        <v>38</v>
      </c>
      <c r="M295" t="s">
        <v>57</v>
      </c>
      <c r="N295" t="s">
        <v>388</v>
      </c>
      <c r="S295" t="str">
        <f t="shared" si="24"/>
        <v>Ткаченко Андрей ОлеговичПетрова Алиса Станиславовна</v>
      </c>
      <c r="T295" t="s">
        <v>27</v>
      </c>
      <c r="U295" t="s">
        <v>65</v>
      </c>
      <c r="V295" t="s">
        <v>238</v>
      </c>
    </row>
    <row r="296" spans="4:22" x14ac:dyDescent="0.25">
      <c r="D296" t="s">
        <v>16</v>
      </c>
      <c r="E296" t="s">
        <v>67</v>
      </c>
      <c r="F296" s="26" t="str">
        <f t="shared" si="20"/>
        <v>2023-12-25</v>
      </c>
      <c r="G296" s="26" t="str">
        <f t="shared" si="21"/>
        <v>2023-12-25</v>
      </c>
      <c r="H296">
        <f t="shared" si="22"/>
        <v>0</v>
      </c>
      <c r="K296" t="str">
        <f t="shared" si="23"/>
        <v>Новикова Ольга ПетровнаВолков Иван Юрьевич</v>
      </c>
      <c r="L296" t="s">
        <v>45</v>
      </c>
      <c r="M296" t="s">
        <v>219</v>
      </c>
      <c r="N296" t="s">
        <v>388</v>
      </c>
      <c r="S296" t="str">
        <f t="shared" si="24"/>
        <v>Белов Алексей КонстантиновичФедоров Владимир Павлович</v>
      </c>
      <c r="T296" t="s">
        <v>25</v>
      </c>
      <c r="U296" t="s">
        <v>63</v>
      </c>
      <c r="V296" t="s">
        <v>238</v>
      </c>
    </row>
    <row r="297" spans="4:22" x14ac:dyDescent="0.25">
      <c r="D297" t="s">
        <v>30</v>
      </c>
      <c r="E297" t="s">
        <v>247</v>
      </c>
      <c r="F297" s="26" t="str">
        <f t="shared" si="20"/>
        <v>2023-12-25</v>
      </c>
      <c r="G297" s="26" t="str">
        <f t="shared" si="21"/>
        <v>2023-12-25</v>
      </c>
      <c r="H297">
        <f t="shared" si="22"/>
        <v>0</v>
      </c>
      <c r="K297" t="str">
        <f t="shared" si="23"/>
        <v>Иванова Анна СергеевнаСидоров Дмитрий Владимирович</v>
      </c>
      <c r="L297" t="s">
        <v>13</v>
      </c>
      <c r="M297" t="s">
        <v>155</v>
      </c>
      <c r="N297" t="s">
        <v>388</v>
      </c>
      <c r="S297" t="str">
        <f t="shared" si="24"/>
        <v>Кузнецов Дмитрий ЛьвовичВасильев Артур Артемович</v>
      </c>
      <c r="T297" t="s">
        <v>38</v>
      </c>
      <c r="U297" t="s">
        <v>31</v>
      </c>
      <c r="V297" t="s">
        <v>238</v>
      </c>
    </row>
    <row r="298" spans="4:22" x14ac:dyDescent="0.25">
      <c r="D298" t="s">
        <v>30</v>
      </c>
      <c r="E298" t="s">
        <v>248</v>
      </c>
      <c r="F298" s="26" t="str">
        <f t="shared" si="20"/>
        <v>2023-12-25</v>
      </c>
      <c r="G298" s="26" t="str">
        <f t="shared" si="21"/>
        <v>2023-12-25</v>
      </c>
      <c r="H298">
        <f t="shared" si="22"/>
        <v>0</v>
      </c>
      <c r="K298" t="str">
        <f t="shared" si="23"/>
        <v>Кузнецов Дмитрий ЛьвовичКозлов Константин Александрович</v>
      </c>
      <c r="L298" t="s">
        <v>38</v>
      </c>
      <c r="M298" t="s">
        <v>173</v>
      </c>
      <c r="N298" t="s">
        <v>388</v>
      </c>
      <c r="S298" t="str">
        <f t="shared" si="24"/>
        <v>Кузнецов Дмитрий ЛьвовичЛебедев Сергей Алексеевич</v>
      </c>
      <c r="T298" t="s">
        <v>38</v>
      </c>
      <c r="U298" t="s">
        <v>99</v>
      </c>
      <c r="V298" t="s">
        <v>238</v>
      </c>
    </row>
    <row r="299" spans="4:22" x14ac:dyDescent="0.25">
      <c r="D299" t="s">
        <v>13</v>
      </c>
      <c r="E299" t="s">
        <v>89</v>
      </c>
      <c r="F299" s="26" t="str">
        <f t="shared" si="20"/>
        <v>2023-12-25</v>
      </c>
      <c r="G299" s="26" t="str">
        <f t="shared" si="21"/>
        <v>2023-12-25</v>
      </c>
      <c r="H299">
        <f t="shared" si="22"/>
        <v>0</v>
      </c>
      <c r="K299" t="str">
        <f t="shared" si="23"/>
        <v>Ткаченко Андрей ОлеговичЕгоров Дмитрий Дмитриевич</v>
      </c>
      <c r="L299" t="s">
        <v>27</v>
      </c>
      <c r="M299" t="s">
        <v>224</v>
      </c>
      <c r="N299" t="s">
        <v>388</v>
      </c>
      <c r="S299" t="str">
        <f t="shared" si="24"/>
        <v>Белов Алексей КонстантиновичСтепанов Александр Андреевич</v>
      </c>
      <c r="T299" t="s">
        <v>25</v>
      </c>
      <c r="U299" t="s">
        <v>214</v>
      </c>
      <c r="V299" t="s">
        <v>238</v>
      </c>
    </row>
    <row r="300" spans="4:22" x14ac:dyDescent="0.25">
      <c r="D300" t="s">
        <v>18</v>
      </c>
      <c r="E300" t="s">
        <v>249</v>
      </c>
      <c r="F300" s="26" t="str">
        <f t="shared" si="20"/>
        <v>2023-12-25</v>
      </c>
      <c r="G300" s="26" t="str">
        <f t="shared" si="21"/>
        <v>2023-12-25</v>
      </c>
      <c r="H300">
        <f t="shared" si="22"/>
        <v>0</v>
      </c>
      <c r="K300" t="str">
        <f t="shared" si="23"/>
        <v>Петров Владимир КирилловичСтепанов Константин Геннадьевич</v>
      </c>
      <c r="L300" t="s">
        <v>18</v>
      </c>
      <c r="M300" t="s">
        <v>119</v>
      </c>
      <c r="N300" t="s">
        <v>387</v>
      </c>
      <c r="S300" t="str">
        <f t="shared" si="24"/>
        <v>Новикова Ольга ПетровнаПавлов Сергей Артемович</v>
      </c>
      <c r="T300" t="s">
        <v>45</v>
      </c>
      <c r="U300" t="s">
        <v>144</v>
      </c>
      <c r="V300" t="s">
        <v>240</v>
      </c>
    </row>
    <row r="301" spans="4:22" x14ac:dyDescent="0.25">
      <c r="D301" t="s">
        <v>45</v>
      </c>
      <c r="E301" t="s">
        <v>61</v>
      </c>
      <c r="F301" s="26" t="str">
        <f t="shared" si="20"/>
        <v>2023-12-25</v>
      </c>
      <c r="G301" s="26" t="str">
        <f t="shared" si="21"/>
        <v>2023-12-25</v>
      </c>
      <c r="H301">
        <f t="shared" si="22"/>
        <v>0</v>
      </c>
      <c r="K301" t="str">
        <f t="shared" si="23"/>
        <v>Сидорова Елена ВасильевнаОрлов Дмитрий Ильич</v>
      </c>
      <c r="L301" t="s">
        <v>8</v>
      </c>
      <c r="M301" t="s">
        <v>107</v>
      </c>
      <c r="N301" t="s">
        <v>387</v>
      </c>
      <c r="S301" t="str">
        <f t="shared" si="24"/>
        <v>Семенова Ирина ВалерьевнаПавлов Сергей Артемович</v>
      </c>
      <c r="T301" t="s">
        <v>10</v>
      </c>
      <c r="U301" t="s">
        <v>144</v>
      </c>
      <c r="V301" t="s">
        <v>240</v>
      </c>
    </row>
    <row r="302" spans="4:22" x14ac:dyDescent="0.25">
      <c r="D302" t="s">
        <v>10</v>
      </c>
      <c r="E302" t="s">
        <v>129</v>
      </c>
      <c r="F302" s="26" t="str">
        <f t="shared" si="20"/>
        <v>2023-12-25</v>
      </c>
      <c r="G302" s="26" t="str">
        <f t="shared" si="21"/>
        <v>2023-12-25</v>
      </c>
      <c r="H302">
        <f t="shared" si="22"/>
        <v>0</v>
      </c>
      <c r="K302" t="str">
        <f t="shared" si="23"/>
        <v>Иванова Анна СергеевнаОрлов Кирилл Романович</v>
      </c>
      <c r="L302" t="s">
        <v>13</v>
      </c>
      <c r="M302" t="s">
        <v>270</v>
      </c>
      <c r="N302" t="s">
        <v>387</v>
      </c>
      <c r="S302" t="str">
        <f t="shared" si="24"/>
        <v>Семенова Ирина ВалерьевнаНовикова Юлия Егоровна</v>
      </c>
      <c r="T302" t="s">
        <v>10</v>
      </c>
      <c r="U302" t="s">
        <v>200</v>
      </c>
      <c r="V302" t="s">
        <v>241</v>
      </c>
    </row>
    <row r="303" spans="4:22" x14ac:dyDescent="0.25">
      <c r="D303" t="s">
        <v>16</v>
      </c>
      <c r="E303" t="s">
        <v>130</v>
      </c>
      <c r="F303" s="26" t="str">
        <f t="shared" si="20"/>
        <v>2023-12-25</v>
      </c>
      <c r="G303" s="26" t="str">
        <f t="shared" si="21"/>
        <v>2023-12-25</v>
      </c>
      <c r="H303">
        <f t="shared" si="22"/>
        <v>0</v>
      </c>
      <c r="K303" t="str">
        <f t="shared" si="23"/>
        <v>Фролов Сергей ВикторовичНиколаев Иван Михайлович</v>
      </c>
      <c r="L303" t="s">
        <v>16</v>
      </c>
      <c r="M303" t="s">
        <v>94</v>
      </c>
      <c r="N303" t="s">
        <v>387</v>
      </c>
      <c r="S303" t="str">
        <f t="shared" si="24"/>
        <v>Громова Мария ИльиничнаФедоров Владимир Павлович</v>
      </c>
      <c r="T303" t="s">
        <v>5</v>
      </c>
      <c r="U303" t="s">
        <v>63</v>
      </c>
      <c r="V303" t="s">
        <v>241</v>
      </c>
    </row>
    <row r="304" spans="4:22" x14ac:dyDescent="0.25">
      <c r="D304" t="s">
        <v>25</v>
      </c>
      <c r="E304" t="s">
        <v>181</v>
      </c>
      <c r="F304" s="26" t="str">
        <f t="shared" si="20"/>
        <v>2023-12-25</v>
      </c>
      <c r="G304" s="26" t="str">
        <f t="shared" si="21"/>
        <v>2023-12-25</v>
      </c>
      <c r="H304">
        <f t="shared" si="22"/>
        <v>0</v>
      </c>
      <c r="K304" t="str">
        <f t="shared" si="23"/>
        <v>Новикова Ольга ПетровнаЛебедев Сергей Алексеевич</v>
      </c>
      <c r="L304" t="s">
        <v>45</v>
      </c>
      <c r="M304" t="s">
        <v>99</v>
      </c>
      <c r="N304" t="s">
        <v>386</v>
      </c>
      <c r="S304" t="str">
        <f t="shared" si="24"/>
        <v>Орлов Павел ДенисовичЛебедева Алиса Ивановна</v>
      </c>
      <c r="T304" t="s">
        <v>47</v>
      </c>
      <c r="U304" t="s">
        <v>242</v>
      </c>
      <c r="V304" t="s">
        <v>241</v>
      </c>
    </row>
    <row r="305" spans="4:22" x14ac:dyDescent="0.25">
      <c r="D305" t="s">
        <v>45</v>
      </c>
      <c r="E305" t="s">
        <v>101</v>
      </c>
      <c r="F305" s="26" t="str">
        <f t="shared" si="20"/>
        <v>2023-12-26</v>
      </c>
      <c r="G305" s="26" t="str">
        <f t="shared" si="21"/>
        <v>2023-12-26</v>
      </c>
      <c r="H305">
        <f t="shared" si="22"/>
        <v>0</v>
      </c>
      <c r="K305" t="str">
        <f t="shared" si="23"/>
        <v>Петров Владимир КирилловичИванова Анна Егоровна</v>
      </c>
      <c r="L305" t="s">
        <v>18</v>
      </c>
      <c r="M305" t="s">
        <v>96</v>
      </c>
      <c r="N305" t="s">
        <v>386</v>
      </c>
      <c r="S305" t="str">
        <f t="shared" si="24"/>
        <v>Белов Алексей КонстантиновичПетров Михаил Ильич</v>
      </c>
      <c r="T305" t="s">
        <v>25</v>
      </c>
      <c r="U305" t="s">
        <v>177</v>
      </c>
      <c r="V305" t="s">
        <v>241</v>
      </c>
    </row>
    <row r="306" spans="4:22" x14ac:dyDescent="0.25">
      <c r="D306" t="s">
        <v>38</v>
      </c>
      <c r="E306" t="s">
        <v>64</v>
      </c>
      <c r="F306" s="26" t="str">
        <f t="shared" si="20"/>
        <v>2023-12-26</v>
      </c>
      <c r="G306" s="26" t="str">
        <f t="shared" si="21"/>
        <v>2023-12-26</v>
      </c>
      <c r="H306">
        <f t="shared" si="22"/>
        <v>0</v>
      </c>
      <c r="K306" t="str">
        <f t="shared" si="23"/>
        <v>Кузнецов Дмитрий ЛьвовичПетрова Александра Ильинична</v>
      </c>
      <c r="L306" t="s">
        <v>38</v>
      </c>
      <c r="M306" t="s">
        <v>344</v>
      </c>
      <c r="N306" t="s">
        <v>386</v>
      </c>
      <c r="S306" t="str">
        <f t="shared" si="24"/>
        <v>Белов Алексей КонстантиновичЛебедев Матвей Сергеевич</v>
      </c>
      <c r="T306" t="s">
        <v>25</v>
      </c>
      <c r="U306" t="s">
        <v>243</v>
      </c>
      <c r="V306" t="s">
        <v>241</v>
      </c>
    </row>
    <row r="307" spans="4:22" x14ac:dyDescent="0.25">
      <c r="D307" t="s">
        <v>47</v>
      </c>
      <c r="E307" t="s">
        <v>49</v>
      </c>
      <c r="F307" s="26" t="str">
        <f t="shared" si="20"/>
        <v>2023-12-27</v>
      </c>
      <c r="G307" s="26" t="str">
        <f t="shared" si="21"/>
        <v>2024-03-13</v>
      </c>
      <c r="H307">
        <f t="shared" si="22"/>
        <v>77</v>
      </c>
      <c r="K307" t="str">
        <f t="shared" si="23"/>
        <v>Кузнецов Дмитрий ЛьвовичЕгорова Татьяна Романовна</v>
      </c>
      <c r="L307" t="s">
        <v>38</v>
      </c>
      <c r="M307" t="s">
        <v>299</v>
      </c>
      <c r="N307" t="s">
        <v>386</v>
      </c>
      <c r="S307" t="str">
        <f t="shared" si="24"/>
        <v>Иванова Анна СергеевнаМорозов Никита Алексеевич</v>
      </c>
      <c r="T307" t="s">
        <v>13</v>
      </c>
      <c r="U307" t="s">
        <v>92</v>
      </c>
      <c r="V307" t="s">
        <v>244</v>
      </c>
    </row>
    <row r="308" spans="4:22" x14ac:dyDescent="0.25">
      <c r="D308" t="s">
        <v>10</v>
      </c>
      <c r="E308" t="s">
        <v>75</v>
      </c>
      <c r="F308" s="26" t="str">
        <f t="shared" si="20"/>
        <v>2023-12-27</v>
      </c>
      <c r="G308" s="26" t="str">
        <f t="shared" si="21"/>
        <v>2024-08-05</v>
      </c>
      <c r="H308">
        <f t="shared" si="22"/>
        <v>222</v>
      </c>
      <c r="K308" t="str">
        <f t="shared" si="23"/>
        <v>Семенова Ирина ВалерьевнаВасильева Татьяна Павловна</v>
      </c>
      <c r="L308" t="s">
        <v>10</v>
      </c>
      <c r="M308" t="s">
        <v>382</v>
      </c>
      <c r="N308" t="s">
        <v>383</v>
      </c>
      <c r="S308" t="str">
        <f t="shared" si="24"/>
        <v>Сидорова Елена ВасильевнаВолков Максим Дмитриевич</v>
      </c>
      <c r="T308" t="s">
        <v>8</v>
      </c>
      <c r="U308" t="s">
        <v>81</v>
      </c>
      <c r="V308" t="s">
        <v>244</v>
      </c>
    </row>
    <row r="309" spans="4:22" x14ac:dyDescent="0.25">
      <c r="D309" t="s">
        <v>30</v>
      </c>
      <c r="E309" t="s">
        <v>217</v>
      </c>
      <c r="F309" s="26" t="str">
        <f t="shared" si="20"/>
        <v>2023-12-27</v>
      </c>
      <c r="G309" s="26" t="str">
        <f t="shared" si="21"/>
        <v>2024-02-19</v>
      </c>
      <c r="H309">
        <f t="shared" si="22"/>
        <v>54</v>
      </c>
      <c r="K309" t="str">
        <f t="shared" si="23"/>
        <v>Яковлев Артем ИгоревичЕгорова Екатерина Артемовна</v>
      </c>
      <c r="L309" t="s">
        <v>30</v>
      </c>
      <c r="M309" t="s">
        <v>384</v>
      </c>
      <c r="N309" t="s">
        <v>383</v>
      </c>
      <c r="S309" t="str">
        <f t="shared" si="24"/>
        <v>Орлов Павел ДенисовичКозлов Константин Александрович</v>
      </c>
      <c r="T309" t="s">
        <v>47</v>
      </c>
      <c r="U309" t="s">
        <v>173</v>
      </c>
      <c r="V309" t="s">
        <v>245</v>
      </c>
    </row>
    <row r="310" spans="4:22" x14ac:dyDescent="0.25">
      <c r="D310" t="s">
        <v>10</v>
      </c>
      <c r="E310" t="s">
        <v>136</v>
      </c>
      <c r="F310" s="26" t="str">
        <f t="shared" si="20"/>
        <v>2023-12-27</v>
      </c>
      <c r="G310" s="26" t="str">
        <f t="shared" si="21"/>
        <v>2023-12-27</v>
      </c>
      <c r="H310">
        <f t="shared" si="22"/>
        <v>0</v>
      </c>
      <c r="K310" t="str">
        <f t="shared" si="23"/>
        <v>Новикова Ольга ПетровнаОрлов Андрей Никитич</v>
      </c>
      <c r="L310" t="s">
        <v>45</v>
      </c>
      <c r="M310" t="s">
        <v>142</v>
      </c>
      <c r="N310" t="s">
        <v>383</v>
      </c>
      <c r="S310" t="str">
        <f t="shared" si="24"/>
        <v>Белов Алексей КонстантиновичЛебедев Сергей Алексеевич</v>
      </c>
      <c r="T310" t="s">
        <v>25</v>
      </c>
      <c r="U310" t="s">
        <v>99</v>
      </c>
      <c r="V310" t="s">
        <v>245</v>
      </c>
    </row>
    <row r="311" spans="4:22" x14ac:dyDescent="0.25">
      <c r="D311" t="s">
        <v>30</v>
      </c>
      <c r="E311" t="s">
        <v>252</v>
      </c>
      <c r="F311" s="26" t="str">
        <f t="shared" si="20"/>
        <v>2023-12-28</v>
      </c>
      <c r="G311" s="26" t="str">
        <f t="shared" si="21"/>
        <v>2023-12-28</v>
      </c>
      <c r="H311">
        <f t="shared" si="22"/>
        <v>0</v>
      </c>
      <c r="K311" t="str">
        <f t="shared" si="23"/>
        <v>Иванова Анна СергеевнаМорозов Егор Андреевич</v>
      </c>
      <c r="L311" t="s">
        <v>13</v>
      </c>
      <c r="M311" t="s">
        <v>9</v>
      </c>
      <c r="N311" t="s">
        <v>383</v>
      </c>
      <c r="S311" t="str">
        <f t="shared" si="24"/>
        <v>Новикова Ольга ПетровнаСтепанова София Михайловна</v>
      </c>
      <c r="T311" t="s">
        <v>45</v>
      </c>
      <c r="U311" t="s">
        <v>77</v>
      </c>
      <c r="V311" t="s">
        <v>245</v>
      </c>
    </row>
    <row r="312" spans="4:22" x14ac:dyDescent="0.25">
      <c r="D312" t="s">
        <v>47</v>
      </c>
      <c r="E312" t="s">
        <v>196</v>
      </c>
      <c r="F312" s="26" t="str">
        <f t="shared" si="20"/>
        <v>2023-12-29</v>
      </c>
      <c r="G312" s="26" t="str">
        <f t="shared" si="21"/>
        <v>2024-05-16</v>
      </c>
      <c r="H312">
        <f t="shared" si="22"/>
        <v>139</v>
      </c>
      <c r="K312" t="str">
        <f t="shared" si="23"/>
        <v>Новикова Ольга ПетровнаСмирнов Илья Олегович</v>
      </c>
      <c r="L312" t="s">
        <v>45</v>
      </c>
      <c r="M312" t="s">
        <v>26</v>
      </c>
      <c r="N312" t="s">
        <v>383</v>
      </c>
      <c r="S312" t="str">
        <f t="shared" si="24"/>
        <v>Фролов Сергей ВикторовичМорозов Илья Геннадьевич</v>
      </c>
      <c r="T312" t="s">
        <v>16</v>
      </c>
      <c r="U312" t="s">
        <v>67</v>
      </c>
      <c r="V312" t="s">
        <v>246</v>
      </c>
    </row>
    <row r="313" spans="4:22" x14ac:dyDescent="0.25">
      <c r="D313" t="s">
        <v>27</v>
      </c>
      <c r="E313" t="s">
        <v>223</v>
      </c>
      <c r="F313" s="26" t="str">
        <f t="shared" si="20"/>
        <v>2024-01-01</v>
      </c>
      <c r="G313" s="26" t="str">
        <f t="shared" si="21"/>
        <v>2024-01-01</v>
      </c>
      <c r="H313">
        <f t="shared" si="22"/>
        <v>0</v>
      </c>
      <c r="K313" t="str">
        <f t="shared" si="23"/>
        <v>Новикова Ольга ПетровнаАлексеев Кирилл Сергеевич</v>
      </c>
      <c r="L313" t="s">
        <v>45</v>
      </c>
      <c r="M313" t="s">
        <v>206</v>
      </c>
      <c r="N313" t="s">
        <v>383</v>
      </c>
      <c r="S313" t="str">
        <f t="shared" si="24"/>
        <v>Яковлев Артем ИгоревичКузнецов Алексей Егорович</v>
      </c>
      <c r="T313" t="s">
        <v>30</v>
      </c>
      <c r="U313" t="s">
        <v>247</v>
      </c>
      <c r="V313" t="s">
        <v>246</v>
      </c>
    </row>
    <row r="314" spans="4:22" x14ac:dyDescent="0.25">
      <c r="D314" t="s">
        <v>25</v>
      </c>
      <c r="E314" t="s">
        <v>256</v>
      </c>
      <c r="F314" s="26" t="str">
        <f t="shared" si="20"/>
        <v>2024-01-01</v>
      </c>
      <c r="G314" s="26" t="str">
        <f t="shared" si="21"/>
        <v>2024-01-01</v>
      </c>
      <c r="H314">
        <f t="shared" si="22"/>
        <v>0</v>
      </c>
      <c r="K314" t="str">
        <f t="shared" si="23"/>
        <v>Иванова Анна СергеевнаМорозов Илья Геннадьевич</v>
      </c>
      <c r="L314" t="s">
        <v>13</v>
      </c>
      <c r="M314" t="s">
        <v>67</v>
      </c>
      <c r="N314" t="s">
        <v>383</v>
      </c>
      <c r="S314" t="str">
        <f t="shared" si="24"/>
        <v>Яковлев Артем ИгоревичНовиков Илья Кириллович</v>
      </c>
      <c r="T314" t="s">
        <v>30</v>
      </c>
      <c r="U314" t="s">
        <v>248</v>
      </c>
      <c r="V314" t="s">
        <v>246</v>
      </c>
    </row>
    <row r="315" spans="4:22" x14ac:dyDescent="0.25">
      <c r="D315" t="s">
        <v>18</v>
      </c>
      <c r="E315" t="s">
        <v>173</v>
      </c>
      <c r="F315" s="26" t="str">
        <f t="shared" si="20"/>
        <v>2024-01-01</v>
      </c>
      <c r="G315" s="26" t="str">
        <f t="shared" si="21"/>
        <v>2024-01-03</v>
      </c>
      <c r="H315">
        <f t="shared" si="22"/>
        <v>2</v>
      </c>
      <c r="K315" t="str">
        <f t="shared" si="23"/>
        <v>Фролов Сергей ВикторовичЕгоров Никита Кириллович</v>
      </c>
      <c r="L315" t="s">
        <v>16</v>
      </c>
      <c r="M315" t="s">
        <v>385</v>
      </c>
      <c r="N315" t="s">
        <v>383</v>
      </c>
      <c r="S315" t="str">
        <f t="shared" si="24"/>
        <v>Иванова Анна СергеевнаВолкова Татьяна Станиславовна</v>
      </c>
      <c r="T315" t="s">
        <v>13</v>
      </c>
      <c r="U315" t="s">
        <v>89</v>
      </c>
      <c r="V315" t="s">
        <v>246</v>
      </c>
    </row>
    <row r="316" spans="4:22" x14ac:dyDescent="0.25">
      <c r="D316" t="s">
        <v>30</v>
      </c>
      <c r="E316" t="s">
        <v>223</v>
      </c>
      <c r="F316" s="26" t="str">
        <f t="shared" si="20"/>
        <v>2024-01-02</v>
      </c>
      <c r="G316" s="26" t="str">
        <f t="shared" si="21"/>
        <v>2024-01-02</v>
      </c>
      <c r="H316">
        <f t="shared" si="22"/>
        <v>0</v>
      </c>
      <c r="K316" t="str">
        <f t="shared" si="23"/>
        <v>Семенова Ирина ВалерьевнаПопов Никита Геннадьевич</v>
      </c>
      <c r="L316" t="s">
        <v>10</v>
      </c>
      <c r="M316" t="s">
        <v>68</v>
      </c>
      <c r="N316" t="s">
        <v>383</v>
      </c>
      <c r="S316" t="str">
        <f t="shared" si="24"/>
        <v>Петров Владимир КирилловичСеменова Наталья Олеговна</v>
      </c>
      <c r="T316" t="s">
        <v>18</v>
      </c>
      <c r="U316" t="s">
        <v>249</v>
      </c>
      <c r="V316" t="s">
        <v>246</v>
      </c>
    </row>
    <row r="317" spans="4:22" x14ac:dyDescent="0.25">
      <c r="D317" t="s">
        <v>38</v>
      </c>
      <c r="E317" t="s">
        <v>66</v>
      </c>
      <c r="F317" s="26" t="str">
        <f t="shared" si="20"/>
        <v>2024-01-02</v>
      </c>
      <c r="G317" s="26" t="str">
        <f t="shared" si="21"/>
        <v>2024-01-02</v>
      </c>
      <c r="H317">
        <f t="shared" si="22"/>
        <v>0</v>
      </c>
      <c r="K317" t="str">
        <f t="shared" si="23"/>
        <v>Громова Мария ИльиничнаОрлов Кирилл Романович</v>
      </c>
      <c r="L317" t="s">
        <v>5</v>
      </c>
      <c r="M317" t="s">
        <v>270</v>
      </c>
      <c r="N317" t="s">
        <v>383</v>
      </c>
      <c r="S317" t="str">
        <f t="shared" si="24"/>
        <v>Новикова Ольга ПетровнаОрлова Анна Юрьевна</v>
      </c>
      <c r="T317" t="s">
        <v>45</v>
      </c>
      <c r="U317" t="s">
        <v>61</v>
      </c>
      <c r="V317" t="s">
        <v>246</v>
      </c>
    </row>
    <row r="318" spans="4:22" x14ac:dyDescent="0.25">
      <c r="D318" t="s">
        <v>47</v>
      </c>
      <c r="E318" t="s">
        <v>165</v>
      </c>
      <c r="F318" s="26" t="str">
        <f t="shared" si="20"/>
        <v>2024-01-02</v>
      </c>
      <c r="G318" s="26" t="str">
        <f t="shared" si="21"/>
        <v>2024-02-12</v>
      </c>
      <c r="H318">
        <f t="shared" si="22"/>
        <v>41</v>
      </c>
      <c r="K318" t="str">
        <f t="shared" si="23"/>
        <v>Семенова Ирина ВалерьевнаВасильев Дмитрий Иванович</v>
      </c>
      <c r="L318" t="s">
        <v>10</v>
      </c>
      <c r="M318" t="s">
        <v>125</v>
      </c>
      <c r="N318" t="s">
        <v>383</v>
      </c>
      <c r="S318" t="str">
        <f t="shared" si="24"/>
        <v>Семенова Ирина ВалерьевнаВолкова Виктория Павловна</v>
      </c>
      <c r="T318" t="s">
        <v>10</v>
      </c>
      <c r="U318" t="s">
        <v>129</v>
      </c>
      <c r="V318" t="s">
        <v>246</v>
      </c>
    </row>
    <row r="319" spans="4:22" x14ac:dyDescent="0.25">
      <c r="D319" t="s">
        <v>5</v>
      </c>
      <c r="E319" t="s">
        <v>31</v>
      </c>
      <c r="F319" s="26" t="str">
        <f t="shared" si="20"/>
        <v>2024-01-04</v>
      </c>
      <c r="G319" s="26" t="str">
        <f t="shared" si="21"/>
        <v>2024-01-04</v>
      </c>
      <c r="H319">
        <f t="shared" si="22"/>
        <v>0</v>
      </c>
      <c r="K319" t="str">
        <f t="shared" si="23"/>
        <v>Яковлев Артем ИгоревичОрлова Ольга Егоровна</v>
      </c>
      <c r="L319" t="s">
        <v>30</v>
      </c>
      <c r="M319" t="s">
        <v>272</v>
      </c>
      <c r="N319" t="s">
        <v>383</v>
      </c>
      <c r="S319" t="str">
        <f t="shared" si="24"/>
        <v>Фролов Сергей ВикторовичПавлов Никита Андреевич</v>
      </c>
      <c r="T319" t="s">
        <v>16</v>
      </c>
      <c r="U319" t="s">
        <v>130</v>
      </c>
      <c r="V319" t="s">
        <v>246</v>
      </c>
    </row>
    <row r="320" spans="4:22" x14ac:dyDescent="0.25">
      <c r="D320" t="s">
        <v>27</v>
      </c>
      <c r="E320" t="s">
        <v>20</v>
      </c>
      <c r="F320" s="26" t="str">
        <f t="shared" si="20"/>
        <v>2024-01-05</v>
      </c>
      <c r="G320" s="26" t="str">
        <f t="shared" si="21"/>
        <v>2024-01-05</v>
      </c>
      <c r="H320">
        <f t="shared" si="22"/>
        <v>0</v>
      </c>
      <c r="K320" t="str">
        <f t="shared" si="23"/>
        <v>Петров Владимир КирилловичСтепанова Анна Станиславовна</v>
      </c>
      <c r="L320" t="s">
        <v>18</v>
      </c>
      <c r="M320" t="s">
        <v>110</v>
      </c>
      <c r="N320" t="s">
        <v>383</v>
      </c>
      <c r="S320" t="str">
        <f t="shared" si="24"/>
        <v>Белов Алексей КонстантиновичНовиков Егор Юрьевич</v>
      </c>
      <c r="T320" t="s">
        <v>25</v>
      </c>
      <c r="U320" t="s">
        <v>181</v>
      </c>
      <c r="V320" t="s">
        <v>246</v>
      </c>
    </row>
    <row r="321" spans="4:22" x14ac:dyDescent="0.25">
      <c r="D321" t="s">
        <v>47</v>
      </c>
      <c r="E321" t="s">
        <v>55</v>
      </c>
      <c r="F321" s="26" t="str">
        <f t="shared" si="20"/>
        <v>2024-01-08</v>
      </c>
      <c r="G321" s="26" t="str">
        <f t="shared" si="21"/>
        <v>2024-01-08</v>
      </c>
      <c r="H321">
        <f t="shared" si="22"/>
        <v>0</v>
      </c>
      <c r="K321" t="str">
        <f t="shared" si="23"/>
        <v>Яковлев Артем ИгоревичПетрова Александра Ильинична</v>
      </c>
      <c r="L321" t="s">
        <v>30</v>
      </c>
      <c r="M321" t="s">
        <v>344</v>
      </c>
      <c r="N321" t="s">
        <v>381</v>
      </c>
      <c r="S321" t="str">
        <f t="shared" si="24"/>
        <v>Новикова Ольга ПетровнаНовикова Виктория Александровна</v>
      </c>
      <c r="T321" t="s">
        <v>45</v>
      </c>
      <c r="U321" t="s">
        <v>101</v>
      </c>
      <c r="V321" t="s">
        <v>250</v>
      </c>
    </row>
    <row r="322" spans="4:22" x14ac:dyDescent="0.25">
      <c r="D322" t="s">
        <v>5</v>
      </c>
      <c r="E322" t="s">
        <v>69</v>
      </c>
      <c r="F322" s="26" t="str">
        <f t="shared" si="20"/>
        <v>2024-01-08</v>
      </c>
      <c r="G322" s="26" t="str">
        <f t="shared" si="21"/>
        <v>2024-01-08</v>
      </c>
      <c r="H322">
        <f t="shared" si="22"/>
        <v>0</v>
      </c>
      <c r="K322" t="str">
        <f t="shared" si="23"/>
        <v>Орлов Павел ДенисовичСтепанова Ольга Андреевна</v>
      </c>
      <c r="L322" t="s">
        <v>47</v>
      </c>
      <c r="M322" t="s">
        <v>307</v>
      </c>
      <c r="N322" t="s">
        <v>381</v>
      </c>
      <c r="S322" t="str">
        <f t="shared" si="24"/>
        <v>Кузнецов Дмитрий ЛьвовичФедоров Артур Олегович</v>
      </c>
      <c r="T322" t="s">
        <v>38</v>
      </c>
      <c r="U322" t="s">
        <v>64</v>
      </c>
      <c r="V322" t="s">
        <v>250</v>
      </c>
    </row>
    <row r="323" spans="4:22" x14ac:dyDescent="0.25">
      <c r="D323" t="s">
        <v>47</v>
      </c>
      <c r="E323" t="s">
        <v>35</v>
      </c>
      <c r="F323" s="26" t="str">
        <f t="shared" ref="F323:F386" si="25">VLOOKUP(D323&amp;E323,S:V,4,0)</f>
        <v>2024-01-08</v>
      </c>
      <c r="G323" s="26" t="str">
        <f t="shared" ref="G323:G386" si="26">VLOOKUP(D323&amp;E323,K:N,4,0)</f>
        <v>2024-01-08</v>
      </c>
      <c r="H323">
        <f t="shared" ref="H323:H386" si="27">G323-F323</f>
        <v>0</v>
      </c>
      <c r="K323" t="str">
        <f t="shared" ref="K323:K386" si="28">L323&amp;M323</f>
        <v>Сидорова Елена ВасильевнаСтепанов Александр Дмитриевич</v>
      </c>
      <c r="L323" t="s">
        <v>8</v>
      </c>
      <c r="M323" t="s">
        <v>149</v>
      </c>
      <c r="N323" t="s">
        <v>381</v>
      </c>
      <c r="S323" t="str">
        <f t="shared" ref="S323:S386" si="29">T323&amp;U323</f>
        <v>Орлов Павел ДенисовичСмирнов Максим Сергеевич</v>
      </c>
      <c r="T323" t="s">
        <v>47</v>
      </c>
      <c r="U323" t="s">
        <v>49</v>
      </c>
      <c r="V323" t="s">
        <v>251</v>
      </c>
    </row>
    <row r="324" spans="4:22" x14ac:dyDescent="0.25">
      <c r="D324" t="s">
        <v>8</v>
      </c>
      <c r="E324" t="s">
        <v>67</v>
      </c>
      <c r="F324" s="26" t="str">
        <f t="shared" si="25"/>
        <v>2024-01-08</v>
      </c>
      <c r="G324" s="26" t="str">
        <f t="shared" si="26"/>
        <v>2024-01-08</v>
      </c>
      <c r="H324">
        <f t="shared" si="27"/>
        <v>0</v>
      </c>
      <c r="K324" t="str">
        <f t="shared" si="28"/>
        <v>Кузнецов Дмитрий ЛьвовичКозлова Ксения Ильинична</v>
      </c>
      <c r="L324" t="s">
        <v>38</v>
      </c>
      <c r="M324" t="s">
        <v>158</v>
      </c>
      <c r="N324" t="s">
        <v>381</v>
      </c>
      <c r="S324" t="str">
        <f t="shared" si="29"/>
        <v>Кузнецов Дмитрий ЛьвовичПопова Людмила Егоровна</v>
      </c>
      <c r="T324" t="s">
        <v>38</v>
      </c>
      <c r="U324" t="s">
        <v>217</v>
      </c>
      <c r="V324" t="s">
        <v>251</v>
      </c>
    </row>
    <row r="325" spans="4:22" x14ac:dyDescent="0.25">
      <c r="D325" t="s">
        <v>8</v>
      </c>
      <c r="E325" t="s">
        <v>196</v>
      </c>
      <c r="F325" s="26" t="str">
        <f t="shared" si="25"/>
        <v>2024-01-08</v>
      </c>
      <c r="G325" s="26" t="str">
        <f t="shared" si="26"/>
        <v>2024-08-12</v>
      </c>
      <c r="H325">
        <f t="shared" si="27"/>
        <v>217</v>
      </c>
      <c r="K325" t="str">
        <f t="shared" si="28"/>
        <v>Сидорова Елена ВасильевнаСидоров Дмитрий Владимирович</v>
      </c>
      <c r="L325" t="s">
        <v>8</v>
      </c>
      <c r="M325" t="s">
        <v>155</v>
      </c>
      <c r="N325" t="s">
        <v>381</v>
      </c>
      <c r="S325" t="str">
        <f t="shared" si="29"/>
        <v>Семенова Ирина ВалерьевнаПетров Роман Алексеевич</v>
      </c>
      <c r="T325" t="s">
        <v>10</v>
      </c>
      <c r="U325" t="s">
        <v>75</v>
      </c>
      <c r="V325" t="s">
        <v>251</v>
      </c>
    </row>
    <row r="326" spans="4:22" x14ac:dyDescent="0.25">
      <c r="D326" t="s">
        <v>45</v>
      </c>
      <c r="E326" t="s">
        <v>51</v>
      </c>
      <c r="F326" s="26" t="str">
        <f t="shared" si="25"/>
        <v>2024-01-09</v>
      </c>
      <c r="G326" s="26" t="str">
        <f t="shared" si="26"/>
        <v>2024-01-09</v>
      </c>
      <c r="H326">
        <f t="shared" si="27"/>
        <v>0</v>
      </c>
      <c r="K326" t="str">
        <f t="shared" si="28"/>
        <v>Петров Владимир КирилловичСмирнов Максим Сергеевич</v>
      </c>
      <c r="L326" t="s">
        <v>18</v>
      </c>
      <c r="M326" t="s">
        <v>49</v>
      </c>
      <c r="N326" t="s">
        <v>379</v>
      </c>
      <c r="S326" t="str">
        <f t="shared" si="29"/>
        <v>Яковлев Артем ИгоревичПопова Людмила Егоровна</v>
      </c>
      <c r="T326" t="s">
        <v>30</v>
      </c>
      <c r="U326" t="s">
        <v>217</v>
      </c>
      <c r="V326" t="s">
        <v>251</v>
      </c>
    </row>
    <row r="327" spans="4:22" x14ac:dyDescent="0.25">
      <c r="D327" t="s">
        <v>25</v>
      </c>
      <c r="E327" t="s">
        <v>64</v>
      </c>
      <c r="F327" s="26" t="str">
        <f t="shared" si="25"/>
        <v>2024-01-10</v>
      </c>
      <c r="G327" s="26" t="str">
        <f t="shared" si="26"/>
        <v>2024-01-10</v>
      </c>
      <c r="H327">
        <f t="shared" si="27"/>
        <v>0</v>
      </c>
      <c r="K327" t="str">
        <f t="shared" si="28"/>
        <v>Белов Алексей КонстантиновичВасильева Ольга Кирилловна</v>
      </c>
      <c r="L327" t="s">
        <v>25</v>
      </c>
      <c r="M327" t="s">
        <v>313</v>
      </c>
      <c r="N327" t="s">
        <v>379</v>
      </c>
      <c r="S327" t="str">
        <f t="shared" si="29"/>
        <v>Белов Алексей КонстантиновичМорозова Александра Станиславовна</v>
      </c>
      <c r="T327" t="s">
        <v>25</v>
      </c>
      <c r="U327" t="s">
        <v>55</v>
      </c>
      <c r="V327" t="s">
        <v>251</v>
      </c>
    </row>
    <row r="328" spans="4:22" x14ac:dyDescent="0.25">
      <c r="D328" t="s">
        <v>45</v>
      </c>
      <c r="E328" t="s">
        <v>264</v>
      </c>
      <c r="F328" s="26" t="str">
        <f t="shared" si="25"/>
        <v>2024-01-10</v>
      </c>
      <c r="G328" s="26" t="str">
        <f t="shared" si="26"/>
        <v>2024-05-09</v>
      </c>
      <c r="H328">
        <f t="shared" si="27"/>
        <v>120</v>
      </c>
      <c r="K328" t="str">
        <f t="shared" si="28"/>
        <v>Яковлев Артем ИгоревичПетрова Александра Романовна</v>
      </c>
      <c r="L328" t="s">
        <v>30</v>
      </c>
      <c r="M328" t="s">
        <v>380</v>
      </c>
      <c r="N328" t="s">
        <v>379</v>
      </c>
      <c r="S328" t="str">
        <f t="shared" si="29"/>
        <v>Семенова Ирина ВалерьевнаЛебедев Егор Никитич</v>
      </c>
      <c r="T328" t="s">
        <v>10</v>
      </c>
      <c r="U328" t="s">
        <v>136</v>
      </c>
      <c r="V328" t="s">
        <v>251</v>
      </c>
    </row>
    <row r="329" spans="4:22" x14ac:dyDescent="0.25">
      <c r="D329" t="s">
        <v>45</v>
      </c>
      <c r="E329" t="s">
        <v>265</v>
      </c>
      <c r="F329" s="26" t="str">
        <f t="shared" si="25"/>
        <v>2024-01-11</v>
      </c>
      <c r="G329" s="26" t="str">
        <f t="shared" si="26"/>
        <v>2024-01-11</v>
      </c>
      <c r="H329">
        <f t="shared" si="27"/>
        <v>0</v>
      </c>
      <c r="K329" t="str">
        <f t="shared" si="28"/>
        <v>Сидорова Елена ВасильевнаСтепанов Дмитрий Геннадьевич</v>
      </c>
      <c r="L329" t="s">
        <v>8</v>
      </c>
      <c r="M329" t="s">
        <v>132</v>
      </c>
      <c r="N329" t="s">
        <v>379</v>
      </c>
      <c r="S329" t="str">
        <f t="shared" si="29"/>
        <v>Яковлев Артем ИгоревичФедоров Илья Егорович</v>
      </c>
      <c r="T329" t="s">
        <v>30</v>
      </c>
      <c r="U329" t="s">
        <v>252</v>
      </c>
      <c r="V329" t="s">
        <v>253</v>
      </c>
    </row>
    <row r="330" spans="4:22" x14ac:dyDescent="0.25">
      <c r="D330" t="s">
        <v>30</v>
      </c>
      <c r="E330" t="s">
        <v>152</v>
      </c>
      <c r="F330" s="26" t="str">
        <f t="shared" si="25"/>
        <v>2024-01-11</v>
      </c>
      <c r="G330" s="26" t="str">
        <f t="shared" si="26"/>
        <v>2024-03-05</v>
      </c>
      <c r="H330">
        <f t="shared" si="27"/>
        <v>54</v>
      </c>
      <c r="K330" t="str">
        <f t="shared" si="28"/>
        <v>Орлов Павел ДенисовичСеменов Роман Павлович</v>
      </c>
      <c r="L330" t="s">
        <v>47</v>
      </c>
      <c r="M330" t="s">
        <v>196</v>
      </c>
      <c r="N330" t="s">
        <v>379</v>
      </c>
      <c r="S330" t="str">
        <f t="shared" si="29"/>
        <v>Орлов Павел ДенисовичСеменов Роман Павлович</v>
      </c>
      <c r="T330" t="s">
        <v>47</v>
      </c>
      <c r="U330" t="s">
        <v>196</v>
      </c>
      <c r="V330" t="s">
        <v>254</v>
      </c>
    </row>
    <row r="331" spans="4:22" x14ac:dyDescent="0.25">
      <c r="D331" t="s">
        <v>18</v>
      </c>
      <c r="E331" t="s">
        <v>176</v>
      </c>
      <c r="F331" s="26" t="str">
        <f t="shared" si="25"/>
        <v>2024-01-11</v>
      </c>
      <c r="G331" s="26" t="str">
        <f t="shared" si="26"/>
        <v>2024-08-19</v>
      </c>
      <c r="H331">
        <f t="shared" si="27"/>
        <v>221</v>
      </c>
      <c r="K331" t="str">
        <f t="shared" si="28"/>
        <v>Белов Алексей КонстантиновичСеменов Иван Павлович</v>
      </c>
      <c r="L331" t="s">
        <v>25</v>
      </c>
      <c r="M331" t="s">
        <v>105</v>
      </c>
      <c r="N331" t="s">
        <v>379</v>
      </c>
      <c r="S331" t="str">
        <f t="shared" si="29"/>
        <v>Сидорова Елена ВасильевнаПопова Людмила Егоровна</v>
      </c>
      <c r="T331" t="s">
        <v>8</v>
      </c>
      <c r="U331" t="s">
        <v>217</v>
      </c>
      <c r="V331" t="s">
        <v>255</v>
      </c>
    </row>
    <row r="332" spans="4:22" x14ac:dyDescent="0.25">
      <c r="D332" t="s">
        <v>47</v>
      </c>
      <c r="E332" t="s">
        <v>267</v>
      </c>
      <c r="F332" s="26" t="str">
        <f t="shared" si="25"/>
        <v>2024-01-12</v>
      </c>
      <c r="G332" s="26" t="str">
        <f t="shared" si="26"/>
        <v>2024-01-12</v>
      </c>
      <c r="H332">
        <f t="shared" si="27"/>
        <v>0</v>
      </c>
      <c r="K332" t="str">
        <f t="shared" si="28"/>
        <v>Яковлев Артем ИгоревичСтепанова Анна Ивановна</v>
      </c>
      <c r="L332" t="s">
        <v>30</v>
      </c>
      <c r="M332" t="s">
        <v>221</v>
      </c>
      <c r="N332" t="s">
        <v>379</v>
      </c>
      <c r="S332" t="str">
        <f t="shared" si="29"/>
        <v>Кузнецов Дмитрий ЛьвовичМорозова Александра Станиславовна</v>
      </c>
      <c r="T332" t="s">
        <v>38</v>
      </c>
      <c r="U332" t="s">
        <v>55</v>
      </c>
      <c r="V332" t="s">
        <v>255</v>
      </c>
    </row>
    <row r="333" spans="4:22" x14ac:dyDescent="0.25">
      <c r="D333" t="s">
        <v>8</v>
      </c>
      <c r="E333" t="s">
        <v>269</v>
      </c>
      <c r="F333" s="26" t="str">
        <f t="shared" si="25"/>
        <v>2024-01-12</v>
      </c>
      <c r="G333" s="26" t="str">
        <f t="shared" si="26"/>
        <v>2024-01-12</v>
      </c>
      <c r="H333">
        <f t="shared" si="27"/>
        <v>0</v>
      </c>
      <c r="K333" t="str">
        <f t="shared" si="28"/>
        <v>Яковлев Артем ИгоревичНовикова Алиса Ивановна</v>
      </c>
      <c r="L333" t="s">
        <v>30</v>
      </c>
      <c r="M333" t="s">
        <v>202</v>
      </c>
      <c r="N333" t="s">
        <v>379</v>
      </c>
      <c r="S333" t="str">
        <f t="shared" si="29"/>
        <v>Ткаченко Андрей ОлеговичКузнецова Валерия Дмитриевна</v>
      </c>
      <c r="T333" t="s">
        <v>27</v>
      </c>
      <c r="U333" t="s">
        <v>223</v>
      </c>
      <c r="V333" t="s">
        <v>255</v>
      </c>
    </row>
    <row r="334" spans="4:22" x14ac:dyDescent="0.25">
      <c r="D334" t="s">
        <v>27</v>
      </c>
      <c r="E334" t="s">
        <v>92</v>
      </c>
      <c r="F334" s="26" t="str">
        <f t="shared" si="25"/>
        <v>2024-01-12</v>
      </c>
      <c r="G334" s="26" t="str">
        <f t="shared" si="26"/>
        <v>2024-07-19</v>
      </c>
      <c r="H334">
        <f t="shared" si="27"/>
        <v>189</v>
      </c>
      <c r="K334" t="str">
        <f t="shared" si="28"/>
        <v>Громова Мария ИльиничнаСеменов Иван Павлович</v>
      </c>
      <c r="L334" t="s">
        <v>5</v>
      </c>
      <c r="M334" t="s">
        <v>105</v>
      </c>
      <c r="N334" t="s">
        <v>378</v>
      </c>
      <c r="S334" t="str">
        <f t="shared" si="29"/>
        <v>Белов Алексей КонстантиновичНиколаева Наталья Геннадьевна</v>
      </c>
      <c r="T334" t="s">
        <v>25</v>
      </c>
      <c r="U334" t="s">
        <v>256</v>
      </c>
      <c r="V334" t="s">
        <v>255</v>
      </c>
    </row>
    <row r="335" spans="4:22" x14ac:dyDescent="0.25">
      <c r="D335" t="s">
        <v>30</v>
      </c>
      <c r="E335" t="s">
        <v>270</v>
      </c>
      <c r="F335" s="26" t="str">
        <f t="shared" si="25"/>
        <v>2024-01-15</v>
      </c>
      <c r="G335" s="26" t="str">
        <f t="shared" si="26"/>
        <v>2024-01-15</v>
      </c>
      <c r="H335">
        <f t="shared" si="27"/>
        <v>0</v>
      </c>
      <c r="K335" t="str">
        <f t="shared" si="28"/>
        <v>Семенова Ирина ВалерьевнаСтепанов Дмитрий Иванович</v>
      </c>
      <c r="L335" t="s">
        <v>10</v>
      </c>
      <c r="M335" t="s">
        <v>69</v>
      </c>
      <c r="N335" t="s">
        <v>378</v>
      </c>
      <c r="S335" t="str">
        <f t="shared" si="29"/>
        <v>Петров Владимир КирилловичКозлов Константин Александрович</v>
      </c>
      <c r="T335" t="s">
        <v>18</v>
      </c>
      <c r="U335" t="s">
        <v>173</v>
      </c>
      <c r="V335" t="s">
        <v>255</v>
      </c>
    </row>
    <row r="336" spans="4:22" x14ac:dyDescent="0.25">
      <c r="D336" t="s">
        <v>16</v>
      </c>
      <c r="E336" t="s">
        <v>188</v>
      </c>
      <c r="F336" s="26" t="str">
        <f t="shared" si="25"/>
        <v>2024-01-15</v>
      </c>
      <c r="G336" s="26" t="str">
        <f t="shared" si="26"/>
        <v>2024-02-26</v>
      </c>
      <c r="H336">
        <f t="shared" si="27"/>
        <v>42</v>
      </c>
      <c r="K336" t="str">
        <f t="shared" si="28"/>
        <v>Новикова Ольга ПетровнаАлексеев Илья Владимирович</v>
      </c>
      <c r="L336" t="s">
        <v>45</v>
      </c>
      <c r="M336" t="s">
        <v>332</v>
      </c>
      <c r="N336" t="s">
        <v>377</v>
      </c>
      <c r="S336" t="str">
        <f t="shared" si="29"/>
        <v>Белов Алексей КонстантиновичПетров Михаил Ильич</v>
      </c>
      <c r="T336" t="s">
        <v>25</v>
      </c>
      <c r="U336" t="s">
        <v>177</v>
      </c>
      <c r="V336" t="s">
        <v>255</v>
      </c>
    </row>
    <row r="337" spans="4:22" x14ac:dyDescent="0.25">
      <c r="D337" t="s">
        <v>47</v>
      </c>
      <c r="E337" t="s">
        <v>231</v>
      </c>
      <c r="F337" s="26" t="str">
        <f t="shared" si="25"/>
        <v>2024-01-15</v>
      </c>
      <c r="G337" s="26" t="str">
        <f t="shared" si="26"/>
        <v>2024-08-22</v>
      </c>
      <c r="H337">
        <f t="shared" si="27"/>
        <v>220</v>
      </c>
      <c r="K337" t="str">
        <f t="shared" si="28"/>
        <v>Кузнецов Дмитрий ЛьвовичЛебедев Сергей Станиславович</v>
      </c>
      <c r="L337" t="s">
        <v>38</v>
      </c>
      <c r="M337" t="s">
        <v>59</v>
      </c>
      <c r="N337" t="s">
        <v>377</v>
      </c>
      <c r="S337" t="str">
        <f t="shared" si="29"/>
        <v>Яковлев Артем ИгоревичКузнецова Валерия Дмитриевна</v>
      </c>
      <c r="T337" t="s">
        <v>30</v>
      </c>
      <c r="U337" t="s">
        <v>223</v>
      </c>
      <c r="V337" t="s">
        <v>257</v>
      </c>
    </row>
    <row r="338" spans="4:22" x14ac:dyDescent="0.25">
      <c r="D338" t="s">
        <v>18</v>
      </c>
      <c r="E338" t="s">
        <v>272</v>
      </c>
      <c r="F338" s="26" t="str">
        <f t="shared" si="25"/>
        <v>2024-01-15</v>
      </c>
      <c r="G338" s="26" t="str">
        <f t="shared" si="26"/>
        <v>2024-01-15</v>
      </c>
      <c r="H338">
        <f t="shared" si="27"/>
        <v>0</v>
      </c>
      <c r="K338" t="str">
        <f t="shared" si="28"/>
        <v>Кузнецов Дмитрий ЛьвовичВасильев Илья Александрович</v>
      </c>
      <c r="L338" t="s">
        <v>38</v>
      </c>
      <c r="M338" t="s">
        <v>137</v>
      </c>
      <c r="N338" t="s">
        <v>377</v>
      </c>
      <c r="S338" t="str">
        <f t="shared" si="29"/>
        <v>Кузнецов Дмитрий ЛьвовичСмирнова Елена Викторовна</v>
      </c>
      <c r="T338" t="s">
        <v>38</v>
      </c>
      <c r="U338" t="s">
        <v>66</v>
      </c>
      <c r="V338" t="s">
        <v>257</v>
      </c>
    </row>
    <row r="339" spans="4:22" x14ac:dyDescent="0.25">
      <c r="D339" t="s">
        <v>30</v>
      </c>
      <c r="E339" t="s">
        <v>227</v>
      </c>
      <c r="F339" s="26" t="str">
        <f t="shared" si="25"/>
        <v>2024-01-15</v>
      </c>
      <c r="G339" s="26" t="str">
        <f t="shared" si="26"/>
        <v>2024-01-15</v>
      </c>
      <c r="H339">
        <f t="shared" si="27"/>
        <v>0</v>
      </c>
      <c r="K339" t="str">
        <f t="shared" si="28"/>
        <v>Сидорова Елена ВасильевнаФедоров Артур Станиславович</v>
      </c>
      <c r="L339" t="s">
        <v>8</v>
      </c>
      <c r="M339" t="s">
        <v>309</v>
      </c>
      <c r="N339" t="s">
        <v>376</v>
      </c>
      <c r="S339" t="str">
        <f t="shared" si="29"/>
        <v>Орлов Павел ДенисовичВасильев Владимир Дмитриевич</v>
      </c>
      <c r="T339" t="s">
        <v>47</v>
      </c>
      <c r="U339" t="s">
        <v>165</v>
      </c>
      <c r="V339" t="s">
        <v>257</v>
      </c>
    </row>
    <row r="340" spans="4:22" x14ac:dyDescent="0.25">
      <c r="D340" t="s">
        <v>38</v>
      </c>
      <c r="E340" t="s">
        <v>50</v>
      </c>
      <c r="F340" s="26" t="str">
        <f t="shared" si="25"/>
        <v>2024-01-15</v>
      </c>
      <c r="G340" s="26" t="str">
        <f t="shared" si="26"/>
        <v>2024-01-15</v>
      </c>
      <c r="H340">
        <f t="shared" si="27"/>
        <v>0</v>
      </c>
      <c r="K340" t="str">
        <f t="shared" si="28"/>
        <v>Иванова Анна СергеевнаКозлов Артем Викторович</v>
      </c>
      <c r="L340" t="s">
        <v>13</v>
      </c>
      <c r="M340" t="s">
        <v>124</v>
      </c>
      <c r="N340" t="s">
        <v>376</v>
      </c>
      <c r="S340" t="str">
        <f t="shared" si="29"/>
        <v>Громова Мария ИльиничнаИванова Наталья Дмитриевна</v>
      </c>
      <c r="T340" t="s">
        <v>5</v>
      </c>
      <c r="U340" t="s">
        <v>14</v>
      </c>
      <c r="V340" t="s">
        <v>258</v>
      </c>
    </row>
    <row r="341" spans="4:22" x14ac:dyDescent="0.25">
      <c r="D341" t="s">
        <v>47</v>
      </c>
      <c r="E341" t="s">
        <v>39</v>
      </c>
      <c r="F341" s="26" t="str">
        <f t="shared" si="25"/>
        <v>2024-01-15</v>
      </c>
      <c r="G341" s="26" t="str">
        <f t="shared" si="26"/>
        <v>2024-01-15</v>
      </c>
      <c r="H341">
        <f t="shared" si="27"/>
        <v>0</v>
      </c>
      <c r="K341" t="str">
        <f t="shared" si="28"/>
        <v>Кузнецов Дмитрий ЛьвовичНиколаев Георгий Сергеевич</v>
      </c>
      <c r="L341" t="s">
        <v>38</v>
      </c>
      <c r="M341" t="s">
        <v>194</v>
      </c>
      <c r="N341" t="s">
        <v>376</v>
      </c>
      <c r="S341" t="str">
        <f t="shared" si="29"/>
        <v>Петров Владимир КирилловичКозлов Константин Александрович</v>
      </c>
      <c r="T341" t="s">
        <v>18</v>
      </c>
      <c r="U341" t="s">
        <v>173</v>
      </c>
      <c r="V341" t="s">
        <v>258</v>
      </c>
    </row>
    <row r="342" spans="4:22" x14ac:dyDescent="0.25">
      <c r="D342" t="s">
        <v>5</v>
      </c>
      <c r="E342" t="s">
        <v>52</v>
      </c>
      <c r="F342" s="26" t="str">
        <f t="shared" si="25"/>
        <v>2024-01-16</v>
      </c>
      <c r="G342" s="26" t="str">
        <f t="shared" si="26"/>
        <v>2024-01-16</v>
      </c>
      <c r="H342">
        <f t="shared" si="27"/>
        <v>0</v>
      </c>
      <c r="K342" t="str">
        <f t="shared" si="28"/>
        <v>Фролов Сергей ВикторовичСидоров Михаил Сергеевич</v>
      </c>
      <c r="L342" t="s">
        <v>16</v>
      </c>
      <c r="M342" t="s">
        <v>187</v>
      </c>
      <c r="N342" t="s">
        <v>376</v>
      </c>
      <c r="S342" t="str">
        <f t="shared" si="29"/>
        <v>Громова Мария ИльиничнаВасильев Артур Артемович</v>
      </c>
      <c r="T342" t="s">
        <v>5</v>
      </c>
      <c r="U342" t="s">
        <v>31</v>
      </c>
      <c r="V342" t="s">
        <v>259</v>
      </c>
    </row>
    <row r="343" spans="4:22" x14ac:dyDescent="0.25">
      <c r="D343" t="s">
        <v>47</v>
      </c>
      <c r="E343" t="s">
        <v>188</v>
      </c>
      <c r="F343" s="26" t="str">
        <f t="shared" si="25"/>
        <v>2024-01-16</v>
      </c>
      <c r="G343" s="26" t="str">
        <f t="shared" si="26"/>
        <v>2024-01-16</v>
      </c>
      <c r="H343">
        <f t="shared" si="27"/>
        <v>0</v>
      </c>
      <c r="K343" t="str">
        <f t="shared" si="28"/>
        <v>Иванова Анна СергеевнаФедоров Артур Олегович</v>
      </c>
      <c r="L343" t="s">
        <v>13</v>
      </c>
      <c r="M343" t="s">
        <v>64</v>
      </c>
      <c r="N343" t="s">
        <v>376</v>
      </c>
      <c r="S343" t="str">
        <f t="shared" si="29"/>
        <v>Ткаченко Андрей ОлеговичЛебедева Александра Дмитриевна</v>
      </c>
      <c r="T343" t="s">
        <v>27</v>
      </c>
      <c r="U343" t="s">
        <v>20</v>
      </c>
      <c r="V343" t="s">
        <v>260</v>
      </c>
    </row>
    <row r="344" spans="4:22" x14ac:dyDescent="0.25">
      <c r="D344" t="s">
        <v>13</v>
      </c>
      <c r="E344" t="s">
        <v>133</v>
      </c>
      <c r="F344" s="26" t="str">
        <f t="shared" si="25"/>
        <v>2024-01-17</v>
      </c>
      <c r="G344" s="26" t="str">
        <f t="shared" si="26"/>
        <v>2024-01-17</v>
      </c>
      <c r="H344">
        <f t="shared" si="27"/>
        <v>0</v>
      </c>
      <c r="K344" t="str">
        <f t="shared" si="28"/>
        <v>Семенова Ирина ВалерьевнаЕгорова Вероника Егоровна</v>
      </c>
      <c r="L344" t="s">
        <v>10</v>
      </c>
      <c r="M344" t="s">
        <v>300</v>
      </c>
      <c r="N344" t="s">
        <v>376</v>
      </c>
      <c r="S344" t="str">
        <f t="shared" si="29"/>
        <v>Яковлев Артем ИгоревичНиколаев Иван Михайлович</v>
      </c>
      <c r="T344" t="s">
        <v>30</v>
      </c>
      <c r="U344" t="s">
        <v>94</v>
      </c>
      <c r="V344" t="s">
        <v>261</v>
      </c>
    </row>
    <row r="345" spans="4:22" x14ac:dyDescent="0.25">
      <c r="D345" t="s">
        <v>25</v>
      </c>
      <c r="E345" t="s">
        <v>28</v>
      </c>
      <c r="F345" s="26" t="str">
        <f t="shared" si="25"/>
        <v>2024-01-18</v>
      </c>
      <c r="G345" s="26" t="str">
        <f t="shared" si="26"/>
        <v>2024-01-18</v>
      </c>
      <c r="H345">
        <f t="shared" si="27"/>
        <v>0</v>
      </c>
      <c r="K345" t="str">
        <f t="shared" si="28"/>
        <v>Сидорова Елена ВасильевнаЕгоров Павел Сергеевич</v>
      </c>
      <c r="L345" t="s">
        <v>8</v>
      </c>
      <c r="M345" t="s">
        <v>134</v>
      </c>
      <c r="N345" t="s">
        <v>376</v>
      </c>
      <c r="S345" t="str">
        <f t="shared" si="29"/>
        <v>Орлов Павел ДенисовичМорозова Александра Станиславовна</v>
      </c>
      <c r="T345" t="s">
        <v>47</v>
      </c>
      <c r="U345" t="s">
        <v>55</v>
      </c>
      <c r="V345" t="s">
        <v>261</v>
      </c>
    </row>
    <row r="346" spans="4:22" x14ac:dyDescent="0.25">
      <c r="D346" t="s">
        <v>25</v>
      </c>
      <c r="E346" t="s">
        <v>217</v>
      </c>
      <c r="F346" s="26" t="str">
        <f t="shared" si="25"/>
        <v>2024-01-18</v>
      </c>
      <c r="G346" s="26" t="str">
        <f t="shared" si="26"/>
        <v>2024-01-18</v>
      </c>
      <c r="H346">
        <f t="shared" si="27"/>
        <v>0</v>
      </c>
      <c r="K346" t="str">
        <f t="shared" si="28"/>
        <v>Семенова Ирина ВалерьевнаСмирнов Иван Ильич</v>
      </c>
      <c r="L346" t="s">
        <v>10</v>
      </c>
      <c r="M346" t="s">
        <v>114</v>
      </c>
      <c r="N346" t="s">
        <v>374</v>
      </c>
      <c r="S346" t="str">
        <f t="shared" si="29"/>
        <v>Громова Мария ИльиничнаСтепанов Дмитрий Иванович</v>
      </c>
      <c r="T346" t="s">
        <v>5</v>
      </c>
      <c r="U346" t="s">
        <v>69</v>
      </c>
      <c r="V346" t="s">
        <v>261</v>
      </c>
    </row>
    <row r="347" spans="4:22" x14ac:dyDescent="0.25">
      <c r="D347" t="s">
        <v>18</v>
      </c>
      <c r="E347" t="s">
        <v>26</v>
      </c>
      <c r="F347" s="26" t="str">
        <f t="shared" si="25"/>
        <v>2024-01-19</v>
      </c>
      <c r="G347" s="26" t="str">
        <f t="shared" si="26"/>
        <v>2024-01-19</v>
      </c>
      <c r="H347">
        <f t="shared" si="27"/>
        <v>0</v>
      </c>
      <c r="K347" t="str">
        <f t="shared" si="28"/>
        <v>Яковлев Артем ИгоревичОрлов Дмитрий Павлович</v>
      </c>
      <c r="L347" t="s">
        <v>30</v>
      </c>
      <c r="M347" t="s">
        <v>375</v>
      </c>
      <c r="N347" t="s">
        <v>374</v>
      </c>
      <c r="S347" t="str">
        <f t="shared" si="29"/>
        <v>Орлов Павел ДенисовичСеменов Алексей Владимирович</v>
      </c>
      <c r="T347" t="s">
        <v>47</v>
      </c>
      <c r="U347" t="s">
        <v>35</v>
      </c>
      <c r="V347" t="s">
        <v>261</v>
      </c>
    </row>
    <row r="348" spans="4:22" x14ac:dyDescent="0.25">
      <c r="D348" t="s">
        <v>10</v>
      </c>
      <c r="E348" t="s">
        <v>162</v>
      </c>
      <c r="F348" s="26" t="str">
        <f t="shared" si="25"/>
        <v>2024-01-19</v>
      </c>
      <c r="G348" s="26" t="str">
        <f t="shared" si="26"/>
        <v>2024-01-19</v>
      </c>
      <c r="H348">
        <f t="shared" si="27"/>
        <v>0</v>
      </c>
      <c r="K348" t="str">
        <f t="shared" si="28"/>
        <v>Семенова Ирина ВалерьевнаФедоров Кирилл Алексеевич</v>
      </c>
      <c r="L348" t="s">
        <v>10</v>
      </c>
      <c r="M348" t="s">
        <v>287</v>
      </c>
      <c r="N348" t="s">
        <v>373</v>
      </c>
      <c r="S348" t="str">
        <f t="shared" si="29"/>
        <v>Сидорова Елена ВасильевнаМорозов Илья Геннадьевич</v>
      </c>
      <c r="T348" t="s">
        <v>8</v>
      </c>
      <c r="U348" t="s">
        <v>67</v>
      </c>
      <c r="V348" t="s">
        <v>261</v>
      </c>
    </row>
    <row r="349" spans="4:22" x14ac:dyDescent="0.25">
      <c r="D349" t="s">
        <v>13</v>
      </c>
      <c r="E349" t="s">
        <v>146</v>
      </c>
      <c r="F349" s="26" t="str">
        <f t="shared" si="25"/>
        <v>2024-01-19</v>
      </c>
      <c r="G349" s="26" t="str">
        <f t="shared" si="26"/>
        <v>2024-01-19</v>
      </c>
      <c r="H349">
        <f t="shared" si="27"/>
        <v>0</v>
      </c>
      <c r="K349" t="str">
        <f t="shared" si="28"/>
        <v>Новикова Ольга ПетровнаФедорова Виктория Егоровна</v>
      </c>
      <c r="L349" t="s">
        <v>45</v>
      </c>
      <c r="M349" t="s">
        <v>264</v>
      </c>
      <c r="N349" t="s">
        <v>373</v>
      </c>
      <c r="S349" t="str">
        <f t="shared" si="29"/>
        <v>Сидорова Елена ВасильевнаСеменов Роман Павлович</v>
      </c>
      <c r="T349" t="s">
        <v>8</v>
      </c>
      <c r="U349" t="s">
        <v>196</v>
      </c>
      <c r="V349" t="s">
        <v>261</v>
      </c>
    </row>
    <row r="350" spans="4:22" x14ac:dyDescent="0.25">
      <c r="D350" t="s">
        <v>16</v>
      </c>
      <c r="E350" t="s">
        <v>215</v>
      </c>
      <c r="F350" s="26" t="str">
        <f t="shared" si="25"/>
        <v>2024-01-22</v>
      </c>
      <c r="G350" s="26" t="str">
        <f t="shared" si="26"/>
        <v>2024-03-29</v>
      </c>
      <c r="H350">
        <f t="shared" si="27"/>
        <v>67</v>
      </c>
      <c r="K350" t="str">
        <f t="shared" si="28"/>
        <v>Белов Алексей КонстантиновичСмирнова Татьяна Александровна</v>
      </c>
      <c r="L350" t="s">
        <v>25</v>
      </c>
      <c r="M350" t="s">
        <v>39</v>
      </c>
      <c r="N350" t="s">
        <v>372</v>
      </c>
      <c r="S350" t="str">
        <f t="shared" si="29"/>
        <v>Новикова Ольга ПетровнаПетров Алексей Артемович</v>
      </c>
      <c r="T350" t="s">
        <v>45</v>
      </c>
      <c r="U350" t="s">
        <v>51</v>
      </c>
      <c r="V350" t="s">
        <v>262</v>
      </c>
    </row>
    <row r="351" spans="4:22" x14ac:dyDescent="0.25">
      <c r="D351" t="s">
        <v>13</v>
      </c>
      <c r="E351" t="s">
        <v>156</v>
      </c>
      <c r="F351" s="26" t="str">
        <f t="shared" si="25"/>
        <v>2024-01-22</v>
      </c>
      <c r="G351" s="26" t="str">
        <f t="shared" si="26"/>
        <v>2024-01-22</v>
      </c>
      <c r="H351">
        <f t="shared" si="27"/>
        <v>0</v>
      </c>
      <c r="K351" t="str">
        <f t="shared" si="28"/>
        <v>Яковлев Артем ИгоревичПавлов Никита Иванович</v>
      </c>
      <c r="L351" t="s">
        <v>30</v>
      </c>
      <c r="M351" t="s">
        <v>36</v>
      </c>
      <c r="N351" t="s">
        <v>372</v>
      </c>
      <c r="S351" t="str">
        <f t="shared" si="29"/>
        <v>Орлов Павел ДенисовичСтепанова Анна Ивановна</v>
      </c>
      <c r="T351" t="s">
        <v>47</v>
      </c>
      <c r="U351" t="s">
        <v>221</v>
      </c>
      <c r="V351" t="s">
        <v>262</v>
      </c>
    </row>
    <row r="352" spans="4:22" x14ac:dyDescent="0.25">
      <c r="D352" t="s">
        <v>45</v>
      </c>
      <c r="E352" t="s">
        <v>49</v>
      </c>
      <c r="F352" s="26" t="str">
        <f t="shared" si="25"/>
        <v>2024-01-22</v>
      </c>
      <c r="G352" s="26" t="str">
        <f t="shared" si="26"/>
        <v>2024-03-11</v>
      </c>
      <c r="H352">
        <f t="shared" si="27"/>
        <v>49</v>
      </c>
      <c r="K352" t="str">
        <f t="shared" si="28"/>
        <v>Новикова Ольга ПетровнаКузнецов Алексей Егорович</v>
      </c>
      <c r="L352" t="s">
        <v>45</v>
      </c>
      <c r="M352" t="s">
        <v>247</v>
      </c>
      <c r="N352" t="s">
        <v>371</v>
      </c>
      <c r="S352" t="str">
        <f t="shared" si="29"/>
        <v>Фролов Сергей ВикторовичВолкова Ирина Геннадьевна</v>
      </c>
      <c r="T352" t="s">
        <v>16</v>
      </c>
      <c r="U352" t="s">
        <v>70</v>
      </c>
      <c r="V352" t="s">
        <v>262</v>
      </c>
    </row>
    <row r="353" spans="4:22" x14ac:dyDescent="0.25">
      <c r="D353" t="s">
        <v>30</v>
      </c>
      <c r="E353" t="s">
        <v>187</v>
      </c>
      <c r="F353" s="26" t="str">
        <f t="shared" si="25"/>
        <v>2024-01-22</v>
      </c>
      <c r="G353" s="26" t="str">
        <f t="shared" si="26"/>
        <v>2024-01-22</v>
      </c>
      <c r="H353">
        <f t="shared" si="27"/>
        <v>0</v>
      </c>
      <c r="K353" t="str">
        <f t="shared" si="28"/>
        <v>Фролов Сергей ВикторовичНиколаев Матвей Викторович</v>
      </c>
      <c r="L353" t="s">
        <v>16</v>
      </c>
      <c r="M353" t="s">
        <v>15</v>
      </c>
      <c r="N353" t="s">
        <v>371</v>
      </c>
      <c r="S353" t="str">
        <f t="shared" si="29"/>
        <v>Белов Алексей КонстантиновичФедоров Артур Олегович</v>
      </c>
      <c r="T353" t="s">
        <v>25</v>
      </c>
      <c r="U353" t="s">
        <v>64</v>
      </c>
      <c r="V353" t="s">
        <v>263</v>
      </c>
    </row>
    <row r="354" spans="4:22" x14ac:dyDescent="0.25">
      <c r="D354" t="s">
        <v>13</v>
      </c>
      <c r="E354" t="s">
        <v>186</v>
      </c>
      <c r="F354" s="26" t="str">
        <f t="shared" si="25"/>
        <v>2024-01-22</v>
      </c>
      <c r="G354" s="26" t="str">
        <f t="shared" si="26"/>
        <v>2024-01-22</v>
      </c>
      <c r="H354">
        <f t="shared" si="27"/>
        <v>0</v>
      </c>
      <c r="K354" t="str">
        <f t="shared" si="28"/>
        <v>Иванова Анна СергеевнаОрлов Константин Станиславович</v>
      </c>
      <c r="L354" t="s">
        <v>13</v>
      </c>
      <c r="M354" t="s">
        <v>11</v>
      </c>
      <c r="N354" t="s">
        <v>370</v>
      </c>
      <c r="S354" t="str">
        <f t="shared" si="29"/>
        <v>Новикова Ольга ПетровнаФедорова Виктория Егоровна</v>
      </c>
      <c r="T354" t="s">
        <v>45</v>
      </c>
      <c r="U354" t="s">
        <v>264</v>
      </c>
      <c r="V354" t="s">
        <v>263</v>
      </c>
    </row>
    <row r="355" spans="4:22" x14ac:dyDescent="0.25">
      <c r="D355" t="s">
        <v>10</v>
      </c>
      <c r="E355" t="s">
        <v>239</v>
      </c>
      <c r="F355" s="26" t="str">
        <f t="shared" si="25"/>
        <v>2024-01-22</v>
      </c>
      <c r="G355" s="26" t="str">
        <f t="shared" si="26"/>
        <v>2024-01-22</v>
      </c>
      <c r="H355">
        <f t="shared" si="27"/>
        <v>0</v>
      </c>
      <c r="K355" t="str">
        <f t="shared" si="28"/>
        <v>Ткаченко Андрей ОлеговичФедорова Ольга Кирилловна</v>
      </c>
      <c r="L355" t="s">
        <v>27</v>
      </c>
      <c r="M355" t="s">
        <v>167</v>
      </c>
      <c r="N355" t="s">
        <v>370</v>
      </c>
      <c r="S355" t="str">
        <f t="shared" si="29"/>
        <v>Сидорова Елена ВасильевнаКозлова Полина Артемовна</v>
      </c>
      <c r="T355" t="s">
        <v>8</v>
      </c>
      <c r="U355" t="s">
        <v>17</v>
      </c>
      <c r="V355" t="s">
        <v>263</v>
      </c>
    </row>
    <row r="356" spans="4:22" x14ac:dyDescent="0.25">
      <c r="D356" t="s">
        <v>18</v>
      </c>
      <c r="E356" t="s">
        <v>73</v>
      </c>
      <c r="F356" s="26" t="str">
        <f t="shared" si="25"/>
        <v>2024-01-23</v>
      </c>
      <c r="G356" s="26" t="str">
        <f t="shared" si="26"/>
        <v>2024-04-11</v>
      </c>
      <c r="H356">
        <f t="shared" si="27"/>
        <v>79</v>
      </c>
      <c r="K356" t="str">
        <f t="shared" si="28"/>
        <v>Семенова Ирина ВалерьевнаВолкова Ольга Андреевна</v>
      </c>
      <c r="L356" t="s">
        <v>10</v>
      </c>
      <c r="M356" t="s">
        <v>21</v>
      </c>
      <c r="N356" t="s">
        <v>370</v>
      </c>
      <c r="S356" t="str">
        <f t="shared" si="29"/>
        <v>Новикова Ольга ПетровнаКозлова Светлана Михайловна</v>
      </c>
      <c r="T356" t="s">
        <v>45</v>
      </c>
      <c r="U356" t="s">
        <v>265</v>
      </c>
      <c r="V356" t="s">
        <v>266</v>
      </c>
    </row>
    <row r="357" spans="4:22" x14ac:dyDescent="0.25">
      <c r="D357" t="s">
        <v>10</v>
      </c>
      <c r="E357" t="s">
        <v>173</v>
      </c>
      <c r="F357" s="26" t="str">
        <f t="shared" si="25"/>
        <v>2024-01-23</v>
      </c>
      <c r="G357" s="26" t="str">
        <f t="shared" si="26"/>
        <v>2024-01-23</v>
      </c>
      <c r="H357">
        <f t="shared" si="27"/>
        <v>0</v>
      </c>
      <c r="K357" t="str">
        <f t="shared" si="28"/>
        <v>Кузнецов Дмитрий ЛьвовичСеменов Артем Станиславович</v>
      </c>
      <c r="L357" t="s">
        <v>38</v>
      </c>
      <c r="M357" t="s">
        <v>298</v>
      </c>
      <c r="N357" t="s">
        <v>370</v>
      </c>
      <c r="S357" t="str">
        <f t="shared" si="29"/>
        <v>Яковлев Артем ИгоревичПавлов Матвей Владимирович</v>
      </c>
      <c r="T357" t="s">
        <v>30</v>
      </c>
      <c r="U357" t="s">
        <v>152</v>
      </c>
      <c r="V357" t="s">
        <v>266</v>
      </c>
    </row>
    <row r="358" spans="4:22" x14ac:dyDescent="0.25">
      <c r="D358" t="s">
        <v>10</v>
      </c>
      <c r="E358" t="s">
        <v>126</v>
      </c>
      <c r="F358" s="26" t="str">
        <f t="shared" si="25"/>
        <v>2024-01-23</v>
      </c>
      <c r="G358" s="26" t="str">
        <f t="shared" si="26"/>
        <v>2024-01-23</v>
      </c>
      <c r="H358">
        <f t="shared" si="27"/>
        <v>0</v>
      </c>
      <c r="K358" t="str">
        <f t="shared" si="28"/>
        <v>Кузнецов Дмитрий ЛьвовичСтепанова Анна Ивановна</v>
      </c>
      <c r="L358" t="s">
        <v>38</v>
      </c>
      <c r="M358" t="s">
        <v>221</v>
      </c>
      <c r="N358" t="s">
        <v>370</v>
      </c>
      <c r="S358" t="str">
        <f t="shared" si="29"/>
        <v>Петров Владимир КирилловичНиколаева София Никитична</v>
      </c>
      <c r="T358" t="s">
        <v>18</v>
      </c>
      <c r="U358" t="s">
        <v>176</v>
      </c>
      <c r="V358" t="s">
        <v>266</v>
      </c>
    </row>
    <row r="359" spans="4:22" x14ac:dyDescent="0.25">
      <c r="D359" t="s">
        <v>16</v>
      </c>
      <c r="E359" t="s">
        <v>205</v>
      </c>
      <c r="F359" s="26" t="str">
        <f t="shared" si="25"/>
        <v>2024-01-23</v>
      </c>
      <c r="G359" s="26" t="str">
        <f t="shared" si="26"/>
        <v>2024-01-23</v>
      </c>
      <c r="H359">
        <f t="shared" si="27"/>
        <v>0</v>
      </c>
      <c r="K359" t="str">
        <f t="shared" si="28"/>
        <v>Новикова Ольга ПетровнаВасильева Ольга Ильинична</v>
      </c>
      <c r="L359" t="s">
        <v>45</v>
      </c>
      <c r="M359" t="s">
        <v>267</v>
      </c>
      <c r="N359" t="s">
        <v>370</v>
      </c>
      <c r="S359" t="str">
        <f t="shared" si="29"/>
        <v>Орлов Павел ДенисовичВасильева Ольга Ильинична</v>
      </c>
      <c r="T359" t="s">
        <v>47</v>
      </c>
      <c r="U359" t="s">
        <v>267</v>
      </c>
      <c r="V359" t="s">
        <v>268</v>
      </c>
    </row>
    <row r="360" spans="4:22" x14ac:dyDescent="0.25">
      <c r="D360" t="s">
        <v>47</v>
      </c>
      <c r="E360" t="s">
        <v>121</v>
      </c>
      <c r="F360" s="26" t="str">
        <f t="shared" si="25"/>
        <v>2024-01-23</v>
      </c>
      <c r="G360" s="26" t="str">
        <f t="shared" si="26"/>
        <v>2024-05-28</v>
      </c>
      <c r="H360">
        <f t="shared" si="27"/>
        <v>126</v>
      </c>
      <c r="K360" t="str">
        <f t="shared" si="28"/>
        <v>Иванова Анна СергеевнаСтепанова София Михайловна</v>
      </c>
      <c r="L360" t="s">
        <v>13</v>
      </c>
      <c r="M360" t="s">
        <v>77</v>
      </c>
      <c r="N360" t="s">
        <v>370</v>
      </c>
      <c r="S360" t="str">
        <f t="shared" si="29"/>
        <v>Сидорова Елена ВасильевнаЛебедева Алиса Дмитриевна</v>
      </c>
      <c r="T360" t="s">
        <v>8</v>
      </c>
      <c r="U360" t="s">
        <v>269</v>
      </c>
      <c r="V360" t="s">
        <v>268</v>
      </c>
    </row>
    <row r="361" spans="4:22" x14ac:dyDescent="0.25">
      <c r="D361" t="s">
        <v>45</v>
      </c>
      <c r="E361" t="s">
        <v>279</v>
      </c>
      <c r="F361" s="26" t="str">
        <f t="shared" si="25"/>
        <v>2024-01-24</v>
      </c>
      <c r="G361" s="26" t="str">
        <f t="shared" si="26"/>
        <v>2024-06-03</v>
      </c>
      <c r="H361">
        <f t="shared" si="27"/>
        <v>131</v>
      </c>
      <c r="K361" t="str">
        <f t="shared" si="28"/>
        <v>Орлов Павел ДенисовичПетрова Александра Ильинична</v>
      </c>
      <c r="L361" t="s">
        <v>47</v>
      </c>
      <c r="M361" t="s">
        <v>344</v>
      </c>
      <c r="N361" t="s">
        <v>369</v>
      </c>
      <c r="S361" t="str">
        <f t="shared" si="29"/>
        <v>Ткаченко Андрей ОлеговичМорозов Никита Алексеевич</v>
      </c>
      <c r="T361" t="s">
        <v>27</v>
      </c>
      <c r="U361" t="s">
        <v>92</v>
      </c>
      <c r="V361" t="s">
        <v>268</v>
      </c>
    </row>
    <row r="362" spans="4:22" x14ac:dyDescent="0.25">
      <c r="D362" t="s">
        <v>10</v>
      </c>
      <c r="E362" t="s">
        <v>67</v>
      </c>
      <c r="F362" s="26" t="str">
        <f t="shared" si="25"/>
        <v>2024-01-26</v>
      </c>
      <c r="G362" s="26" t="str">
        <f t="shared" si="26"/>
        <v>2024-01-26</v>
      </c>
      <c r="H362">
        <f t="shared" si="27"/>
        <v>0</v>
      </c>
      <c r="K362" t="str">
        <f t="shared" si="28"/>
        <v>Фролов Сергей ВикторовичОрлов Кирилл Романович</v>
      </c>
      <c r="L362" t="s">
        <v>16</v>
      </c>
      <c r="M362" t="s">
        <v>270</v>
      </c>
      <c r="N362" t="s">
        <v>369</v>
      </c>
      <c r="S362" t="str">
        <f t="shared" si="29"/>
        <v>Яковлев Артем ИгоревичОрлов Кирилл Романович</v>
      </c>
      <c r="T362" t="s">
        <v>30</v>
      </c>
      <c r="U362" t="s">
        <v>270</v>
      </c>
      <c r="V362" t="s">
        <v>271</v>
      </c>
    </row>
    <row r="363" spans="4:22" x14ac:dyDescent="0.25">
      <c r="D363" t="s">
        <v>45</v>
      </c>
      <c r="E363" t="s">
        <v>196</v>
      </c>
      <c r="F363" s="26" t="str">
        <f t="shared" si="25"/>
        <v>2024-01-26</v>
      </c>
      <c r="G363" s="26" t="str">
        <f t="shared" si="26"/>
        <v>2024-01-26</v>
      </c>
      <c r="H363">
        <f t="shared" si="27"/>
        <v>0</v>
      </c>
      <c r="K363" t="str">
        <f t="shared" si="28"/>
        <v>Фролов Сергей ВикторовичВасильев Константин Дмитриевич</v>
      </c>
      <c r="L363" t="s">
        <v>16</v>
      </c>
      <c r="M363" t="s">
        <v>126</v>
      </c>
      <c r="N363" t="s">
        <v>368</v>
      </c>
      <c r="S363" t="str">
        <f t="shared" si="29"/>
        <v>Фролов Сергей ВикторовичСеменов Константин Егорович</v>
      </c>
      <c r="T363" t="s">
        <v>16</v>
      </c>
      <c r="U363" t="s">
        <v>188</v>
      </c>
      <c r="V363" t="s">
        <v>271</v>
      </c>
    </row>
    <row r="364" spans="4:22" x14ac:dyDescent="0.25">
      <c r="D364" t="s">
        <v>25</v>
      </c>
      <c r="E364" t="s">
        <v>215</v>
      </c>
      <c r="F364" s="26" t="str">
        <f t="shared" si="25"/>
        <v>2024-01-29</v>
      </c>
      <c r="G364" s="26" t="str">
        <f t="shared" si="26"/>
        <v>2024-01-29</v>
      </c>
      <c r="H364">
        <f t="shared" si="27"/>
        <v>0</v>
      </c>
      <c r="K364" t="str">
        <f t="shared" si="28"/>
        <v>Петров Владимир КирилловичОрлова Анна Романовна</v>
      </c>
      <c r="L364" t="s">
        <v>18</v>
      </c>
      <c r="M364" t="s">
        <v>19</v>
      </c>
      <c r="N364" t="s">
        <v>368</v>
      </c>
      <c r="S364" t="str">
        <f t="shared" si="29"/>
        <v>Орлов Павел ДенисовичФедорова Алиса Юрьевна</v>
      </c>
      <c r="T364" t="s">
        <v>47</v>
      </c>
      <c r="U364" t="s">
        <v>231</v>
      </c>
      <c r="V364" t="s">
        <v>271</v>
      </c>
    </row>
    <row r="365" spans="4:22" x14ac:dyDescent="0.25">
      <c r="D365" t="s">
        <v>10</v>
      </c>
      <c r="E365" t="s">
        <v>74</v>
      </c>
      <c r="F365" s="26" t="str">
        <f t="shared" si="25"/>
        <v>2024-01-29</v>
      </c>
      <c r="G365" s="26" t="str">
        <f t="shared" si="26"/>
        <v>2024-01-29</v>
      </c>
      <c r="H365">
        <f t="shared" si="27"/>
        <v>0</v>
      </c>
      <c r="K365" t="str">
        <f t="shared" si="28"/>
        <v>Семенова Ирина ВалерьевнаСеменова Алиса Павловна</v>
      </c>
      <c r="L365" t="s">
        <v>10</v>
      </c>
      <c r="M365" t="s">
        <v>346</v>
      </c>
      <c r="N365" t="s">
        <v>368</v>
      </c>
      <c r="S365" t="str">
        <f t="shared" si="29"/>
        <v>Петров Владимир КирилловичОрлова Ольга Егоровна</v>
      </c>
      <c r="T365" t="s">
        <v>18</v>
      </c>
      <c r="U365" t="s">
        <v>272</v>
      </c>
      <c r="V365" t="s">
        <v>271</v>
      </c>
    </row>
    <row r="366" spans="4:22" x14ac:dyDescent="0.25">
      <c r="D366" t="s">
        <v>10</v>
      </c>
      <c r="E366" t="s">
        <v>139</v>
      </c>
      <c r="F366" s="26" t="str">
        <f t="shared" si="25"/>
        <v>2024-01-29</v>
      </c>
      <c r="G366" s="26" t="str">
        <f t="shared" si="26"/>
        <v>2024-07-02</v>
      </c>
      <c r="H366">
        <f t="shared" si="27"/>
        <v>155</v>
      </c>
      <c r="K366" t="str">
        <f t="shared" si="28"/>
        <v>Фролов Сергей ВикторовичСтепанова София Михайловна</v>
      </c>
      <c r="L366" t="s">
        <v>16</v>
      </c>
      <c r="M366" t="s">
        <v>77</v>
      </c>
      <c r="N366" t="s">
        <v>367</v>
      </c>
      <c r="S366" t="str">
        <f t="shared" si="29"/>
        <v>Яковлев Артем ИгоревичОрлов Павел Юрьевич</v>
      </c>
      <c r="T366" t="s">
        <v>30</v>
      </c>
      <c r="U366" t="s">
        <v>227</v>
      </c>
      <c r="V366" t="s">
        <v>271</v>
      </c>
    </row>
    <row r="367" spans="4:22" x14ac:dyDescent="0.25">
      <c r="D367" t="s">
        <v>5</v>
      </c>
      <c r="E367" t="s">
        <v>206</v>
      </c>
      <c r="F367" s="26" t="str">
        <f t="shared" si="25"/>
        <v>2024-01-29</v>
      </c>
      <c r="G367" s="26" t="str">
        <f t="shared" si="26"/>
        <v>2024-03-26</v>
      </c>
      <c r="H367">
        <f t="shared" si="27"/>
        <v>57</v>
      </c>
      <c r="K367" t="str">
        <f t="shared" si="28"/>
        <v>Сидорова Елена ВасильевнаВолкова Ирина Геннадьевна</v>
      </c>
      <c r="L367" t="s">
        <v>8</v>
      </c>
      <c r="M367" t="s">
        <v>70</v>
      </c>
      <c r="N367" t="s">
        <v>367</v>
      </c>
      <c r="S367" t="str">
        <f t="shared" si="29"/>
        <v>Кузнецов Дмитрий ЛьвовичСтепанова Полина Михайловна</v>
      </c>
      <c r="T367" t="s">
        <v>38</v>
      </c>
      <c r="U367" t="s">
        <v>50</v>
      </c>
      <c r="V367" t="s">
        <v>271</v>
      </c>
    </row>
    <row r="368" spans="4:22" x14ac:dyDescent="0.25">
      <c r="D368" t="s">
        <v>38</v>
      </c>
      <c r="E368" t="s">
        <v>125</v>
      </c>
      <c r="F368" s="26" t="str">
        <f t="shared" si="25"/>
        <v>2024-01-29</v>
      </c>
      <c r="G368" s="26" t="str">
        <f t="shared" si="26"/>
        <v>2024-01-29</v>
      </c>
      <c r="H368">
        <f t="shared" si="27"/>
        <v>0</v>
      </c>
      <c r="K368" t="str">
        <f t="shared" si="28"/>
        <v>Ткаченко Андрей ОлеговичСеменов Егор Никитич</v>
      </c>
      <c r="L368" t="s">
        <v>27</v>
      </c>
      <c r="M368" t="s">
        <v>215</v>
      </c>
      <c r="N368" t="s">
        <v>366</v>
      </c>
      <c r="S368" t="str">
        <f t="shared" si="29"/>
        <v>Орлов Павел ДенисовичСмирнова Татьяна Александровна</v>
      </c>
      <c r="T368" t="s">
        <v>47</v>
      </c>
      <c r="U368" t="s">
        <v>39</v>
      </c>
      <c r="V368" t="s">
        <v>271</v>
      </c>
    </row>
    <row r="369" spans="4:22" x14ac:dyDescent="0.25">
      <c r="D369" t="s">
        <v>38</v>
      </c>
      <c r="E369" t="s">
        <v>73</v>
      </c>
      <c r="F369" s="26" t="str">
        <f t="shared" si="25"/>
        <v>2024-01-30</v>
      </c>
      <c r="G369" s="26" t="str">
        <f t="shared" si="26"/>
        <v>2024-01-30</v>
      </c>
      <c r="H369">
        <f t="shared" si="27"/>
        <v>0</v>
      </c>
      <c r="K369" t="str">
        <f t="shared" si="28"/>
        <v>Иванова Анна СергеевнаФедоров Владимир Павлович</v>
      </c>
      <c r="L369" t="s">
        <v>13</v>
      </c>
      <c r="M369" t="s">
        <v>63</v>
      </c>
      <c r="N369" t="s">
        <v>365</v>
      </c>
      <c r="S369" t="str">
        <f t="shared" si="29"/>
        <v>Громова Мария ИльиничнаСидорова Ольга Андреевна</v>
      </c>
      <c r="T369" t="s">
        <v>5</v>
      </c>
      <c r="U369" t="s">
        <v>52</v>
      </c>
      <c r="V369" t="s">
        <v>273</v>
      </c>
    </row>
    <row r="370" spans="4:22" x14ac:dyDescent="0.25">
      <c r="D370" t="s">
        <v>8</v>
      </c>
      <c r="E370" t="s">
        <v>66</v>
      </c>
      <c r="F370" s="26" t="str">
        <f t="shared" si="25"/>
        <v>2024-01-30</v>
      </c>
      <c r="G370" s="26" t="str">
        <f t="shared" si="26"/>
        <v>2024-01-30</v>
      </c>
      <c r="H370">
        <f t="shared" si="27"/>
        <v>0</v>
      </c>
      <c r="K370" t="str">
        <f t="shared" si="28"/>
        <v>Сидорова Елена ВасильевнаИванов Андрей Андреевич</v>
      </c>
      <c r="L370" t="s">
        <v>8</v>
      </c>
      <c r="M370" t="s">
        <v>190</v>
      </c>
      <c r="N370" t="s">
        <v>365</v>
      </c>
      <c r="S370" t="str">
        <f t="shared" si="29"/>
        <v>Орлов Павел ДенисовичСеменов Константин Егорович</v>
      </c>
      <c r="T370" t="s">
        <v>47</v>
      </c>
      <c r="U370" t="s">
        <v>188</v>
      </c>
      <c r="V370" t="s">
        <v>273</v>
      </c>
    </row>
    <row r="371" spans="4:22" x14ac:dyDescent="0.25">
      <c r="D371" t="s">
        <v>13</v>
      </c>
      <c r="E371" t="s">
        <v>141</v>
      </c>
      <c r="F371" s="26" t="str">
        <f t="shared" si="25"/>
        <v>2024-01-30</v>
      </c>
      <c r="G371" s="26" t="str">
        <f t="shared" si="26"/>
        <v>2024-08-27</v>
      </c>
      <c r="H371">
        <f t="shared" si="27"/>
        <v>210</v>
      </c>
      <c r="K371" t="str">
        <f t="shared" si="28"/>
        <v>Новикова Ольга ПетровнаОрлов Константин Никитич</v>
      </c>
      <c r="L371" t="s">
        <v>45</v>
      </c>
      <c r="M371" t="s">
        <v>233</v>
      </c>
      <c r="N371" t="s">
        <v>365</v>
      </c>
      <c r="S371" t="str">
        <f t="shared" si="29"/>
        <v>Новикова Ольга ПетровнаПавлов Никита Иванович</v>
      </c>
      <c r="T371" t="s">
        <v>45</v>
      </c>
      <c r="U371" t="s">
        <v>36</v>
      </c>
      <c r="V371" t="s">
        <v>273</v>
      </c>
    </row>
    <row r="372" spans="4:22" x14ac:dyDescent="0.25">
      <c r="D372" t="s">
        <v>30</v>
      </c>
      <c r="E372" t="s">
        <v>58</v>
      </c>
      <c r="F372" s="26" t="str">
        <f t="shared" si="25"/>
        <v>2024-01-30</v>
      </c>
      <c r="G372" s="26" t="str">
        <f t="shared" si="26"/>
        <v>2024-04-25</v>
      </c>
      <c r="H372">
        <f t="shared" si="27"/>
        <v>86</v>
      </c>
      <c r="K372" t="str">
        <f t="shared" si="28"/>
        <v>Семенова Ирина ВалерьевнаЕгоров Александр Александрович</v>
      </c>
      <c r="L372" t="s">
        <v>10</v>
      </c>
      <c r="M372" t="s">
        <v>279</v>
      </c>
      <c r="N372" t="s">
        <v>365</v>
      </c>
      <c r="S372" t="str">
        <f t="shared" si="29"/>
        <v>Иванова Анна СергеевнаЛебедева Вероника Никитична</v>
      </c>
      <c r="T372" t="s">
        <v>13</v>
      </c>
      <c r="U372" t="s">
        <v>133</v>
      </c>
      <c r="V372" t="s">
        <v>274</v>
      </c>
    </row>
    <row r="373" spans="4:22" x14ac:dyDescent="0.25">
      <c r="D373" t="s">
        <v>25</v>
      </c>
      <c r="E373" t="s">
        <v>202</v>
      </c>
      <c r="F373" s="26" t="str">
        <f t="shared" si="25"/>
        <v>2024-01-31</v>
      </c>
      <c r="G373" s="26" t="str">
        <f t="shared" si="26"/>
        <v>2024-01-31</v>
      </c>
      <c r="H373">
        <f t="shared" si="27"/>
        <v>0</v>
      </c>
      <c r="K373" t="str">
        <f t="shared" si="28"/>
        <v>Семенова Ирина ВалерьевнаВасильев Илья Александрович</v>
      </c>
      <c r="L373" t="s">
        <v>10</v>
      </c>
      <c r="M373" t="s">
        <v>137</v>
      </c>
      <c r="N373" t="s">
        <v>365</v>
      </c>
      <c r="S373" t="str">
        <f t="shared" si="29"/>
        <v>Белов Алексей КонстантиновичКозлова Татьяна Сергеевна</v>
      </c>
      <c r="T373" t="s">
        <v>25</v>
      </c>
      <c r="U373" t="s">
        <v>28</v>
      </c>
      <c r="V373" t="s">
        <v>275</v>
      </c>
    </row>
    <row r="374" spans="4:22" x14ac:dyDescent="0.25">
      <c r="D374" t="s">
        <v>8</v>
      </c>
      <c r="E374" t="s">
        <v>49</v>
      </c>
      <c r="F374" s="26" t="str">
        <f t="shared" si="25"/>
        <v>2024-02-01</v>
      </c>
      <c r="G374" s="26" t="str">
        <f t="shared" si="26"/>
        <v>2024-02-01</v>
      </c>
      <c r="H374">
        <f t="shared" si="27"/>
        <v>0</v>
      </c>
      <c r="K374" t="str">
        <f t="shared" si="28"/>
        <v>Орлов Павел ДенисовичКозлов Павел Андреевич</v>
      </c>
      <c r="L374" t="s">
        <v>47</v>
      </c>
      <c r="M374" t="s">
        <v>363</v>
      </c>
      <c r="N374" t="s">
        <v>364</v>
      </c>
      <c r="S374" t="str">
        <f t="shared" si="29"/>
        <v>Белов Алексей КонстантиновичПопова Людмила Егоровна</v>
      </c>
      <c r="T374" t="s">
        <v>25</v>
      </c>
      <c r="U374" t="s">
        <v>217</v>
      </c>
      <c r="V374" t="s">
        <v>275</v>
      </c>
    </row>
    <row r="375" spans="4:22" x14ac:dyDescent="0.25">
      <c r="D375" t="s">
        <v>5</v>
      </c>
      <c r="E375" t="s">
        <v>226</v>
      </c>
      <c r="F375" s="26" t="str">
        <f t="shared" si="25"/>
        <v>2024-02-01</v>
      </c>
      <c r="G375" s="26" t="str">
        <f t="shared" si="26"/>
        <v>2024-02-01</v>
      </c>
      <c r="H375">
        <f t="shared" si="27"/>
        <v>0</v>
      </c>
      <c r="K375" t="str">
        <f t="shared" si="28"/>
        <v>Яковлев Артем ИгоревичВолков Максим Дмитриевич</v>
      </c>
      <c r="L375" t="s">
        <v>30</v>
      </c>
      <c r="M375" t="s">
        <v>81</v>
      </c>
      <c r="N375" t="s">
        <v>364</v>
      </c>
      <c r="S375" t="str">
        <f t="shared" si="29"/>
        <v>Петров Владимир КирилловичСмирнов Илья Олегович</v>
      </c>
      <c r="T375" t="s">
        <v>18</v>
      </c>
      <c r="U375" t="s">
        <v>26</v>
      </c>
      <c r="V375" t="s">
        <v>276</v>
      </c>
    </row>
    <row r="376" spans="4:22" x14ac:dyDescent="0.25">
      <c r="D376" t="s">
        <v>30</v>
      </c>
      <c r="E376" t="s">
        <v>221</v>
      </c>
      <c r="F376" s="26" t="str">
        <f t="shared" si="25"/>
        <v>2024-02-01</v>
      </c>
      <c r="G376" s="26" t="str">
        <f t="shared" si="26"/>
        <v>2024-05-16</v>
      </c>
      <c r="H376">
        <f t="shared" si="27"/>
        <v>105</v>
      </c>
      <c r="K376" t="str">
        <f t="shared" si="28"/>
        <v>Петров Владимир КирилловичСмирнова Людмила Олеговна</v>
      </c>
      <c r="L376" t="s">
        <v>18</v>
      </c>
      <c r="M376" t="s">
        <v>180</v>
      </c>
      <c r="N376" t="s">
        <v>364</v>
      </c>
      <c r="S376" t="str">
        <f t="shared" si="29"/>
        <v>Семенова Ирина ВалерьевнаКузнецова Анна Павловна</v>
      </c>
      <c r="T376" t="s">
        <v>10</v>
      </c>
      <c r="U376" t="s">
        <v>162</v>
      </c>
      <c r="V376" t="s">
        <v>276</v>
      </c>
    </row>
    <row r="377" spans="4:22" x14ac:dyDescent="0.25">
      <c r="D377" t="s">
        <v>18</v>
      </c>
      <c r="E377" t="s">
        <v>265</v>
      </c>
      <c r="F377" s="26" t="str">
        <f t="shared" si="25"/>
        <v>2024-02-02</v>
      </c>
      <c r="G377" s="26" t="str">
        <f t="shared" si="26"/>
        <v>2024-03-18</v>
      </c>
      <c r="H377">
        <f t="shared" si="27"/>
        <v>45</v>
      </c>
      <c r="K377" t="str">
        <f t="shared" si="28"/>
        <v>Кузнецов Дмитрий ЛьвовичСтепанова Ольга Андреевна</v>
      </c>
      <c r="L377" t="s">
        <v>38</v>
      </c>
      <c r="M377" t="s">
        <v>307</v>
      </c>
      <c r="N377" t="s">
        <v>362</v>
      </c>
      <c r="S377" t="str">
        <f t="shared" si="29"/>
        <v>Иванова Анна СергеевнаПопов Михаил Павлович</v>
      </c>
      <c r="T377" t="s">
        <v>13</v>
      </c>
      <c r="U377" t="s">
        <v>146</v>
      </c>
      <c r="V377" t="s">
        <v>276</v>
      </c>
    </row>
    <row r="378" spans="4:22" x14ac:dyDescent="0.25">
      <c r="D378" t="s">
        <v>10</v>
      </c>
      <c r="E378" t="s">
        <v>106</v>
      </c>
      <c r="F378" s="26" t="str">
        <f t="shared" si="25"/>
        <v>2024-02-02</v>
      </c>
      <c r="G378" s="26" t="str">
        <f t="shared" si="26"/>
        <v>2024-02-02</v>
      </c>
      <c r="H378">
        <f t="shared" si="27"/>
        <v>0</v>
      </c>
      <c r="K378" t="str">
        <f t="shared" si="28"/>
        <v>Орлов Павел ДенисовичНовикова София Андреевна</v>
      </c>
      <c r="L378" t="s">
        <v>47</v>
      </c>
      <c r="M378" t="s">
        <v>306</v>
      </c>
      <c r="N378" t="s">
        <v>362</v>
      </c>
      <c r="S378" t="str">
        <f t="shared" si="29"/>
        <v>Фролов Сергей ВикторовичСеменов Егор Никитич</v>
      </c>
      <c r="T378" t="s">
        <v>16</v>
      </c>
      <c r="U378" t="s">
        <v>215</v>
      </c>
      <c r="V378" t="s">
        <v>277</v>
      </c>
    </row>
    <row r="379" spans="4:22" x14ac:dyDescent="0.25">
      <c r="D379" t="s">
        <v>25</v>
      </c>
      <c r="E379" t="s">
        <v>287</v>
      </c>
      <c r="F379" s="26" t="str">
        <f t="shared" si="25"/>
        <v>2024-02-05</v>
      </c>
      <c r="G379" s="26" t="str">
        <f t="shared" si="26"/>
        <v>2024-06-17</v>
      </c>
      <c r="H379">
        <f t="shared" si="27"/>
        <v>133</v>
      </c>
      <c r="K379" t="str">
        <f t="shared" si="28"/>
        <v>Белов Алексей КонстантиновичОрлова Ольга Алексеевна</v>
      </c>
      <c r="L379" t="s">
        <v>25</v>
      </c>
      <c r="M379" t="s">
        <v>82</v>
      </c>
      <c r="N379" t="s">
        <v>362</v>
      </c>
      <c r="S379" t="str">
        <f t="shared" si="29"/>
        <v>Иванова Анна СергеевнаКозлов Алексей Романович</v>
      </c>
      <c r="T379" t="s">
        <v>13</v>
      </c>
      <c r="U379" t="s">
        <v>156</v>
      </c>
      <c r="V379" t="s">
        <v>277</v>
      </c>
    </row>
    <row r="380" spans="4:22" x14ac:dyDescent="0.25">
      <c r="D380" t="s">
        <v>18</v>
      </c>
      <c r="E380" t="s">
        <v>289</v>
      </c>
      <c r="F380" s="26" t="str">
        <f t="shared" si="25"/>
        <v>2024-02-05</v>
      </c>
      <c r="G380" s="26" t="str">
        <f t="shared" si="26"/>
        <v>2024-02-05</v>
      </c>
      <c r="H380">
        <f t="shared" si="27"/>
        <v>0</v>
      </c>
      <c r="K380" t="str">
        <f t="shared" si="28"/>
        <v>Яковлев Артем ИгоревичКозлов Илья Сергеевич</v>
      </c>
      <c r="L380" t="s">
        <v>30</v>
      </c>
      <c r="M380" t="s">
        <v>58</v>
      </c>
      <c r="N380" t="s">
        <v>362</v>
      </c>
      <c r="S380" t="str">
        <f t="shared" si="29"/>
        <v>Новикова Ольга ПетровнаСмирнов Максим Сергеевич</v>
      </c>
      <c r="T380" t="s">
        <v>45</v>
      </c>
      <c r="U380" t="s">
        <v>49</v>
      </c>
      <c r="V380" t="s">
        <v>277</v>
      </c>
    </row>
    <row r="381" spans="4:22" x14ac:dyDescent="0.25">
      <c r="D381" t="s">
        <v>8</v>
      </c>
      <c r="E381" t="s">
        <v>20</v>
      </c>
      <c r="F381" s="26" t="str">
        <f t="shared" si="25"/>
        <v>2024-02-05</v>
      </c>
      <c r="G381" s="26" t="str">
        <f t="shared" si="26"/>
        <v>2024-02-05</v>
      </c>
      <c r="H381">
        <f t="shared" si="27"/>
        <v>0</v>
      </c>
      <c r="K381" t="str">
        <f t="shared" si="28"/>
        <v>Семенова Ирина ВалерьевнаНовикова Людмила Владимировна</v>
      </c>
      <c r="L381" t="s">
        <v>10</v>
      </c>
      <c r="M381" t="s">
        <v>113</v>
      </c>
      <c r="N381" t="s">
        <v>362</v>
      </c>
      <c r="S381" t="str">
        <f t="shared" si="29"/>
        <v>Яковлев Артем ИгоревичСидоров Михаил Сергеевич</v>
      </c>
      <c r="T381" t="s">
        <v>30</v>
      </c>
      <c r="U381" t="s">
        <v>187</v>
      </c>
      <c r="V381" t="s">
        <v>277</v>
      </c>
    </row>
    <row r="382" spans="4:22" x14ac:dyDescent="0.25">
      <c r="D382" t="s">
        <v>47</v>
      </c>
      <c r="E382" t="s">
        <v>212</v>
      </c>
      <c r="F382" s="26" t="str">
        <f t="shared" si="25"/>
        <v>2024-02-05</v>
      </c>
      <c r="G382" s="26" t="str">
        <f t="shared" si="26"/>
        <v>2024-02-05</v>
      </c>
      <c r="H382">
        <f t="shared" si="27"/>
        <v>0</v>
      </c>
      <c r="K382" t="str">
        <f t="shared" si="28"/>
        <v>Фролов Сергей ВикторовичПопов Михаил Павлович</v>
      </c>
      <c r="L382" t="s">
        <v>16</v>
      </c>
      <c r="M382" t="s">
        <v>146</v>
      </c>
      <c r="N382" t="s">
        <v>362</v>
      </c>
      <c r="S382" t="str">
        <f t="shared" si="29"/>
        <v>Иванова Анна СергеевнаЛебедева Ольга Романовна</v>
      </c>
      <c r="T382" t="s">
        <v>13</v>
      </c>
      <c r="U382" t="s">
        <v>186</v>
      </c>
      <c r="V382" t="s">
        <v>277</v>
      </c>
    </row>
    <row r="383" spans="4:22" x14ac:dyDescent="0.25">
      <c r="D383" t="s">
        <v>8</v>
      </c>
      <c r="E383" t="s">
        <v>144</v>
      </c>
      <c r="F383" s="26" t="str">
        <f t="shared" si="25"/>
        <v>2024-02-06</v>
      </c>
      <c r="G383" s="26" t="str">
        <f t="shared" si="26"/>
        <v>2024-02-06</v>
      </c>
      <c r="H383">
        <f t="shared" si="27"/>
        <v>0</v>
      </c>
      <c r="K383" t="str">
        <f t="shared" si="28"/>
        <v>Яковлев Артем ИгоревичКозлова Татьяна Сергеевна</v>
      </c>
      <c r="L383" t="s">
        <v>30</v>
      </c>
      <c r="M383" t="s">
        <v>28</v>
      </c>
      <c r="N383" t="s">
        <v>361</v>
      </c>
      <c r="S383" t="str">
        <f t="shared" si="29"/>
        <v>Семенова Ирина ВалерьевнаМорозов Максим Сергеевич</v>
      </c>
      <c r="T383" t="s">
        <v>10</v>
      </c>
      <c r="U383" t="s">
        <v>239</v>
      </c>
      <c r="V383" t="s">
        <v>277</v>
      </c>
    </row>
    <row r="384" spans="4:22" x14ac:dyDescent="0.25">
      <c r="D384" t="s">
        <v>47</v>
      </c>
      <c r="E384" t="s">
        <v>91</v>
      </c>
      <c r="F384" s="26" t="str">
        <f t="shared" si="25"/>
        <v>2024-02-06</v>
      </c>
      <c r="G384" s="26" t="str">
        <f t="shared" si="26"/>
        <v>2024-02-06</v>
      </c>
      <c r="H384">
        <f t="shared" si="27"/>
        <v>0</v>
      </c>
      <c r="K384" t="str">
        <f t="shared" si="28"/>
        <v>Орлов Павел ДенисовичКозлов Александр Дмитриевич</v>
      </c>
      <c r="L384" t="s">
        <v>47</v>
      </c>
      <c r="M384" t="s">
        <v>88</v>
      </c>
      <c r="N384" t="s">
        <v>361</v>
      </c>
      <c r="S384" t="str">
        <f t="shared" si="29"/>
        <v>Петров Владимир КирилловичЛебедева Ирина Кирилловна</v>
      </c>
      <c r="T384" t="s">
        <v>18</v>
      </c>
      <c r="U384" t="s">
        <v>73</v>
      </c>
      <c r="V384" t="s">
        <v>278</v>
      </c>
    </row>
    <row r="385" spans="4:22" x14ac:dyDescent="0.25">
      <c r="D385" t="s">
        <v>10</v>
      </c>
      <c r="E385" t="s">
        <v>142</v>
      </c>
      <c r="F385" s="26" t="str">
        <f t="shared" si="25"/>
        <v>2024-02-06</v>
      </c>
      <c r="G385" s="26" t="str">
        <f t="shared" si="26"/>
        <v>2024-02-06</v>
      </c>
      <c r="H385">
        <f t="shared" si="27"/>
        <v>0</v>
      </c>
      <c r="K385" t="str">
        <f t="shared" si="28"/>
        <v>Белов Алексей КонстантиновичЕгорова Светлана Андреевна</v>
      </c>
      <c r="L385" t="s">
        <v>25</v>
      </c>
      <c r="M385" t="s">
        <v>108</v>
      </c>
      <c r="N385" t="s">
        <v>360</v>
      </c>
      <c r="S385" t="str">
        <f t="shared" si="29"/>
        <v>Семенова Ирина ВалерьевнаКозлов Константин Александрович</v>
      </c>
      <c r="T385" t="s">
        <v>10</v>
      </c>
      <c r="U385" t="s">
        <v>173</v>
      </c>
      <c r="V385" t="s">
        <v>278</v>
      </c>
    </row>
    <row r="386" spans="4:22" x14ac:dyDescent="0.25">
      <c r="D386" t="s">
        <v>27</v>
      </c>
      <c r="E386" t="s">
        <v>130</v>
      </c>
      <c r="F386" s="26" t="str">
        <f t="shared" si="25"/>
        <v>2024-02-07</v>
      </c>
      <c r="G386" s="26" t="str">
        <f t="shared" si="26"/>
        <v>2024-02-07</v>
      </c>
      <c r="H386">
        <f t="shared" si="27"/>
        <v>0</v>
      </c>
      <c r="K386" t="str">
        <f t="shared" si="28"/>
        <v>Белов Алексей КонстантиновичФедоров Кирилл Алексеевич</v>
      </c>
      <c r="L386" t="s">
        <v>25</v>
      </c>
      <c r="M386" t="s">
        <v>287</v>
      </c>
      <c r="N386" t="s">
        <v>360</v>
      </c>
      <c r="S386" t="str">
        <f t="shared" si="29"/>
        <v>Семенова Ирина ВалерьевнаВасильев Константин Дмитриевич</v>
      </c>
      <c r="T386" t="s">
        <v>10</v>
      </c>
      <c r="U386" t="s">
        <v>126</v>
      </c>
      <c r="V386" t="s">
        <v>278</v>
      </c>
    </row>
    <row r="387" spans="4:22" x14ac:dyDescent="0.25">
      <c r="D387" t="s">
        <v>8</v>
      </c>
      <c r="E387" t="s">
        <v>121</v>
      </c>
      <c r="F387" s="26" t="str">
        <f t="shared" ref="F387:F450" si="30">VLOOKUP(D387&amp;E387,S:V,4,0)</f>
        <v>2024-02-07</v>
      </c>
      <c r="G387" s="26" t="str">
        <f t="shared" ref="G387:G450" si="31">VLOOKUP(D387&amp;E387,K:N,4,0)</f>
        <v>2024-02-07</v>
      </c>
      <c r="H387">
        <f t="shared" ref="H387:H450" si="32">G387-F387</f>
        <v>0</v>
      </c>
      <c r="K387" t="str">
        <f t="shared" ref="K387:K450" si="33">L387&amp;M387</f>
        <v>Сидорова Елена ВасильевнаНовикова Анна Викторовна</v>
      </c>
      <c r="L387" t="s">
        <v>8</v>
      </c>
      <c r="M387" t="s">
        <v>211</v>
      </c>
      <c r="N387" t="s">
        <v>360</v>
      </c>
      <c r="S387" t="str">
        <f t="shared" ref="S387:S450" si="34">T387&amp;U387</f>
        <v>Фролов Сергей ВикторовичСмирнова Алиса Михайловна</v>
      </c>
      <c r="T387" t="s">
        <v>16</v>
      </c>
      <c r="U387" t="s">
        <v>205</v>
      </c>
      <c r="V387" t="s">
        <v>278</v>
      </c>
    </row>
    <row r="388" spans="4:22" x14ac:dyDescent="0.25">
      <c r="D388" t="s">
        <v>38</v>
      </c>
      <c r="E388" t="s">
        <v>248</v>
      </c>
      <c r="F388" s="26" t="str">
        <f t="shared" si="30"/>
        <v>2024-02-07</v>
      </c>
      <c r="G388" s="26" t="str">
        <f t="shared" si="31"/>
        <v>2024-02-07</v>
      </c>
      <c r="H388">
        <f t="shared" si="32"/>
        <v>0</v>
      </c>
      <c r="K388" t="str">
        <f t="shared" si="33"/>
        <v>Орлов Павел ДенисовичНовикова София Андреевна</v>
      </c>
      <c r="L388" t="s">
        <v>47</v>
      </c>
      <c r="M388" t="s">
        <v>306</v>
      </c>
      <c r="N388" t="s">
        <v>360</v>
      </c>
      <c r="S388" t="str">
        <f t="shared" si="34"/>
        <v>Орлов Павел ДенисовичСидоров Никита Романович</v>
      </c>
      <c r="T388" t="s">
        <v>47</v>
      </c>
      <c r="U388" t="s">
        <v>121</v>
      </c>
      <c r="V388" t="s">
        <v>278</v>
      </c>
    </row>
    <row r="389" spans="4:22" x14ac:dyDescent="0.25">
      <c r="D389" t="s">
        <v>10</v>
      </c>
      <c r="E389" t="s">
        <v>217</v>
      </c>
      <c r="F389" s="26" t="str">
        <f t="shared" si="30"/>
        <v>2024-02-08</v>
      </c>
      <c r="G389" s="26" t="str">
        <f t="shared" si="31"/>
        <v>2024-02-08</v>
      </c>
      <c r="H389">
        <f t="shared" si="32"/>
        <v>0</v>
      </c>
      <c r="K389" t="str">
        <f t="shared" si="33"/>
        <v>Громова Мария ИльиничнаФедоров Артур Олегович</v>
      </c>
      <c r="L389" t="s">
        <v>5</v>
      </c>
      <c r="M389" t="s">
        <v>64</v>
      </c>
      <c r="N389" t="s">
        <v>360</v>
      </c>
      <c r="S389" t="str">
        <f t="shared" si="34"/>
        <v>Новикова Ольга ПетровнаЕгоров Александр Александрович</v>
      </c>
      <c r="T389" t="s">
        <v>45</v>
      </c>
      <c r="U389" t="s">
        <v>279</v>
      </c>
      <c r="V389" t="s">
        <v>280</v>
      </c>
    </row>
    <row r="390" spans="4:22" x14ac:dyDescent="0.25">
      <c r="D390" t="s">
        <v>45</v>
      </c>
      <c r="E390" t="s">
        <v>293</v>
      </c>
      <c r="F390" s="26" t="str">
        <f t="shared" si="30"/>
        <v>2024-02-08</v>
      </c>
      <c r="G390" s="26" t="str">
        <f t="shared" si="31"/>
        <v>2024-02-08</v>
      </c>
      <c r="H390">
        <f t="shared" si="32"/>
        <v>0</v>
      </c>
      <c r="K390" t="str">
        <f t="shared" si="33"/>
        <v>Фролов Сергей ВикторовичВолков Максим Дмитриевич</v>
      </c>
      <c r="L390" t="s">
        <v>16</v>
      </c>
      <c r="M390" t="s">
        <v>81</v>
      </c>
      <c r="N390" t="s">
        <v>360</v>
      </c>
      <c r="S390" t="str">
        <f t="shared" si="34"/>
        <v>Семенова Ирина ВалерьевнаМорозов Илья Геннадьевич</v>
      </c>
      <c r="T390" t="s">
        <v>10</v>
      </c>
      <c r="U390" t="s">
        <v>67</v>
      </c>
      <c r="V390" t="s">
        <v>281</v>
      </c>
    </row>
    <row r="391" spans="4:22" x14ac:dyDescent="0.25">
      <c r="D391" t="s">
        <v>16</v>
      </c>
      <c r="E391" t="s">
        <v>122</v>
      </c>
      <c r="F391" s="26" t="str">
        <f t="shared" si="30"/>
        <v>2024-02-08</v>
      </c>
      <c r="G391" s="26" t="str">
        <f t="shared" si="31"/>
        <v>2024-02-08</v>
      </c>
      <c r="H391">
        <f t="shared" si="32"/>
        <v>0</v>
      </c>
      <c r="K391" t="str">
        <f t="shared" si="33"/>
        <v>Яковлев Артем ИгоревичЕгоров Павел Сергеевич</v>
      </c>
      <c r="L391" t="s">
        <v>30</v>
      </c>
      <c r="M391" t="s">
        <v>134</v>
      </c>
      <c r="N391" t="s">
        <v>360</v>
      </c>
      <c r="S391" t="str">
        <f t="shared" si="34"/>
        <v>Новикова Ольга ПетровнаСеменов Роман Павлович</v>
      </c>
      <c r="T391" t="s">
        <v>45</v>
      </c>
      <c r="U391" t="s">
        <v>196</v>
      </c>
      <c r="V391" t="s">
        <v>281</v>
      </c>
    </row>
    <row r="392" spans="4:22" x14ac:dyDescent="0.25">
      <c r="D392" t="s">
        <v>47</v>
      </c>
      <c r="E392" t="s">
        <v>227</v>
      </c>
      <c r="F392" s="26" t="str">
        <f t="shared" si="30"/>
        <v>2024-02-09</v>
      </c>
      <c r="G392" s="26" t="str">
        <f t="shared" si="31"/>
        <v>2024-02-09</v>
      </c>
      <c r="H392">
        <f t="shared" si="32"/>
        <v>0</v>
      </c>
      <c r="K392" t="str">
        <f t="shared" si="33"/>
        <v>Семенова Ирина ВалерьевнаСтепанова Полина Михайловна</v>
      </c>
      <c r="L392" t="s">
        <v>10</v>
      </c>
      <c r="M392" t="s">
        <v>50</v>
      </c>
      <c r="N392" t="s">
        <v>359</v>
      </c>
      <c r="S392" t="str">
        <f t="shared" si="34"/>
        <v>Белов Алексей КонстантиновичСеменов Егор Никитич</v>
      </c>
      <c r="T392" t="s">
        <v>25</v>
      </c>
      <c r="U392" t="s">
        <v>215</v>
      </c>
      <c r="V392" t="s">
        <v>282</v>
      </c>
    </row>
    <row r="393" spans="4:22" x14ac:dyDescent="0.25">
      <c r="D393" t="s">
        <v>10</v>
      </c>
      <c r="E393" t="s">
        <v>295</v>
      </c>
      <c r="F393" s="26" t="str">
        <f t="shared" si="30"/>
        <v>2024-02-09</v>
      </c>
      <c r="G393" s="26" t="str">
        <f t="shared" si="31"/>
        <v>2024-02-09</v>
      </c>
      <c r="H393">
        <f t="shared" si="32"/>
        <v>0</v>
      </c>
      <c r="K393" t="str">
        <f t="shared" si="33"/>
        <v>Ткаченко Андрей ОлеговичКозлов Илья Егорович</v>
      </c>
      <c r="L393" t="s">
        <v>27</v>
      </c>
      <c r="M393" t="s">
        <v>80</v>
      </c>
      <c r="N393" t="s">
        <v>359</v>
      </c>
      <c r="S393" t="str">
        <f t="shared" si="34"/>
        <v>Кузнецов Дмитрий ЛьвовичМорозова Александра Станиславовна</v>
      </c>
      <c r="T393" t="s">
        <v>38</v>
      </c>
      <c r="U393" t="s">
        <v>55</v>
      </c>
      <c r="V393" t="s">
        <v>282</v>
      </c>
    </row>
    <row r="394" spans="4:22" x14ac:dyDescent="0.25">
      <c r="D394" t="s">
        <v>30</v>
      </c>
      <c r="E394" t="s">
        <v>134</v>
      </c>
      <c r="F394" s="26" t="str">
        <f t="shared" si="30"/>
        <v>2024-02-09</v>
      </c>
      <c r="G394" s="26" t="str">
        <f t="shared" si="31"/>
        <v>2024-05-27</v>
      </c>
      <c r="H394">
        <f t="shared" si="32"/>
        <v>108</v>
      </c>
      <c r="K394" t="str">
        <f t="shared" si="33"/>
        <v>Ткаченко Андрей ОлеговичМорозов Максим Сергеевич</v>
      </c>
      <c r="L394" t="s">
        <v>27</v>
      </c>
      <c r="M394" t="s">
        <v>239</v>
      </c>
      <c r="N394" t="s">
        <v>359</v>
      </c>
      <c r="S394" t="str">
        <f t="shared" si="34"/>
        <v>Семенова Ирина ВалерьевнаВолков Сергей Иванович</v>
      </c>
      <c r="T394" t="s">
        <v>10</v>
      </c>
      <c r="U394" t="s">
        <v>74</v>
      </c>
      <c r="V394" t="s">
        <v>282</v>
      </c>
    </row>
    <row r="395" spans="4:22" x14ac:dyDescent="0.25">
      <c r="D395" t="s">
        <v>18</v>
      </c>
      <c r="E395" t="s">
        <v>296</v>
      </c>
      <c r="F395" s="26" t="str">
        <f t="shared" si="30"/>
        <v>2024-02-09</v>
      </c>
      <c r="G395" s="26" t="str">
        <f t="shared" si="31"/>
        <v>2024-02-09</v>
      </c>
      <c r="H395">
        <f t="shared" si="32"/>
        <v>0</v>
      </c>
      <c r="K395" t="str">
        <f t="shared" si="33"/>
        <v>Яковлев Артем ИгоревичВолкова Ирина Геннадьевна</v>
      </c>
      <c r="L395" t="s">
        <v>30</v>
      </c>
      <c r="M395" t="s">
        <v>70</v>
      </c>
      <c r="N395" t="s">
        <v>358</v>
      </c>
      <c r="S395" t="str">
        <f t="shared" si="34"/>
        <v>Семенова Ирина ВалерьевнаПетрова Александра Олеговна</v>
      </c>
      <c r="T395" t="s">
        <v>10</v>
      </c>
      <c r="U395" t="s">
        <v>139</v>
      </c>
      <c r="V395" t="s">
        <v>282</v>
      </c>
    </row>
    <row r="396" spans="4:22" x14ac:dyDescent="0.25">
      <c r="D396" t="s">
        <v>8</v>
      </c>
      <c r="E396" t="s">
        <v>226</v>
      </c>
      <c r="F396" s="26" t="str">
        <f t="shared" si="30"/>
        <v>2024-02-12</v>
      </c>
      <c r="G396" s="26" t="str">
        <f t="shared" si="31"/>
        <v>2024-02-12</v>
      </c>
      <c r="H396">
        <f t="shared" si="32"/>
        <v>0</v>
      </c>
      <c r="K396" t="str">
        <f t="shared" si="33"/>
        <v>Кузнецов Дмитрий ЛьвовичНовиков Михаил Павлович</v>
      </c>
      <c r="L396" t="s">
        <v>38</v>
      </c>
      <c r="M396" t="s">
        <v>331</v>
      </c>
      <c r="N396" t="s">
        <v>358</v>
      </c>
      <c r="S396" t="str">
        <f t="shared" si="34"/>
        <v>Громова Мария ИльиничнаАлексеев Кирилл Сергеевич</v>
      </c>
      <c r="T396" t="s">
        <v>5</v>
      </c>
      <c r="U396" t="s">
        <v>206</v>
      </c>
      <c r="V396" t="s">
        <v>282</v>
      </c>
    </row>
    <row r="397" spans="4:22" x14ac:dyDescent="0.25">
      <c r="D397" t="s">
        <v>10</v>
      </c>
      <c r="E397" t="s">
        <v>149</v>
      </c>
      <c r="F397" s="26" t="str">
        <f t="shared" si="30"/>
        <v>2024-02-12</v>
      </c>
      <c r="G397" s="26" t="str">
        <f t="shared" si="31"/>
        <v>2024-02-12</v>
      </c>
      <c r="H397">
        <f t="shared" si="32"/>
        <v>0</v>
      </c>
      <c r="K397" t="str">
        <f t="shared" si="33"/>
        <v>Новикова Ольга ПетровнаВолкова Наталья Андреевна</v>
      </c>
      <c r="L397" t="s">
        <v>45</v>
      </c>
      <c r="M397" t="s">
        <v>24</v>
      </c>
      <c r="N397" t="s">
        <v>358</v>
      </c>
      <c r="S397" t="str">
        <f t="shared" si="34"/>
        <v>Новикова Ольга ПетровнаСидоров Михаил Сергеевич</v>
      </c>
      <c r="T397" t="s">
        <v>45</v>
      </c>
      <c r="U397" t="s">
        <v>187</v>
      </c>
      <c r="V397" t="s">
        <v>282</v>
      </c>
    </row>
    <row r="398" spans="4:22" x14ac:dyDescent="0.25">
      <c r="D398" t="s">
        <v>30</v>
      </c>
      <c r="E398" t="s">
        <v>289</v>
      </c>
      <c r="F398" s="26" t="str">
        <f t="shared" si="30"/>
        <v>2024-02-12</v>
      </c>
      <c r="G398" s="26" t="str">
        <f t="shared" si="31"/>
        <v>2024-02-12</v>
      </c>
      <c r="H398">
        <f t="shared" si="32"/>
        <v>0</v>
      </c>
      <c r="K398" t="str">
        <f t="shared" si="33"/>
        <v>Громова Мария ИльиничнаСеменов Роман Павлович</v>
      </c>
      <c r="L398" t="s">
        <v>5</v>
      </c>
      <c r="M398" t="s">
        <v>196</v>
      </c>
      <c r="N398" t="s">
        <v>358</v>
      </c>
      <c r="S398" t="str">
        <f t="shared" si="34"/>
        <v>Кузнецов Дмитрий ЛьвовичВасильев Дмитрий Иванович</v>
      </c>
      <c r="T398" t="s">
        <v>38</v>
      </c>
      <c r="U398" t="s">
        <v>125</v>
      </c>
      <c r="V398" t="s">
        <v>282</v>
      </c>
    </row>
    <row r="399" spans="4:22" x14ac:dyDescent="0.25">
      <c r="D399" t="s">
        <v>10</v>
      </c>
      <c r="E399" t="s">
        <v>298</v>
      </c>
      <c r="F399" s="26" t="str">
        <f t="shared" si="30"/>
        <v>2024-02-12</v>
      </c>
      <c r="G399" s="26" t="str">
        <f t="shared" si="31"/>
        <v>2024-02-12</v>
      </c>
      <c r="H399">
        <f t="shared" si="32"/>
        <v>0</v>
      </c>
      <c r="K399" t="str">
        <f t="shared" si="33"/>
        <v>Кузнецов Дмитрий ЛьвовичВасильев Максим Иванович</v>
      </c>
      <c r="L399" t="s">
        <v>38</v>
      </c>
      <c r="M399" t="s">
        <v>212</v>
      </c>
      <c r="N399" t="s">
        <v>357</v>
      </c>
      <c r="S399" t="str">
        <f t="shared" si="34"/>
        <v>Кузнецов Дмитрий ЛьвовичЛебедева Ирина Кирилловна</v>
      </c>
      <c r="T399" t="s">
        <v>38</v>
      </c>
      <c r="U399" t="s">
        <v>73</v>
      </c>
      <c r="V399" t="s">
        <v>283</v>
      </c>
    </row>
    <row r="400" spans="4:22" x14ac:dyDescent="0.25">
      <c r="D400" t="s">
        <v>18</v>
      </c>
      <c r="E400" t="s">
        <v>299</v>
      </c>
      <c r="F400" s="26" t="str">
        <f t="shared" si="30"/>
        <v>2024-02-12</v>
      </c>
      <c r="G400" s="26" t="str">
        <f t="shared" si="31"/>
        <v>2024-02-12</v>
      </c>
      <c r="H400">
        <f t="shared" si="32"/>
        <v>0</v>
      </c>
      <c r="K400" t="str">
        <f t="shared" si="33"/>
        <v>Орлов Павел ДенисовичПетрова Александра Олеговна</v>
      </c>
      <c r="L400" t="s">
        <v>47</v>
      </c>
      <c r="M400" t="s">
        <v>139</v>
      </c>
      <c r="N400" t="s">
        <v>357</v>
      </c>
      <c r="S400" t="str">
        <f t="shared" si="34"/>
        <v>Сидорова Елена ВасильевнаСмирнова Елена Викторовна</v>
      </c>
      <c r="T400" t="s">
        <v>8</v>
      </c>
      <c r="U400" t="s">
        <v>66</v>
      </c>
      <c r="V400" t="s">
        <v>283</v>
      </c>
    </row>
    <row r="401" spans="4:22" x14ac:dyDescent="0.25">
      <c r="D401" t="s">
        <v>16</v>
      </c>
      <c r="E401" t="s">
        <v>300</v>
      </c>
      <c r="F401" s="26" t="str">
        <f t="shared" si="30"/>
        <v>2024-02-12</v>
      </c>
      <c r="G401" s="26" t="str">
        <f t="shared" si="31"/>
        <v>2024-02-12</v>
      </c>
      <c r="H401">
        <f t="shared" si="32"/>
        <v>0</v>
      </c>
      <c r="K401" t="str">
        <f t="shared" si="33"/>
        <v>Иванова Анна СергеевнаВасильев Илья Александрович</v>
      </c>
      <c r="L401" t="s">
        <v>13</v>
      </c>
      <c r="M401" t="s">
        <v>137</v>
      </c>
      <c r="N401" t="s">
        <v>356</v>
      </c>
      <c r="S401" t="str">
        <f t="shared" si="34"/>
        <v>Иванова Анна СергеевнаОрлова Анна Артемовна</v>
      </c>
      <c r="T401" t="s">
        <v>13</v>
      </c>
      <c r="U401" t="s">
        <v>141</v>
      </c>
      <c r="V401" t="s">
        <v>283</v>
      </c>
    </row>
    <row r="402" spans="4:22" x14ac:dyDescent="0.25">
      <c r="D402" t="s">
        <v>30</v>
      </c>
      <c r="E402" t="s">
        <v>190</v>
      </c>
      <c r="F402" s="26" t="str">
        <f t="shared" si="30"/>
        <v>2024-02-13</v>
      </c>
      <c r="G402" s="26" t="str">
        <f t="shared" si="31"/>
        <v>2024-02-13</v>
      </c>
      <c r="H402">
        <f t="shared" si="32"/>
        <v>0</v>
      </c>
      <c r="K402" t="str">
        <f t="shared" si="33"/>
        <v>Громова Мария ИльиничнаПетров Алексей Юрьевич</v>
      </c>
      <c r="L402" t="s">
        <v>5</v>
      </c>
      <c r="M402" t="s">
        <v>22</v>
      </c>
      <c r="N402" t="s">
        <v>356</v>
      </c>
      <c r="S402" t="str">
        <f t="shared" si="34"/>
        <v>Яковлев Артем ИгоревичКозлов Илья Сергеевич</v>
      </c>
      <c r="T402" t="s">
        <v>30</v>
      </c>
      <c r="U402" t="s">
        <v>58</v>
      </c>
      <c r="V402" t="s">
        <v>283</v>
      </c>
    </row>
    <row r="403" spans="4:22" x14ac:dyDescent="0.25">
      <c r="D403" t="s">
        <v>16</v>
      </c>
      <c r="E403" t="s">
        <v>239</v>
      </c>
      <c r="F403" s="26" t="str">
        <f t="shared" si="30"/>
        <v>2024-02-13</v>
      </c>
      <c r="G403" s="26" t="str">
        <f t="shared" si="31"/>
        <v>2024-02-13</v>
      </c>
      <c r="H403">
        <f t="shared" si="32"/>
        <v>0</v>
      </c>
      <c r="K403" t="str">
        <f t="shared" si="33"/>
        <v>Иванова Анна СергеевнаСеменова Наталья Олеговна</v>
      </c>
      <c r="L403" t="s">
        <v>13</v>
      </c>
      <c r="M403" t="s">
        <v>249</v>
      </c>
      <c r="N403" t="s">
        <v>356</v>
      </c>
      <c r="S403" t="str">
        <f t="shared" si="34"/>
        <v>Белов Алексей КонстантиновичНовикова Алиса Ивановна</v>
      </c>
      <c r="T403" t="s">
        <v>25</v>
      </c>
      <c r="U403" t="s">
        <v>202</v>
      </c>
      <c r="V403" t="s">
        <v>284</v>
      </c>
    </row>
    <row r="404" spans="4:22" x14ac:dyDescent="0.25">
      <c r="D404" t="s">
        <v>38</v>
      </c>
      <c r="E404" t="s">
        <v>195</v>
      </c>
      <c r="F404" s="26" t="str">
        <f t="shared" si="30"/>
        <v>2024-02-13</v>
      </c>
      <c r="G404" s="26" t="str">
        <f t="shared" si="31"/>
        <v>2024-07-04</v>
      </c>
      <c r="H404">
        <f t="shared" si="32"/>
        <v>142</v>
      </c>
      <c r="K404" t="str">
        <f t="shared" si="33"/>
        <v>Кузнецов Дмитрий ЛьвовичЛебедев Сергей Алексеевич</v>
      </c>
      <c r="L404" t="s">
        <v>38</v>
      </c>
      <c r="M404" t="s">
        <v>99</v>
      </c>
      <c r="N404" t="s">
        <v>355</v>
      </c>
      <c r="S404" t="str">
        <f t="shared" si="34"/>
        <v>Сидорова Елена ВасильевнаСмирнов Максим Сергеевич</v>
      </c>
      <c r="T404" t="s">
        <v>8</v>
      </c>
      <c r="U404" t="s">
        <v>49</v>
      </c>
      <c r="V404" t="s">
        <v>285</v>
      </c>
    </row>
    <row r="405" spans="4:22" x14ac:dyDescent="0.25">
      <c r="D405" t="s">
        <v>10</v>
      </c>
      <c r="E405" t="s">
        <v>248</v>
      </c>
      <c r="F405" s="26" t="str">
        <f t="shared" si="30"/>
        <v>2024-02-14</v>
      </c>
      <c r="G405" s="26" t="str">
        <f t="shared" si="31"/>
        <v>2024-02-27</v>
      </c>
      <c r="H405">
        <f t="shared" si="32"/>
        <v>13</v>
      </c>
      <c r="K405" t="str">
        <f t="shared" si="33"/>
        <v>Фролов Сергей ВикторовичВолкова Татьяна Станиславовна</v>
      </c>
      <c r="L405" t="s">
        <v>16</v>
      </c>
      <c r="M405" t="s">
        <v>89</v>
      </c>
      <c r="N405" t="s">
        <v>355</v>
      </c>
      <c r="S405" t="str">
        <f t="shared" si="34"/>
        <v>Громова Мария ИльиничнаНовиков Павел Олегович</v>
      </c>
      <c r="T405" t="s">
        <v>5</v>
      </c>
      <c r="U405" t="s">
        <v>226</v>
      </c>
      <c r="V405" t="s">
        <v>285</v>
      </c>
    </row>
    <row r="406" spans="4:22" x14ac:dyDescent="0.25">
      <c r="D406" t="s">
        <v>45</v>
      </c>
      <c r="E406" t="s">
        <v>128</v>
      </c>
      <c r="F406" s="26" t="str">
        <f t="shared" si="30"/>
        <v>2024-02-14</v>
      </c>
      <c r="G406" s="26" t="str">
        <f t="shared" si="31"/>
        <v>2024-03-07</v>
      </c>
      <c r="H406">
        <f t="shared" si="32"/>
        <v>22</v>
      </c>
      <c r="K406" t="str">
        <f t="shared" si="33"/>
        <v>Сидорова Елена ВасильевнаПетров Алексей Юрьевич</v>
      </c>
      <c r="L406" t="s">
        <v>8</v>
      </c>
      <c r="M406" t="s">
        <v>22</v>
      </c>
      <c r="N406" t="s">
        <v>355</v>
      </c>
      <c r="S406" t="str">
        <f t="shared" si="34"/>
        <v>Яковлев Артем ИгоревичСтепанова Анна Ивановна</v>
      </c>
      <c r="T406" t="s">
        <v>30</v>
      </c>
      <c r="U406" t="s">
        <v>221</v>
      </c>
      <c r="V406" t="s">
        <v>285</v>
      </c>
    </row>
    <row r="407" spans="4:22" x14ac:dyDescent="0.25">
      <c r="D407" t="s">
        <v>47</v>
      </c>
      <c r="E407" t="s">
        <v>144</v>
      </c>
      <c r="F407" s="26" t="str">
        <f t="shared" si="30"/>
        <v>2024-02-14</v>
      </c>
      <c r="G407" s="26" t="str">
        <f t="shared" si="31"/>
        <v>2024-03-18</v>
      </c>
      <c r="H407">
        <f t="shared" si="32"/>
        <v>33</v>
      </c>
      <c r="K407" t="str">
        <f t="shared" si="33"/>
        <v>Белов Алексей КонстантиновичФедорова Наталья Геннадьевна</v>
      </c>
      <c r="L407" t="s">
        <v>25</v>
      </c>
      <c r="M407" t="s">
        <v>43</v>
      </c>
      <c r="N407" t="s">
        <v>355</v>
      </c>
      <c r="S407" t="str">
        <f t="shared" si="34"/>
        <v>Петров Владимир КирилловичКозлова Светлана Михайловна</v>
      </c>
      <c r="T407" t="s">
        <v>18</v>
      </c>
      <c r="U407" t="s">
        <v>265</v>
      </c>
      <c r="V407" t="s">
        <v>286</v>
      </c>
    </row>
    <row r="408" spans="4:22" x14ac:dyDescent="0.25">
      <c r="D408" t="s">
        <v>8</v>
      </c>
      <c r="E408" t="s">
        <v>58</v>
      </c>
      <c r="F408" s="26" t="str">
        <f t="shared" si="30"/>
        <v>2024-02-14</v>
      </c>
      <c r="G408" s="26" t="str">
        <f t="shared" si="31"/>
        <v>2024-02-14</v>
      </c>
      <c r="H408">
        <f t="shared" si="32"/>
        <v>0</v>
      </c>
      <c r="K408" t="str">
        <f t="shared" si="33"/>
        <v>Кузнецов Дмитрий ЛьвовичПетрова Ольга Сергеевна</v>
      </c>
      <c r="L408" t="s">
        <v>38</v>
      </c>
      <c r="M408" t="s">
        <v>161</v>
      </c>
      <c r="N408" t="s">
        <v>355</v>
      </c>
      <c r="S408" t="str">
        <f t="shared" si="34"/>
        <v>Семенова Ирина ВалерьевнаСидорова Полина Олеговна</v>
      </c>
      <c r="T408" t="s">
        <v>10</v>
      </c>
      <c r="U408" t="s">
        <v>106</v>
      </c>
      <c r="V408" t="s">
        <v>286</v>
      </c>
    </row>
    <row r="409" spans="4:22" x14ac:dyDescent="0.25">
      <c r="D409" t="s">
        <v>45</v>
      </c>
      <c r="E409" t="s">
        <v>157</v>
      </c>
      <c r="F409" s="26" t="str">
        <f t="shared" si="30"/>
        <v>2024-02-16</v>
      </c>
      <c r="G409" s="26" t="str">
        <f t="shared" si="31"/>
        <v>2024-02-16</v>
      </c>
      <c r="H409">
        <f t="shared" si="32"/>
        <v>0</v>
      </c>
      <c r="K409" t="str">
        <f t="shared" si="33"/>
        <v>Фролов Сергей ВикторовичСидоров Никита Романович</v>
      </c>
      <c r="L409" t="s">
        <v>16</v>
      </c>
      <c r="M409" t="s">
        <v>121</v>
      </c>
      <c r="N409" t="s">
        <v>354</v>
      </c>
      <c r="S409" t="str">
        <f t="shared" si="34"/>
        <v>Белов Алексей КонстантиновичФедоров Кирилл Алексеевич</v>
      </c>
      <c r="T409" t="s">
        <v>25</v>
      </c>
      <c r="U409" t="s">
        <v>287</v>
      </c>
      <c r="V409" t="s">
        <v>288</v>
      </c>
    </row>
    <row r="410" spans="4:22" x14ac:dyDescent="0.25">
      <c r="D410" t="s">
        <v>25</v>
      </c>
      <c r="E410" t="s">
        <v>94</v>
      </c>
      <c r="F410" s="26" t="str">
        <f t="shared" si="30"/>
        <v>2024-02-16</v>
      </c>
      <c r="G410" s="26" t="str">
        <f t="shared" si="31"/>
        <v>2024-06-03</v>
      </c>
      <c r="H410">
        <f t="shared" si="32"/>
        <v>108</v>
      </c>
      <c r="K410" t="str">
        <f t="shared" si="33"/>
        <v>Семенова Ирина ВалерьевнаСеменова Алиса Павловна</v>
      </c>
      <c r="L410" t="s">
        <v>10</v>
      </c>
      <c r="M410" t="s">
        <v>346</v>
      </c>
      <c r="N410" t="s">
        <v>354</v>
      </c>
      <c r="S410" t="str">
        <f t="shared" si="34"/>
        <v>Петров Владимир КирилловичВолкова София Владимировна</v>
      </c>
      <c r="T410" t="s">
        <v>18</v>
      </c>
      <c r="U410" t="s">
        <v>289</v>
      </c>
      <c r="V410" t="s">
        <v>288</v>
      </c>
    </row>
    <row r="411" spans="4:22" x14ac:dyDescent="0.25">
      <c r="D411" t="s">
        <v>13</v>
      </c>
      <c r="E411" t="s">
        <v>187</v>
      </c>
      <c r="F411" s="26" t="str">
        <f t="shared" si="30"/>
        <v>2024-02-16</v>
      </c>
      <c r="G411" s="26" t="str">
        <f t="shared" si="31"/>
        <v>2024-02-16</v>
      </c>
      <c r="H411">
        <f t="shared" si="32"/>
        <v>0</v>
      </c>
      <c r="K411" t="str">
        <f t="shared" si="33"/>
        <v>Петров Владимир КирилловичЛебедева Ирина Кирилловна</v>
      </c>
      <c r="L411" t="s">
        <v>18</v>
      </c>
      <c r="M411" t="s">
        <v>73</v>
      </c>
      <c r="N411" t="s">
        <v>353</v>
      </c>
      <c r="S411" t="str">
        <f t="shared" si="34"/>
        <v>Яковлев Артем ИгоревичЛебедева Александра Дмитриевна</v>
      </c>
      <c r="T411" t="s">
        <v>30</v>
      </c>
      <c r="U411" t="s">
        <v>20</v>
      </c>
      <c r="V411" t="s">
        <v>288</v>
      </c>
    </row>
    <row r="412" spans="4:22" x14ac:dyDescent="0.25">
      <c r="D412" t="s">
        <v>5</v>
      </c>
      <c r="E412" t="s">
        <v>152</v>
      </c>
      <c r="F412" s="26" t="str">
        <f t="shared" si="30"/>
        <v>2024-02-19</v>
      </c>
      <c r="G412" s="26" t="str">
        <f t="shared" si="31"/>
        <v>2024-02-19</v>
      </c>
      <c r="H412">
        <f t="shared" si="32"/>
        <v>0</v>
      </c>
      <c r="K412" t="str">
        <f t="shared" si="33"/>
        <v>Иванова Анна СергеевнаМорозов Максим Сергеевич</v>
      </c>
      <c r="L412" t="s">
        <v>13</v>
      </c>
      <c r="M412" t="s">
        <v>239</v>
      </c>
      <c r="N412" t="s">
        <v>353</v>
      </c>
      <c r="S412" t="str">
        <f t="shared" si="34"/>
        <v>Фролов Сергей ВикторовичМорозов Егор Андреевич</v>
      </c>
      <c r="T412" t="s">
        <v>16</v>
      </c>
      <c r="U412" t="s">
        <v>9</v>
      </c>
      <c r="V412" t="s">
        <v>288</v>
      </c>
    </row>
    <row r="413" spans="4:22" x14ac:dyDescent="0.25">
      <c r="D413" t="s">
        <v>10</v>
      </c>
      <c r="E413" t="s">
        <v>50</v>
      </c>
      <c r="F413" s="26" t="str">
        <f t="shared" si="30"/>
        <v>2024-02-19</v>
      </c>
      <c r="G413" s="26" t="str">
        <f t="shared" si="31"/>
        <v>2024-04-19</v>
      </c>
      <c r="H413">
        <f t="shared" si="32"/>
        <v>60</v>
      </c>
      <c r="K413" t="str">
        <f t="shared" si="33"/>
        <v>Сидорова Елена ВасильевнаЛебедев Никита Алексеевич</v>
      </c>
      <c r="L413" t="s">
        <v>8</v>
      </c>
      <c r="M413" t="s">
        <v>93</v>
      </c>
      <c r="N413" t="s">
        <v>353</v>
      </c>
      <c r="S413" t="str">
        <f t="shared" si="34"/>
        <v>Сидорова Елена ВасильевнаЛебедева Александра Дмитриевна</v>
      </c>
      <c r="T413" t="s">
        <v>8</v>
      </c>
      <c r="U413" t="s">
        <v>20</v>
      </c>
      <c r="V413" t="s">
        <v>288</v>
      </c>
    </row>
    <row r="414" spans="4:22" x14ac:dyDescent="0.25">
      <c r="D414" t="s">
        <v>30</v>
      </c>
      <c r="E414" t="s">
        <v>306</v>
      </c>
      <c r="F414" s="26" t="str">
        <f t="shared" si="30"/>
        <v>2024-02-19</v>
      </c>
      <c r="G414" s="26" t="str">
        <f t="shared" si="31"/>
        <v>2024-02-19</v>
      </c>
      <c r="H414">
        <f t="shared" si="32"/>
        <v>0</v>
      </c>
      <c r="K414" t="str">
        <f t="shared" si="33"/>
        <v>Сидорова Елена ВасильевнаНовиков Михаил Павлович</v>
      </c>
      <c r="L414" t="s">
        <v>8</v>
      </c>
      <c r="M414" t="s">
        <v>331</v>
      </c>
      <c r="N414" t="s">
        <v>352</v>
      </c>
      <c r="S414" t="str">
        <f t="shared" si="34"/>
        <v>Фролов Сергей ВикторовичКузнецова Валерия Дмитриевна</v>
      </c>
      <c r="T414" t="s">
        <v>16</v>
      </c>
      <c r="U414" t="s">
        <v>223</v>
      </c>
      <c r="V414" t="s">
        <v>288</v>
      </c>
    </row>
    <row r="415" spans="4:22" x14ac:dyDescent="0.25">
      <c r="D415" t="s">
        <v>30</v>
      </c>
      <c r="E415" t="s">
        <v>72</v>
      </c>
      <c r="F415" s="26" t="str">
        <f t="shared" si="30"/>
        <v>2024-02-19</v>
      </c>
      <c r="G415" s="26" t="str">
        <f t="shared" si="31"/>
        <v>2024-02-19</v>
      </c>
      <c r="H415">
        <f t="shared" si="32"/>
        <v>0</v>
      </c>
      <c r="K415" t="str">
        <f t="shared" si="33"/>
        <v>Петров Владимир КирилловичЛебедева Екатерина Олеговна</v>
      </c>
      <c r="L415" t="s">
        <v>18</v>
      </c>
      <c r="M415" t="s">
        <v>209</v>
      </c>
      <c r="N415" t="s">
        <v>352</v>
      </c>
      <c r="S415" t="str">
        <f t="shared" si="34"/>
        <v>Орлов Павел ДенисовичСеменов Роман Павлович</v>
      </c>
      <c r="T415" t="s">
        <v>47</v>
      </c>
      <c r="U415" t="s">
        <v>196</v>
      </c>
      <c r="V415" t="s">
        <v>288</v>
      </c>
    </row>
    <row r="416" spans="4:22" x14ac:dyDescent="0.25">
      <c r="D416" t="s">
        <v>45</v>
      </c>
      <c r="E416" t="s">
        <v>153</v>
      </c>
      <c r="F416" s="26" t="str">
        <f t="shared" si="30"/>
        <v>2024-02-19</v>
      </c>
      <c r="G416" s="26" t="str">
        <f t="shared" si="31"/>
        <v>2024-02-19</v>
      </c>
      <c r="H416">
        <f t="shared" si="32"/>
        <v>0</v>
      </c>
      <c r="K416" t="str">
        <f t="shared" si="33"/>
        <v>Иванова Анна СергеевнаФедорова Ольга Кирилловна</v>
      </c>
      <c r="L416" t="s">
        <v>13</v>
      </c>
      <c r="M416" t="s">
        <v>167</v>
      </c>
      <c r="N416" t="s">
        <v>352</v>
      </c>
      <c r="S416" t="str">
        <f t="shared" si="34"/>
        <v>Орлов Павел ДенисовичВасильев Максим Иванович</v>
      </c>
      <c r="T416" t="s">
        <v>47</v>
      </c>
      <c r="U416" t="s">
        <v>212</v>
      </c>
      <c r="V416" t="s">
        <v>288</v>
      </c>
    </row>
    <row r="417" spans="4:22" x14ac:dyDescent="0.25">
      <c r="D417" t="s">
        <v>47</v>
      </c>
      <c r="E417" t="s">
        <v>205</v>
      </c>
      <c r="F417" s="26" t="str">
        <f t="shared" si="30"/>
        <v>2024-02-19</v>
      </c>
      <c r="G417" s="26" t="str">
        <f t="shared" si="31"/>
        <v>2024-02-19</v>
      </c>
      <c r="H417">
        <f t="shared" si="32"/>
        <v>0</v>
      </c>
      <c r="K417" t="str">
        <f t="shared" si="33"/>
        <v>Иванова Анна СергеевнаАлексеев Илья Владимирович</v>
      </c>
      <c r="L417" t="s">
        <v>13</v>
      </c>
      <c r="M417" t="s">
        <v>332</v>
      </c>
      <c r="N417" t="s">
        <v>351</v>
      </c>
      <c r="S417" t="str">
        <f t="shared" si="34"/>
        <v>Сидорова Елена ВасильевнаПавлов Сергей Артемович</v>
      </c>
      <c r="T417" t="s">
        <v>8</v>
      </c>
      <c r="U417" t="s">
        <v>144</v>
      </c>
      <c r="V417" t="s">
        <v>290</v>
      </c>
    </row>
    <row r="418" spans="4:22" x14ac:dyDescent="0.25">
      <c r="D418" t="s">
        <v>8</v>
      </c>
      <c r="E418" t="s">
        <v>73</v>
      </c>
      <c r="F418" s="26" t="str">
        <f t="shared" si="30"/>
        <v>2024-02-19</v>
      </c>
      <c r="G418" s="26" t="str">
        <f t="shared" si="31"/>
        <v>2024-02-19</v>
      </c>
      <c r="H418">
        <f t="shared" si="32"/>
        <v>0</v>
      </c>
      <c r="K418" t="str">
        <f t="shared" si="33"/>
        <v>Орлов Павел ДенисовичСмирнова Елена Викторовна</v>
      </c>
      <c r="L418" t="s">
        <v>47</v>
      </c>
      <c r="M418" t="s">
        <v>66</v>
      </c>
      <c r="N418" t="s">
        <v>350</v>
      </c>
      <c r="S418" t="str">
        <f t="shared" si="34"/>
        <v>Орлов Павел ДенисовичИванов Роман Кириллович</v>
      </c>
      <c r="T418" t="s">
        <v>47</v>
      </c>
      <c r="U418" t="s">
        <v>91</v>
      </c>
      <c r="V418" t="s">
        <v>290</v>
      </c>
    </row>
    <row r="419" spans="4:22" x14ac:dyDescent="0.25">
      <c r="D419" t="s">
        <v>5</v>
      </c>
      <c r="E419" t="s">
        <v>307</v>
      </c>
      <c r="F419" s="26" t="str">
        <f t="shared" si="30"/>
        <v>2024-02-19</v>
      </c>
      <c r="G419" s="26" t="str">
        <f t="shared" si="31"/>
        <v>2024-02-19</v>
      </c>
      <c r="H419">
        <f t="shared" si="32"/>
        <v>0</v>
      </c>
      <c r="K419" t="str">
        <f t="shared" si="33"/>
        <v>Фролов Сергей ВикторовичКозлова Ксения Ильинична</v>
      </c>
      <c r="L419" t="s">
        <v>16</v>
      </c>
      <c r="M419" t="s">
        <v>158</v>
      </c>
      <c r="N419" t="s">
        <v>350</v>
      </c>
      <c r="S419" t="str">
        <f t="shared" si="34"/>
        <v>Семенова Ирина ВалерьевнаОрлов Андрей Никитич</v>
      </c>
      <c r="T419" t="s">
        <v>10</v>
      </c>
      <c r="U419" t="s">
        <v>142</v>
      </c>
      <c r="V419" t="s">
        <v>290</v>
      </c>
    </row>
    <row r="420" spans="4:22" x14ac:dyDescent="0.25">
      <c r="D420" t="s">
        <v>47</v>
      </c>
      <c r="E420" t="s">
        <v>51</v>
      </c>
      <c r="F420" s="26" t="str">
        <f t="shared" si="30"/>
        <v>2024-02-19</v>
      </c>
      <c r="G420" s="26" t="str">
        <f t="shared" si="31"/>
        <v>2024-02-19</v>
      </c>
      <c r="H420">
        <f t="shared" si="32"/>
        <v>0</v>
      </c>
      <c r="K420" t="str">
        <f t="shared" si="33"/>
        <v>Петров Владимир КирилловичВасильев Иван Олегович</v>
      </c>
      <c r="L420" t="s">
        <v>18</v>
      </c>
      <c r="M420" t="s">
        <v>201</v>
      </c>
      <c r="N420" t="s">
        <v>350</v>
      </c>
      <c r="S420" t="str">
        <f t="shared" si="34"/>
        <v>Ткаченко Андрей ОлеговичПавлов Никита Андреевич</v>
      </c>
      <c r="T420" t="s">
        <v>27</v>
      </c>
      <c r="U420" t="s">
        <v>130</v>
      </c>
      <c r="V420" t="s">
        <v>291</v>
      </c>
    </row>
    <row r="421" spans="4:22" x14ac:dyDescent="0.25">
      <c r="D421" t="s">
        <v>25</v>
      </c>
      <c r="E421" t="s">
        <v>142</v>
      </c>
      <c r="F421" s="26" t="str">
        <f t="shared" si="30"/>
        <v>2024-02-20</v>
      </c>
      <c r="G421" s="26" t="str">
        <f t="shared" si="31"/>
        <v>2024-02-20</v>
      </c>
      <c r="H421">
        <f t="shared" si="32"/>
        <v>0</v>
      </c>
      <c r="K421" t="str">
        <f t="shared" si="33"/>
        <v>Новикова Ольга ПетровнаИванова Алиса Алексеевна</v>
      </c>
      <c r="L421" t="s">
        <v>45</v>
      </c>
      <c r="M421" t="s">
        <v>111</v>
      </c>
      <c r="N421" t="s">
        <v>350</v>
      </c>
      <c r="S421" t="str">
        <f t="shared" si="34"/>
        <v>Сидорова Елена ВасильевнаСидоров Никита Романович</v>
      </c>
      <c r="T421" t="s">
        <v>8</v>
      </c>
      <c r="U421" t="s">
        <v>121</v>
      </c>
      <c r="V421" t="s">
        <v>291</v>
      </c>
    </row>
    <row r="422" spans="4:22" x14ac:dyDescent="0.25">
      <c r="D422" t="s">
        <v>18</v>
      </c>
      <c r="E422" t="s">
        <v>309</v>
      </c>
      <c r="F422" s="26" t="str">
        <f t="shared" si="30"/>
        <v>2024-02-20</v>
      </c>
      <c r="G422" s="26" t="str">
        <f t="shared" si="31"/>
        <v>2024-06-03</v>
      </c>
      <c r="H422">
        <f t="shared" si="32"/>
        <v>104</v>
      </c>
      <c r="K422" t="str">
        <f t="shared" si="33"/>
        <v>Яковлев Артем ИгоревичЛебедев Сергей Алексеевич</v>
      </c>
      <c r="L422" t="s">
        <v>30</v>
      </c>
      <c r="M422" t="s">
        <v>99</v>
      </c>
      <c r="N422" t="s">
        <v>350</v>
      </c>
      <c r="S422" t="str">
        <f t="shared" si="34"/>
        <v>Кузнецов Дмитрий ЛьвовичНовиков Илья Кириллович</v>
      </c>
      <c r="T422" t="s">
        <v>38</v>
      </c>
      <c r="U422" t="s">
        <v>248</v>
      </c>
      <c r="V422" t="s">
        <v>291</v>
      </c>
    </row>
    <row r="423" spans="4:22" x14ac:dyDescent="0.25">
      <c r="D423" t="s">
        <v>8</v>
      </c>
      <c r="E423" t="s">
        <v>42</v>
      </c>
      <c r="F423" s="26" t="str">
        <f t="shared" si="30"/>
        <v>2024-02-20</v>
      </c>
      <c r="G423" s="26" t="str">
        <f t="shared" si="31"/>
        <v>2024-08-05</v>
      </c>
      <c r="H423">
        <f t="shared" si="32"/>
        <v>167</v>
      </c>
      <c r="K423" t="str">
        <f t="shared" si="33"/>
        <v>Новикова Ольга ПетровнаНовиков Илья Кириллович</v>
      </c>
      <c r="L423" t="s">
        <v>45</v>
      </c>
      <c r="M423" t="s">
        <v>248</v>
      </c>
      <c r="N423" t="s">
        <v>350</v>
      </c>
      <c r="S423" t="str">
        <f t="shared" si="34"/>
        <v>Семенова Ирина ВалерьевнаПопова Людмила Егоровна</v>
      </c>
      <c r="T423" t="s">
        <v>10</v>
      </c>
      <c r="U423" t="s">
        <v>217</v>
      </c>
      <c r="V423" t="s">
        <v>292</v>
      </c>
    </row>
    <row r="424" spans="4:22" x14ac:dyDescent="0.25">
      <c r="D424" t="s">
        <v>8</v>
      </c>
      <c r="E424" t="s">
        <v>80</v>
      </c>
      <c r="F424" s="26" t="str">
        <f t="shared" si="30"/>
        <v>2024-02-20</v>
      </c>
      <c r="G424" s="26" t="str">
        <f t="shared" si="31"/>
        <v>2024-02-20</v>
      </c>
      <c r="H424">
        <f t="shared" si="32"/>
        <v>0</v>
      </c>
      <c r="K424" t="str">
        <f t="shared" si="33"/>
        <v>Сидорова Елена ВасильевнаПетров Роман Алексеевич</v>
      </c>
      <c r="L424" t="s">
        <v>8</v>
      </c>
      <c r="M424" t="s">
        <v>75</v>
      </c>
      <c r="N424" t="s">
        <v>349</v>
      </c>
      <c r="S424" t="str">
        <f t="shared" si="34"/>
        <v>Новикова Ольга ПетровнаВолкова Вероника Владимировна</v>
      </c>
      <c r="T424" t="s">
        <v>45</v>
      </c>
      <c r="U424" t="s">
        <v>293</v>
      </c>
      <c r="V424" t="s">
        <v>292</v>
      </c>
    </row>
    <row r="425" spans="4:22" x14ac:dyDescent="0.25">
      <c r="D425" t="s">
        <v>13</v>
      </c>
      <c r="E425" t="s">
        <v>61</v>
      </c>
      <c r="F425" s="26" t="str">
        <f t="shared" si="30"/>
        <v>2024-02-20</v>
      </c>
      <c r="G425" s="26" t="str">
        <f t="shared" si="31"/>
        <v>2024-02-20</v>
      </c>
      <c r="H425">
        <f t="shared" si="32"/>
        <v>0</v>
      </c>
      <c r="K425" t="str">
        <f t="shared" si="33"/>
        <v>Яковлев Артем ИгоревичЛебедева Ольга Романовна</v>
      </c>
      <c r="L425" t="s">
        <v>30</v>
      </c>
      <c r="M425" t="s">
        <v>186</v>
      </c>
      <c r="N425" t="s">
        <v>349</v>
      </c>
      <c r="S425" t="str">
        <f t="shared" si="34"/>
        <v>Фролов Сергей ВикторовичПавлов Дмитрий Павлович</v>
      </c>
      <c r="T425" t="s">
        <v>16</v>
      </c>
      <c r="U425" t="s">
        <v>122</v>
      </c>
      <c r="V425" t="s">
        <v>292</v>
      </c>
    </row>
    <row r="426" spans="4:22" x14ac:dyDescent="0.25">
      <c r="D426" t="s">
        <v>47</v>
      </c>
      <c r="E426" t="s">
        <v>142</v>
      </c>
      <c r="F426" s="26" t="str">
        <f t="shared" si="30"/>
        <v>2024-02-23</v>
      </c>
      <c r="G426" s="26" t="str">
        <f t="shared" si="31"/>
        <v>2024-02-23</v>
      </c>
      <c r="H426">
        <f t="shared" si="32"/>
        <v>0</v>
      </c>
      <c r="K426" t="str">
        <f t="shared" si="33"/>
        <v>Громова Мария ИльиничнаКозлова Татьяна Сергеевна</v>
      </c>
      <c r="L426" t="s">
        <v>5</v>
      </c>
      <c r="M426" t="s">
        <v>28</v>
      </c>
      <c r="N426" t="s">
        <v>348</v>
      </c>
      <c r="S426" t="str">
        <f t="shared" si="34"/>
        <v>Новикова Ольга ПетровнаСтепанова София Михайловна</v>
      </c>
      <c r="T426" t="s">
        <v>45</v>
      </c>
      <c r="U426" t="s">
        <v>77</v>
      </c>
      <c r="V426" t="s">
        <v>292</v>
      </c>
    </row>
    <row r="427" spans="4:22" x14ac:dyDescent="0.25">
      <c r="D427" t="s">
        <v>5</v>
      </c>
      <c r="E427" t="s">
        <v>11</v>
      </c>
      <c r="F427" s="26" t="str">
        <f t="shared" si="30"/>
        <v>2024-02-26</v>
      </c>
      <c r="G427" s="26" t="str">
        <f t="shared" si="31"/>
        <v>2024-02-26</v>
      </c>
      <c r="H427">
        <f t="shared" si="32"/>
        <v>0</v>
      </c>
      <c r="K427" t="str">
        <f t="shared" si="33"/>
        <v>Сидорова Елена ВасильевнаКузнецов Алексей Егорович</v>
      </c>
      <c r="L427" t="s">
        <v>8</v>
      </c>
      <c r="M427" t="s">
        <v>247</v>
      </c>
      <c r="N427" t="s">
        <v>348</v>
      </c>
      <c r="S427" t="str">
        <f t="shared" si="34"/>
        <v>Орлов Павел ДенисовичОрлов Павел Юрьевич</v>
      </c>
      <c r="T427" t="s">
        <v>47</v>
      </c>
      <c r="U427" t="s">
        <v>227</v>
      </c>
      <c r="V427" t="s">
        <v>294</v>
      </c>
    </row>
    <row r="428" spans="4:22" x14ac:dyDescent="0.25">
      <c r="D428" t="s">
        <v>45</v>
      </c>
      <c r="E428" t="s">
        <v>151</v>
      </c>
      <c r="F428" s="26" t="str">
        <f t="shared" si="30"/>
        <v>2024-02-26</v>
      </c>
      <c r="G428" s="26" t="str">
        <f t="shared" si="31"/>
        <v>2024-02-26</v>
      </c>
      <c r="H428">
        <f t="shared" si="32"/>
        <v>0</v>
      </c>
      <c r="K428" t="str">
        <f t="shared" si="33"/>
        <v>Яковлев Артем ИгоревичСтепанова Анна Станиславовна</v>
      </c>
      <c r="L428" t="s">
        <v>30</v>
      </c>
      <c r="M428" t="s">
        <v>110</v>
      </c>
      <c r="N428" t="s">
        <v>347</v>
      </c>
      <c r="S428" t="str">
        <f t="shared" si="34"/>
        <v>Семенова Ирина ВалерьевнаСмирнов Александр Иванович</v>
      </c>
      <c r="T428" t="s">
        <v>10</v>
      </c>
      <c r="U428" t="s">
        <v>295</v>
      </c>
      <c r="V428" t="s">
        <v>294</v>
      </c>
    </row>
    <row r="429" spans="4:22" x14ac:dyDescent="0.25">
      <c r="D429" t="s">
        <v>38</v>
      </c>
      <c r="E429" t="s">
        <v>65</v>
      </c>
      <c r="F429" s="26" t="str">
        <f t="shared" si="30"/>
        <v>2024-02-26</v>
      </c>
      <c r="G429" s="26" t="str">
        <f t="shared" si="31"/>
        <v>2024-07-24</v>
      </c>
      <c r="H429">
        <f t="shared" si="32"/>
        <v>149</v>
      </c>
      <c r="K429" t="str">
        <f t="shared" si="33"/>
        <v>Орлов Павел ДенисовичФедорова Ольга Кирилловна</v>
      </c>
      <c r="L429" t="s">
        <v>47</v>
      </c>
      <c r="M429" t="s">
        <v>167</v>
      </c>
      <c r="N429" t="s">
        <v>347</v>
      </c>
      <c r="S429" t="str">
        <f t="shared" si="34"/>
        <v>Яковлев Артем ИгоревичЕгоров Павел Сергеевич</v>
      </c>
      <c r="T429" t="s">
        <v>30</v>
      </c>
      <c r="U429" t="s">
        <v>134</v>
      </c>
      <c r="V429" t="s">
        <v>294</v>
      </c>
    </row>
    <row r="430" spans="4:22" x14ac:dyDescent="0.25">
      <c r="D430" t="s">
        <v>45</v>
      </c>
      <c r="E430" t="s">
        <v>80</v>
      </c>
      <c r="F430" s="26" t="str">
        <f t="shared" si="30"/>
        <v>2024-02-26</v>
      </c>
      <c r="G430" s="26" t="str">
        <f t="shared" si="31"/>
        <v>2024-02-26</v>
      </c>
      <c r="H430">
        <f t="shared" si="32"/>
        <v>0</v>
      </c>
      <c r="K430" t="str">
        <f t="shared" si="33"/>
        <v>Кузнецов Дмитрий ЛьвовичПопов Никита Геннадьевич</v>
      </c>
      <c r="L430" t="s">
        <v>38</v>
      </c>
      <c r="M430" t="s">
        <v>68</v>
      </c>
      <c r="N430" t="s">
        <v>347</v>
      </c>
      <c r="S430" t="str">
        <f t="shared" si="34"/>
        <v>Петров Владимир КирилловичФедоров Егор Михайлович</v>
      </c>
      <c r="T430" t="s">
        <v>18</v>
      </c>
      <c r="U430" t="s">
        <v>296</v>
      </c>
      <c r="V430" t="s">
        <v>294</v>
      </c>
    </row>
    <row r="431" spans="4:22" x14ac:dyDescent="0.25">
      <c r="D431" t="s">
        <v>30</v>
      </c>
      <c r="E431" t="s">
        <v>61</v>
      </c>
      <c r="F431" s="26" t="str">
        <f t="shared" si="30"/>
        <v>2024-02-26</v>
      </c>
      <c r="G431" s="26" t="str">
        <f t="shared" si="31"/>
        <v>2024-02-26</v>
      </c>
      <c r="H431">
        <f t="shared" si="32"/>
        <v>0</v>
      </c>
      <c r="K431" t="str">
        <f t="shared" si="33"/>
        <v>Фролов Сергей ВикторовичПетрова Александра Ильинична</v>
      </c>
      <c r="L431" t="s">
        <v>16</v>
      </c>
      <c r="M431" t="s">
        <v>344</v>
      </c>
      <c r="N431" t="s">
        <v>345</v>
      </c>
      <c r="S431" t="str">
        <f t="shared" si="34"/>
        <v>Орлов Павел ДенисовичВасильев Владимир Дмитриевич</v>
      </c>
      <c r="T431" t="s">
        <v>47</v>
      </c>
      <c r="U431" t="s">
        <v>165</v>
      </c>
      <c r="V431" t="s">
        <v>297</v>
      </c>
    </row>
    <row r="432" spans="4:22" x14ac:dyDescent="0.25">
      <c r="D432" t="s">
        <v>13</v>
      </c>
      <c r="E432" t="s">
        <v>313</v>
      </c>
      <c r="F432" s="26" t="str">
        <f t="shared" si="30"/>
        <v>2024-02-26</v>
      </c>
      <c r="G432" s="26" t="str">
        <f t="shared" si="31"/>
        <v>2024-02-26</v>
      </c>
      <c r="H432">
        <f t="shared" si="32"/>
        <v>0</v>
      </c>
      <c r="K432" t="str">
        <f t="shared" si="33"/>
        <v>Семенова Ирина ВалерьевнаФедоров Егор Михайлович</v>
      </c>
      <c r="L432" t="s">
        <v>10</v>
      </c>
      <c r="M432" t="s">
        <v>296</v>
      </c>
      <c r="N432" t="s">
        <v>345</v>
      </c>
      <c r="S432" t="str">
        <f t="shared" si="34"/>
        <v>Сидорова Елена ВасильевнаНовиков Павел Олегович</v>
      </c>
      <c r="T432" t="s">
        <v>8</v>
      </c>
      <c r="U432" t="s">
        <v>226</v>
      </c>
      <c r="V432" t="s">
        <v>297</v>
      </c>
    </row>
    <row r="433" spans="4:22" x14ac:dyDescent="0.25">
      <c r="D433" t="s">
        <v>13</v>
      </c>
      <c r="E433" t="s">
        <v>35</v>
      </c>
      <c r="F433" s="26" t="str">
        <f t="shared" si="30"/>
        <v>2024-02-26</v>
      </c>
      <c r="G433" s="26" t="str">
        <f t="shared" si="31"/>
        <v>2024-02-26</v>
      </c>
      <c r="H433">
        <f t="shared" si="32"/>
        <v>0</v>
      </c>
      <c r="K433" t="str">
        <f t="shared" si="33"/>
        <v>Ткаченко Андрей ОлеговичСеменова Алиса Павловна</v>
      </c>
      <c r="L433" t="s">
        <v>27</v>
      </c>
      <c r="M433" t="s">
        <v>346</v>
      </c>
      <c r="N433" t="s">
        <v>345</v>
      </c>
      <c r="S433" t="str">
        <f t="shared" si="34"/>
        <v>Семенова Ирина ВалерьевнаСтепанов Александр Дмитриевич</v>
      </c>
      <c r="T433" t="s">
        <v>10</v>
      </c>
      <c r="U433" t="s">
        <v>149</v>
      </c>
      <c r="V433" t="s">
        <v>297</v>
      </c>
    </row>
    <row r="434" spans="4:22" x14ac:dyDescent="0.25">
      <c r="D434" t="s">
        <v>38</v>
      </c>
      <c r="E434" t="s">
        <v>293</v>
      </c>
      <c r="F434" s="26" t="str">
        <f t="shared" si="30"/>
        <v>2024-02-26</v>
      </c>
      <c r="G434" s="26" t="str">
        <f t="shared" si="31"/>
        <v>2024-02-26</v>
      </c>
      <c r="H434">
        <f t="shared" si="32"/>
        <v>0</v>
      </c>
      <c r="K434" t="str">
        <f t="shared" si="33"/>
        <v>Громова Мария ИльиничнаОрлов Павел Юрьевич</v>
      </c>
      <c r="L434" t="s">
        <v>5</v>
      </c>
      <c r="M434" t="s">
        <v>227</v>
      </c>
      <c r="N434" t="s">
        <v>343</v>
      </c>
      <c r="S434" t="str">
        <f t="shared" si="34"/>
        <v>Яковлев Артем ИгоревичВолкова София Владимировна</v>
      </c>
      <c r="T434" t="s">
        <v>30</v>
      </c>
      <c r="U434" t="s">
        <v>289</v>
      </c>
      <c r="V434" t="s">
        <v>297</v>
      </c>
    </row>
    <row r="435" spans="4:22" x14ac:dyDescent="0.25">
      <c r="D435" t="s">
        <v>45</v>
      </c>
      <c r="E435" t="s">
        <v>53</v>
      </c>
      <c r="F435" s="26" t="str">
        <f t="shared" si="30"/>
        <v>2024-02-26</v>
      </c>
      <c r="G435" s="26" t="str">
        <f t="shared" si="31"/>
        <v>2024-03-18</v>
      </c>
      <c r="H435">
        <f t="shared" si="32"/>
        <v>21</v>
      </c>
      <c r="K435" t="str">
        <f t="shared" si="33"/>
        <v>Орлов Павел ДенисовичВасильев Дмитрий Иванович</v>
      </c>
      <c r="L435" t="s">
        <v>47</v>
      </c>
      <c r="M435" t="s">
        <v>125</v>
      </c>
      <c r="N435" t="s">
        <v>343</v>
      </c>
      <c r="S435" t="str">
        <f t="shared" si="34"/>
        <v>Семенова Ирина ВалерьевнаСеменов Артем Станиславович</v>
      </c>
      <c r="T435" t="s">
        <v>10</v>
      </c>
      <c r="U435" t="s">
        <v>298</v>
      </c>
      <c r="V435" t="s">
        <v>297</v>
      </c>
    </row>
    <row r="436" spans="4:22" x14ac:dyDescent="0.25">
      <c r="D436" t="s">
        <v>45</v>
      </c>
      <c r="E436" t="s">
        <v>232</v>
      </c>
      <c r="F436" s="26" t="str">
        <f t="shared" si="30"/>
        <v>2024-02-26</v>
      </c>
      <c r="G436" s="26" t="str">
        <f t="shared" si="31"/>
        <v>2024-02-26</v>
      </c>
      <c r="H436">
        <f t="shared" si="32"/>
        <v>0</v>
      </c>
      <c r="K436" t="str">
        <f t="shared" si="33"/>
        <v>Семенова Ирина ВалерьевнаИванова Анна Егоровна</v>
      </c>
      <c r="L436" t="s">
        <v>10</v>
      </c>
      <c r="M436" t="s">
        <v>96</v>
      </c>
      <c r="N436" t="s">
        <v>343</v>
      </c>
      <c r="S436" t="str">
        <f t="shared" si="34"/>
        <v>Петров Владимир КирилловичЕгорова Татьяна Романовна</v>
      </c>
      <c r="T436" t="s">
        <v>18</v>
      </c>
      <c r="U436" t="s">
        <v>299</v>
      </c>
      <c r="V436" t="s">
        <v>297</v>
      </c>
    </row>
    <row r="437" spans="4:22" x14ac:dyDescent="0.25">
      <c r="D437" t="s">
        <v>8</v>
      </c>
      <c r="E437" t="s">
        <v>84</v>
      </c>
      <c r="F437" s="26" t="str">
        <f t="shared" si="30"/>
        <v>2024-02-27</v>
      </c>
      <c r="G437" s="26" t="str">
        <f t="shared" si="31"/>
        <v>2024-02-27</v>
      </c>
      <c r="H437">
        <f t="shared" si="32"/>
        <v>0</v>
      </c>
      <c r="K437" t="str">
        <f t="shared" si="33"/>
        <v>Фролов Сергей ВикторовичСтепанова София Михайловна</v>
      </c>
      <c r="L437" t="s">
        <v>16</v>
      </c>
      <c r="M437" t="s">
        <v>77</v>
      </c>
      <c r="N437" t="s">
        <v>343</v>
      </c>
      <c r="S437" t="str">
        <f t="shared" si="34"/>
        <v>Яковлев Артем ИгоревичЛебедева Александра Дмитриевна</v>
      </c>
      <c r="T437" t="s">
        <v>30</v>
      </c>
      <c r="U437" t="s">
        <v>20</v>
      </c>
      <c r="V437" t="s">
        <v>297</v>
      </c>
    </row>
    <row r="438" spans="4:22" x14ac:dyDescent="0.25">
      <c r="D438" t="s">
        <v>27</v>
      </c>
      <c r="E438" t="s">
        <v>57</v>
      </c>
      <c r="F438" s="26" t="str">
        <f t="shared" si="30"/>
        <v>2024-02-27</v>
      </c>
      <c r="G438" s="26" t="str">
        <f t="shared" si="31"/>
        <v>2024-07-04</v>
      </c>
      <c r="H438">
        <f t="shared" si="32"/>
        <v>128</v>
      </c>
      <c r="K438" t="str">
        <f t="shared" si="33"/>
        <v>Кузнецов Дмитрий ЛьвовичКузнецова Мария Дмитриевна</v>
      </c>
      <c r="L438" t="s">
        <v>38</v>
      </c>
      <c r="M438" t="s">
        <v>42</v>
      </c>
      <c r="N438" t="s">
        <v>343</v>
      </c>
      <c r="S438" t="str">
        <f t="shared" si="34"/>
        <v>Фролов Сергей ВикторовичЕгорова Вероника Егоровна</v>
      </c>
      <c r="T438" t="s">
        <v>16</v>
      </c>
      <c r="U438" t="s">
        <v>300</v>
      </c>
      <c r="V438" t="s">
        <v>297</v>
      </c>
    </row>
    <row r="439" spans="4:22" x14ac:dyDescent="0.25">
      <c r="D439" t="s">
        <v>5</v>
      </c>
      <c r="E439" t="s">
        <v>41</v>
      </c>
      <c r="F439" s="26" t="str">
        <f t="shared" si="30"/>
        <v>2024-02-28</v>
      </c>
      <c r="G439" s="26" t="str">
        <f t="shared" si="31"/>
        <v>2024-06-20</v>
      </c>
      <c r="H439">
        <f t="shared" si="32"/>
        <v>113</v>
      </c>
      <c r="K439" t="str">
        <f t="shared" si="33"/>
        <v>Орлов Павел ДенисовичВолкова Наталья Андреевна</v>
      </c>
      <c r="L439" t="s">
        <v>47</v>
      </c>
      <c r="M439" t="s">
        <v>24</v>
      </c>
      <c r="N439" t="s">
        <v>343</v>
      </c>
      <c r="S439" t="str">
        <f t="shared" si="34"/>
        <v>Яковлев Артем ИгоревичИванов Андрей Андреевич</v>
      </c>
      <c r="T439" t="s">
        <v>30</v>
      </c>
      <c r="U439" t="s">
        <v>190</v>
      </c>
      <c r="V439" t="s">
        <v>301</v>
      </c>
    </row>
    <row r="440" spans="4:22" x14ac:dyDescent="0.25">
      <c r="D440" t="s">
        <v>25</v>
      </c>
      <c r="E440" t="s">
        <v>270</v>
      </c>
      <c r="F440" s="26" t="str">
        <f t="shared" si="30"/>
        <v>2024-02-29</v>
      </c>
      <c r="G440" s="26" t="str">
        <f t="shared" si="31"/>
        <v>2024-02-29</v>
      </c>
      <c r="H440">
        <f t="shared" si="32"/>
        <v>0</v>
      </c>
      <c r="K440" t="str">
        <f t="shared" si="33"/>
        <v>Белов Алексей КонстантиновичСидоров Михаил Сергеевич</v>
      </c>
      <c r="L440" t="s">
        <v>25</v>
      </c>
      <c r="M440" t="s">
        <v>187</v>
      </c>
      <c r="N440" t="s">
        <v>343</v>
      </c>
      <c r="S440" t="str">
        <f t="shared" si="34"/>
        <v>Фролов Сергей ВикторовичМорозов Максим Сергеевич</v>
      </c>
      <c r="T440" t="s">
        <v>16</v>
      </c>
      <c r="U440" t="s">
        <v>239</v>
      </c>
      <c r="V440" t="s">
        <v>301</v>
      </c>
    </row>
    <row r="441" spans="4:22" x14ac:dyDescent="0.25">
      <c r="D441" t="s">
        <v>5</v>
      </c>
      <c r="E441" t="s">
        <v>144</v>
      </c>
      <c r="F441" s="26" t="str">
        <f t="shared" si="30"/>
        <v>2024-03-04</v>
      </c>
      <c r="G441" s="26" t="str">
        <f t="shared" si="31"/>
        <v>2024-03-04</v>
      </c>
      <c r="H441">
        <f t="shared" si="32"/>
        <v>0</v>
      </c>
      <c r="K441" t="str">
        <f t="shared" si="33"/>
        <v>Петров Владимир КирилловичКузнецова Алиса Владимировна</v>
      </c>
      <c r="L441" t="s">
        <v>18</v>
      </c>
      <c r="M441" t="s">
        <v>46</v>
      </c>
      <c r="N441" t="s">
        <v>343</v>
      </c>
      <c r="S441" t="str">
        <f t="shared" si="34"/>
        <v>Кузнецов Дмитрий ЛьвовичФедорова Ксения Павловна</v>
      </c>
      <c r="T441" t="s">
        <v>38</v>
      </c>
      <c r="U441" t="s">
        <v>195</v>
      </c>
      <c r="V441" t="s">
        <v>301</v>
      </c>
    </row>
    <row r="442" spans="4:22" x14ac:dyDescent="0.25">
      <c r="D442" t="s">
        <v>25</v>
      </c>
      <c r="E442" t="s">
        <v>35</v>
      </c>
      <c r="F442" s="26" t="str">
        <f t="shared" si="30"/>
        <v>2024-03-04</v>
      </c>
      <c r="G442" s="26" t="str">
        <f t="shared" si="31"/>
        <v>2024-03-04</v>
      </c>
      <c r="H442">
        <f t="shared" si="32"/>
        <v>0</v>
      </c>
      <c r="K442" t="str">
        <f t="shared" si="33"/>
        <v>Яковлев Артем ИгоревичКозлов Алексей Романович</v>
      </c>
      <c r="L442" t="s">
        <v>30</v>
      </c>
      <c r="M442" t="s">
        <v>156</v>
      </c>
      <c r="N442" t="s">
        <v>343</v>
      </c>
      <c r="S442" t="str">
        <f t="shared" si="34"/>
        <v>Семенова Ирина ВалерьевнаНовиков Илья Кириллович</v>
      </c>
      <c r="T442" t="s">
        <v>10</v>
      </c>
      <c r="U442" t="s">
        <v>248</v>
      </c>
      <c r="V442" t="s">
        <v>302</v>
      </c>
    </row>
    <row r="443" spans="4:22" x14ac:dyDescent="0.25">
      <c r="D443" t="s">
        <v>47</v>
      </c>
      <c r="E443" t="s">
        <v>248</v>
      </c>
      <c r="F443" s="26" t="str">
        <f t="shared" si="30"/>
        <v>2024-03-04</v>
      </c>
      <c r="G443" s="26" t="str">
        <f t="shared" si="31"/>
        <v>2024-03-04</v>
      </c>
      <c r="H443">
        <f t="shared" si="32"/>
        <v>0</v>
      </c>
      <c r="K443" t="str">
        <f t="shared" si="33"/>
        <v>Фролов Сергей ВикторовичСеменов Егор Никитич</v>
      </c>
      <c r="L443" t="s">
        <v>16</v>
      </c>
      <c r="M443" t="s">
        <v>215</v>
      </c>
      <c r="N443" t="s">
        <v>342</v>
      </c>
      <c r="S443" t="str">
        <f t="shared" si="34"/>
        <v>Новикова Ольга ПетровнаСеменов Павел Юрьевич</v>
      </c>
      <c r="T443" t="s">
        <v>45</v>
      </c>
      <c r="U443" t="s">
        <v>128</v>
      </c>
      <c r="V443" t="s">
        <v>302</v>
      </c>
    </row>
    <row r="444" spans="4:22" x14ac:dyDescent="0.25">
      <c r="D444" t="s">
        <v>27</v>
      </c>
      <c r="E444" t="s">
        <v>188</v>
      </c>
      <c r="F444" s="26" t="str">
        <f t="shared" si="30"/>
        <v>2024-03-04</v>
      </c>
      <c r="G444" s="26" t="str">
        <f t="shared" si="31"/>
        <v>2024-03-04</v>
      </c>
      <c r="H444">
        <f t="shared" si="32"/>
        <v>0</v>
      </c>
      <c r="K444" t="str">
        <f t="shared" si="33"/>
        <v>Белов Алексей КонстантиновичВолкова Виктория Павловна</v>
      </c>
      <c r="L444" t="s">
        <v>25</v>
      </c>
      <c r="M444" t="s">
        <v>129</v>
      </c>
      <c r="N444" t="s">
        <v>342</v>
      </c>
      <c r="S444" t="str">
        <f t="shared" si="34"/>
        <v>Орлов Павел ДенисовичПавлов Сергей Артемович</v>
      </c>
      <c r="T444" t="s">
        <v>47</v>
      </c>
      <c r="U444" t="s">
        <v>144</v>
      </c>
      <c r="V444" t="s">
        <v>302</v>
      </c>
    </row>
    <row r="445" spans="4:22" x14ac:dyDescent="0.25">
      <c r="D445" t="s">
        <v>47</v>
      </c>
      <c r="E445" t="s">
        <v>92</v>
      </c>
      <c r="F445" s="26" t="str">
        <f t="shared" si="30"/>
        <v>2024-03-04</v>
      </c>
      <c r="G445" s="26" t="str">
        <f t="shared" si="31"/>
        <v>2024-03-04</v>
      </c>
      <c r="H445">
        <f t="shared" si="32"/>
        <v>0</v>
      </c>
      <c r="K445" t="str">
        <f t="shared" si="33"/>
        <v>Ткаченко Андрей ОлеговичСидоров Владимир Артемович</v>
      </c>
      <c r="L445" t="s">
        <v>27</v>
      </c>
      <c r="M445" t="s">
        <v>32</v>
      </c>
      <c r="N445" t="s">
        <v>341</v>
      </c>
      <c r="S445" t="str">
        <f t="shared" si="34"/>
        <v>Сидорова Елена ВасильевнаКозлов Илья Сергеевич</v>
      </c>
      <c r="T445" t="s">
        <v>8</v>
      </c>
      <c r="U445" t="s">
        <v>58</v>
      </c>
      <c r="V445" t="s">
        <v>302</v>
      </c>
    </row>
    <row r="446" spans="4:22" x14ac:dyDescent="0.25">
      <c r="D446" t="s">
        <v>38</v>
      </c>
      <c r="E446" t="s">
        <v>32</v>
      </c>
      <c r="F446" s="26" t="str">
        <f t="shared" si="30"/>
        <v>2024-03-04</v>
      </c>
      <c r="G446" s="26" t="str">
        <f t="shared" si="31"/>
        <v>2024-03-04</v>
      </c>
      <c r="H446">
        <f t="shared" si="32"/>
        <v>0</v>
      </c>
      <c r="K446" t="str">
        <f t="shared" si="33"/>
        <v>Яковлев Артем ИгоревичАлексеев Кирилл Иванович</v>
      </c>
      <c r="L446" t="s">
        <v>30</v>
      </c>
      <c r="M446" t="s">
        <v>90</v>
      </c>
      <c r="N446" t="s">
        <v>341</v>
      </c>
      <c r="S446" t="str">
        <f t="shared" si="34"/>
        <v>Яковлев Артем ИгоревичНиколаев Иван Михайлович</v>
      </c>
      <c r="T446" t="s">
        <v>30</v>
      </c>
      <c r="U446" t="s">
        <v>94</v>
      </c>
      <c r="V446" t="s">
        <v>303</v>
      </c>
    </row>
    <row r="447" spans="4:22" x14ac:dyDescent="0.25">
      <c r="D447" t="s">
        <v>8</v>
      </c>
      <c r="E447" t="s">
        <v>107</v>
      </c>
      <c r="F447" s="26" t="str">
        <f t="shared" si="30"/>
        <v>2024-03-04</v>
      </c>
      <c r="G447" s="26" t="str">
        <f t="shared" si="31"/>
        <v>2024-05-24</v>
      </c>
      <c r="H447">
        <f t="shared" si="32"/>
        <v>81</v>
      </c>
      <c r="K447" t="str">
        <f t="shared" si="33"/>
        <v>Орлов Павел ДенисовичПетрова Елена Юрьевна</v>
      </c>
      <c r="L447" t="s">
        <v>47</v>
      </c>
      <c r="M447" t="s">
        <v>116</v>
      </c>
      <c r="N447" t="s">
        <v>340</v>
      </c>
      <c r="S447" t="str">
        <f t="shared" si="34"/>
        <v>Ткаченко Андрей ОлеговичИванова Наталья Михайловна</v>
      </c>
      <c r="T447" t="s">
        <v>27</v>
      </c>
      <c r="U447" t="s">
        <v>178</v>
      </c>
      <c r="V447" t="s">
        <v>303</v>
      </c>
    </row>
    <row r="448" spans="4:22" x14ac:dyDescent="0.25">
      <c r="D448" t="s">
        <v>30</v>
      </c>
      <c r="E448" t="s">
        <v>264</v>
      </c>
      <c r="F448" s="26" t="str">
        <f t="shared" si="30"/>
        <v>2024-03-04</v>
      </c>
      <c r="G448" s="26" t="str">
        <f t="shared" si="31"/>
        <v>2024-03-04</v>
      </c>
      <c r="H448">
        <f t="shared" si="32"/>
        <v>0</v>
      </c>
      <c r="K448" t="str">
        <f t="shared" si="33"/>
        <v>Иванова Анна СергеевнаВолков Сергей Иванович</v>
      </c>
      <c r="L448" t="s">
        <v>13</v>
      </c>
      <c r="M448" t="s">
        <v>74</v>
      </c>
      <c r="N448" t="s">
        <v>340</v>
      </c>
      <c r="S448" t="str">
        <f t="shared" si="34"/>
        <v>Новикова Ольга ПетровнаОрлова Юлия Сергеевна</v>
      </c>
      <c r="T448" t="s">
        <v>45</v>
      </c>
      <c r="U448" t="s">
        <v>157</v>
      </c>
      <c r="V448" t="s">
        <v>304</v>
      </c>
    </row>
    <row r="449" spans="4:22" x14ac:dyDescent="0.25">
      <c r="D449" t="s">
        <v>27</v>
      </c>
      <c r="E449" t="s">
        <v>15</v>
      </c>
      <c r="F449" s="26" t="str">
        <f t="shared" si="30"/>
        <v>2024-03-04</v>
      </c>
      <c r="G449" s="26" t="str">
        <f t="shared" si="31"/>
        <v>2024-03-04</v>
      </c>
      <c r="H449">
        <f t="shared" si="32"/>
        <v>0</v>
      </c>
      <c r="K449" t="str">
        <f t="shared" si="33"/>
        <v>Громова Мария ИльиничнаАлексеев Кирилл Сергеевич</v>
      </c>
      <c r="L449" t="s">
        <v>5</v>
      </c>
      <c r="M449" t="s">
        <v>206</v>
      </c>
      <c r="N449" t="s">
        <v>339</v>
      </c>
      <c r="S449" t="str">
        <f t="shared" si="34"/>
        <v>Петров Владимир КирилловичСмирнов Иван Ильич</v>
      </c>
      <c r="T449" t="s">
        <v>18</v>
      </c>
      <c r="U449" t="s">
        <v>114</v>
      </c>
      <c r="V449" t="s">
        <v>304</v>
      </c>
    </row>
    <row r="450" spans="4:22" x14ac:dyDescent="0.25">
      <c r="D450" t="s">
        <v>5</v>
      </c>
      <c r="E450" t="s">
        <v>217</v>
      </c>
      <c r="F450" s="26" t="str">
        <f t="shared" si="30"/>
        <v>2024-03-05</v>
      </c>
      <c r="G450" s="26" t="str">
        <f t="shared" si="31"/>
        <v>2024-03-05</v>
      </c>
      <c r="H450">
        <f t="shared" si="32"/>
        <v>0</v>
      </c>
      <c r="K450" t="str">
        <f t="shared" si="33"/>
        <v>Семенова Ирина ВалерьевнаЕгоров Дмитрий Дмитриевич</v>
      </c>
      <c r="L450" t="s">
        <v>10</v>
      </c>
      <c r="M450" t="s">
        <v>224</v>
      </c>
      <c r="N450" t="s">
        <v>339</v>
      </c>
      <c r="S450" t="str">
        <f t="shared" si="34"/>
        <v>Белов Алексей КонстантиновичНиколаев Иван Михайлович</v>
      </c>
      <c r="T450" t="s">
        <v>25</v>
      </c>
      <c r="U450" t="s">
        <v>94</v>
      </c>
      <c r="V450" t="s">
        <v>304</v>
      </c>
    </row>
    <row r="451" spans="4:22" x14ac:dyDescent="0.25">
      <c r="D451" t="s">
        <v>5</v>
      </c>
      <c r="E451" t="s">
        <v>126</v>
      </c>
      <c r="F451" s="26" t="str">
        <f t="shared" ref="F451:F514" si="35">VLOOKUP(D451&amp;E451,S:V,4,0)</f>
        <v>2024-03-05</v>
      </c>
      <c r="G451" s="26" t="str">
        <f t="shared" ref="G451:G514" si="36">VLOOKUP(D451&amp;E451,K:N,4,0)</f>
        <v>2024-03-05</v>
      </c>
      <c r="H451">
        <f t="shared" ref="H451:H514" si="37">G451-F451</f>
        <v>0</v>
      </c>
      <c r="K451" t="str">
        <f t="shared" ref="K451:K514" si="38">L451&amp;M451</f>
        <v>Кузнецов Дмитрий ЛьвовичСмирнов Константин Кириллович</v>
      </c>
      <c r="L451" t="s">
        <v>38</v>
      </c>
      <c r="M451" t="s">
        <v>37</v>
      </c>
      <c r="N451" t="s">
        <v>339</v>
      </c>
      <c r="S451" t="str">
        <f t="shared" ref="S451:S514" si="39">T451&amp;U451</f>
        <v>Иванова Анна СергеевнаСидоров Михаил Сергеевич</v>
      </c>
      <c r="T451" t="s">
        <v>13</v>
      </c>
      <c r="U451" t="s">
        <v>187</v>
      </c>
      <c r="V451" t="s">
        <v>304</v>
      </c>
    </row>
    <row r="452" spans="4:22" x14ac:dyDescent="0.25">
      <c r="D452" t="s">
        <v>45</v>
      </c>
      <c r="E452" t="s">
        <v>42</v>
      </c>
      <c r="F452" s="26" t="str">
        <f t="shared" si="35"/>
        <v>2024-03-05</v>
      </c>
      <c r="G452" s="26" t="str">
        <f t="shared" si="36"/>
        <v>2024-03-05</v>
      </c>
      <c r="H452">
        <f t="shared" si="37"/>
        <v>0</v>
      </c>
      <c r="K452" t="str">
        <f t="shared" si="38"/>
        <v>Петров Владимир КирилловичНовиков Матвей Егорович</v>
      </c>
      <c r="L452" t="s">
        <v>18</v>
      </c>
      <c r="M452" t="s">
        <v>33</v>
      </c>
      <c r="N452" t="s">
        <v>337</v>
      </c>
      <c r="S452" t="str">
        <f t="shared" si="39"/>
        <v>Громова Мария ИльиничнаПавлов Матвей Владимирович</v>
      </c>
      <c r="T452" t="s">
        <v>5</v>
      </c>
      <c r="U452" t="s">
        <v>152</v>
      </c>
      <c r="V452" t="s">
        <v>305</v>
      </c>
    </row>
    <row r="453" spans="4:22" x14ac:dyDescent="0.25">
      <c r="D453" t="s">
        <v>13</v>
      </c>
      <c r="E453" t="s">
        <v>227</v>
      </c>
      <c r="F453" s="26" t="str">
        <f t="shared" si="35"/>
        <v>2024-03-05</v>
      </c>
      <c r="G453" s="26" t="str">
        <f t="shared" si="36"/>
        <v>2024-03-05</v>
      </c>
      <c r="H453">
        <f t="shared" si="37"/>
        <v>0</v>
      </c>
      <c r="K453" t="str">
        <f t="shared" si="38"/>
        <v>Новикова Ольга ПетровнаНиколаев Иван Сергеевич</v>
      </c>
      <c r="L453" t="s">
        <v>45</v>
      </c>
      <c r="M453" t="s">
        <v>338</v>
      </c>
      <c r="N453" t="s">
        <v>337</v>
      </c>
      <c r="S453" t="str">
        <f t="shared" si="39"/>
        <v>Семенова Ирина ВалерьевнаСтепанова Полина Михайловна</v>
      </c>
      <c r="T453" t="s">
        <v>10</v>
      </c>
      <c r="U453" t="s">
        <v>50</v>
      </c>
      <c r="V453" t="s">
        <v>305</v>
      </c>
    </row>
    <row r="454" spans="4:22" x14ac:dyDescent="0.25">
      <c r="D454" t="s">
        <v>10</v>
      </c>
      <c r="E454" t="s">
        <v>247</v>
      </c>
      <c r="F454" s="26" t="str">
        <f t="shared" si="35"/>
        <v>2024-03-06</v>
      </c>
      <c r="G454" s="26" t="str">
        <f t="shared" si="36"/>
        <v>2024-03-06</v>
      </c>
      <c r="H454">
        <f t="shared" si="37"/>
        <v>0</v>
      </c>
      <c r="K454" t="str">
        <f t="shared" si="38"/>
        <v>Сидорова Елена ВасильевнаЛебедев Матвей Сергеевич</v>
      </c>
      <c r="L454" t="s">
        <v>8</v>
      </c>
      <c r="M454" t="s">
        <v>243</v>
      </c>
      <c r="N454" t="s">
        <v>337</v>
      </c>
      <c r="S454" t="str">
        <f t="shared" si="39"/>
        <v>Яковлев Артем ИгоревичПопова Людмила Егоровна</v>
      </c>
      <c r="T454" t="s">
        <v>30</v>
      </c>
      <c r="U454" t="s">
        <v>217</v>
      </c>
      <c r="V454" t="s">
        <v>305</v>
      </c>
    </row>
    <row r="455" spans="4:22" x14ac:dyDescent="0.25">
      <c r="D455" t="s">
        <v>47</v>
      </c>
      <c r="E455" t="s">
        <v>32</v>
      </c>
      <c r="F455" s="26" t="str">
        <f t="shared" si="35"/>
        <v>2024-03-06</v>
      </c>
      <c r="G455" s="26" t="str">
        <f t="shared" si="36"/>
        <v>2024-07-29</v>
      </c>
      <c r="H455">
        <f t="shared" si="37"/>
        <v>145</v>
      </c>
      <c r="K455" t="str">
        <f t="shared" si="38"/>
        <v>Петров Владимир КирилловичВасильева Ксения Михайловна</v>
      </c>
      <c r="L455" t="s">
        <v>18</v>
      </c>
      <c r="M455" t="s">
        <v>57</v>
      </c>
      <c r="N455" t="s">
        <v>336</v>
      </c>
      <c r="S455" t="str">
        <f t="shared" si="39"/>
        <v>Яковлев Артем ИгоревичНовикова София Андреевна</v>
      </c>
      <c r="T455" t="s">
        <v>30</v>
      </c>
      <c r="U455" t="s">
        <v>306</v>
      </c>
      <c r="V455" t="s">
        <v>305</v>
      </c>
    </row>
    <row r="456" spans="4:22" x14ac:dyDescent="0.25">
      <c r="D456" t="s">
        <v>13</v>
      </c>
      <c r="E456" t="s">
        <v>84</v>
      </c>
      <c r="F456" s="26" t="str">
        <f t="shared" si="35"/>
        <v>2024-03-06</v>
      </c>
      <c r="G456" s="26" t="str">
        <f t="shared" si="36"/>
        <v>2024-03-06</v>
      </c>
      <c r="H456">
        <f t="shared" si="37"/>
        <v>0</v>
      </c>
      <c r="K456" t="str">
        <f t="shared" si="38"/>
        <v>Сидорова Елена ВасильевнаПавлов Матвей Владимирович</v>
      </c>
      <c r="L456" t="s">
        <v>8</v>
      </c>
      <c r="M456" t="s">
        <v>152</v>
      </c>
      <c r="N456" t="s">
        <v>336</v>
      </c>
      <c r="S456" t="str">
        <f t="shared" si="39"/>
        <v>Яковлев Артем ИгоревичОрлов Роман Ильич</v>
      </c>
      <c r="T456" t="s">
        <v>30</v>
      </c>
      <c r="U456" t="s">
        <v>72</v>
      </c>
      <c r="V456" t="s">
        <v>305</v>
      </c>
    </row>
    <row r="457" spans="4:22" x14ac:dyDescent="0.25">
      <c r="D457" t="s">
        <v>30</v>
      </c>
      <c r="E457" t="s">
        <v>9</v>
      </c>
      <c r="F457" s="26" t="str">
        <f t="shared" si="35"/>
        <v>2024-03-07</v>
      </c>
      <c r="G457" s="26" t="str">
        <f t="shared" si="36"/>
        <v>2024-03-07</v>
      </c>
      <c r="H457">
        <f t="shared" si="37"/>
        <v>0</v>
      </c>
      <c r="K457" t="str">
        <f t="shared" si="38"/>
        <v>Фролов Сергей ВикторовичПетров Михаил Ильич</v>
      </c>
      <c r="L457" t="s">
        <v>16</v>
      </c>
      <c r="M457" t="s">
        <v>177</v>
      </c>
      <c r="N457" t="s">
        <v>335</v>
      </c>
      <c r="S457" t="str">
        <f t="shared" si="39"/>
        <v>Сидорова Елена ВасильевнаСидоров Дмитрий Владимирович</v>
      </c>
      <c r="T457" t="s">
        <v>8</v>
      </c>
      <c r="U457" t="s">
        <v>155</v>
      </c>
      <c r="V457" t="s">
        <v>305</v>
      </c>
    </row>
    <row r="458" spans="4:22" x14ac:dyDescent="0.25">
      <c r="D458" t="s">
        <v>25</v>
      </c>
      <c r="E458" t="s">
        <v>114</v>
      </c>
      <c r="F458" s="26" t="str">
        <f t="shared" si="35"/>
        <v>2024-03-07</v>
      </c>
      <c r="G458" s="26" t="str">
        <f t="shared" si="36"/>
        <v>2024-03-07</v>
      </c>
      <c r="H458">
        <f t="shared" si="37"/>
        <v>0</v>
      </c>
      <c r="K458" t="str">
        <f t="shared" si="38"/>
        <v>Белов Алексей КонстантиновичЕгорова Алиса Михайловна</v>
      </c>
      <c r="L458" t="s">
        <v>25</v>
      </c>
      <c r="M458" t="s">
        <v>117</v>
      </c>
      <c r="N458" t="s">
        <v>335</v>
      </c>
      <c r="S458" t="str">
        <f t="shared" si="39"/>
        <v>Фролов Сергей ВикторовичПопов Никита Геннадьевич</v>
      </c>
      <c r="T458" t="s">
        <v>16</v>
      </c>
      <c r="U458" t="s">
        <v>68</v>
      </c>
      <c r="V458" t="s">
        <v>305</v>
      </c>
    </row>
    <row r="459" spans="4:22" x14ac:dyDescent="0.25">
      <c r="D459" t="s">
        <v>30</v>
      </c>
      <c r="E459" t="s">
        <v>269</v>
      </c>
      <c r="F459" s="26" t="str">
        <f t="shared" si="35"/>
        <v>2024-03-08</v>
      </c>
      <c r="G459" s="26" t="str">
        <f t="shared" si="36"/>
        <v>2024-03-08</v>
      </c>
      <c r="H459">
        <f t="shared" si="37"/>
        <v>0</v>
      </c>
      <c r="K459" t="str">
        <f t="shared" si="38"/>
        <v>Кузнецов Дмитрий ЛьвовичСмирнов Роман Юрьевич</v>
      </c>
      <c r="L459" t="s">
        <v>38</v>
      </c>
      <c r="M459" t="s">
        <v>229</v>
      </c>
      <c r="N459" t="s">
        <v>334</v>
      </c>
      <c r="S459" t="str">
        <f t="shared" si="39"/>
        <v>Новикова Ольга ПетровнаСидоров Егор Александрович</v>
      </c>
      <c r="T459" t="s">
        <v>45</v>
      </c>
      <c r="U459" t="s">
        <v>153</v>
      </c>
      <c r="V459" t="s">
        <v>305</v>
      </c>
    </row>
    <row r="460" spans="4:22" x14ac:dyDescent="0.25">
      <c r="D460" t="s">
        <v>5</v>
      </c>
      <c r="E460" t="s">
        <v>232</v>
      </c>
      <c r="F460" s="26" t="str">
        <f t="shared" si="35"/>
        <v>2024-03-11</v>
      </c>
      <c r="G460" s="26" t="str">
        <f t="shared" si="36"/>
        <v>2024-03-11</v>
      </c>
      <c r="H460">
        <f t="shared" si="37"/>
        <v>0</v>
      </c>
      <c r="K460" t="str">
        <f t="shared" si="38"/>
        <v>Громова Мария ИльиничнаАлексеев Илья Владимирович</v>
      </c>
      <c r="L460" t="s">
        <v>5</v>
      </c>
      <c r="M460" t="s">
        <v>332</v>
      </c>
      <c r="N460" t="s">
        <v>333</v>
      </c>
      <c r="S460" t="str">
        <f t="shared" si="39"/>
        <v>Орлов Павел ДенисовичСмирнова Алиса Михайловна</v>
      </c>
      <c r="T460" t="s">
        <v>47</v>
      </c>
      <c r="U460" t="s">
        <v>205</v>
      </c>
      <c r="V460" t="s">
        <v>305</v>
      </c>
    </row>
    <row r="461" spans="4:22" x14ac:dyDescent="0.25">
      <c r="D461" t="s">
        <v>18</v>
      </c>
      <c r="E461" t="s">
        <v>89</v>
      </c>
      <c r="F461" s="26" t="str">
        <f t="shared" si="35"/>
        <v>2024-03-11</v>
      </c>
      <c r="G461" s="26" t="str">
        <f t="shared" si="36"/>
        <v>2024-03-11</v>
      </c>
      <c r="H461">
        <f t="shared" si="37"/>
        <v>0</v>
      </c>
      <c r="K461" t="str">
        <f t="shared" si="38"/>
        <v>Громова Мария ИльиничнаСидорова Людмила Никитична</v>
      </c>
      <c r="L461" t="s">
        <v>5</v>
      </c>
      <c r="M461" t="s">
        <v>329</v>
      </c>
      <c r="N461" t="s">
        <v>330</v>
      </c>
      <c r="S461" t="str">
        <f t="shared" si="39"/>
        <v>Сидорова Елена ВасильевнаЛебедева Ирина Кирилловна</v>
      </c>
      <c r="T461" t="s">
        <v>8</v>
      </c>
      <c r="U461" t="s">
        <v>73</v>
      </c>
      <c r="V461" t="s">
        <v>305</v>
      </c>
    </row>
    <row r="462" spans="4:22" x14ac:dyDescent="0.25">
      <c r="D462" t="s">
        <v>5</v>
      </c>
      <c r="E462" t="s">
        <v>195</v>
      </c>
      <c r="F462" s="26" t="str">
        <f t="shared" si="35"/>
        <v>2024-03-11</v>
      </c>
      <c r="G462" s="26" t="str">
        <f t="shared" si="36"/>
        <v>2024-08-20</v>
      </c>
      <c r="H462">
        <f t="shared" si="37"/>
        <v>162</v>
      </c>
      <c r="K462" t="str">
        <f t="shared" si="38"/>
        <v>Белов Алексей КонстантиновичНовиков Михаил Павлович</v>
      </c>
      <c r="L462" t="s">
        <v>25</v>
      </c>
      <c r="M462" t="s">
        <v>331</v>
      </c>
      <c r="N462" t="s">
        <v>330</v>
      </c>
      <c r="S462" t="str">
        <f t="shared" si="39"/>
        <v>Громова Мария ИльиничнаСтепанова Ольга Андреевна</v>
      </c>
      <c r="T462" t="s">
        <v>5</v>
      </c>
      <c r="U462" t="s">
        <v>307</v>
      </c>
      <c r="V462" t="s">
        <v>305</v>
      </c>
    </row>
    <row r="463" spans="4:22" x14ac:dyDescent="0.25">
      <c r="D463" t="s">
        <v>18</v>
      </c>
      <c r="E463" t="s">
        <v>158</v>
      </c>
      <c r="F463" s="26" t="str">
        <f t="shared" si="35"/>
        <v>2024-03-12</v>
      </c>
      <c r="G463" s="26" t="str">
        <f t="shared" si="36"/>
        <v>2024-03-12</v>
      </c>
      <c r="H463">
        <f t="shared" si="37"/>
        <v>0</v>
      </c>
      <c r="K463" t="str">
        <f t="shared" si="38"/>
        <v>Петров Владимир КирилловичНовиков Илья Кириллович</v>
      </c>
      <c r="L463" t="s">
        <v>18</v>
      </c>
      <c r="M463" t="s">
        <v>248</v>
      </c>
      <c r="N463" t="s">
        <v>330</v>
      </c>
      <c r="S463" t="str">
        <f t="shared" si="39"/>
        <v>Орлов Павел ДенисовичПетров Алексей Артемович</v>
      </c>
      <c r="T463" t="s">
        <v>47</v>
      </c>
      <c r="U463" t="s">
        <v>51</v>
      </c>
      <c r="V463" t="s">
        <v>305</v>
      </c>
    </row>
    <row r="464" spans="4:22" x14ac:dyDescent="0.25">
      <c r="D464" t="s">
        <v>18</v>
      </c>
      <c r="E464" t="s">
        <v>325</v>
      </c>
      <c r="F464" s="26" t="str">
        <f t="shared" si="35"/>
        <v>2024-03-12</v>
      </c>
      <c r="G464" s="26" t="str">
        <f t="shared" si="36"/>
        <v>2024-03-12</v>
      </c>
      <c r="H464">
        <f t="shared" si="37"/>
        <v>0</v>
      </c>
      <c r="K464" t="str">
        <f t="shared" si="38"/>
        <v>Громова Мария ИльиничнаСеменова Наталья Олеговна</v>
      </c>
      <c r="L464" t="s">
        <v>5</v>
      </c>
      <c r="M464" t="s">
        <v>249</v>
      </c>
      <c r="N464" t="s">
        <v>330</v>
      </c>
      <c r="S464" t="str">
        <f t="shared" si="39"/>
        <v>Белов Алексей КонстантиновичОрлов Андрей Никитич</v>
      </c>
      <c r="T464" t="s">
        <v>25</v>
      </c>
      <c r="U464" t="s">
        <v>142</v>
      </c>
      <c r="V464" t="s">
        <v>308</v>
      </c>
    </row>
    <row r="465" spans="4:22" x14ac:dyDescent="0.25">
      <c r="D465" t="s">
        <v>38</v>
      </c>
      <c r="E465" t="s">
        <v>43</v>
      </c>
      <c r="F465" s="26" t="str">
        <f t="shared" si="35"/>
        <v>2024-03-12</v>
      </c>
      <c r="G465" s="26" t="str">
        <f t="shared" si="36"/>
        <v>2024-03-12</v>
      </c>
      <c r="H465">
        <f t="shared" si="37"/>
        <v>0</v>
      </c>
      <c r="K465" t="str">
        <f t="shared" si="38"/>
        <v>Петров Владимир КирилловичКозлова Светлана Михайловна</v>
      </c>
      <c r="L465" t="s">
        <v>18</v>
      </c>
      <c r="M465" t="s">
        <v>265</v>
      </c>
      <c r="N465" t="s">
        <v>330</v>
      </c>
      <c r="S465" t="str">
        <f t="shared" si="39"/>
        <v>Петров Владимир КирилловичФедоров Артур Станиславович</v>
      </c>
      <c r="T465" t="s">
        <v>18</v>
      </c>
      <c r="U465" t="s">
        <v>309</v>
      </c>
      <c r="V465" t="s">
        <v>308</v>
      </c>
    </row>
    <row r="466" spans="4:22" x14ac:dyDescent="0.25">
      <c r="D466" t="s">
        <v>45</v>
      </c>
      <c r="E466" t="s">
        <v>91</v>
      </c>
      <c r="F466" s="26" t="str">
        <f t="shared" si="35"/>
        <v>2024-03-13</v>
      </c>
      <c r="G466" s="26" t="str">
        <f t="shared" si="36"/>
        <v>2024-03-13</v>
      </c>
      <c r="H466">
        <f t="shared" si="37"/>
        <v>0</v>
      </c>
      <c r="K466" t="str">
        <f t="shared" si="38"/>
        <v>Белов Алексей КонстантиновичОрлов Павел Юрьевич</v>
      </c>
      <c r="L466" t="s">
        <v>25</v>
      </c>
      <c r="M466" t="s">
        <v>227</v>
      </c>
      <c r="N466" t="s">
        <v>330</v>
      </c>
      <c r="S466" t="str">
        <f t="shared" si="39"/>
        <v>Сидорова Елена ВасильевнаКузнецова Мария Дмитриевна</v>
      </c>
      <c r="T466" t="s">
        <v>8</v>
      </c>
      <c r="U466" t="s">
        <v>42</v>
      </c>
      <c r="V466" t="s">
        <v>308</v>
      </c>
    </row>
    <row r="467" spans="4:22" x14ac:dyDescent="0.25">
      <c r="D467" t="s">
        <v>18</v>
      </c>
      <c r="E467" t="s">
        <v>98</v>
      </c>
      <c r="F467" s="26" t="str">
        <f t="shared" si="35"/>
        <v>2024-03-14</v>
      </c>
      <c r="G467" s="26" t="str">
        <f t="shared" si="36"/>
        <v>2024-03-14</v>
      </c>
      <c r="H467">
        <f t="shared" si="37"/>
        <v>0</v>
      </c>
      <c r="K467" t="str">
        <f t="shared" si="38"/>
        <v>Новикова Ольга ПетровнаКузнецов Максим Алексеевич</v>
      </c>
      <c r="L467" t="s">
        <v>45</v>
      </c>
      <c r="M467" t="s">
        <v>53</v>
      </c>
      <c r="N467" t="s">
        <v>330</v>
      </c>
      <c r="S467" t="str">
        <f t="shared" si="39"/>
        <v>Сидорова Елена ВасильевнаКозлов Илья Егорович</v>
      </c>
      <c r="T467" t="s">
        <v>8</v>
      </c>
      <c r="U467" t="s">
        <v>80</v>
      </c>
      <c r="V467" t="s">
        <v>308</v>
      </c>
    </row>
    <row r="468" spans="4:22" x14ac:dyDescent="0.25">
      <c r="D468" t="s">
        <v>25</v>
      </c>
      <c r="E468" t="s">
        <v>272</v>
      </c>
      <c r="F468" s="26" t="str">
        <f t="shared" si="35"/>
        <v>2024-03-14</v>
      </c>
      <c r="G468" s="26" t="str">
        <f t="shared" si="36"/>
        <v>2024-03-14</v>
      </c>
      <c r="H468">
        <f t="shared" si="37"/>
        <v>0</v>
      </c>
      <c r="K468" t="str">
        <f t="shared" si="38"/>
        <v>Сидорова Елена ВасильевнаСидоров Владимир Артемович</v>
      </c>
      <c r="L468" t="s">
        <v>8</v>
      </c>
      <c r="M468" t="s">
        <v>32</v>
      </c>
      <c r="N468" t="s">
        <v>330</v>
      </c>
      <c r="S468" t="str">
        <f t="shared" si="39"/>
        <v>Иванова Анна СергеевнаОрлова Анна Юрьевна</v>
      </c>
      <c r="T468" t="s">
        <v>13</v>
      </c>
      <c r="U468" t="s">
        <v>61</v>
      </c>
      <c r="V468" t="s">
        <v>308</v>
      </c>
    </row>
    <row r="469" spans="4:22" x14ac:dyDescent="0.25">
      <c r="D469" t="s">
        <v>5</v>
      </c>
      <c r="E469" t="s">
        <v>229</v>
      </c>
      <c r="F469" s="26" t="str">
        <f t="shared" si="35"/>
        <v>2024-03-15</v>
      </c>
      <c r="G469" s="26" t="str">
        <f t="shared" si="36"/>
        <v>2024-03-15</v>
      </c>
      <c r="H469">
        <f t="shared" si="37"/>
        <v>0</v>
      </c>
      <c r="K469" t="str">
        <f t="shared" si="38"/>
        <v>Сидорова Елена ВасильевнаНиколаева София Никитична</v>
      </c>
      <c r="L469" t="s">
        <v>8</v>
      </c>
      <c r="M469" t="s">
        <v>176</v>
      </c>
      <c r="N469" t="s">
        <v>330</v>
      </c>
      <c r="S469" t="str">
        <f t="shared" si="39"/>
        <v>Новикова Ольга ПетровнаПетров Алексей Юрьевич</v>
      </c>
      <c r="T469" t="s">
        <v>45</v>
      </c>
      <c r="U469" t="s">
        <v>22</v>
      </c>
      <c r="V469" t="s">
        <v>310</v>
      </c>
    </row>
    <row r="470" spans="4:22" x14ac:dyDescent="0.25">
      <c r="D470" t="s">
        <v>16</v>
      </c>
      <c r="E470" t="s">
        <v>152</v>
      </c>
      <c r="F470" s="26" t="str">
        <f t="shared" si="35"/>
        <v>2024-03-15</v>
      </c>
      <c r="G470" s="26" t="str">
        <f t="shared" si="36"/>
        <v>2024-03-15</v>
      </c>
      <c r="H470">
        <f t="shared" si="37"/>
        <v>0</v>
      </c>
      <c r="K470" t="str">
        <f t="shared" si="38"/>
        <v>Орлов Павел ДенисовичПавлов Сергей Артемович</v>
      </c>
      <c r="L470" t="s">
        <v>47</v>
      </c>
      <c r="M470" t="s">
        <v>144</v>
      </c>
      <c r="N470" t="s">
        <v>330</v>
      </c>
      <c r="S470" t="str">
        <f t="shared" si="39"/>
        <v>Новикова Ольга ПетровнаВолкова Татьяна Станиславовна</v>
      </c>
      <c r="T470" t="s">
        <v>45</v>
      </c>
      <c r="U470" t="s">
        <v>89</v>
      </c>
      <c r="V470" t="s">
        <v>311</v>
      </c>
    </row>
    <row r="471" spans="4:22" x14ac:dyDescent="0.25">
      <c r="D471" t="s">
        <v>5</v>
      </c>
      <c r="E471" t="s">
        <v>329</v>
      </c>
      <c r="F471" s="26" t="str">
        <f t="shared" si="35"/>
        <v>2024-03-18</v>
      </c>
      <c r="G471" s="26" t="str">
        <f t="shared" si="36"/>
        <v>2024-03-18</v>
      </c>
      <c r="H471">
        <f t="shared" si="37"/>
        <v>0</v>
      </c>
      <c r="K471" t="str">
        <f t="shared" si="38"/>
        <v>Громова Мария ИльиничнаСмирнов Роман Юрьевич</v>
      </c>
      <c r="L471" t="s">
        <v>5</v>
      </c>
      <c r="M471" t="s">
        <v>229</v>
      </c>
      <c r="N471" t="s">
        <v>328</v>
      </c>
      <c r="S471" t="str">
        <f t="shared" si="39"/>
        <v>Орлов Павел ДенисовичОрлов Андрей Никитич</v>
      </c>
      <c r="T471" t="s">
        <v>47</v>
      </c>
      <c r="U471" t="s">
        <v>142</v>
      </c>
      <c r="V471" t="s">
        <v>311</v>
      </c>
    </row>
    <row r="472" spans="4:22" x14ac:dyDescent="0.25">
      <c r="D472" t="s">
        <v>25</v>
      </c>
      <c r="E472" t="s">
        <v>331</v>
      </c>
      <c r="F472" s="26" t="str">
        <f t="shared" si="35"/>
        <v>2024-03-18</v>
      </c>
      <c r="G472" s="26" t="str">
        <f t="shared" si="36"/>
        <v>2024-03-18</v>
      </c>
      <c r="H472">
        <f t="shared" si="37"/>
        <v>0</v>
      </c>
      <c r="K472" t="str">
        <f t="shared" si="38"/>
        <v>Фролов Сергей ВикторовичПавлов Матвей Владимирович</v>
      </c>
      <c r="L472" t="s">
        <v>16</v>
      </c>
      <c r="M472" t="s">
        <v>152</v>
      </c>
      <c r="N472" t="s">
        <v>328</v>
      </c>
      <c r="S472" t="str">
        <f t="shared" si="39"/>
        <v>Фролов Сергей ВикторовичСеменов Константин Егорович</v>
      </c>
      <c r="T472" t="s">
        <v>16</v>
      </c>
      <c r="U472" t="s">
        <v>188</v>
      </c>
      <c r="V472" t="s">
        <v>312</v>
      </c>
    </row>
    <row r="473" spans="4:22" x14ac:dyDescent="0.25">
      <c r="D473" t="s">
        <v>18</v>
      </c>
      <c r="E473" t="s">
        <v>248</v>
      </c>
      <c r="F473" s="26" t="str">
        <f t="shared" si="35"/>
        <v>2024-03-18</v>
      </c>
      <c r="G473" s="26" t="str">
        <f t="shared" si="36"/>
        <v>2024-03-18</v>
      </c>
      <c r="H473">
        <f t="shared" si="37"/>
        <v>0</v>
      </c>
      <c r="K473" t="str">
        <f t="shared" si="38"/>
        <v>Сидорова Елена ВасильевнаМорозов Максим Сергеевич</v>
      </c>
      <c r="L473" t="s">
        <v>8</v>
      </c>
      <c r="M473" t="s">
        <v>239</v>
      </c>
      <c r="N473" t="s">
        <v>328</v>
      </c>
      <c r="S473" t="str">
        <f t="shared" si="39"/>
        <v>Громова Мария ИльиничнаОрлов Константин Станиславович</v>
      </c>
      <c r="T473" t="s">
        <v>5</v>
      </c>
      <c r="U473" t="s">
        <v>11</v>
      </c>
      <c r="V473" t="s">
        <v>312</v>
      </c>
    </row>
    <row r="474" spans="4:22" x14ac:dyDescent="0.25">
      <c r="D474" t="s">
        <v>5</v>
      </c>
      <c r="E474" t="s">
        <v>249</v>
      </c>
      <c r="F474" s="26" t="str">
        <f t="shared" si="35"/>
        <v>2024-03-18</v>
      </c>
      <c r="G474" s="26" t="str">
        <f t="shared" si="36"/>
        <v>2024-03-18</v>
      </c>
      <c r="H474">
        <f t="shared" si="37"/>
        <v>0</v>
      </c>
      <c r="K474" t="str">
        <f t="shared" si="38"/>
        <v>Петров Владимир КирилловичВолков Алексей Егорович</v>
      </c>
      <c r="L474" t="s">
        <v>18</v>
      </c>
      <c r="M474" t="s">
        <v>98</v>
      </c>
      <c r="N474" t="s">
        <v>327</v>
      </c>
      <c r="S474" t="str">
        <f t="shared" si="39"/>
        <v>Новикова Ольга ПетровнаВолков Кирилл Юрьевич</v>
      </c>
      <c r="T474" t="s">
        <v>45</v>
      </c>
      <c r="U474" t="s">
        <v>151</v>
      </c>
      <c r="V474" t="s">
        <v>312</v>
      </c>
    </row>
    <row r="475" spans="4:22" x14ac:dyDescent="0.25">
      <c r="D475" t="s">
        <v>25</v>
      </c>
      <c r="E475" t="s">
        <v>227</v>
      </c>
      <c r="F475" s="26" t="str">
        <f t="shared" si="35"/>
        <v>2024-03-18</v>
      </c>
      <c r="G475" s="26" t="str">
        <f t="shared" si="36"/>
        <v>2024-03-18</v>
      </c>
      <c r="H475">
        <f t="shared" si="37"/>
        <v>0</v>
      </c>
      <c r="K475" t="str">
        <f t="shared" si="38"/>
        <v>Белов Алексей КонстантиновичОрлова Ольга Егоровна</v>
      </c>
      <c r="L475" t="s">
        <v>25</v>
      </c>
      <c r="M475" t="s">
        <v>272</v>
      </c>
      <c r="N475" t="s">
        <v>327</v>
      </c>
      <c r="S475" t="str">
        <f t="shared" si="39"/>
        <v>Кузнецов Дмитрий ЛьвовичПетрова Алиса Станиславовна</v>
      </c>
      <c r="T475" t="s">
        <v>38</v>
      </c>
      <c r="U475" t="s">
        <v>65</v>
      </c>
      <c r="V475" t="s">
        <v>312</v>
      </c>
    </row>
    <row r="476" spans="4:22" x14ac:dyDescent="0.25">
      <c r="D476" t="s">
        <v>8</v>
      </c>
      <c r="E476" t="s">
        <v>176</v>
      </c>
      <c r="F476" s="26" t="str">
        <f t="shared" si="35"/>
        <v>2024-03-18</v>
      </c>
      <c r="G476" s="26" t="str">
        <f t="shared" si="36"/>
        <v>2024-03-18</v>
      </c>
      <c r="H476">
        <f t="shared" si="37"/>
        <v>0</v>
      </c>
      <c r="K476" t="str">
        <f t="shared" si="38"/>
        <v>Новикова Ольга ПетровнаИванов Роман Кириллович</v>
      </c>
      <c r="L476" t="s">
        <v>45</v>
      </c>
      <c r="M476" t="s">
        <v>91</v>
      </c>
      <c r="N476" t="s">
        <v>326</v>
      </c>
      <c r="S476" t="str">
        <f t="shared" si="39"/>
        <v>Новикова Ольга ПетровнаКозлов Илья Егорович</v>
      </c>
      <c r="T476" t="s">
        <v>45</v>
      </c>
      <c r="U476" t="s">
        <v>80</v>
      </c>
      <c r="V476" t="s">
        <v>312</v>
      </c>
    </row>
    <row r="477" spans="4:22" x14ac:dyDescent="0.25">
      <c r="D477" t="s">
        <v>5</v>
      </c>
      <c r="E477" t="s">
        <v>332</v>
      </c>
      <c r="F477" s="26" t="str">
        <f t="shared" si="35"/>
        <v>2024-03-19</v>
      </c>
      <c r="G477" s="26" t="str">
        <f t="shared" si="36"/>
        <v>2024-03-19</v>
      </c>
      <c r="H477">
        <f t="shared" si="37"/>
        <v>0</v>
      </c>
      <c r="K477" t="str">
        <f t="shared" si="38"/>
        <v>Орлов Павел ДенисовичСмирнов Максим Сергеевич</v>
      </c>
      <c r="L477" t="s">
        <v>47</v>
      </c>
      <c r="M477" t="s">
        <v>49</v>
      </c>
      <c r="N477" t="s">
        <v>326</v>
      </c>
      <c r="S477" t="str">
        <f t="shared" si="39"/>
        <v>Яковлев Артем ИгоревичОрлова Анна Юрьевна</v>
      </c>
      <c r="T477" t="s">
        <v>30</v>
      </c>
      <c r="U477" t="s">
        <v>61</v>
      </c>
      <c r="V477" t="s">
        <v>312</v>
      </c>
    </row>
    <row r="478" spans="4:22" x14ac:dyDescent="0.25">
      <c r="D478" t="s">
        <v>38</v>
      </c>
      <c r="E478" t="s">
        <v>229</v>
      </c>
      <c r="F478" s="26" t="str">
        <f t="shared" si="35"/>
        <v>2024-03-20</v>
      </c>
      <c r="G478" s="26" t="str">
        <f t="shared" si="36"/>
        <v>2024-03-20</v>
      </c>
      <c r="H478">
        <f t="shared" si="37"/>
        <v>0</v>
      </c>
      <c r="K478" t="str">
        <f t="shared" si="38"/>
        <v>Сидорова Елена ВасильевнаКозлова Полина Артемовна</v>
      </c>
      <c r="L478" t="s">
        <v>8</v>
      </c>
      <c r="M478" t="s">
        <v>17</v>
      </c>
      <c r="N478" t="s">
        <v>324</v>
      </c>
      <c r="S478" t="str">
        <f t="shared" si="39"/>
        <v>Иванова Анна СергеевнаВасильева Ольга Кирилловна</v>
      </c>
      <c r="T478" t="s">
        <v>13</v>
      </c>
      <c r="U478" t="s">
        <v>313</v>
      </c>
      <c r="V478" t="s">
        <v>312</v>
      </c>
    </row>
    <row r="479" spans="4:22" x14ac:dyDescent="0.25">
      <c r="D479" t="s">
        <v>16</v>
      </c>
      <c r="E479" t="s">
        <v>177</v>
      </c>
      <c r="F479" s="26" t="str">
        <f t="shared" si="35"/>
        <v>2024-03-21</v>
      </c>
      <c r="G479" s="26" t="str">
        <f t="shared" si="36"/>
        <v>2024-03-21</v>
      </c>
      <c r="H479">
        <f t="shared" si="37"/>
        <v>0</v>
      </c>
      <c r="K479" t="str">
        <f t="shared" si="38"/>
        <v>Петров Владимир КирилловичКозлова Ксения Ильинична</v>
      </c>
      <c r="L479" t="s">
        <v>18</v>
      </c>
      <c r="M479" t="s">
        <v>158</v>
      </c>
      <c r="N479" t="s">
        <v>324</v>
      </c>
      <c r="S479" t="str">
        <f t="shared" si="39"/>
        <v>Иванова Анна СергеевнаСеменов Алексей Владимирович</v>
      </c>
      <c r="T479" t="s">
        <v>13</v>
      </c>
      <c r="U479" t="s">
        <v>35</v>
      </c>
      <c r="V479" t="s">
        <v>312</v>
      </c>
    </row>
    <row r="480" spans="4:22" x14ac:dyDescent="0.25">
      <c r="D480" t="s">
        <v>18</v>
      </c>
      <c r="E480" t="s">
        <v>57</v>
      </c>
      <c r="F480" s="26" t="str">
        <f t="shared" si="35"/>
        <v>2024-03-22</v>
      </c>
      <c r="G480" s="26" t="str">
        <f t="shared" si="36"/>
        <v>2024-03-22</v>
      </c>
      <c r="H480">
        <f t="shared" si="37"/>
        <v>0</v>
      </c>
      <c r="K480" t="str">
        <f t="shared" si="38"/>
        <v>Петров Владимир КирилловичИванов Роман Ильич</v>
      </c>
      <c r="L480" t="s">
        <v>18</v>
      </c>
      <c r="M480" t="s">
        <v>325</v>
      </c>
      <c r="N480" t="s">
        <v>324</v>
      </c>
      <c r="S480" t="str">
        <f t="shared" si="39"/>
        <v>Кузнецов Дмитрий ЛьвовичВолкова Вероника Владимировна</v>
      </c>
      <c r="T480" t="s">
        <v>38</v>
      </c>
      <c r="U480" t="s">
        <v>293</v>
      </c>
      <c r="V480" t="s">
        <v>312</v>
      </c>
    </row>
    <row r="481" spans="4:22" x14ac:dyDescent="0.25">
      <c r="D481" t="s">
        <v>8</v>
      </c>
      <c r="E481" t="s">
        <v>152</v>
      </c>
      <c r="F481" s="26" t="str">
        <f t="shared" si="35"/>
        <v>2024-03-22</v>
      </c>
      <c r="G481" s="26" t="str">
        <f t="shared" si="36"/>
        <v>2024-03-22</v>
      </c>
      <c r="H481">
        <f t="shared" si="37"/>
        <v>0</v>
      </c>
      <c r="K481" t="str">
        <f t="shared" si="38"/>
        <v>Кузнецов Дмитрий ЛьвовичФедорова Наталья Геннадьевна</v>
      </c>
      <c r="L481" t="s">
        <v>38</v>
      </c>
      <c r="M481" t="s">
        <v>43</v>
      </c>
      <c r="N481" t="s">
        <v>324</v>
      </c>
      <c r="S481" t="str">
        <f t="shared" si="39"/>
        <v>Новикова Ольга ПетровнаКузнецов Максим Алексеевич</v>
      </c>
      <c r="T481" t="s">
        <v>45</v>
      </c>
      <c r="U481" t="s">
        <v>53</v>
      </c>
      <c r="V481" t="s">
        <v>312</v>
      </c>
    </row>
    <row r="482" spans="4:22" x14ac:dyDescent="0.25">
      <c r="D482" t="s">
        <v>18</v>
      </c>
      <c r="E482" t="s">
        <v>33</v>
      </c>
      <c r="F482" s="26" t="str">
        <f t="shared" si="35"/>
        <v>2024-03-25</v>
      </c>
      <c r="G482" s="26" t="str">
        <f t="shared" si="36"/>
        <v>2024-06-03</v>
      </c>
      <c r="H482">
        <f t="shared" si="37"/>
        <v>70</v>
      </c>
      <c r="K482" t="str">
        <f t="shared" si="38"/>
        <v>Громова Мария ИльиничнаПопов Илья Сергеевич</v>
      </c>
      <c r="L482" t="s">
        <v>5</v>
      </c>
      <c r="M482" t="s">
        <v>232</v>
      </c>
      <c r="N482" t="s">
        <v>323</v>
      </c>
      <c r="S482" t="str">
        <f t="shared" si="39"/>
        <v>Новикова Ольга ПетровнаПопов Илья Сергеевич</v>
      </c>
      <c r="T482" t="s">
        <v>45</v>
      </c>
      <c r="U482" t="s">
        <v>232</v>
      </c>
      <c r="V482" t="s">
        <v>312</v>
      </c>
    </row>
    <row r="483" spans="4:22" x14ac:dyDescent="0.25">
      <c r="D483" t="s">
        <v>45</v>
      </c>
      <c r="E483" t="s">
        <v>338</v>
      </c>
      <c r="F483" s="26" t="str">
        <f t="shared" si="35"/>
        <v>2024-03-25</v>
      </c>
      <c r="G483" s="26" t="str">
        <f t="shared" si="36"/>
        <v>2024-07-02</v>
      </c>
      <c r="H483">
        <f t="shared" si="37"/>
        <v>99</v>
      </c>
      <c r="K483" t="str">
        <f t="shared" si="38"/>
        <v>Петров Владимир КирилловичВолкова Татьяна Станиславовна</v>
      </c>
      <c r="L483" t="s">
        <v>18</v>
      </c>
      <c r="M483" t="s">
        <v>89</v>
      </c>
      <c r="N483" t="s">
        <v>323</v>
      </c>
      <c r="S483" t="str">
        <f t="shared" si="39"/>
        <v>Кузнецов Дмитрий ЛьвовичСеменов Павел Юрьевич</v>
      </c>
      <c r="T483" t="s">
        <v>38</v>
      </c>
      <c r="U483" t="s">
        <v>128</v>
      </c>
      <c r="V483" t="s">
        <v>312</v>
      </c>
    </row>
    <row r="484" spans="4:22" x14ac:dyDescent="0.25">
      <c r="D484" t="s">
        <v>8</v>
      </c>
      <c r="E484" t="s">
        <v>243</v>
      </c>
      <c r="F484" s="26" t="str">
        <f t="shared" si="35"/>
        <v>2024-03-25</v>
      </c>
      <c r="G484" s="26" t="str">
        <f t="shared" si="36"/>
        <v>2024-03-25</v>
      </c>
      <c r="H484">
        <f t="shared" si="37"/>
        <v>0</v>
      </c>
      <c r="K484" t="str">
        <f t="shared" si="38"/>
        <v>Новикова Ольга ПетровнаСмирнов Максим Сергеевич</v>
      </c>
      <c r="L484" t="s">
        <v>45</v>
      </c>
      <c r="M484" t="s">
        <v>49</v>
      </c>
      <c r="N484" t="s">
        <v>323</v>
      </c>
      <c r="S484" t="str">
        <f t="shared" si="39"/>
        <v>Сидорова Елена ВасильевнаСеменов Роман Павлович</v>
      </c>
      <c r="T484" t="s">
        <v>8</v>
      </c>
      <c r="U484" t="s">
        <v>196</v>
      </c>
      <c r="V484" t="s">
        <v>312</v>
      </c>
    </row>
    <row r="485" spans="4:22" x14ac:dyDescent="0.25">
      <c r="D485" t="s">
        <v>10</v>
      </c>
      <c r="E485" t="s">
        <v>224</v>
      </c>
      <c r="F485" s="26" t="str">
        <f t="shared" si="35"/>
        <v>2024-03-26</v>
      </c>
      <c r="G485" s="26" t="str">
        <f t="shared" si="36"/>
        <v>2024-03-26</v>
      </c>
      <c r="H485">
        <f t="shared" si="37"/>
        <v>0</v>
      </c>
      <c r="K485" t="str">
        <f t="shared" si="38"/>
        <v>Громова Мария ИльиничнаФедорова Ксения Павловна</v>
      </c>
      <c r="L485" t="s">
        <v>5</v>
      </c>
      <c r="M485" t="s">
        <v>195</v>
      </c>
      <c r="N485" t="s">
        <v>323</v>
      </c>
      <c r="S485" t="str">
        <f t="shared" si="39"/>
        <v>Семенова Ирина ВалерьевнаСтепанов Дмитрий Геннадьевич</v>
      </c>
      <c r="T485" t="s">
        <v>10</v>
      </c>
      <c r="U485" t="s">
        <v>132</v>
      </c>
      <c r="V485" t="s">
        <v>314</v>
      </c>
    </row>
    <row r="486" spans="4:22" x14ac:dyDescent="0.25">
      <c r="D486" t="s">
        <v>38</v>
      </c>
      <c r="E486" t="s">
        <v>37</v>
      </c>
      <c r="F486" s="26" t="str">
        <f t="shared" si="35"/>
        <v>2024-03-26</v>
      </c>
      <c r="G486" s="26" t="str">
        <f t="shared" si="36"/>
        <v>2024-03-26</v>
      </c>
      <c r="H486">
        <f t="shared" si="37"/>
        <v>0</v>
      </c>
      <c r="K486" t="str">
        <f t="shared" si="38"/>
        <v>Ткаченко Андрей ОлеговичВасильева Ксения Михайловна</v>
      </c>
      <c r="L486" t="s">
        <v>27</v>
      </c>
      <c r="M486" t="s">
        <v>57</v>
      </c>
      <c r="N486" t="s">
        <v>322</v>
      </c>
      <c r="S486" t="str">
        <f t="shared" si="39"/>
        <v>Сидорова Елена ВасильевнаСеменов Илья Андреевич</v>
      </c>
      <c r="T486" t="s">
        <v>8</v>
      </c>
      <c r="U486" t="s">
        <v>84</v>
      </c>
      <c r="V486" t="s">
        <v>314</v>
      </c>
    </row>
    <row r="487" spans="4:22" x14ac:dyDescent="0.25">
      <c r="D487" t="s">
        <v>47</v>
      </c>
      <c r="E487" t="s">
        <v>116</v>
      </c>
      <c r="F487" s="26" t="str">
        <f t="shared" si="35"/>
        <v>2024-03-27</v>
      </c>
      <c r="G487" s="26" t="str">
        <f t="shared" si="36"/>
        <v>2024-03-27</v>
      </c>
      <c r="H487">
        <f t="shared" si="37"/>
        <v>0</v>
      </c>
      <c r="K487" t="str">
        <f t="shared" si="38"/>
        <v>Яковлев Артем ИгоревичЛебедева Алиса Дмитриевна</v>
      </c>
      <c r="L487" t="s">
        <v>30</v>
      </c>
      <c r="M487" t="s">
        <v>269</v>
      </c>
      <c r="N487" t="s">
        <v>322</v>
      </c>
      <c r="S487" t="str">
        <f t="shared" si="39"/>
        <v>Семенова Ирина ВалерьевнаЛебедев Сергей Алексеевич</v>
      </c>
      <c r="T487" t="s">
        <v>10</v>
      </c>
      <c r="U487" t="s">
        <v>99</v>
      </c>
      <c r="V487" t="s">
        <v>314</v>
      </c>
    </row>
    <row r="488" spans="4:22" x14ac:dyDescent="0.25">
      <c r="D488" t="s">
        <v>13</v>
      </c>
      <c r="E488" t="s">
        <v>74</v>
      </c>
      <c r="F488" s="26" t="str">
        <f t="shared" si="35"/>
        <v>2024-03-27</v>
      </c>
      <c r="G488" s="26" t="str">
        <f t="shared" si="36"/>
        <v>2024-03-27</v>
      </c>
      <c r="H488">
        <f t="shared" si="37"/>
        <v>0</v>
      </c>
      <c r="K488" t="str">
        <f t="shared" si="38"/>
        <v>Яковлев Артем ИгоревичМорозов Егор Андреевич</v>
      </c>
      <c r="L488" t="s">
        <v>30</v>
      </c>
      <c r="M488" t="s">
        <v>9</v>
      </c>
      <c r="N488" t="s">
        <v>321</v>
      </c>
      <c r="S488" t="str">
        <f t="shared" si="39"/>
        <v>Ткаченко Андрей ОлеговичВасильева Ксения Михайловна</v>
      </c>
      <c r="T488" t="s">
        <v>27</v>
      </c>
      <c r="U488" t="s">
        <v>57</v>
      </c>
      <c r="V488" t="s">
        <v>314</v>
      </c>
    </row>
    <row r="489" spans="4:22" x14ac:dyDescent="0.25">
      <c r="D489" t="s">
        <v>27</v>
      </c>
      <c r="E489" t="s">
        <v>32</v>
      </c>
      <c r="F489" s="26" t="str">
        <f t="shared" si="35"/>
        <v>2024-03-28</v>
      </c>
      <c r="G489" s="26" t="str">
        <f t="shared" si="36"/>
        <v>2024-03-28</v>
      </c>
      <c r="H489">
        <f t="shared" si="37"/>
        <v>0</v>
      </c>
      <c r="K489" t="str">
        <f t="shared" si="38"/>
        <v>Белов Алексей КонстантиновичСмирнов Иван Ильич</v>
      </c>
      <c r="L489" t="s">
        <v>25</v>
      </c>
      <c r="M489" t="s">
        <v>114</v>
      </c>
      <c r="N489" t="s">
        <v>321</v>
      </c>
      <c r="S489" t="str">
        <f t="shared" si="39"/>
        <v>Семенова Ирина ВалерьевнаНовиков Илья Кириллович</v>
      </c>
      <c r="T489" t="s">
        <v>10</v>
      </c>
      <c r="U489" t="s">
        <v>248</v>
      </c>
      <c r="V489" t="s">
        <v>314</v>
      </c>
    </row>
    <row r="490" spans="4:22" x14ac:dyDescent="0.25">
      <c r="D490" t="s">
        <v>30</v>
      </c>
      <c r="E490" t="s">
        <v>90</v>
      </c>
      <c r="F490" s="26" t="str">
        <f t="shared" si="35"/>
        <v>2024-03-28</v>
      </c>
      <c r="G490" s="26" t="str">
        <f t="shared" si="36"/>
        <v>2024-03-28</v>
      </c>
      <c r="H490">
        <f t="shared" si="37"/>
        <v>0</v>
      </c>
      <c r="K490" t="str">
        <f t="shared" si="38"/>
        <v>Новикова Ольга ПетровнаСеменов Павел Юрьевич</v>
      </c>
      <c r="L490" t="s">
        <v>45</v>
      </c>
      <c r="M490" t="s">
        <v>128</v>
      </c>
      <c r="N490" t="s">
        <v>321</v>
      </c>
      <c r="S490" t="str">
        <f t="shared" si="39"/>
        <v>Громова Мария ИльиничнаСеменова Светлана Дмитриевна</v>
      </c>
      <c r="T490" t="s">
        <v>5</v>
      </c>
      <c r="U490" t="s">
        <v>41</v>
      </c>
      <c r="V490" t="s">
        <v>315</v>
      </c>
    </row>
    <row r="491" spans="4:22" x14ac:dyDescent="0.25">
      <c r="D491" t="s">
        <v>5</v>
      </c>
      <c r="E491" t="s">
        <v>227</v>
      </c>
      <c r="F491" s="26" t="str">
        <f t="shared" si="35"/>
        <v>2024-04-01</v>
      </c>
      <c r="G491" s="26" t="str">
        <f t="shared" si="36"/>
        <v>2024-04-01</v>
      </c>
      <c r="H491">
        <f t="shared" si="37"/>
        <v>0</v>
      </c>
      <c r="K491" t="str">
        <f t="shared" si="38"/>
        <v>Семенова Ирина ВалерьевнаКузнецов Алексей Егорович</v>
      </c>
      <c r="L491" t="s">
        <v>10</v>
      </c>
      <c r="M491" t="s">
        <v>247</v>
      </c>
      <c r="N491" t="s">
        <v>320</v>
      </c>
      <c r="S491" t="str">
        <f t="shared" si="39"/>
        <v>Белов Алексей КонстантиновичОрлов Кирилл Романович</v>
      </c>
      <c r="T491" t="s">
        <v>25</v>
      </c>
      <c r="U491" t="s">
        <v>270</v>
      </c>
      <c r="V491" t="s">
        <v>316</v>
      </c>
    </row>
    <row r="492" spans="4:22" x14ac:dyDescent="0.25">
      <c r="D492" t="s">
        <v>47</v>
      </c>
      <c r="E492" t="s">
        <v>125</v>
      </c>
      <c r="F492" s="26" t="str">
        <f t="shared" si="35"/>
        <v>2024-04-01</v>
      </c>
      <c r="G492" s="26" t="str">
        <f t="shared" si="36"/>
        <v>2024-04-01</v>
      </c>
      <c r="H492">
        <f t="shared" si="37"/>
        <v>0</v>
      </c>
      <c r="K492" t="str">
        <f t="shared" si="38"/>
        <v>Громова Мария ИльиничнаЛебедева Ирина Кирилловна</v>
      </c>
      <c r="L492" t="s">
        <v>5</v>
      </c>
      <c r="M492" t="s">
        <v>73</v>
      </c>
      <c r="N492" t="s">
        <v>320</v>
      </c>
      <c r="S492" t="str">
        <f t="shared" si="39"/>
        <v>Яковлев Артем ИгоревичМорозова Александра Станиславовна</v>
      </c>
      <c r="T492" t="s">
        <v>30</v>
      </c>
      <c r="U492" t="s">
        <v>55</v>
      </c>
      <c r="V492" t="s">
        <v>317</v>
      </c>
    </row>
    <row r="493" spans="4:22" x14ac:dyDescent="0.25">
      <c r="D493" t="s">
        <v>38</v>
      </c>
      <c r="E493" t="s">
        <v>42</v>
      </c>
      <c r="F493" s="26" t="str">
        <f t="shared" si="35"/>
        <v>2024-04-01</v>
      </c>
      <c r="G493" s="26" t="str">
        <f t="shared" si="36"/>
        <v>2024-04-01</v>
      </c>
      <c r="H493">
        <f t="shared" si="37"/>
        <v>0</v>
      </c>
      <c r="K493" t="str">
        <f t="shared" si="38"/>
        <v>Орлов Павел ДенисовичСидоров Владимир Артемович</v>
      </c>
      <c r="L493" t="s">
        <v>47</v>
      </c>
      <c r="M493" t="s">
        <v>32</v>
      </c>
      <c r="N493" t="s">
        <v>320</v>
      </c>
      <c r="S493" t="str">
        <f t="shared" si="39"/>
        <v>Яковлев Артем ИгоревичНовикова Елена Геннадьевна</v>
      </c>
      <c r="T493" t="s">
        <v>30</v>
      </c>
      <c r="U493" t="s">
        <v>103</v>
      </c>
      <c r="V493" t="s">
        <v>318</v>
      </c>
    </row>
    <row r="494" spans="4:22" x14ac:dyDescent="0.25">
      <c r="D494" t="s">
        <v>47</v>
      </c>
      <c r="E494" t="s">
        <v>24</v>
      </c>
      <c r="F494" s="26" t="str">
        <f t="shared" si="35"/>
        <v>2024-04-01</v>
      </c>
      <c r="G494" s="26" t="str">
        <f t="shared" si="36"/>
        <v>2024-06-10</v>
      </c>
      <c r="H494">
        <f t="shared" si="37"/>
        <v>70</v>
      </c>
      <c r="K494" t="str">
        <f t="shared" si="38"/>
        <v>Иванова Анна СергеевнаСеменов Илья Андреевич</v>
      </c>
      <c r="L494" t="s">
        <v>13</v>
      </c>
      <c r="M494" t="s">
        <v>84</v>
      </c>
      <c r="N494" t="s">
        <v>320</v>
      </c>
      <c r="S494" t="str">
        <f t="shared" si="39"/>
        <v>Громова Мария ИльиничнаПавлов Сергей Артемович</v>
      </c>
      <c r="T494" t="s">
        <v>5</v>
      </c>
      <c r="U494" t="s">
        <v>144</v>
      </c>
      <c r="V494" t="s">
        <v>318</v>
      </c>
    </row>
    <row r="495" spans="4:22" x14ac:dyDescent="0.25">
      <c r="D495" t="s">
        <v>25</v>
      </c>
      <c r="E495" t="s">
        <v>187</v>
      </c>
      <c r="F495" s="26" t="str">
        <f t="shared" si="35"/>
        <v>2024-04-01</v>
      </c>
      <c r="G495" s="26" t="str">
        <f t="shared" si="36"/>
        <v>2024-04-01</v>
      </c>
      <c r="H495">
        <f t="shared" si="37"/>
        <v>0</v>
      </c>
      <c r="K495" t="str">
        <f t="shared" si="38"/>
        <v>Петров Владимир КирилловичВолков Максим Дмитриевич</v>
      </c>
      <c r="L495" t="s">
        <v>18</v>
      </c>
      <c r="M495" t="s">
        <v>81</v>
      </c>
      <c r="N495" t="s">
        <v>320</v>
      </c>
      <c r="S495" t="str">
        <f t="shared" si="39"/>
        <v>Белов Алексей КонстантиновичСеменов Алексей Владимирович</v>
      </c>
      <c r="T495" t="s">
        <v>25</v>
      </c>
      <c r="U495" t="s">
        <v>35</v>
      </c>
      <c r="V495" t="s">
        <v>318</v>
      </c>
    </row>
    <row r="496" spans="4:22" x14ac:dyDescent="0.25">
      <c r="D496" t="s">
        <v>18</v>
      </c>
      <c r="E496" t="s">
        <v>46</v>
      </c>
      <c r="F496" s="26" t="str">
        <f t="shared" si="35"/>
        <v>2024-04-01</v>
      </c>
      <c r="G496" s="26" t="str">
        <f t="shared" si="36"/>
        <v>2024-04-01</v>
      </c>
      <c r="H496">
        <f t="shared" si="37"/>
        <v>0</v>
      </c>
      <c r="K496" t="str">
        <f t="shared" si="38"/>
        <v>Яковлев Артем ИгоревичПавлов Матвей Владимирович</v>
      </c>
      <c r="L496" t="s">
        <v>30</v>
      </c>
      <c r="M496" t="s">
        <v>152</v>
      </c>
      <c r="N496" t="s">
        <v>319</v>
      </c>
      <c r="S496" t="str">
        <f t="shared" si="39"/>
        <v>Орлов Павел ДенисовичНовиков Илья Кириллович</v>
      </c>
      <c r="T496" t="s">
        <v>47</v>
      </c>
      <c r="U496" t="s">
        <v>248</v>
      </c>
      <c r="V496" t="s">
        <v>318</v>
      </c>
    </row>
    <row r="497" spans="4:22" x14ac:dyDescent="0.25">
      <c r="D497" t="s">
        <v>16</v>
      </c>
      <c r="E497" t="s">
        <v>344</v>
      </c>
      <c r="F497" s="26" t="str">
        <f t="shared" si="35"/>
        <v>2024-04-02</v>
      </c>
      <c r="G497" s="26" t="str">
        <f t="shared" si="36"/>
        <v>2024-04-02</v>
      </c>
      <c r="H497">
        <f t="shared" si="37"/>
        <v>0</v>
      </c>
      <c r="K497" t="str">
        <f t="shared" si="38"/>
        <v>Громова Мария ИльиничнаПопова Людмила Егоровна</v>
      </c>
      <c r="L497" t="s">
        <v>5</v>
      </c>
      <c r="M497" t="s">
        <v>217</v>
      </c>
      <c r="N497" t="s">
        <v>319</v>
      </c>
      <c r="S497" t="str">
        <f t="shared" si="39"/>
        <v>Ткаченко Андрей ОлеговичСеменов Константин Егорович</v>
      </c>
      <c r="T497" t="s">
        <v>27</v>
      </c>
      <c r="U497" t="s">
        <v>188</v>
      </c>
      <c r="V497" t="s">
        <v>318</v>
      </c>
    </row>
    <row r="498" spans="4:22" x14ac:dyDescent="0.25">
      <c r="D498" t="s">
        <v>10</v>
      </c>
      <c r="E498" t="s">
        <v>296</v>
      </c>
      <c r="F498" s="26" t="str">
        <f t="shared" si="35"/>
        <v>2024-04-02</v>
      </c>
      <c r="G498" s="26" t="str">
        <f t="shared" si="36"/>
        <v>2024-04-02</v>
      </c>
      <c r="H498">
        <f t="shared" si="37"/>
        <v>0</v>
      </c>
      <c r="K498" t="str">
        <f t="shared" si="38"/>
        <v>Громова Мария ИльиничнаВасильев Константин Дмитриевич</v>
      </c>
      <c r="L498" t="s">
        <v>5</v>
      </c>
      <c r="M498" t="s">
        <v>126</v>
      </c>
      <c r="N498" t="s">
        <v>319</v>
      </c>
      <c r="S498" t="str">
        <f t="shared" si="39"/>
        <v>Орлов Павел ДенисовичМорозов Никита Алексеевич</v>
      </c>
      <c r="T498" t="s">
        <v>47</v>
      </c>
      <c r="U498" t="s">
        <v>92</v>
      </c>
      <c r="V498" t="s">
        <v>318</v>
      </c>
    </row>
    <row r="499" spans="4:22" x14ac:dyDescent="0.25">
      <c r="D499" t="s">
        <v>27</v>
      </c>
      <c r="E499" t="s">
        <v>346</v>
      </c>
      <c r="F499" s="26" t="str">
        <f t="shared" si="35"/>
        <v>2024-04-02</v>
      </c>
      <c r="G499" s="26" t="str">
        <f t="shared" si="36"/>
        <v>2024-04-02</v>
      </c>
      <c r="H499">
        <f t="shared" si="37"/>
        <v>0</v>
      </c>
      <c r="K499" t="str">
        <f t="shared" si="38"/>
        <v>Новикова Ольга ПетровнаКузнецова Мария Дмитриевна</v>
      </c>
      <c r="L499" t="s">
        <v>45</v>
      </c>
      <c r="M499" t="s">
        <v>42</v>
      </c>
      <c r="N499" t="s">
        <v>319</v>
      </c>
      <c r="S499" t="str">
        <f t="shared" si="39"/>
        <v>Кузнецов Дмитрий ЛьвовичСидоров Владимир Артемович</v>
      </c>
      <c r="T499" t="s">
        <v>38</v>
      </c>
      <c r="U499" t="s">
        <v>32</v>
      </c>
      <c r="V499" t="s">
        <v>318</v>
      </c>
    </row>
    <row r="500" spans="4:22" x14ac:dyDescent="0.25">
      <c r="D500" t="s">
        <v>30</v>
      </c>
      <c r="E500" t="s">
        <v>110</v>
      </c>
      <c r="F500" s="26" t="str">
        <f t="shared" si="35"/>
        <v>2024-04-03</v>
      </c>
      <c r="G500" s="26" t="str">
        <f t="shared" si="36"/>
        <v>2024-04-03</v>
      </c>
      <c r="H500">
        <f t="shared" si="37"/>
        <v>0</v>
      </c>
      <c r="K500" t="str">
        <f t="shared" si="38"/>
        <v>Иванова Анна СергеевнаОрлов Павел Юрьевич</v>
      </c>
      <c r="L500" t="s">
        <v>13</v>
      </c>
      <c r="M500" t="s">
        <v>227</v>
      </c>
      <c r="N500" t="s">
        <v>319</v>
      </c>
      <c r="S500" t="str">
        <f t="shared" si="39"/>
        <v>Сидорова Елена ВасильевнаОрлов Дмитрий Ильич</v>
      </c>
      <c r="T500" t="s">
        <v>8</v>
      </c>
      <c r="U500" t="s">
        <v>107</v>
      </c>
      <c r="V500" t="s">
        <v>318</v>
      </c>
    </row>
    <row r="501" spans="4:22" x14ac:dyDescent="0.25">
      <c r="D501" t="s">
        <v>47</v>
      </c>
      <c r="E501" t="s">
        <v>167</v>
      </c>
      <c r="F501" s="26" t="str">
        <f t="shared" si="35"/>
        <v>2024-04-03</v>
      </c>
      <c r="G501" s="26" t="str">
        <f t="shared" si="36"/>
        <v>2024-04-03</v>
      </c>
      <c r="H501">
        <f t="shared" si="37"/>
        <v>0</v>
      </c>
      <c r="K501" t="str">
        <f t="shared" si="38"/>
        <v>Яковлев Артем ИгоревичНовикова Елена Геннадьевна</v>
      </c>
      <c r="L501" t="s">
        <v>30</v>
      </c>
      <c r="M501" t="s">
        <v>103</v>
      </c>
      <c r="N501" t="s">
        <v>318</v>
      </c>
      <c r="S501" t="str">
        <f t="shared" si="39"/>
        <v>Яковлев Артем ИгоревичФедорова Виктория Егоровна</v>
      </c>
      <c r="T501" t="s">
        <v>30</v>
      </c>
      <c r="U501" t="s">
        <v>264</v>
      </c>
      <c r="V501" t="s">
        <v>318</v>
      </c>
    </row>
    <row r="502" spans="4:22" x14ac:dyDescent="0.25">
      <c r="D502" t="s">
        <v>38</v>
      </c>
      <c r="E502" t="s">
        <v>68</v>
      </c>
      <c r="F502" s="26" t="str">
        <f t="shared" si="35"/>
        <v>2024-04-03</v>
      </c>
      <c r="G502" s="26" t="str">
        <f t="shared" si="36"/>
        <v>2024-04-03</v>
      </c>
      <c r="H502">
        <f t="shared" si="37"/>
        <v>0</v>
      </c>
      <c r="K502" t="str">
        <f t="shared" si="38"/>
        <v>Громова Мария ИльиничнаПавлов Сергей Артемович</v>
      </c>
      <c r="L502" t="s">
        <v>5</v>
      </c>
      <c r="M502" t="s">
        <v>144</v>
      </c>
      <c r="N502" t="s">
        <v>318</v>
      </c>
      <c r="S502" t="str">
        <f t="shared" si="39"/>
        <v>Ткаченко Андрей ОлеговичНиколаев Матвей Викторович</v>
      </c>
      <c r="T502" t="s">
        <v>27</v>
      </c>
      <c r="U502" t="s">
        <v>15</v>
      </c>
      <c r="V502" t="s">
        <v>318</v>
      </c>
    </row>
    <row r="503" spans="4:22" x14ac:dyDescent="0.25">
      <c r="D503" t="s">
        <v>5</v>
      </c>
      <c r="E503" t="s">
        <v>28</v>
      </c>
      <c r="F503" s="26" t="str">
        <f t="shared" si="35"/>
        <v>2024-04-04</v>
      </c>
      <c r="G503" s="26" t="str">
        <f t="shared" si="36"/>
        <v>2024-04-04</v>
      </c>
      <c r="H503">
        <f t="shared" si="37"/>
        <v>0</v>
      </c>
      <c r="K503" t="str">
        <f t="shared" si="38"/>
        <v>Белов Алексей КонстантиновичСеменов Алексей Владимирович</v>
      </c>
      <c r="L503" t="s">
        <v>25</v>
      </c>
      <c r="M503" t="s">
        <v>35</v>
      </c>
      <c r="N503" t="s">
        <v>318</v>
      </c>
      <c r="S503" t="str">
        <f t="shared" si="39"/>
        <v>Яковлев Артем ИгоревичПавлов Матвей Владимирович</v>
      </c>
      <c r="T503" t="s">
        <v>30</v>
      </c>
      <c r="U503" t="s">
        <v>152</v>
      </c>
      <c r="V503" t="s">
        <v>319</v>
      </c>
    </row>
    <row r="504" spans="4:22" x14ac:dyDescent="0.25">
      <c r="D504" t="s">
        <v>8</v>
      </c>
      <c r="E504" t="s">
        <v>247</v>
      </c>
      <c r="F504" s="26" t="str">
        <f t="shared" si="35"/>
        <v>2024-04-04</v>
      </c>
      <c r="G504" s="26" t="str">
        <f t="shared" si="36"/>
        <v>2024-05-28</v>
      </c>
      <c r="H504">
        <f t="shared" si="37"/>
        <v>54</v>
      </c>
      <c r="K504" t="str">
        <f t="shared" si="38"/>
        <v>Орлов Павел ДенисовичНовиков Илья Кириллович</v>
      </c>
      <c r="L504" t="s">
        <v>47</v>
      </c>
      <c r="M504" t="s">
        <v>248</v>
      </c>
      <c r="N504" t="s">
        <v>318</v>
      </c>
      <c r="S504" t="str">
        <f t="shared" si="39"/>
        <v>Громова Мария ИльиничнаПопова Людмила Егоровна</v>
      </c>
      <c r="T504" t="s">
        <v>5</v>
      </c>
      <c r="U504" t="s">
        <v>217</v>
      </c>
      <c r="V504" t="s">
        <v>319</v>
      </c>
    </row>
    <row r="505" spans="4:22" x14ac:dyDescent="0.25">
      <c r="D505" t="s">
        <v>8</v>
      </c>
      <c r="E505" t="s">
        <v>75</v>
      </c>
      <c r="F505" s="26" t="str">
        <f t="shared" si="35"/>
        <v>2024-04-05</v>
      </c>
      <c r="G505" s="26" t="str">
        <f t="shared" si="36"/>
        <v>2024-04-05</v>
      </c>
      <c r="H505">
        <f t="shared" si="37"/>
        <v>0</v>
      </c>
      <c r="K505" t="str">
        <f t="shared" si="38"/>
        <v>Ткаченко Андрей ОлеговичСеменов Константин Егорович</v>
      </c>
      <c r="L505" t="s">
        <v>27</v>
      </c>
      <c r="M505" t="s">
        <v>188</v>
      </c>
      <c r="N505" t="s">
        <v>318</v>
      </c>
      <c r="S505" t="str">
        <f t="shared" si="39"/>
        <v>Громова Мария ИльиничнаВасильев Константин Дмитриевич</v>
      </c>
      <c r="T505" t="s">
        <v>5</v>
      </c>
      <c r="U505" t="s">
        <v>126</v>
      </c>
      <c r="V505" t="s">
        <v>319</v>
      </c>
    </row>
    <row r="506" spans="4:22" x14ac:dyDescent="0.25">
      <c r="D506" t="s">
        <v>30</v>
      </c>
      <c r="E506" t="s">
        <v>186</v>
      </c>
      <c r="F506" s="26" t="str">
        <f t="shared" si="35"/>
        <v>2024-04-05</v>
      </c>
      <c r="G506" s="26" t="str">
        <f t="shared" si="36"/>
        <v>2024-04-05</v>
      </c>
      <c r="H506">
        <f t="shared" si="37"/>
        <v>0</v>
      </c>
      <c r="K506" t="str">
        <f t="shared" si="38"/>
        <v>Орлов Павел ДенисовичМорозов Никита Алексеевич</v>
      </c>
      <c r="L506" t="s">
        <v>47</v>
      </c>
      <c r="M506" t="s">
        <v>92</v>
      </c>
      <c r="N506" t="s">
        <v>318</v>
      </c>
      <c r="S506" t="str">
        <f t="shared" si="39"/>
        <v>Новикова Ольга ПетровнаКузнецова Мария Дмитриевна</v>
      </c>
      <c r="T506" t="s">
        <v>45</v>
      </c>
      <c r="U506" t="s">
        <v>42</v>
      </c>
      <c r="V506" t="s">
        <v>319</v>
      </c>
    </row>
    <row r="507" spans="4:22" x14ac:dyDescent="0.25">
      <c r="D507" t="s">
        <v>47</v>
      </c>
      <c r="E507" t="s">
        <v>66</v>
      </c>
      <c r="F507" s="26" t="str">
        <f t="shared" si="35"/>
        <v>2024-04-08</v>
      </c>
      <c r="G507" s="26" t="str">
        <f t="shared" si="36"/>
        <v>2024-04-08</v>
      </c>
      <c r="H507">
        <f t="shared" si="37"/>
        <v>0</v>
      </c>
      <c r="K507" t="str">
        <f t="shared" si="38"/>
        <v>Кузнецов Дмитрий ЛьвовичСидоров Владимир Артемович</v>
      </c>
      <c r="L507" t="s">
        <v>38</v>
      </c>
      <c r="M507" t="s">
        <v>32</v>
      </c>
      <c r="N507" t="s">
        <v>318</v>
      </c>
      <c r="S507" t="str">
        <f t="shared" si="39"/>
        <v>Иванова Анна СергеевнаОрлов Павел Юрьевич</v>
      </c>
      <c r="T507" t="s">
        <v>13</v>
      </c>
      <c r="U507" t="s">
        <v>227</v>
      </c>
      <c r="V507" t="s">
        <v>319</v>
      </c>
    </row>
    <row r="508" spans="4:22" x14ac:dyDescent="0.25">
      <c r="D508" t="s">
        <v>16</v>
      </c>
      <c r="E508" t="s">
        <v>158</v>
      </c>
      <c r="F508" s="26" t="str">
        <f t="shared" si="35"/>
        <v>2024-04-08</v>
      </c>
      <c r="G508" s="26" t="str">
        <f t="shared" si="36"/>
        <v>2024-04-08</v>
      </c>
      <c r="H508">
        <f t="shared" si="37"/>
        <v>0</v>
      </c>
      <c r="K508" t="str">
        <f t="shared" si="38"/>
        <v>Сидорова Елена ВасильевнаОрлов Дмитрий Ильич</v>
      </c>
      <c r="L508" t="s">
        <v>8</v>
      </c>
      <c r="M508" t="s">
        <v>107</v>
      </c>
      <c r="N508" t="s">
        <v>318</v>
      </c>
      <c r="S508" t="str">
        <f t="shared" si="39"/>
        <v>Семенова Ирина ВалерьевнаКузнецов Алексей Егорович</v>
      </c>
      <c r="T508" t="s">
        <v>10</v>
      </c>
      <c r="U508" t="s">
        <v>247</v>
      </c>
      <c r="V508" t="s">
        <v>320</v>
      </c>
    </row>
    <row r="509" spans="4:22" x14ac:dyDescent="0.25">
      <c r="D509" t="s">
        <v>18</v>
      </c>
      <c r="E509" t="s">
        <v>201</v>
      </c>
      <c r="F509" s="26" t="str">
        <f t="shared" si="35"/>
        <v>2024-04-08</v>
      </c>
      <c r="G509" s="26" t="str">
        <f t="shared" si="36"/>
        <v>2024-04-08</v>
      </c>
      <c r="H509">
        <f t="shared" si="37"/>
        <v>0</v>
      </c>
      <c r="K509" t="str">
        <f t="shared" si="38"/>
        <v>Яковлев Артем ИгоревичФедорова Виктория Егоровна</v>
      </c>
      <c r="L509" t="s">
        <v>30</v>
      </c>
      <c r="M509" t="s">
        <v>264</v>
      </c>
      <c r="N509" t="s">
        <v>318</v>
      </c>
      <c r="S509" t="str">
        <f t="shared" si="39"/>
        <v>Громова Мария ИльиничнаЛебедева Ирина Кирилловна</v>
      </c>
      <c r="T509" t="s">
        <v>5</v>
      </c>
      <c r="U509" t="s">
        <v>73</v>
      </c>
      <c r="V509" t="s">
        <v>320</v>
      </c>
    </row>
    <row r="510" spans="4:22" x14ac:dyDescent="0.25">
      <c r="D510" t="s">
        <v>45</v>
      </c>
      <c r="E510" t="s">
        <v>111</v>
      </c>
      <c r="F510" s="26" t="str">
        <f t="shared" si="35"/>
        <v>2024-04-08</v>
      </c>
      <c r="G510" s="26" t="str">
        <f t="shared" si="36"/>
        <v>2024-04-08</v>
      </c>
      <c r="H510">
        <f t="shared" si="37"/>
        <v>0</v>
      </c>
      <c r="K510" t="str">
        <f t="shared" si="38"/>
        <v>Ткаченко Андрей ОлеговичНиколаев Матвей Викторович</v>
      </c>
      <c r="L510" t="s">
        <v>27</v>
      </c>
      <c r="M510" t="s">
        <v>15</v>
      </c>
      <c r="N510" t="s">
        <v>318</v>
      </c>
      <c r="S510" t="str">
        <f t="shared" si="39"/>
        <v>Орлов Павел ДенисовичСидоров Владимир Артемович</v>
      </c>
      <c r="T510" t="s">
        <v>47</v>
      </c>
      <c r="U510" t="s">
        <v>32</v>
      </c>
      <c r="V510" t="s">
        <v>320</v>
      </c>
    </row>
    <row r="511" spans="4:22" x14ac:dyDescent="0.25">
      <c r="D511" t="s">
        <v>30</v>
      </c>
      <c r="E511" t="s">
        <v>99</v>
      </c>
      <c r="F511" s="26" t="str">
        <f t="shared" si="35"/>
        <v>2024-04-08</v>
      </c>
      <c r="G511" s="26" t="str">
        <f t="shared" si="36"/>
        <v>2024-04-08</v>
      </c>
      <c r="H511">
        <f t="shared" si="37"/>
        <v>0</v>
      </c>
      <c r="K511" t="str">
        <f t="shared" si="38"/>
        <v>Яковлев Артем ИгоревичМорозова Александра Станиславовна</v>
      </c>
      <c r="L511" t="s">
        <v>30</v>
      </c>
      <c r="M511" t="s">
        <v>55</v>
      </c>
      <c r="N511" t="s">
        <v>317</v>
      </c>
      <c r="S511" t="str">
        <f t="shared" si="39"/>
        <v>Иванова Анна СергеевнаСеменов Илья Андреевич</v>
      </c>
      <c r="T511" t="s">
        <v>13</v>
      </c>
      <c r="U511" t="s">
        <v>84</v>
      </c>
      <c r="V511" t="s">
        <v>320</v>
      </c>
    </row>
    <row r="512" spans="4:22" x14ac:dyDescent="0.25">
      <c r="D512" t="s">
        <v>45</v>
      </c>
      <c r="E512" t="s">
        <v>248</v>
      </c>
      <c r="F512" s="26" t="str">
        <f t="shared" si="35"/>
        <v>2024-04-08</v>
      </c>
      <c r="G512" s="26" t="str">
        <f t="shared" si="36"/>
        <v>2024-04-08</v>
      </c>
      <c r="H512">
        <f t="shared" si="37"/>
        <v>0</v>
      </c>
      <c r="K512" t="str">
        <f t="shared" si="38"/>
        <v>Белов Алексей КонстантиновичОрлов Кирилл Романович</v>
      </c>
      <c r="L512" t="s">
        <v>25</v>
      </c>
      <c r="M512" t="s">
        <v>270</v>
      </c>
      <c r="N512" t="s">
        <v>316</v>
      </c>
      <c r="S512" t="str">
        <f t="shared" si="39"/>
        <v>Петров Владимир КирилловичВолков Максим Дмитриевич</v>
      </c>
      <c r="T512" t="s">
        <v>18</v>
      </c>
      <c r="U512" t="s">
        <v>81</v>
      </c>
      <c r="V512" t="s">
        <v>320</v>
      </c>
    </row>
    <row r="513" spans="4:22" x14ac:dyDescent="0.25">
      <c r="D513" t="s">
        <v>13</v>
      </c>
      <c r="E513" t="s">
        <v>332</v>
      </c>
      <c r="F513" s="26" t="str">
        <f t="shared" si="35"/>
        <v>2024-04-09</v>
      </c>
      <c r="G513" s="26" t="str">
        <f t="shared" si="36"/>
        <v>2024-04-09</v>
      </c>
      <c r="H513">
        <f t="shared" si="37"/>
        <v>0</v>
      </c>
      <c r="K513" t="str">
        <f t="shared" si="38"/>
        <v>Громова Мария ИльиничнаСеменова Светлана Дмитриевна</v>
      </c>
      <c r="L513" t="s">
        <v>5</v>
      </c>
      <c r="M513" t="s">
        <v>41</v>
      </c>
      <c r="N513" t="s">
        <v>315</v>
      </c>
      <c r="S513" t="str">
        <f t="shared" si="39"/>
        <v>Яковлев Артем ИгоревичМорозов Егор Андреевич</v>
      </c>
      <c r="T513" t="s">
        <v>30</v>
      </c>
      <c r="U513" t="s">
        <v>9</v>
      </c>
      <c r="V513" t="s">
        <v>321</v>
      </c>
    </row>
    <row r="514" spans="4:22" x14ac:dyDescent="0.25">
      <c r="D514" t="s">
        <v>8</v>
      </c>
      <c r="E514" t="s">
        <v>331</v>
      </c>
      <c r="F514" s="26" t="str">
        <f t="shared" si="35"/>
        <v>2024-04-10</v>
      </c>
      <c r="G514" s="26" t="str">
        <f t="shared" si="36"/>
        <v>2024-04-10</v>
      </c>
      <c r="H514">
        <f t="shared" si="37"/>
        <v>0</v>
      </c>
      <c r="K514" t="str">
        <f t="shared" si="38"/>
        <v>Семенова Ирина ВалерьевнаСтепанов Дмитрий Геннадьевич</v>
      </c>
      <c r="L514" t="s">
        <v>10</v>
      </c>
      <c r="M514" t="s">
        <v>132</v>
      </c>
      <c r="N514" t="s">
        <v>314</v>
      </c>
      <c r="S514" t="str">
        <f t="shared" si="39"/>
        <v>Белов Алексей КонстантиновичСмирнов Иван Ильич</v>
      </c>
      <c r="T514" t="s">
        <v>25</v>
      </c>
      <c r="U514" t="s">
        <v>114</v>
      </c>
      <c r="V514" t="s">
        <v>321</v>
      </c>
    </row>
    <row r="515" spans="4:22" x14ac:dyDescent="0.25">
      <c r="D515" t="s">
        <v>18</v>
      </c>
      <c r="E515" t="s">
        <v>209</v>
      </c>
      <c r="F515" s="26" t="str">
        <f t="shared" ref="F515:F578" si="40">VLOOKUP(D515&amp;E515,S:V,4,0)</f>
        <v>2024-04-10</v>
      </c>
      <c r="G515" s="26" t="str">
        <f t="shared" ref="G515:G578" si="41">VLOOKUP(D515&amp;E515,K:N,4,0)</f>
        <v>2024-04-10</v>
      </c>
      <c r="H515">
        <f t="shared" ref="H515:H578" si="42">G515-F515</f>
        <v>0</v>
      </c>
      <c r="K515" t="str">
        <f t="shared" ref="K515:K578" si="43">L515&amp;M515</f>
        <v>Сидорова Елена ВасильевнаСеменов Илья Андреевич</v>
      </c>
      <c r="L515" t="s">
        <v>8</v>
      </c>
      <c r="M515" t="s">
        <v>84</v>
      </c>
      <c r="N515" t="s">
        <v>314</v>
      </c>
      <c r="S515" t="str">
        <f t="shared" ref="S515:S578" si="44">T515&amp;U515</f>
        <v>Новикова Ольга ПетровнаСеменов Павел Юрьевич</v>
      </c>
      <c r="T515" t="s">
        <v>45</v>
      </c>
      <c r="U515" t="s">
        <v>128</v>
      </c>
      <c r="V515" t="s">
        <v>321</v>
      </c>
    </row>
    <row r="516" spans="4:22" x14ac:dyDescent="0.25">
      <c r="D516" t="s">
        <v>13</v>
      </c>
      <c r="E516" t="s">
        <v>239</v>
      </c>
      <c r="F516" s="26" t="str">
        <f t="shared" si="40"/>
        <v>2024-04-11</v>
      </c>
      <c r="G516" s="26" t="str">
        <f t="shared" si="41"/>
        <v>2024-08-16</v>
      </c>
      <c r="H516">
        <f t="shared" si="42"/>
        <v>127</v>
      </c>
      <c r="K516" t="str">
        <f t="shared" si="43"/>
        <v>Семенова Ирина ВалерьевнаЛебедев Сергей Алексеевич</v>
      </c>
      <c r="L516" t="s">
        <v>10</v>
      </c>
      <c r="M516" t="s">
        <v>99</v>
      </c>
      <c r="N516" t="s">
        <v>314</v>
      </c>
      <c r="S516" t="str">
        <f t="shared" si="44"/>
        <v>Ткаченко Андрей ОлеговичВасильева Ксения Михайловна</v>
      </c>
      <c r="T516" t="s">
        <v>27</v>
      </c>
      <c r="U516" t="s">
        <v>57</v>
      </c>
      <c r="V516" t="s">
        <v>322</v>
      </c>
    </row>
    <row r="517" spans="4:22" x14ac:dyDescent="0.25">
      <c r="D517" t="s">
        <v>8</v>
      </c>
      <c r="E517" t="s">
        <v>93</v>
      </c>
      <c r="F517" s="26" t="str">
        <f t="shared" si="40"/>
        <v>2024-04-11</v>
      </c>
      <c r="G517" s="26" t="str">
        <f t="shared" si="41"/>
        <v>2024-04-11</v>
      </c>
      <c r="H517">
        <f t="shared" si="42"/>
        <v>0</v>
      </c>
      <c r="K517" t="str">
        <f t="shared" si="43"/>
        <v>Ткаченко Андрей ОлеговичВасильева Ксения Михайловна</v>
      </c>
      <c r="L517" t="s">
        <v>27</v>
      </c>
      <c r="M517" t="s">
        <v>57</v>
      </c>
      <c r="N517" t="s">
        <v>314</v>
      </c>
      <c r="S517" t="str">
        <f t="shared" si="44"/>
        <v>Яковлев Артем ИгоревичЛебедева Алиса Дмитриевна</v>
      </c>
      <c r="T517" t="s">
        <v>30</v>
      </c>
      <c r="U517" t="s">
        <v>269</v>
      </c>
      <c r="V517" t="s">
        <v>322</v>
      </c>
    </row>
    <row r="518" spans="4:22" x14ac:dyDescent="0.25">
      <c r="D518" t="s">
        <v>16</v>
      </c>
      <c r="E518" t="s">
        <v>121</v>
      </c>
      <c r="F518" s="26" t="str">
        <f t="shared" si="40"/>
        <v>2024-04-12</v>
      </c>
      <c r="G518" s="26" t="str">
        <f t="shared" si="41"/>
        <v>2024-04-12</v>
      </c>
      <c r="H518">
        <f t="shared" si="42"/>
        <v>0</v>
      </c>
      <c r="K518" t="str">
        <f t="shared" si="43"/>
        <v>Семенова Ирина ВалерьевнаНовиков Илья Кириллович</v>
      </c>
      <c r="L518" t="s">
        <v>10</v>
      </c>
      <c r="M518" t="s">
        <v>248</v>
      </c>
      <c r="N518" t="s">
        <v>314</v>
      </c>
      <c r="S518" t="str">
        <f t="shared" si="44"/>
        <v>Громова Мария ИльиничнаПопов Илья Сергеевич</v>
      </c>
      <c r="T518" t="s">
        <v>5</v>
      </c>
      <c r="U518" t="s">
        <v>232</v>
      </c>
      <c r="V518" t="s">
        <v>323</v>
      </c>
    </row>
    <row r="519" spans="4:22" x14ac:dyDescent="0.25">
      <c r="D519" t="s">
        <v>10</v>
      </c>
      <c r="E519" t="s">
        <v>346</v>
      </c>
      <c r="F519" s="26" t="str">
        <f t="shared" si="40"/>
        <v>2024-04-12</v>
      </c>
      <c r="G519" s="26" t="str">
        <f t="shared" si="41"/>
        <v>2024-05-02</v>
      </c>
      <c r="H519">
        <f t="shared" si="42"/>
        <v>20</v>
      </c>
      <c r="K519" t="str">
        <f t="shared" si="43"/>
        <v>Фролов Сергей ВикторовичСеменов Константин Егорович</v>
      </c>
      <c r="L519" t="s">
        <v>16</v>
      </c>
      <c r="M519" t="s">
        <v>188</v>
      </c>
      <c r="N519" t="s">
        <v>312</v>
      </c>
      <c r="S519" t="str">
        <f t="shared" si="44"/>
        <v>Петров Владимир КирилловичВолкова Татьяна Станиславовна</v>
      </c>
      <c r="T519" t="s">
        <v>18</v>
      </c>
      <c r="U519" t="s">
        <v>89</v>
      </c>
      <c r="V519" t="s">
        <v>323</v>
      </c>
    </row>
    <row r="520" spans="4:22" x14ac:dyDescent="0.25">
      <c r="D520" t="s">
        <v>16</v>
      </c>
      <c r="E520" t="s">
        <v>89</v>
      </c>
      <c r="F520" s="26" t="str">
        <f t="shared" si="40"/>
        <v>2024-04-15</v>
      </c>
      <c r="G520" s="26" t="str">
        <f t="shared" si="41"/>
        <v>2024-04-15</v>
      </c>
      <c r="H520">
        <f t="shared" si="42"/>
        <v>0</v>
      </c>
      <c r="K520" t="str">
        <f t="shared" si="43"/>
        <v>Громова Мария ИльиничнаОрлов Константин Станиславович</v>
      </c>
      <c r="L520" t="s">
        <v>5</v>
      </c>
      <c r="M520" t="s">
        <v>11</v>
      </c>
      <c r="N520" t="s">
        <v>312</v>
      </c>
      <c r="S520" t="str">
        <f t="shared" si="44"/>
        <v>Новикова Ольга ПетровнаСмирнов Максим Сергеевич</v>
      </c>
      <c r="T520" t="s">
        <v>45</v>
      </c>
      <c r="U520" t="s">
        <v>49</v>
      </c>
      <c r="V520" t="s">
        <v>323</v>
      </c>
    </row>
    <row r="521" spans="4:22" x14ac:dyDescent="0.25">
      <c r="D521" t="s">
        <v>8</v>
      </c>
      <c r="E521" t="s">
        <v>22</v>
      </c>
      <c r="F521" s="26" t="str">
        <f t="shared" si="40"/>
        <v>2024-04-15</v>
      </c>
      <c r="G521" s="26" t="str">
        <f t="shared" si="41"/>
        <v>2024-04-15</v>
      </c>
      <c r="H521">
        <f t="shared" si="42"/>
        <v>0</v>
      </c>
      <c r="K521" t="str">
        <f t="shared" si="43"/>
        <v>Новикова Ольга ПетровнаВолков Кирилл Юрьевич</v>
      </c>
      <c r="L521" t="s">
        <v>45</v>
      </c>
      <c r="M521" t="s">
        <v>151</v>
      </c>
      <c r="N521" t="s">
        <v>312</v>
      </c>
      <c r="S521" t="str">
        <f t="shared" si="44"/>
        <v>Громова Мария ИльиничнаФедорова Ксения Павловна</v>
      </c>
      <c r="T521" t="s">
        <v>5</v>
      </c>
      <c r="U521" t="s">
        <v>195</v>
      </c>
      <c r="V521" t="s">
        <v>323</v>
      </c>
    </row>
    <row r="522" spans="4:22" x14ac:dyDescent="0.25">
      <c r="D522" t="s">
        <v>25</v>
      </c>
      <c r="E522" t="s">
        <v>43</v>
      </c>
      <c r="F522" s="26" t="str">
        <f t="shared" si="40"/>
        <v>2024-04-15</v>
      </c>
      <c r="G522" s="26" t="str">
        <f t="shared" si="41"/>
        <v>2024-04-15</v>
      </c>
      <c r="H522">
        <f t="shared" si="42"/>
        <v>0</v>
      </c>
      <c r="K522" t="str">
        <f t="shared" si="43"/>
        <v>Кузнецов Дмитрий ЛьвовичПетрова Алиса Станиславовна</v>
      </c>
      <c r="L522" t="s">
        <v>38</v>
      </c>
      <c r="M522" t="s">
        <v>65</v>
      </c>
      <c r="N522" t="s">
        <v>312</v>
      </c>
      <c r="S522" t="str">
        <f t="shared" si="44"/>
        <v>Сидорова Елена ВасильевнаКозлова Полина Артемовна</v>
      </c>
      <c r="T522" t="s">
        <v>8</v>
      </c>
      <c r="U522" t="s">
        <v>17</v>
      </c>
      <c r="V522" t="s">
        <v>324</v>
      </c>
    </row>
    <row r="523" spans="4:22" x14ac:dyDescent="0.25">
      <c r="D523" t="s">
        <v>38</v>
      </c>
      <c r="E523" t="s">
        <v>161</v>
      </c>
      <c r="F523" s="26" t="str">
        <f t="shared" si="40"/>
        <v>2024-04-15</v>
      </c>
      <c r="G523" s="26" t="str">
        <f t="shared" si="41"/>
        <v>2024-04-15</v>
      </c>
      <c r="H523">
        <f t="shared" si="42"/>
        <v>0</v>
      </c>
      <c r="K523" t="str">
        <f t="shared" si="43"/>
        <v>Новикова Ольга ПетровнаКозлов Илья Егорович</v>
      </c>
      <c r="L523" t="s">
        <v>45</v>
      </c>
      <c r="M523" t="s">
        <v>80</v>
      </c>
      <c r="N523" t="s">
        <v>312</v>
      </c>
      <c r="S523" t="str">
        <f t="shared" si="44"/>
        <v>Петров Владимир КирилловичКозлова Ксения Ильинична</v>
      </c>
      <c r="T523" t="s">
        <v>18</v>
      </c>
      <c r="U523" t="s">
        <v>158</v>
      </c>
      <c r="V523" t="s">
        <v>324</v>
      </c>
    </row>
    <row r="524" spans="4:22" x14ac:dyDescent="0.25">
      <c r="D524" t="s">
        <v>13</v>
      </c>
      <c r="E524" t="s">
        <v>137</v>
      </c>
      <c r="F524" s="26" t="str">
        <f t="shared" si="40"/>
        <v>2024-04-16</v>
      </c>
      <c r="G524" s="26" t="str">
        <f t="shared" si="41"/>
        <v>2024-04-16</v>
      </c>
      <c r="H524">
        <f t="shared" si="42"/>
        <v>0</v>
      </c>
      <c r="K524" t="str">
        <f t="shared" si="43"/>
        <v>Яковлев Артем ИгоревичОрлова Анна Юрьевна</v>
      </c>
      <c r="L524" t="s">
        <v>30</v>
      </c>
      <c r="M524" t="s">
        <v>61</v>
      </c>
      <c r="N524" t="s">
        <v>312</v>
      </c>
      <c r="S524" t="str">
        <f t="shared" si="44"/>
        <v>Петров Владимир КирилловичИванов Роман Ильич</v>
      </c>
      <c r="T524" t="s">
        <v>18</v>
      </c>
      <c r="U524" t="s">
        <v>325</v>
      </c>
      <c r="V524" t="s">
        <v>324</v>
      </c>
    </row>
    <row r="525" spans="4:22" x14ac:dyDescent="0.25">
      <c r="D525" t="s">
        <v>5</v>
      </c>
      <c r="E525" t="s">
        <v>22</v>
      </c>
      <c r="F525" s="26" t="str">
        <f t="shared" si="40"/>
        <v>2024-04-16</v>
      </c>
      <c r="G525" s="26" t="str">
        <f t="shared" si="41"/>
        <v>2024-04-16</v>
      </c>
      <c r="H525">
        <f t="shared" si="42"/>
        <v>0</v>
      </c>
      <c r="K525" t="str">
        <f t="shared" si="43"/>
        <v>Иванова Анна СергеевнаВасильева Ольга Кирилловна</v>
      </c>
      <c r="L525" t="s">
        <v>13</v>
      </c>
      <c r="M525" t="s">
        <v>313</v>
      </c>
      <c r="N525" t="s">
        <v>312</v>
      </c>
      <c r="S525" t="str">
        <f t="shared" si="44"/>
        <v>Кузнецов Дмитрий ЛьвовичФедорова Наталья Геннадьевна</v>
      </c>
      <c r="T525" t="s">
        <v>38</v>
      </c>
      <c r="U525" t="s">
        <v>43</v>
      </c>
      <c r="V525" t="s">
        <v>324</v>
      </c>
    </row>
    <row r="526" spans="4:22" x14ac:dyDescent="0.25">
      <c r="D526" t="s">
        <v>13</v>
      </c>
      <c r="E526" t="s">
        <v>249</v>
      </c>
      <c r="F526" s="26" t="str">
        <f t="shared" si="40"/>
        <v>2024-04-16</v>
      </c>
      <c r="G526" s="26" t="str">
        <f t="shared" si="41"/>
        <v>2024-04-16</v>
      </c>
      <c r="H526">
        <f t="shared" si="42"/>
        <v>0</v>
      </c>
      <c r="K526" t="str">
        <f t="shared" si="43"/>
        <v>Иванова Анна СергеевнаСеменов Алексей Владимирович</v>
      </c>
      <c r="L526" t="s">
        <v>13</v>
      </c>
      <c r="M526" t="s">
        <v>35</v>
      </c>
      <c r="N526" t="s">
        <v>312</v>
      </c>
      <c r="S526" t="str">
        <f t="shared" si="44"/>
        <v>Новикова Ольга ПетровнаИванов Роман Кириллович</v>
      </c>
      <c r="T526" t="s">
        <v>45</v>
      </c>
      <c r="U526" t="s">
        <v>91</v>
      </c>
      <c r="V526" t="s">
        <v>326</v>
      </c>
    </row>
    <row r="527" spans="4:22" x14ac:dyDescent="0.25">
      <c r="D527" t="s">
        <v>38</v>
      </c>
      <c r="E527" t="s">
        <v>212</v>
      </c>
      <c r="F527" s="26" t="str">
        <f t="shared" si="40"/>
        <v>2024-04-17</v>
      </c>
      <c r="G527" s="26" t="str">
        <f t="shared" si="41"/>
        <v>2024-04-17</v>
      </c>
      <c r="H527">
        <f t="shared" si="42"/>
        <v>0</v>
      </c>
      <c r="K527" t="str">
        <f t="shared" si="43"/>
        <v>Кузнецов Дмитрий ЛьвовичВолкова Вероника Владимировна</v>
      </c>
      <c r="L527" t="s">
        <v>38</v>
      </c>
      <c r="M527" t="s">
        <v>293</v>
      </c>
      <c r="N527" t="s">
        <v>312</v>
      </c>
      <c r="S527" t="str">
        <f t="shared" si="44"/>
        <v>Орлов Павел ДенисовичСмирнов Максим Сергеевич</v>
      </c>
      <c r="T527" t="s">
        <v>47</v>
      </c>
      <c r="U527" t="s">
        <v>49</v>
      </c>
      <c r="V527" t="s">
        <v>326</v>
      </c>
    </row>
    <row r="528" spans="4:22" x14ac:dyDescent="0.25">
      <c r="D528" t="s">
        <v>47</v>
      </c>
      <c r="E528" t="s">
        <v>139</v>
      </c>
      <c r="F528" s="26" t="str">
        <f t="shared" si="40"/>
        <v>2024-04-17</v>
      </c>
      <c r="G528" s="26" t="str">
        <f t="shared" si="41"/>
        <v>2024-04-17</v>
      </c>
      <c r="H528">
        <f t="shared" si="42"/>
        <v>0</v>
      </c>
      <c r="K528" t="str">
        <f t="shared" si="43"/>
        <v>Новикова Ольга ПетровнаКузнецов Максим Алексеевич</v>
      </c>
      <c r="L528" t="s">
        <v>45</v>
      </c>
      <c r="M528" t="s">
        <v>53</v>
      </c>
      <c r="N528" t="s">
        <v>312</v>
      </c>
      <c r="S528" t="str">
        <f t="shared" si="44"/>
        <v>Петров Владимир КирилловичВолков Алексей Егорович</v>
      </c>
      <c r="T528" t="s">
        <v>18</v>
      </c>
      <c r="U528" t="s">
        <v>98</v>
      </c>
      <c r="V528" t="s">
        <v>327</v>
      </c>
    </row>
    <row r="529" spans="4:22" x14ac:dyDescent="0.25">
      <c r="D529" t="s">
        <v>30</v>
      </c>
      <c r="E529" t="s">
        <v>70</v>
      </c>
      <c r="F529" s="26" t="str">
        <f t="shared" si="40"/>
        <v>2024-04-18</v>
      </c>
      <c r="G529" s="26" t="str">
        <f t="shared" si="41"/>
        <v>2024-04-18</v>
      </c>
      <c r="H529">
        <f t="shared" si="42"/>
        <v>0</v>
      </c>
      <c r="K529" t="str">
        <f t="shared" si="43"/>
        <v>Новикова Ольга ПетровнаПопов Илья Сергеевич</v>
      </c>
      <c r="L529" t="s">
        <v>45</v>
      </c>
      <c r="M529" t="s">
        <v>232</v>
      </c>
      <c r="N529" t="s">
        <v>312</v>
      </c>
      <c r="S529" t="str">
        <f t="shared" si="44"/>
        <v>Белов Алексей КонстантиновичОрлова Ольга Егоровна</v>
      </c>
      <c r="T529" t="s">
        <v>25</v>
      </c>
      <c r="U529" t="s">
        <v>272</v>
      </c>
      <c r="V529" t="s">
        <v>327</v>
      </c>
    </row>
    <row r="530" spans="4:22" x14ac:dyDescent="0.25">
      <c r="D530" t="s">
        <v>38</v>
      </c>
      <c r="E530" t="s">
        <v>331</v>
      </c>
      <c r="F530" s="26" t="str">
        <f t="shared" si="40"/>
        <v>2024-04-18</v>
      </c>
      <c r="G530" s="26" t="str">
        <f t="shared" si="41"/>
        <v>2024-04-18</v>
      </c>
      <c r="H530">
        <f t="shared" si="42"/>
        <v>0</v>
      </c>
      <c r="K530" t="str">
        <f t="shared" si="43"/>
        <v>Кузнецов Дмитрий ЛьвовичСеменов Павел Юрьевич</v>
      </c>
      <c r="L530" t="s">
        <v>38</v>
      </c>
      <c r="M530" t="s">
        <v>128</v>
      </c>
      <c r="N530" t="s">
        <v>312</v>
      </c>
      <c r="S530" t="str">
        <f t="shared" si="44"/>
        <v>Громова Мария ИльиничнаСмирнов Роман Юрьевич</v>
      </c>
      <c r="T530" t="s">
        <v>5</v>
      </c>
      <c r="U530" t="s">
        <v>229</v>
      </c>
      <c r="V530" t="s">
        <v>328</v>
      </c>
    </row>
    <row r="531" spans="4:22" x14ac:dyDescent="0.25">
      <c r="D531" t="s">
        <v>45</v>
      </c>
      <c r="E531" t="s">
        <v>24</v>
      </c>
      <c r="F531" s="26" t="str">
        <f t="shared" si="40"/>
        <v>2024-04-18</v>
      </c>
      <c r="G531" s="26" t="str">
        <f t="shared" si="41"/>
        <v>2024-07-17</v>
      </c>
      <c r="H531">
        <f t="shared" si="42"/>
        <v>90</v>
      </c>
      <c r="K531" t="str">
        <f t="shared" si="43"/>
        <v>Сидорова Елена ВасильевнаСеменов Роман Павлович</v>
      </c>
      <c r="L531" t="s">
        <v>8</v>
      </c>
      <c r="M531" t="s">
        <v>196</v>
      </c>
      <c r="N531" t="s">
        <v>312</v>
      </c>
      <c r="S531" t="str">
        <f t="shared" si="44"/>
        <v>Фролов Сергей ВикторовичПавлов Матвей Владимирович</v>
      </c>
      <c r="T531" t="s">
        <v>16</v>
      </c>
      <c r="U531" t="s">
        <v>152</v>
      </c>
      <c r="V531" t="s">
        <v>328</v>
      </c>
    </row>
    <row r="532" spans="4:22" x14ac:dyDescent="0.25">
      <c r="D532" t="s">
        <v>27</v>
      </c>
      <c r="E532" t="s">
        <v>80</v>
      </c>
      <c r="F532" s="26" t="str">
        <f t="shared" si="40"/>
        <v>2024-04-19</v>
      </c>
      <c r="G532" s="26" t="str">
        <f t="shared" si="41"/>
        <v>2024-04-19</v>
      </c>
      <c r="H532">
        <f t="shared" si="42"/>
        <v>0</v>
      </c>
      <c r="K532" t="str">
        <f t="shared" si="43"/>
        <v>Новикова Ольга ПетровнаВолкова Татьяна Станиславовна</v>
      </c>
      <c r="L532" t="s">
        <v>45</v>
      </c>
      <c r="M532" t="s">
        <v>89</v>
      </c>
      <c r="N532" t="s">
        <v>311</v>
      </c>
      <c r="S532" t="str">
        <f t="shared" si="44"/>
        <v>Сидорова Елена ВасильевнаМорозов Максим Сергеевич</v>
      </c>
      <c r="T532" t="s">
        <v>8</v>
      </c>
      <c r="U532" t="s">
        <v>239</v>
      </c>
      <c r="V532" t="s">
        <v>328</v>
      </c>
    </row>
    <row r="533" spans="4:22" x14ac:dyDescent="0.25">
      <c r="D533" t="s">
        <v>27</v>
      </c>
      <c r="E533" t="s">
        <v>239</v>
      </c>
      <c r="F533" s="26" t="str">
        <f t="shared" si="40"/>
        <v>2024-04-19</v>
      </c>
      <c r="G533" s="26" t="str">
        <f t="shared" si="41"/>
        <v>2024-04-19</v>
      </c>
      <c r="H533">
        <f t="shared" si="42"/>
        <v>0</v>
      </c>
      <c r="K533" t="str">
        <f t="shared" si="43"/>
        <v>Орлов Павел ДенисовичОрлов Андрей Никитич</v>
      </c>
      <c r="L533" t="s">
        <v>47</v>
      </c>
      <c r="M533" t="s">
        <v>142</v>
      </c>
      <c r="N533" t="s">
        <v>311</v>
      </c>
      <c r="S533" t="str">
        <f t="shared" si="44"/>
        <v>Громова Мария ИльиничнаСидорова Людмила Никитична</v>
      </c>
      <c r="T533" t="s">
        <v>5</v>
      </c>
      <c r="U533" t="s">
        <v>329</v>
      </c>
      <c r="V533" t="s">
        <v>330</v>
      </c>
    </row>
    <row r="534" spans="4:22" x14ac:dyDescent="0.25">
      <c r="D534" t="s">
        <v>25</v>
      </c>
      <c r="E534" t="s">
        <v>108</v>
      </c>
      <c r="F534" s="26" t="str">
        <f t="shared" si="40"/>
        <v>2024-04-22</v>
      </c>
      <c r="G534" s="26" t="str">
        <f t="shared" si="41"/>
        <v>2024-04-22</v>
      </c>
      <c r="H534">
        <f t="shared" si="42"/>
        <v>0</v>
      </c>
      <c r="K534" t="str">
        <f t="shared" si="43"/>
        <v>Новикова Ольга ПетровнаПетров Алексей Юрьевич</v>
      </c>
      <c r="L534" t="s">
        <v>45</v>
      </c>
      <c r="M534" t="s">
        <v>22</v>
      </c>
      <c r="N534" t="s">
        <v>310</v>
      </c>
      <c r="S534" t="str">
        <f t="shared" si="44"/>
        <v>Белов Алексей КонстантиновичНовиков Михаил Павлович</v>
      </c>
      <c r="T534" t="s">
        <v>25</v>
      </c>
      <c r="U534" t="s">
        <v>331</v>
      </c>
      <c r="V534" t="s">
        <v>330</v>
      </c>
    </row>
    <row r="535" spans="4:22" x14ac:dyDescent="0.25">
      <c r="D535" t="s">
        <v>8</v>
      </c>
      <c r="E535" t="s">
        <v>211</v>
      </c>
      <c r="F535" s="26" t="str">
        <f t="shared" si="40"/>
        <v>2024-04-22</v>
      </c>
      <c r="G535" s="26" t="str">
        <f t="shared" si="41"/>
        <v>2024-08-19</v>
      </c>
      <c r="H535">
        <f t="shared" si="42"/>
        <v>119</v>
      </c>
      <c r="K535" t="str">
        <f t="shared" si="43"/>
        <v>Белов Алексей КонстантиновичОрлов Андрей Никитич</v>
      </c>
      <c r="L535" t="s">
        <v>25</v>
      </c>
      <c r="M535" t="s">
        <v>142</v>
      </c>
      <c r="N535" t="s">
        <v>308</v>
      </c>
      <c r="S535" t="str">
        <f t="shared" si="44"/>
        <v>Петров Владимир КирилловичНовиков Илья Кириллович</v>
      </c>
      <c r="T535" t="s">
        <v>18</v>
      </c>
      <c r="U535" t="s">
        <v>248</v>
      </c>
      <c r="V535" t="s">
        <v>330</v>
      </c>
    </row>
    <row r="536" spans="4:22" x14ac:dyDescent="0.25">
      <c r="D536" t="s">
        <v>47</v>
      </c>
      <c r="E536" t="s">
        <v>306</v>
      </c>
      <c r="F536" s="26" t="str">
        <f t="shared" si="40"/>
        <v>2024-04-22</v>
      </c>
      <c r="G536" s="26" t="str">
        <f t="shared" si="41"/>
        <v>2024-04-25</v>
      </c>
      <c r="H536">
        <f t="shared" si="42"/>
        <v>3</v>
      </c>
      <c r="K536" t="str">
        <f t="shared" si="43"/>
        <v>Петров Владимир КирилловичФедоров Артур Станиславович</v>
      </c>
      <c r="L536" t="s">
        <v>18</v>
      </c>
      <c r="M536" t="s">
        <v>309</v>
      </c>
      <c r="N536" t="s">
        <v>308</v>
      </c>
      <c r="S536" t="str">
        <f t="shared" si="44"/>
        <v>Громова Мария ИльиничнаСеменова Наталья Олеговна</v>
      </c>
      <c r="T536" t="s">
        <v>5</v>
      </c>
      <c r="U536" t="s">
        <v>249</v>
      </c>
      <c r="V536" t="s">
        <v>330</v>
      </c>
    </row>
    <row r="537" spans="4:22" x14ac:dyDescent="0.25">
      <c r="D537" t="s">
        <v>5</v>
      </c>
      <c r="E537" t="s">
        <v>64</v>
      </c>
      <c r="F537" s="26" t="str">
        <f t="shared" si="40"/>
        <v>2024-04-22</v>
      </c>
      <c r="G537" s="26" t="str">
        <f t="shared" si="41"/>
        <v>2024-04-22</v>
      </c>
      <c r="H537">
        <f t="shared" si="42"/>
        <v>0</v>
      </c>
      <c r="K537" t="str">
        <f t="shared" si="43"/>
        <v>Сидорова Елена ВасильевнаКузнецова Мария Дмитриевна</v>
      </c>
      <c r="L537" t="s">
        <v>8</v>
      </c>
      <c r="M537" t="s">
        <v>42</v>
      </c>
      <c r="N537" t="s">
        <v>308</v>
      </c>
      <c r="S537" t="str">
        <f t="shared" si="44"/>
        <v>Петров Владимир КирилловичКозлова Светлана Михайловна</v>
      </c>
      <c r="T537" t="s">
        <v>18</v>
      </c>
      <c r="U537" t="s">
        <v>265</v>
      </c>
      <c r="V537" t="s">
        <v>330</v>
      </c>
    </row>
    <row r="538" spans="4:22" x14ac:dyDescent="0.25">
      <c r="D538" t="s">
        <v>16</v>
      </c>
      <c r="E538" t="s">
        <v>81</v>
      </c>
      <c r="F538" s="26" t="str">
        <f t="shared" si="40"/>
        <v>2024-04-22</v>
      </c>
      <c r="G538" s="26" t="str">
        <f t="shared" si="41"/>
        <v>2024-04-22</v>
      </c>
      <c r="H538">
        <f t="shared" si="42"/>
        <v>0</v>
      </c>
      <c r="K538" t="str">
        <f t="shared" si="43"/>
        <v>Сидорова Елена ВасильевнаКозлов Илья Егорович</v>
      </c>
      <c r="L538" t="s">
        <v>8</v>
      </c>
      <c r="M538" t="s">
        <v>80</v>
      </c>
      <c r="N538" t="s">
        <v>308</v>
      </c>
      <c r="S538" t="str">
        <f t="shared" si="44"/>
        <v>Белов Алексей КонстантиновичОрлов Павел Юрьевич</v>
      </c>
      <c r="T538" t="s">
        <v>25</v>
      </c>
      <c r="U538" t="s">
        <v>227</v>
      </c>
      <c r="V538" t="s">
        <v>330</v>
      </c>
    </row>
    <row r="539" spans="4:22" x14ac:dyDescent="0.25">
      <c r="D539" t="s">
        <v>30</v>
      </c>
      <c r="E539" t="s">
        <v>28</v>
      </c>
      <c r="F539" s="26" t="str">
        <f t="shared" si="40"/>
        <v>2024-04-24</v>
      </c>
      <c r="G539" s="26" t="str">
        <f t="shared" si="41"/>
        <v>2024-04-24</v>
      </c>
      <c r="H539">
        <f t="shared" si="42"/>
        <v>0</v>
      </c>
      <c r="K539" t="str">
        <f t="shared" si="43"/>
        <v>Иванова Анна СергеевнаОрлова Анна Юрьевна</v>
      </c>
      <c r="L539" t="s">
        <v>13</v>
      </c>
      <c r="M539" t="s">
        <v>61</v>
      </c>
      <c r="N539" t="s">
        <v>308</v>
      </c>
      <c r="S539" t="str">
        <f t="shared" si="44"/>
        <v>Новикова Ольга ПетровнаКузнецов Максим Алексеевич</v>
      </c>
      <c r="T539" t="s">
        <v>45</v>
      </c>
      <c r="U539" t="s">
        <v>53</v>
      </c>
      <c r="V539" t="s">
        <v>330</v>
      </c>
    </row>
    <row r="540" spans="4:22" x14ac:dyDescent="0.25">
      <c r="D540" t="s">
        <v>47</v>
      </c>
      <c r="E540" t="s">
        <v>88</v>
      </c>
      <c r="F540" s="26" t="str">
        <f t="shared" si="40"/>
        <v>2024-04-24</v>
      </c>
      <c r="G540" s="26" t="str">
        <f t="shared" si="41"/>
        <v>2024-04-24</v>
      </c>
      <c r="H540">
        <f t="shared" si="42"/>
        <v>0</v>
      </c>
      <c r="K540" t="str">
        <f t="shared" si="43"/>
        <v>Громова Мария ИльиничнаПавлов Матвей Владимирович</v>
      </c>
      <c r="L540" t="s">
        <v>5</v>
      </c>
      <c r="M540" t="s">
        <v>152</v>
      </c>
      <c r="N540" t="s">
        <v>305</v>
      </c>
      <c r="S540" t="str">
        <f t="shared" si="44"/>
        <v>Сидорова Елена ВасильевнаСидоров Владимир Артемович</v>
      </c>
      <c r="T540" t="s">
        <v>8</v>
      </c>
      <c r="U540" t="s">
        <v>32</v>
      </c>
      <c r="V540" t="s">
        <v>330</v>
      </c>
    </row>
    <row r="541" spans="4:22" x14ac:dyDescent="0.25">
      <c r="D541" t="s">
        <v>38</v>
      </c>
      <c r="E541" t="s">
        <v>307</v>
      </c>
      <c r="F541" s="26" t="str">
        <f t="shared" si="40"/>
        <v>2024-04-25</v>
      </c>
      <c r="G541" s="26" t="str">
        <f t="shared" si="41"/>
        <v>2024-04-25</v>
      </c>
      <c r="H541">
        <f t="shared" si="42"/>
        <v>0</v>
      </c>
      <c r="K541" t="str">
        <f t="shared" si="43"/>
        <v>Семенова Ирина ВалерьевнаСтепанова Полина Михайловна</v>
      </c>
      <c r="L541" t="s">
        <v>10</v>
      </c>
      <c r="M541" t="s">
        <v>50</v>
      </c>
      <c r="N541" t="s">
        <v>305</v>
      </c>
      <c r="S541" t="str">
        <f t="shared" si="44"/>
        <v>Сидорова Елена ВасильевнаНиколаева София Никитична</v>
      </c>
      <c r="T541" t="s">
        <v>8</v>
      </c>
      <c r="U541" t="s">
        <v>176</v>
      </c>
      <c r="V541" t="s">
        <v>330</v>
      </c>
    </row>
    <row r="542" spans="4:22" x14ac:dyDescent="0.25">
      <c r="D542" t="s">
        <v>10</v>
      </c>
      <c r="E542" t="s">
        <v>113</v>
      </c>
      <c r="F542" s="26" t="str">
        <f t="shared" si="40"/>
        <v>2024-04-25</v>
      </c>
      <c r="G542" s="26" t="str">
        <f t="shared" si="41"/>
        <v>2024-04-25</v>
      </c>
      <c r="H542">
        <f t="shared" si="42"/>
        <v>0</v>
      </c>
      <c r="K542" t="str">
        <f t="shared" si="43"/>
        <v>Яковлев Артем ИгоревичПопова Людмила Егоровна</v>
      </c>
      <c r="L542" t="s">
        <v>30</v>
      </c>
      <c r="M542" t="s">
        <v>217</v>
      </c>
      <c r="N542" t="s">
        <v>305</v>
      </c>
      <c r="S542" t="str">
        <f t="shared" si="44"/>
        <v>Орлов Павел ДенисовичПавлов Сергей Артемович</v>
      </c>
      <c r="T542" t="s">
        <v>47</v>
      </c>
      <c r="U542" t="s">
        <v>144</v>
      </c>
      <c r="V542" t="s">
        <v>330</v>
      </c>
    </row>
    <row r="543" spans="4:22" x14ac:dyDescent="0.25">
      <c r="D543" t="s">
        <v>16</v>
      </c>
      <c r="E543" t="s">
        <v>146</v>
      </c>
      <c r="F543" s="26" t="str">
        <f t="shared" si="40"/>
        <v>2024-04-25</v>
      </c>
      <c r="G543" s="26" t="str">
        <f t="shared" si="41"/>
        <v>2024-08-26</v>
      </c>
      <c r="H543">
        <f t="shared" si="42"/>
        <v>123</v>
      </c>
      <c r="K543" t="str">
        <f t="shared" si="43"/>
        <v>Яковлев Артем ИгоревичНовикова София Андреевна</v>
      </c>
      <c r="L543" t="s">
        <v>30</v>
      </c>
      <c r="M543" t="s">
        <v>306</v>
      </c>
      <c r="N543" t="s">
        <v>305</v>
      </c>
      <c r="S543" t="str">
        <f t="shared" si="44"/>
        <v>Громова Мария ИльиничнаАлексеев Илья Владимирович</v>
      </c>
      <c r="T543" t="s">
        <v>5</v>
      </c>
      <c r="U543" t="s">
        <v>332</v>
      </c>
      <c r="V543" t="s">
        <v>333</v>
      </c>
    </row>
    <row r="544" spans="4:22" x14ac:dyDescent="0.25">
      <c r="D544" t="s">
        <v>47</v>
      </c>
      <c r="E544" t="s">
        <v>363</v>
      </c>
      <c r="F544" s="26" t="str">
        <f t="shared" si="40"/>
        <v>2024-04-26</v>
      </c>
      <c r="G544" s="26" t="str">
        <f t="shared" si="41"/>
        <v>2024-04-26</v>
      </c>
      <c r="H544">
        <f t="shared" si="42"/>
        <v>0</v>
      </c>
      <c r="K544" t="str">
        <f t="shared" si="43"/>
        <v>Яковлев Артем ИгоревичОрлов Роман Ильич</v>
      </c>
      <c r="L544" t="s">
        <v>30</v>
      </c>
      <c r="M544" t="s">
        <v>72</v>
      </c>
      <c r="N544" t="s">
        <v>305</v>
      </c>
      <c r="S544" t="str">
        <f t="shared" si="44"/>
        <v>Кузнецов Дмитрий ЛьвовичСмирнов Роман Юрьевич</v>
      </c>
      <c r="T544" t="s">
        <v>38</v>
      </c>
      <c r="U544" t="s">
        <v>229</v>
      </c>
      <c r="V544" t="s">
        <v>334</v>
      </c>
    </row>
    <row r="545" spans="4:22" x14ac:dyDescent="0.25">
      <c r="D545" t="s">
        <v>30</v>
      </c>
      <c r="E545" t="s">
        <v>81</v>
      </c>
      <c r="F545" s="26" t="str">
        <f t="shared" si="40"/>
        <v>2024-04-26</v>
      </c>
      <c r="G545" s="26" t="str">
        <f t="shared" si="41"/>
        <v>2024-04-26</v>
      </c>
      <c r="H545">
        <f t="shared" si="42"/>
        <v>0</v>
      </c>
      <c r="K545" t="str">
        <f t="shared" si="43"/>
        <v>Сидорова Елена ВасильевнаСидоров Дмитрий Владимирович</v>
      </c>
      <c r="L545" t="s">
        <v>8</v>
      </c>
      <c r="M545" t="s">
        <v>155</v>
      </c>
      <c r="N545" t="s">
        <v>305</v>
      </c>
      <c r="S545" t="str">
        <f t="shared" si="44"/>
        <v>Фролов Сергей ВикторовичПетров Михаил Ильич</v>
      </c>
      <c r="T545" t="s">
        <v>16</v>
      </c>
      <c r="U545" t="s">
        <v>177</v>
      </c>
      <c r="V545" t="s">
        <v>335</v>
      </c>
    </row>
    <row r="546" spans="4:22" x14ac:dyDescent="0.25">
      <c r="D546" t="s">
        <v>18</v>
      </c>
      <c r="E546" t="s">
        <v>180</v>
      </c>
      <c r="F546" s="26" t="str">
        <f t="shared" si="40"/>
        <v>2024-04-26</v>
      </c>
      <c r="G546" s="26" t="str">
        <f t="shared" si="41"/>
        <v>2024-04-26</v>
      </c>
      <c r="H546">
        <f t="shared" si="42"/>
        <v>0</v>
      </c>
      <c r="K546" t="str">
        <f t="shared" si="43"/>
        <v>Фролов Сергей ВикторовичПопов Никита Геннадьевич</v>
      </c>
      <c r="L546" t="s">
        <v>16</v>
      </c>
      <c r="M546" t="s">
        <v>68</v>
      </c>
      <c r="N546" t="s">
        <v>305</v>
      </c>
      <c r="S546" t="str">
        <f t="shared" si="44"/>
        <v>Белов Алексей КонстантиновичЕгорова Алиса Михайловна</v>
      </c>
      <c r="T546" t="s">
        <v>25</v>
      </c>
      <c r="U546" t="s">
        <v>117</v>
      </c>
      <c r="V546" t="s">
        <v>335</v>
      </c>
    </row>
    <row r="547" spans="4:22" x14ac:dyDescent="0.25">
      <c r="D547" t="s">
        <v>13</v>
      </c>
      <c r="E547" t="s">
        <v>63</v>
      </c>
      <c r="F547" s="26" t="str">
        <f t="shared" si="40"/>
        <v>2024-04-29</v>
      </c>
      <c r="G547" s="26" t="str">
        <f t="shared" si="41"/>
        <v>2024-04-29</v>
      </c>
      <c r="H547">
        <f t="shared" si="42"/>
        <v>0</v>
      </c>
      <c r="K547" t="str">
        <f t="shared" si="43"/>
        <v>Новикова Ольга ПетровнаСидоров Егор Александрович</v>
      </c>
      <c r="L547" t="s">
        <v>45</v>
      </c>
      <c r="M547" t="s">
        <v>153</v>
      </c>
      <c r="N547" t="s">
        <v>305</v>
      </c>
      <c r="S547" t="str">
        <f t="shared" si="44"/>
        <v>Петров Владимир КирилловичВасильева Ксения Михайловна</v>
      </c>
      <c r="T547" t="s">
        <v>18</v>
      </c>
      <c r="U547" t="s">
        <v>57</v>
      </c>
      <c r="V547" t="s">
        <v>336</v>
      </c>
    </row>
    <row r="548" spans="4:22" x14ac:dyDescent="0.25">
      <c r="D548" t="s">
        <v>8</v>
      </c>
      <c r="E548" t="s">
        <v>190</v>
      </c>
      <c r="F548" s="26" t="str">
        <f t="shared" si="40"/>
        <v>2024-04-29</v>
      </c>
      <c r="G548" s="26" t="str">
        <f t="shared" si="41"/>
        <v>2024-04-29</v>
      </c>
      <c r="H548">
        <f t="shared" si="42"/>
        <v>0</v>
      </c>
      <c r="K548" t="str">
        <f t="shared" si="43"/>
        <v>Орлов Павел ДенисовичСмирнова Алиса Михайловна</v>
      </c>
      <c r="L548" t="s">
        <v>47</v>
      </c>
      <c r="M548" t="s">
        <v>205</v>
      </c>
      <c r="N548" t="s">
        <v>305</v>
      </c>
      <c r="S548" t="str">
        <f t="shared" si="44"/>
        <v>Сидорова Елена ВасильевнаПавлов Матвей Владимирович</v>
      </c>
      <c r="T548" t="s">
        <v>8</v>
      </c>
      <c r="U548" t="s">
        <v>152</v>
      </c>
      <c r="V548" t="s">
        <v>336</v>
      </c>
    </row>
    <row r="549" spans="4:22" x14ac:dyDescent="0.25">
      <c r="D549" t="s">
        <v>10</v>
      </c>
      <c r="E549" t="s">
        <v>279</v>
      </c>
      <c r="F549" s="26" t="str">
        <f t="shared" si="40"/>
        <v>2024-04-29</v>
      </c>
      <c r="G549" s="26" t="str">
        <f t="shared" si="41"/>
        <v>2024-04-29</v>
      </c>
      <c r="H549">
        <f t="shared" si="42"/>
        <v>0</v>
      </c>
      <c r="K549" t="str">
        <f t="shared" si="43"/>
        <v>Сидорова Елена ВасильевнаЛебедева Ирина Кирилловна</v>
      </c>
      <c r="L549" t="s">
        <v>8</v>
      </c>
      <c r="M549" t="s">
        <v>73</v>
      </c>
      <c r="N549" t="s">
        <v>305</v>
      </c>
      <c r="S549" t="str">
        <f t="shared" si="44"/>
        <v>Петров Владимир КирилловичНовиков Матвей Егорович</v>
      </c>
      <c r="T549" t="s">
        <v>18</v>
      </c>
      <c r="U549" t="s">
        <v>33</v>
      </c>
      <c r="V549" t="s">
        <v>337</v>
      </c>
    </row>
    <row r="550" spans="4:22" x14ac:dyDescent="0.25">
      <c r="D550" t="s">
        <v>10</v>
      </c>
      <c r="E550" t="s">
        <v>137</v>
      </c>
      <c r="F550" s="26" t="str">
        <f t="shared" si="40"/>
        <v>2024-04-29</v>
      </c>
      <c r="G550" s="26" t="str">
        <f t="shared" si="41"/>
        <v>2024-04-29</v>
      </c>
      <c r="H550">
        <f t="shared" si="42"/>
        <v>0</v>
      </c>
      <c r="K550" t="str">
        <f t="shared" si="43"/>
        <v>Громова Мария ИльиничнаСтепанова Ольга Андреевна</v>
      </c>
      <c r="L550" t="s">
        <v>5</v>
      </c>
      <c r="M550" t="s">
        <v>307</v>
      </c>
      <c r="N550" t="s">
        <v>305</v>
      </c>
      <c r="S550" t="str">
        <f t="shared" si="44"/>
        <v>Новикова Ольга ПетровнаНиколаев Иван Сергеевич</v>
      </c>
      <c r="T550" t="s">
        <v>45</v>
      </c>
      <c r="U550" t="s">
        <v>338</v>
      </c>
      <c r="V550" t="s">
        <v>337</v>
      </c>
    </row>
    <row r="551" spans="4:22" x14ac:dyDescent="0.25">
      <c r="D551" t="s">
        <v>27</v>
      </c>
      <c r="E551" t="s">
        <v>215</v>
      </c>
      <c r="F551" s="26" t="str">
        <f t="shared" si="40"/>
        <v>2024-04-30</v>
      </c>
      <c r="G551" s="26" t="str">
        <f t="shared" si="41"/>
        <v>2024-04-30</v>
      </c>
      <c r="H551">
        <f t="shared" si="42"/>
        <v>0</v>
      </c>
      <c r="K551" t="str">
        <f t="shared" si="43"/>
        <v>Орлов Павел ДенисовичПетров Алексей Артемович</v>
      </c>
      <c r="L551" t="s">
        <v>47</v>
      </c>
      <c r="M551" t="s">
        <v>51</v>
      </c>
      <c r="N551" t="s">
        <v>305</v>
      </c>
      <c r="S551" t="str">
        <f t="shared" si="44"/>
        <v>Сидорова Елена ВасильевнаЛебедев Матвей Сергеевич</v>
      </c>
      <c r="T551" t="s">
        <v>8</v>
      </c>
      <c r="U551" t="s">
        <v>243</v>
      </c>
      <c r="V551" t="s">
        <v>337</v>
      </c>
    </row>
    <row r="552" spans="4:22" x14ac:dyDescent="0.25">
      <c r="D552" t="s">
        <v>8</v>
      </c>
      <c r="E552" t="s">
        <v>70</v>
      </c>
      <c r="F552" s="26" t="str">
        <f t="shared" si="40"/>
        <v>2024-05-01</v>
      </c>
      <c r="G552" s="26" t="str">
        <f t="shared" si="41"/>
        <v>2024-05-01</v>
      </c>
      <c r="H552">
        <f t="shared" si="42"/>
        <v>0</v>
      </c>
      <c r="K552" t="str">
        <f t="shared" si="43"/>
        <v>Новикова Ольга ПетровнаОрлова Юлия Сергеевна</v>
      </c>
      <c r="L552" t="s">
        <v>45</v>
      </c>
      <c r="M552" t="s">
        <v>157</v>
      </c>
      <c r="N552" t="s">
        <v>304</v>
      </c>
      <c r="S552" t="str">
        <f t="shared" si="44"/>
        <v>Громова Мария ИльиничнаАлексеев Кирилл Сергеевич</v>
      </c>
      <c r="T552" t="s">
        <v>5</v>
      </c>
      <c r="U552" t="s">
        <v>206</v>
      </c>
      <c r="V552" t="s">
        <v>339</v>
      </c>
    </row>
    <row r="553" spans="4:22" x14ac:dyDescent="0.25">
      <c r="D553" t="s">
        <v>16</v>
      </c>
      <c r="E553" t="s">
        <v>126</v>
      </c>
      <c r="F553" s="26" t="str">
        <f t="shared" si="40"/>
        <v>2024-05-02</v>
      </c>
      <c r="G553" s="26" t="str">
        <f t="shared" si="41"/>
        <v>2024-05-02</v>
      </c>
      <c r="H553">
        <f t="shared" si="42"/>
        <v>0</v>
      </c>
      <c r="K553" t="str">
        <f t="shared" si="43"/>
        <v>Петров Владимир КирилловичСмирнов Иван Ильич</v>
      </c>
      <c r="L553" t="s">
        <v>18</v>
      </c>
      <c r="M553" t="s">
        <v>114</v>
      </c>
      <c r="N553" t="s">
        <v>304</v>
      </c>
      <c r="S553" t="str">
        <f t="shared" si="44"/>
        <v>Семенова Ирина ВалерьевнаЕгоров Дмитрий Дмитриевич</v>
      </c>
      <c r="T553" t="s">
        <v>10</v>
      </c>
      <c r="U553" t="s">
        <v>224</v>
      </c>
      <c r="V553" t="s">
        <v>339</v>
      </c>
    </row>
    <row r="554" spans="4:22" x14ac:dyDescent="0.25">
      <c r="D554" t="s">
        <v>47</v>
      </c>
      <c r="E554" t="s">
        <v>344</v>
      </c>
      <c r="F554" s="26" t="str">
        <f t="shared" si="40"/>
        <v>2024-05-03</v>
      </c>
      <c r="G554" s="26" t="str">
        <f t="shared" si="41"/>
        <v>2024-08-26</v>
      </c>
      <c r="H554">
        <f t="shared" si="42"/>
        <v>115</v>
      </c>
      <c r="K554" t="str">
        <f t="shared" si="43"/>
        <v>Белов Алексей КонстантиновичНиколаев Иван Михайлович</v>
      </c>
      <c r="L554" t="s">
        <v>25</v>
      </c>
      <c r="M554" t="s">
        <v>94</v>
      </c>
      <c r="N554" t="s">
        <v>304</v>
      </c>
      <c r="S554" t="str">
        <f t="shared" si="44"/>
        <v>Кузнецов Дмитрий ЛьвовичСмирнов Константин Кириллович</v>
      </c>
      <c r="T554" t="s">
        <v>38</v>
      </c>
      <c r="U554" t="s">
        <v>37</v>
      </c>
      <c r="V554" t="s">
        <v>339</v>
      </c>
    </row>
    <row r="555" spans="4:22" x14ac:dyDescent="0.25">
      <c r="D555" t="s">
        <v>16</v>
      </c>
      <c r="E555" t="s">
        <v>270</v>
      </c>
      <c r="F555" s="26" t="str">
        <f t="shared" si="40"/>
        <v>2024-05-03</v>
      </c>
      <c r="G555" s="26" t="str">
        <f t="shared" si="41"/>
        <v>2024-05-03</v>
      </c>
      <c r="H555">
        <f t="shared" si="42"/>
        <v>0</v>
      </c>
      <c r="K555" t="str">
        <f t="shared" si="43"/>
        <v>Иванова Анна СергеевнаСидоров Михаил Сергеевич</v>
      </c>
      <c r="L555" t="s">
        <v>13</v>
      </c>
      <c r="M555" t="s">
        <v>187</v>
      </c>
      <c r="N555" t="s">
        <v>304</v>
      </c>
      <c r="S555" t="str">
        <f t="shared" si="44"/>
        <v>Орлов Павел ДенисовичПетрова Елена Юрьевна</v>
      </c>
      <c r="T555" t="s">
        <v>47</v>
      </c>
      <c r="U555" t="s">
        <v>116</v>
      </c>
      <c r="V555" t="s">
        <v>340</v>
      </c>
    </row>
    <row r="556" spans="4:22" x14ac:dyDescent="0.25">
      <c r="D556" t="s">
        <v>13</v>
      </c>
      <c r="E556" t="s">
        <v>11</v>
      </c>
      <c r="F556" s="26" t="str">
        <f t="shared" si="40"/>
        <v>2024-05-06</v>
      </c>
      <c r="G556" s="26" t="str">
        <f t="shared" si="41"/>
        <v>2024-08-19</v>
      </c>
      <c r="H556">
        <f t="shared" si="42"/>
        <v>105</v>
      </c>
      <c r="K556" t="str">
        <f t="shared" si="43"/>
        <v>Яковлев Артем ИгоревичНиколаев Иван Михайлович</v>
      </c>
      <c r="L556" t="s">
        <v>30</v>
      </c>
      <c r="M556" t="s">
        <v>94</v>
      </c>
      <c r="N556" t="s">
        <v>303</v>
      </c>
      <c r="S556" t="str">
        <f t="shared" si="44"/>
        <v>Иванова Анна СергеевнаВолков Сергей Иванович</v>
      </c>
      <c r="T556" t="s">
        <v>13</v>
      </c>
      <c r="U556" t="s">
        <v>74</v>
      </c>
      <c r="V556" t="s">
        <v>340</v>
      </c>
    </row>
    <row r="557" spans="4:22" x14ac:dyDescent="0.25">
      <c r="D557" t="s">
        <v>27</v>
      </c>
      <c r="E557" t="s">
        <v>167</v>
      </c>
      <c r="F557" s="26" t="str">
        <f t="shared" si="40"/>
        <v>2024-05-06</v>
      </c>
      <c r="G557" s="26" t="str">
        <f t="shared" si="41"/>
        <v>2024-05-06</v>
      </c>
      <c r="H557">
        <f t="shared" si="42"/>
        <v>0</v>
      </c>
      <c r="K557" t="str">
        <f t="shared" si="43"/>
        <v>Ткаченко Андрей ОлеговичИванова Наталья Михайловна</v>
      </c>
      <c r="L557" t="s">
        <v>27</v>
      </c>
      <c r="M557" t="s">
        <v>178</v>
      </c>
      <c r="N557" t="s">
        <v>303</v>
      </c>
      <c r="S557" t="str">
        <f t="shared" si="44"/>
        <v>Ткаченко Андрей ОлеговичСидоров Владимир Артемович</v>
      </c>
      <c r="T557" t="s">
        <v>27</v>
      </c>
      <c r="U557" t="s">
        <v>32</v>
      </c>
      <c r="V557" t="s">
        <v>341</v>
      </c>
    </row>
    <row r="558" spans="4:22" x14ac:dyDescent="0.25">
      <c r="D558" t="s">
        <v>10</v>
      </c>
      <c r="E558" t="s">
        <v>21</v>
      </c>
      <c r="F558" s="26" t="str">
        <f t="shared" si="40"/>
        <v>2024-05-06</v>
      </c>
      <c r="G558" s="26" t="str">
        <f t="shared" si="41"/>
        <v>2024-05-06</v>
      </c>
      <c r="H558">
        <f t="shared" si="42"/>
        <v>0</v>
      </c>
      <c r="K558" t="str">
        <f t="shared" si="43"/>
        <v>Семенова Ирина ВалерьевнаНовиков Илья Кириллович</v>
      </c>
      <c r="L558" t="s">
        <v>10</v>
      </c>
      <c r="M558" t="s">
        <v>248</v>
      </c>
      <c r="N558" t="s">
        <v>302</v>
      </c>
      <c r="S558" t="str">
        <f t="shared" si="44"/>
        <v>Яковлев Артем ИгоревичАлексеев Кирилл Иванович</v>
      </c>
      <c r="T558" t="s">
        <v>30</v>
      </c>
      <c r="U558" t="s">
        <v>90</v>
      </c>
      <c r="V558" t="s">
        <v>341</v>
      </c>
    </row>
    <row r="559" spans="4:22" x14ac:dyDescent="0.25">
      <c r="D559" t="s">
        <v>38</v>
      </c>
      <c r="E559" t="s">
        <v>298</v>
      </c>
      <c r="F559" s="26" t="str">
        <f t="shared" si="40"/>
        <v>2024-05-06</v>
      </c>
      <c r="G559" s="26" t="str">
        <f t="shared" si="41"/>
        <v>2024-05-06</v>
      </c>
      <c r="H559">
        <f t="shared" si="42"/>
        <v>0</v>
      </c>
      <c r="K559" t="str">
        <f t="shared" si="43"/>
        <v>Новикова Ольга ПетровнаСеменов Павел Юрьевич</v>
      </c>
      <c r="L559" t="s">
        <v>45</v>
      </c>
      <c r="M559" t="s">
        <v>128</v>
      </c>
      <c r="N559" t="s">
        <v>302</v>
      </c>
      <c r="S559" t="str">
        <f t="shared" si="44"/>
        <v>Фролов Сергей ВикторовичСеменов Егор Никитич</v>
      </c>
      <c r="T559" t="s">
        <v>16</v>
      </c>
      <c r="U559" t="s">
        <v>215</v>
      </c>
      <c r="V559" t="s">
        <v>342</v>
      </c>
    </row>
    <row r="560" spans="4:22" x14ac:dyDescent="0.25">
      <c r="D560" t="s">
        <v>38</v>
      </c>
      <c r="E560" t="s">
        <v>221</v>
      </c>
      <c r="F560" s="26" t="str">
        <f t="shared" si="40"/>
        <v>2024-05-06</v>
      </c>
      <c r="G560" s="26" t="str">
        <f t="shared" si="41"/>
        <v>2024-05-06</v>
      </c>
      <c r="H560">
        <f t="shared" si="42"/>
        <v>0</v>
      </c>
      <c r="K560" t="str">
        <f t="shared" si="43"/>
        <v>Орлов Павел ДенисовичПавлов Сергей Артемович</v>
      </c>
      <c r="L560" t="s">
        <v>47</v>
      </c>
      <c r="M560" t="s">
        <v>144</v>
      </c>
      <c r="N560" t="s">
        <v>302</v>
      </c>
      <c r="S560" t="str">
        <f t="shared" si="44"/>
        <v>Белов Алексей КонстантиновичВолкова Виктория Павловна</v>
      </c>
      <c r="T560" t="s">
        <v>25</v>
      </c>
      <c r="U560" t="s">
        <v>129</v>
      </c>
      <c r="V560" t="s">
        <v>342</v>
      </c>
    </row>
    <row r="561" spans="4:22" x14ac:dyDescent="0.25">
      <c r="D561" t="s">
        <v>45</v>
      </c>
      <c r="E561" t="s">
        <v>267</v>
      </c>
      <c r="F561" s="26" t="str">
        <f t="shared" si="40"/>
        <v>2024-05-06</v>
      </c>
      <c r="G561" s="26" t="str">
        <f t="shared" si="41"/>
        <v>2024-05-06</v>
      </c>
      <c r="H561">
        <f t="shared" si="42"/>
        <v>0</v>
      </c>
      <c r="K561" t="str">
        <f t="shared" si="43"/>
        <v>Сидорова Елена ВасильевнаКозлов Илья Сергеевич</v>
      </c>
      <c r="L561" t="s">
        <v>8</v>
      </c>
      <c r="M561" t="s">
        <v>58</v>
      </c>
      <c r="N561" t="s">
        <v>302</v>
      </c>
      <c r="S561" t="str">
        <f t="shared" si="44"/>
        <v>Громова Мария ИльиничнаОрлов Павел Юрьевич</v>
      </c>
      <c r="T561" t="s">
        <v>5</v>
      </c>
      <c r="U561" t="s">
        <v>227</v>
      </c>
      <c r="V561" t="s">
        <v>343</v>
      </c>
    </row>
    <row r="562" spans="4:22" x14ac:dyDescent="0.25">
      <c r="D562" t="s">
        <v>13</v>
      </c>
      <c r="E562" t="s">
        <v>77</v>
      </c>
      <c r="F562" s="26" t="str">
        <f t="shared" si="40"/>
        <v>2024-05-06</v>
      </c>
      <c r="G562" s="26" t="str">
        <f t="shared" si="41"/>
        <v>2024-05-06</v>
      </c>
      <c r="H562">
        <f t="shared" si="42"/>
        <v>0</v>
      </c>
      <c r="K562" t="str">
        <f t="shared" si="43"/>
        <v>Яковлев Артем ИгоревичИванов Андрей Андреевич</v>
      </c>
      <c r="L562" t="s">
        <v>30</v>
      </c>
      <c r="M562" t="s">
        <v>190</v>
      </c>
      <c r="N562" t="s">
        <v>301</v>
      </c>
      <c r="S562" t="str">
        <f t="shared" si="44"/>
        <v>Орлов Павел ДенисовичВасильев Дмитрий Иванович</v>
      </c>
      <c r="T562" t="s">
        <v>47</v>
      </c>
      <c r="U562" t="s">
        <v>125</v>
      </c>
      <c r="V562" t="s">
        <v>343</v>
      </c>
    </row>
    <row r="563" spans="4:22" x14ac:dyDescent="0.25">
      <c r="D563" t="s">
        <v>45</v>
      </c>
      <c r="E563" t="s">
        <v>247</v>
      </c>
      <c r="F563" s="26" t="str">
        <f t="shared" si="40"/>
        <v>2024-05-07</v>
      </c>
      <c r="G563" s="26" t="str">
        <f t="shared" si="41"/>
        <v>2024-05-07</v>
      </c>
      <c r="H563">
        <f t="shared" si="42"/>
        <v>0</v>
      </c>
      <c r="K563" t="str">
        <f t="shared" si="43"/>
        <v>Фролов Сергей ВикторовичМорозов Максим Сергеевич</v>
      </c>
      <c r="L563" t="s">
        <v>16</v>
      </c>
      <c r="M563" t="s">
        <v>239</v>
      </c>
      <c r="N563" t="s">
        <v>301</v>
      </c>
      <c r="S563" t="str">
        <f t="shared" si="44"/>
        <v>Семенова Ирина ВалерьевнаИванова Анна Егоровна</v>
      </c>
      <c r="T563" t="s">
        <v>10</v>
      </c>
      <c r="U563" t="s">
        <v>96</v>
      </c>
      <c r="V563" t="s">
        <v>343</v>
      </c>
    </row>
    <row r="564" spans="4:22" x14ac:dyDescent="0.25">
      <c r="D564" t="s">
        <v>16</v>
      </c>
      <c r="E564" t="s">
        <v>15</v>
      </c>
      <c r="F564" s="26" t="str">
        <f t="shared" si="40"/>
        <v>2024-05-07</v>
      </c>
      <c r="G564" s="26" t="str">
        <f t="shared" si="41"/>
        <v>2024-05-07</v>
      </c>
      <c r="H564">
        <f t="shared" si="42"/>
        <v>0</v>
      </c>
      <c r="K564" t="str">
        <f t="shared" si="43"/>
        <v>Кузнецов Дмитрий ЛьвовичФедорова Ксения Павловна</v>
      </c>
      <c r="L564" t="s">
        <v>38</v>
      </c>
      <c r="M564" t="s">
        <v>195</v>
      </c>
      <c r="N564" t="s">
        <v>301</v>
      </c>
      <c r="S564" t="str">
        <f t="shared" si="44"/>
        <v>Фролов Сергей ВикторовичСтепанова София Михайловна</v>
      </c>
      <c r="T564" t="s">
        <v>16</v>
      </c>
      <c r="U564" t="s">
        <v>77</v>
      </c>
      <c r="V564" t="s">
        <v>343</v>
      </c>
    </row>
    <row r="565" spans="4:22" x14ac:dyDescent="0.25">
      <c r="D565" t="s">
        <v>25</v>
      </c>
      <c r="E565" t="s">
        <v>39</v>
      </c>
      <c r="F565" s="26" t="str">
        <f t="shared" si="40"/>
        <v>2024-05-08</v>
      </c>
      <c r="G565" s="26" t="str">
        <f t="shared" si="41"/>
        <v>2024-05-08</v>
      </c>
      <c r="H565">
        <f t="shared" si="42"/>
        <v>0</v>
      </c>
      <c r="K565" t="str">
        <f t="shared" si="43"/>
        <v>Орлов Павел ДенисовичВасильев Владимир Дмитриевич</v>
      </c>
      <c r="L565" t="s">
        <v>47</v>
      </c>
      <c r="M565" t="s">
        <v>165</v>
      </c>
      <c r="N565" t="s">
        <v>297</v>
      </c>
      <c r="S565" t="str">
        <f t="shared" si="44"/>
        <v>Кузнецов Дмитрий ЛьвовичКузнецова Мария Дмитриевна</v>
      </c>
      <c r="T565" t="s">
        <v>38</v>
      </c>
      <c r="U565" t="s">
        <v>42</v>
      </c>
      <c r="V565" t="s">
        <v>343</v>
      </c>
    </row>
    <row r="566" spans="4:22" x14ac:dyDescent="0.25">
      <c r="D566" t="s">
        <v>30</v>
      </c>
      <c r="E566" t="s">
        <v>36</v>
      </c>
      <c r="F566" s="26" t="str">
        <f t="shared" si="40"/>
        <v>2024-05-08</v>
      </c>
      <c r="G566" s="26" t="str">
        <f t="shared" si="41"/>
        <v>2024-05-08</v>
      </c>
      <c r="H566">
        <f t="shared" si="42"/>
        <v>0</v>
      </c>
      <c r="K566" t="str">
        <f t="shared" si="43"/>
        <v>Сидорова Елена ВасильевнаНовиков Павел Олегович</v>
      </c>
      <c r="L566" t="s">
        <v>8</v>
      </c>
      <c r="M566" t="s">
        <v>226</v>
      </c>
      <c r="N566" t="s">
        <v>297</v>
      </c>
      <c r="S566" t="str">
        <f t="shared" si="44"/>
        <v>Орлов Павел ДенисовичВолкова Наталья Андреевна</v>
      </c>
      <c r="T566" t="s">
        <v>47</v>
      </c>
      <c r="U566" t="s">
        <v>24</v>
      </c>
      <c r="V566" t="s">
        <v>343</v>
      </c>
    </row>
    <row r="567" spans="4:22" x14ac:dyDescent="0.25">
      <c r="D567" t="s">
        <v>10</v>
      </c>
      <c r="E567" t="s">
        <v>287</v>
      </c>
      <c r="F567" s="26" t="str">
        <f t="shared" si="40"/>
        <v>2024-05-09</v>
      </c>
      <c r="G567" s="26" t="str">
        <f t="shared" si="41"/>
        <v>2024-05-29</v>
      </c>
      <c r="H567">
        <f t="shared" si="42"/>
        <v>20</v>
      </c>
      <c r="K567" t="str">
        <f t="shared" si="43"/>
        <v>Семенова Ирина ВалерьевнаСтепанов Александр Дмитриевич</v>
      </c>
      <c r="L567" t="s">
        <v>10</v>
      </c>
      <c r="M567" t="s">
        <v>149</v>
      </c>
      <c r="N567" t="s">
        <v>297</v>
      </c>
      <c r="S567" t="str">
        <f t="shared" si="44"/>
        <v>Белов Алексей КонстантиновичСидоров Михаил Сергеевич</v>
      </c>
      <c r="T567" t="s">
        <v>25</v>
      </c>
      <c r="U567" t="s">
        <v>187</v>
      </c>
      <c r="V567" t="s">
        <v>343</v>
      </c>
    </row>
    <row r="568" spans="4:22" x14ac:dyDescent="0.25">
      <c r="D568" t="s">
        <v>10</v>
      </c>
      <c r="E568" t="s">
        <v>114</v>
      </c>
      <c r="F568" s="26" t="str">
        <f t="shared" si="40"/>
        <v>2024-05-10</v>
      </c>
      <c r="G568" s="26" t="str">
        <f t="shared" si="41"/>
        <v>2024-05-10</v>
      </c>
      <c r="H568">
        <f t="shared" si="42"/>
        <v>0</v>
      </c>
      <c r="K568" t="str">
        <f t="shared" si="43"/>
        <v>Яковлев Артем ИгоревичВолкова София Владимировна</v>
      </c>
      <c r="L568" t="s">
        <v>30</v>
      </c>
      <c r="M568" t="s">
        <v>289</v>
      </c>
      <c r="N568" t="s">
        <v>297</v>
      </c>
      <c r="S568" t="str">
        <f t="shared" si="44"/>
        <v>Петров Владимир КирилловичКузнецова Алиса Владимировна</v>
      </c>
      <c r="T568" t="s">
        <v>18</v>
      </c>
      <c r="U568" t="s">
        <v>46</v>
      </c>
      <c r="V568" t="s">
        <v>343</v>
      </c>
    </row>
    <row r="569" spans="4:22" x14ac:dyDescent="0.25">
      <c r="D569" t="s">
        <v>30</v>
      </c>
      <c r="E569" t="s">
        <v>375</v>
      </c>
      <c r="F569" s="26" t="str">
        <f t="shared" si="40"/>
        <v>2024-05-10</v>
      </c>
      <c r="G569" s="26" t="str">
        <f t="shared" si="41"/>
        <v>2024-05-10</v>
      </c>
      <c r="H569">
        <f t="shared" si="42"/>
        <v>0</v>
      </c>
      <c r="K569" t="str">
        <f t="shared" si="43"/>
        <v>Семенова Ирина ВалерьевнаСеменов Артем Станиславович</v>
      </c>
      <c r="L569" t="s">
        <v>10</v>
      </c>
      <c r="M569" t="s">
        <v>298</v>
      </c>
      <c r="N569" t="s">
        <v>297</v>
      </c>
      <c r="S569" t="str">
        <f t="shared" si="44"/>
        <v>Яковлев Артем ИгоревичКозлов Алексей Романович</v>
      </c>
      <c r="T569" t="s">
        <v>30</v>
      </c>
      <c r="U569" t="s">
        <v>156</v>
      </c>
      <c r="V569" t="s">
        <v>343</v>
      </c>
    </row>
    <row r="570" spans="4:22" x14ac:dyDescent="0.25">
      <c r="D570" t="s">
        <v>8</v>
      </c>
      <c r="E570" t="s">
        <v>309</v>
      </c>
      <c r="F570" s="26" t="str">
        <f t="shared" si="40"/>
        <v>2024-05-13</v>
      </c>
      <c r="G570" s="26" t="str">
        <f t="shared" si="41"/>
        <v>2024-05-13</v>
      </c>
      <c r="H570">
        <f t="shared" si="42"/>
        <v>0</v>
      </c>
      <c r="K570" t="str">
        <f t="shared" si="43"/>
        <v>Петров Владимир КирилловичЕгорова Татьяна Романовна</v>
      </c>
      <c r="L570" t="s">
        <v>18</v>
      </c>
      <c r="M570" t="s">
        <v>299</v>
      </c>
      <c r="N570" t="s">
        <v>297</v>
      </c>
      <c r="S570" t="str">
        <f t="shared" si="44"/>
        <v>Фролов Сергей ВикторовичПетрова Александра Ильинична</v>
      </c>
      <c r="T570" t="s">
        <v>16</v>
      </c>
      <c r="U570" t="s">
        <v>344</v>
      </c>
      <c r="V570" t="s">
        <v>345</v>
      </c>
    </row>
    <row r="571" spans="4:22" x14ac:dyDescent="0.25">
      <c r="D571" t="s">
        <v>13</v>
      </c>
      <c r="E571" t="s">
        <v>124</v>
      </c>
      <c r="F571" s="26" t="str">
        <f t="shared" si="40"/>
        <v>2024-05-13</v>
      </c>
      <c r="G571" s="26" t="str">
        <f t="shared" si="41"/>
        <v>2024-05-13</v>
      </c>
      <c r="H571">
        <f t="shared" si="42"/>
        <v>0</v>
      </c>
      <c r="K571" t="str">
        <f t="shared" si="43"/>
        <v>Яковлев Артем ИгоревичЛебедева Александра Дмитриевна</v>
      </c>
      <c r="L571" t="s">
        <v>30</v>
      </c>
      <c r="M571" t="s">
        <v>20</v>
      </c>
      <c r="N571" t="s">
        <v>297</v>
      </c>
      <c r="S571" t="str">
        <f t="shared" si="44"/>
        <v>Семенова Ирина ВалерьевнаФедоров Егор Михайлович</v>
      </c>
      <c r="T571" t="s">
        <v>10</v>
      </c>
      <c r="U571" t="s">
        <v>296</v>
      </c>
      <c r="V571" t="s">
        <v>345</v>
      </c>
    </row>
    <row r="572" spans="4:22" x14ac:dyDescent="0.25">
      <c r="D572" t="s">
        <v>16</v>
      </c>
      <c r="E572" t="s">
        <v>187</v>
      </c>
      <c r="F572" s="26" t="str">
        <f t="shared" si="40"/>
        <v>2024-05-13</v>
      </c>
      <c r="G572" s="26" t="str">
        <f t="shared" si="41"/>
        <v>2024-05-13</v>
      </c>
      <c r="H572">
        <f t="shared" si="42"/>
        <v>0</v>
      </c>
      <c r="K572" t="str">
        <f t="shared" si="43"/>
        <v>Фролов Сергей ВикторовичЕгорова Вероника Егоровна</v>
      </c>
      <c r="L572" t="s">
        <v>16</v>
      </c>
      <c r="M572" t="s">
        <v>300</v>
      </c>
      <c r="N572" t="s">
        <v>297</v>
      </c>
      <c r="S572" t="str">
        <f t="shared" si="44"/>
        <v>Ткаченко Андрей ОлеговичСеменова Алиса Павловна</v>
      </c>
      <c r="T572" t="s">
        <v>27</v>
      </c>
      <c r="U572" t="s">
        <v>346</v>
      </c>
      <c r="V572" t="s">
        <v>345</v>
      </c>
    </row>
    <row r="573" spans="4:22" x14ac:dyDescent="0.25">
      <c r="D573" t="s">
        <v>13</v>
      </c>
      <c r="E573" t="s">
        <v>64</v>
      </c>
      <c r="F573" s="26" t="str">
        <f t="shared" si="40"/>
        <v>2024-05-13</v>
      </c>
      <c r="G573" s="26" t="str">
        <f t="shared" si="41"/>
        <v>2024-05-13</v>
      </c>
      <c r="H573">
        <f t="shared" si="42"/>
        <v>0</v>
      </c>
      <c r="K573" t="str">
        <f t="shared" si="43"/>
        <v>Орлов Павел ДенисовичОрлов Павел Юрьевич</v>
      </c>
      <c r="L573" t="s">
        <v>47</v>
      </c>
      <c r="M573" t="s">
        <v>227</v>
      </c>
      <c r="N573" t="s">
        <v>294</v>
      </c>
      <c r="S573" t="str">
        <f t="shared" si="44"/>
        <v>Яковлев Артем ИгоревичСтепанова Анна Станиславовна</v>
      </c>
      <c r="T573" t="s">
        <v>30</v>
      </c>
      <c r="U573" t="s">
        <v>110</v>
      </c>
      <c r="V573" t="s">
        <v>347</v>
      </c>
    </row>
    <row r="574" spans="4:22" x14ac:dyDescent="0.25">
      <c r="D574" t="s">
        <v>10</v>
      </c>
      <c r="E574" t="s">
        <v>300</v>
      </c>
      <c r="F574" s="26" t="str">
        <f t="shared" si="40"/>
        <v>2024-05-13</v>
      </c>
      <c r="G574" s="26" t="str">
        <f t="shared" si="41"/>
        <v>2024-05-13</v>
      </c>
      <c r="H574">
        <f t="shared" si="42"/>
        <v>0</v>
      </c>
      <c r="K574" t="str">
        <f t="shared" si="43"/>
        <v>Семенова Ирина ВалерьевнаСмирнов Александр Иванович</v>
      </c>
      <c r="L574" t="s">
        <v>10</v>
      </c>
      <c r="M574" t="s">
        <v>295</v>
      </c>
      <c r="N574" t="s">
        <v>294</v>
      </c>
      <c r="S574" t="str">
        <f t="shared" si="44"/>
        <v>Орлов Павел ДенисовичФедорова Ольга Кирилловна</v>
      </c>
      <c r="T574" t="s">
        <v>47</v>
      </c>
      <c r="U574" t="s">
        <v>167</v>
      </c>
      <c r="V574" t="s">
        <v>347</v>
      </c>
    </row>
    <row r="575" spans="4:22" x14ac:dyDescent="0.25">
      <c r="D575" t="s">
        <v>8</v>
      </c>
      <c r="E575" t="s">
        <v>134</v>
      </c>
      <c r="F575" s="26" t="str">
        <f t="shared" si="40"/>
        <v>2024-05-13</v>
      </c>
      <c r="G575" s="26" t="str">
        <f t="shared" si="41"/>
        <v>2024-05-13</v>
      </c>
      <c r="H575">
        <f t="shared" si="42"/>
        <v>0</v>
      </c>
      <c r="K575" t="str">
        <f t="shared" si="43"/>
        <v>Яковлев Артем ИгоревичЕгоров Павел Сергеевич</v>
      </c>
      <c r="L575" t="s">
        <v>30</v>
      </c>
      <c r="M575" t="s">
        <v>134</v>
      </c>
      <c r="N575" t="s">
        <v>294</v>
      </c>
      <c r="S575" t="str">
        <f t="shared" si="44"/>
        <v>Кузнецов Дмитрий ЛьвовичПопов Никита Геннадьевич</v>
      </c>
      <c r="T575" t="s">
        <v>38</v>
      </c>
      <c r="U575" t="s">
        <v>68</v>
      </c>
      <c r="V575" t="s">
        <v>347</v>
      </c>
    </row>
    <row r="576" spans="4:22" x14ac:dyDescent="0.25">
      <c r="D576" t="s">
        <v>45</v>
      </c>
      <c r="E576" t="s">
        <v>332</v>
      </c>
      <c r="F576" s="26" t="str">
        <f t="shared" si="40"/>
        <v>2024-05-14</v>
      </c>
      <c r="G576" s="26" t="str">
        <f t="shared" si="41"/>
        <v>2024-05-14</v>
      </c>
      <c r="H576">
        <f t="shared" si="42"/>
        <v>0</v>
      </c>
      <c r="K576" t="str">
        <f t="shared" si="43"/>
        <v>Петров Владимир КирилловичФедоров Егор Михайлович</v>
      </c>
      <c r="L576" t="s">
        <v>18</v>
      </c>
      <c r="M576" t="s">
        <v>296</v>
      </c>
      <c r="N576" t="s">
        <v>294</v>
      </c>
      <c r="S576" t="str">
        <f t="shared" si="44"/>
        <v>Громова Мария ИльиничнаКозлова Татьяна Сергеевна</v>
      </c>
      <c r="T576" t="s">
        <v>5</v>
      </c>
      <c r="U576" t="s">
        <v>28</v>
      </c>
      <c r="V576" t="s">
        <v>348</v>
      </c>
    </row>
    <row r="577" spans="4:22" x14ac:dyDescent="0.25">
      <c r="D577" t="s">
        <v>38</v>
      </c>
      <c r="E577" t="s">
        <v>59</v>
      </c>
      <c r="F577" s="26" t="str">
        <f t="shared" si="40"/>
        <v>2024-05-14</v>
      </c>
      <c r="G577" s="26" t="str">
        <f t="shared" si="41"/>
        <v>2024-05-14</v>
      </c>
      <c r="H577">
        <f t="shared" si="42"/>
        <v>0</v>
      </c>
      <c r="K577" t="str">
        <f t="shared" si="43"/>
        <v>Семенова Ирина ВалерьевнаПопова Людмила Егоровна</v>
      </c>
      <c r="L577" t="s">
        <v>10</v>
      </c>
      <c r="M577" t="s">
        <v>217</v>
      </c>
      <c r="N577" t="s">
        <v>292</v>
      </c>
      <c r="S577" t="str">
        <f t="shared" si="44"/>
        <v>Сидорова Елена ВасильевнаКузнецов Алексей Егорович</v>
      </c>
      <c r="T577" t="s">
        <v>8</v>
      </c>
      <c r="U577" t="s">
        <v>247</v>
      </c>
      <c r="V577" t="s">
        <v>348</v>
      </c>
    </row>
    <row r="578" spans="4:22" x14ac:dyDescent="0.25">
      <c r="D578" t="s">
        <v>38</v>
      </c>
      <c r="E578" t="s">
        <v>137</v>
      </c>
      <c r="F578" s="26" t="str">
        <f t="shared" si="40"/>
        <v>2024-05-14</v>
      </c>
      <c r="G578" s="26" t="str">
        <f t="shared" si="41"/>
        <v>2024-05-14</v>
      </c>
      <c r="H578">
        <f t="shared" si="42"/>
        <v>0</v>
      </c>
      <c r="K578" t="str">
        <f t="shared" si="43"/>
        <v>Новикова Ольга ПетровнаВолкова Вероника Владимировна</v>
      </c>
      <c r="L578" t="s">
        <v>45</v>
      </c>
      <c r="M578" t="s">
        <v>293</v>
      </c>
      <c r="N578" t="s">
        <v>292</v>
      </c>
      <c r="S578" t="str">
        <f t="shared" si="44"/>
        <v>Сидорова Елена ВасильевнаПетров Роман Алексеевич</v>
      </c>
      <c r="T578" t="s">
        <v>8</v>
      </c>
      <c r="U578" t="s">
        <v>75</v>
      </c>
      <c r="V578" t="s">
        <v>349</v>
      </c>
    </row>
    <row r="579" spans="4:22" x14ac:dyDescent="0.25">
      <c r="D579" t="s">
        <v>5</v>
      </c>
      <c r="E579" t="s">
        <v>105</v>
      </c>
      <c r="F579" s="26" t="str">
        <f t="shared" ref="F579:F642" si="45">VLOOKUP(D579&amp;E579,S:V,4,0)</f>
        <v>2024-05-15</v>
      </c>
      <c r="G579" s="26" t="str">
        <f t="shared" ref="G579:G642" si="46">VLOOKUP(D579&amp;E579,K:N,4,0)</f>
        <v>2024-05-15</v>
      </c>
      <c r="H579">
        <f t="shared" ref="H579:H642" si="47">G579-F579</f>
        <v>0</v>
      </c>
      <c r="K579" t="str">
        <f t="shared" ref="K579:K642" si="48">L579&amp;M579</f>
        <v>Фролов Сергей ВикторовичПавлов Дмитрий Павлович</v>
      </c>
      <c r="L579" t="s">
        <v>16</v>
      </c>
      <c r="M579" t="s">
        <v>122</v>
      </c>
      <c r="N579" t="s">
        <v>292</v>
      </c>
      <c r="S579" t="str">
        <f t="shared" ref="S579:S642" si="49">T579&amp;U579</f>
        <v>Яковлев Артем ИгоревичЛебедева Ольга Романовна</v>
      </c>
      <c r="T579" t="s">
        <v>30</v>
      </c>
      <c r="U579" t="s">
        <v>186</v>
      </c>
      <c r="V579" t="s">
        <v>349</v>
      </c>
    </row>
    <row r="580" spans="4:22" x14ac:dyDescent="0.25">
      <c r="D580" t="s">
        <v>10</v>
      </c>
      <c r="E580" t="s">
        <v>69</v>
      </c>
      <c r="F580" s="26" t="str">
        <f t="shared" si="45"/>
        <v>2024-05-15</v>
      </c>
      <c r="G580" s="26" t="str">
        <f t="shared" si="46"/>
        <v>2024-08-15</v>
      </c>
      <c r="H580">
        <f t="shared" si="47"/>
        <v>92</v>
      </c>
      <c r="K580" t="str">
        <f t="shared" si="48"/>
        <v>Новикова Ольга ПетровнаСтепанова София Михайловна</v>
      </c>
      <c r="L580" t="s">
        <v>45</v>
      </c>
      <c r="M580" t="s">
        <v>77</v>
      </c>
      <c r="N580" t="s">
        <v>292</v>
      </c>
      <c r="S580" t="str">
        <f t="shared" si="49"/>
        <v>Орлов Павел ДенисовичСмирнова Елена Викторовна</v>
      </c>
      <c r="T580" t="s">
        <v>47</v>
      </c>
      <c r="U580" t="s">
        <v>66</v>
      </c>
      <c r="V580" t="s">
        <v>350</v>
      </c>
    </row>
    <row r="581" spans="4:22" x14ac:dyDescent="0.25">
      <c r="D581" t="s">
        <v>18</v>
      </c>
      <c r="E581" t="s">
        <v>49</v>
      </c>
      <c r="F581" s="26" t="str">
        <f t="shared" si="45"/>
        <v>2024-05-16</v>
      </c>
      <c r="G581" s="26" t="str">
        <f t="shared" si="46"/>
        <v>2024-05-16</v>
      </c>
      <c r="H581">
        <f t="shared" si="47"/>
        <v>0</v>
      </c>
      <c r="K581" t="str">
        <f t="shared" si="48"/>
        <v>Ткаченко Андрей ОлеговичПавлов Никита Андреевич</v>
      </c>
      <c r="L581" t="s">
        <v>27</v>
      </c>
      <c r="M581" t="s">
        <v>130</v>
      </c>
      <c r="N581" t="s">
        <v>291</v>
      </c>
      <c r="S581" t="str">
        <f t="shared" si="49"/>
        <v>Фролов Сергей ВикторовичКозлова Ксения Ильинична</v>
      </c>
      <c r="T581" t="s">
        <v>16</v>
      </c>
      <c r="U581" t="s">
        <v>158</v>
      </c>
      <c r="V581" t="s">
        <v>350</v>
      </c>
    </row>
    <row r="582" spans="4:22" x14ac:dyDescent="0.25">
      <c r="D582" t="s">
        <v>25</v>
      </c>
      <c r="E582" t="s">
        <v>313</v>
      </c>
      <c r="F582" s="26" t="str">
        <f t="shared" si="45"/>
        <v>2024-05-16</v>
      </c>
      <c r="G582" s="26" t="str">
        <f t="shared" si="46"/>
        <v>2024-05-16</v>
      </c>
      <c r="H582">
        <f t="shared" si="47"/>
        <v>0</v>
      </c>
      <c r="K582" t="str">
        <f t="shared" si="48"/>
        <v>Сидорова Елена ВасильевнаСидоров Никита Романович</v>
      </c>
      <c r="L582" t="s">
        <v>8</v>
      </c>
      <c r="M582" t="s">
        <v>121</v>
      </c>
      <c r="N582" t="s">
        <v>291</v>
      </c>
      <c r="S582" t="str">
        <f t="shared" si="49"/>
        <v>Петров Владимир КирилловичВасильев Иван Олегович</v>
      </c>
      <c r="T582" t="s">
        <v>18</v>
      </c>
      <c r="U582" t="s">
        <v>201</v>
      </c>
      <c r="V582" t="s">
        <v>350</v>
      </c>
    </row>
    <row r="583" spans="4:22" x14ac:dyDescent="0.25">
      <c r="D583" t="s">
        <v>30</v>
      </c>
      <c r="E583" t="s">
        <v>380</v>
      </c>
      <c r="F583" s="26" t="str">
        <f t="shared" si="45"/>
        <v>2024-05-16</v>
      </c>
      <c r="G583" s="26" t="str">
        <f t="shared" si="46"/>
        <v>2024-05-16</v>
      </c>
      <c r="H583">
        <f t="shared" si="47"/>
        <v>0</v>
      </c>
      <c r="K583" t="str">
        <f t="shared" si="48"/>
        <v>Кузнецов Дмитрий ЛьвовичНовиков Илья Кириллович</v>
      </c>
      <c r="L583" t="s">
        <v>38</v>
      </c>
      <c r="M583" t="s">
        <v>248</v>
      </c>
      <c r="N583" t="s">
        <v>291</v>
      </c>
      <c r="S583" t="str">
        <f t="shared" si="49"/>
        <v>Новикова Ольга ПетровнаИванова Алиса Алексеевна</v>
      </c>
      <c r="T583" t="s">
        <v>45</v>
      </c>
      <c r="U583" t="s">
        <v>111</v>
      </c>
      <c r="V583" t="s">
        <v>350</v>
      </c>
    </row>
    <row r="584" spans="4:22" x14ac:dyDescent="0.25">
      <c r="D584" t="s">
        <v>8</v>
      </c>
      <c r="E584" t="s">
        <v>132</v>
      </c>
      <c r="F584" s="26" t="str">
        <f t="shared" si="45"/>
        <v>2024-05-16</v>
      </c>
      <c r="G584" s="26" t="str">
        <f t="shared" si="46"/>
        <v>2024-05-16</v>
      </c>
      <c r="H584">
        <f t="shared" si="47"/>
        <v>0</v>
      </c>
      <c r="K584" t="str">
        <f t="shared" si="48"/>
        <v>Сидорова Елена ВасильевнаПавлов Сергей Артемович</v>
      </c>
      <c r="L584" t="s">
        <v>8</v>
      </c>
      <c r="M584" t="s">
        <v>144</v>
      </c>
      <c r="N584" t="s">
        <v>290</v>
      </c>
      <c r="S584" t="str">
        <f t="shared" si="49"/>
        <v>Яковлев Артем ИгоревичЛебедев Сергей Алексеевич</v>
      </c>
      <c r="T584" t="s">
        <v>30</v>
      </c>
      <c r="U584" t="s">
        <v>99</v>
      </c>
      <c r="V584" t="s">
        <v>350</v>
      </c>
    </row>
    <row r="585" spans="4:22" x14ac:dyDescent="0.25">
      <c r="D585" t="s">
        <v>30</v>
      </c>
      <c r="E585" t="s">
        <v>202</v>
      </c>
      <c r="F585" s="26" t="str">
        <f t="shared" si="45"/>
        <v>2024-05-16</v>
      </c>
      <c r="G585" s="26" t="str">
        <f t="shared" si="46"/>
        <v>2024-05-16</v>
      </c>
      <c r="H585">
        <f t="shared" si="47"/>
        <v>0</v>
      </c>
      <c r="K585" t="str">
        <f t="shared" si="48"/>
        <v>Орлов Павел ДенисовичИванов Роман Кириллович</v>
      </c>
      <c r="L585" t="s">
        <v>47</v>
      </c>
      <c r="M585" t="s">
        <v>91</v>
      </c>
      <c r="N585" t="s">
        <v>290</v>
      </c>
      <c r="S585" t="str">
        <f t="shared" si="49"/>
        <v>Новикова Ольга ПетровнаНовиков Илья Кириллович</v>
      </c>
      <c r="T585" t="s">
        <v>45</v>
      </c>
      <c r="U585" t="s">
        <v>248</v>
      </c>
      <c r="V585" t="s">
        <v>350</v>
      </c>
    </row>
    <row r="586" spans="4:22" x14ac:dyDescent="0.25">
      <c r="D586" t="s">
        <v>30</v>
      </c>
      <c r="E586" t="s">
        <v>344</v>
      </c>
      <c r="F586" s="26" t="str">
        <f t="shared" si="45"/>
        <v>2024-05-17</v>
      </c>
      <c r="G586" s="26" t="str">
        <f t="shared" si="46"/>
        <v>2024-05-17</v>
      </c>
      <c r="H586">
        <f t="shared" si="47"/>
        <v>0</v>
      </c>
      <c r="K586" t="str">
        <f t="shared" si="48"/>
        <v>Семенова Ирина ВалерьевнаОрлов Андрей Никитич</v>
      </c>
      <c r="L586" t="s">
        <v>10</v>
      </c>
      <c r="M586" t="s">
        <v>142</v>
      </c>
      <c r="N586" t="s">
        <v>290</v>
      </c>
      <c r="S586" t="str">
        <f t="shared" si="49"/>
        <v>Иванова Анна СергеевнаАлексеев Илья Владимирович</v>
      </c>
      <c r="T586" t="s">
        <v>13</v>
      </c>
      <c r="U586" t="s">
        <v>332</v>
      </c>
      <c r="V586" t="s">
        <v>351</v>
      </c>
    </row>
    <row r="587" spans="4:22" x14ac:dyDescent="0.25">
      <c r="D587" t="s">
        <v>47</v>
      </c>
      <c r="E587" t="s">
        <v>307</v>
      </c>
      <c r="F587" s="26" t="str">
        <f t="shared" si="45"/>
        <v>2024-05-17</v>
      </c>
      <c r="G587" s="26" t="str">
        <f t="shared" si="46"/>
        <v>2024-08-22</v>
      </c>
      <c r="H587">
        <f t="shared" si="47"/>
        <v>97</v>
      </c>
      <c r="K587" t="str">
        <f t="shared" si="48"/>
        <v>Белов Алексей КонстантиновичФедоров Кирилл Алексеевич</v>
      </c>
      <c r="L587" t="s">
        <v>25</v>
      </c>
      <c r="M587" t="s">
        <v>287</v>
      </c>
      <c r="N587" t="s">
        <v>288</v>
      </c>
      <c r="S587" t="str">
        <f t="shared" si="49"/>
        <v>Сидорова Елена ВасильевнаНовиков Михаил Павлович</v>
      </c>
      <c r="T587" t="s">
        <v>8</v>
      </c>
      <c r="U587" t="s">
        <v>331</v>
      </c>
      <c r="V587" t="s">
        <v>352</v>
      </c>
    </row>
    <row r="588" spans="4:22" x14ac:dyDescent="0.25">
      <c r="D588" t="s">
        <v>38</v>
      </c>
      <c r="E588" t="s">
        <v>158</v>
      </c>
      <c r="F588" s="26" t="str">
        <f t="shared" si="45"/>
        <v>2024-05-17</v>
      </c>
      <c r="G588" s="26" t="str">
        <f t="shared" si="46"/>
        <v>2024-05-17</v>
      </c>
      <c r="H588">
        <f t="shared" si="47"/>
        <v>0</v>
      </c>
      <c r="K588" t="str">
        <f t="shared" si="48"/>
        <v>Петров Владимир КирилловичВолкова София Владимировна</v>
      </c>
      <c r="L588" t="s">
        <v>18</v>
      </c>
      <c r="M588" t="s">
        <v>289</v>
      </c>
      <c r="N588" t="s">
        <v>288</v>
      </c>
      <c r="S588" t="str">
        <f t="shared" si="49"/>
        <v>Петров Владимир КирилловичЛебедева Екатерина Олеговна</v>
      </c>
      <c r="T588" t="s">
        <v>18</v>
      </c>
      <c r="U588" t="s">
        <v>209</v>
      </c>
      <c r="V588" t="s">
        <v>352</v>
      </c>
    </row>
    <row r="589" spans="4:22" x14ac:dyDescent="0.25">
      <c r="D589" t="s">
        <v>10</v>
      </c>
      <c r="E589" t="s">
        <v>382</v>
      </c>
      <c r="F589" s="26" t="str">
        <f t="shared" si="45"/>
        <v>2024-05-20</v>
      </c>
      <c r="G589" s="26" t="str">
        <f t="shared" si="46"/>
        <v>2024-05-20</v>
      </c>
      <c r="H589">
        <f t="shared" si="47"/>
        <v>0</v>
      </c>
      <c r="K589" t="str">
        <f t="shared" si="48"/>
        <v>Яковлев Артем ИгоревичЛебедева Александра Дмитриевна</v>
      </c>
      <c r="L589" t="s">
        <v>30</v>
      </c>
      <c r="M589" t="s">
        <v>20</v>
      </c>
      <c r="N589" t="s">
        <v>288</v>
      </c>
      <c r="S589" t="str">
        <f t="shared" si="49"/>
        <v>Иванова Анна СергеевнаФедорова Ольга Кирилловна</v>
      </c>
      <c r="T589" t="s">
        <v>13</v>
      </c>
      <c r="U589" t="s">
        <v>167</v>
      </c>
      <c r="V589" t="s">
        <v>352</v>
      </c>
    </row>
    <row r="590" spans="4:22" x14ac:dyDescent="0.25">
      <c r="D590" t="s">
        <v>30</v>
      </c>
      <c r="E590" t="s">
        <v>384</v>
      </c>
      <c r="F590" s="26" t="str">
        <f t="shared" si="45"/>
        <v>2024-05-20</v>
      </c>
      <c r="G590" s="26" t="str">
        <f t="shared" si="46"/>
        <v>2024-05-20</v>
      </c>
      <c r="H590">
        <f t="shared" si="47"/>
        <v>0</v>
      </c>
      <c r="K590" t="str">
        <f t="shared" si="48"/>
        <v>Фролов Сергей ВикторовичМорозов Егор Андреевич</v>
      </c>
      <c r="L590" t="s">
        <v>16</v>
      </c>
      <c r="M590" t="s">
        <v>9</v>
      </c>
      <c r="N590" t="s">
        <v>288</v>
      </c>
      <c r="S590" t="str">
        <f t="shared" si="49"/>
        <v>Петров Владимир КирилловичЛебедева Ирина Кирилловна</v>
      </c>
      <c r="T590" t="s">
        <v>18</v>
      </c>
      <c r="U590" t="s">
        <v>73</v>
      </c>
      <c r="V590" t="s">
        <v>353</v>
      </c>
    </row>
    <row r="591" spans="4:22" x14ac:dyDescent="0.25">
      <c r="D591" t="s">
        <v>45</v>
      </c>
      <c r="E591" t="s">
        <v>142</v>
      </c>
      <c r="F591" s="26" t="str">
        <f t="shared" si="45"/>
        <v>2024-05-20</v>
      </c>
      <c r="G591" s="26" t="str">
        <f t="shared" si="46"/>
        <v>2024-06-05</v>
      </c>
      <c r="H591">
        <f t="shared" si="47"/>
        <v>16</v>
      </c>
      <c r="K591" t="str">
        <f t="shared" si="48"/>
        <v>Сидорова Елена ВасильевнаЛебедева Александра Дмитриевна</v>
      </c>
      <c r="L591" t="s">
        <v>8</v>
      </c>
      <c r="M591" t="s">
        <v>20</v>
      </c>
      <c r="N591" t="s">
        <v>288</v>
      </c>
      <c r="S591" t="str">
        <f t="shared" si="49"/>
        <v>Иванова Анна СергеевнаМорозов Максим Сергеевич</v>
      </c>
      <c r="T591" t="s">
        <v>13</v>
      </c>
      <c r="U591" t="s">
        <v>239</v>
      </c>
      <c r="V591" t="s">
        <v>353</v>
      </c>
    </row>
    <row r="592" spans="4:22" x14ac:dyDescent="0.25">
      <c r="D592" t="s">
        <v>13</v>
      </c>
      <c r="E592" t="s">
        <v>9</v>
      </c>
      <c r="F592" s="26" t="str">
        <f t="shared" si="45"/>
        <v>2024-05-20</v>
      </c>
      <c r="G592" s="26" t="str">
        <f t="shared" si="46"/>
        <v>2024-08-05</v>
      </c>
      <c r="H592">
        <f t="shared" si="47"/>
        <v>77</v>
      </c>
      <c r="K592" t="str">
        <f t="shared" si="48"/>
        <v>Фролов Сергей ВикторовичКузнецова Валерия Дмитриевна</v>
      </c>
      <c r="L592" t="s">
        <v>16</v>
      </c>
      <c r="M592" t="s">
        <v>223</v>
      </c>
      <c r="N592" t="s">
        <v>288</v>
      </c>
      <c r="S592" t="str">
        <f t="shared" si="49"/>
        <v>Сидорова Елена ВасильевнаЛебедев Никита Алексеевич</v>
      </c>
      <c r="T592" t="s">
        <v>8</v>
      </c>
      <c r="U592" t="s">
        <v>93</v>
      </c>
      <c r="V592" t="s">
        <v>353</v>
      </c>
    </row>
    <row r="593" spans="4:22" x14ac:dyDescent="0.25">
      <c r="D593" t="s">
        <v>45</v>
      </c>
      <c r="E593" t="s">
        <v>26</v>
      </c>
      <c r="F593" s="26" t="str">
        <f t="shared" si="45"/>
        <v>2024-05-20</v>
      </c>
      <c r="G593" s="26" t="str">
        <f t="shared" si="46"/>
        <v>2024-06-17</v>
      </c>
      <c r="H593">
        <f t="shared" si="47"/>
        <v>28</v>
      </c>
      <c r="K593" t="str">
        <f t="shared" si="48"/>
        <v>Орлов Павел ДенисовичСеменов Роман Павлович</v>
      </c>
      <c r="L593" t="s">
        <v>47</v>
      </c>
      <c r="M593" t="s">
        <v>196</v>
      </c>
      <c r="N593" t="s">
        <v>288</v>
      </c>
      <c r="S593" t="str">
        <f t="shared" si="49"/>
        <v>Фролов Сергей ВикторовичСидоров Никита Романович</v>
      </c>
      <c r="T593" t="s">
        <v>16</v>
      </c>
      <c r="U593" t="s">
        <v>121</v>
      </c>
      <c r="V593" t="s">
        <v>354</v>
      </c>
    </row>
    <row r="594" spans="4:22" x14ac:dyDescent="0.25">
      <c r="D594" t="s">
        <v>45</v>
      </c>
      <c r="E594" t="s">
        <v>206</v>
      </c>
      <c r="F594" s="26" t="str">
        <f t="shared" si="45"/>
        <v>2024-05-20</v>
      </c>
      <c r="G594" s="26" t="str">
        <f t="shared" si="46"/>
        <v>2024-05-20</v>
      </c>
      <c r="H594">
        <f t="shared" si="47"/>
        <v>0</v>
      </c>
      <c r="K594" t="str">
        <f t="shared" si="48"/>
        <v>Орлов Павел ДенисовичВасильев Максим Иванович</v>
      </c>
      <c r="L594" t="s">
        <v>47</v>
      </c>
      <c r="M594" t="s">
        <v>212</v>
      </c>
      <c r="N594" t="s">
        <v>288</v>
      </c>
      <c r="S594" t="str">
        <f t="shared" si="49"/>
        <v>Семенова Ирина ВалерьевнаСеменова Алиса Павловна</v>
      </c>
      <c r="T594" t="s">
        <v>10</v>
      </c>
      <c r="U594" t="s">
        <v>346</v>
      </c>
      <c r="V594" t="s">
        <v>354</v>
      </c>
    </row>
    <row r="595" spans="4:22" x14ac:dyDescent="0.25">
      <c r="D595" t="s">
        <v>13</v>
      </c>
      <c r="E595" t="s">
        <v>67</v>
      </c>
      <c r="F595" s="26" t="str">
        <f t="shared" si="45"/>
        <v>2024-05-20</v>
      </c>
      <c r="G595" s="26" t="str">
        <f t="shared" si="46"/>
        <v>2024-07-19</v>
      </c>
      <c r="H595">
        <f t="shared" si="47"/>
        <v>60</v>
      </c>
      <c r="K595" t="str">
        <f t="shared" si="48"/>
        <v>Петров Владимир КирилловичКозлова Светлана Михайловна</v>
      </c>
      <c r="L595" t="s">
        <v>18</v>
      </c>
      <c r="M595" t="s">
        <v>265</v>
      </c>
      <c r="N595" t="s">
        <v>286</v>
      </c>
      <c r="S595" t="str">
        <f t="shared" si="49"/>
        <v>Кузнецов Дмитрий ЛьвовичЛебедев Сергей Алексеевич</v>
      </c>
      <c r="T595" t="s">
        <v>38</v>
      </c>
      <c r="U595" t="s">
        <v>99</v>
      </c>
      <c r="V595" t="s">
        <v>355</v>
      </c>
    </row>
    <row r="596" spans="4:22" x14ac:dyDescent="0.25">
      <c r="D596" t="s">
        <v>16</v>
      </c>
      <c r="E596" t="s">
        <v>385</v>
      </c>
      <c r="F596" s="26" t="str">
        <f t="shared" si="45"/>
        <v>2024-05-20</v>
      </c>
      <c r="G596" s="26" t="str">
        <f t="shared" si="46"/>
        <v>2024-05-20</v>
      </c>
      <c r="H596">
        <f t="shared" si="47"/>
        <v>0</v>
      </c>
      <c r="K596" t="str">
        <f t="shared" si="48"/>
        <v>Семенова Ирина ВалерьевнаСидорова Полина Олеговна</v>
      </c>
      <c r="L596" t="s">
        <v>10</v>
      </c>
      <c r="M596" t="s">
        <v>106</v>
      </c>
      <c r="N596" t="s">
        <v>286</v>
      </c>
      <c r="S596" t="str">
        <f t="shared" si="49"/>
        <v>Фролов Сергей ВикторовичВолкова Татьяна Станиславовна</v>
      </c>
      <c r="T596" t="s">
        <v>16</v>
      </c>
      <c r="U596" t="s">
        <v>89</v>
      </c>
      <c r="V596" t="s">
        <v>355</v>
      </c>
    </row>
    <row r="597" spans="4:22" x14ac:dyDescent="0.25">
      <c r="D597" t="s">
        <v>10</v>
      </c>
      <c r="E597" t="s">
        <v>68</v>
      </c>
      <c r="F597" s="26" t="str">
        <f t="shared" si="45"/>
        <v>2024-05-20</v>
      </c>
      <c r="G597" s="26" t="str">
        <f t="shared" si="46"/>
        <v>2024-05-20</v>
      </c>
      <c r="H597">
        <f t="shared" si="47"/>
        <v>0</v>
      </c>
      <c r="K597" t="str">
        <f t="shared" si="48"/>
        <v>Сидорова Елена ВасильевнаСмирнов Максим Сергеевич</v>
      </c>
      <c r="L597" t="s">
        <v>8</v>
      </c>
      <c r="M597" t="s">
        <v>49</v>
      </c>
      <c r="N597" t="s">
        <v>285</v>
      </c>
      <c r="S597" t="str">
        <f t="shared" si="49"/>
        <v>Сидорова Елена ВасильевнаПетров Алексей Юрьевич</v>
      </c>
      <c r="T597" t="s">
        <v>8</v>
      </c>
      <c r="U597" t="s">
        <v>22</v>
      </c>
      <c r="V597" t="s">
        <v>355</v>
      </c>
    </row>
    <row r="598" spans="4:22" x14ac:dyDescent="0.25">
      <c r="D598" t="s">
        <v>5</v>
      </c>
      <c r="E598" t="s">
        <v>270</v>
      </c>
      <c r="F598" s="26" t="str">
        <f t="shared" si="45"/>
        <v>2024-05-20</v>
      </c>
      <c r="G598" s="26" t="str">
        <f t="shared" si="46"/>
        <v>2024-05-20</v>
      </c>
      <c r="H598">
        <f t="shared" si="47"/>
        <v>0</v>
      </c>
      <c r="K598" t="str">
        <f t="shared" si="48"/>
        <v>Громова Мария ИльиничнаНовиков Павел Олегович</v>
      </c>
      <c r="L598" t="s">
        <v>5</v>
      </c>
      <c r="M598" t="s">
        <v>226</v>
      </c>
      <c r="N598" t="s">
        <v>285</v>
      </c>
      <c r="S598" t="str">
        <f t="shared" si="49"/>
        <v>Белов Алексей КонстантиновичФедорова Наталья Геннадьевна</v>
      </c>
      <c r="T598" t="s">
        <v>25</v>
      </c>
      <c r="U598" t="s">
        <v>43</v>
      </c>
      <c r="V598" t="s">
        <v>355</v>
      </c>
    </row>
    <row r="599" spans="4:22" x14ac:dyDescent="0.25">
      <c r="D599" t="s">
        <v>10</v>
      </c>
      <c r="E599" t="s">
        <v>125</v>
      </c>
      <c r="F599" s="26" t="str">
        <f t="shared" si="45"/>
        <v>2024-05-20</v>
      </c>
      <c r="G599" s="26" t="str">
        <f t="shared" si="46"/>
        <v>2024-05-20</v>
      </c>
      <c r="H599">
        <f t="shared" si="47"/>
        <v>0</v>
      </c>
      <c r="K599" t="str">
        <f t="shared" si="48"/>
        <v>Яковлев Артем ИгоревичСтепанова Анна Ивановна</v>
      </c>
      <c r="L599" t="s">
        <v>30</v>
      </c>
      <c r="M599" t="s">
        <v>221</v>
      </c>
      <c r="N599" t="s">
        <v>285</v>
      </c>
      <c r="S599" t="str">
        <f t="shared" si="49"/>
        <v>Кузнецов Дмитрий ЛьвовичПетрова Ольга Сергеевна</v>
      </c>
      <c r="T599" t="s">
        <v>38</v>
      </c>
      <c r="U599" t="s">
        <v>161</v>
      </c>
      <c r="V599" t="s">
        <v>355</v>
      </c>
    </row>
    <row r="600" spans="4:22" x14ac:dyDescent="0.25">
      <c r="D600" t="s">
        <v>30</v>
      </c>
      <c r="E600" t="s">
        <v>272</v>
      </c>
      <c r="F600" s="26" t="str">
        <f t="shared" si="45"/>
        <v>2024-05-20</v>
      </c>
      <c r="G600" s="26" t="str">
        <f t="shared" si="46"/>
        <v>2024-05-20</v>
      </c>
      <c r="H600">
        <f t="shared" si="47"/>
        <v>0</v>
      </c>
      <c r="K600" t="str">
        <f t="shared" si="48"/>
        <v>Белов Алексей КонстантиновичНовикова Алиса Ивановна</v>
      </c>
      <c r="L600" t="s">
        <v>25</v>
      </c>
      <c r="M600" t="s">
        <v>202</v>
      </c>
      <c r="N600" t="s">
        <v>284</v>
      </c>
      <c r="S600" t="str">
        <f t="shared" si="49"/>
        <v>Иванова Анна СергеевнаВасильев Илья Александрович</v>
      </c>
      <c r="T600" t="s">
        <v>13</v>
      </c>
      <c r="U600" t="s">
        <v>137</v>
      </c>
      <c r="V600" t="s">
        <v>356</v>
      </c>
    </row>
    <row r="601" spans="4:22" x14ac:dyDescent="0.25">
      <c r="D601" t="s">
        <v>18</v>
      </c>
      <c r="E601" t="s">
        <v>110</v>
      </c>
      <c r="F601" s="26" t="str">
        <f t="shared" si="45"/>
        <v>2024-05-20</v>
      </c>
      <c r="G601" s="26" t="str">
        <f t="shared" si="46"/>
        <v>2024-05-20</v>
      </c>
      <c r="H601">
        <f t="shared" si="47"/>
        <v>0</v>
      </c>
      <c r="K601" t="str">
        <f t="shared" si="48"/>
        <v>Кузнецов Дмитрий ЛьвовичЛебедева Ирина Кирилловна</v>
      </c>
      <c r="L601" t="s">
        <v>38</v>
      </c>
      <c r="M601" t="s">
        <v>73</v>
      </c>
      <c r="N601" t="s">
        <v>283</v>
      </c>
      <c r="S601" t="str">
        <f t="shared" si="49"/>
        <v>Громова Мария ИльиничнаПетров Алексей Юрьевич</v>
      </c>
      <c r="T601" t="s">
        <v>5</v>
      </c>
      <c r="U601" t="s">
        <v>22</v>
      </c>
      <c r="V601" t="s">
        <v>356</v>
      </c>
    </row>
    <row r="602" spans="4:22" x14ac:dyDescent="0.25">
      <c r="D602" t="s">
        <v>45</v>
      </c>
      <c r="E602" t="s">
        <v>99</v>
      </c>
      <c r="F602" s="26" t="str">
        <f t="shared" si="45"/>
        <v>2024-05-22</v>
      </c>
      <c r="G602" s="26" t="str">
        <f t="shared" si="46"/>
        <v>2024-05-22</v>
      </c>
      <c r="H602">
        <f t="shared" si="47"/>
        <v>0</v>
      </c>
      <c r="K602" t="str">
        <f t="shared" si="48"/>
        <v>Сидорова Елена ВасильевнаСмирнова Елена Викторовна</v>
      </c>
      <c r="L602" t="s">
        <v>8</v>
      </c>
      <c r="M602" t="s">
        <v>66</v>
      </c>
      <c r="N602" t="s">
        <v>283</v>
      </c>
      <c r="S602" t="str">
        <f t="shared" si="49"/>
        <v>Иванова Анна СергеевнаСеменова Наталья Олеговна</v>
      </c>
      <c r="T602" t="s">
        <v>13</v>
      </c>
      <c r="U602" t="s">
        <v>249</v>
      </c>
      <c r="V602" t="s">
        <v>356</v>
      </c>
    </row>
    <row r="603" spans="4:22" x14ac:dyDescent="0.25">
      <c r="D603" t="s">
        <v>18</v>
      </c>
      <c r="E603" t="s">
        <v>96</v>
      </c>
      <c r="F603" s="26" t="str">
        <f t="shared" si="45"/>
        <v>2024-05-22</v>
      </c>
      <c r="G603" s="26" t="str">
        <f t="shared" si="46"/>
        <v>2024-05-22</v>
      </c>
      <c r="H603">
        <f t="shared" si="47"/>
        <v>0</v>
      </c>
      <c r="K603" t="str">
        <f t="shared" si="48"/>
        <v>Иванова Анна СергеевнаОрлова Анна Артемовна</v>
      </c>
      <c r="L603" t="s">
        <v>13</v>
      </c>
      <c r="M603" t="s">
        <v>141</v>
      </c>
      <c r="N603" t="s">
        <v>283</v>
      </c>
      <c r="S603" t="str">
        <f t="shared" si="49"/>
        <v>Кузнецов Дмитрий ЛьвовичВасильев Максим Иванович</v>
      </c>
      <c r="T603" t="s">
        <v>38</v>
      </c>
      <c r="U603" t="s">
        <v>212</v>
      </c>
      <c r="V603" t="s">
        <v>357</v>
      </c>
    </row>
    <row r="604" spans="4:22" x14ac:dyDescent="0.25">
      <c r="D604" t="s">
        <v>38</v>
      </c>
      <c r="E604" t="s">
        <v>344</v>
      </c>
      <c r="F604" s="26" t="str">
        <f t="shared" si="45"/>
        <v>2024-05-22</v>
      </c>
      <c r="G604" s="26" t="str">
        <f t="shared" si="46"/>
        <v>2024-05-22</v>
      </c>
      <c r="H604">
        <f t="shared" si="47"/>
        <v>0</v>
      </c>
      <c r="K604" t="str">
        <f t="shared" si="48"/>
        <v>Яковлев Артем ИгоревичКозлов Илья Сергеевич</v>
      </c>
      <c r="L604" t="s">
        <v>30</v>
      </c>
      <c r="M604" t="s">
        <v>58</v>
      </c>
      <c r="N604" t="s">
        <v>283</v>
      </c>
      <c r="S604" t="str">
        <f t="shared" si="49"/>
        <v>Орлов Павел ДенисовичПетрова Александра Олеговна</v>
      </c>
      <c r="T604" t="s">
        <v>47</v>
      </c>
      <c r="U604" t="s">
        <v>139</v>
      </c>
      <c r="V604" t="s">
        <v>357</v>
      </c>
    </row>
    <row r="605" spans="4:22" x14ac:dyDescent="0.25">
      <c r="D605" t="s">
        <v>38</v>
      </c>
      <c r="E605" t="s">
        <v>299</v>
      </c>
      <c r="F605" s="26" t="str">
        <f t="shared" si="45"/>
        <v>2024-05-22</v>
      </c>
      <c r="G605" s="26" t="str">
        <f t="shared" si="46"/>
        <v>2024-05-22</v>
      </c>
      <c r="H605">
        <f t="shared" si="47"/>
        <v>0</v>
      </c>
      <c r="K605" t="str">
        <f t="shared" si="48"/>
        <v>Белов Алексей КонстантиновичСеменов Егор Никитич</v>
      </c>
      <c r="L605" t="s">
        <v>25</v>
      </c>
      <c r="M605" t="s">
        <v>215</v>
      </c>
      <c r="N605" t="s">
        <v>282</v>
      </c>
      <c r="S605" t="str">
        <f t="shared" si="49"/>
        <v>Яковлев Артем ИгоревичВолкова Ирина Геннадьевна</v>
      </c>
      <c r="T605" t="s">
        <v>30</v>
      </c>
      <c r="U605" t="s">
        <v>70</v>
      </c>
      <c r="V605" t="s">
        <v>358</v>
      </c>
    </row>
    <row r="606" spans="4:22" x14ac:dyDescent="0.25">
      <c r="D606" t="s">
        <v>18</v>
      </c>
      <c r="E606" t="s">
        <v>119</v>
      </c>
      <c r="F606" s="26" t="str">
        <f t="shared" si="45"/>
        <v>2024-05-24</v>
      </c>
      <c r="G606" s="26" t="str">
        <f t="shared" si="46"/>
        <v>2024-05-24</v>
      </c>
      <c r="H606">
        <f t="shared" si="47"/>
        <v>0</v>
      </c>
      <c r="K606" t="str">
        <f t="shared" si="48"/>
        <v>Кузнецов Дмитрий ЛьвовичМорозова Александра Станиславовна</v>
      </c>
      <c r="L606" t="s">
        <v>38</v>
      </c>
      <c r="M606" t="s">
        <v>55</v>
      </c>
      <c r="N606" t="s">
        <v>282</v>
      </c>
      <c r="S606" t="str">
        <f t="shared" si="49"/>
        <v>Кузнецов Дмитрий ЛьвовичНовиков Михаил Павлович</v>
      </c>
      <c r="T606" t="s">
        <v>38</v>
      </c>
      <c r="U606" t="s">
        <v>331</v>
      </c>
      <c r="V606" t="s">
        <v>358</v>
      </c>
    </row>
    <row r="607" spans="4:22" x14ac:dyDescent="0.25">
      <c r="D607" t="s">
        <v>13</v>
      </c>
      <c r="E607" t="s">
        <v>270</v>
      </c>
      <c r="F607" s="26" t="str">
        <f t="shared" si="45"/>
        <v>2024-05-24</v>
      </c>
      <c r="G607" s="26" t="str">
        <f t="shared" si="46"/>
        <v>2024-05-24</v>
      </c>
      <c r="H607">
        <f t="shared" si="47"/>
        <v>0</v>
      </c>
      <c r="K607" t="str">
        <f t="shared" si="48"/>
        <v>Семенова Ирина ВалерьевнаВолков Сергей Иванович</v>
      </c>
      <c r="L607" t="s">
        <v>10</v>
      </c>
      <c r="M607" t="s">
        <v>74</v>
      </c>
      <c r="N607" t="s">
        <v>282</v>
      </c>
      <c r="S607" t="str">
        <f t="shared" si="49"/>
        <v>Новикова Ольга ПетровнаВолкова Наталья Андреевна</v>
      </c>
      <c r="T607" t="s">
        <v>45</v>
      </c>
      <c r="U607" t="s">
        <v>24</v>
      </c>
      <c r="V607" t="s">
        <v>358</v>
      </c>
    </row>
    <row r="608" spans="4:22" x14ac:dyDescent="0.25">
      <c r="D608" t="s">
        <v>16</v>
      </c>
      <c r="E608" t="s">
        <v>94</v>
      </c>
      <c r="F608" s="26" t="str">
        <f t="shared" si="45"/>
        <v>2024-05-24</v>
      </c>
      <c r="G608" s="26" t="str">
        <f t="shared" si="46"/>
        <v>2024-05-24</v>
      </c>
      <c r="H608">
        <f t="shared" si="47"/>
        <v>0</v>
      </c>
      <c r="K608" t="str">
        <f t="shared" si="48"/>
        <v>Семенова Ирина ВалерьевнаПетрова Александра Олеговна</v>
      </c>
      <c r="L608" t="s">
        <v>10</v>
      </c>
      <c r="M608" t="s">
        <v>139</v>
      </c>
      <c r="N608" t="s">
        <v>282</v>
      </c>
      <c r="S608" t="str">
        <f t="shared" si="49"/>
        <v>Громова Мария ИльиничнаСеменов Роман Павлович</v>
      </c>
      <c r="T608" t="s">
        <v>5</v>
      </c>
      <c r="U608" t="s">
        <v>196</v>
      </c>
      <c r="V608" t="s">
        <v>358</v>
      </c>
    </row>
    <row r="609" spans="4:22" x14ac:dyDescent="0.25">
      <c r="D609" t="s">
        <v>30</v>
      </c>
      <c r="E609" t="s">
        <v>169</v>
      </c>
      <c r="F609" s="26" t="str">
        <f t="shared" si="45"/>
        <v>2024-05-27</v>
      </c>
      <c r="G609" s="26" t="str">
        <f t="shared" si="46"/>
        <v>2024-05-27</v>
      </c>
      <c r="H609">
        <f t="shared" si="47"/>
        <v>0</v>
      </c>
      <c r="K609" t="str">
        <f t="shared" si="48"/>
        <v>Громова Мария ИльиничнаАлексеев Кирилл Сергеевич</v>
      </c>
      <c r="L609" t="s">
        <v>5</v>
      </c>
      <c r="M609" t="s">
        <v>206</v>
      </c>
      <c r="N609" t="s">
        <v>282</v>
      </c>
      <c r="S609" t="str">
        <f t="shared" si="49"/>
        <v>Семенова Ирина ВалерьевнаСтепанова Полина Михайловна</v>
      </c>
      <c r="T609" t="s">
        <v>10</v>
      </c>
      <c r="U609" t="s">
        <v>50</v>
      </c>
      <c r="V609" t="s">
        <v>359</v>
      </c>
    </row>
    <row r="610" spans="4:22" x14ac:dyDescent="0.25">
      <c r="D610" t="s">
        <v>30</v>
      </c>
      <c r="E610" t="s">
        <v>82</v>
      </c>
      <c r="F610" s="26" t="str">
        <f t="shared" si="45"/>
        <v>2024-05-27</v>
      </c>
      <c r="G610" s="26" t="str">
        <f t="shared" si="46"/>
        <v>2024-05-27</v>
      </c>
      <c r="H610">
        <f t="shared" si="47"/>
        <v>0</v>
      </c>
      <c r="K610" t="str">
        <f t="shared" si="48"/>
        <v>Новикова Ольга ПетровнаСидоров Михаил Сергеевич</v>
      </c>
      <c r="L610" t="s">
        <v>45</v>
      </c>
      <c r="M610" t="s">
        <v>187</v>
      </c>
      <c r="N610" t="s">
        <v>282</v>
      </c>
      <c r="S610" t="str">
        <f t="shared" si="49"/>
        <v>Ткаченко Андрей ОлеговичКозлов Илья Егорович</v>
      </c>
      <c r="T610" t="s">
        <v>27</v>
      </c>
      <c r="U610" t="s">
        <v>80</v>
      </c>
      <c r="V610" t="s">
        <v>359</v>
      </c>
    </row>
    <row r="611" spans="4:22" x14ac:dyDescent="0.25">
      <c r="D611" t="s">
        <v>13</v>
      </c>
      <c r="E611" t="s">
        <v>157</v>
      </c>
      <c r="F611" s="26" t="str">
        <f t="shared" si="45"/>
        <v>2024-05-27</v>
      </c>
      <c r="G611" s="26" t="str">
        <f t="shared" si="46"/>
        <v>2024-05-27</v>
      </c>
      <c r="H611">
        <f t="shared" si="47"/>
        <v>0</v>
      </c>
      <c r="K611" t="str">
        <f t="shared" si="48"/>
        <v>Кузнецов Дмитрий ЛьвовичВасильев Дмитрий Иванович</v>
      </c>
      <c r="L611" t="s">
        <v>38</v>
      </c>
      <c r="M611" t="s">
        <v>125</v>
      </c>
      <c r="N611" t="s">
        <v>282</v>
      </c>
      <c r="S611" t="str">
        <f t="shared" si="49"/>
        <v>Ткаченко Андрей ОлеговичМорозов Максим Сергеевич</v>
      </c>
      <c r="T611" t="s">
        <v>27</v>
      </c>
      <c r="U611" t="s">
        <v>239</v>
      </c>
      <c r="V611" t="s">
        <v>359</v>
      </c>
    </row>
    <row r="612" spans="4:22" x14ac:dyDescent="0.25">
      <c r="D612" t="s">
        <v>30</v>
      </c>
      <c r="E612" t="s">
        <v>249</v>
      </c>
      <c r="F612" s="26" t="str">
        <f t="shared" si="45"/>
        <v>2024-05-27</v>
      </c>
      <c r="G612" s="26" t="str">
        <f t="shared" si="46"/>
        <v>2024-05-27</v>
      </c>
      <c r="H612">
        <f t="shared" si="47"/>
        <v>0</v>
      </c>
      <c r="K612" t="str">
        <f t="shared" si="48"/>
        <v>Семенова Ирина ВалерьевнаМорозов Илья Геннадьевич</v>
      </c>
      <c r="L612" t="s">
        <v>10</v>
      </c>
      <c r="M612" t="s">
        <v>67</v>
      </c>
      <c r="N612" t="s">
        <v>281</v>
      </c>
      <c r="S612" t="str">
        <f t="shared" si="49"/>
        <v>Белов Алексей КонстантиновичЕгорова Светлана Андреевна</v>
      </c>
      <c r="T612" t="s">
        <v>25</v>
      </c>
      <c r="U612" t="s">
        <v>108</v>
      </c>
      <c r="V612" t="s">
        <v>360</v>
      </c>
    </row>
    <row r="613" spans="4:22" x14ac:dyDescent="0.25">
      <c r="D613" t="s">
        <v>38</v>
      </c>
      <c r="E613" t="s">
        <v>57</v>
      </c>
      <c r="F613" s="26" t="str">
        <f t="shared" si="45"/>
        <v>2024-05-27</v>
      </c>
      <c r="G613" s="26" t="str">
        <f t="shared" si="46"/>
        <v>2024-07-22</v>
      </c>
      <c r="H613">
        <f t="shared" si="47"/>
        <v>56</v>
      </c>
      <c r="K613" t="str">
        <f t="shared" si="48"/>
        <v>Новикова Ольга ПетровнаСеменов Роман Павлович</v>
      </c>
      <c r="L613" t="s">
        <v>45</v>
      </c>
      <c r="M613" t="s">
        <v>196</v>
      </c>
      <c r="N613" t="s">
        <v>281</v>
      </c>
      <c r="S613" t="str">
        <f t="shared" si="49"/>
        <v>Белов Алексей КонстантиновичФедоров Кирилл Алексеевич</v>
      </c>
      <c r="T613" t="s">
        <v>25</v>
      </c>
      <c r="U613" t="s">
        <v>287</v>
      </c>
      <c r="V613" t="s">
        <v>360</v>
      </c>
    </row>
    <row r="614" spans="4:22" x14ac:dyDescent="0.25">
      <c r="D614" t="s">
        <v>45</v>
      </c>
      <c r="E614" t="s">
        <v>219</v>
      </c>
      <c r="F614" s="26" t="str">
        <f t="shared" si="45"/>
        <v>2024-05-27</v>
      </c>
      <c r="G614" s="26" t="str">
        <f t="shared" si="46"/>
        <v>2024-05-27</v>
      </c>
      <c r="H614">
        <f t="shared" si="47"/>
        <v>0</v>
      </c>
      <c r="K614" t="str">
        <f t="shared" si="48"/>
        <v>Новикова Ольга ПетровнаЕгоров Александр Александрович</v>
      </c>
      <c r="L614" t="s">
        <v>45</v>
      </c>
      <c r="M614" t="s">
        <v>279</v>
      </c>
      <c r="N614" t="s">
        <v>280</v>
      </c>
      <c r="S614" t="str">
        <f t="shared" si="49"/>
        <v>Сидорова Елена ВасильевнаНовикова Анна Викторовна</v>
      </c>
      <c r="T614" t="s">
        <v>8</v>
      </c>
      <c r="U614" t="s">
        <v>211</v>
      </c>
      <c r="V614" t="s">
        <v>360</v>
      </c>
    </row>
    <row r="615" spans="4:22" x14ac:dyDescent="0.25">
      <c r="D615" t="s">
        <v>13</v>
      </c>
      <c r="E615" t="s">
        <v>155</v>
      </c>
      <c r="F615" s="26" t="str">
        <f t="shared" si="45"/>
        <v>2024-05-27</v>
      </c>
      <c r="G615" s="26" t="str">
        <f t="shared" si="46"/>
        <v>2024-07-31</v>
      </c>
      <c r="H615">
        <f t="shared" si="47"/>
        <v>65</v>
      </c>
      <c r="K615" t="str">
        <f t="shared" si="48"/>
        <v>Петров Владимир КирилловичЛебедева Ирина Кирилловна</v>
      </c>
      <c r="L615" t="s">
        <v>18</v>
      </c>
      <c r="M615" t="s">
        <v>73</v>
      </c>
      <c r="N615" t="s">
        <v>278</v>
      </c>
      <c r="S615" t="str">
        <f t="shared" si="49"/>
        <v>Орлов Павел ДенисовичНовикова София Андреевна</v>
      </c>
      <c r="T615" t="s">
        <v>47</v>
      </c>
      <c r="U615" t="s">
        <v>306</v>
      </c>
      <c r="V615" t="s">
        <v>360</v>
      </c>
    </row>
    <row r="616" spans="4:22" x14ac:dyDescent="0.25">
      <c r="D616" t="s">
        <v>38</v>
      </c>
      <c r="E616" t="s">
        <v>173</v>
      </c>
      <c r="F616" s="26" t="str">
        <f t="shared" si="45"/>
        <v>2024-05-27</v>
      </c>
      <c r="G616" s="26" t="str">
        <f t="shared" si="46"/>
        <v>2024-05-27</v>
      </c>
      <c r="H616">
        <f t="shared" si="47"/>
        <v>0</v>
      </c>
      <c r="K616" t="str">
        <f t="shared" si="48"/>
        <v>Семенова Ирина ВалерьевнаКозлов Константин Александрович</v>
      </c>
      <c r="L616" t="s">
        <v>10</v>
      </c>
      <c r="M616" t="s">
        <v>173</v>
      </c>
      <c r="N616" t="s">
        <v>278</v>
      </c>
      <c r="S616" t="str">
        <f t="shared" si="49"/>
        <v>Громова Мария ИльиничнаФедоров Артур Олегович</v>
      </c>
      <c r="T616" t="s">
        <v>5</v>
      </c>
      <c r="U616" t="s">
        <v>64</v>
      </c>
      <c r="V616" t="s">
        <v>360</v>
      </c>
    </row>
    <row r="617" spans="4:22" x14ac:dyDescent="0.25">
      <c r="D617" t="s">
        <v>27</v>
      </c>
      <c r="E617" t="s">
        <v>224</v>
      </c>
      <c r="F617" s="26" t="str">
        <f t="shared" si="45"/>
        <v>2024-05-27</v>
      </c>
      <c r="G617" s="26" t="str">
        <f t="shared" si="46"/>
        <v>2024-05-27</v>
      </c>
      <c r="H617">
        <f t="shared" si="47"/>
        <v>0</v>
      </c>
      <c r="K617" t="str">
        <f t="shared" si="48"/>
        <v>Семенова Ирина ВалерьевнаВасильев Константин Дмитриевич</v>
      </c>
      <c r="L617" t="s">
        <v>10</v>
      </c>
      <c r="M617" t="s">
        <v>126</v>
      </c>
      <c r="N617" t="s">
        <v>278</v>
      </c>
      <c r="S617" t="str">
        <f t="shared" si="49"/>
        <v>Фролов Сергей ВикторовичВолков Максим Дмитриевич</v>
      </c>
      <c r="T617" t="s">
        <v>16</v>
      </c>
      <c r="U617" t="s">
        <v>81</v>
      </c>
      <c r="V617" t="s">
        <v>360</v>
      </c>
    </row>
    <row r="618" spans="4:22" x14ac:dyDescent="0.25">
      <c r="D618" t="s">
        <v>13</v>
      </c>
      <c r="E618" t="s">
        <v>211</v>
      </c>
      <c r="F618" s="26" t="str">
        <f t="shared" si="45"/>
        <v>2024-05-28</v>
      </c>
      <c r="G618" s="26" t="str">
        <f t="shared" si="46"/>
        <v>2024-05-28</v>
      </c>
      <c r="H618">
        <f t="shared" si="47"/>
        <v>0</v>
      </c>
      <c r="K618" t="str">
        <f t="shared" si="48"/>
        <v>Фролов Сергей ВикторовичСмирнова Алиса Михайловна</v>
      </c>
      <c r="L618" t="s">
        <v>16</v>
      </c>
      <c r="M618" t="s">
        <v>205</v>
      </c>
      <c r="N618" t="s">
        <v>278</v>
      </c>
      <c r="S618" t="str">
        <f t="shared" si="49"/>
        <v>Яковлев Артем ИгоревичЕгоров Павел Сергеевич</v>
      </c>
      <c r="T618" t="s">
        <v>30</v>
      </c>
      <c r="U618" t="s">
        <v>134</v>
      </c>
      <c r="V618" t="s">
        <v>360</v>
      </c>
    </row>
    <row r="619" spans="4:22" x14ac:dyDescent="0.25">
      <c r="D619" t="s">
        <v>27</v>
      </c>
      <c r="E619" t="s">
        <v>77</v>
      </c>
      <c r="F619" s="26" t="str">
        <f t="shared" si="45"/>
        <v>2024-05-30</v>
      </c>
      <c r="G619" s="26" t="str">
        <f t="shared" si="46"/>
        <v>2024-08-05</v>
      </c>
      <c r="H619">
        <f t="shared" si="47"/>
        <v>67</v>
      </c>
      <c r="K619" t="str">
        <f t="shared" si="48"/>
        <v>Орлов Павел ДенисовичСидоров Никита Романович</v>
      </c>
      <c r="L619" t="s">
        <v>47</v>
      </c>
      <c r="M619" t="s">
        <v>121</v>
      </c>
      <c r="N619" t="s">
        <v>278</v>
      </c>
      <c r="S619" t="str">
        <f t="shared" si="49"/>
        <v>Яковлев Артем ИгоревичКозлова Татьяна Сергеевна</v>
      </c>
      <c r="T619" t="s">
        <v>30</v>
      </c>
      <c r="U619" t="s">
        <v>28</v>
      </c>
      <c r="V619" t="s">
        <v>361</v>
      </c>
    </row>
    <row r="620" spans="4:22" x14ac:dyDescent="0.25">
      <c r="D620" t="s">
        <v>13</v>
      </c>
      <c r="E620" t="s">
        <v>226</v>
      </c>
      <c r="F620" s="26" t="str">
        <f t="shared" si="45"/>
        <v>2024-05-31</v>
      </c>
      <c r="G620" s="26" t="str">
        <f t="shared" si="46"/>
        <v>2024-05-31</v>
      </c>
      <c r="H620">
        <f t="shared" si="47"/>
        <v>0</v>
      </c>
      <c r="K620" t="str">
        <f t="shared" si="48"/>
        <v>Фролов Сергей ВикторовичСеменов Егор Никитич</v>
      </c>
      <c r="L620" t="s">
        <v>16</v>
      </c>
      <c r="M620" t="s">
        <v>215</v>
      </c>
      <c r="N620" t="s">
        <v>277</v>
      </c>
      <c r="S620" t="str">
        <f t="shared" si="49"/>
        <v>Орлов Павел ДенисовичКозлов Александр Дмитриевич</v>
      </c>
      <c r="T620" t="s">
        <v>47</v>
      </c>
      <c r="U620" t="s">
        <v>88</v>
      </c>
      <c r="V620" t="s">
        <v>361</v>
      </c>
    </row>
    <row r="621" spans="4:22" x14ac:dyDescent="0.25">
      <c r="D621" t="s">
        <v>18</v>
      </c>
      <c r="E621" t="s">
        <v>393</v>
      </c>
      <c r="F621" s="26" t="str">
        <f t="shared" si="45"/>
        <v>2024-05-31</v>
      </c>
      <c r="G621" s="26" t="str">
        <f t="shared" si="46"/>
        <v>2024-05-31</v>
      </c>
      <c r="H621">
        <f t="shared" si="47"/>
        <v>0</v>
      </c>
      <c r="K621" t="str">
        <f t="shared" si="48"/>
        <v>Иванова Анна СергеевнаКозлов Алексей Романович</v>
      </c>
      <c r="L621" t="s">
        <v>13</v>
      </c>
      <c r="M621" t="s">
        <v>156</v>
      </c>
      <c r="N621" t="s">
        <v>277</v>
      </c>
      <c r="S621" t="str">
        <f t="shared" si="49"/>
        <v>Кузнецов Дмитрий ЛьвовичСтепанова Ольга Андреевна</v>
      </c>
      <c r="T621" t="s">
        <v>38</v>
      </c>
      <c r="U621" t="s">
        <v>307</v>
      </c>
      <c r="V621" t="s">
        <v>362</v>
      </c>
    </row>
    <row r="622" spans="4:22" x14ac:dyDescent="0.25">
      <c r="D622" t="s">
        <v>27</v>
      </c>
      <c r="E622" t="s">
        <v>212</v>
      </c>
      <c r="F622" s="26" t="str">
        <f t="shared" si="45"/>
        <v>2024-05-31</v>
      </c>
      <c r="G622" s="26" t="str">
        <f t="shared" si="46"/>
        <v>2024-05-31</v>
      </c>
      <c r="H622">
        <f t="shared" si="47"/>
        <v>0</v>
      </c>
      <c r="K622" t="str">
        <f t="shared" si="48"/>
        <v>Новикова Ольга ПетровнаСмирнов Максим Сергеевич</v>
      </c>
      <c r="L622" t="s">
        <v>45</v>
      </c>
      <c r="M622" t="s">
        <v>49</v>
      </c>
      <c r="N622" t="s">
        <v>277</v>
      </c>
      <c r="S622" t="str">
        <f t="shared" si="49"/>
        <v>Орлов Павел ДенисовичНовикова София Андреевна</v>
      </c>
      <c r="T622" t="s">
        <v>47</v>
      </c>
      <c r="U622" t="s">
        <v>306</v>
      </c>
      <c r="V622" t="s">
        <v>362</v>
      </c>
    </row>
    <row r="623" spans="4:22" x14ac:dyDescent="0.25">
      <c r="D623" t="s">
        <v>47</v>
      </c>
      <c r="E623" t="s">
        <v>89</v>
      </c>
      <c r="F623" s="26" t="str">
        <f t="shared" si="45"/>
        <v>2024-05-31</v>
      </c>
      <c r="G623" s="26" t="str">
        <f t="shared" si="46"/>
        <v>2024-05-31</v>
      </c>
      <c r="H623">
        <f t="shared" si="47"/>
        <v>0</v>
      </c>
      <c r="K623" t="str">
        <f t="shared" si="48"/>
        <v>Яковлев Артем ИгоревичСидоров Михаил Сергеевич</v>
      </c>
      <c r="L623" t="s">
        <v>30</v>
      </c>
      <c r="M623" t="s">
        <v>187</v>
      </c>
      <c r="N623" t="s">
        <v>277</v>
      </c>
      <c r="S623" t="str">
        <f t="shared" si="49"/>
        <v>Белов Алексей КонстантиновичОрлова Ольга Алексеевна</v>
      </c>
      <c r="T623" t="s">
        <v>25</v>
      </c>
      <c r="U623" t="s">
        <v>82</v>
      </c>
      <c r="V623" t="s">
        <v>362</v>
      </c>
    </row>
    <row r="624" spans="4:22" x14ac:dyDescent="0.25">
      <c r="D624" t="s">
        <v>13</v>
      </c>
      <c r="E624" t="s">
        <v>55</v>
      </c>
      <c r="F624" s="26" t="str">
        <f t="shared" si="45"/>
        <v>2024-06-03</v>
      </c>
      <c r="G624" s="26" t="str">
        <f t="shared" si="46"/>
        <v>2024-06-03</v>
      </c>
      <c r="H624">
        <f t="shared" si="47"/>
        <v>0</v>
      </c>
      <c r="K624" t="str">
        <f t="shared" si="48"/>
        <v>Иванова Анна СергеевнаЛебедева Ольга Романовна</v>
      </c>
      <c r="L624" t="s">
        <v>13</v>
      </c>
      <c r="M624" t="s">
        <v>186</v>
      </c>
      <c r="N624" t="s">
        <v>277</v>
      </c>
      <c r="S624" t="str">
        <f t="shared" si="49"/>
        <v>Яковлев Артем ИгоревичКозлов Илья Сергеевич</v>
      </c>
      <c r="T624" t="s">
        <v>30</v>
      </c>
      <c r="U624" t="s">
        <v>58</v>
      </c>
      <c r="V624" t="s">
        <v>362</v>
      </c>
    </row>
    <row r="625" spans="4:22" x14ac:dyDescent="0.25">
      <c r="D625" t="s">
        <v>8</v>
      </c>
      <c r="E625" t="s">
        <v>41</v>
      </c>
      <c r="F625" s="26" t="str">
        <f t="shared" si="45"/>
        <v>2024-06-03</v>
      </c>
      <c r="G625" s="26" t="str">
        <f t="shared" si="46"/>
        <v>2024-06-03</v>
      </c>
      <c r="H625">
        <f t="shared" si="47"/>
        <v>0</v>
      </c>
      <c r="K625" t="str">
        <f t="shared" si="48"/>
        <v>Семенова Ирина ВалерьевнаМорозов Максим Сергеевич</v>
      </c>
      <c r="L625" t="s">
        <v>10</v>
      </c>
      <c r="M625" t="s">
        <v>239</v>
      </c>
      <c r="N625" t="s">
        <v>277</v>
      </c>
      <c r="S625" t="str">
        <f t="shared" si="49"/>
        <v>Семенова Ирина ВалерьевнаНовикова Людмила Владимировна</v>
      </c>
      <c r="T625" t="s">
        <v>10</v>
      </c>
      <c r="U625" t="s">
        <v>113</v>
      </c>
      <c r="V625" t="s">
        <v>362</v>
      </c>
    </row>
    <row r="626" spans="4:22" x14ac:dyDescent="0.25">
      <c r="D626" t="s">
        <v>27</v>
      </c>
      <c r="E626" t="s">
        <v>126</v>
      </c>
      <c r="F626" s="26" t="str">
        <f t="shared" si="45"/>
        <v>2024-06-03</v>
      </c>
      <c r="G626" s="26" t="str">
        <f t="shared" si="46"/>
        <v>2024-06-27</v>
      </c>
      <c r="H626">
        <f t="shared" si="47"/>
        <v>24</v>
      </c>
      <c r="K626" t="str">
        <f t="shared" si="48"/>
        <v>Петров Владимир КирилловичСмирнов Илья Олегович</v>
      </c>
      <c r="L626" t="s">
        <v>18</v>
      </c>
      <c r="M626" t="s">
        <v>26</v>
      </c>
      <c r="N626" t="s">
        <v>276</v>
      </c>
      <c r="S626" t="str">
        <f t="shared" si="49"/>
        <v>Фролов Сергей ВикторовичПопов Михаил Павлович</v>
      </c>
      <c r="T626" t="s">
        <v>16</v>
      </c>
      <c r="U626" t="s">
        <v>146</v>
      </c>
      <c r="V626" t="s">
        <v>362</v>
      </c>
    </row>
    <row r="627" spans="4:22" x14ac:dyDescent="0.25">
      <c r="D627" t="s">
        <v>45</v>
      </c>
      <c r="E627" t="s">
        <v>209</v>
      </c>
      <c r="F627" s="26" t="str">
        <f t="shared" si="45"/>
        <v>2024-06-03</v>
      </c>
      <c r="G627" s="26" t="str">
        <f t="shared" si="46"/>
        <v>2024-06-03</v>
      </c>
      <c r="H627">
        <f t="shared" si="47"/>
        <v>0</v>
      </c>
      <c r="K627" t="str">
        <f t="shared" si="48"/>
        <v>Семенова Ирина ВалерьевнаКузнецова Анна Павловна</v>
      </c>
      <c r="L627" t="s">
        <v>10</v>
      </c>
      <c r="M627" t="s">
        <v>162</v>
      </c>
      <c r="N627" t="s">
        <v>276</v>
      </c>
      <c r="S627" t="str">
        <f t="shared" si="49"/>
        <v>Орлов Павел ДенисовичКозлов Павел Андреевич</v>
      </c>
      <c r="T627" t="s">
        <v>47</v>
      </c>
      <c r="U627" t="s">
        <v>363</v>
      </c>
      <c r="V627" t="s">
        <v>364</v>
      </c>
    </row>
    <row r="628" spans="4:22" x14ac:dyDescent="0.25">
      <c r="D628" t="s">
        <v>25</v>
      </c>
      <c r="E628" t="s">
        <v>137</v>
      </c>
      <c r="F628" s="26" t="str">
        <f t="shared" si="45"/>
        <v>2024-06-03</v>
      </c>
      <c r="G628" s="26" t="str">
        <f t="shared" si="46"/>
        <v>2024-06-03</v>
      </c>
      <c r="H628">
        <f t="shared" si="47"/>
        <v>0</v>
      </c>
      <c r="K628" t="str">
        <f t="shared" si="48"/>
        <v>Иванова Анна СергеевнаПопов Михаил Павлович</v>
      </c>
      <c r="L628" t="s">
        <v>13</v>
      </c>
      <c r="M628" t="s">
        <v>146</v>
      </c>
      <c r="N628" t="s">
        <v>276</v>
      </c>
      <c r="S628" t="str">
        <f t="shared" si="49"/>
        <v>Яковлев Артем ИгоревичВолков Максим Дмитриевич</v>
      </c>
      <c r="T628" t="s">
        <v>30</v>
      </c>
      <c r="U628" t="s">
        <v>81</v>
      </c>
      <c r="V628" t="s">
        <v>364</v>
      </c>
    </row>
    <row r="629" spans="4:22" x14ac:dyDescent="0.25">
      <c r="D629" t="s">
        <v>30</v>
      </c>
      <c r="E629" t="s">
        <v>194</v>
      </c>
      <c r="F629" s="26" t="str">
        <f t="shared" si="45"/>
        <v>2024-06-03</v>
      </c>
      <c r="G629" s="26" t="str">
        <f t="shared" si="46"/>
        <v>2024-06-03</v>
      </c>
      <c r="H629">
        <f t="shared" si="47"/>
        <v>0</v>
      </c>
      <c r="K629" t="str">
        <f t="shared" si="48"/>
        <v>Белов Алексей КонстантиновичКозлова Татьяна Сергеевна</v>
      </c>
      <c r="L629" t="s">
        <v>25</v>
      </c>
      <c r="M629" t="s">
        <v>28</v>
      </c>
      <c r="N629" t="s">
        <v>275</v>
      </c>
      <c r="S629" t="str">
        <f t="shared" si="49"/>
        <v>Петров Владимир КирилловичСмирнова Людмила Олеговна</v>
      </c>
      <c r="T629" t="s">
        <v>18</v>
      </c>
      <c r="U629" t="s">
        <v>180</v>
      </c>
      <c r="V629" t="s">
        <v>364</v>
      </c>
    </row>
    <row r="630" spans="4:22" x14ac:dyDescent="0.25">
      <c r="D630" t="s">
        <v>18</v>
      </c>
      <c r="E630" t="s">
        <v>395</v>
      </c>
      <c r="F630" s="26" t="str">
        <f t="shared" si="45"/>
        <v>2024-06-04</v>
      </c>
      <c r="G630" s="26" t="str">
        <f t="shared" si="46"/>
        <v>2024-07-18</v>
      </c>
      <c r="H630">
        <f t="shared" si="47"/>
        <v>44</v>
      </c>
      <c r="K630" t="str">
        <f t="shared" si="48"/>
        <v>Белов Алексей КонстантиновичПопова Людмила Егоровна</v>
      </c>
      <c r="L630" t="s">
        <v>25</v>
      </c>
      <c r="M630" t="s">
        <v>217</v>
      </c>
      <c r="N630" t="s">
        <v>275</v>
      </c>
      <c r="S630" t="str">
        <f t="shared" si="49"/>
        <v>Иванова Анна СергеевнаФедоров Владимир Павлович</v>
      </c>
      <c r="T630" t="s">
        <v>13</v>
      </c>
      <c r="U630" t="s">
        <v>63</v>
      </c>
      <c r="V630" t="s">
        <v>365</v>
      </c>
    </row>
    <row r="631" spans="4:22" x14ac:dyDescent="0.25">
      <c r="D631" t="s">
        <v>18</v>
      </c>
      <c r="E631" t="s">
        <v>157</v>
      </c>
      <c r="F631" s="26" t="str">
        <f t="shared" si="45"/>
        <v>2024-06-04</v>
      </c>
      <c r="G631" s="26" t="str">
        <f t="shared" si="46"/>
        <v>2024-06-04</v>
      </c>
      <c r="H631">
        <f t="shared" si="47"/>
        <v>0</v>
      </c>
      <c r="K631" t="str">
        <f t="shared" si="48"/>
        <v>Иванова Анна СергеевнаЛебедева Вероника Никитична</v>
      </c>
      <c r="L631" t="s">
        <v>13</v>
      </c>
      <c r="M631" t="s">
        <v>133</v>
      </c>
      <c r="N631" t="s">
        <v>274</v>
      </c>
      <c r="S631" t="str">
        <f t="shared" si="49"/>
        <v>Сидорова Елена ВасильевнаИванов Андрей Андреевич</v>
      </c>
      <c r="T631" t="s">
        <v>8</v>
      </c>
      <c r="U631" t="s">
        <v>190</v>
      </c>
      <c r="V631" t="s">
        <v>365</v>
      </c>
    </row>
    <row r="632" spans="4:22" x14ac:dyDescent="0.25">
      <c r="D632" t="s">
        <v>8</v>
      </c>
      <c r="E632" t="s">
        <v>53</v>
      </c>
      <c r="F632" s="26" t="str">
        <f t="shared" si="45"/>
        <v>2024-06-04</v>
      </c>
      <c r="G632" s="26" t="str">
        <f t="shared" si="46"/>
        <v>2024-06-04</v>
      </c>
      <c r="H632">
        <f t="shared" si="47"/>
        <v>0</v>
      </c>
      <c r="K632" t="str">
        <f t="shared" si="48"/>
        <v>Громова Мария ИльиничнаСидорова Ольга Андреевна</v>
      </c>
      <c r="L632" t="s">
        <v>5</v>
      </c>
      <c r="M632" t="s">
        <v>52</v>
      </c>
      <c r="N632" t="s">
        <v>273</v>
      </c>
      <c r="S632" t="str">
        <f t="shared" si="49"/>
        <v>Новикова Ольга ПетровнаОрлов Константин Никитич</v>
      </c>
      <c r="T632" t="s">
        <v>45</v>
      </c>
      <c r="U632" t="s">
        <v>233</v>
      </c>
      <c r="V632" t="s">
        <v>365</v>
      </c>
    </row>
    <row r="633" spans="4:22" x14ac:dyDescent="0.25">
      <c r="D633" t="s">
        <v>47</v>
      </c>
      <c r="E633" t="s">
        <v>107</v>
      </c>
      <c r="F633" s="26" t="str">
        <f t="shared" si="45"/>
        <v>2024-06-05</v>
      </c>
      <c r="G633" s="26" t="str">
        <f t="shared" si="46"/>
        <v>2024-06-05</v>
      </c>
      <c r="H633">
        <f t="shared" si="47"/>
        <v>0</v>
      </c>
      <c r="K633" t="str">
        <f t="shared" si="48"/>
        <v>Орлов Павел ДенисовичСеменов Константин Егорович</v>
      </c>
      <c r="L633" t="s">
        <v>47</v>
      </c>
      <c r="M633" t="s">
        <v>188</v>
      </c>
      <c r="N633" t="s">
        <v>273</v>
      </c>
      <c r="S633" t="str">
        <f t="shared" si="49"/>
        <v>Семенова Ирина ВалерьевнаЕгоров Александр Александрович</v>
      </c>
      <c r="T633" t="s">
        <v>10</v>
      </c>
      <c r="U633" t="s">
        <v>279</v>
      </c>
      <c r="V633" t="s">
        <v>365</v>
      </c>
    </row>
    <row r="634" spans="4:22" x14ac:dyDescent="0.25">
      <c r="D634" t="s">
        <v>5</v>
      </c>
      <c r="E634" t="s">
        <v>363</v>
      </c>
      <c r="F634" s="26" t="str">
        <f t="shared" si="45"/>
        <v>2024-06-05</v>
      </c>
      <c r="G634" s="26" t="str">
        <f t="shared" si="46"/>
        <v>2024-06-05</v>
      </c>
      <c r="H634">
        <f t="shared" si="47"/>
        <v>0</v>
      </c>
      <c r="K634" t="str">
        <f t="shared" si="48"/>
        <v>Новикова Ольга ПетровнаПавлов Никита Иванович</v>
      </c>
      <c r="L634" t="s">
        <v>45</v>
      </c>
      <c r="M634" t="s">
        <v>36</v>
      </c>
      <c r="N634" t="s">
        <v>273</v>
      </c>
      <c r="S634" t="str">
        <f t="shared" si="49"/>
        <v>Семенова Ирина ВалерьевнаВасильев Илья Александрович</v>
      </c>
      <c r="T634" t="s">
        <v>10</v>
      </c>
      <c r="U634" t="s">
        <v>137</v>
      </c>
      <c r="V634" t="s">
        <v>365</v>
      </c>
    </row>
    <row r="635" spans="4:22" x14ac:dyDescent="0.25">
      <c r="D635" t="s">
        <v>30</v>
      </c>
      <c r="E635" t="s">
        <v>85</v>
      </c>
      <c r="F635" s="26" t="str">
        <f t="shared" si="45"/>
        <v>2024-06-05</v>
      </c>
      <c r="G635" s="26" t="str">
        <f t="shared" si="46"/>
        <v>2024-06-05</v>
      </c>
      <c r="H635">
        <f t="shared" si="47"/>
        <v>0</v>
      </c>
      <c r="K635" t="str">
        <f t="shared" si="48"/>
        <v>Яковлев Артем ИгоревичОрлов Кирилл Романович</v>
      </c>
      <c r="L635" t="s">
        <v>30</v>
      </c>
      <c r="M635" t="s">
        <v>270</v>
      </c>
      <c r="N635" t="s">
        <v>271</v>
      </c>
      <c r="S635" t="str">
        <f t="shared" si="49"/>
        <v>Ткаченко Андрей ОлеговичСеменов Егор Никитич</v>
      </c>
      <c r="T635" t="s">
        <v>27</v>
      </c>
      <c r="U635" t="s">
        <v>215</v>
      </c>
      <c r="V635" t="s">
        <v>366</v>
      </c>
    </row>
    <row r="636" spans="4:22" x14ac:dyDescent="0.25">
      <c r="D636" t="s">
        <v>38</v>
      </c>
      <c r="E636" t="s">
        <v>89</v>
      </c>
      <c r="F636" s="26" t="str">
        <f t="shared" si="45"/>
        <v>2024-06-06</v>
      </c>
      <c r="G636" s="26" t="str">
        <f t="shared" si="46"/>
        <v>2024-06-06</v>
      </c>
      <c r="H636">
        <f t="shared" si="47"/>
        <v>0</v>
      </c>
      <c r="K636" t="str">
        <f t="shared" si="48"/>
        <v>Фролов Сергей ВикторовичСеменов Константин Егорович</v>
      </c>
      <c r="L636" t="s">
        <v>16</v>
      </c>
      <c r="M636" t="s">
        <v>188</v>
      </c>
      <c r="N636" t="s">
        <v>271</v>
      </c>
      <c r="S636" t="str">
        <f t="shared" si="49"/>
        <v>Фролов Сергей ВикторовичСтепанова София Михайловна</v>
      </c>
      <c r="T636" t="s">
        <v>16</v>
      </c>
      <c r="U636" t="s">
        <v>77</v>
      </c>
      <c r="V636" t="s">
        <v>367</v>
      </c>
    </row>
    <row r="637" spans="4:22" x14ac:dyDescent="0.25">
      <c r="D637" t="s">
        <v>47</v>
      </c>
      <c r="E637" t="s">
        <v>289</v>
      </c>
      <c r="F637" s="26" t="str">
        <f t="shared" si="45"/>
        <v>2024-06-06</v>
      </c>
      <c r="G637" s="26" t="str">
        <f t="shared" si="46"/>
        <v>2024-06-07</v>
      </c>
      <c r="H637">
        <f t="shared" si="47"/>
        <v>1</v>
      </c>
      <c r="K637" t="str">
        <f t="shared" si="48"/>
        <v>Орлов Павел ДенисовичФедорова Алиса Юрьевна</v>
      </c>
      <c r="L637" t="s">
        <v>47</v>
      </c>
      <c r="M637" t="s">
        <v>231</v>
      </c>
      <c r="N637" t="s">
        <v>271</v>
      </c>
      <c r="S637" t="str">
        <f t="shared" si="49"/>
        <v>Сидорова Елена ВасильевнаВолкова Ирина Геннадьевна</v>
      </c>
      <c r="T637" t="s">
        <v>8</v>
      </c>
      <c r="U637" t="s">
        <v>70</v>
      </c>
      <c r="V637" t="s">
        <v>367</v>
      </c>
    </row>
    <row r="638" spans="4:22" x14ac:dyDescent="0.25">
      <c r="D638" t="s">
        <v>8</v>
      </c>
      <c r="E638" t="s">
        <v>77</v>
      </c>
      <c r="F638" s="26" t="str">
        <f t="shared" si="45"/>
        <v>2024-06-07</v>
      </c>
      <c r="G638" s="26" t="str">
        <f t="shared" si="46"/>
        <v>2024-06-07</v>
      </c>
      <c r="H638">
        <f t="shared" si="47"/>
        <v>0</v>
      </c>
      <c r="K638" t="str">
        <f t="shared" si="48"/>
        <v>Петров Владимир КирилловичОрлова Ольга Егоровна</v>
      </c>
      <c r="L638" t="s">
        <v>18</v>
      </c>
      <c r="M638" t="s">
        <v>272</v>
      </c>
      <c r="N638" t="s">
        <v>271</v>
      </c>
      <c r="S638" t="str">
        <f t="shared" si="49"/>
        <v>Фролов Сергей ВикторовичВасильев Константин Дмитриевич</v>
      </c>
      <c r="T638" t="s">
        <v>16</v>
      </c>
      <c r="U638" t="s">
        <v>126</v>
      </c>
      <c r="V638" t="s">
        <v>368</v>
      </c>
    </row>
    <row r="639" spans="4:22" x14ac:dyDescent="0.25">
      <c r="D639" t="s">
        <v>38</v>
      </c>
      <c r="E639" t="s">
        <v>20</v>
      </c>
      <c r="F639" s="26" t="str">
        <f t="shared" si="45"/>
        <v>2024-06-07</v>
      </c>
      <c r="G639" s="26" t="str">
        <f t="shared" si="46"/>
        <v>2024-06-07</v>
      </c>
      <c r="H639">
        <f t="shared" si="47"/>
        <v>0</v>
      </c>
      <c r="K639" t="str">
        <f t="shared" si="48"/>
        <v>Яковлев Артем ИгоревичОрлов Павел Юрьевич</v>
      </c>
      <c r="L639" t="s">
        <v>30</v>
      </c>
      <c r="M639" t="s">
        <v>227</v>
      </c>
      <c r="N639" t="s">
        <v>271</v>
      </c>
      <c r="S639" t="str">
        <f t="shared" si="49"/>
        <v>Петров Владимир КирилловичОрлова Анна Романовна</v>
      </c>
      <c r="T639" t="s">
        <v>18</v>
      </c>
      <c r="U639" t="s">
        <v>19</v>
      </c>
      <c r="V639" t="s">
        <v>368</v>
      </c>
    </row>
    <row r="640" spans="4:22" x14ac:dyDescent="0.25">
      <c r="D640" t="s">
        <v>10</v>
      </c>
      <c r="E640" t="s">
        <v>393</v>
      </c>
      <c r="F640" s="26" t="str">
        <f t="shared" si="45"/>
        <v>2024-06-07</v>
      </c>
      <c r="G640" s="26" t="str">
        <f t="shared" si="46"/>
        <v>2024-06-07</v>
      </c>
      <c r="H640">
        <f t="shared" si="47"/>
        <v>0</v>
      </c>
      <c r="K640" t="str">
        <f t="shared" si="48"/>
        <v>Кузнецов Дмитрий ЛьвовичСтепанова Полина Михайловна</v>
      </c>
      <c r="L640" t="s">
        <v>38</v>
      </c>
      <c r="M640" t="s">
        <v>50</v>
      </c>
      <c r="N640" t="s">
        <v>271</v>
      </c>
      <c r="S640" t="str">
        <f t="shared" si="49"/>
        <v>Семенова Ирина ВалерьевнаСеменова Алиса Павловна</v>
      </c>
      <c r="T640" t="s">
        <v>10</v>
      </c>
      <c r="U640" t="s">
        <v>346</v>
      </c>
      <c r="V640" t="s">
        <v>368</v>
      </c>
    </row>
    <row r="641" spans="4:22" x14ac:dyDescent="0.25">
      <c r="D641" t="s">
        <v>47</v>
      </c>
      <c r="E641" t="s">
        <v>94</v>
      </c>
      <c r="F641" s="26" t="str">
        <f t="shared" si="45"/>
        <v>2024-06-10</v>
      </c>
      <c r="G641" s="26" t="str">
        <f t="shared" si="46"/>
        <v>2024-06-10</v>
      </c>
      <c r="H641">
        <f t="shared" si="47"/>
        <v>0</v>
      </c>
      <c r="K641" t="str">
        <f t="shared" si="48"/>
        <v>Орлов Павел ДенисовичСмирнова Татьяна Александровна</v>
      </c>
      <c r="L641" t="s">
        <v>47</v>
      </c>
      <c r="M641" t="s">
        <v>39</v>
      </c>
      <c r="N641" t="s">
        <v>271</v>
      </c>
      <c r="S641" t="str">
        <f t="shared" si="49"/>
        <v>Орлов Павел ДенисовичПетрова Александра Ильинична</v>
      </c>
      <c r="T641" t="s">
        <v>47</v>
      </c>
      <c r="U641" t="s">
        <v>344</v>
      </c>
      <c r="V641" t="s">
        <v>369</v>
      </c>
    </row>
    <row r="642" spans="4:22" x14ac:dyDescent="0.25">
      <c r="D642" t="s">
        <v>13</v>
      </c>
      <c r="E642" t="s">
        <v>114</v>
      </c>
      <c r="F642" s="26" t="str">
        <f t="shared" si="45"/>
        <v>2024-06-10</v>
      </c>
      <c r="G642" s="26" t="str">
        <f t="shared" si="46"/>
        <v>2024-06-10</v>
      </c>
      <c r="H642">
        <f t="shared" si="47"/>
        <v>0</v>
      </c>
      <c r="K642" t="str">
        <f t="shared" si="48"/>
        <v>Орлов Павел ДенисовичВасильева Ольга Ильинична</v>
      </c>
      <c r="L642" t="s">
        <v>47</v>
      </c>
      <c r="M642" t="s">
        <v>267</v>
      </c>
      <c r="N642" t="s">
        <v>268</v>
      </c>
      <c r="S642" t="str">
        <f t="shared" si="49"/>
        <v>Фролов Сергей ВикторовичОрлов Кирилл Романович</v>
      </c>
      <c r="T642" t="s">
        <v>16</v>
      </c>
      <c r="U642" t="s">
        <v>270</v>
      </c>
      <c r="V642" t="s">
        <v>369</v>
      </c>
    </row>
    <row r="643" spans="4:22" x14ac:dyDescent="0.25">
      <c r="D643" t="s">
        <v>18</v>
      </c>
      <c r="E643" t="s">
        <v>194</v>
      </c>
      <c r="F643" s="26" t="str">
        <f t="shared" ref="F643:F706" si="50">VLOOKUP(D643&amp;E643,S:V,4,0)</f>
        <v>2024-06-10</v>
      </c>
      <c r="G643" s="26" t="str">
        <f t="shared" ref="G643:G706" si="51">VLOOKUP(D643&amp;E643,K:N,4,0)</f>
        <v>2024-06-10</v>
      </c>
      <c r="H643">
        <f t="shared" ref="H643:H706" si="52">G643-F643</f>
        <v>0</v>
      </c>
      <c r="K643" t="str">
        <f t="shared" ref="K643:K706" si="53">L643&amp;M643</f>
        <v>Сидорова Елена ВасильевнаЛебедева Алиса Дмитриевна</v>
      </c>
      <c r="L643" t="s">
        <v>8</v>
      </c>
      <c r="M643" t="s">
        <v>269</v>
      </c>
      <c r="N643" t="s">
        <v>268</v>
      </c>
      <c r="S643" t="str">
        <f t="shared" ref="S643:S706" si="54">T643&amp;U643</f>
        <v>Иванова Анна СергеевнаОрлов Константин Станиславович</v>
      </c>
      <c r="T643" t="s">
        <v>13</v>
      </c>
      <c r="U643" t="s">
        <v>11</v>
      </c>
      <c r="V643" t="s">
        <v>370</v>
      </c>
    </row>
    <row r="644" spans="4:22" x14ac:dyDescent="0.25">
      <c r="D644" t="s">
        <v>47</v>
      </c>
      <c r="E644" t="s">
        <v>270</v>
      </c>
      <c r="F644" s="26" t="str">
        <f t="shared" si="50"/>
        <v>2024-06-10</v>
      </c>
      <c r="G644" s="26" t="str">
        <f t="shared" si="51"/>
        <v>2024-06-10</v>
      </c>
      <c r="H644">
        <f t="shared" si="52"/>
        <v>0</v>
      </c>
      <c r="K644" t="str">
        <f t="shared" si="53"/>
        <v>Ткаченко Андрей ОлеговичМорозов Никита Алексеевич</v>
      </c>
      <c r="L644" t="s">
        <v>27</v>
      </c>
      <c r="M644" t="s">
        <v>92</v>
      </c>
      <c r="N644" t="s">
        <v>268</v>
      </c>
      <c r="S644" t="str">
        <f t="shared" si="54"/>
        <v>Ткаченко Андрей ОлеговичФедорова Ольга Кирилловна</v>
      </c>
      <c r="T644" t="s">
        <v>27</v>
      </c>
      <c r="U644" t="s">
        <v>167</v>
      </c>
      <c r="V644" t="s">
        <v>370</v>
      </c>
    </row>
    <row r="645" spans="4:22" x14ac:dyDescent="0.25">
      <c r="D645" t="s">
        <v>10</v>
      </c>
      <c r="E645" t="s">
        <v>187</v>
      </c>
      <c r="F645" s="26" t="str">
        <f t="shared" si="50"/>
        <v>2024-06-11</v>
      </c>
      <c r="G645" s="26" t="str">
        <f t="shared" si="51"/>
        <v>2024-06-11</v>
      </c>
      <c r="H645">
        <f t="shared" si="52"/>
        <v>0</v>
      </c>
      <c r="K645" t="str">
        <f t="shared" si="53"/>
        <v>Новикова Ольга ПетровнаКозлова Светлана Михайловна</v>
      </c>
      <c r="L645" t="s">
        <v>45</v>
      </c>
      <c r="M645" t="s">
        <v>265</v>
      </c>
      <c r="N645" t="s">
        <v>266</v>
      </c>
      <c r="S645" t="str">
        <f t="shared" si="54"/>
        <v>Семенова Ирина ВалерьевнаВолкова Ольга Андреевна</v>
      </c>
      <c r="T645" t="s">
        <v>10</v>
      </c>
      <c r="U645" t="s">
        <v>21</v>
      </c>
      <c r="V645" t="s">
        <v>370</v>
      </c>
    </row>
    <row r="646" spans="4:22" x14ac:dyDescent="0.25">
      <c r="D646" t="s">
        <v>38</v>
      </c>
      <c r="E646" t="s">
        <v>116</v>
      </c>
      <c r="F646" s="26" t="str">
        <f t="shared" si="50"/>
        <v>2024-06-11</v>
      </c>
      <c r="G646" s="26" t="str">
        <f t="shared" si="51"/>
        <v>2024-06-11</v>
      </c>
      <c r="H646">
        <f t="shared" si="52"/>
        <v>0</v>
      </c>
      <c r="K646" t="str">
        <f t="shared" si="53"/>
        <v>Яковлев Артем ИгоревичПавлов Матвей Владимирович</v>
      </c>
      <c r="L646" t="s">
        <v>30</v>
      </c>
      <c r="M646" t="s">
        <v>152</v>
      </c>
      <c r="N646" t="s">
        <v>266</v>
      </c>
      <c r="S646" t="str">
        <f t="shared" si="54"/>
        <v>Кузнецов Дмитрий ЛьвовичСеменов Артем Станиславович</v>
      </c>
      <c r="T646" t="s">
        <v>38</v>
      </c>
      <c r="U646" t="s">
        <v>298</v>
      </c>
      <c r="V646" t="s">
        <v>370</v>
      </c>
    </row>
    <row r="647" spans="4:22" x14ac:dyDescent="0.25">
      <c r="D647" t="s">
        <v>16</v>
      </c>
      <c r="E647" t="s">
        <v>149</v>
      </c>
      <c r="F647" s="26" t="str">
        <f t="shared" si="50"/>
        <v>2024-06-11</v>
      </c>
      <c r="G647" s="26" t="str">
        <f t="shared" si="51"/>
        <v>2024-06-11</v>
      </c>
      <c r="H647">
        <f t="shared" si="52"/>
        <v>0</v>
      </c>
      <c r="K647" t="str">
        <f t="shared" si="53"/>
        <v>Петров Владимир КирилловичНиколаева София Никитична</v>
      </c>
      <c r="L647" t="s">
        <v>18</v>
      </c>
      <c r="M647" t="s">
        <v>176</v>
      </c>
      <c r="N647" t="s">
        <v>266</v>
      </c>
      <c r="S647" t="str">
        <f t="shared" si="54"/>
        <v>Кузнецов Дмитрий ЛьвовичСтепанова Анна Ивановна</v>
      </c>
      <c r="T647" t="s">
        <v>38</v>
      </c>
      <c r="U647" t="s">
        <v>221</v>
      </c>
      <c r="V647" t="s">
        <v>370</v>
      </c>
    </row>
    <row r="648" spans="4:22" x14ac:dyDescent="0.25">
      <c r="D648" t="s">
        <v>30</v>
      </c>
      <c r="E648" t="s">
        <v>59</v>
      </c>
      <c r="F648" s="26" t="str">
        <f t="shared" si="50"/>
        <v>2024-06-11</v>
      </c>
      <c r="G648" s="26" t="str">
        <f t="shared" si="51"/>
        <v>2024-06-11</v>
      </c>
      <c r="H648">
        <f t="shared" si="52"/>
        <v>0</v>
      </c>
      <c r="K648" t="str">
        <f t="shared" si="53"/>
        <v>Белов Алексей КонстантиновичФедоров Артур Олегович</v>
      </c>
      <c r="L648" t="s">
        <v>25</v>
      </c>
      <c r="M648" t="s">
        <v>64</v>
      </c>
      <c r="N648" t="s">
        <v>263</v>
      </c>
      <c r="S648" t="str">
        <f t="shared" si="54"/>
        <v>Новикова Ольга ПетровнаВасильева Ольга Ильинична</v>
      </c>
      <c r="T648" t="s">
        <v>45</v>
      </c>
      <c r="U648" t="s">
        <v>267</v>
      </c>
      <c r="V648" t="s">
        <v>370</v>
      </c>
    </row>
    <row r="649" spans="4:22" x14ac:dyDescent="0.25">
      <c r="D649" t="s">
        <v>38</v>
      </c>
      <c r="E649" t="s">
        <v>146</v>
      </c>
      <c r="F649" s="26" t="str">
        <f t="shared" si="50"/>
        <v>2024-06-11</v>
      </c>
      <c r="G649" s="26" t="str">
        <f t="shared" si="51"/>
        <v>2024-06-11</v>
      </c>
      <c r="H649">
        <f t="shared" si="52"/>
        <v>0</v>
      </c>
      <c r="K649" t="str">
        <f t="shared" si="53"/>
        <v>Новикова Ольга ПетровнаФедорова Виктория Егоровна</v>
      </c>
      <c r="L649" t="s">
        <v>45</v>
      </c>
      <c r="M649" t="s">
        <v>264</v>
      </c>
      <c r="N649" t="s">
        <v>263</v>
      </c>
      <c r="S649" t="str">
        <f t="shared" si="54"/>
        <v>Иванова Анна СергеевнаСтепанова София Михайловна</v>
      </c>
      <c r="T649" t="s">
        <v>13</v>
      </c>
      <c r="U649" t="s">
        <v>77</v>
      </c>
      <c r="V649" t="s">
        <v>370</v>
      </c>
    </row>
    <row r="650" spans="4:22" x14ac:dyDescent="0.25">
      <c r="D650" t="s">
        <v>8</v>
      </c>
      <c r="E650" t="s">
        <v>186</v>
      </c>
      <c r="F650" s="26" t="str">
        <f t="shared" si="50"/>
        <v>2024-06-11</v>
      </c>
      <c r="G650" s="26" t="str">
        <f t="shared" si="51"/>
        <v>2024-06-11</v>
      </c>
      <c r="H650">
        <f t="shared" si="52"/>
        <v>0</v>
      </c>
      <c r="K650" t="str">
        <f t="shared" si="53"/>
        <v>Сидорова Елена ВасильевнаКозлова Полина Артемовна</v>
      </c>
      <c r="L650" t="s">
        <v>8</v>
      </c>
      <c r="M650" t="s">
        <v>17</v>
      </c>
      <c r="N650" t="s">
        <v>263</v>
      </c>
      <c r="S650" t="str">
        <f t="shared" si="54"/>
        <v>Новикова Ольга ПетровнаКузнецов Алексей Егорович</v>
      </c>
      <c r="T650" t="s">
        <v>45</v>
      </c>
      <c r="U650" t="s">
        <v>247</v>
      </c>
      <c r="V650" t="s">
        <v>371</v>
      </c>
    </row>
    <row r="651" spans="4:22" x14ac:dyDescent="0.25">
      <c r="D651" t="s">
        <v>38</v>
      </c>
      <c r="E651" t="s">
        <v>247</v>
      </c>
      <c r="F651" s="26" t="str">
        <f t="shared" si="50"/>
        <v>2024-06-12</v>
      </c>
      <c r="G651" s="26" t="str">
        <f t="shared" si="51"/>
        <v>2024-06-12</v>
      </c>
      <c r="H651">
        <f t="shared" si="52"/>
        <v>0</v>
      </c>
      <c r="K651" t="str">
        <f t="shared" si="53"/>
        <v>Новикова Ольга ПетровнаПетров Алексей Артемович</v>
      </c>
      <c r="L651" t="s">
        <v>45</v>
      </c>
      <c r="M651" t="s">
        <v>51</v>
      </c>
      <c r="N651" t="s">
        <v>262</v>
      </c>
      <c r="S651" t="str">
        <f t="shared" si="54"/>
        <v>Фролов Сергей ВикторовичНиколаев Матвей Викторович</v>
      </c>
      <c r="T651" t="s">
        <v>16</v>
      </c>
      <c r="U651" t="s">
        <v>15</v>
      </c>
      <c r="V651" t="s">
        <v>371</v>
      </c>
    </row>
    <row r="652" spans="4:22" x14ac:dyDescent="0.25">
      <c r="D652" t="s">
        <v>10</v>
      </c>
      <c r="E652" t="s">
        <v>153</v>
      </c>
      <c r="F652" s="26" t="str">
        <f t="shared" si="50"/>
        <v>2024-06-12</v>
      </c>
      <c r="G652" s="26" t="str">
        <f t="shared" si="51"/>
        <v>2024-06-12</v>
      </c>
      <c r="H652">
        <f t="shared" si="52"/>
        <v>0</v>
      </c>
      <c r="K652" t="str">
        <f t="shared" si="53"/>
        <v>Орлов Павел ДенисовичСтепанова Анна Ивановна</v>
      </c>
      <c r="L652" t="s">
        <v>47</v>
      </c>
      <c r="M652" t="s">
        <v>221</v>
      </c>
      <c r="N652" t="s">
        <v>262</v>
      </c>
      <c r="S652" t="str">
        <f t="shared" si="54"/>
        <v>Белов Алексей КонстантиновичСмирнова Татьяна Александровна</v>
      </c>
      <c r="T652" t="s">
        <v>25</v>
      </c>
      <c r="U652" t="s">
        <v>39</v>
      </c>
      <c r="V652" t="s">
        <v>372</v>
      </c>
    </row>
    <row r="653" spans="4:22" x14ac:dyDescent="0.25">
      <c r="D653" t="s">
        <v>18</v>
      </c>
      <c r="E653" t="s">
        <v>215</v>
      </c>
      <c r="F653" s="26" t="str">
        <f t="shared" si="50"/>
        <v>2024-06-12</v>
      </c>
      <c r="G653" s="26" t="str">
        <f t="shared" si="51"/>
        <v>2024-06-12</v>
      </c>
      <c r="H653">
        <f t="shared" si="52"/>
        <v>0</v>
      </c>
      <c r="K653" t="str">
        <f t="shared" si="53"/>
        <v>Фролов Сергей ВикторовичВолкова Ирина Геннадьевна</v>
      </c>
      <c r="L653" t="s">
        <v>16</v>
      </c>
      <c r="M653" t="s">
        <v>70</v>
      </c>
      <c r="N653" t="s">
        <v>262</v>
      </c>
      <c r="S653" t="str">
        <f t="shared" si="54"/>
        <v>Яковлев Артем ИгоревичПавлов Никита Иванович</v>
      </c>
      <c r="T653" t="s">
        <v>30</v>
      </c>
      <c r="U653" t="s">
        <v>36</v>
      </c>
      <c r="V653" t="s">
        <v>372</v>
      </c>
    </row>
    <row r="654" spans="4:22" x14ac:dyDescent="0.25">
      <c r="D654" t="s">
        <v>8</v>
      </c>
      <c r="E654" t="s">
        <v>300</v>
      </c>
      <c r="F654" s="26" t="str">
        <f t="shared" si="50"/>
        <v>2024-06-13</v>
      </c>
      <c r="G654" s="26" t="str">
        <f t="shared" si="51"/>
        <v>2024-06-13</v>
      </c>
      <c r="H654">
        <f t="shared" si="52"/>
        <v>0</v>
      </c>
      <c r="K654" t="str">
        <f t="shared" si="53"/>
        <v>Яковлев Артем ИгоревичНиколаев Иван Михайлович</v>
      </c>
      <c r="L654" t="s">
        <v>30</v>
      </c>
      <c r="M654" t="s">
        <v>94</v>
      </c>
      <c r="N654" t="s">
        <v>261</v>
      </c>
      <c r="S654" t="str">
        <f t="shared" si="54"/>
        <v>Семенова Ирина ВалерьевнаФедоров Кирилл Алексеевич</v>
      </c>
      <c r="T654" t="s">
        <v>10</v>
      </c>
      <c r="U654" t="s">
        <v>287</v>
      </c>
      <c r="V654" t="s">
        <v>373</v>
      </c>
    </row>
    <row r="655" spans="4:22" x14ac:dyDescent="0.25">
      <c r="D655" t="s">
        <v>10</v>
      </c>
      <c r="E655" t="s">
        <v>32</v>
      </c>
      <c r="F655" s="26" t="str">
        <f t="shared" si="50"/>
        <v>2024-06-13</v>
      </c>
      <c r="G655" s="26" t="str">
        <f t="shared" si="51"/>
        <v>2024-06-13</v>
      </c>
      <c r="H655">
        <f t="shared" si="52"/>
        <v>0</v>
      </c>
      <c r="K655" t="str">
        <f t="shared" si="53"/>
        <v>Орлов Павел ДенисовичМорозова Александра Станиславовна</v>
      </c>
      <c r="L655" t="s">
        <v>47</v>
      </c>
      <c r="M655" t="s">
        <v>55</v>
      </c>
      <c r="N655" t="s">
        <v>261</v>
      </c>
      <c r="S655" t="str">
        <f t="shared" si="54"/>
        <v>Новикова Ольга ПетровнаФедорова Виктория Егоровна</v>
      </c>
      <c r="T655" t="s">
        <v>45</v>
      </c>
      <c r="U655" t="s">
        <v>264</v>
      </c>
      <c r="V655" t="s">
        <v>373</v>
      </c>
    </row>
    <row r="656" spans="4:22" x14ac:dyDescent="0.25">
      <c r="D656" t="s">
        <v>18</v>
      </c>
      <c r="E656" t="s">
        <v>252</v>
      </c>
      <c r="F656" s="26" t="str">
        <f t="shared" si="50"/>
        <v>2024-06-13</v>
      </c>
      <c r="G656" s="26" t="str">
        <f t="shared" si="51"/>
        <v>2024-06-13</v>
      </c>
      <c r="H656">
        <f t="shared" si="52"/>
        <v>0</v>
      </c>
      <c r="K656" t="str">
        <f t="shared" si="53"/>
        <v>Громова Мария ИльиничнаСтепанов Дмитрий Иванович</v>
      </c>
      <c r="L656" t="s">
        <v>5</v>
      </c>
      <c r="M656" t="s">
        <v>69</v>
      </c>
      <c r="N656" t="s">
        <v>261</v>
      </c>
      <c r="S656" t="str">
        <f t="shared" si="54"/>
        <v>Семенова Ирина ВалерьевнаСмирнов Иван Ильич</v>
      </c>
      <c r="T656" t="s">
        <v>10</v>
      </c>
      <c r="U656" t="s">
        <v>114</v>
      </c>
      <c r="V656" t="s">
        <v>374</v>
      </c>
    </row>
    <row r="657" spans="4:22" x14ac:dyDescent="0.25">
      <c r="D657" t="s">
        <v>45</v>
      </c>
      <c r="E657" t="s">
        <v>73</v>
      </c>
      <c r="F657" s="26" t="str">
        <f t="shared" si="50"/>
        <v>2024-06-13</v>
      </c>
      <c r="G657" s="26" t="str">
        <f t="shared" si="51"/>
        <v>2024-06-13</v>
      </c>
      <c r="H657">
        <f t="shared" si="52"/>
        <v>0</v>
      </c>
      <c r="K657" t="str">
        <f t="shared" si="53"/>
        <v>Орлов Павел ДенисовичСеменов Алексей Владимирович</v>
      </c>
      <c r="L657" t="s">
        <v>47</v>
      </c>
      <c r="M657" t="s">
        <v>35</v>
      </c>
      <c r="N657" t="s">
        <v>261</v>
      </c>
      <c r="S657" t="str">
        <f t="shared" si="54"/>
        <v>Яковлев Артем ИгоревичОрлов Дмитрий Павлович</v>
      </c>
      <c r="T657" t="s">
        <v>30</v>
      </c>
      <c r="U657" t="s">
        <v>375</v>
      </c>
      <c r="V657" t="s">
        <v>374</v>
      </c>
    </row>
    <row r="658" spans="4:22" x14ac:dyDescent="0.25">
      <c r="D658" t="s">
        <v>13</v>
      </c>
      <c r="E658" t="s">
        <v>184</v>
      </c>
      <c r="F658" s="26" t="str">
        <f t="shared" si="50"/>
        <v>2024-06-14</v>
      </c>
      <c r="G658" s="26" t="str">
        <f t="shared" si="51"/>
        <v>2024-06-28</v>
      </c>
      <c r="H658">
        <f t="shared" si="52"/>
        <v>14</v>
      </c>
      <c r="K658" t="str">
        <f t="shared" si="53"/>
        <v>Сидорова Елена ВасильевнаМорозов Илья Геннадьевич</v>
      </c>
      <c r="L658" t="s">
        <v>8</v>
      </c>
      <c r="M658" t="s">
        <v>67</v>
      </c>
      <c r="N658" t="s">
        <v>261</v>
      </c>
      <c r="S658" t="str">
        <f t="shared" si="54"/>
        <v>Сидорова Елена ВасильевнаФедоров Артур Станиславович</v>
      </c>
      <c r="T658" t="s">
        <v>8</v>
      </c>
      <c r="U658" t="s">
        <v>309</v>
      </c>
      <c r="V658" t="s">
        <v>376</v>
      </c>
    </row>
    <row r="659" spans="4:22" x14ac:dyDescent="0.25">
      <c r="D659" t="s">
        <v>47</v>
      </c>
      <c r="E659" t="s">
        <v>298</v>
      </c>
      <c r="F659" s="26" t="str">
        <f t="shared" si="50"/>
        <v>2024-06-14</v>
      </c>
      <c r="G659" s="26" t="str">
        <f t="shared" si="51"/>
        <v>2024-06-14</v>
      </c>
      <c r="H659">
        <f t="shared" si="52"/>
        <v>0</v>
      </c>
      <c r="K659" t="str">
        <f t="shared" si="53"/>
        <v>Сидорова Елена ВасильевнаСеменов Роман Павлович</v>
      </c>
      <c r="L659" t="s">
        <v>8</v>
      </c>
      <c r="M659" t="s">
        <v>196</v>
      </c>
      <c r="N659" t="s">
        <v>261</v>
      </c>
      <c r="S659" t="str">
        <f t="shared" si="54"/>
        <v>Иванова Анна СергеевнаКозлов Артем Викторович</v>
      </c>
      <c r="T659" t="s">
        <v>13</v>
      </c>
      <c r="U659" t="s">
        <v>124</v>
      </c>
      <c r="V659" t="s">
        <v>376</v>
      </c>
    </row>
    <row r="660" spans="4:22" x14ac:dyDescent="0.25">
      <c r="D660" t="s">
        <v>5</v>
      </c>
      <c r="E660" t="s">
        <v>243</v>
      </c>
      <c r="F660" s="26" t="str">
        <f t="shared" si="50"/>
        <v>2024-06-14</v>
      </c>
      <c r="G660" s="26" t="str">
        <f t="shared" si="51"/>
        <v>2024-06-14</v>
      </c>
      <c r="H660">
        <f t="shared" si="52"/>
        <v>0</v>
      </c>
      <c r="K660" t="str">
        <f t="shared" si="53"/>
        <v>Ткаченко Андрей ОлеговичЛебедева Александра Дмитриевна</v>
      </c>
      <c r="L660" t="s">
        <v>27</v>
      </c>
      <c r="M660" t="s">
        <v>20</v>
      </c>
      <c r="N660" t="s">
        <v>260</v>
      </c>
      <c r="S660" t="str">
        <f t="shared" si="54"/>
        <v>Кузнецов Дмитрий ЛьвовичНиколаев Георгий Сергеевич</v>
      </c>
      <c r="T660" t="s">
        <v>38</v>
      </c>
      <c r="U660" t="s">
        <v>194</v>
      </c>
      <c r="V660" t="s">
        <v>376</v>
      </c>
    </row>
    <row r="661" spans="4:22" x14ac:dyDescent="0.25">
      <c r="D661" t="s">
        <v>25</v>
      </c>
      <c r="E661" t="s">
        <v>68</v>
      </c>
      <c r="F661" s="26" t="str">
        <f t="shared" si="50"/>
        <v>2024-06-14</v>
      </c>
      <c r="G661" s="26" t="str">
        <f t="shared" si="51"/>
        <v>2024-06-14</v>
      </c>
      <c r="H661">
        <f t="shared" si="52"/>
        <v>0</v>
      </c>
      <c r="K661" t="str">
        <f t="shared" si="53"/>
        <v>Громова Мария ИльиничнаВасильев Артур Артемович</v>
      </c>
      <c r="L661" t="s">
        <v>5</v>
      </c>
      <c r="M661" t="s">
        <v>31</v>
      </c>
      <c r="N661" t="s">
        <v>259</v>
      </c>
      <c r="S661" t="str">
        <f t="shared" si="54"/>
        <v>Фролов Сергей ВикторовичСидоров Михаил Сергеевич</v>
      </c>
      <c r="T661" t="s">
        <v>16</v>
      </c>
      <c r="U661" t="s">
        <v>187</v>
      </c>
      <c r="V661" t="s">
        <v>376</v>
      </c>
    </row>
    <row r="662" spans="4:22" x14ac:dyDescent="0.25">
      <c r="D662" t="s">
        <v>38</v>
      </c>
      <c r="E662" t="s">
        <v>309</v>
      </c>
      <c r="F662" s="26" t="str">
        <f t="shared" si="50"/>
        <v>2024-06-17</v>
      </c>
      <c r="G662" s="26" t="str">
        <f t="shared" si="51"/>
        <v>2024-06-17</v>
      </c>
      <c r="H662">
        <f t="shared" si="52"/>
        <v>0</v>
      </c>
      <c r="K662" t="str">
        <f t="shared" si="53"/>
        <v>Громова Мария ИльиничнаИванова Наталья Дмитриевна</v>
      </c>
      <c r="L662" t="s">
        <v>5</v>
      </c>
      <c r="M662" t="s">
        <v>14</v>
      </c>
      <c r="N662" t="s">
        <v>258</v>
      </c>
      <c r="S662" t="str">
        <f t="shared" si="54"/>
        <v>Иванова Анна СергеевнаФедоров Артур Олегович</v>
      </c>
      <c r="T662" t="s">
        <v>13</v>
      </c>
      <c r="U662" t="s">
        <v>64</v>
      </c>
      <c r="V662" t="s">
        <v>376</v>
      </c>
    </row>
    <row r="663" spans="4:22" x14ac:dyDescent="0.25">
      <c r="D663" t="s">
        <v>38</v>
      </c>
      <c r="E663" t="s">
        <v>152</v>
      </c>
      <c r="F663" s="26" t="str">
        <f t="shared" si="50"/>
        <v>2024-06-17</v>
      </c>
      <c r="G663" s="26" t="str">
        <f t="shared" si="51"/>
        <v>2024-06-17</v>
      </c>
      <c r="H663">
        <f t="shared" si="52"/>
        <v>0</v>
      </c>
      <c r="K663" t="str">
        <f t="shared" si="53"/>
        <v>Петров Владимир КирилловичКозлов Константин Александрович</v>
      </c>
      <c r="L663" t="s">
        <v>18</v>
      </c>
      <c r="M663" t="s">
        <v>173</v>
      </c>
      <c r="N663" t="s">
        <v>258</v>
      </c>
      <c r="S663" t="str">
        <f t="shared" si="54"/>
        <v>Семенова Ирина ВалерьевнаЕгорова Вероника Егоровна</v>
      </c>
      <c r="T663" t="s">
        <v>10</v>
      </c>
      <c r="U663" t="s">
        <v>300</v>
      </c>
      <c r="V663" t="s">
        <v>376</v>
      </c>
    </row>
    <row r="664" spans="4:22" x14ac:dyDescent="0.25">
      <c r="D664" t="s">
        <v>30</v>
      </c>
      <c r="E664" t="s">
        <v>158</v>
      </c>
      <c r="F664" s="26" t="str">
        <f t="shared" si="50"/>
        <v>2024-06-17</v>
      </c>
      <c r="G664" s="26" t="str">
        <f t="shared" si="51"/>
        <v>2024-06-17</v>
      </c>
      <c r="H664">
        <f t="shared" si="52"/>
        <v>0</v>
      </c>
      <c r="K664" t="str">
        <f t="shared" si="53"/>
        <v>Яковлев Артем ИгоревичКузнецова Валерия Дмитриевна</v>
      </c>
      <c r="L664" t="s">
        <v>30</v>
      </c>
      <c r="M664" t="s">
        <v>223</v>
      </c>
      <c r="N664" t="s">
        <v>257</v>
      </c>
      <c r="S664" t="str">
        <f t="shared" si="54"/>
        <v>Сидорова Елена ВасильевнаЕгоров Павел Сергеевич</v>
      </c>
      <c r="T664" t="s">
        <v>8</v>
      </c>
      <c r="U664" t="s">
        <v>134</v>
      </c>
      <c r="V664" t="s">
        <v>376</v>
      </c>
    </row>
    <row r="665" spans="4:22" x14ac:dyDescent="0.25">
      <c r="D665" t="s">
        <v>47</v>
      </c>
      <c r="E665" t="s">
        <v>252</v>
      </c>
      <c r="F665" s="26" t="str">
        <f t="shared" si="50"/>
        <v>2024-06-17</v>
      </c>
      <c r="G665" s="26" t="str">
        <f t="shared" si="51"/>
        <v>2024-06-17</v>
      </c>
      <c r="H665">
        <f t="shared" si="52"/>
        <v>0</v>
      </c>
      <c r="K665" t="str">
        <f t="shared" si="53"/>
        <v>Кузнецов Дмитрий ЛьвовичСмирнова Елена Викторовна</v>
      </c>
      <c r="L665" t="s">
        <v>38</v>
      </c>
      <c r="M665" t="s">
        <v>66</v>
      </c>
      <c r="N665" t="s">
        <v>257</v>
      </c>
      <c r="S665" t="str">
        <f t="shared" si="54"/>
        <v>Новикова Ольга ПетровнаАлексеев Илья Владимирович</v>
      </c>
      <c r="T665" t="s">
        <v>45</v>
      </c>
      <c r="U665" t="s">
        <v>332</v>
      </c>
      <c r="V665" t="s">
        <v>377</v>
      </c>
    </row>
    <row r="666" spans="4:22" x14ac:dyDescent="0.25">
      <c r="D666" t="s">
        <v>10</v>
      </c>
      <c r="E666" t="s">
        <v>90</v>
      </c>
      <c r="F666" s="26" t="str">
        <f t="shared" si="50"/>
        <v>2024-06-17</v>
      </c>
      <c r="G666" s="26" t="str">
        <f t="shared" si="51"/>
        <v>2024-06-17</v>
      </c>
      <c r="H666">
        <f t="shared" si="52"/>
        <v>0</v>
      </c>
      <c r="K666" t="str">
        <f t="shared" si="53"/>
        <v>Орлов Павел ДенисовичВасильев Владимир Дмитриевич</v>
      </c>
      <c r="L666" t="s">
        <v>47</v>
      </c>
      <c r="M666" t="s">
        <v>165</v>
      </c>
      <c r="N666" t="s">
        <v>257</v>
      </c>
      <c r="S666" t="str">
        <f t="shared" si="54"/>
        <v>Кузнецов Дмитрий ЛьвовичЛебедев Сергей Станиславович</v>
      </c>
      <c r="T666" t="s">
        <v>38</v>
      </c>
      <c r="U666" t="s">
        <v>59</v>
      </c>
      <c r="V666" t="s">
        <v>377</v>
      </c>
    </row>
    <row r="667" spans="4:22" x14ac:dyDescent="0.25">
      <c r="D667" t="s">
        <v>5</v>
      </c>
      <c r="E667" t="s">
        <v>19</v>
      </c>
      <c r="F667" s="26" t="str">
        <f t="shared" si="50"/>
        <v>2024-06-18</v>
      </c>
      <c r="G667" s="26" t="str">
        <f t="shared" si="51"/>
        <v>2024-06-18</v>
      </c>
      <c r="H667">
        <f t="shared" si="52"/>
        <v>0</v>
      </c>
      <c r="K667" t="str">
        <f t="shared" si="53"/>
        <v>Сидорова Елена ВасильевнаПопова Людмила Егоровна</v>
      </c>
      <c r="L667" t="s">
        <v>8</v>
      </c>
      <c r="M667" t="s">
        <v>217</v>
      </c>
      <c r="N667" t="s">
        <v>255</v>
      </c>
      <c r="S667" t="str">
        <f t="shared" si="54"/>
        <v>Кузнецов Дмитрий ЛьвовичВасильев Илья Александрович</v>
      </c>
      <c r="T667" t="s">
        <v>38</v>
      </c>
      <c r="U667" t="s">
        <v>137</v>
      </c>
      <c r="V667" t="s">
        <v>377</v>
      </c>
    </row>
    <row r="668" spans="4:22" x14ac:dyDescent="0.25">
      <c r="D668" t="s">
        <v>45</v>
      </c>
      <c r="E668" t="s">
        <v>119</v>
      </c>
      <c r="F668" s="26" t="str">
        <f t="shared" si="50"/>
        <v>2024-06-18</v>
      </c>
      <c r="G668" s="26" t="str">
        <f t="shared" si="51"/>
        <v>2024-06-18</v>
      </c>
      <c r="H668">
        <f t="shared" si="52"/>
        <v>0</v>
      </c>
      <c r="K668" t="str">
        <f t="shared" si="53"/>
        <v>Кузнецов Дмитрий ЛьвовичМорозова Александра Станиславовна</v>
      </c>
      <c r="L668" t="s">
        <v>38</v>
      </c>
      <c r="M668" t="s">
        <v>55</v>
      </c>
      <c r="N668" t="s">
        <v>255</v>
      </c>
      <c r="S668" t="str">
        <f t="shared" si="54"/>
        <v>Громова Мария ИльиничнаСеменов Иван Павлович</v>
      </c>
      <c r="T668" t="s">
        <v>5</v>
      </c>
      <c r="U668" t="s">
        <v>105</v>
      </c>
      <c r="V668" t="s">
        <v>378</v>
      </c>
    </row>
    <row r="669" spans="4:22" x14ac:dyDescent="0.25">
      <c r="D669" t="s">
        <v>27</v>
      </c>
      <c r="E669" t="s">
        <v>248</v>
      </c>
      <c r="F669" s="26" t="str">
        <f t="shared" si="50"/>
        <v>2024-06-18</v>
      </c>
      <c r="G669" s="26" t="str">
        <f t="shared" si="51"/>
        <v>2024-06-18</v>
      </c>
      <c r="H669">
        <f t="shared" si="52"/>
        <v>0</v>
      </c>
      <c r="K669" t="str">
        <f t="shared" si="53"/>
        <v>Ткаченко Андрей ОлеговичКузнецова Валерия Дмитриевна</v>
      </c>
      <c r="L669" t="s">
        <v>27</v>
      </c>
      <c r="M669" t="s">
        <v>223</v>
      </c>
      <c r="N669" t="s">
        <v>255</v>
      </c>
      <c r="S669" t="str">
        <f t="shared" si="54"/>
        <v>Семенова Ирина ВалерьевнаСтепанов Дмитрий Иванович</v>
      </c>
      <c r="T669" t="s">
        <v>10</v>
      </c>
      <c r="U669" t="s">
        <v>69</v>
      </c>
      <c r="V669" t="s">
        <v>378</v>
      </c>
    </row>
    <row r="670" spans="4:22" x14ac:dyDescent="0.25">
      <c r="D670" t="s">
        <v>16</v>
      </c>
      <c r="E670" t="s">
        <v>91</v>
      </c>
      <c r="F670" s="26" t="str">
        <f t="shared" si="50"/>
        <v>2024-06-19</v>
      </c>
      <c r="G670" s="26" t="str">
        <f t="shared" si="51"/>
        <v>2024-06-19</v>
      </c>
      <c r="H670">
        <f t="shared" si="52"/>
        <v>0</v>
      </c>
      <c r="K670" t="str">
        <f t="shared" si="53"/>
        <v>Белов Алексей КонстантиновичНиколаева Наталья Геннадьевна</v>
      </c>
      <c r="L670" t="s">
        <v>25</v>
      </c>
      <c r="M670" t="s">
        <v>256</v>
      </c>
      <c r="N670" t="s">
        <v>255</v>
      </c>
      <c r="S670" t="str">
        <f t="shared" si="54"/>
        <v>Петров Владимир КирилловичСмирнов Максим Сергеевич</v>
      </c>
      <c r="T670" t="s">
        <v>18</v>
      </c>
      <c r="U670" t="s">
        <v>49</v>
      </c>
      <c r="V670" t="s">
        <v>379</v>
      </c>
    </row>
    <row r="671" spans="4:22" x14ac:dyDescent="0.25">
      <c r="D671" t="s">
        <v>8</v>
      </c>
      <c r="E671" t="s">
        <v>214</v>
      </c>
      <c r="F671" s="26" t="str">
        <f t="shared" si="50"/>
        <v>2024-06-19</v>
      </c>
      <c r="G671" s="26" t="str">
        <f t="shared" si="51"/>
        <v>2024-06-19</v>
      </c>
      <c r="H671">
        <f t="shared" si="52"/>
        <v>0</v>
      </c>
      <c r="K671" t="str">
        <f t="shared" si="53"/>
        <v>Петров Владимир КирилловичКозлов Константин Александрович</v>
      </c>
      <c r="L671" t="s">
        <v>18</v>
      </c>
      <c r="M671" t="s">
        <v>173</v>
      </c>
      <c r="N671" t="s">
        <v>255</v>
      </c>
      <c r="S671" t="str">
        <f t="shared" si="54"/>
        <v>Белов Алексей КонстантиновичВасильева Ольга Кирилловна</v>
      </c>
      <c r="T671" t="s">
        <v>25</v>
      </c>
      <c r="U671" t="s">
        <v>313</v>
      </c>
      <c r="V671" t="s">
        <v>379</v>
      </c>
    </row>
    <row r="672" spans="4:22" x14ac:dyDescent="0.25">
      <c r="D672" t="s">
        <v>25</v>
      </c>
      <c r="E672" t="s">
        <v>298</v>
      </c>
      <c r="F672" s="26" t="str">
        <f t="shared" si="50"/>
        <v>2024-06-19</v>
      </c>
      <c r="G672" s="26" t="str">
        <f t="shared" si="51"/>
        <v>2024-06-19</v>
      </c>
      <c r="H672">
        <f t="shared" si="52"/>
        <v>0</v>
      </c>
      <c r="K672" t="str">
        <f t="shared" si="53"/>
        <v>Белов Алексей КонстантиновичПетров Михаил Ильич</v>
      </c>
      <c r="L672" t="s">
        <v>25</v>
      </c>
      <c r="M672" t="s">
        <v>177</v>
      </c>
      <c r="N672" t="s">
        <v>255</v>
      </c>
      <c r="S672" t="str">
        <f t="shared" si="54"/>
        <v>Яковлев Артем ИгоревичПетрова Александра Романовна</v>
      </c>
      <c r="T672" t="s">
        <v>30</v>
      </c>
      <c r="U672" t="s">
        <v>380</v>
      </c>
      <c r="V672" t="s">
        <v>379</v>
      </c>
    </row>
    <row r="673" spans="4:22" x14ac:dyDescent="0.25">
      <c r="D673" t="s">
        <v>18</v>
      </c>
      <c r="E673" t="s">
        <v>152</v>
      </c>
      <c r="F673" s="26" t="str">
        <f t="shared" si="50"/>
        <v>2024-06-20</v>
      </c>
      <c r="G673" s="26" t="str">
        <f t="shared" si="51"/>
        <v>2024-06-20</v>
      </c>
      <c r="H673">
        <f t="shared" si="52"/>
        <v>0</v>
      </c>
      <c r="K673" t="str">
        <f t="shared" si="53"/>
        <v>Орлов Павел ДенисовичСеменов Роман Павлович</v>
      </c>
      <c r="L673" t="s">
        <v>47</v>
      </c>
      <c r="M673" t="s">
        <v>196</v>
      </c>
      <c r="N673" t="s">
        <v>254</v>
      </c>
      <c r="S673" t="str">
        <f t="shared" si="54"/>
        <v>Сидорова Елена ВасильевнаСтепанов Дмитрий Геннадьевич</v>
      </c>
      <c r="T673" t="s">
        <v>8</v>
      </c>
      <c r="U673" t="s">
        <v>132</v>
      </c>
      <c r="V673" t="s">
        <v>379</v>
      </c>
    </row>
    <row r="674" spans="4:22" x14ac:dyDescent="0.25">
      <c r="D674" t="s">
        <v>25</v>
      </c>
      <c r="E674" t="s">
        <v>188</v>
      </c>
      <c r="F674" s="26" t="str">
        <f t="shared" si="50"/>
        <v>2024-06-20</v>
      </c>
      <c r="G674" s="26" t="str">
        <f t="shared" si="51"/>
        <v>2024-06-20</v>
      </c>
      <c r="H674">
        <f t="shared" si="52"/>
        <v>0</v>
      </c>
      <c r="K674" t="str">
        <f t="shared" si="53"/>
        <v>Яковлев Артем ИгоревичФедоров Илья Егорович</v>
      </c>
      <c r="L674" t="s">
        <v>30</v>
      </c>
      <c r="M674" t="s">
        <v>252</v>
      </c>
      <c r="N674" t="s">
        <v>253</v>
      </c>
      <c r="S674" t="str">
        <f t="shared" si="54"/>
        <v>Орлов Павел ДенисовичСеменов Роман Павлович</v>
      </c>
      <c r="T674" t="s">
        <v>47</v>
      </c>
      <c r="U674" t="s">
        <v>196</v>
      </c>
      <c r="V674" t="s">
        <v>379</v>
      </c>
    </row>
    <row r="675" spans="4:22" x14ac:dyDescent="0.25">
      <c r="D675" t="s">
        <v>16</v>
      </c>
      <c r="E675" t="s">
        <v>64</v>
      </c>
      <c r="F675" s="26" t="str">
        <f t="shared" si="50"/>
        <v>2024-06-20</v>
      </c>
      <c r="G675" s="26" t="str">
        <f t="shared" si="51"/>
        <v>2024-06-20</v>
      </c>
      <c r="H675">
        <f t="shared" si="52"/>
        <v>0</v>
      </c>
      <c r="K675" t="str">
        <f t="shared" si="53"/>
        <v>Орлов Павел ДенисовичСмирнов Максим Сергеевич</v>
      </c>
      <c r="L675" t="s">
        <v>47</v>
      </c>
      <c r="M675" t="s">
        <v>49</v>
      </c>
      <c r="N675" t="s">
        <v>251</v>
      </c>
      <c r="S675" t="str">
        <f t="shared" si="54"/>
        <v>Белов Алексей КонстантиновичСеменов Иван Павлович</v>
      </c>
      <c r="T675" t="s">
        <v>25</v>
      </c>
      <c r="U675" t="s">
        <v>105</v>
      </c>
      <c r="V675" t="s">
        <v>379</v>
      </c>
    </row>
    <row r="676" spans="4:22" x14ac:dyDescent="0.25">
      <c r="D676" t="s">
        <v>10</v>
      </c>
      <c r="E676" t="s">
        <v>37</v>
      </c>
      <c r="F676" s="26" t="str">
        <f t="shared" si="50"/>
        <v>2024-06-20</v>
      </c>
      <c r="G676" s="26" t="str">
        <f t="shared" si="51"/>
        <v>2024-06-20</v>
      </c>
      <c r="H676">
        <f t="shared" si="52"/>
        <v>0</v>
      </c>
      <c r="K676" t="str">
        <f t="shared" si="53"/>
        <v>Кузнецов Дмитрий ЛьвовичПопова Людмила Егоровна</v>
      </c>
      <c r="L676" t="s">
        <v>38</v>
      </c>
      <c r="M676" t="s">
        <v>217</v>
      </c>
      <c r="N676" t="s">
        <v>251</v>
      </c>
      <c r="S676" t="str">
        <f t="shared" si="54"/>
        <v>Яковлев Артем ИгоревичСтепанова Анна Ивановна</v>
      </c>
      <c r="T676" t="s">
        <v>30</v>
      </c>
      <c r="U676" t="s">
        <v>221</v>
      </c>
      <c r="V676" t="s">
        <v>379</v>
      </c>
    </row>
    <row r="677" spans="4:22" x14ac:dyDescent="0.25">
      <c r="D677" t="s">
        <v>45</v>
      </c>
      <c r="E677" t="s">
        <v>28</v>
      </c>
      <c r="F677" s="26" t="str">
        <f t="shared" si="50"/>
        <v>2024-06-20</v>
      </c>
      <c r="G677" s="26" t="str">
        <f t="shared" si="51"/>
        <v>2024-06-20</v>
      </c>
      <c r="H677">
        <f t="shared" si="52"/>
        <v>0</v>
      </c>
      <c r="K677" t="str">
        <f t="shared" si="53"/>
        <v>Семенова Ирина ВалерьевнаПетров Роман Алексеевич</v>
      </c>
      <c r="L677" t="s">
        <v>10</v>
      </c>
      <c r="M677" t="s">
        <v>75</v>
      </c>
      <c r="N677" t="s">
        <v>251</v>
      </c>
      <c r="S677" t="str">
        <f t="shared" si="54"/>
        <v>Яковлев Артем ИгоревичНовикова Алиса Ивановна</v>
      </c>
      <c r="T677" t="s">
        <v>30</v>
      </c>
      <c r="U677" t="s">
        <v>202</v>
      </c>
      <c r="V677" t="s">
        <v>379</v>
      </c>
    </row>
    <row r="678" spans="4:22" x14ac:dyDescent="0.25">
      <c r="D678" t="s">
        <v>27</v>
      </c>
      <c r="E678" t="s">
        <v>344</v>
      </c>
      <c r="F678" s="26" t="str">
        <f t="shared" si="50"/>
        <v>2024-06-21</v>
      </c>
      <c r="G678" s="26" t="str">
        <f t="shared" si="51"/>
        <v>2024-08-29</v>
      </c>
      <c r="H678">
        <f t="shared" si="52"/>
        <v>69</v>
      </c>
      <c r="K678" t="str">
        <f t="shared" si="53"/>
        <v>Яковлев Артем ИгоревичПопова Людмила Егоровна</v>
      </c>
      <c r="L678" t="s">
        <v>30</v>
      </c>
      <c r="M678" t="s">
        <v>217</v>
      </c>
      <c r="N678" t="s">
        <v>251</v>
      </c>
      <c r="S678" t="str">
        <f t="shared" si="54"/>
        <v>Яковлев Артем ИгоревичПетрова Александра Ильинична</v>
      </c>
      <c r="T678" t="s">
        <v>30</v>
      </c>
      <c r="U678" t="s">
        <v>344</v>
      </c>
      <c r="V678" t="s">
        <v>381</v>
      </c>
    </row>
    <row r="679" spans="4:22" x14ac:dyDescent="0.25">
      <c r="D679" t="s">
        <v>16</v>
      </c>
      <c r="E679" t="s">
        <v>96</v>
      </c>
      <c r="F679" s="26" t="str">
        <f t="shared" si="50"/>
        <v>2024-06-21</v>
      </c>
      <c r="G679" s="26" t="str">
        <f t="shared" si="51"/>
        <v>2024-06-21</v>
      </c>
      <c r="H679">
        <f t="shared" si="52"/>
        <v>0</v>
      </c>
      <c r="K679" t="str">
        <f t="shared" si="53"/>
        <v>Белов Алексей КонстантиновичМорозова Александра Станиславовна</v>
      </c>
      <c r="L679" t="s">
        <v>25</v>
      </c>
      <c r="M679" t="s">
        <v>55</v>
      </c>
      <c r="N679" t="s">
        <v>251</v>
      </c>
      <c r="S679" t="str">
        <f t="shared" si="54"/>
        <v>Орлов Павел ДенисовичСтепанова Ольга Андреевна</v>
      </c>
      <c r="T679" t="s">
        <v>47</v>
      </c>
      <c r="U679" t="s">
        <v>307</v>
      </c>
      <c r="V679" t="s">
        <v>381</v>
      </c>
    </row>
    <row r="680" spans="4:22" x14ac:dyDescent="0.25">
      <c r="D680" t="s">
        <v>30</v>
      </c>
      <c r="E680" t="s">
        <v>84</v>
      </c>
      <c r="F680" s="26" t="str">
        <f t="shared" si="50"/>
        <v>2024-06-21</v>
      </c>
      <c r="G680" s="26" t="str">
        <f t="shared" si="51"/>
        <v>2024-08-22</v>
      </c>
      <c r="H680">
        <f t="shared" si="52"/>
        <v>62</v>
      </c>
      <c r="K680" t="str">
        <f t="shared" si="53"/>
        <v>Семенова Ирина ВалерьевнаЛебедев Егор Никитич</v>
      </c>
      <c r="L680" t="s">
        <v>10</v>
      </c>
      <c r="M680" t="s">
        <v>136</v>
      </c>
      <c r="N680" t="s">
        <v>251</v>
      </c>
      <c r="S680" t="str">
        <f t="shared" si="54"/>
        <v>Сидорова Елена ВасильевнаСтепанов Александр Дмитриевич</v>
      </c>
      <c r="T680" t="s">
        <v>8</v>
      </c>
      <c r="U680" t="s">
        <v>149</v>
      </c>
      <c r="V680" t="s">
        <v>381</v>
      </c>
    </row>
    <row r="681" spans="4:22" x14ac:dyDescent="0.25">
      <c r="D681" t="s">
        <v>8</v>
      </c>
      <c r="E681" t="s">
        <v>82</v>
      </c>
      <c r="F681" s="26" t="str">
        <f t="shared" si="50"/>
        <v>2024-06-24</v>
      </c>
      <c r="G681" s="26" t="str">
        <f t="shared" si="51"/>
        <v>2024-06-24</v>
      </c>
      <c r="H681">
        <f t="shared" si="52"/>
        <v>0</v>
      </c>
      <c r="K681" t="str">
        <f t="shared" si="53"/>
        <v>Новикова Ольга ПетровнаНовикова Виктория Александровна</v>
      </c>
      <c r="L681" t="s">
        <v>45</v>
      </c>
      <c r="M681" t="s">
        <v>101</v>
      </c>
      <c r="N681" t="s">
        <v>250</v>
      </c>
      <c r="S681" t="str">
        <f t="shared" si="54"/>
        <v>Кузнецов Дмитрий ЛьвовичКозлова Ксения Ильинична</v>
      </c>
      <c r="T681" t="s">
        <v>38</v>
      </c>
      <c r="U681" t="s">
        <v>158</v>
      </c>
      <c r="V681" t="s">
        <v>381</v>
      </c>
    </row>
    <row r="682" spans="4:22" x14ac:dyDescent="0.25">
      <c r="D682" t="s">
        <v>13</v>
      </c>
      <c r="E682" t="s">
        <v>205</v>
      </c>
      <c r="F682" s="26" t="str">
        <f t="shared" si="50"/>
        <v>2024-06-24</v>
      </c>
      <c r="G682" s="26" t="str">
        <f t="shared" si="51"/>
        <v>2024-06-24</v>
      </c>
      <c r="H682">
        <f t="shared" si="52"/>
        <v>0</v>
      </c>
      <c r="K682" t="str">
        <f t="shared" si="53"/>
        <v>Кузнецов Дмитрий ЛьвовичФедоров Артур Олегович</v>
      </c>
      <c r="L682" t="s">
        <v>38</v>
      </c>
      <c r="M682" t="s">
        <v>64</v>
      </c>
      <c r="N682" t="s">
        <v>250</v>
      </c>
      <c r="S682" t="str">
        <f t="shared" si="54"/>
        <v>Сидорова Елена ВасильевнаСидоров Дмитрий Владимирович</v>
      </c>
      <c r="T682" t="s">
        <v>8</v>
      </c>
      <c r="U682" t="s">
        <v>155</v>
      </c>
      <c r="V682" t="s">
        <v>381</v>
      </c>
    </row>
    <row r="683" spans="4:22" x14ac:dyDescent="0.25">
      <c r="D683" t="s">
        <v>27</v>
      </c>
      <c r="E683" t="s">
        <v>53</v>
      </c>
      <c r="F683" s="26" t="str">
        <f t="shared" si="50"/>
        <v>2024-06-24</v>
      </c>
      <c r="G683" s="26" t="str">
        <f t="shared" si="51"/>
        <v>2024-06-24</v>
      </c>
      <c r="H683">
        <f t="shared" si="52"/>
        <v>0</v>
      </c>
      <c r="K683" t="str">
        <f t="shared" si="53"/>
        <v>Фролов Сергей ВикторовичМорозов Илья Геннадьевич</v>
      </c>
      <c r="L683" t="s">
        <v>16</v>
      </c>
      <c r="M683" t="s">
        <v>67</v>
      </c>
      <c r="N683" t="s">
        <v>246</v>
      </c>
      <c r="S683" t="str">
        <f t="shared" si="54"/>
        <v>Семенова Ирина ВалерьевнаВасильева Татьяна Павловна</v>
      </c>
      <c r="T683" t="s">
        <v>10</v>
      </c>
      <c r="U683" t="s">
        <v>382</v>
      </c>
      <c r="V683" t="s">
        <v>383</v>
      </c>
    </row>
    <row r="684" spans="4:22" x14ac:dyDescent="0.25">
      <c r="D684" t="s">
        <v>27</v>
      </c>
      <c r="E684" t="s">
        <v>325</v>
      </c>
      <c r="F684" s="26" t="str">
        <f t="shared" si="50"/>
        <v>2024-06-26</v>
      </c>
      <c r="G684" s="26" t="str">
        <f t="shared" si="51"/>
        <v>2024-06-26</v>
      </c>
      <c r="H684">
        <f t="shared" si="52"/>
        <v>0</v>
      </c>
      <c r="K684" t="str">
        <f t="shared" si="53"/>
        <v>Яковлев Артем ИгоревичКузнецов Алексей Егорович</v>
      </c>
      <c r="L684" t="s">
        <v>30</v>
      </c>
      <c r="M684" t="s">
        <v>247</v>
      </c>
      <c r="N684" t="s">
        <v>246</v>
      </c>
      <c r="S684" t="str">
        <f t="shared" si="54"/>
        <v>Яковлев Артем ИгоревичЕгорова Екатерина Артемовна</v>
      </c>
      <c r="T684" t="s">
        <v>30</v>
      </c>
      <c r="U684" t="s">
        <v>384</v>
      </c>
      <c r="V684" t="s">
        <v>383</v>
      </c>
    </row>
    <row r="685" spans="4:22" x14ac:dyDescent="0.25">
      <c r="D685" t="s">
        <v>10</v>
      </c>
      <c r="E685" t="s">
        <v>395</v>
      </c>
      <c r="F685" s="26" t="str">
        <f t="shared" si="50"/>
        <v>2024-06-26</v>
      </c>
      <c r="G685" s="26" t="str">
        <f t="shared" si="51"/>
        <v>2024-06-26</v>
      </c>
      <c r="H685">
        <f t="shared" si="52"/>
        <v>0</v>
      </c>
      <c r="K685" t="str">
        <f t="shared" si="53"/>
        <v>Яковлев Артем ИгоревичНовиков Илья Кириллович</v>
      </c>
      <c r="L685" t="s">
        <v>30</v>
      </c>
      <c r="M685" t="s">
        <v>248</v>
      </c>
      <c r="N685" t="s">
        <v>246</v>
      </c>
      <c r="S685" t="str">
        <f t="shared" si="54"/>
        <v>Новикова Ольга ПетровнаОрлов Андрей Никитич</v>
      </c>
      <c r="T685" t="s">
        <v>45</v>
      </c>
      <c r="U685" t="s">
        <v>142</v>
      </c>
      <c r="V685" t="s">
        <v>383</v>
      </c>
    </row>
    <row r="686" spans="4:22" x14ac:dyDescent="0.25">
      <c r="D686" t="s">
        <v>8</v>
      </c>
      <c r="E686" t="s">
        <v>249</v>
      </c>
      <c r="F686" s="26" t="str">
        <f t="shared" si="50"/>
        <v>2024-06-27</v>
      </c>
      <c r="G686" s="26" t="str">
        <f t="shared" si="51"/>
        <v>2024-06-27</v>
      </c>
      <c r="H686">
        <f t="shared" si="52"/>
        <v>0</v>
      </c>
      <c r="K686" t="str">
        <f t="shared" si="53"/>
        <v>Иванова Анна СергеевнаВолкова Татьяна Станиславовна</v>
      </c>
      <c r="L686" t="s">
        <v>13</v>
      </c>
      <c r="M686" t="s">
        <v>89</v>
      </c>
      <c r="N686" t="s">
        <v>246</v>
      </c>
      <c r="S686" t="str">
        <f t="shared" si="54"/>
        <v>Иванова Анна СергеевнаМорозов Егор Андреевич</v>
      </c>
      <c r="T686" t="s">
        <v>13</v>
      </c>
      <c r="U686" t="s">
        <v>9</v>
      </c>
      <c r="V686" t="s">
        <v>383</v>
      </c>
    </row>
    <row r="687" spans="4:22" x14ac:dyDescent="0.25">
      <c r="D687" t="s">
        <v>30</v>
      </c>
      <c r="E687" t="s">
        <v>142</v>
      </c>
      <c r="F687" s="26" t="str">
        <f t="shared" si="50"/>
        <v>2024-06-28</v>
      </c>
      <c r="G687" s="26" t="str">
        <f t="shared" si="51"/>
        <v>2024-06-28</v>
      </c>
      <c r="H687">
        <f t="shared" si="52"/>
        <v>0</v>
      </c>
      <c r="K687" t="str">
        <f t="shared" si="53"/>
        <v>Петров Владимир КирилловичСеменова Наталья Олеговна</v>
      </c>
      <c r="L687" t="s">
        <v>18</v>
      </c>
      <c r="M687" t="s">
        <v>249</v>
      </c>
      <c r="N687" t="s">
        <v>246</v>
      </c>
      <c r="S687" t="str">
        <f t="shared" si="54"/>
        <v>Новикова Ольга ПетровнаСмирнов Илья Олегович</v>
      </c>
      <c r="T687" t="s">
        <v>45</v>
      </c>
      <c r="U687" t="s">
        <v>26</v>
      </c>
      <c r="V687" t="s">
        <v>383</v>
      </c>
    </row>
    <row r="688" spans="4:22" x14ac:dyDescent="0.25">
      <c r="D688" t="s">
        <v>13</v>
      </c>
      <c r="E688" t="s">
        <v>19</v>
      </c>
      <c r="F688" s="26" t="str">
        <f t="shared" si="50"/>
        <v>2024-06-28</v>
      </c>
      <c r="G688" s="26" t="str">
        <f t="shared" si="51"/>
        <v>2024-06-28</v>
      </c>
      <c r="H688">
        <f t="shared" si="52"/>
        <v>0</v>
      </c>
      <c r="K688" t="str">
        <f t="shared" si="53"/>
        <v>Новикова Ольга ПетровнаОрлова Анна Юрьевна</v>
      </c>
      <c r="L688" t="s">
        <v>45</v>
      </c>
      <c r="M688" t="s">
        <v>61</v>
      </c>
      <c r="N688" t="s">
        <v>246</v>
      </c>
      <c r="S688" t="str">
        <f t="shared" si="54"/>
        <v>Новикова Ольга ПетровнаАлексеев Кирилл Сергеевич</v>
      </c>
      <c r="T688" t="s">
        <v>45</v>
      </c>
      <c r="U688" t="s">
        <v>206</v>
      </c>
      <c r="V688" t="s">
        <v>383</v>
      </c>
    </row>
    <row r="689" spans="4:22" x14ac:dyDescent="0.25">
      <c r="D689" t="s">
        <v>13</v>
      </c>
      <c r="E689" t="s">
        <v>214</v>
      </c>
      <c r="F689" s="26" t="str">
        <f t="shared" si="50"/>
        <v>2024-07-01</v>
      </c>
      <c r="G689" s="26" t="str">
        <f t="shared" si="51"/>
        <v>2024-07-01</v>
      </c>
      <c r="H689">
        <f t="shared" si="52"/>
        <v>0</v>
      </c>
      <c r="K689" t="str">
        <f t="shared" si="53"/>
        <v>Семенова Ирина ВалерьевнаВолкова Виктория Павловна</v>
      </c>
      <c r="L689" t="s">
        <v>10</v>
      </c>
      <c r="M689" t="s">
        <v>129</v>
      </c>
      <c r="N689" t="s">
        <v>246</v>
      </c>
      <c r="S689" t="str">
        <f t="shared" si="54"/>
        <v>Иванова Анна СергеевнаМорозов Илья Геннадьевич</v>
      </c>
      <c r="T689" t="s">
        <v>13</v>
      </c>
      <c r="U689" t="s">
        <v>67</v>
      </c>
      <c r="V689" t="s">
        <v>383</v>
      </c>
    </row>
    <row r="690" spans="4:22" x14ac:dyDescent="0.25">
      <c r="D690" t="s">
        <v>16</v>
      </c>
      <c r="E690" t="s">
        <v>151</v>
      </c>
      <c r="F690" s="26" t="str">
        <f t="shared" si="50"/>
        <v>2024-07-01</v>
      </c>
      <c r="G690" s="26" t="str">
        <f t="shared" si="51"/>
        <v>2024-07-01</v>
      </c>
      <c r="H690">
        <f t="shared" si="52"/>
        <v>0</v>
      </c>
      <c r="K690" t="str">
        <f t="shared" si="53"/>
        <v>Фролов Сергей ВикторовичПавлов Никита Андреевич</v>
      </c>
      <c r="L690" t="s">
        <v>16</v>
      </c>
      <c r="M690" t="s">
        <v>130</v>
      </c>
      <c r="N690" t="s">
        <v>246</v>
      </c>
      <c r="S690" t="str">
        <f t="shared" si="54"/>
        <v>Фролов Сергей ВикторовичЕгоров Никита Кириллович</v>
      </c>
      <c r="T690" t="s">
        <v>16</v>
      </c>
      <c r="U690" t="s">
        <v>385</v>
      </c>
      <c r="V690" t="s">
        <v>383</v>
      </c>
    </row>
    <row r="691" spans="4:22" x14ac:dyDescent="0.25">
      <c r="D691" t="s">
        <v>25</v>
      </c>
      <c r="E691" t="s">
        <v>307</v>
      </c>
      <c r="F691" s="26" t="str">
        <f t="shared" si="50"/>
        <v>2024-07-01</v>
      </c>
      <c r="G691" s="26" t="str">
        <f t="shared" si="51"/>
        <v>2024-07-01</v>
      </c>
      <c r="H691">
        <f t="shared" si="52"/>
        <v>0</v>
      </c>
      <c r="K691" t="str">
        <f t="shared" si="53"/>
        <v>Белов Алексей КонстантиновичНовиков Егор Юрьевич</v>
      </c>
      <c r="L691" t="s">
        <v>25</v>
      </c>
      <c r="M691" t="s">
        <v>181</v>
      </c>
      <c r="N691" t="s">
        <v>246</v>
      </c>
      <c r="S691" t="str">
        <f t="shared" si="54"/>
        <v>Семенова Ирина ВалерьевнаПопов Никита Геннадьевич</v>
      </c>
      <c r="T691" t="s">
        <v>10</v>
      </c>
      <c r="U691" t="s">
        <v>68</v>
      </c>
      <c r="V691" t="s">
        <v>383</v>
      </c>
    </row>
    <row r="692" spans="4:22" x14ac:dyDescent="0.25">
      <c r="D692" t="s">
        <v>25</v>
      </c>
      <c r="E692" t="s">
        <v>332</v>
      </c>
      <c r="F692" s="26" t="str">
        <f t="shared" si="50"/>
        <v>2024-07-01</v>
      </c>
      <c r="G692" s="26" t="str">
        <f t="shared" si="51"/>
        <v>2024-07-01</v>
      </c>
      <c r="H692">
        <f t="shared" si="52"/>
        <v>0</v>
      </c>
      <c r="K692" t="str">
        <f t="shared" si="53"/>
        <v>Орлов Павел ДенисовичКозлов Константин Александрович</v>
      </c>
      <c r="L692" t="s">
        <v>47</v>
      </c>
      <c r="M692" t="s">
        <v>173</v>
      </c>
      <c r="N692" t="s">
        <v>245</v>
      </c>
      <c r="S692" t="str">
        <f t="shared" si="54"/>
        <v>Громова Мария ИльиничнаОрлов Кирилл Романович</v>
      </c>
      <c r="T692" t="s">
        <v>5</v>
      </c>
      <c r="U692" t="s">
        <v>270</v>
      </c>
      <c r="V692" t="s">
        <v>383</v>
      </c>
    </row>
    <row r="693" spans="4:22" x14ac:dyDescent="0.25">
      <c r="D693" t="s">
        <v>5</v>
      </c>
      <c r="E693" t="s">
        <v>49</v>
      </c>
      <c r="F693" s="26" t="str">
        <f t="shared" si="50"/>
        <v>2024-07-01</v>
      </c>
      <c r="G693" s="26" t="str">
        <f t="shared" si="51"/>
        <v>2024-07-01</v>
      </c>
      <c r="H693">
        <f t="shared" si="52"/>
        <v>0</v>
      </c>
      <c r="K693" t="str">
        <f t="shared" si="53"/>
        <v>Белов Алексей КонстантиновичЛебедев Сергей Алексеевич</v>
      </c>
      <c r="L693" t="s">
        <v>25</v>
      </c>
      <c r="M693" t="s">
        <v>99</v>
      </c>
      <c r="N693" t="s">
        <v>245</v>
      </c>
      <c r="S693" t="str">
        <f t="shared" si="54"/>
        <v>Семенова Ирина ВалерьевнаВасильев Дмитрий Иванович</v>
      </c>
      <c r="T693" t="s">
        <v>10</v>
      </c>
      <c r="U693" t="s">
        <v>125</v>
      </c>
      <c r="V693" t="s">
        <v>383</v>
      </c>
    </row>
    <row r="694" spans="4:22" x14ac:dyDescent="0.25">
      <c r="D694" t="s">
        <v>16</v>
      </c>
      <c r="E694" t="s">
        <v>106</v>
      </c>
      <c r="F694" s="26" t="str">
        <f t="shared" si="50"/>
        <v>2024-07-01</v>
      </c>
      <c r="G694" s="26" t="str">
        <f t="shared" si="51"/>
        <v>2024-08-07</v>
      </c>
      <c r="H694">
        <f t="shared" si="52"/>
        <v>37</v>
      </c>
      <c r="K694" t="str">
        <f t="shared" si="53"/>
        <v>Новикова Ольга ПетровнаСтепанова София Михайловна</v>
      </c>
      <c r="L694" t="s">
        <v>45</v>
      </c>
      <c r="M694" t="s">
        <v>77</v>
      </c>
      <c r="N694" t="s">
        <v>245</v>
      </c>
      <c r="S694" t="str">
        <f t="shared" si="54"/>
        <v>Яковлев Артем ИгоревичОрлова Ольга Егоровна</v>
      </c>
      <c r="T694" t="s">
        <v>30</v>
      </c>
      <c r="U694" t="s">
        <v>272</v>
      </c>
      <c r="V694" t="s">
        <v>383</v>
      </c>
    </row>
    <row r="695" spans="4:22" x14ac:dyDescent="0.25">
      <c r="D695" t="s">
        <v>13</v>
      </c>
      <c r="E695" t="s">
        <v>82</v>
      </c>
      <c r="F695" s="26" t="str">
        <f t="shared" si="50"/>
        <v>2024-07-01</v>
      </c>
      <c r="G695" s="26" t="str">
        <f t="shared" si="51"/>
        <v>2024-07-01</v>
      </c>
      <c r="H695">
        <f t="shared" si="52"/>
        <v>0</v>
      </c>
      <c r="K695" t="str">
        <f t="shared" si="53"/>
        <v>Иванова Анна СергеевнаМорозов Никита Алексеевич</v>
      </c>
      <c r="L695" t="s">
        <v>13</v>
      </c>
      <c r="M695" t="s">
        <v>92</v>
      </c>
      <c r="N695" t="s">
        <v>244</v>
      </c>
      <c r="S695" t="str">
        <f t="shared" si="54"/>
        <v>Петров Владимир КирилловичСтепанова Анна Станиславовна</v>
      </c>
      <c r="T695" t="s">
        <v>18</v>
      </c>
      <c r="U695" t="s">
        <v>110</v>
      </c>
      <c r="V695" t="s">
        <v>383</v>
      </c>
    </row>
    <row r="696" spans="4:22" x14ac:dyDescent="0.25">
      <c r="D696" t="s">
        <v>45</v>
      </c>
      <c r="E696" t="s">
        <v>105</v>
      </c>
      <c r="F696" s="26" t="str">
        <f t="shared" si="50"/>
        <v>2024-07-01</v>
      </c>
      <c r="G696" s="26" t="str">
        <f t="shared" si="51"/>
        <v>2024-07-01</v>
      </c>
      <c r="H696">
        <f t="shared" si="52"/>
        <v>0</v>
      </c>
      <c r="K696" t="str">
        <f t="shared" si="53"/>
        <v>Сидорова Елена ВасильевнаВолков Максим Дмитриевич</v>
      </c>
      <c r="L696" t="s">
        <v>8</v>
      </c>
      <c r="M696" t="s">
        <v>81</v>
      </c>
      <c r="N696" t="s">
        <v>244</v>
      </c>
      <c r="S696" t="str">
        <f t="shared" si="54"/>
        <v>Новикова Ольга ПетровнаЛебедев Сергей Алексеевич</v>
      </c>
      <c r="T696" t="s">
        <v>45</v>
      </c>
      <c r="U696" t="s">
        <v>99</v>
      </c>
      <c r="V696" t="s">
        <v>386</v>
      </c>
    </row>
    <row r="697" spans="4:22" x14ac:dyDescent="0.25">
      <c r="D697" t="s">
        <v>30</v>
      </c>
      <c r="E697" t="s">
        <v>243</v>
      </c>
      <c r="F697" s="26" t="str">
        <f t="shared" si="50"/>
        <v>2024-07-01</v>
      </c>
      <c r="G697" s="26" t="str">
        <f t="shared" si="51"/>
        <v>2024-07-03</v>
      </c>
      <c r="H697">
        <f t="shared" si="52"/>
        <v>2</v>
      </c>
      <c r="K697" t="str">
        <f t="shared" si="53"/>
        <v>Семенова Ирина ВалерьевнаНовикова Юлия Егоровна</v>
      </c>
      <c r="L697" t="s">
        <v>10</v>
      </c>
      <c r="M697" t="s">
        <v>200</v>
      </c>
      <c r="N697" t="s">
        <v>241</v>
      </c>
      <c r="S697" t="str">
        <f t="shared" si="54"/>
        <v>Петров Владимир КирилловичИванова Анна Егоровна</v>
      </c>
      <c r="T697" t="s">
        <v>18</v>
      </c>
      <c r="U697" t="s">
        <v>96</v>
      </c>
      <c r="V697" t="s">
        <v>386</v>
      </c>
    </row>
    <row r="698" spans="4:22" x14ac:dyDescent="0.25">
      <c r="D698" t="s">
        <v>30</v>
      </c>
      <c r="E698" t="s">
        <v>50</v>
      </c>
      <c r="F698" s="26" t="str">
        <f t="shared" si="50"/>
        <v>2024-07-02</v>
      </c>
      <c r="G698" s="26" t="str">
        <f t="shared" si="51"/>
        <v>2024-07-02</v>
      </c>
      <c r="H698">
        <f t="shared" si="52"/>
        <v>0</v>
      </c>
      <c r="K698" t="str">
        <f t="shared" si="53"/>
        <v>Громова Мария ИльиничнаФедоров Владимир Павлович</v>
      </c>
      <c r="L698" t="s">
        <v>5</v>
      </c>
      <c r="M698" t="s">
        <v>63</v>
      </c>
      <c r="N698" t="s">
        <v>241</v>
      </c>
      <c r="S698" t="str">
        <f t="shared" si="54"/>
        <v>Кузнецов Дмитрий ЛьвовичПетрова Александра Ильинична</v>
      </c>
      <c r="T698" t="s">
        <v>38</v>
      </c>
      <c r="U698" t="s">
        <v>344</v>
      </c>
      <c r="V698" t="s">
        <v>386</v>
      </c>
    </row>
    <row r="699" spans="4:22" x14ac:dyDescent="0.25">
      <c r="D699" t="s">
        <v>5</v>
      </c>
      <c r="E699" t="s">
        <v>81</v>
      </c>
      <c r="F699" s="26" t="str">
        <f t="shared" si="50"/>
        <v>2024-07-02</v>
      </c>
      <c r="G699" s="26" t="str">
        <f t="shared" si="51"/>
        <v>2024-07-02</v>
      </c>
      <c r="H699">
        <f t="shared" si="52"/>
        <v>0</v>
      </c>
      <c r="K699" t="str">
        <f t="shared" si="53"/>
        <v>Орлов Павел ДенисовичЛебедева Алиса Ивановна</v>
      </c>
      <c r="L699" t="s">
        <v>47</v>
      </c>
      <c r="M699" t="s">
        <v>242</v>
      </c>
      <c r="N699" t="s">
        <v>241</v>
      </c>
      <c r="S699" t="str">
        <f t="shared" si="54"/>
        <v>Кузнецов Дмитрий ЛьвовичЕгорова Татьяна Романовна</v>
      </c>
      <c r="T699" t="s">
        <v>38</v>
      </c>
      <c r="U699" t="s">
        <v>299</v>
      </c>
      <c r="V699" t="s">
        <v>386</v>
      </c>
    </row>
    <row r="700" spans="4:22" x14ac:dyDescent="0.25">
      <c r="D700" t="s">
        <v>13</v>
      </c>
      <c r="E700" t="s">
        <v>33</v>
      </c>
      <c r="F700" s="26" t="str">
        <f t="shared" si="50"/>
        <v>2024-07-02</v>
      </c>
      <c r="G700" s="26" t="str">
        <f t="shared" si="51"/>
        <v>2024-07-02</v>
      </c>
      <c r="H700">
        <f t="shared" si="52"/>
        <v>0</v>
      </c>
      <c r="K700" t="str">
        <f t="shared" si="53"/>
        <v>Белов Алексей КонстантиновичПетров Михаил Ильич</v>
      </c>
      <c r="L700" t="s">
        <v>25</v>
      </c>
      <c r="M700" t="s">
        <v>177</v>
      </c>
      <c r="N700" t="s">
        <v>241</v>
      </c>
      <c r="S700" t="str">
        <f t="shared" si="54"/>
        <v>Петров Владимир КирилловичСтепанов Константин Геннадьевич</v>
      </c>
      <c r="T700" t="s">
        <v>18</v>
      </c>
      <c r="U700" t="s">
        <v>119</v>
      </c>
      <c r="V700" t="s">
        <v>387</v>
      </c>
    </row>
    <row r="701" spans="4:22" x14ac:dyDescent="0.25">
      <c r="D701" t="s">
        <v>38</v>
      </c>
      <c r="E701" t="s">
        <v>114</v>
      </c>
      <c r="F701" s="26" t="str">
        <f t="shared" si="50"/>
        <v>2024-07-02</v>
      </c>
      <c r="G701" s="26" t="str">
        <f t="shared" si="51"/>
        <v>2024-07-02</v>
      </c>
      <c r="H701">
        <f t="shared" si="52"/>
        <v>0</v>
      </c>
      <c r="K701" t="str">
        <f t="shared" si="53"/>
        <v>Белов Алексей КонстантиновичЛебедев Матвей Сергеевич</v>
      </c>
      <c r="L701" t="s">
        <v>25</v>
      </c>
      <c r="M701" t="s">
        <v>243</v>
      </c>
      <c r="N701" t="s">
        <v>241</v>
      </c>
      <c r="S701" t="str">
        <f t="shared" si="54"/>
        <v>Сидорова Елена ВасильевнаОрлов Дмитрий Ильич</v>
      </c>
      <c r="T701" t="s">
        <v>8</v>
      </c>
      <c r="U701" t="s">
        <v>107</v>
      </c>
      <c r="V701" t="s">
        <v>387</v>
      </c>
    </row>
    <row r="702" spans="4:22" x14ac:dyDescent="0.25">
      <c r="D702" t="s">
        <v>30</v>
      </c>
      <c r="E702" t="s">
        <v>141</v>
      </c>
      <c r="F702" s="26" t="str">
        <f t="shared" si="50"/>
        <v>2024-07-04</v>
      </c>
      <c r="G702" s="26" t="str">
        <f t="shared" si="51"/>
        <v>2024-07-04</v>
      </c>
      <c r="H702">
        <f t="shared" si="52"/>
        <v>0</v>
      </c>
      <c r="K702" t="str">
        <f t="shared" si="53"/>
        <v>Новикова Ольга ПетровнаПавлов Сергей Артемович</v>
      </c>
      <c r="L702" t="s">
        <v>45</v>
      </c>
      <c r="M702" t="s">
        <v>144</v>
      </c>
      <c r="N702" t="s">
        <v>240</v>
      </c>
      <c r="S702" t="str">
        <f t="shared" si="54"/>
        <v>Иванова Анна СергеевнаОрлов Кирилл Романович</v>
      </c>
      <c r="T702" t="s">
        <v>13</v>
      </c>
      <c r="U702" t="s">
        <v>270</v>
      </c>
      <c r="V702" t="s">
        <v>387</v>
      </c>
    </row>
    <row r="703" spans="4:22" x14ac:dyDescent="0.25">
      <c r="D703" t="s">
        <v>5</v>
      </c>
      <c r="E703" t="s">
        <v>148</v>
      </c>
      <c r="F703" s="26" t="str">
        <f t="shared" si="50"/>
        <v>2024-07-05</v>
      </c>
      <c r="G703" s="26" t="str">
        <f t="shared" si="51"/>
        <v>2024-07-05</v>
      </c>
      <c r="H703">
        <f t="shared" si="52"/>
        <v>0</v>
      </c>
      <c r="K703" t="str">
        <f t="shared" si="53"/>
        <v>Семенова Ирина ВалерьевнаПавлов Сергей Артемович</v>
      </c>
      <c r="L703" t="s">
        <v>10</v>
      </c>
      <c r="M703" t="s">
        <v>144</v>
      </c>
      <c r="N703" t="s">
        <v>240</v>
      </c>
      <c r="S703" t="str">
        <f t="shared" si="54"/>
        <v>Фролов Сергей ВикторовичНиколаев Иван Михайлович</v>
      </c>
      <c r="T703" t="s">
        <v>16</v>
      </c>
      <c r="U703" t="s">
        <v>94</v>
      </c>
      <c r="V703" t="s">
        <v>387</v>
      </c>
    </row>
    <row r="704" spans="4:22" x14ac:dyDescent="0.25">
      <c r="D704" t="s">
        <v>30</v>
      </c>
      <c r="E704" t="s">
        <v>22</v>
      </c>
      <c r="F704" s="26" t="str">
        <f t="shared" si="50"/>
        <v>2024-07-05</v>
      </c>
      <c r="G704" s="26" t="str">
        <f t="shared" si="51"/>
        <v>2024-07-05</v>
      </c>
      <c r="H704">
        <f t="shared" si="52"/>
        <v>0</v>
      </c>
      <c r="K704" t="str">
        <f t="shared" si="53"/>
        <v>Семенова Ирина ВалерьевнаСеменова Светлана Дмитриевна</v>
      </c>
      <c r="L704" t="s">
        <v>10</v>
      </c>
      <c r="M704" t="s">
        <v>41</v>
      </c>
      <c r="N704" t="s">
        <v>238</v>
      </c>
      <c r="S704" t="str">
        <f t="shared" si="54"/>
        <v>Яковлев Артем ИгоревичСеменов Михаил Егорович</v>
      </c>
      <c r="T704" t="s">
        <v>30</v>
      </c>
      <c r="U704" t="s">
        <v>169</v>
      </c>
      <c r="V704" t="s">
        <v>388</v>
      </c>
    </row>
    <row r="705" spans="4:22" x14ac:dyDescent="0.25">
      <c r="D705" t="s">
        <v>45</v>
      </c>
      <c r="E705" t="s">
        <v>6</v>
      </c>
      <c r="F705" s="26" t="str">
        <f t="shared" si="50"/>
        <v>2024-07-08</v>
      </c>
      <c r="G705" s="26" t="str">
        <f t="shared" si="51"/>
        <v>2024-07-08</v>
      </c>
      <c r="H705">
        <f t="shared" si="52"/>
        <v>0</v>
      </c>
      <c r="K705" t="str">
        <f t="shared" si="53"/>
        <v>Яковлев Артем ИгоревичВолкова Валерия Алексеевна</v>
      </c>
      <c r="L705" t="s">
        <v>30</v>
      </c>
      <c r="M705" t="s">
        <v>6</v>
      </c>
      <c r="N705" t="s">
        <v>238</v>
      </c>
      <c r="S705" t="str">
        <f t="shared" si="54"/>
        <v>Семенова Ирина ВалерьевнаПетров Михаил Ильич</v>
      </c>
      <c r="T705" t="s">
        <v>10</v>
      </c>
      <c r="U705" t="s">
        <v>177</v>
      </c>
      <c r="V705" t="s">
        <v>388</v>
      </c>
    </row>
    <row r="706" spans="4:22" x14ac:dyDescent="0.25">
      <c r="D706" t="s">
        <v>10</v>
      </c>
      <c r="E706" t="s">
        <v>167</v>
      </c>
      <c r="F706" s="26" t="str">
        <f t="shared" si="50"/>
        <v>2024-07-08</v>
      </c>
      <c r="G706" s="26" t="str">
        <f t="shared" si="51"/>
        <v>2024-07-08</v>
      </c>
      <c r="H706">
        <f t="shared" si="52"/>
        <v>0</v>
      </c>
      <c r="K706" t="str">
        <f t="shared" si="53"/>
        <v>Новикова Ольга ПетровнаНиколаев Георгий Сергеевич</v>
      </c>
      <c r="L706" t="s">
        <v>45</v>
      </c>
      <c r="M706" t="s">
        <v>194</v>
      </c>
      <c r="N706" t="s">
        <v>238</v>
      </c>
      <c r="S706" t="str">
        <f t="shared" si="54"/>
        <v>Яковлев Артем ИгоревичОрлова Ольга Алексеевна</v>
      </c>
      <c r="T706" t="s">
        <v>30</v>
      </c>
      <c r="U706" t="s">
        <v>82</v>
      </c>
      <c r="V706" t="s">
        <v>388</v>
      </c>
    </row>
    <row r="707" spans="4:22" x14ac:dyDescent="0.25">
      <c r="D707" t="s">
        <v>47</v>
      </c>
      <c r="E707" t="s">
        <v>113</v>
      </c>
      <c r="F707" s="26" t="str">
        <f t="shared" ref="F707:F770" si="55">VLOOKUP(D707&amp;E707,S:V,4,0)</f>
        <v>2024-07-08</v>
      </c>
      <c r="G707" s="26" t="str">
        <f t="shared" ref="G707:G770" si="56">VLOOKUP(D707&amp;E707,K:N,4,0)</f>
        <v>2024-07-08</v>
      </c>
      <c r="H707">
        <f t="shared" ref="H707:H770" si="57">G707-F707</f>
        <v>0</v>
      </c>
      <c r="K707" t="str">
        <f t="shared" ref="K707:K770" si="58">L707&amp;M707</f>
        <v>Сидорова Елена ВасильевнаМорозов Максим Сергеевич</v>
      </c>
      <c r="L707" t="s">
        <v>8</v>
      </c>
      <c r="M707" t="s">
        <v>239</v>
      </c>
      <c r="N707" t="s">
        <v>238</v>
      </c>
      <c r="S707" t="str">
        <f t="shared" ref="S707:S770" si="59">T707&amp;U707</f>
        <v>Иванова Анна СергеевнаОрлова Юлия Сергеевна</v>
      </c>
      <c r="T707" t="s">
        <v>13</v>
      </c>
      <c r="U707" t="s">
        <v>157</v>
      </c>
      <c r="V707" t="s">
        <v>388</v>
      </c>
    </row>
    <row r="708" spans="4:22" x14ac:dyDescent="0.25">
      <c r="D708" t="s">
        <v>18</v>
      </c>
      <c r="E708" t="s">
        <v>264</v>
      </c>
      <c r="F708" s="26" t="str">
        <f t="shared" si="55"/>
        <v>2024-07-08</v>
      </c>
      <c r="G708" s="26" t="str">
        <f t="shared" si="56"/>
        <v>2024-07-08</v>
      </c>
      <c r="H708">
        <f t="shared" si="57"/>
        <v>0</v>
      </c>
      <c r="K708" t="str">
        <f t="shared" si="58"/>
        <v>Ткаченко Андрей ОлеговичПетрова Алиса Станиславовна</v>
      </c>
      <c r="L708" t="s">
        <v>27</v>
      </c>
      <c r="M708" t="s">
        <v>65</v>
      </c>
      <c r="N708" t="s">
        <v>238</v>
      </c>
      <c r="S708" t="str">
        <f t="shared" si="59"/>
        <v>Яковлев Артем ИгоревичСеменова Наталья Олеговна</v>
      </c>
      <c r="T708" t="s">
        <v>30</v>
      </c>
      <c r="U708" t="s">
        <v>249</v>
      </c>
      <c r="V708" t="s">
        <v>388</v>
      </c>
    </row>
    <row r="709" spans="4:22" x14ac:dyDescent="0.25">
      <c r="D709" t="s">
        <v>45</v>
      </c>
      <c r="E709" t="s">
        <v>146</v>
      </c>
      <c r="F709" s="26" t="str">
        <f t="shared" si="55"/>
        <v>2024-07-08</v>
      </c>
      <c r="G709" s="26" t="str">
        <f t="shared" si="56"/>
        <v>2024-07-08</v>
      </c>
      <c r="H709">
        <f t="shared" si="57"/>
        <v>0</v>
      </c>
      <c r="K709" t="str">
        <f t="shared" si="58"/>
        <v>Белов Алексей КонстантиновичФедоров Владимир Павлович</v>
      </c>
      <c r="L709" t="s">
        <v>25</v>
      </c>
      <c r="M709" t="s">
        <v>63</v>
      </c>
      <c r="N709" t="s">
        <v>238</v>
      </c>
      <c r="S709" t="str">
        <f t="shared" si="59"/>
        <v>Яковлев Артем ИгоревичЕгоров Павел Сергеевич</v>
      </c>
      <c r="T709" t="s">
        <v>30</v>
      </c>
      <c r="U709" t="s">
        <v>134</v>
      </c>
      <c r="V709" t="s">
        <v>388</v>
      </c>
    </row>
    <row r="710" spans="4:22" x14ac:dyDescent="0.25">
      <c r="D710" t="s">
        <v>5</v>
      </c>
      <c r="E710" t="s">
        <v>50</v>
      </c>
      <c r="F710" s="26" t="str">
        <f t="shared" si="55"/>
        <v>2024-07-08</v>
      </c>
      <c r="G710" s="26" t="str">
        <f t="shared" si="56"/>
        <v>2024-07-08</v>
      </c>
      <c r="H710">
        <f t="shared" si="57"/>
        <v>0</v>
      </c>
      <c r="K710" t="str">
        <f t="shared" si="58"/>
        <v>Кузнецов Дмитрий ЛьвовичВасильев Артур Артемович</v>
      </c>
      <c r="L710" t="s">
        <v>38</v>
      </c>
      <c r="M710" t="s">
        <v>31</v>
      </c>
      <c r="N710" t="s">
        <v>238</v>
      </c>
      <c r="S710" t="str">
        <f t="shared" si="59"/>
        <v>Кузнецов Дмитрий ЛьвовичВасильева Ксения Михайловна</v>
      </c>
      <c r="T710" t="s">
        <v>38</v>
      </c>
      <c r="U710" t="s">
        <v>57</v>
      </c>
      <c r="V710" t="s">
        <v>388</v>
      </c>
    </row>
    <row r="711" spans="4:22" x14ac:dyDescent="0.25">
      <c r="D711" t="s">
        <v>8</v>
      </c>
      <c r="E711" t="s">
        <v>33</v>
      </c>
      <c r="F711" s="26" t="str">
        <f t="shared" si="55"/>
        <v>2024-07-09</v>
      </c>
      <c r="G711" s="26" t="str">
        <f t="shared" si="56"/>
        <v>2024-08-26</v>
      </c>
      <c r="H711">
        <f t="shared" si="57"/>
        <v>48</v>
      </c>
      <c r="K711" t="str">
        <f t="shared" si="58"/>
        <v>Кузнецов Дмитрий ЛьвовичЛебедев Сергей Алексеевич</v>
      </c>
      <c r="L711" t="s">
        <v>38</v>
      </c>
      <c r="M711" t="s">
        <v>99</v>
      </c>
      <c r="N711" t="s">
        <v>238</v>
      </c>
      <c r="S711" t="str">
        <f t="shared" si="59"/>
        <v>Новикова Ольга ПетровнаВолков Иван Юрьевич</v>
      </c>
      <c r="T711" t="s">
        <v>45</v>
      </c>
      <c r="U711" t="s">
        <v>219</v>
      </c>
      <c r="V711" t="s">
        <v>388</v>
      </c>
    </row>
    <row r="712" spans="4:22" x14ac:dyDescent="0.25">
      <c r="D712" t="s">
        <v>5</v>
      </c>
      <c r="E712" t="s">
        <v>180</v>
      </c>
      <c r="F712" s="26" t="str">
        <f t="shared" si="55"/>
        <v>2024-07-10</v>
      </c>
      <c r="G712" s="26" t="str">
        <f t="shared" si="56"/>
        <v>2024-07-10</v>
      </c>
      <c r="H712">
        <f t="shared" si="57"/>
        <v>0</v>
      </c>
      <c r="K712" t="str">
        <f t="shared" si="58"/>
        <v>Белов Алексей КонстантиновичСтепанов Александр Андреевич</v>
      </c>
      <c r="L712" t="s">
        <v>25</v>
      </c>
      <c r="M712" t="s">
        <v>214</v>
      </c>
      <c r="N712" t="s">
        <v>238</v>
      </c>
      <c r="S712" t="str">
        <f t="shared" si="59"/>
        <v>Иванова Анна СергеевнаСидоров Дмитрий Владимирович</v>
      </c>
      <c r="T712" t="s">
        <v>13</v>
      </c>
      <c r="U712" t="s">
        <v>155</v>
      </c>
      <c r="V712" t="s">
        <v>388</v>
      </c>
    </row>
    <row r="713" spans="4:22" x14ac:dyDescent="0.25">
      <c r="D713" t="s">
        <v>27</v>
      </c>
      <c r="E713" t="s">
        <v>363</v>
      </c>
      <c r="F713" s="26" t="str">
        <f t="shared" si="55"/>
        <v>2024-07-10</v>
      </c>
      <c r="G713" s="26" t="str">
        <f t="shared" si="56"/>
        <v>2024-07-10</v>
      </c>
      <c r="H713">
        <f t="shared" si="57"/>
        <v>0</v>
      </c>
      <c r="K713" t="str">
        <f t="shared" si="58"/>
        <v>Кузнецов Дмитрий ЛьвовичКузнецов Максим Алексеевич</v>
      </c>
      <c r="L713" t="s">
        <v>38</v>
      </c>
      <c r="M713" t="s">
        <v>53</v>
      </c>
      <c r="N713" t="s">
        <v>237</v>
      </c>
      <c r="S713" t="str">
        <f t="shared" si="59"/>
        <v>Кузнецов Дмитрий ЛьвовичКозлов Константин Александрович</v>
      </c>
      <c r="T713" t="s">
        <v>38</v>
      </c>
      <c r="U713" t="s">
        <v>173</v>
      </c>
      <c r="V713" t="s">
        <v>388</v>
      </c>
    </row>
    <row r="714" spans="4:22" x14ac:dyDescent="0.25">
      <c r="D714" t="s">
        <v>18</v>
      </c>
      <c r="E714" t="s">
        <v>124</v>
      </c>
      <c r="F714" s="26" t="str">
        <f t="shared" si="55"/>
        <v>2024-07-10</v>
      </c>
      <c r="G714" s="26" t="str">
        <f t="shared" si="56"/>
        <v>2024-07-10</v>
      </c>
      <c r="H714">
        <f t="shared" si="57"/>
        <v>0</v>
      </c>
      <c r="K714" t="str">
        <f t="shared" si="58"/>
        <v>Иванова Анна СергеевнаПавлов Сергей Артемович</v>
      </c>
      <c r="L714" t="s">
        <v>13</v>
      </c>
      <c r="M714" t="s">
        <v>144</v>
      </c>
      <c r="N714" t="s">
        <v>237</v>
      </c>
      <c r="S714" t="str">
        <f t="shared" si="59"/>
        <v>Ткаченко Андрей ОлеговичЕгоров Дмитрий Дмитриевич</v>
      </c>
      <c r="T714" t="s">
        <v>27</v>
      </c>
      <c r="U714" t="s">
        <v>224</v>
      </c>
      <c r="V714" t="s">
        <v>388</v>
      </c>
    </row>
    <row r="715" spans="4:22" x14ac:dyDescent="0.25">
      <c r="D715" t="s">
        <v>8</v>
      </c>
      <c r="E715" t="s">
        <v>92</v>
      </c>
      <c r="F715" s="26" t="str">
        <f t="shared" si="55"/>
        <v>2024-07-11</v>
      </c>
      <c r="G715" s="26" t="str">
        <f t="shared" si="56"/>
        <v>2024-07-11</v>
      </c>
      <c r="H715">
        <f t="shared" si="57"/>
        <v>0</v>
      </c>
      <c r="K715" t="str">
        <f t="shared" si="58"/>
        <v>Белов Алексей КонстантиновичКузнецов Максим Алексеевич</v>
      </c>
      <c r="L715" t="s">
        <v>25</v>
      </c>
      <c r="M715" t="s">
        <v>53</v>
      </c>
      <c r="N715" t="s">
        <v>237</v>
      </c>
      <c r="S715" t="str">
        <f t="shared" si="59"/>
        <v>Иванова Анна СергеевнаНовикова Анна Викторовна</v>
      </c>
      <c r="T715" t="s">
        <v>13</v>
      </c>
      <c r="U715" t="s">
        <v>211</v>
      </c>
      <c r="V715" t="s">
        <v>389</v>
      </c>
    </row>
    <row r="716" spans="4:22" x14ac:dyDescent="0.25">
      <c r="D716" t="s">
        <v>30</v>
      </c>
      <c r="E716" t="s">
        <v>69</v>
      </c>
      <c r="F716" s="26" t="str">
        <f t="shared" si="55"/>
        <v>2024-07-11</v>
      </c>
      <c r="G716" s="26" t="str">
        <f t="shared" si="56"/>
        <v>2024-07-11</v>
      </c>
      <c r="H716">
        <f t="shared" si="57"/>
        <v>0</v>
      </c>
      <c r="K716" t="str">
        <f t="shared" si="58"/>
        <v>Громова Мария ИльиничнаИванов Андрей Андреевич</v>
      </c>
      <c r="L716" t="s">
        <v>5</v>
      </c>
      <c r="M716" t="s">
        <v>190</v>
      </c>
      <c r="N716" t="s">
        <v>237</v>
      </c>
      <c r="S716" t="str">
        <f t="shared" si="59"/>
        <v>Новикова Ольга ПетровнаСмирнов Илья Олегович</v>
      </c>
      <c r="T716" t="s">
        <v>45</v>
      </c>
      <c r="U716" t="s">
        <v>26</v>
      </c>
      <c r="V716" t="s">
        <v>389</v>
      </c>
    </row>
    <row r="717" spans="4:22" x14ac:dyDescent="0.25">
      <c r="D717" t="s">
        <v>27</v>
      </c>
      <c r="E717" t="s">
        <v>41</v>
      </c>
      <c r="F717" s="26" t="str">
        <f t="shared" si="55"/>
        <v>2024-07-12</v>
      </c>
      <c r="G717" s="26" t="str">
        <f t="shared" si="56"/>
        <v>2024-07-12</v>
      </c>
      <c r="H717">
        <f t="shared" si="57"/>
        <v>0</v>
      </c>
      <c r="K717" t="str">
        <f t="shared" si="58"/>
        <v>Кузнецов Дмитрий ЛьвовичМорозова Александра Станиславовна</v>
      </c>
      <c r="L717" t="s">
        <v>38</v>
      </c>
      <c r="M717" t="s">
        <v>55</v>
      </c>
      <c r="N717" t="s">
        <v>236</v>
      </c>
      <c r="S717" t="str">
        <f t="shared" si="59"/>
        <v>Сидорова Елена ВасильевнаКузнецов Алексей Егорович</v>
      </c>
      <c r="T717" t="s">
        <v>8</v>
      </c>
      <c r="U717" t="s">
        <v>247</v>
      </c>
      <c r="V717" t="s">
        <v>389</v>
      </c>
    </row>
    <row r="718" spans="4:22" x14ac:dyDescent="0.25">
      <c r="D718" t="s">
        <v>16</v>
      </c>
      <c r="E718" t="s">
        <v>73</v>
      </c>
      <c r="F718" s="26" t="str">
        <f t="shared" si="55"/>
        <v>2024-07-12</v>
      </c>
      <c r="G718" s="26" t="str">
        <f t="shared" si="56"/>
        <v>2024-07-12</v>
      </c>
      <c r="H718">
        <f t="shared" si="57"/>
        <v>0</v>
      </c>
      <c r="K718" t="str">
        <f t="shared" si="58"/>
        <v>Иванова Анна СергеевнаПетрова Елена Юрьевна</v>
      </c>
      <c r="L718" t="s">
        <v>13</v>
      </c>
      <c r="M718" t="s">
        <v>116</v>
      </c>
      <c r="N718" t="s">
        <v>236</v>
      </c>
      <c r="S718" t="str">
        <f t="shared" si="59"/>
        <v>Орлов Павел ДенисовичСидоров Никита Романович</v>
      </c>
      <c r="T718" t="s">
        <v>47</v>
      </c>
      <c r="U718" t="s">
        <v>121</v>
      </c>
      <c r="V718" t="s">
        <v>389</v>
      </c>
    </row>
    <row r="719" spans="4:22" x14ac:dyDescent="0.25">
      <c r="D719" t="s">
        <v>38</v>
      </c>
      <c r="E719" t="s">
        <v>130</v>
      </c>
      <c r="F719" s="26" t="str">
        <f t="shared" si="55"/>
        <v>2024-07-12</v>
      </c>
      <c r="G719" s="26" t="str">
        <f t="shared" si="56"/>
        <v>2024-07-12</v>
      </c>
      <c r="H719">
        <f t="shared" si="57"/>
        <v>0</v>
      </c>
      <c r="K719" t="str">
        <f t="shared" si="58"/>
        <v>Иванова Анна СергеевнаСтепанов Дмитрий Геннадьевич</v>
      </c>
      <c r="L719" t="s">
        <v>13</v>
      </c>
      <c r="M719" t="s">
        <v>132</v>
      </c>
      <c r="N719" t="s">
        <v>235</v>
      </c>
      <c r="S719" t="str">
        <f t="shared" si="59"/>
        <v>Семенова Ирина ВалерьевнаФедоров Кирилл Алексеевич</v>
      </c>
      <c r="T719" t="s">
        <v>10</v>
      </c>
      <c r="U719" t="s">
        <v>287</v>
      </c>
      <c r="V719" t="s">
        <v>390</v>
      </c>
    </row>
    <row r="720" spans="4:22" x14ac:dyDescent="0.25">
      <c r="D720" t="s">
        <v>25</v>
      </c>
      <c r="E720" t="s">
        <v>249</v>
      </c>
      <c r="F720" s="26" t="str">
        <f t="shared" si="55"/>
        <v>2024-07-15</v>
      </c>
      <c r="G720" s="26" t="str">
        <f t="shared" si="56"/>
        <v>2024-07-15</v>
      </c>
      <c r="H720">
        <f t="shared" si="57"/>
        <v>0</v>
      </c>
      <c r="K720" t="str">
        <f t="shared" si="58"/>
        <v>Кузнецов Дмитрий ЛьвовичНиколаев Георгий Сергеевич</v>
      </c>
      <c r="L720" t="s">
        <v>38</v>
      </c>
      <c r="M720" t="s">
        <v>194</v>
      </c>
      <c r="N720" t="s">
        <v>234</v>
      </c>
      <c r="S720" t="str">
        <f t="shared" si="59"/>
        <v>Ткаченко Андрей ОлеговичСтепанова София Михайловна</v>
      </c>
      <c r="T720" t="s">
        <v>27</v>
      </c>
      <c r="U720" t="s">
        <v>77</v>
      </c>
      <c r="V720" t="s">
        <v>391</v>
      </c>
    </row>
    <row r="721" spans="4:22" x14ac:dyDescent="0.25">
      <c r="D721" t="s">
        <v>45</v>
      </c>
      <c r="E721" t="s">
        <v>21</v>
      </c>
      <c r="F721" s="26" t="str">
        <f t="shared" si="55"/>
        <v>2024-07-17</v>
      </c>
      <c r="G721" s="26" t="str">
        <f t="shared" si="56"/>
        <v>2024-07-17</v>
      </c>
      <c r="H721">
        <f t="shared" si="57"/>
        <v>0</v>
      </c>
      <c r="K721" t="str">
        <f t="shared" si="58"/>
        <v>Яковлев Артем ИгоревичСидоров Егор Александрович</v>
      </c>
      <c r="L721" t="s">
        <v>30</v>
      </c>
      <c r="M721" t="s">
        <v>153</v>
      </c>
      <c r="N721" t="s">
        <v>230</v>
      </c>
      <c r="S721" t="str">
        <f t="shared" si="59"/>
        <v>Иванова Анна СергеевнаНовиков Павел Олегович</v>
      </c>
      <c r="T721" t="s">
        <v>13</v>
      </c>
      <c r="U721" t="s">
        <v>226</v>
      </c>
      <c r="V721" t="s">
        <v>392</v>
      </c>
    </row>
    <row r="722" spans="4:22" x14ac:dyDescent="0.25">
      <c r="D722" t="s">
        <v>47</v>
      </c>
      <c r="E722" t="s">
        <v>393</v>
      </c>
      <c r="F722" s="26" t="str">
        <f t="shared" si="55"/>
        <v>2024-07-17</v>
      </c>
      <c r="G722" s="26" t="str">
        <f t="shared" si="56"/>
        <v>2024-07-17</v>
      </c>
      <c r="H722">
        <f t="shared" si="57"/>
        <v>0</v>
      </c>
      <c r="K722" t="str">
        <f t="shared" si="58"/>
        <v>Семенова Ирина ВалерьевнаФедорова Алиса Юрьевна</v>
      </c>
      <c r="L722" t="s">
        <v>10</v>
      </c>
      <c r="M722" t="s">
        <v>231</v>
      </c>
      <c r="N722" t="s">
        <v>230</v>
      </c>
      <c r="S722" t="str">
        <f t="shared" si="59"/>
        <v>Петров Владимир КирилловичСмирнова Светлана Кирилловна</v>
      </c>
      <c r="T722" t="s">
        <v>18</v>
      </c>
      <c r="U722" t="s">
        <v>393</v>
      </c>
      <c r="V722" t="s">
        <v>392</v>
      </c>
    </row>
    <row r="723" spans="4:22" x14ac:dyDescent="0.25">
      <c r="D723" t="s">
        <v>5</v>
      </c>
      <c r="E723" t="s">
        <v>205</v>
      </c>
      <c r="F723" s="26" t="str">
        <f t="shared" si="55"/>
        <v>2024-07-17</v>
      </c>
      <c r="G723" s="26" t="str">
        <f t="shared" si="56"/>
        <v>2024-07-17</v>
      </c>
      <c r="H723">
        <f t="shared" si="57"/>
        <v>0</v>
      </c>
      <c r="K723" t="str">
        <f t="shared" si="58"/>
        <v>Громова Мария ИльиничнаВасильев Дмитрий Иванович</v>
      </c>
      <c r="L723" t="s">
        <v>5</v>
      </c>
      <c r="M723" t="s">
        <v>125</v>
      </c>
      <c r="N723" t="s">
        <v>230</v>
      </c>
      <c r="S723" t="str">
        <f t="shared" si="59"/>
        <v>Семенова Ирина ВалерьевнаПетров Алексей Юрьевич</v>
      </c>
      <c r="T723" t="s">
        <v>10</v>
      </c>
      <c r="U723" t="s">
        <v>22</v>
      </c>
      <c r="V723" t="s">
        <v>392</v>
      </c>
    </row>
    <row r="724" spans="4:22" x14ac:dyDescent="0.25">
      <c r="D724" t="s">
        <v>27</v>
      </c>
      <c r="E724" t="s">
        <v>91</v>
      </c>
      <c r="F724" s="26" t="str">
        <f t="shared" si="55"/>
        <v>2024-07-18</v>
      </c>
      <c r="G724" s="26" t="str">
        <f t="shared" si="56"/>
        <v>2024-07-18</v>
      </c>
      <c r="H724">
        <f t="shared" si="57"/>
        <v>0</v>
      </c>
      <c r="K724" t="str">
        <f t="shared" si="58"/>
        <v>Громова Мария ИльиничнаПопов Никита Геннадьевич</v>
      </c>
      <c r="L724" t="s">
        <v>5</v>
      </c>
      <c r="M724" t="s">
        <v>68</v>
      </c>
      <c r="N724" t="s">
        <v>230</v>
      </c>
      <c r="S724" t="str">
        <f t="shared" si="59"/>
        <v>Ткаченко Андрей ОлеговичВасильев Максим Иванович</v>
      </c>
      <c r="T724" t="s">
        <v>27</v>
      </c>
      <c r="U724" t="s">
        <v>212</v>
      </c>
      <c r="V724" t="s">
        <v>392</v>
      </c>
    </row>
    <row r="725" spans="4:22" x14ac:dyDescent="0.25">
      <c r="D725" t="s">
        <v>25</v>
      </c>
      <c r="E725" t="s">
        <v>59</v>
      </c>
      <c r="F725" s="26" t="str">
        <f t="shared" si="55"/>
        <v>2024-07-19</v>
      </c>
      <c r="G725" s="26" t="str">
        <f t="shared" si="56"/>
        <v>2024-07-19</v>
      </c>
      <c r="H725">
        <f t="shared" si="57"/>
        <v>0</v>
      </c>
      <c r="K725" t="str">
        <f t="shared" si="58"/>
        <v>Ткаченко Андрей ОлеговичСтепанова Анна Станиславовна</v>
      </c>
      <c r="L725" t="s">
        <v>27</v>
      </c>
      <c r="M725" t="s">
        <v>110</v>
      </c>
      <c r="N725" t="s">
        <v>230</v>
      </c>
      <c r="S725" t="str">
        <f t="shared" si="59"/>
        <v>Орлов Павел ДенисовичВолкова Татьяна Станиславовна</v>
      </c>
      <c r="T725" t="s">
        <v>47</v>
      </c>
      <c r="U725" t="s">
        <v>89</v>
      </c>
      <c r="V725" t="s">
        <v>392</v>
      </c>
    </row>
    <row r="726" spans="4:22" x14ac:dyDescent="0.25">
      <c r="D726" t="s">
        <v>5</v>
      </c>
      <c r="E726" t="s">
        <v>66</v>
      </c>
      <c r="F726" s="26" t="str">
        <f t="shared" si="55"/>
        <v>2024-07-22</v>
      </c>
      <c r="G726" s="26" t="str">
        <f t="shared" si="56"/>
        <v>2024-07-22</v>
      </c>
      <c r="H726">
        <f t="shared" si="57"/>
        <v>0</v>
      </c>
      <c r="K726" t="str">
        <f t="shared" si="58"/>
        <v>Сидорова Елена ВасильевнаПопова Людмила Егоровна</v>
      </c>
      <c r="L726" t="s">
        <v>8</v>
      </c>
      <c r="M726" t="s">
        <v>217</v>
      </c>
      <c r="N726" t="s">
        <v>230</v>
      </c>
      <c r="S726" t="str">
        <f t="shared" si="59"/>
        <v>Белов Алексей КонстантиновичНиколаев Иван Михайлович</v>
      </c>
      <c r="T726" t="s">
        <v>25</v>
      </c>
      <c r="U726" t="s">
        <v>94</v>
      </c>
      <c r="V726" t="s">
        <v>394</v>
      </c>
    </row>
    <row r="727" spans="4:22" x14ac:dyDescent="0.25">
      <c r="D727" t="s">
        <v>25</v>
      </c>
      <c r="E727" t="s">
        <v>233</v>
      </c>
      <c r="F727" s="26" t="str">
        <f t="shared" si="55"/>
        <v>2024-07-22</v>
      </c>
      <c r="G727" s="26" t="str">
        <f t="shared" si="56"/>
        <v>2024-07-22</v>
      </c>
      <c r="H727">
        <f t="shared" si="57"/>
        <v>0</v>
      </c>
      <c r="K727" t="str">
        <f t="shared" si="58"/>
        <v>Ткаченко Андрей ОлеговичПопов Илья Сергеевич</v>
      </c>
      <c r="L727" t="s">
        <v>27</v>
      </c>
      <c r="M727" t="s">
        <v>232</v>
      </c>
      <c r="N727" t="s">
        <v>230</v>
      </c>
      <c r="S727" t="str">
        <f t="shared" si="59"/>
        <v>Новикова Ольга ПетровнаЕгоров Александр Александрович</v>
      </c>
      <c r="T727" t="s">
        <v>45</v>
      </c>
      <c r="U727" t="s">
        <v>279</v>
      </c>
      <c r="V727" t="s">
        <v>394</v>
      </c>
    </row>
    <row r="728" spans="4:22" x14ac:dyDescent="0.25">
      <c r="D728" t="s">
        <v>16</v>
      </c>
      <c r="E728" t="s">
        <v>80</v>
      </c>
      <c r="F728" s="26" t="str">
        <f t="shared" si="55"/>
        <v>2024-07-22</v>
      </c>
      <c r="G728" s="26" t="str">
        <f t="shared" si="56"/>
        <v>2024-07-22</v>
      </c>
      <c r="H728">
        <f t="shared" si="57"/>
        <v>0</v>
      </c>
      <c r="K728" t="str">
        <f t="shared" si="58"/>
        <v>Ткаченко Андрей ОлеговичЕгоров Павел Сергеевич</v>
      </c>
      <c r="L728" t="s">
        <v>27</v>
      </c>
      <c r="M728" t="s">
        <v>134</v>
      </c>
      <c r="N728" t="s">
        <v>230</v>
      </c>
      <c r="S728" t="str">
        <f t="shared" si="59"/>
        <v>Петров Владимир КирилловичФедоров Артур Станиславович</v>
      </c>
      <c r="T728" t="s">
        <v>18</v>
      </c>
      <c r="U728" t="s">
        <v>309</v>
      </c>
      <c r="V728" t="s">
        <v>394</v>
      </c>
    </row>
    <row r="729" spans="4:22" x14ac:dyDescent="0.25">
      <c r="D729" t="s">
        <v>5</v>
      </c>
      <c r="E729" t="s">
        <v>224</v>
      </c>
      <c r="F729" s="26" t="str">
        <f t="shared" si="55"/>
        <v>2024-07-22</v>
      </c>
      <c r="G729" s="26" t="str">
        <f t="shared" si="56"/>
        <v>2024-07-22</v>
      </c>
      <c r="H729">
        <f t="shared" si="57"/>
        <v>0</v>
      </c>
      <c r="K729" t="str">
        <f t="shared" si="58"/>
        <v>Новикова Ольга ПетровнаОрлов Константин Никитич</v>
      </c>
      <c r="L729" t="s">
        <v>45</v>
      </c>
      <c r="M729" t="s">
        <v>233</v>
      </c>
      <c r="N729" t="s">
        <v>230</v>
      </c>
      <c r="S729" t="str">
        <f t="shared" si="59"/>
        <v>Иванова Анна СергеевнаМорозова Александра Станиславовна</v>
      </c>
      <c r="T729" t="s">
        <v>13</v>
      </c>
      <c r="U729" t="s">
        <v>55</v>
      </c>
      <c r="V729" t="s">
        <v>394</v>
      </c>
    </row>
    <row r="730" spans="4:22" x14ac:dyDescent="0.25">
      <c r="D730" t="s">
        <v>16</v>
      </c>
      <c r="E730" t="s">
        <v>194</v>
      </c>
      <c r="F730" s="26" t="str">
        <f t="shared" si="55"/>
        <v>2024-07-22</v>
      </c>
      <c r="G730" s="26" t="str">
        <f t="shared" si="56"/>
        <v>2024-07-22</v>
      </c>
      <c r="H730">
        <f t="shared" si="57"/>
        <v>0</v>
      </c>
      <c r="K730" t="str">
        <f t="shared" si="58"/>
        <v>Сидорова Елена ВасильевнаОрлов Павел Юрьевич</v>
      </c>
      <c r="L730" t="s">
        <v>8</v>
      </c>
      <c r="M730" t="s">
        <v>227</v>
      </c>
      <c r="N730" t="s">
        <v>228</v>
      </c>
      <c r="S730" t="str">
        <f t="shared" si="59"/>
        <v>Сидорова Елена ВасильевнаСеменова Светлана Дмитриевна</v>
      </c>
      <c r="T730" t="s">
        <v>8</v>
      </c>
      <c r="U730" t="s">
        <v>41</v>
      </c>
      <c r="V730" t="s">
        <v>394</v>
      </c>
    </row>
    <row r="731" spans="4:22" x14ac:dyDescent="0.25">
      <c r="D731" t="s">
        <v>18</v>
      </c>
      <c r="E731" t="s">
        <v>256</v>
      </c>
      <c r="F731" s="26" t="str">
        <f t="shared" si="55"/>
        <v>2024-07-23</v>
      </c>
      <c r="G731" s="26" t="str">
        <f t="shared" si="56"/>
        <v>2024-07-23</v>
      </c>
      <c r="H731">
        <f t="shared" si="57"/>
        <v>0</v>
      </c>
      <c r="K731" t="str">
        <f t="shared" si="58"/>
        <v>Яковлев Артем ИгоревичСтепанов Сергей Егорович</v>
      </c>
      <c r="L731" t="s">
        <v>30</v>
      </c>
      <c r="M731" t="s">
        <v>184</v>
      </c>
      <c r="N731" t="s">
        <v>228</v>
      </c>
      <c r="S731" t="str">
        <f t="shared" si="59"/>
        <v>Ткаченко Андрей ОлеговичВасильев Константин Дмитриевич</v>
      </c>
      <c r="T731" t="s">
        <v>27</v>
      </c>
      <c r="U731" t="s">
        <v>126</v>
      </c>
      <c r="V731" t="s">
        <v>394</v>
      </c>
    </row>
    <row r="732" spans="4:22" x14ac:dyDescent="0.25">
      <c r="D732" t="s">
        <v>18</v>
      </c>
      <c r="E732" t="s">
        <v>88</v>
      </c>
      <c r="F732" s="26" t="str">
        <f t="shared" si="55"/>
        <v>2024-07-24</v>
      </c>
      <c r="G732" s="26" t="str">
        <f t="shared" si="56"/>
        <v>2024-07-24</v>
      </c>
      <c r="H732">
        <f t="shared" si="57"/>
        <v>0</v>
      </c>
      <c r="K732" t="str">
        <f t="shared" si="58"/>
        <v>Яковлев Артем ИгоревичВасильев Артур Артемович</v>
      </c>
      <c r="L732" t="s">
        <v>30</v>
      </c>
      <c r="M732" t="s">
        <v>31</v>
      </c>
      <c r="N732" t="s">
        <v>228</v>
      </c>
      <c r="S732" t="str">
        <f t="shared" si="59"/>
        <v>Новикова Ольга ПетровнаЛебедева Екатерина Олеговна</v>
      </c>
      <c r="T732" t="s">
        <v>45</v>
      </c>
      <c r="U732" t="s">
        <v>209</v>
      </c>
      <c r="V732" t="s">
        <v>394</v>
      </c>
    </row>
    <row r="733" spans="4:22" x14ac:dyDescent="0.25">
      <c r="D733" t="s">
        <v>45</v>
      </c>
      <c r="E733" t="s">
        <v>249</v>
      </c>
      <c r="F733" s="26" t="str">
        <f t="shared" si="55"/>
        <v>2024-07-25</v>
      </c>
      <c r="G733" s="26" t="str">
        <f t="shared" si="56"/>
        <v>2024-07-25</v>
      </c>
      <c r="H733">
        <f t="shared" si="57"/>
        <v>0</v>
      </c>
      <c r="K733" t="str">
        <f t="shared" si="58"/>
        <v>Иванова Анна СергеевнаСмирнов Роман Юрьевич</v>
      </c>
      <c r="L733" t="s">
        <v>13</v>
      </c>
      <c r="M733" t="s">
        <v>229</v>
      </c>
      <c r="N733" t="s">
        <v>228</v>
      </c>
      <c r="S733" t="str">
        <f t="shared" si="59"/>
        <v>Белов Алексей КонстантиновичВасильев Илья Александрович</v>
      </c>
      <c r="T733" t="s">
        <v>25</v>
      </c>
      <c r="U733" t="s">
        <v>137</v>
      </c>
      <c r="V733" t="s">
        <v>394</v>
      </c>
    </row>
    <row r="734" spans="4:22" x14ac:dyDescent="0.25">
      <c r="D734" t="s">
        <v>13</v>
      </c>
      <c r="E734" t="s">
        <v>194</v>
      </c>
      <c r="F734" s="26" t="str">
        <f t="shared" si="55"/>
        <v>2024-07-25</v>
      </c>
      <c r="G734" s="26" t="str">
        <f t="shared" si="56"/>
        <v>2024-07-25</v>
      </c>
      <c r="H734">
        <f t="shared" si="57"/>
        <v>0</v>
      </c>
      <c r="K734" t="str">
        <f t="shared" si="58"/>
        <v>Семенова Ирина ВалерьевнаПавлов Матвей Владимирович</v>
      </c>
      <c r="L734" t="s">
        <v>10</v>
      </c>
      <c r="M734" t="s">
        <v>152</v>
      </c>
      <c r="N734" t="s">
        <v>228</v>
      </c>
      <c r="S734" t="str">
        <f t="shared" si="59"/>
        <v>Петров Владимир КирилловичНовиков Матвей Егорович</v>
      </c>
      <c r="T734" t="s">
        <v>18</v>
      </c>
      <c r="U734" t="s">
        <v>33</v>
      </c>
      <c r="V734" t="s">
        <v>394</v>
      </c>
    </row>
    <row r="735" spans="4:22" x14ac:dyDescent="0.25">
      <c r="D735" t="s">
        <v>8</v>
      </c>
      <c r="E735" t="s">
        <v>94</v>
      </c>
      <c r="F735" s="26" t="str">
        <f t="shared" si="55"/>
        <v>2024-07-25</v>
      </c>
      <c r="G735" s="26" t="str">
        <f t="shared" si="56"/>
        <v>2024-07-25</v>
      </c>
      <c r="H735">
        <f t="shared" si="57"/>
        <v>0</v>
      </c>
      <c r="K735" t="str">
        <f t="shared" si="58"/>
        <v>Яковлев Артем ИгоревичНовиков Матвей Егорович</v>
      </c>
      <c r="L735" t="s">
        <v>30</v>
      </c>
      <c r="M735" t="s">
        <v>33</v>
      </c>
      <c r="N735" t="s">
        <v>228</v>
      </c>
      <c r="S735" t="str">
        <f t="shared" si="59"/>
        <v>Яковлев Артем ИгоревичНиколаев Георгий Сергеевич</v>
      </c>
      <c r="T735" t="s">
        <v>30</v>
      </c>
      <c r="U735" t="s">
        <v>194</v>
      </c>
      <c r="V735" t="s">
        <v>394</v>
      </c>
    </row>
    <row r="736" spans="4:22" x14ac:dyDescent="0.25">
      <c r="D736" t="s">
        <v>16</v>
      </c>
      <c r="E736" t="s">
        <v>299</v>
      </c>
      <c r="F736" s="26" t="str">
        <f t="shared" si="55"/>
        <v>2024-07-26</v>
      </c>
      <c r="G736" s="26" t="str">
        <f t="shared" si="56"/>
        <v>2024-07-26</v>
      </c>
      <c r="H736">
        <f t="shared" si="57"/>
        <v>0</v>
      </c>
      <c r="K736" t="str">
        <f t="shared" si="58"/>
        <v>Громова Мария ИльиничнаИванова Наталья Дмитриевна</v>
      </c>
      <c r="L736" t="s">
        <v>5</v>
      </c>
      <c r="M736" t="s">
        <v>14</v>
      </c>
      <c r="N736" t="s">
        <v>225</v>
      </c>
      <c r="S736" t="str">
        <f t="shared" si="59"/>
        <v>Петров Владимир КирилловичФедорова Алиса Викторовна</v>
      </c>
      <c r="T736" t="s">
        <v>18</v>
      </c>
      <c r="U736" t="s">
        <v>395</v>
      </c>
      <c r="V736" t="s">
        <v>396</v>
      </c>
    </row>
    <row r="737" spans="4:22" x14ac:dyDescent="0.25">
      <c r="D737" t="s">
        <v>25</v>
      </c>
      <c r="E737" t="s">
        <v>111</v>
      </c>
      <c r="F737" s="26" t="str">
        <f t="shared" si="55"/>
        <v>2024-07-26</v>
      </c>
      <c r="G737" s="26" t="str">
        <f t="shared" si="56"/>
        <v>2024-07-26</v>
      </c>
      <c r="H737">
        <f t="shared" si="57"/>
        <v>0</v>
      </c>
      <c r="K737" t="str">
        <f t="shared" si="58"/>
        <v>Сидорова Елена ВасильевнаПетрова Татьяна Павловна</v>
      </c>
      <c r="L737" t="s">
        <v>8</v>
      </c>
      <c r="M737" t="s">
        <v>48</v>
      </c>
      <c r="N737" t="s">
        <v>225</v>
      </c>
      <c r="S737" t="str">
        <f t="shared" si="59"/>
        <v>Орлов Павел ДенисовичОрлова Юлия Сергеевна</v>
      </c>
      <c r="T737" t="s">
        <v>47</v>
      </c>
      <c r="U737" t="s">
        <v>157</v>
      </c>
      <c r="V737" t="s">
        <v>396</v>
      </c>
    </row>
    <row r="738" spans="4:22" x14ac:dyDescent="0.25">
      <c r="D738" t="s">
        <v>13</v>
      </c>
      <c r="E738" t="s">
        <v>73</v>
      </c>
      <c r="F738" s="26" t="str">
        <f t="shared" si="55"/>
        <v>2024-07-29</v>
      </c>
      <c r="G738" s="26" t="str">
        <f t="shared" si="56"/>
        <v>2024-07-29</v>
      </c>
      <c r="H738">
        <f t="shared" si="57"/>
        <v>0</v>
      </c>
      <c r="K738" t="str">
        <f t="shared" si="58"/>
        <v>Яковлев Артем ИгоревичНовиков Матвей Егорович</v>
      </c>
      <c r="L738" t="s">
        <v>30</v>
      </c>
      <c r="M738" t="s">
        <v>33</v>
      </c>
      <c r="N738" t="s">
        <v>225</v>
      </c>
      <c r="S738" t="str">
        <f t="shared" si="59"/>
        <v>Петров Владимир КирилловичОрлова Юлия Сергеевна</v>
      </c>
      <c r="T738" t="s">
        <v>18</v>
      </c>
      <c r="U738" t="s">
        <v>157</v>
      </c>
      <c r="V738" t="s">
        <v>396</v>
      </c>
    </row>
    <row r="739" spans="4:22" x14ac:dyDescent="0.25">
      <c r="D739" t="s">
        <v>18</v>
      </c>
      <c r="E739" t="s">
        <v>134</v>
      </c>
      <c r="F739" s="26" t="str">
        <f t="shared" si="55"/>
        <v>2024-07-29</v>
      </c>
      <c r="G739" s="26" t="str">
        <f t="shared" si="56"/>
        <v>2024-07-29</v>
      </c>
      <c r="H739">
        <f t="shared" si="57"/>
        <v>0</v>
      </c>
      <c r="K739" t="str">
        <f t="shared" si="58"/>
        <v>Яковлев Артем ИгоревичНовиков Павел Олегович</v>
      </c>
      <c r="L739" t="s">
        <v>30</v>
      </c>
      <c r="M739" t="s">
        <v>226</v>
      </c>
      <c r="N739" t="s">
        <v>225</v>
      </c>
      <c r="S739" t="str">
        <f t="shared" si="59"/>
        <v>Сидорова Елена ВасильевнаКузнецов Максим Алексеевич</v>
      </c>
      <c r="T739" t="s">
        <v>8</v>
      </c>
      <c r="U739" t="s">
        <v>53</v>
      </c>
      <c r="V739" t="s">
        <v>396</v>
      </c>
    </row>
    <row r="740" spans="4:22" x14ac:dyDescent="0.25">
      <c r="D740" t="s">
        <v>27</v>
      </c>
      <c r="E740" t="s">
        <v>69</v>
      </c>
      <c r="F740" s="26" t="str">
        <f t="shared" si="55"/>
        <v>2024-07-29</v>
      </c>
      <c r="G740" s="26" t="str">
        <f t="shared" si="56"/>
        <v>2024-07-29</v>
      </c>
      <c r="H740">
        <f t="shared" si="57"/>
        <v>0</v>
      </c>
      <c r="K740" t="str">
        <f t="shared" si="58"/>
        <v>Орлов Павел ДенисовичСтепанова Анна Ивановна</v>
      </c>
      <c r="L740" t="s">
        <v>47</v>
      </c>
      <c r="M740" t="s">
        <v>221</v>
      </c>
      <c r="N740" t="s">
        <v>222</v>
      </c>
      <c r="S740" t="str">
        <f t="shared" si="59"/>
        <v>Орлов Павел ДенисовичОрлов Дмитрий Ильич</v>
      </c>
      <c r="T740" t="s">
        <v>47</v>
      </c>
      <c r="U740" t="s">
        <v>107</v>
      </c>
      <c r="V740" t="s">
        <v>397</v>
      </c>
    </row>
    <row r="741" spans="4:22" x14ac:dyDescent="0.25">
      <c r="D741" t="s">
        <v>47</v>
      </c>
      <c r="E741" t="s">
        <v>186</v>
      </c>
      <c r="F741" s="26" t="str">
        <f t="shared" si="55"/>
        <v>2024-07-29</v>
      </c>
      <c r="G741" s="26" t="str">
        <f t="shared" si="56"/>
        <v>2024-07-29</v>
      </c>
      <c r="H741">
        <f t="shared" si="57"/>
        <v>0</v>
      </c>
      <c r="K741" t="str">
        <f t="shared" si="58"/>
        <v>Фролов Сергей ВикторовичКузнецова Валерия Дмитриевна</v>
      </c>
      <c r="L741" t="s">
        <v>16</v>
      </c>
      <c r="M741" t="s">
        <v>223</v>
      </c>
      <c r="N741" t="s">
        <v>222</v>
      </c>
      <c r="S741" t="str">
        <f t="shared" si="59"/>
        <v>Громова Мария ИльиничнаКозлов Павел Андреевич</v>
      </c>
      <c r="T741" t="s">
        <v>5</v>
      </c>
      <c r="U741" t="s">
        <v>363</v>
      </c>
      <c r="V741" t="s">
        <v>397</v>
      </c>
    </row>
    <row r="742" spans="4:22" x14ac:dyDescent="0.25">
      <c r="D742" t="s">
        <v>30</v>
      </c>
      <c r="E742" t="s">
        <v>239</v>
      </c>
      <c r="F742" s="26" t="str">
        <f t="shared" si="55"/>
        <v>2024-07-29</v>
      </c>
      <c r="G742" s="26" t="str">
        <f t="shared" si="56"/>
        <v>2024-07-29</v>
      </c>
      <c r="H742">
        <f t="shared" si="57"/>
        <v>0</v>
      </c>
      <c r="K742" t="str">
        <f t="shared" si="58"/>
        <v>Иванова Анна СергеевнаЕгоров Дмитрий Дмитриевич</v>
      </c>
      <c r="L742" t="s">
        <v>13</v>
      </c>
      <c r="M742" t="s">
        <v>224</v>
      </c>
      <c r="N742" t="s">
        <v>222</v>
      </c>
      <c r="S742" t="str">
        <f t="shared" si="59"/>
        <v>Новикова Ольга ПетровнаОрлов Андрей Никитич</v>
      </c>
      <c r="T742" t="s">
        <v>45</v>
      </c>
      <c r="U742" t="s">
        <v>142</v>
      </c>
      <c r="V742" t="s">
        <v>397</v>
      </c>
    </row>
    <row r="743" spans="4:22" x14ac:dyDescent="0.25">
      <c r="D743" t="s">
        <v>30</v>
      </c>
      <c r="E743" t="s">
        <v>113</v>
      </c>
      <c r="F743" s="26" t="str">
        <f t="shared" si="55"/>
        <v>2024-07-29</v>
      </c>
      <c r="G743" s="26" t="str">
        <f t="shared" si="56"/>
        <v>2024-07-29</v>
      </c>
      <c r="H743">
        <f t="shared" si="57"/>
        <v>0</v>
      </c>
      <c r="K743" t="str">
        <f t="shared" si="58"/>
        <v>Яковлев Артем ИгоревичЛебедева Александра Дмитриевна</v>
      </c>
      <c r="L743" t="s">
        <v>30</v>
      </c>
      <c r="M743" t="s">
        <v>20</v>
      </c>
      <c r="N743" t="s">
        <v>222</v>
      </c>
      <c r="S743" t="str">
        <f t="shared" si="59"/>
        <v>Яковлев Артем ИгоревичСмирнов Александр Дмитриевич</v>
      </c>
      <c r="T743" t="s">
        <v>30</v>
      </c>
      <c r="U743" t="s">
        <v>85</v>
      </c>
      <c r="V743" t="s">
        <v>397</v>
      </c>
    </row>
    <row r="744" spans="4:22" x14ac:dyDescent="0.25">
      <c r="D744" t="s">
        <v>27</v>
      </c>
      <c r="E744" t="s">
        <v>169</v>
      </c>
      <c r="F744" s="26" t="str">
        <f t="shared" si="55"/>
        <v>2024-07-29</v>
      </c>
      <c r="G744" s="26" t="str">
        <f t="shared" si="56"/>
        <v>2024-07-29</v>
      </c>
      <c r="H744">
        <f t="shared" si="57"/>
        <v>0</v>
      </c>
      <c r="K744" t="str">
        <f t="shared" si="58"/>
        <v>Петров Владимир КирилловичВолков Иван Юрьевич</v>
      </c>
      <c r="L744" t="s">
        <v>18</v>
      </c>
      <c r="M744" t="s">
        <v>219</v>
      </c>
      <c r="N744" t="s">
        <v>220</v>
      </c>
      <c r="S744" t="str">
        <f t="shared" si="59"/>
        <v>Кузнецов Дмитрий ЛьвовичВолкова Татьяна Станиславовна</v>
      </c>
      <c r="T744" t="s">
        <v>38</v>
      </c>
      <c r="U744" t="s">
        <v>89</v>
      </c>
      <c r="V744" t="s">
        <v>398</v>
      </c>
    </row>
    <row r="745" spans="4:22" x14ac:dyDescent="0.25">
      <c r="D745" t="s">
        <v>25</v>
      </c>
      <c r="E745" t="s">
        <v>136</v>
      </c>
      <c r="F745" s="26" t="str">
        <f t="shared" si="55"/>
        <v>2024-07-29</v>
      </c>
      <c r="G745" s="26" t="str">
        <f t="shared" si="56"/>
        <v>2024-08-22</v>
      </c>
      <c r="H745">
        <f t="shared" si="57"/>
        <v>24</v>
      </c>
      <c r="K745" t="str">
        <f t="shared" si="58"/>
        <v>Ткаченко Андрей ОлеговичСтепанова Анна Станиславовна</v>
      </c>
      <c r="L745" t="s">
        <v>27</v>
      </c>
      <c r="M745" t="s">
        <v>110</v>
      </c>
      <c r="N745" t="s">
        <v>220</v>
      </c>
      <c r="S745" t="str">
        <f t="shared" si="59"/>
        <v>Орлов Павел ДенисовичВолкова София Владимировна</v>
      </c>
      <c r="T745" t="s">
        <v>47</v>
      </c>
      <c r="U745" t="s">
        <v>289</v>
      </c>
      <c r="V745" t="s">
        <v>398</v>
      </c>
    </row>
    <row r="746" spans="4:22" x14ac:dyDescent="0.25">
      <c r="D746" t="s">
        <v>45</v>
      </c>
      <c r="E746" t="s">
        <v>363</v>
      </c>
      <c r="F746" s="26" t="str">
        <f t="shared" si="55"/>
        <v>2024-07-30</v>
      </c>
      <c r="G746" s="26" t="str">
        <f t="shared" si="56"/>
        <v>2024-07-30</v>
      </c>
      <c r="H746">
        <f t="shared" si="57"/>
        <v>0</v>
      </c>
      <c r="K746" t="str">
        <f t="shared" si="58"/>
        <v>Кузнецов Дмитрий ЛьвовичПопова Людмила Егоровна</v>
      </c>
      <c r="L746" t="s">
        <v>38</v>
      </c>
      <c r="M746" t="s">
        <v>217</v>
      </c>
      <c r="N746" t="s">
        <v>218</v>
      </c>
      <c r="S746" t="str">
        <f t="shared" si="59"/>
        <v>Орлов Павел ДенисовичВолкова София Владимировна</v>
      </c>
      <c r="T746" t="s">
        <v>47</v>
      </c>
      <c r="U746" t="s">
        <v>289</v>
      </c>
      <c r="V746" t="s">
        <v>399</v>
      </c>
    </row>
    <row r="747" spans="4:22" x14ac:dyDescent="0.25">
      <c r="D747" t="s">
        <v>47</v>
      </c>
      <c r="E747" t="s">
        <v>59</v>
      </c>
      <c r="F747" s="26" t="str">
        <f t="shared" si="55"/>
        <v>2024-07-30</v>
      </c>
      <c r="G747" s="26" t="str">
        <f t="shared" si="56"/>
        <v>2024-07-30</v>
      </c>
      <c r="H747">
        <f t="shared" si="57"/>
        <v>0</v>
      </c>
      <c r="K747" t="str">
        <f t="shared" si="58"/>
        <v>Сидорова Елена ВасильевнаНовикова Юлия Егоровна</v>
      </c>
      <c r="L747" t="s">
        <v>8</v>
      </c>
      <c r="M747" t="s">
        <v>200</v>
      </c>
      <c r="N747" t="s">
        <v>218</v>
      </c>
      <c r="S747" t="str">
        <f t="shared" si="59"/>
        <v>Сидорова Елена ВасильевнаСтепанова София Михайловна</v>
      </c>
      <c r="T747" t="s">
        <v>8</v>
      </c>
      <c r="U747" t="s">
        <v>77</v>
      </c>
      <c r="V747" t="s">
        <v>399</v>
      </c>
    </row>
    <row r="748" spans="4:22" x14ac:dyDescent="0.25">
      <c r="D748" t="s">
        <v>18</v>
      </c>
      <c r="E748" t="s">
        <v>363</v>
      </c>
      <c r="F748" s="26" t="str">
        <f t="shared" si="55"/>
        <v>2024-07-30</v>
      </c>
      <c r="G748" s="26" t="str">
        <f t="shared" si="56"/>
        <v>2024-07-30</v>
      </c>
      <c r="H748">
        <f t="shared" si="57"/>
        <v>0</v>
      </c>
      <c r="K748" t="str">
        <f t="shared" si="58"/>
        <v>Фролов Сергей ВикторовичЛебедев Егор Никитич</v>
      </c>
      <c r="L748" t="s">
        <v>16</v>
      </c>
      <c r="M748" t="s">
        <v>136</v>
      </c>
      <c r="N748" t="s">
        <v>218</v>
      </c>
      <c r="S748" t="str">
        <f t="shared" si="59"/>
        <v>Кузнецов Дмитрий ЛьвовичЛебедева Александра Дмитриевна</v>
      </c>
      <c r="T748" t="s">
        <v>38</v>
      </c>
      <c r="U748" t="s">
        <v>20</v>
      </c>
      <c r="V748" t="s">
        <v>399</v>
      </c>
    </row>
    <row r="749" spans="4:22" x14ac:dyDescent="0.25">
      <c r="D749" t="s">
        <v>10</v>
      </c>
      <c r="E749" t="s">
        <v>133</v>
      </c>
      <c r="F749" s="26" t="str">
        <f t="shared" si="55"/>
        <v>2024-07-30</v>
      </c>
      <c r="G749" s="26" t="str">
        <f t="shared" si="56"/>
        <v>2024-07-30</v>
      </c>
      <c r="H749">
        <f t="shared" si="57"/>
        <v>0</v>
      </c>
      <c r="K749" t="str">
        <f t="shared" si="58"/>
        <v>Петров Владимир КирилловичПетров Роман Алексеевич</v>
      </c>
      <c r="L749" t="s">
        <v>18</v>
      </c>
      <c r="M749" t="s">
        <v>75</v>
      </c>
      <c r="N749" t="s">
        <v>218</v>
      </c>
      <c r="S749" t="str">
        <f t="shared" si="59"/>
        <v>Семенова Ирина ВалерьевнаСмирнова Светлана Кирилловна</v>
      </c>
      <c r="T749" t="s">
        <v>10</v>
      </c>
      <c r="U749" t="s">
        <v>393</v>
      </c>
      <c r="V749" t="s">
        <v>399</v>
      </c>
    </row>
    <row r="750" spans="4:22" x14ac:dyDescent="0.25">
      <c r="D750" t="s">
        <v>45</v>
      </c>
      <c r="E750" t="s">
        <v>121</v>
      </c>
      <c r="F750" s="26" t="str">
        <f t="shared" si="55"/>
        <v>2024-07-31</v>
      </c>
      <c r="G750" s="26" t="str">
        <f t="shared" si="56"/>
        <v>2024-07-31</v>
      </c>
      <c r="H750">
        <f t="shared" si="57"/>
        <v>0</v>
      </c>
      <c r="K750" t="str">
        <f t="shared" si="58"/>
        <v>Белов Алексей КонстантиновичСтепанов Александр Дмитриевич</v>
      </c>
      <c r="L750" t="s">
        <v>25</v>
      </c>
      <c r="M750" t="s">
        <v>149</v>
      </c>
      <c r="N750" t="s">
        <v>218</v>
      </c>
      <c r="S750" t="str">
        <f t="shared" si="59"/>
        <v>Орлов Павел ДенисовичНиколаев Иван Михайлович</v>
      </c>
      <c r="T750" t="s">
        <v>47</v>
      </c>
      <c r="U750" t="s">
        <v>94</v>
      </c>
      <c r="V750" t="s">
        <v>400</v>
      </c>
    </row>
    <row r="751" spans="4:22" x14ac:dyDescent="0.25">
      <c r="D751" t="s">
        <v>18</v>
      </c>
      <c r="E751" t="s">
        <v>198</v>
      </c>
      <c r="F751" s="26" t="str">
        <f t="shared" si="55"/>
        <v>2024-07-31</v>
      </c>
      <c r="G751" s="26" t="str">
        <f t="shared" si="56"/>
        <v>2024-07-31</v>
      </c>
      <c r="H751">
        <f t="shared" si="57"/>
        <v>0</v>
      </c>
      <c r="K751" t="str">
        <f t="shared" si="58"/>
        <v>Сидорова Елена ВасильевнаФедоров Егор Никитич</v>
      </c>
      <c r="L751" t="s">
        <v>8</v>
      </c>
      <c r="M751" t="s">
        <v>170</v>
      </c>
      <c r="N751" t="s">
        <v>218</v>
      </c>
      <c r="S751" t="str">
        <f t="shared" si="59"/>
        <v>Иванова Анна СергеевнаСмирнов Иван Ильич</v>
      </c>
      <c r="T751" t="s">
        <v>13</v>
      </c>
      <c r="U751" t="s">
        <v>114</v>
      </c>
      <c r="V751" t="s">
        <v>400</v>
      </c>
    </row>
    <row r="752" spans="4:22" x14ac:dyDescent="0.25">
      <c r="D752" t="s">
        <v>38</v>
      </c>
      <c r="E752" t="s">
        <v>186</v>
      </c>
      <c r="F752" s="26" t="str">
        <f t="shared" si="55"/>
        <v>2024-08-01</v>
      </c>
      <c r="G752" s="26" t="str">
        <f t="shared" si="56"/>
        <v>2024-08-01</v>
      </c>
      <c r="H752">
        <f t="shared" si="57"/>
        <v>0</v>
      </c>
      <c r="K752" t="str">
        <f t="shared" si="58"/>
        <v>Фролов Сергей ВикторовичМорозов Егор Андреевич</v>
      </c>
      <c r="L752" t="s">
        <v>16</v>
      </c>
      <c r="M752" t="s">
        <v>9</v>
      </c>
      <c r="N752" t="s">
        <v>218</v>
      </c>
      <c r="S752" t="str">
        <f t="shared" si="59"/>
        <v>Петров Владимир КирилловичНиколаев Георгий Сергеевич</v>
      </c>
      <c r="T752" t="s">
        <v>18</v>
      </c>
      <c r="U752" t="s">
        <v>194</v>
      </c>
      <c r="V752" t="s">
        <v>400</v>
      </c>
    </row>
    <row r="753" spans="4:22" x14ac:dyDescent="0.25">
      <c r="D753" t="s">
        <v>38</v>
      </c>
      <c r="E753" t="s">
        <v>132</v>
      </c>
      <c r="F753" s="26" t="str">
        <f t="shared" si="55"/>
        <v>2024-08-01</v>
      </c>
      <c r="G753" s="26" t="str">
        <f t="shared" si="56"/>
        <v>2024-08-01</v>
      </c>
      <c r="H753">
        <f t="shared" si="57"/>
        <v>0</v>
      </c>
      <c r="K753" t="str">
        <f t="shared" si="58"/>
        <v>Ткаченко Андрей ОлеговичВолкова Виктория Павловна</v>
      </c>
      <c r="L753" t="s">
        <v>27</v>
      </c>
      <c r="M753" t="s">
        <v>129</v>
      </c>
      <c r="N753" t="s">
        <v>216</v>
      </c>
      <c r="S753" t="str">
        <f t="shared" si="59"/>
        <v>Орлов Павел ДенисовичВолкова Наталья Андреевна</v>
      </c>
      <c r="T753" t="s">
        <v>47</v>
      </c>
      <c r="U753" t="s">
        <v>24</v>
      </c>
      <c r="V753" t="s">
        <v>400</v>
      </c>
    </row>
    <row r="754" spans="4:22" x14ac:dyDescent="0.25">
      <c r="D754" t="s">
        <v>25</v>
      </c>
      <c r="E754" t="s">
        <v>58</v>
      </c>
      <c r="F754" s="26" t="str">
        <f t="shared" si="55"/>
        <v>2024-08-01</v>
      </c>
      <c r="G754" s="26" t="str">
        <f t="shared" si="56"/>
        <v>2024-08-01</v>
      </c>
      <c r="H754">
        <f t="shared" si="57"/>
        <v>0</v>
      </c>
      <c r="K754" t="str">
        <f t="shared" si="58"/>
        <v>Сидорова Елена ВасильевнаКозлова Полина Артемовна</v>
      </c>
      <c r="L754" t="s">
        <v>8</v>
      </c>
      <c r="M754" t="s">
        <v>17</v>
      </c>
      <c r="N754" t="s">
        <v>213</v>
      </c>
      <c r="S754" t="str">
        <f t="shared" si="59"/>
        <v>Орлов Павел ДенисовичОрлов Кирилл Романович</v>
      </c>
      <c r="T754" t="s">
        <v>47</v>
      </c>
      <c r="U754" t="s">
        <v>270</v>
      </c>
      <c r="V754" t="s">
        <v>400</v>
      </c>
    </row>
    <row r="755" spans="4:22" x14ac:dyDescent="0.25">
      <c r="D755" t="s">
        <v>27</v>
      </c>
      <c r="E755" t="s">
        <v>170</v>
      </c>
      <c r="F755" s="26" t="str">
        <f t="shared" si="55"/>
        <v>2024-08-01</v>
      </c>
      <c r="G755" s="26" t="str">
        <f t="shared" si="56"/>
        <v>2024-08-01</v>
      </c>
      <c r="H755">
        <f t="shared" si="57"/>
        <v>0</v>
      </c>
      <c r="K755" t="str">
        <f t="shared" si="58"/>
        <v>Яковлев Артем ИгоревичСтепанов Александр Андреевич</v>
      </c>
      <c r="L755" t="s">
        <v>30</v>
      </c>
      <c r="M755" t="s">
        <v>214</v>
      </c>
      <c r="N755" t="s">
        <v>213</v>
      </c>
      <c r="S755" t="str">
        <f t="shared" si="59"/>
        <v>Фролов Сергей ВикторовичМорозов Егор Андреевич</v>
      </c>
      <c r="T755" t="s">
        <v>16</v>
      </c>
      <c r="U755" t="s">
        <v>9</v>
      </c>
      <c r="V755" t="s">
        <v>400</v>
      </c>
    </row>
    <row r="756" spans="4:22" x14ac:dyDescent="0.25">
      <c r="D756" t="s">
        <v>45</v>
      </c>
      <c r="E756" t="s">
        <v>68</v>
      </c>
      <c r="F756" s="26" t="str">
        <f t="shared" si="55"/>
        <v>2024-08-02</v>
      </c>
      <c r="G756" s="26" t="str">
        <f t="shared" si="56"/>
        <v>2024-08-02</v>
      </c>
      <c r="H756">
        <f t="shared" si="57"/>
        <v>0</v>
      </c>
      <c r="K756" t="str">
        <f t="shared" si="58"/>
        <v>Кузнецов Дмитрий ЛьвовичСеменов Егор Никитич</v>
      </c>
      <c r="L756" t="s">
        <v>38</v>
      </c>
      <c r="M756" t="s">
        <v>215</v>
      </c>
      <c r="N756" t="s">
        <v>213</v>
      </c>
      <c r="S756" t="str">
        <f t="shared" si="59"/>
        <v>Новикова Ольга ПетровнаКузнецова Алиса Владимировна</v>
      </c>
      <c r="T756" t="s">
        <v>45</v>
      </c>
      <c r="U756" t="s">
        <v>46</v>
      </c>
      <c r="V756" t="s">
        <v>400</v>
      </c>
    </row>
    <row r="757" spans="4:22" x14ac:dyDescent="0.25">
      <c r="D757" t="s">
        <v>47</v>
      </c>
      <c r="E757" t="s">
        <v>58</v>
      </c>
      <c r="F757" s="26" t="str">
        <f t="shared" si="55"/>
        <v>2024-08-05</v>
      </c>
      <c r="G757" s="26" t="str">
        <f t="shared" si="56"/>
        <v>2024-08-05</v>
      </c>
      <c r="H757">
        <f t="shared" si="57"/>
        <v>0</v>
      </c>
      <c r="K757" t="str">
        <f t="shared" si="58"/>
        <v>Новикова Ольга ПетровнаОрлов Дмитрий Ильич</v>
      </c>
      <c r="L757" t="s">
        <v>45</v>
      </c>
      <c r="M757" t="s">
        <v>107</v>
      </c>
      <c r="N757" t="s">
        <v>210</v>
      </c>
      <c r="S757" t="str">
        <f t="shared" si="59"/>
        <v>Семенова Ирина ВалерьевнаСидоров Михаил Сергеевич</v>
      </c>
      <c r="T757" t="s">
        <v>10</v>
      </c>
      <c r="U757" t="s">
        <v>187</v>
      </c>
      <c r="V757" t="s">
        <v>401</v>
      </c>
    </row>
    <row r="758" spans="4:22" x14ac:dyDescent="0.25">
      <c r="D758" t="s">
        <v>27</v>
      </c>
      <c r="E758" t="s">
        <v>78</v>
      </c>
      <c r="F758" s="26" t="str">
        <f t="shared" si="55"/>
        <v>2024-08-05</v>
      </c>
      <c r="G758" s="26" t="str">
        <f t="shared" si="56"/>
        <v>2024-08-05</v>
      </c>
      <c r="H758">
        <f t="shared" si="57"/>
        <v>0</v>
      </c>
      <c r="K758" t="str">
        <f t="shared" si="58"/>
        <v>Белов Алексей КонстантиновичФедорова София Егоровна</v>
      </c>
      <c r="L758" t="s">
        <v>25</v>
      </c>
      <c r="M758" t="s">
        <v>182</v>
      </c>
      <c r="N758" t="s">
        <v>210</v>
      </c>
      <c r="S758" t="str">
        <f t="shared" si="59"/>
        <v>Кузнецов Дмитрий ЛьвовичПетрова Елена Юрьевна</v>
      </c>
      <c r="T758" t="s">
        <v>38</v>
      </c>
      <c r="U758" t="s">
        <v>116</v>
      </c>
      <c r="V758" t="s">
        <v>401</v>
      </c>
    </row>
    <row r="759" spans="4:22" x14ac:dyDescent="0.25">
      <c r="D759" t="s">
        <v>16</v>
      </c>
      <c r="E759" t="s">
        <v>90</v>
      </c>
      <c r="F759" s="26" t="str">
        <f t="shared" si="55"/>
        <v>2024-08-05</v>
      </c>
      <c r="G759" s="26" t="str">
        <f t="shared" si="56"/>
        <v>2024-08-05</v>
      </c>
      <c r="H759">
        <f t="shared" si="57"/>
        <v>0</v>
      </c>
      <c r="K759" t="str">
        <f t="shared" si="58"/>
        <v>Фролов Сергей ВикторовичНовикова Анна Викторовна</v>
      </c>
      <c r="L759" t="s">
        <v>16</v>
      </c>
      <c r="M759" t="s">
        <v>211</v>
      </c>
      <c r="N759" t="s">
        <v>210</v>
      </c>
      <c r="S759" t="str">
        <f t="shared" si="59"/>
        <v>Фролов Сергей ВикторовичСтепанов Александр Дмитриевич</v>
      </c>
      <c r="T759" t="s">
        <v>16</v>
      </c>
      <c r="U759" t="s">
        <v>149</v>
      </c>
      <c r="V759" t="s">
        <v>401</v>
      </c>
    </row>
    <row r="760" spans="4:22" x14ac:dyDescent="0.25">
      <c r="D760" t="s">
        <v>13</v>
      </c>
      <c r="E760" t="s">
        <v>20</v>
      </c>
      <c r="F760" s="26" t="str">
        <f t="shared" si="55"/>
        <v>2024-08-05</v>
      </c>
      <c r="G760" s="26" t="str">
        <f t="shared" si="56"/>
        <v>2024-08-05</v>
      </c>
      <c r="H760">
        <f t="shared" si="57"/>
        <v>0</v>
      </c>
      <c r="K760" t="str">
        <f t="shared" si="58"/>
        <v>Ткаченко Андрей ОлеговичФедорова Наталья Геннадьевна</v>
      </c>
      <c r="L760" t="s">
        <v>27</v>
      </c>
      <c r="M760" t="s">
        <v>43</v>
      </c>
      <c r="N760" t="s">
        <v>210</v>
      </c>
      <c r="S760" t="str">
        <f t="shared" si="59"/>
        <v>Яковлев Артем ИгоревичЛебедев Сергей Станиславович</v>
      </c>
      <c r="T760" t="s">
        <v>30</v>
      </c>
      <c r="U760" t="s">
        <v>59</v>
      </c>
      <c r="V760" t="s">
        <v>401</v>
      </c>
    </row>
    <row r="761" spans="4:22" x14ac:dyDescent="0.25">
      <c r="D761" t="s">
        <v>10</v>
      </c>
      <c r="E761" t="s">
        <v>77</v>
      </c>
      <c r="F761" s="26" t="str">
        <f t="shared" si="55"/>
        <v>2024-08-05</v>
      </c>
      <c r="G761" s="26" t="str">
        <f t="shared" si="56"/>
        <v>2024-08-05</v>
      </c>
      <c r="H761">
        <f t="shared" si="57"/>
        <v>0</v>
      </c>
      <c r="K761" t="str">
        <f t="shared" si="58"/>
        <v>Белов Алексей КонстантиновичОрлова Ольга Алексеевна</v>
      </c>
      <c r="L761" t="s">
        <v>25</v>
      </c>
      <c r="M761" t="s">
        <v>82</v>
      </c>
      <c r="N761" t="s">
        <v>210</v>
      </c>
      <c r="S761" t="str">
        <f t="shared" si="59"/>
        <v>Кузнецов Дмитрий ЛьвовичПопов Михаил Павлович</v>
      </c>
      <c r="T761" t="s">
        <v>38</v>
      </c>
      <c r="U761" t="s">
        <v>146</v>
      </c>
      <c r="V761" t="s">
        <v>401</v>
      </c>
    </row>
    <row r="762" spans="4:22" x14ac:dyDescent="0.25">
      <c r="D762" t="s">
        <v>38</v>
      </c>
      <c r="E762" t="s">
        <v>148</v>
      </c>
      <c r="F762" s="26" t="str">
        <f t="shared" si="55"/>
        <v>2024-08-06</v>
      </c>
      <c r="G762" s="26" t="str">
        <f t="shared" si="56"/>
        <v>2024-08-06</v>
      </c>
      <c r="H762">
        <f t="shared" si="57"/>
        <v>0</v>
      </c>
      <c r="K762" t="str">
        <f t="shared" si="58"/>
        <v>Белов Алексей КонстантиновичСеменов Иван Павлович</v>
      </c>
      <c r="L762" t="s">
        <v>25</v>
      </c>
      <c r="M762" t="s">
        <v>105</v>
      </c>
      <c r="N762" t="s">
        <v>210</v>
      </c>
      <c r="S762" t="str">
        <f t="shared" si="59"/>
        <v>Сидорова Елена ВасильевнаЛебедева Ольга Романовна</v>
      </c>
      <c r="T762" t="s">
        <v>8</v>
      </c>
      <c r="U762" t="s">
        <v>186</v>
      </c>
      <c r="V762" t="s">
        <v>401</v>
      </c>
    </row>
    <row r="763" spans="4:22" x14ac:dyDescent="0.25">
      <c r="D763" t="s">
        <v>47</v>
      </c>
      <c r="E763" t="s">
        <v>215</v>
      </c>
      <c r="F763" s="26" t="str">
        <f t="shared" si="55"/>
        <v>2024-08-06</v>
      </c>
      <c r="G763" s="26" t="str">
        <f t="shared" si="56"/>
        <v>2024-08-20</v>
      </c>
      <c r="H763">
        <f t="shared" si="57"/>
        <v>14</v>
      </c>
      <c r="K763" t="str">
        <f t="shared" si="58"/>
        <v>Фролов Сергей ВикторовичВасильев Максим Иванович</v>
      </c>
      <c r="L763" t="s">
        <v>16</v>
      </c>
      <c r="M763" t="s">
        <v>212</v>
      </c>
      <c r="N763" t="s">
        <v>210</v>
      </c>
      <c r="S763" t="str">
        <f t="shared" si="59"/>
        <v>Яковлев Артем ИгоревичНовиков Матвей Егорович</v>
      </c>
      <c r="T763" t="s">
        <v>30</v>
      </c>
      <c r="U763" t="s">
        <v>33</v>
      </c>
      <c r="V763" t="s">
        <v>402</v>
      </c>
    </row>
    <row r="764" spans="4:22" x14ac:dyDescent="0.25">
      <c r="D764" t="s">
        <v>47</v>
      </c>
      <c r="E764" t="s">
        <v>77</v>
      </c>
      <c r="F764" s="26" t="str">
        <f t="shared" si="55"/>
        <v>2024-08-06</v>
      </c>
      <c r="G764" s="26" t="str">
        <f t="shared" si="56"/>
        <v>2024-08-06</v>
      </c>
      <c r="H764">
        <f t="shared" si="57"/>
        <v>0</v>
      </c>
      <c r="K764" t="str">
        <f t="shared" si="58"/>
        <v>Белов Алексей КонстантиновичМорозова Александра Станиславовна</v>
      </c>
      <c r="L764" t="s">
        <v>25</v>
      </c>
      <c r="M764" t="s">
        <v>55</v>
      </c>
      <c r="N764" t="s">
        <v>210</v>
      </c>
      <c r="S764" t="str">
        <f t="shared" si="59"/>
        <v>Кузнецов Дмитрий ЛьвовичКузнецов Алексей Егорович</v>
      </c>
      <c r="T764" t="s">
        <v>38</v>
      </c>
      <c r="U764" t="s">
        <v>247</v>
      </c>
      <c r="V764" t="s">
        <v>402</v>
      </c>
    </row>
    <row r="765" spans="4:22" x14ac:dyDescent="0.25">
      <c r="D765" t="s">
        <v>27</v>
      </c>
      <c r="E765" t="s">
        <v>136</v>
      </c>
      <c r="F765" s="26" t="str">
        <f t="shared" si="55"/>
        <v>2024-08-07</v>
      </c>
      <c r="G765" s="26" t="str">
        <f t="shared" si="56"/>
        <v>2024-08-07</v>
      </c>
      <c r="H765">
        <f t="shared" si="57"/>
        <v>0</v>
      </c>
      <c r="K765" t="str">
        <f t="shared" si="58"/>
        <v>Семенова Ирина ВалерьевнаСеменов Алексей Владимирович</v>
      </c>
      <c r="L765" t="s">
        <v>10</v>
      </c>
      <c r="M765" t="s">
        <v>35</v>
      </c>
      <c r="N765" t="s">
        <v>210</v>
      </c>
      <c r="S765" t="str">
        <f t="shared" si="59"/>
        <v>Семенова Ирина ВалерьевнаСидоров Егор Александрович</v>
      </c>
      <c r="T765" t="s">
        <v>10</v>
      </c>
      <c r="U765" t="s">
        <v>153</v>
      </c>
      <c r="V765" t="s">
        <v>402</v>
      </c>
    </row>
    <row r="766" spans="4:22" x14ac:dyDescent="0.25">
      <c r="D766" t="s">
        <v>45</v>
      </c>
      <c r="E766" t="s">
        <v>243</v>
      </c>
      <c r="F766" s="26" t="str">
        <f t="shared" si="55"/>
        <v>2024-08-07</v>
      </c>
      <c r="G766" s="26" t="str">
        <f t="shared" si="56"/>
        <v>2024-08-07</v>
      </c>
      <c r="H766">
        <f t="shared" si="57"/>
        <v>0</v>
      </c>
      <c r="K766" t="str">
        <f t="shared" si="58"/>
        <v>Орлов Павел ДенисовичКозлов Артем Викторович</v>
      </c>
      <c r="L766" t="s">
        <v>47</v>
      </c>
      <c r="M766" t="s">
        <v>124</v>
      </c>
      <c r="N766" t="s">
        <v>208</v>
      </c>
      <c r="S766" t="str">
        <f t="shared" si="59"/>
        <v>Петров Владимир КирилловичСеменов Егор Никитич</v>
      </c>
      <c r="T766" t="s">
        <v>18</v>
      </c>
      <c r="U766" t="s">
        <v>215</v>
      </c>
      <c r="V766" t="s">
        <v>402</v>
      </c>
    </row>
    <row r="767" spans="4:22" x14ac:dyDescent="0.25">
      <c r="D767" t="s">
        <v>27</v>
      </c>
      <c r="E767" t="s">
        <v>252</v>
      </c>
      <c r="F767" s="26" t="str">
        <f t="shared" si="55"/>
        <v>2024-08-07</v>
      </c>
      <c r="G767" s="26" t="str">
        <f t="shared" si="56"/>
        <v>2024-08-07</v>
      </c>
      <c r="H767">
        <f t="shared" si="57"/>
        <v>0</v>
      </c>
      <c r="K767" t="str">
        <f t="shared" si="58"/>
        <v>Сидорова Елена ВасильевнаЛебедева Екатерина Олеговна</v>
      </c>
      <c r="L767" t="s">
        <v>8</v>
      </c>
      <c r="M767" t="s">
        <v>209</v>
      </c>
      <c r="N767" t="s">
        <v>208</v>
      </c>
      <c r="S767" t="str">
        <f t="shared" si="59"/>
        <v>Сидорова Елена ВасильевнаЕгорова Вероника Егоровна</v>
      </c>
      <c r="T767" t="s">
        <v>8</v>
      </c>
      <c r="U767" t="s">
        <v>300</v>
      </c>
      <c r="V767" t="s">
        <v>403</v>
      </c>
    </row>
    <row r="768" spans="4:22" x14ac:dyDescent="0.25">
      <c r="D768" t="s">
        <v>27</v>
      </c>
      <c r="E768" t="s">
        <v>93</v>
      </c>
      <c r="F768" s="26" t="str">
        <f t="shared" si="55"/>
        <v>2024-08-07</v>
      </c>
      <c r="G768" s="26" t="str">
        <f t="shared" si="56"/>
        <v>2024-08-07</v>
      </c>
      <c r="H768">
        <f t="shared" si="57"/>
        <v>0</v>
      </c>
      <c r="K768" t="str">
        <f t="shared" si="58"/>
        <v>Ткаченко Андрей ОлеговичКозлова Татьяна Сергеевна</v>
      </c>
      <c r="L768" t="s">
        <v>27</v>
      </c>
      <c r="M768" t="s">
        <v>28</v>
      </c>
      <c r="N768" t="s">
        <v>207</v>
      </c>
      <c r="S768" t="str">
        <f t="shared" si="59"/>
        <v>Семенова Ирина ВалерьевнаСидоров Владимир Артемович</v>
      </c>
      <c r="T768" t="s">
        <v>10</v>
      </c>
      <c r="U768" t="s">
        <v>32</v>
      </c>
      <c r="V768" t="s">
        <v>403</v>
      </c>
    </row>
    <row r="769" spans="4:22" x14ac:dyDescent="0.25">
      <c r="D769" t="s">
        <v>10</v>
      </c>
      <c r="E769" t="s">
        <v>19</v>
      </c>
      <c r="F769" s="26" t="str">
        <f t="shared" si="55"/>
        <v>2024-08-07</v>
      </c>
      <c r="G769" s="26" t="str">
        <f t="shared" si="56"/>
        <v>2024-08-07</v>
      </c>
      <c r="H769">
        <f t="shared" si="57"/>
        <v>0</v>
      </c>
      <c r="K769" t="str">
        <f t="shared" si="58"/>
        <v>Кузнецов Дмитрий ЛьвовичСтепанова Анна Станиславовна</v>
      </c>
      <c r="L769" t="s">
        <v>38</v>
      </c>
      <c r="M769" t="s">
        <v>110</v>
      </c>
      <c r="N769" t="s">
        <v>207</v>
      </c>
      <c r="S769" t="str">
        <f t="shared" si="59"/>
        <v>Петров Владимир КирилловичФедоров Илья Егорович</v>
      </c>
      <c r="T769" t="s">
        <v>18</v>
      </c>
      <c r="U769" t="s">
        <v>252</v>
      </c>
      <c r="V769" t="s">
        <v>403</v>
      </c>
    </row>
    <row r="770" spans="4:22" x14ac:dyDescent="0.25">
      <c r="D770" t="s">
        <v>5</v>
      </c>
      <c r="E770" t="s">
        <v>128</v>
      </c>
      <c r="F770" s="26" t="str">
        <f t="shared" si="55"/>
        <v>2024-08-07</v>
      </c>
      <c r="G770" s="26" t="str">
        <f t="shared" si="56"/>
        <v>2024-08-07</v>
      </c>
      <c r="H770">
        <f t="shared" si="57"/>
        <v>0</v>
      </c>
      <c r="K770" t="str">
        <f t="shared" si="58"/>
        <v>Сидорова Елена ВасильевнаСеменов Алексей Владимирович</v>
      </c>
      <c r="L770" t="s">
        <v>8</v>
      </c>
      <c r="M770" t="s">
        <v>35</v>
      </c>
      <c r="N770" t="s">
        <v>207</v>
      </c>
      <c r="S770" t="str">
        <f t="shared" si="59"/>
        <v>Новикова Ольга ПетровнаЛебедева Ирина Кирилловна</v>
      </c>
      <c r="T770" t="s">
        <v>45</v>
      </c>
      <c r="U770" t="s">
        <v>73</v>
      </c>
      <c r="V770" t="s">
        <v>403</v>
      </c>
    </row>
    <row r="771" spans="4:22" x14ac:dyDescent="0.25">
      <c r="D771" t="s">
        <v>45</v>
      </c>
      <c r="E771" t="s">
        <v>162</v>
      </c>
      <c r="F771" s="26" t="str">
        <f t="shared" ref="F771:F807" si="60">VLOOKUP(D771&amp;E771,S:V,4,0)</f>
        <v>2024-08-07</v>
      </c>
      <c r="G771" s="26" t="str">
        <f t="shared" ref="G771:G807" si="61">VLOOKUP(D771&amp;E771,K:N,4,0)</f>
        <v>2024-08-07</v>
      </c>
      <c r="H771">
        <f t="shared" ref="H771:H807" si="62">G771-F771</f>
        <v>0</v>
      </c>
      <c r="K771" t="str">
        <f t="shared" ref="K771:K834" si="63">L771&amp;M771</f>
        <v>Громова Мария ИльиничнаОрлова Анна Артемовна</v>
      </c>
      <c r="L771" t="s">
        <v>5</v>
      </c>
      <c r="M771" t="s">
        <v>141</v>
      </c>
      <c r="N771" t="s">
        <v>204</v>
      </c>
      <c r="S771" t="str">
        <f t="shared" ref="S771:S834" si="64">T771&amp;U771</f>
        <v>Иванова Анна СергеевнаСтепанов Сергей Егорович</v>
      </c>
      <c r="T771" t="s">
        <v>13</v>
      </c>
      <c r="U771" t="s">
        <v>184</v>
      </c>
      <c r="V771" t="s">
        <v>404</v>
      </c>
    </row>
    <row r="772" spans="4:22" x14ac:dyDescent="0.25">
      <c r="D772" t="s">
        <v>5</v>
      </c>
      <c r="E772" t="s">
        <v>187</v>
      </c>
      <c r="F772" s="26" t="str">
        <f t="shared" si="60"/>
        <v>2024-08-08</v>
      </c>
      <c r="G772" s="26" t="str">
        <f t="shared" si="61"/>
        <v>2024-08-08</v>
      </c>
      <c r="H772">
        <f t="shared" si="62"/>
        <v>0</v>
      </c>
      <c r="K772" t="str">
        <f t="shared" si="63"/>
        <v>Ткаченко Андрей ОлеговичСмирнова Алиса Михайловна</v>
      </c>
      <c r="L772" t="s">
        <v>27</v>
      </c>
      <c r="M772" t="s">
        <v>205</v>
      </c>
      <c r="N772" t="s">
        <v>204</v>
      </c>
      <c r="S772" t="str">
        <f t="shared" si="64"/>
        <v>Орлов Павел ДенисовичСеменов Артем Станиславович</v>
      </c>
      <c r="T772" t="s">
        <v>47</v>
      </c>
      <c r="U772" t="s">
        <v>298</v>
      </c>
      <c r="V772" t="s">
        <v>404</v>
      </c>
    </row>
    <row r="773" spans="4:22" x14ac:dyDescent="0.25">
      <c r="D773" t="s">
        <v>5</v>
      </c>
      <c r="E773" t="s">
        <v>444</v>
      </c>
      <c r="F773" s="26" t="str">
        <f t="shared" si="60"/>
        <v>2024-08-08</v>
      </c>
      <c r="G773" s="26" t="str">
        <f t="shared" si="61"/>
        <v>2024-08-08</v>
      </c>
      <c r="H773">
        <f t="shared" si="62"/>
        <v>0</v>
      </c>
      <c r="K773" t="str">
        <f t="shared" si="63"/>
        <v>Белов Алексей КонстантиновичАлексеев Кирилл Сергеевич</v>
      </c>
      <c r="L773" t="s">
        <v>25</v>
      </c>
      <c r="M773" t="s">
        <v>206</v>
      </c>
      <c r="N773" t="s">
        <v>204</v>
      </c>
      <c r="S773" t="str">
        <f t="shared" si="64"/>
        <v>Громова Мария ИльиничнаЛебедев Матвей Сергеевич</v>
      </c>
      <c r="T773" t="s">
        <v>5</v>
      </c>
      <c r="U773" t="s">
        <v>243</v>
      </c>
      <c r="V773" t="s">
        <v>404</v>
      </c>
    </row>
    <row r="774" spans="4:22" x14ac:dyDescent="0.25">
      <c r="D774" t="s">
        <v>27</v>
      </c>
      <c r="E774" t="s">
        <v>66</v>
      </c>
      <c r="F774" s="26" t="str">
        <f t="shared" si="60"/>
        <v>2024-08-09</v>
      </c>
      <c r="G774" s="26" t="str">
        <f t="shared" si="61"/>
        <v>2024-08-09</v>
      </c>
      <c r="H774">
        <f t="shared" si="62"/>
        <v>0</v>
      </c>
      <c r="K774" t="str">
        <f t="shared" si="63"/>
        <v>Сидорова Елена ВасильевнаПавлов Дмитрий Павлович</v>
      </c>
      <c r="L774" t="s">
        <v>8</v>
      </c>
      <c r="M774" t="s">
        <v>122</v>
      </c>
      <c r="N774" t="s">
        <v>204</v>
      </c>
      <c r="S774" t="str">
        <f t="shared" si="64"/>
        <v>Орлов Павел ДенисовичСидоров Владимир Артемович</v>
      </c>
      <c r="T774" t="s">
        <v>47</v>
      </c>
      <c r="U774" t="s">
        <v>32</v>
      </c>
      <c r="V774" t="s">
        <v>404</v>
      </c>
    </row>
    <row r="775" spans="4:22" x14ac:dyDescent="0.25">
      <c r="D775" t="s">
        <v>45</v>
      </c>
      <c r="E775" t="s">
        <v>19</v>
      </c>
      <c r="F775" s="26" t="str">
        <f t="shared" si="60"/>
        <v>2024-08-09</v>
      </c>
      <c r="G775" s="26" t="str">
        <f t="shared" si="61"/>
        <v>2024-08-09</v>
      </c>
      <c r="H775">
        <f t="shared" si="62"/>
        <v>0</v>
      </c>
      <c r="K775" t="str">
        <f t="shared" si="63"/>
        <v>Петров Владимир КирилловичНовикова Елена Геннадьевна</v>
      </c>
      <c r="L775" t="s">
        <v>18</v>
      </c>
      <c r="M775" t="s">
        <v>103</v>
      </c>
      <c r="N775" t="s">
        <v>203</v>
      </c>
      <c r="S775" t="str">
        <f t="shared" si="64"/>
        <v>Белов Алексей КонстантиновичПопов Никита Геннадьевич</v>
      </c>
      <c r="T775" t="s">
        <v>25</v>
      </c>
      <c r="U775" t="s">
        <v>68</v>
      </c>
      <c r="V775" t="s">
        <v>404</v>
      </c>
    </row>
    <row r="776" spans="4:22" x14ac:dyDescent="0.25">
      <c r="D776" t="s">
        <v>27</v>
      </c>
      <c r="E776" t="s">
        <v>11</v>
      </c>
      <c r="F776" s="26" t="str">
        <f t="shared" si="60"/>
        <v>2024-08-12</v>
      </c>
      <c r="G776" s="26" t="str">
        <f t="shared" si="61"/>
        <v>2024-08-12</v>
      </c>
      <c r="H776">
        <f t="shared" si="62"/>
        <v>0</v>
      </c>
      <c r="K776" t="str">
        <f t="shared" si="63"/>
        <v>Белов Алексей КонстантиновичПетрова Алиса Станиславовна</v>
      </c>
      <c r="L776" t="s">
        <v>25</v>
      </c>
      <c r="M776" t="s">
        <v>65</v>
      </c>
      <c r="N776" t="s">
        <v>203</v>
      </c>
      <c r="S776" t="str">
        <f t="shared" si="64"/>
        <v>Кузнецов Дмитрий ЛьвовичФедоров Артур Станиславович</v>
      </c>
      <c r="T776" t="s">
        <v>38</v>
      </c>
      <c r="U776" t="s">
        <v>309</v>
      </c>
      <c r="V776" t="s">
        <v>405</v>
      </c>
    </row>
    <row r="777" spans="4:22" x14ac:dyDescent="0.25">
      <c r="D777" t="s">
        <v>16</v>
      </c>
      <c r="E777" t="s">
        <v>92</v>
      </c>
      <c r="F777" s="26" t="str">
        <f t="shared" si="60"/>
        <v>2024-08-12</v>
      </c>
      <c r="G777" s="26" t="str">
        <f t="shared" si="61"/>
        <v>2024-08-12</v>
      </c>
      <c r="H777">
        <f t="shared" si="62"/>
        <v>0</v>
      </c>
      <c r="K777" t="str">
        <f t="shared" si="63"/>
        <v>Ткаченко Андрей ОлеговичНовиков Матвей Егорович</v>
      </c>
      <c r="L777" t="s">
        <v>27</v>
      </c>
      <c r="M777" t="s">
        <v>33</v>
      </c>
      <c r="N777" t="s">
        <v>203</v>
      </c>
      <c r="S777" t="str">
        <f t="shared" si="64"/>
        <v>Кузнецов Дмитрий ЛьвовичПавлов Матвей Владимирович</v>
      </c>
      <c r="T777" t="s">
        <v>38</v>
      </c>
      <c r="U777" t="s">
        <v>152</v>
      </c>
      <c r="V777" t="s">
        <v>405</v>
      </c>
    </row>
    <row r="778" spans="4:22" x14ac:dyDescent="0.25">
      <c r="D778" t="s">
        <v>16</v>
      </c>
      <c r="E778" t="s">
        <v>279</v>
      </c>
      <c r="F778" s="26" t="str">
        <f t="shared" si="60"/>
        <v>2024-08-12</v>
      </c>
      <c r="G778" s="26" t="str">
        <f t="shared" si="61"/>
        <v>2024-08-12</v>
      </c>
      <c r="H778">
        <f t="shared" si="62"/>
        <v>0</v>
      </c>
      <c r="K778" t="str">
        <f t="shared" si="63"/>
        <v>Белов Алексей КонстантиновичСмирнова Елена Викторовна</v>
      </c>
      <c r="L778" t="s">
        <v>25</v>
      </c>
      <c r="M778" t="s">
        <v>66</v>
      </c>
      <c r="N778" t="s">
        <v>203</v>
      </c>
      <c r="S778" t="str">
        <f t="shared" si="64"/>
        <v>Яковлев Артем ИгоревичКозлова Ксения Ильинична</v>
      </c>
      <c r="T778" t="s">
        <v>30</v>
      </c>
      <c r="U778" t="s">
        <v>158</v>
      </c>
      <c r="V778" t="s">
        <v>405</v>
      </c>
    </row>
    <row r="779" spans="4:22" x14ac:dyDescent="0.25">
      <c r="D779" t="s">
        <v>18</v>
      </c>
      <c r="E779" t="s">
        <v>229</v>
      </c>
      <c r="F779" s="26" t="str">
        <f t="shared" si="60"/>
        <v>2024-08-13</v>
      </c>
      <c r="G779" s="26" t="str">
        <f t="shared" si="61"/>
        <v>2024-08-13</v>
      </c>
      <c r="H779">
        <f t="shared" si="62"/>
        <v>0</v>
      </c>
      <c r="K779" t="str">
        <f t="shared" si="63"/>
        <v>Иванова Анна СергеевнаПавлова София Романовна</v>
      </c>
      <c r="L779" t="s">
        <v>13</v>
      </c>
      <c r="M779" t="s">
        <v>198</v>
      </c>
      <c r="N779" t="s">
        <v>199</v>
      </c>
      <c r="S779" t="str">
        <f t="shared" si="64"/>
        <v>Новикова Ольга ПетровнаСмирнов Илья Олегович</v>
      </c>
      <c r="T779" t="s">
        <v>45</v>
      </c>
      <c r="U779" t="s">
        <v>26</v>
      </c>
      <c r="V779" t="s">
        <v>405</v>
      </c>
    </row>
    <row r="780" spans="4:22" x14ac:dyDescent="0.25">
      <c r="D780" t="s">
        <v>38</v>
      </c>
      <c r="E780" t="s">
        <v>296</v>
      </c>
      <c r="F780" s="26" t="str">
        <f t="shared" si="60"/>
        <v>2024-08-14</v>
      </c>
      <c r="G780" s="26" t="str">
        <f t="shared" si="61"/>
        <v>2024-08-14</v>
      </c>
      <c r="H780">
        <f t="shared" si="62"/>
        <v>0</v>
      </c>
      <c r="K780" t="str">
        <f t="shared" si="63"/>
        <v>Громова Мария ИльиничнаНовикова Юлия Егоровна</v>
      </c>
      <c r="L780" t="s">
        <v>5</v>
      </c>
      <c r="M780" t="s">
        <v>200</v>
      </c>
      <c r="N780" t="s">
        <v>199</v>
      </c>
      <c r="S780" t="str">
        <f t="shared" si="64"/>
        <v>Сидорова Елена ВасильевнаМорозов Максим Сергеевич</v>
      </c>
      <c r="T780" t="s">
        <v>8</v>
      </c>
      <c r="U780" t="s">
        <v>239</v>
      </c>
      <c r="V780" t="s">
        <v>405</v>
      </c>
    </row>
    <row r="781" spans="4:22" x14ac:dyDescent="0.25">
      <c r="D781" t="s">
        <v>27</v>
      </c>
      <c r="E781" t="s">
        <v>81</v>
      </c>
      <c r="F781" s="26" t="str">
        <f t="shared" si="60"/>
        <v>2024-08-15</v>
      </c>
      <c r="G781" s="26" t="str">
        <f t="shared" si="61"/>
        <v>2024-08-15</v>
      </c>
      <c r="H781">
        <f t="shared" si="62"/>
        <v>0</v>
      </c>
      <c r="K781" t="str">
        <f t="shared" si="63"/>
        <v>Громова Мария ИльиничнаВасильев Иван Олегович</v>
      </c>
      <c r="L781" t="s">
        <v>5</v>
      </c>
      <c r="M781" t="s">
        <v>201</v>
      </c>
      <c r="N781" t="s">
        <v>199</v>
      </c>
      <c r="S781" t="str">
        <f t="shared" si="64"/>
        <v>Орлов Павел ДенисовичФедоров Илья Егорович</v>
      </c>
      <c r="T781" t="s">
        <v>47</v>
      </c>
      <c r="U781" t="s">
        <v>252</v>
      </c>
      <c r="V781" t="s">
        <v>405</v>
      </c>
    </row>
    <row r="782" spans="4:22" x14ac:dyDescent="0.25">
      <c r="D782" t="s">
        <v>45</v>
      </c>
      <c r="E782" t="s">
        <v>300</v>
      </c>
      <c r="F782" s="26" t="str">
        <f t="shared" si="60"/>
        <v>2024-08-15</v>
      </c>
      <c r="G782" s="26" t="str">
        <f t="shared" si="61"/>
        <v>2024-08-15</v>
      </c>
      <c r="H782">
        <f t="shared" si="62"/>
        <v>0</v>
      </c>
      <c r="K782" t="str">
        <f t="shared" si="63"/>
        <v>Кузнецов Дмитрий ЛьвовичСеменов Павел Юрьевич</v>
      </c>
      <c r="L782" t="s">
        <v>38</v>
      </c>
      <c r="M782" t="s">
        <v>128</v>
      </c>
      <c r="N782" t="s">
        <v>199</v>
      </c>
      <c r="S782" t="str">
        <f t="shared" si="64"/>
        <v>Новикова Ольга ПетровнаКузнецова Алиса Владимировна</v>
      </c>
      <c r="T782" t="s">
        <v>45</v>
      </c>
      <c r="U782" t="s">
        <v>46</v>
      </c>
      <c r="V782" t="s">
        <v>405</v>
      </c>
    </row>
    <row r="783" spans="4:22" x14ac:dyDescent="0.25">
      <c r="D783" t="s">
        <v>38</v>
      </c>
      <c r="E783" t="s">
        <v>94</v>
      </c>
      <c r="F783" s="26" t="str">
        <f t="shared" si="60"/>
        <v>2024-08-15</v>
      </c>
      <c r="G783" s="26" t="str">
        <f t="shared" si="61"/>
        <v>2024-08-15</v>
      </c>
      <c r="H783">
        <f t="shared" si="62"/>
        <v>0</v>
      </c>
      <c r="K783" t="str">
        <f t="shared" si="63"/>
        <v>Петров Владимир КирилловичПавлов Никита Андреевич</v>
      </c>
      <c r="L783" t="s">
        <v>18</v>
      </c>
      <c r="M783" t="s">
        <v>130</v>
      </c>
      <c r="N783" t="s">
        <v>199</v>
      </c>
      <c r="S783" t="str">
        <f t="shared" si="64"/>
        <v>Семенова Ирина ВалерьевнаАлексеев Кирилл Иванович</v>
      </c>
      <c r="T783" t="s">
        <v>10</v>
      </c>
      <c r="U783" t="s">
        <v>90</v>
      </c>
      <c r="V783" t="s">
        <v>405</v>
      </c>
    </row>
    <row r="784" spans="4:22" x14ac:dyDescent="0.25">
      <c r="D784" t="s">
        <v>16</v>
      </c>
      <c r="E784" t="s">
        <v>101</v>
      </c>
      <c r="F784" s="26" t="str">
        <f t="shared" si="60"/>
        <v>2024-08-16</v>
      </c>
      <c r="G784" s="26" t="str">
        <f t="shared" si="61"/>
        <v>2024-08-16</v>
      </c>
      <c r="H784">
        <f t="shared" si="62"/>
        <v>0</v>
      </c>
      <c r="K784" t="str">
        <f t="shared" si="63"/>
        <v>Новикова Ольга ПетровнаНовикова Алиса Ивановна</v>
      </c>
      <c r="L784" t="s">
        <v>45</v>
      </c>
      <c r="M784" t="s">
        <v>202</v>
      </c>
      <c r="N784" t="s">
        <v>199</v>
      </c>
      <c r="S784" t="str">
        <f t="shared" si="64"/>
        <v>Белов Алексей КонстантиновичФедоров Кирилл Алексеевич</v>
      </c>
      <c r="T784" t="s">
        <v>25</v>
      </c>
      <c r="U784" t="s">
        <v>287</v>
      </c>
      <c r="V784" t="s">
        <v>405</v>
      </c>
    </row>
    <row r="785" spans="4:22" x14ac:dyDescent="0.25">
      <c r="D785" t="s">
        <v>47</v>
      </c>
      <c r="E785" t="s">
        <v>182</v>
      </c>
      <c r="F785" s="26" t="str">
        <f t="shared" si="60"/>
        <v>2024-08-19</v>
      </c>
      <c r="G785" s="26" t="str">
        <f t="shared" si="61"/>
        <v>2024-08-19</v>
      </c>
      <c r="H785">
        <f t="shared" si="62"/>
        <v>0</v>
      </c>
      <c r="K785" t="str">
        <f t="shared" si="63"/>
        <v>Кузнецов Дмитрий ЛьвовичИванова Наталья Дмитриевна</v>
      </c>
      <c r="L785" t="s">
        <v>38</v>
      </c>
      <c r="M785" t="s">
        <v>14</v>
      </c>
      <c r="N785" t="s">
        <v>199</v>
      </c>
      <c r="S785" t="str">
        <f t="shared" si="64"/>
        <v>Громова Мария ИльиничнаОрлова Анна Романовна</v>
      </c>
      <c r="T785" t="s">
        <v>5</v>
      </c>
      <c r="U785" t="s">
        <v>19</v>
      </c>
      <c r="V785" t="s">
        <v>406</v>
      </c>
    </row>
    <row r="786" spans="4:22" x14ac:dyDescent="0.25">
      <c r="D786" t="s">
        <v>25</v>
      </c>
      <c r="E786" t="s">
        <v>385</v>
      </c>
      <c r="F786" s="26" t="str">
        <f t="shared" si="60"/>
        <v>2024-08-19</v>
      </c>
      <c r="G786" s="26" t="str">
        <f t="shared" si="61"/>
        <v>2024-08-19</v>
      </c>
      <c r="H786">
        <f t="shared" si="62"/>
        <v>0</v>
      </c>
      <c r="K786" t="str">
        <f t="shared" si="63"/>
        <v>Орлов Павел ДенисовичМорозов Илья Геннадьевич</v>
      </c>
      <c r="L786" t="s">
        <v>47</v>
      </c>
      <c r="M786" t="s">
        <v>67</v>
      </c>
      <c r="N786" t="s">
        <v>199</v>
      </c>
      <c r="S786" t="str">
        <f t="shared" si="64"/>
        <v>Новикова Ольга ПетровнаСтепанов Константин Геннадьевич</v>
      </c>
      <c r="T786" t="s">
        <v>45</v>
      </c>
      <c r="U786" t="s">
        <v>119</v>
      </c>
      <c r="V786" t="s">
        <v>406</v>
      </c>
    </row>
    <row r="787" spans="4:22" x14ac:dyDescent="0.25">
      <c r="D787" t="s">
        <v>18</v>
      </c>
      <c r="E787" t="s">
        <v>195</v>
      </c>
      <c r="F787" s="26" t="str">
        <f t="shared" si="60"/>
        <v>2024-08-20</v>
      </c>
      <c r="G787" s="26" t="str">
        <f t="shared" si="61"/>
        <v>2024-08-20</v>
      </c>
      <c r="H787">
        <f t="shared" si="62"/>
        <v>0</v>
      </c>
      <c r="K787" t="str">
        <f t="shared" si="63"/>
        <v>Громова Мария ИльиничнаСеменов Роман Павлович</v>
      </c>
      <c r="L787" t="s">
        <v>5</v>
      </c>
      <c r="M787" t="s">
        <v>196</v>
      </c>
      <c r="N787" t="s">
        <v>197</v>
      </c>
      <c r="S787" t="str">
        <f t="shared" si="64"/>
        <v>Ткаченко Андрей ОлеговичНовиков Илья Кириллович</v>
      </c>
      <c r="T787" t="s">
        <v>27</v>
      </c>
      <c r="U787" t="s">
        <v>248</v>
      </c>
      <c r="V787" t="s">
        <v>406</v>
      </c>
    </row>
    <row r="788" spans="4:22" x14ac:dyDescent="0.25">
      <c r="D788" t="s">
        <v>30</v>
      </c>
      <c r="E788" t="s">
        <v>39</v>
      </c>
      <c r="F788" s="26" t="str">
        <f t="shared" si="60"/>
        <v>2024-08-21</v>
      </c>
      <c r="G788" s="26" t="str">
        <f t="shared" si="61"/>
        <v>2024-08-21</v>
      </c>
      <c r="H788">
        <f t="shared" si="62"/>
        <v>0</v>
      </c>
      <c r="K788" t="str">
        <f t="shared" si="63"/>
        <v>Фролов Сергей ВикторовичКозлов Артем Викторович</v>
      </c>
      <c r="L788" t="s">
        <v>16</v>
      </c>
      <c r="M788" t="s">
        <v>124</v>
      </c>
      <c r="N788" t="s">
        <v>197</v>
      </c>
      <c r="S788" t="str">
        <f t="shared" si="64"/>
        <v>Фролов Сергей ВикторовичИванов Роман Кириллович</v>
      </c>
      <c r="T788" t="s">
        <v>16</v>
      </c>
      <c r="U788" t="s">
        <v>91</v>
      </c>
      <c r="V788" t="s">
        <v>407</v>
      </c>
    </row>
    <row r="789" spans="4:22" x14ac:dyDescent="0.25">
      <c r="D789" t="s">
        <v>5</v>
      </c>
      <c r="E789" t="s">
        <v>82</v>
      </c>
      <c r="F789" s="26" t="str">
        <f t="shared" si="60"/>
        <v>2024-08-21</v>
      </c>
      <c r="G789" s="26" t="str">
        <f t="shared" si="61"/>
        <v>2024-08-21</v>
      </c>
      <c r="H789">
        <f t="shared" si="62"/>
        <v>0</v>
      </c>
      <c r="K789" t="str">
        <f t="shared" si="63"/>
        <v>Белов Алексей КонстантиновичАлексеев Кирилл Иванович</v>
      </c>
      <c r="L789" t="s">
        <v>25</v>
      </c>
      <c r="M789" t="s">
        <v>90</v>
      </c>
      <c r="N789" t="s">
        <v>197</v>
      </c>
      <c r="S789" t="str">
        <f t="shared" si="64"/>
        <v>Сидорова Елена ВасильевнаСтепанов Александр Андреевич</v>
      </c>
      <c r="T789" t="s">
        <v>8</v>
      </c>
      <c r="U789" t="s">
        <v>214</v>
      </c>
      <c r="V789" t="s">
        <v>407</v>
      </c>
    </row>
    <row r="790" spans="4:22" x14ac:dyDescent="0.25">
      <c r="D790" t="s">
        <v>16</v>
      </c>
      <c r="E790" t="s">
        <v>114</v>
      </c>
      <c r="F790" s="26" t="str">
        <f t="shared" si="60"/>
        <v>2024-08-22</v>
      </c>
      <c r="G790" s="26" t="str">
        <f t="shared" si="61"/>
        <v>2024-08-22</v>
      </c>
      <c r="H790">
        <f t="shared" si="62"/>
        <v>0</v>
      </c>
      <c r="K790" t="str">
        <f t="shared" si="63"/>
        <v>Иванова Анна СергеевнаСмирнова Татьяна Александровна</v>
      </c>
      <c r="L790" t="s">
        <v>13</v>
      </c>
      <c r="M790" t="s">
        <v>39</v>
      </c>
      <c r="N790" t="s">
        <v>193</v>
      </c>
      <c r="S790" t="str">
        <f t="shared" si="64"/>
        <v>Белов Алексей КонстантиновичСеменов Артем Станиславович</v>
      </c>
      <c r="T790" t="s">
        <v>25</v>
      </c>
      <c r="U790" t="s">
        <v>298</v>
      </c>
      <c r="V790" t="s">
        <v>407</v>
      </c>
    </row>
    <row r="791" spans="4:22" x14ac:dyDescent="0.25">
      <c r="D791" t="s">
        <v>27</v>
      </c>
      <c r="E791" t="s">
        <v>14</v>
      </c>
      <c r="F791" s="26" t="str">
        <f t="shared" si="60"/>
        <v>2024-08-22</v>
      </c>
      <c r="G791" s="26" t="str">
        <f t="shared" si="61"/>
        <v>2024-08-22</v>
      </c>
      <c r="H791">
        <f t="shared" si="62"/>
        <v>0</v>
      </c>
      <c r="K791" t="str">
        <f t="shared" si="63"/>
        <v>Громова Мария ИльиничнаНиколаев Георгий Сергеевич</v>
      </c>
      <c r="L791" t="s">
        <v>5</v>
      </c>
      <c r="M791" t="s">
        <v>194</v>
      </c>
      <c r="N791" t="s">
        <v>193</v>
      </c>
      <c r="S791" t="str">
        <f t="shared" si="64"/>
        <v>Петров Владимир КирилловичПавлов Матвей Владимирович</v>
      </c>
      <c r="T791" t="s">
        <v>18</v>
      </c>
      <c r="U791" t="s">
        <v>152</v>
      </c>
      <c r="V791" t="s">
        <v>408</v>
      </c>
    </row>
    <row r="792" spans="4:22" x14ac:dyDescent="0.25">
      <c r="D792" t="s">
        <v>5</v>
      </c>
      <c r="E792" t="s">
        <v>142</v>
      </c>
      <c r="F792" s="26" t="str">
        <f t="shared" si="60"/>
        <v>2024-08-22</v>
      </c>
      <c r="G792" s="26" t="str">
        <f t="shared" si="61"/>
        <v>2024-08-22</v>
      </c>
      <c r="H792">
        <f t="shared" si="62"/>
        <v>0</v>
      </c>
      <c r="K792" t="str">
        <f t="shared" si="63"/>
        <v>Новикова Ольга ПетровнаФедорова Ксения Павловна</v>
      </c>
      <c r="L792" t="s">
        <v>45</v>
      </c>
      <c r="M792" t="s">
        <v>195</v>
      </c>
      <c r="N792" t="s">
        <v>193</v>
      </c>
      <c r="S792" t="str">
        <f t="shared" si="64"/>
        <v>Белов Алексей КонстантиновичСеменов Константин Егорович</v>
      </c>
      <c r="T792" t="s">
        <v>25</v>
      </c>
      <c r="U792" t="s">
        <v>188</v>
      </c>
      <c r="V792" t="s">
        <v>408</v>
      </c>
    </row>
    <row r="793" spans="4:22" x14ac:dyDescent="0.25">
      <c r="D793" t="s">
        <v>18</v>
      </c>
      <c r="E793" t="s">
        <v>9</v>
      </c>
      <c r="F793" s="26" t="str">
        <f t="shared" si="60"/>
        <v>2024-08-23</v>
      </c>
      <c r="G793" s="26" t="str">
        <f t="shared" si="61"/>
        <v>2024-08-23</v>
      </c>
      <c r="H793">
        <f t="shared" si="62"/>
        <v>0</v>
      </c>
      <c r="K793" t="str">
        <f t="shared" si="63"/>
        <v>Сидорова Елена ВасильевнаВолкова Ирина Сергеевна</v>
      </c>
      <c r="L793" t="s">
        <v>8</v>
      </c>
      <c r="M793" t="s">
        <v>123</v>
      </c>
      <c r="N793" t="s">
        <v>192</v>
      </c>
      <c r="S793" t="str">
        <f t="shared" si="64"/>
        <v>Фролов Сергей ВикторовичФедоров Артур Олегович</v>
      </c>
      <c r="T793" t="s">
        <v>16</v>
      </c>
      <c r="U793" t="s">
        <v>64</v>
      </c>
      <c r="V793" t="s">
        <v>408</v>
      </c>
    </row>
    <row r="794" spans="4:22" x14ac:dyDescent="0.25">
      <c r="D794" t="s">
        <v>30</v>
      </c>
      <c r="E794" t="s">
        <v>130</v>
      </c>
      <c r="F794" s="26" t="str">
        <f t="shared" si="60"/>
        <v>2024-08-23</v>
      </c>
      <c r="G794" s="26" t="str">
        <f t="shared" si="61"/>
        <v>2024-08-23</v>
      </c>
      <c r="H794">
        <f t="shared" si="62"/>
        <v>0</v>
      </c>
      <c r="K794" t="str">
        <f t="shared" si="63"/>
        <v>Фролов Сергей ВикторовичКозлова Полина Артемовна</v>
      </c>
      <c r="L794" t="s">
        <v>16</v>
      </c>
      <c r="M794" t="s">
        <v>17</v>
      </c>
      <c r="N794" t="s">
        <v>192</v>
      </c>
      <c r="S794" t="str">
        <f t="shared" si="64"/>
        <v>Громова Мария ИльиничнаСеменова Светлана Дмитриевна</v>
      </c>
      <c r="T794" t="s">
        <v>5</v>
      </c>
      <c r="U794" t="s">
        <v>41</v>
      </c>
      <c r="V794" t="s">
        <v>408</v>
      </c>
    </row>
    <row r="795" spans="4:22" x14ac:dyDescent="0.25">
      <c r="D795" t="s">
        <v>45</v>
      </c>
      <c r="E795" t="s">
        <v>69</v>
      </c>
      <c r="F795" s="26" t="str">
        <f t="shared" si="60"/>
        <v>2024-08-23</v>
      </c>
      <c r="G795" s="26" t="str">
        <f t="shared" si="61"/>
        <v>2024-08-23</v>
      </c>
      <c r="H795">
        <f t="shared" si="62"/>
        <v>0</v>
      </c>
      <c r="K795" t="str">
        <f t="shared" si="63"/>
        <v>Белов Алексей КонстантиновичСеменов Павел Юрьевич</v>
      </c>
      <c r="L795" t="s">
        <v>25</v>
      </c>
      <c r="M795" t="s">
        <v>128</v>
      </c>
      <c r="N795" t="s">
        <v>191</v>
      </c>
      <c r="S795" t="str">
        <f t="shared" si="64"/>
        <v>Семенова Ирина ВалерьевнаСмирнов Константин Кириллович</v>
      </c>
      <c r="T795" t="s">
        <v>10</v>
      </c>
      <c r="U795" t="s">
        <v>37</v>
      </c>
      <c r="V795" t="s">
        <v>408</v>
      </c>
    </row>
    <row r="796" spans="4:22" x14ac:dyDescent="0.25">
      <c r="D796" t="s">
        <v>25</v>
      </c>
      <c r="E796" t="s">
        <v>98</v>
      </c>
      <c r="F796" s="26" t="str">
        <f t="shared" si="60"/>
        <v>2024-08-26</v>
      </c>
      <c r="G796" s="26" t="str">
        <f t="shared" si="61"/>
        <v>2024-08-26</v>
      </c>
      <c r="H796">
        <f t="shared" si="62"/>
        <v>0</v>
      </c>
      <c r="K796" t="str">
        <f t="shared" si="63"/>
        <v>Громова Мария ИльиничнаЛебедев Никита Алексеевич</v>
      </c>
      <c r="L796" t="s">
        <v>5</v>
      </c>
      <c r="M796" t="s">
        <v>93</v>
      </c>
      <c r="N796" t="s">
        <v>191</v>
      </c>
      <c r="S796" t="str">
        <f t="shared" si="64"/>
        <v>Сидорова Елена ВасильевнаМорозов Егор Андреевич</v>
      </c>
      <c r="T796" t="s">
        <v>8</v>
      </c>
      <c r="U796" t="s">
        <v>9</v>
      </c>
      <c r="V796" t="s">
        <v>408</v>
      </c>
    </row>
    <row r="797" spans="4:22" x14ac:dyDescent="0.25">
      <c r="D797" t="s">
        <v>16</v>
      </c>
      <c r="E797" t="s">
        <v>33</v>
      </c>
      <c r="F797" s="26" t="str">
        <f t="shared" si="60"/>
        <v>2024-08-26</v>
      </c>
      <c r="G797" s="26" t="str">
        <f t="shared" si="61"/>
        <v>2024-08-26</v>
      </c>
      <c r="H797">
        <f t="shared" si="62"/>
        <v>0</v>
      </c>
      <c r="K797" t="str">
        <f t="shared" si="63"/>
        <v>Новикова Ольга ПетровнаСеменов Константин Егорович</v>
      </c>
      <c r="L797" t="s">
        <v>45</v>
      </c>
      <c r="M797" t="s">
        <v>188</v>
      </c>
      <c r="N797" t="s">
        <v>189</v>
      </c>
      <c r="S797" t="str">
        <f t="shared" si="64"/>
        <v>Новикова Ольга ПетровнаКозлова Татьяна Сергеевна</v>
      </c>
      <c r="T797" t="s">
        <v>45</v>
      </c>
      <c r="U797" t="s">
        <v>28</v>
      </c>
      <c r="V797" t="s">
        <v>408</v>
      </c>
    </row>
    <row r="798" spans="4:22" x14ac:dyDescent="0.25">
      <c r="D798" t="s">
        <v>30</v>
      </c>
      <c r="E798" t="s">
        <v>196</v>
      </c>
      <c r="F798" s="26" t="str">
        <f t="shared" si="60"/>
        <v>2024-08-26</v>
      </c>
      <c r="G798" s="26" t="str">
        <f t="shared" si="61"/>
        <v>2024-08-26</v>
      </c>
      <c r="H798">
        <f t="shared" si="62"/>
        <v>0</v>
      </c>
      <c r="K798" t="str">
        <f t="shared" si="63"/>
        <v>Семенова Ирина ВалерьевнаПетрова Елена Юрьевна</v>
      </c>
      <c r="L798" t="s">
        <v>10</v>
      </c>
      <c r="M798" t="s">
        <v>116</v>
      </c>
      <c r="N798" t="s">
        <v>189</v>
      </c>
      <c r="S798" t="str">
        <f t="shared" si="64"/>
        <v>Ткаченко Андрей ОлеговичПетрова Александра Ильинична</v>
      </c>
      <c r="T798" t="s">
        <v>27</v>
      </c>
      <c r="U798" t="s">
        <v>344</v>
      </c>
      <c r="V798" t="s">
        <v>409</v>
      </c>
    </row>
    <row r="799" spans="4:22" x14ac:dyDescent="0.25">
      <c r="D799" t="s">
        <v>25</v>
      </c>
      <c r="E799" t="s">
        <v>11</v>
      </c>
      <c r="F799" s="26" t="str">
        <f t="shared" si="60"/>
        <v>2024-08-26</v>
      </c>
      <c r="G799" s="26" t="str">
        <f t="shared" si="61"/>
        <v>2024-08-26</v>
      </c>
      <c r="H799">
        <f t="shared" si="62"/>
        <v>0</v>
      </c>
      <c r="K799" t="str">
        <f t="shared" si="63"/>
        <v>Яковлев Артем ИгоревичНиколаев Иван Михайлович</v>
      </c>
      <c r="L799" t="s">
        <v>30</v>
      </c>
      <c r="M799" t="s">
        <v>94</v>
      </c>
      <c r="N799" t="s">
        <v>189</v>
      </c>
      <c r="S799" t="str">
        <f t="shared" si="64"/>
        <v>Фролов Сергей ВикторовичИванова Анна Егоровна</v>
      </c>
      <c r="T799" t="s">
        <v>16</v>
      </c>
      <c r="U799" t="s">
        <v>96</v>
      </c>
      <c r="V799" t="s">
        <v>409</v>
      </c>
    </row>
    <row r="800" spans="4:22" x14ac:dyDescent="0.25">
      <c r="D800" t="s">
        <v>45</v>
      </c>
      <c r="E800" t="s">
        <v>295</v>
      </c>
      <c r="F800" s="26" t="str">
        <f t="shared" si="60"/>
        <v>2024-08-26</v>
      </c>
      <c r="G800" s="26" t="str">
        <f t="shared" si="61"/>
        <v>2024-08-26</v>
      </c>
      <c r="H800">
        <f t="shared" si="62"/>
        <v>0</v>
      </c>
      <c r="K800" t="str">
        <f t="shared" si="63"/>
        <v>Новикова Ольга ПетровнаФедорова Наталья Геннадьевна</v>
      </c>
      <c r="L800" t="s">
        <v>45</v>
      </c>
      <c r="M800" t="s">
        <v>43</v>
      </c>
      <c r="N800" t="s">
        <v>189</v>
      </c>
      <c r="S800" t="str">
        <f t="shared" si="64"/>
        <v>Яковлев Артем ИгоревичСеменов Илья Андреевич</v>
      </c>
      <c r="T800" t="s">
        <v>30</v>
      </c>
      <c r="U800" t="s">
        <v>84</v>
      </c>
      <c r="V800" t="s">
        <v>409</v>
      </c>
    </row>
    <row r="801" spans="4:22" x14ac:dyDescent="0.25">
      <c r="D801" t="s">
        <v>27</v>
      </c>
      <c r="E801" t="s">
        <v>146</v>
      </c>
      <c r="F801" s="26" t="str">
        <f t="shared" si="60"/>
        <v>2024-08-26</v>
      </c>
      <c r="G801" s="26" t="str">
        <f t="shared" si="61"/>
        <v>2024-08-26</v>
      </c>
      <c r="H801">
        <f t="shared" si="62"/>
        <v>0</v>
      </c>
      <c r="K801" t="str">
        <f t="shared" si="63"/>
        <v>Иванова Анна СергеевнаВолкова Валерия Алексеевна</v>
      </c>
      <c r="L801" t="s">
        <v>13</v>
      </c>
      <c r="M801" t="s">
        <v>6</v>
      </c>
      <c r="N801" t="s">
        <v>189</v>
      </c>
      <c r="S801" t="str">
        <f t="shared" si="64"/>
        <v>Сидорова Елена ВасильевнаОрлова Ольга Алексеевна</v>
      </c>
      <c r="T801" t="s">
        <v>8</v>
      </c>
      <c r="U801" t="s">
        <v>82</v>
      </c>
      <c r="V801" t="s">
        <v>410</v>
      </c>
    </row>
    <row r="802" spans="4:22" x14ac:dyDescent="0.25">
      <c r="D802" t="s">
        <v>8</v>
      </c>
      <c r="E802" t="s">
        <v>195</v>
      </c>
      <c r="F802" s="26" t="str">
        <f t="shared" si="60"/>
        <v>2024-08-27</v>
      </c>
      <c r="G802" s="26" t="str">
        <f t="shared" si="61"/>
        <v>2024-08-27</v>
      </c>
      <c r="H802">
        <f t="shared" si="62"/>
        <v>0</v>
      </c>
      <c r="K802" t="str">
        <f t="shared" si="63"/>
        <v>Фролов Сергей ВикторовичОрлов Роман Ильич</v>
      </c>
      <c r="L802" t="s">
        <v>16</v>
      </c>
      <c r="M802" t="s">
        <v>72</v>
      </c>
      <c r="N802" t="s">
        <v>189</v>
      </c>
      <c r="S802" t="str">
        <f t="shared" si="64"/>
        <v>Иванова Анна СергеевнаСмирнова Алиса Михайловна</v>
      </c>
      <c r="T802" t="s">
        <v>13</v>
      </c>
      <c r="U802" t="s">
        <v>205</v>
      </c>
      <c r="V802" t="s">
        <v>410</v>
      </c>
    </row>
    <row r="803" spans="4:22" x14ac:dyDescent="0.25">
      <c r="D803" t="s">
        <v>45</v>
      </c>
      <c r="E803" t="s">
        <v>176</v>
      </c>
      <c r="F803" s="26" t="str">
        <f t="shared" si="60"/>
        <v>2024-08-27</v>
      </c>
      <c r="G803" s="26" t="str">
        <f t="shared" si="61"/>
        <v>2024-08-27</v>
      </c>
      <c r="H803">
        <f t="shared" si="62"/>
        <v>0</v>
      </c>
      <c r="K803" t="str">
        <f t="shared" si="63"/>
        <v>Яковлев Артем ИгоревичСеменов Иван Павлович</v>
      </c>
      <c r="L803" t="s">
        <v>30</v>
      </c>
      <c r="M803" t="s">
        <v>105</v>
      </c>
      <c r="N803" t="s">
        <v>189</v>
      </c>
      <c r="S803" t="str">
        <f t="shared" si="64"/>
        <v>Ткаченко Андрей ОлеговичКузнецов Максим Алексеевич</v>
      </c>
      <c r="T803" t="s">
        <v>27</v>
      </c>
      <c r="U803" t="s">
        <v>53</v>
      </c>
      <c r="V803" t="s">
        <v>410</v>
      </c>
    </row>
    <row r="804" spans="4:22" x14ac:dyDescent="0.25">
      <c r="D804" t="s">
        <v>45</v>
      </c>
      <c r="E804" t="s">
        <v>256</v>
      </c>
      <c r="F804" s="26" t="str">
        <f t="shared" si="60"/>
        <v>2024-08-28</v>
      </c>
      <c r="G804" s="26" t="str">
        <f t="shared" si="61"/>
        <v>2024-09-02</v>
      </c>
      <c r="H804">
        <f t="shared" si="62"/>
        <v>5</v>
      </c>
      <c r="K804" t="str">
        <f t="shared" si="63"/>
        <v>Ткаченко Андрей ОлеговичФедоров Артур Олегович</v>
      </c>
      <c r="L804" t="s">
        <v>27</v>
      </c>
      <c r="M804" t="s">
        <v>64</v>
      </c>
      <c r="N804" t="s">
        <v>189</v>
      </c>
      <c r="S804" t="str">
        <f t="shared" si="64"/>
        <v>Фролов Сергей ВикторовичПопов Никита Геннадьевич</v>
      </c>
      <c r="T804" t="s">
        <v>16</v>
      </c>
      <c r="U804" t="s">
        <v>68</v>
      </c>
      <c r="V804" t="s">
        <v>411</v>
      </c>
    </row>
    <row r="805" spans="4:22" x14ac:dyDescent="0.25">
      <c r="D805" t="s">
        <v>27</v>
      </c>
      <c r="E805" t="s">
        <v>186</v>
      </c>
      <c r="F805" s="26" t="str">
        <f t="shared" si="60"/>
        <v>2024-08-29</v>
      </c>
      <c r="G805" s="26" t="str">
        <f t="shared" si="61"/>
        <v>2024-08-29</v>
      </c>
      <c r="H805">
        <f t="shared" si="62"/>
        <v>0</v>
      </c>
      <c r="K805" t="str">
        <f t="shared" si="63"/>
        <v>Громова Мария ИльиничнаИванов Андрей Андреевич</v>
      </c>
      <c r="L805" t="s">
        <v>5</v>
      </c>
      <c r="M805" t="s">
        <v>190</v>
      </c>
      <c r="N805" t="s">
        <v>189</v>
      </c>
      <c r="S805" t="str">
        <f t="shared" si="64"/>
        <v>Ткаченко Андрей ОлеговичИванов Роман Ильич</v>
      </c>
      <c r="T805" t="s">
        <v>27</v>
      </c>
      <c r="U805" t="s">
        <v>325</v>
      </c>
      <c r="V805" t="s">
        <v>412</v>
      </c>
    </row>
    <row r="806" spans="4:22" x14ac:dyDescent="0.25">
      <c r="D806" t="s">
        <v>38</v>
      </c>
      <c r="E806" t="s">
        <v>139</v>
      </c>
      <c r="F806" s="26" t="str">
        <f t="shared" si="60"/>
        <v>2024-08-30</v>
      </c>
      <c r="G806" s="26" t="str">
        <f t="shared" si="61"/>
        <v>2024-08-30</v>
      </c>
      <c r="H806">
        <f t="shared" si="62"/>
        <v>0</v>
      </c>
      <c r="K806" t="str">
        <f t="shared" si="63"/>
        <v>Ткаченко Андрей ОлеговичСмирнов Максим Сергеевич</v>
      </c>
      <c r="L806" t="s">
        <v>27</v>
      </c>
      <c r="M806" t="s">
        <v>49</v>
      </c>
      <c r="N806" t="s">
        <v>189</v>
      </c>
      <c r="S806" t="str">
        <f t="shared" si="64"/>
        <v>Фролов Сергей ВикторовичПетров Михаил Кириллович</v>
      </c>
      <c r="T806" t="s">
        <v>16</v>
      </c>
      <c r="U806" t="s">
        <v>78</v>
      </c>
      <c r="V806" t="s">
        <v>412</v>
      </c>
    </row>
    <row r="807" spans="4:22" x14ac:dyDescent="0.25">
      <c r="D807" t="s">
        <v>27</v>
      </c>
      <c r="E807" t="s">
        <v>217</v>
      </c>
      <c r="F807" s="26" t="str">
        <f t="shared" si="60"/>
        <v>2024-09-02</v>
      </c>
      <c r="G807" s="26" t="str">
        <f t="shared" si="61"/>
        <v>2024-09-02</v>
      </c>
      <c r="H807">
        <f t="shared" si="62"/>
        <v>0</v>
      </c>
      <c r="K807" t="str">
        <f t="shared" si="63"/>
        <v>Яковлев Артем ИгоревичИванова Анна Егоровна</v>
      </c>
      <c r="L807" t="s">
        <v>30</v>
      </c>
      <c r="M807" t="s">
        <v>96</v>
      </c>
      <c r="N807" t="s">
        <v>189</v>
      </c>
      <c r="S807" t="str">
        <f t="shared" si="64"/>
        <v>Семенова Ирина ВалерьевнаФедорова Алиса Викторовна</v>
      </c>
      <c r="T807" t="s">
        <v>10</v>
      </c>
      <c r="U807" t="s">
        <v>395</v>
      </c>
      <c r="V807" t="s">
        <v>412</v>
      </c>
    </row>
    <row r="808" spans="4:22" x14ac:dyDescent="0.25">
      <c r="K808" t="str">
        <f t="shared" si="63"/>
        <v>Яковлев Артем ИгоревичСтепанов Сергей Егорович</v>
      </c>
      <c r="L808" t="s">
        <v>30</v>
      </c>
      <c r="M808" t="s">
        <v>184</v>
      </c>
      <c r="N808" t="s">
        <v>185</v>
      </c>
      <c r="S808" t="str">
        <f t="shared" si="64"/>
        <v>Орлов Павел ДенисовичСтепанова Ольга Андреевна</v>
      </c>
      <c r="T808" t="s">
        <v>47</v>
      </c>
      <c r="U808" t="s">
        <v>307</v>
      </c>
      <c r="V808" t="s">
        <v>413</v>
      </c>
    </row>
    <row r="809" spans="4:22" x14ac:dyDescent="0.25">
      <c r="K809" t="str">
        <f t="shared" si="63"/>
        <v>Фролов Сергей ВикторовичПетров Роман Алексеевич</v>
      </c>
      <c r="L809" t="s">
        <v>16</v>
      </c>
      <c r="M809" t="s">
        <v>75</v>
      </c>
      <c r="N809" t="s">
        <v>185</v>
      </c>
      <c r="S809" t="str">
        <f t="shared" si="64"/>
        <v>Ткаченко Андрей ОлеговичВасильев Константин Дмитриевич</v>
      </c>
      <c r="T809" t="s">
        <v>27</v>
      </c>
      <c r="U809" t="s">
        <v>126</v>
      </c>
      <c r="V809" t="s">
        <v>413</v>
      </c>
    </row>
    <row r="810" spans="4:22" x14ac:dyDescent="0.25">
      <c r="K810" t="str">
        <f t="shared" si="63"/>
        <v>Семенова Ирина ВалерьевнаЛебедева Ольга Романовна</v>
      </c>
      <c r="L810" t="s">
        <v>10</v>
      </c>
      <c r="M810" t="s">
        <v>186</v>
      </c>
      <c r="N810" t="s">
        <v>185</v>
      </c>
      <c r="S810" t="str">
        <f t="shared" si="64"/>
        <v>Сидорова Елена ВасильевнаСеменова Наталья Олеговна</v>
      </c>
      <c r="T810" t="s">
        <v>8</v>
      </c>
      <c r="U810" t="s">
        <v>249</v>
      </c>
      <c r="V810" t="s">
        <v>413</v>
      </c>
    </row>
    <row r="811" spans="4:22" x14ac:dyDescent="0.25">
      <c r="K811" t="str">
        <f t="shared" si="63"/>
        <v>Новикова Ольга ПетровнаСидоров Михаил Сергеевич</v>
      </c>
      <c r="L811" t="s">
        <v>45</v>
      </c>
      <c r="M811" t="s">
        <v>187</v>
      </c>
      <c r="N811" t="s">
        <v>185</v>
      </c>
      <c r="S811" t="str">
        <f t="shared" si="64"/>
        <v>Яковлев Артем ИгоревичОрлов Андрей Никитич</v>
      </c>
      <c r="T811" t="s">
        <v>30</v>
      </c>
      <c r="U811" t="s">
        <v>142</v>
      </c>
      <c r="V811" t="s">
        <v>414</v>
      </c>
    </row>
    <row r="812" spans="4:22" x14ac:dyDescent="0.25">
      <c r="K812" t="str">
        <f t="shared" si="63"/>
        <v>Семенова Ирина ВалерьевнаСтепанов Константин Геннадьевич</v>
      </c>
      <c r="L812" t="s">
        <v>10</v>
      </c>
      <c r="M812" t="s">
        <v>119</v>
      </c>
      <c r="N812" t="s">
        <v>183</v>
      </c>
      <c r="S812" t="str">
        <f t="shared" si="64"/>
        <v>Иванова Анна СергеевнаОрлова Анна Романовна</v>
      </c>
      <c r="T812" t="s">
        <v>13</v>
      </c>
      <c r="U812" t="s">
        <v>19</v>
      </c>
      <c r="V812" t="s">
        <v>414</v>
      </c>
    </row>
    <row r="813" spans="4:22" x14ac:dyDescent="0.25">
      <c r="K813" t="str">
        <f t="shared" si="63"/>
        <v>Яковлев Артем ИгоревичПопов Никита Геннадьевич</v>
      </c>
      <c r="L813" t="s">
        <v>30</v>
      </c>
      <c r="M813" t="s">
        <v>68</v>
      </c>
      <c r="N813" t="s">
        <v>183</v>
      </c>
      <c r="S813" t="str">
        <f t="shared" si="64"/>
        <v>Иванова Анна СергеевнаСтепанов Сергей Егорович</v>
      </c>
      <c r="T813" t="s">
        <v>13</v>
      </c>
      <c r="U813" t="s">
        <v>184</v>
      </c>
      <c r="V813" t="s">
        <v>414</v>
      </c>
    </row>
    <row r="814" spans="4:22" x14ac:dyDescent="0.25">
      <c r="K814" t="str">
        <f t="shared" si="63"/>
        <v>Фролов Сергей ВикторовичПопов Никита Геннадьевич</v>
      </c>
      <c r="L814" t="s">
        <v>16</v>
      </c>
      <c r="M814" t="s">
        <v>68</v>
      </c>
      <c r="N814" t="s">
        <v>183</v>
      </c>
      <c r="S814" t="str">
        <f t="shared" si="64"/>
        <v>Иванова Анна СергеевнаСтепанов Александр Андреевич</v>
      </c>
      <c r="T814" t="s">
        <v>13</v>
      </c>
      <c r="U814" t="s">
        <v>214</v>
      </c>
      <c r="V814" t="s">
        <v>415</v>
      </c>
    </row>
    <row r="815" spans="4:22" x14ac:dyDescent="0.25">
      <c r="K815" t="str">
        <f t="shared" si="63"/>
        <v>Ткаченко Андрей ОлеговичИванова Наталья Михайловна</v>
      </c>
      <c r="L815" t="s">
        <v>27</v>
      </c>
      <c r="M815" t="s">
        <v>178</v>
      </c>
      <c r="N815" t="s">
        <v>179</v>
      </c>
      <c r="S815" t="str">
        <f t="shared" si="64"/>
        <v>Фролов Сергей ВикторовичВолков Кирилл Юрьевич</v>
      </c>
      <c r="T815" t="s">
        <v>16</v>
      </c>
      <c r="U815" t="s">
        <v>151</v>
      </c>
      <c r="V815" t="s">
        <v>415</v>
      </c>
    </row>
    <row r="816" spans="4:22" x14ac:dyDescent="0.25">
      <c r="K816" t="str">
        <f t="shared" si="63"/>
        <v>Орлов Павел ДенисовичСмирнова Людмила Олеговна</v>
      </c>
      <c r="L816" t="s">
        <v>47</v>
      </c>
      <c r="M816" t="s">
        <v>180</v>
      </c>
      <c r="N816" t="s">
        <v>179</v>
      </c>
      <c r="S816" t="str">
        <f t="shared" si="64"/>
        <v>Белов Алексей КонстантиновичСтепанова Ольга Андреевна</v>
      </c>
      <c r="T816" t="s">
        <v>25</v>
      </c>
      <c r="U816" t="s">
        <v>307</v>
      </c>
      <c r="V816" t="s">
        <v>415</v>
      </c>
    </row>
    <row r="817" spans="11:22" x14ac:dyDescent="0.25">
      <c r="K817" t="str">
        <f t="shared" si="63"/>
        <v>Сидорова Елена ВасильевнаНовиков Егор Юрьевич</v>
      </c>
      <c r="L817" t="s">
        <v>8</v>
      </c>
      <c r="M817" t="s">
        <v>181</v>
      </c>
      <c r="N817" t="s">
        <v>179</v>
      </c>
      <c r="S817" t="str">
        <f t="shared" si="64"/>
        <v>Белов Алексей КонстантиновичАлексеев Илья Владимирович</v>
      </c>
      <c r="T817" t="s">
        <v>25</v>
      </c>
      <c r="U817" t="s">
        <v>332</v>
      </c>
      <c r="V817" t="s">
        <v>415</v>
      </c>
    </row>
    <row r="818" spans="11:22" x14ac:dyDescent="0.25">
      <c r="K818" t="str">
        <f t="shared" si="63"/>
        <v>Кузнецов Дмитрий ЛьвовичФедорова София Егоровна</v>
      </c>
      <c r="L818" t="s">
        <v>38</v>
      </c>
      <c r="M818" t="s">
        <v>182</v>
      </c>
      <c r="N818" t="s">
        <v>179</v>
      </c>
      <c r="S818" t="str">
        <f t="shared" si="64"/>
        <v>Громова Мария ИльиничнаСмирнов Максим Сергеевич</v>
      </c>
      <c r="T818" t="s">
        <v>5</v>
      </c>
      <c r="U818" t="s">
        <v>49</v>
      </c>
      <c r="V818" t="s">
        <v>415</v>
      </c>
    </row>
    <row r="819" spans="11:22" x14ac:dyDescent="0.25">
      <c r="K819" t="str">
        <f t="shared" si="63"/>
        <v>Новикова Ольга ПетровнаЕгорова Светлана Андреевна</v>
      </c>
      <c r="L819" t="s">
        <v>45</v>
      </c>
      <c r="M819" t="s">
        <v>108</v>
      </c>
      <c r="N819" t="s">
        <v>179</v>
      </c>
      <c r="S819" t="str">
        <f t="shared" si="64"/>
        <v>Фролов Сергей ВикторовичСидорова Полина Олеговна</v>
      </c>
      <c r="T819" t="s">
        <v>16</v>
      </c>
      <c r="U819" t="s">
        <v>106</v>
      </c>
      <c r="V819" t="s">
        <v>415</v>
      </c>
    </row>
    <row r="820" spans="11:22" x14ac:dyDescent="0.25">
      <c r="K820" t="str">
        <f t="shared" si="63"/>
        <v>Сидорова Елена ВасильевнаФедоров Егор Никитич</v>
      </c>
      <c r="L820" t="s">
        <v>8</v>
      </c>
      <c r="M820" t="s">
        <v>170</v>
      </c>
      <c r="N820" t="s">
        <v>175</v>
      </c>
      <c r="S820" t="str">
        <f t="shared" si="64"/>
        <v>Иванова Анна СергеевнаОрлова Ольга Алексеевна</v>
      </c>
      <c r="T820" t="s">
        <v>13</v>
      </c>
      <c r="U820" t="s">
        <v>82</v>
      </c>
      <c r="V820" t="s">
        <v>415</v>
      </c>
    </row>
    <row r="821" spans="11:22" x14ac:dyDescent="0.25">
      <c r="K821" t="str">
        <f t="shared" si="63"/>
        <v>Орлов Павел ДенисовичНиколаева София Никитична</v>
      </c>
      <c r="L821" t="s">
        <v>47</v>
      </c>
      <c r="M821" t="s">
        <v>176</v>
      </c>
      <c r="N821" t="s">
        <v>175</v>
      </c>
      <c r="S821" t="str">
        <f t="shared" si="64"/>
        <v>Новикова Ольга ПетровнаСеменов Иван Павлович</v>
      </c>
      <c r="T821" t="s">
        <v>45</v>
      </c>
      <c r="U821" t="s">
        <v>105</v>
      </c>
      <c r="V821" t="s">
        <v>415</v>
      </c>
    </row>
    <row r="822" spans="11:22" x14ac:dyDescent="0.25">
      <c r="K822" t="str">
        <f t="shared" si="63"/>
        <v>Яковлев Артем ИгоревичСидоров Дмитрий Владимирович</v>
      </c>
      <c r="L822" t="s">
        <v>30</v>
      </c>
      <c r="M822" t="s">
        <v>155</v>
      </c>
      <c r="N822" t="s">
        <v>175</v>
      </c>
      <c r="S822" t="str">
        <f t="shared" si="64"/>
        <v>Яковлев Артем ИгоревичЛебедев Матвей Сергеевич</v>
      </c>
      <c r="T822" t="s">
        <v>30</v>
      </c>
      <c r="U822" t="s">
        <v>243</v>
      </c>
      <c r="V822" t="s">
        <v>415</v>
      </c>
    </row>
    <row r="823" spans="11:22" x14ac:dyDescent="0.25">
      <c r="K823" t="str">
        <f t="shared" si="63"/>
        <v>Семенова Ирина ВалерьевнаПетров Михаил Ильич</v>
      </c>
      <c r="L823" t="s">
        <v>10</v>
      </c>
      <c r="M823" t="s">
        <v>177</v>
      </c>
      <c r="N823" t="s">
        <v>175</v>
      </c>
      <c r="S823" t="str">
        <f t="shared" si="64"/>
        <v>Семенова Ирина ВалерьевнаФедорова Алиса Юрьевна</v>
      </c>
      <c r="T823" t="s">
        <v>10</v>
      </c>
      <c r="U823" t="s">
        <v>231</v>
      </c>
      <c r="V823" t="s">
        <v>415</v>
      </c>
    </row>
    <row r="824" spans="11:22" x14ac:dyDescent="0.25">
      <c r="K824" t="str">
        <f t="shared" si="63"/>
        <v>Иванова Анна СергеевнаКозлов Константин Александрович</v>
      </c>
      <c r="L824" t="s">
        <v>13</v>
      </c>
      <c r="M824" t="s">
        <v>173</v>
      </c>
      <c r="N824" t="s">
        <v>174</v>
      </c>
      <c r="S824" t="str">
        <f t="shared" si="64"/>
        <v>Новикова Ольга ПетровнаНиколаев Иван Сергеевич</v>
      </c>
      <c r="T824" t="s">
        <v>45</v>
      </c>
      <c r="U824" t="s">
        <v>338</v>
      </c>
      <c r="V824" t="s">
        <v>416</v>
      </c>
    </row>
    <row r="825" spans="11:22" x14ac:dyDescent="0.25">
      <c r="K825" t="str">
        <f t="shared" si="63"/>
        <v>Громова Мария ИльиничнаНовикова Виктория Александровна</v>
      </c>
      <c r="L825" t="s">
        <v>5</v>
      </c>
      <c r="M825" t="s">
        <v>101</v>
      </c>
      <c r="N825" t="s">
        <v>174</v>
      </c>
      <c r="S825" t="str">
        <f t="shared" si="64"/>
        <v>Яковлев Артем ИгоревичСтепанова Полина Михайловна</v>
      </c>
      <c r="T825" t="s">
        <v>30</v>
      </c>
      <c r="U825" t="s">
        <v>50</v>
      </c>
      <c r="V825" t="s">
        <v>416</v>
      </c>
    </row>
    <row r="826" spans="11:22" x14ac:dyDescent="0.25">
      <c r="K826" t="str">
        <f t="shared" si="63"/>
        <v>Иванова Анна СергеевнаПавлов Сергей Артемович</v>
      </c>
      <c r="L826" t="s">
        <v>13</v>
      </c>
      <c r="M826" t="s">
        <v>144</v>
      </c>
      <c r="N826" t="s">
        <v>172</v>
      </c>
      <c r="S826" t="str">
        <f t="shared" si="64"/>
        <v>Громова Мария ИльиничнаВолков Максим Дмитриевич</v>
      </c>
      <c r="T826" t="s">
        <v>5</v>
      </c>
      <c r="U826" t="s">
        <v>81</v>
      </c>
      <c r="V826" t="s">
        <v>416</v>
      </c>
    </row>
    <row r="827" spans="11:22" x14ac:dyDescent="0.25">
      <c r="K827" t="str">
        <f t="shared" si="63"/>
        <v>Семенова Ирина ВалерьевнаИванова Анна Егоровна</v>
      </c>
      <c r="L827" t="s">
        <v>10</v>
      </c>
      <c r="M827" t="s">
        <v>96</v>
      </c>
      <c r="N827" t="s">
        <v>172</v>
      </c>
      <c r="S827" t="str">
        <f t="shared" si="64"/>
        <v>Семенова Ирина ВалерьевнаПетрова Александра Олеговна</v>
      </c>
      <c r="T827" t="s">
        <v>10</v>
      </c>
      <c r="U827" t="s">
        <v>139</v>
      </c>
      <c r="V827" t="s">
        <v>416</v>
      </c>
    </row>
    <row r="828" spans="11:22" x14ac:dyDescent="0.25">
      <c r="K828" t="str">
        <f t="shared" si="63"/>
        <v>Белов Алексей КонстантиновичКузнецова Алиса Владимировна</v>
      </c>
      <c r="L828" t="s">
        <v>25</v>
      </c>
      <c r="M828" t="s">
        <v>46</v>
      </c>
      <c r="N828" t="s">
        <v>172</v>
      </c>
      <c r="S828" t="str">
        <f t="shared" si="64"/>
        <v>Иванова Анна СергеевнаНовиков Матвей Егорович</v>
      </c>
      <c r="T828" t="s">
        <v>13</v>
      </c>
      <c r="U828" t="s">
        <v>33</v>
      </c>
      <c r="V828" t="s">
        <v>416</v>
      </c>
    </row>
    <row r="829" spans="11:22" x14ac:dyDescent="0.25">
      <c r="K829" t="str">
        <f t="shared" si="63"/>
        <v>Новикова Ольга ПетровнаВасильева Ксения Михайловна</v>
      </c>
      <c r="L829" t="s">
        <v>45</v>
      </c>
      <c r="M829" t="s">
        <v>57</v>
      </c>
      <c r="N829" t="s">
        <v>172</v>
      </c>
      <c r="S829" t="str">
        <f t="shared" si="64"/>
        <v>Кузнецов Дмитрий ЛьвовичСмирнов Иван Ильич</v>
      </c>
      <c r="T829" t="s">
        <v>38</v>
      </c>
      <c r="U829" t="s">
        <v>114</v>
      </c>
      <c r="V829" t="s">
        <v>416</v>
      </c>
    </row>
    <row r="830" spans="11:22" x14ac:dyDescent="0.25">
      <c r="K830" t="str">
        <f t="shared" si="63"/>
        <v>Кузнецов Дмитрий ЛьвовичФедоров Егор Никитич</v>
      </c>
      <c r="L830" t="s">
        <v>38</v>
      </c>
      <c r="M830" t="s">
        <v>170</v>
      </c>
      <c r="N830" t="s">
        <v>172</v>
      </c>
      <c r="S830" t="str">
        <f t="shared" si="64"/>
        <v>Яковлев Артем ИгоревичЛебедев Матвей Сергеевич</v>
      </c>
      <c r="T830" t="s">
        <v>30</v>
      </c>
      <c r="U830" t="s">
        <v>243</v>
      </c>
      <c r="V830" t="s">
        <v>417</v>
      </c>
    </row>
    <row r="831" spans="11:22" x14ac:dyDescent="0.25">
      <c r="K831" t="str">
        <f t="shared" si="63"/>
        <v>Новикова Ольга ПетровнаФедоров Егор Никитич</v>
      </c>
      <c r="L831" t="s">
        <v>45</v>
      </c>
      <c r="M831" t="s">
        <v>170</v>
      </c>
      <c r="N831" t="s">
        <v>171</v>
      </c>
      <c r="S831" t="str">
        <f t="shared" si="64"/>
        <v>Ткаченко Андрей ОлеговичВасильева Ксения Михайловна</v>
      </c>
      <c r="T831" t="s">
        <v>27</v>
      </c>
      <c r="U831" t="s">
        <v>57</v>
      </c>
      <c r="V831" t="s">
        <v>418</v>
      </c>
    </row>
    <row r="832" spans="11:22" x14ac:dyDescent="0.25">
      <c r="K832" t="str">
        <f t="shared" si="63"/>
        <v>Белов Алексей КонстантиновичСтепанова Полина Михайловна</v>
      </c>
      <c r="L832" t="s">
        <v>25</v>
      </c>
      <c r="M832" t="s">
        <v>50</v>
      </c>
      <c r="N832" t="s">
        <v>171</v>
      </c>
      <c r="S832" t="str">
        <f t="shared" si="64"/>
        <v>Кузнецов Дмитрий ЛьвовичФедорова Ксения Павловна</v>
      </c>
      <c r="T832" t="s">
        <v>38</v>
      </c>
      <c r="U832" t="s">
        <v>195</v>
      </c>
      <c r="V832" t="s">
        <v>418</v>
      </c>
    </row>
    <row r="833" spans="11:22" x14ac:dyDescent="0.25">
      <c r="K833" t="str">
        <f t="shared" si="63"/>
        <v>Иванова Анна СергеевнаФедорова Ольга Кирилловна</v>
      </c>
      <c r="L833" t="s">
        <v>13</v>
      </c>
      <c r="M833" t="s">
        <v>167</v>
      </c>
      <c r="N833" t="s">
        <v>168</v>
      </c>
      <c r="S833" t="str">
        <f t="shared" si="64"/>
        <v>Яковлев Артем ИгоревичОрлова Анна Артемовна</v>
      </c>
      <c r="T833" t="s">
        <v>30</v>
      </c>
      <c r="U833" t="s">
        <v>141</v>
      </c>
      <c r="V833" t="s">
        <v>418</v>
      </c>
    </row>
    <row r="834" spans="11:22" x14ac:dyDescent="0.25">
      <c r="K834" t="str">
        <f t="shared" si="63"/>
        <v>Иванова Анна СергеевнаСидорова Полина Олеговна</v>
      </c>
      <c r="L834" t="s">
        <v>13</v>
      </c>
      <c r="M834" t="s">
        <v>106</v>
      </c>
      <c r="N834" t="s">
        <v>168</v>
      </c>
      <c r="S834" t="str">
        <f t="shared" si="64"/>
        <v>Громова Мария ИльиничнаИванова Людмила Юрьевна</v>
      </c>
      <c r="T834" t="s">
        <v>5</v>
      </c>
      <c r="U834" t="s">
        <v>148</v>
      </c>
      <c r="V834" t="s">
        <v>419</v>
      </c>
    </row>
    <row r="835" spans="11:22" x14ac:dyDescent="0.25">
      <c r="K835" t="str">
        <f t="shared" ref="K835:K898" si="65">L835&amp;M835</f>
        <v>Новикова Ольга ПетровнаСеменов Михаил Егорович</v>
      </c>
      <c r="L835" t="s">
        <v>45</v>
      </c>
      <c r="M835" t="s">
        <v>169</v>
      </c>
      <c r="N835" t="s">
        <v>168</v>
      </c>
      <c r="S835" t="str">
        <f t="shared" ref="S835:S898" si="66">T835&amp;U835</f>
        <v>Яковлев Артем ИгоревичПетров Алексей Юрьевич</v>
      </c>
      <c r="T835" t="s">
        <v>30</v>
      </c>
      <c r="U835" t="s">
        <v>22</v>
      </c>
      <c r="V835" t="s">
        <v>419</v>
      </c>
    </row>
    <row r="836" spans="11:22" x14ac:dyDescent="0.25">
      <c r="K836" t="str">
        <f t="shared" si="65"/>
        <v>Яковлев Артем ИгоревичСидорова Ольга Андреевна</v>
      </c>
      <c r="L836" t="s">
        <v>30</v>
      </c>
      <c r="M836" t="s">
        <v>52</v>
      </c>
      <c r="N836" t="s">
        <v>168</v>
      </c>
      <c r="S836" t="str">
        <f t="shared" si="66"/>
        <v>Новикова Ольга ПетровнаВолкова Валерия Алексеевна</v>
      </c>
      <c r="T836" t="s">
        <v>45</v>
      </c>
      <c r="U836" t="s">
        <v>6</v>
      </c>
      <c r="V836" t="s">
        <v>420</v>
      </c>
    </row>
    <row r="837" spans="11:22" x14ac:dyDescent="0.25">
      <c r="K837" t="str">
        <f t="shared" si="65"/>
        <v>Сидорова Елена ВасильевнаОрлова Анна Артемовна</v>
      </c>
      <c r="L837" t="s">
        <v>8</v>
      </c>
      <c r="M837" t="s">
        <v>141</v>
      </c>
      <c r="N837" t="s">
        <v>168</v>
      </c>
      <c r="S837" t="str">
        <f t="shared" si="66"/>
        <v>Семенова Ирина ВалерьевнаФедорова Ольга Кирилловна</v>
      </c>
      <c r="T837" t="s">
        <v>10</v>
      </c>
      <c r="U837" t="s">
        <v>167</v>
      </c>
      <c r="V837" t="s">
        <v>420</v>
      </c>
    </row>
    <row r="838" spans="11:22" x14ac:dyDescent="0.25">
      <c r="K838" t="str">
        <f t="shared" si="65"/>
        <v>Орлов Павел ДенисовичКозлов Артем Викторович</v>
      </c>
      <c r="L838" t="s">
        <v>47</v>
      </c>
      <c r="M838" t="s">
        <v>124</v>
      </c>
      <c r="N838" t="s">
        <v>168</v>
      </c>
      <c r="S838" t="str">
        <f t="shared" si="66"/>
        <v>Орлов Павел ДенисовичНовикова Людмила Владимировна</v>
      </c>
      <c r="T838" t="s">
        <v>47</v>
      </c>
      <c r="U838" t="s">
        <v>113</v>
      </c>
      <c r="V838" t="s">
        <v>420</v>
      </c>
    </row>
    <row r="839" spans="11:22" x14ac:dyDescent="0.25">
      <c r="K839" t="str">
        <f t="shared" si="65"/>
        <v>Новикова Ольга ПетровнаНовиков Матвей Егорович</v>
      </c>
      <c r="L839" t="s">
        <v>45</v>
      </c>
      <c r="M839" t="s">
        <v>33</v>
      </c>
      <c r="N839" t="s">
        <v>164</v>
      </c>
      <c r="S839" t="str">
        <f t="shared" si="66"/>
        <v>Петров Владимир КирилловичФедорова Виктория Егоровна</v>
      </c>
      <c r="T839" t="s">
        <v>18</v>
      </c>
      <c r="U839" t="s">
        <v>264</v>
      </c>
      <c r="V839" t="s">
        <v>420</v>
      </c>
    </row>
    <row r="840" spans="11:22" x14ac:dyDescent="0.25">
      <c r="K840" t="str">
        <f t="shared" si="65"/>
        <v>Сидорова Елена ВасильевнаСмирнов Александр Дмитриевич</v>
      </c>
      <c r="L840" t="s">
        <v>8</v>
      </c>
      <c r="M840" t="s">
        <v>85</v>
      </c>
      <c r="N840" t="s">
        <v>164</v>
      </c>
      <c r="S840" t="str">
        <f t="shared" si="66"/>
        <v>Новикова Ольга ПетровнаПопов Михаил Павлович</v>
      </c>
      <c r="T840" t="s">
        <v>45</v>
      </c>
      <c r="U840" t="s">
        <v>146</v>
      </c>
      <c r="V840" t="s">
        <v>420</v>
      </c>
    </row>
    <row r="841" spans="11:22" x14ac:dyDescent="0.25">
      <c r="K841" t="str">
        <f t="shared" si="65"/>
        <v>Фролов Сергей ВикторовичВасильев Владимир Дмитриевич</v>
      </c>
      <c r="L841" t="s">
        <v>16</v>
      </c>
      <c r="M841" t="s">
        <v>165</v>
      </c>
      <c r="N841" t="s">
        <v>164</v>
      </c>
      <c r="S841" t="str">
        <f t="shared" si="66"/>
        <v>Громова Мария ИльиничнаСтепанова Полина Михайловна</v>
      </c>
      <c r="T841" t="s">
        <v>5</v>
      </c>
      <c r="U841" t="s">
        <v>50</v>
      </c>
      <c r="V841" t="s">
        <v>420</v>
      </c>
    </row>
    <row r="842" spans="11:22" x14ac:dyDescent="0.25">
      <c r="K842" t="str">
        <f t="shared" si="65"/>
        <v>Семенова Ирина ВалерьевнаПопов Михаил Павлович</v>
      </c>
      <c r="L842" t="s">
        <v>10</v>
      </c>
      <c r="M842" t="s">
        <v>146</v>
      </c>
      <c r="N842" t="s">
        <v>164</v>
      </c>
      <c r="S842" t="str">
        <f t="shared" si="66"/>
        <v>Иванова Анна СергеевнаВасильев Дмитрий Иванович</v>
      </c>
      <c r="T842" t="s">
        <v>13</v>
      </c>
      <c r="U842" t="s">
        <v>125</v>
      </c>
      <c r="V842" t="s">
        <v>421</v>
      </c>
    </row>
    <row r="843" spans="11:22" x14ac:dyDescent="0.25">
      <c r="K843" t="str">
        <f t="shared" si="65"/>
        <v>Петров Владимир КирилловичМорозова Светлана Ивановна</v>
      </c>
      <c r="L843" t="s">
        <v>18</v>
      </c>
      <c r="M843" t="s">
        <v>166</v>
      </c>
      <c r="N843" t="s">
        <v>164</v>
      </c>
      <c r="S843" t="str">
        <f t="shared" si="66"/>
        <v>Сидорова Елена ВасильевнаНовиков Матвей Егорович</v>
      </c>
      <c r="T843" t="s">
        <v>8</v>
      </c>
      <c r="U843" t="s">
        <v>33</v>
      </c>
      <c r="V843" t="s">
        <v>421</v>
      </c>
    </row>
    <row r="844" spans="11:22" x14ac:dyDescent="0.25">
      <c r="K844" t="str">
        <f t="shared" si="65"/>
        <v>Громова Мария ИльиничнаКузнецова Анна Павловна</v>
      </c>
      <c r="L844" t="s">
        <v>5</v>
      </c>
      <c r="M844" t="s">
        <v>162</v>
      </c>
      <c r="N844" t="s">
        <v>163</v>
      </c>
      <c r="S844" t="str">
        <f t="shared" si="66"/>
        <v>Громова Мария ИльиничнаСмирнова Людмила Олеговна</v>
      </c>
      <c r="T844" t="s">
        <v>5</v>
      </c>
      <c r="U844" t="s">
        <v>180</v>
      </c>
      <c r="V844" t="s">
        <v>422</v>
      </c>
    </row>
    <row r="845" spans="11:22" x14ac:dyDescent="0.25">
      <c r="K845" t="str">
        <f t="shared" si="65"/>
        <v>Сидорова Елена ВасильевнаНовикова Виктория Александровна</v>
      </c>
      <c r="L845" t="s">
        <v>8</v>
      </c>
      <c r="M845" t="s">
        <v>101</v>
      </c>
      <c r="N845" t="s">
        <v>160</v>
      </c>
      <c r="S845" t="str">
        <f t="shared" si="66"/>
        <v>Ткаченко Андрей ОлеговичКозлов Павел Андреевич</v>
      </c>
      <c r="T845" t="s">
        <v>27</v>
      </c>
      <c r="U845" t="s">
        <v>363</v>
      </c>
      <c r="V845" t="s">
        <v>422</v>
      </c>
    </row>
    <row r="846" spans="11:22" x14ac:dyDescent="0.25">
      <c r="K846" t="str">
        <f t="shared" si="65"/>
        <v>Фролов Сергей ВикторовичПопов Никита Геннадьевич</v>
      </c>
      <c r="L846" t="s">
        <v>16</v>
      </c>
      <c r="M846" t="s">
        <v>68</v>
      </c>
      <c r="N846" t="s">
        <v>160</v>
      </c>
      <c r="S846" t="str">
        <f t="shared" si="66"/>
        <v>Петров Владимир КирилловичФедорова Алиса Викторовна</v>
      </c>
      <c r="T846" t="s">
        <v>18</v>
      </c>
      <c r="U846" t="s">
        <v>395</v>
      </c>
      <c r="V846" t="s">
        <v>422</v>
      </c>
    </row>
    <row r="847" spans="11:22" x14ac:dyDescent="0.25">
      <c r="K847" t="str">
        <f t="shared" si="65"/>
        <v>Громова Мария ИльиничнаПетрова Ольга Сергеевна</v>
      </c>
      <c r="L847" t="s">
        <v>5</v>
      </c>
      <c r="M847" t="s">
        <v>161</v>
      </c>
      <c r="N847" t="s">
        <v>160</v>
      </c>
      <c r="S847" t="str">
        <f t="shared" si="66"/>
        <v>Кузнецов Дмитрий ЛьвовичОрлова Анна Романовна</v>
      </c>
      <c r="T847" t="s">
        <v>38</v>
      </c>
      <c r="U847" t="s">
        <v>19</v>
      </c>
      <c r="V847" t="s">
        <v>422</v>
      </c>
    </row>
    <row r="848" spans="11:22" x14ac:dyDescent="0.25">
      <c r="K848" t="str">
        <f t="shared" si="65"/>
        <v>Семенова Ирина ВалерьевнаИванов Роман Кириллович</v>
      </c>
      <c r="L848" t="s">
        <v>10</v>
      </c>
      <c r="M848" t="s">
        <v>91</v>
      </c>
      <c r="N848" t="s">
        <v>160</v>
      </c>
      <c r="S848" t="str">
        <f t="shared" si="66"/>
        <v>Петров Владимир КирилловичКозлов Артем Викторович</v>
      </c>
      <c r="T848" t="s">
        <v>18</v>
      </c>
      <c r="U848" t="s">
        <v>124</v>
      </c>
      <c r="V848" t="s">
        <v>422</v>
      </c>
    </row>
    <row r="849" spans="11:22" x14ac:dyDescent="0.25">
      <c r="K849" t="str">
        <f t="shared" si="65"/>
        <v>Сидорова Елена ВасильевнаСидорова Ольга Андреевна</v>
      </c>
      <c r="L849" t="s">
        <v>8</v>
      </c>
      <c r="M849" t="s">
        <v>52</v>
      </c>
      <c r="N849" t="s">
        <v>159</v>
      </c>
      <c r="S849" t="str">
        <f t="shared" si="66"/>
        <v>Сидорова Елена ВасильевнаМорозов Никита Алексеевич</v>
      </c>
      <c r="T849" t="s">
        <v>8</v>
      </c>
      <c r="U849" t="s">
        <v>92</v>
      </c>
      <c r="V849" t="s">
        <v>423</v>
      </c>
    </row>
    <row r="850" spans="11:22" x14ac:dyDescent="0.25">
      <c r="K850" t="str">
        <f t="shared" si="65"/>
        <v>Яковлев Артем ИгоревичСтепанова София Михайловна</v>
      </c>
      <c r="L850" t="s">
        <v>30</v>
      </c>
      <c r="M850" t="s">
        <v>77</v>
      </c>
      <c r="N850" t="s">
        <v>154</v>
      </c>
      <c r="S850" t="str">
        <f t="shared" si="66"/>
        <v>Громова Мария ИльиничнаКузнецов Максим Алексеевич</v>
      </c>
      <c r="T850" t="s">
        <v>5</v>
      </c>
      <c r="U850" t="s">
        <v>53</v>
      </c>
      <c r="V850" t="s">
        <v>423</v>
      </c>
    </row>
    <row r="851" spans="11:22" x14ac:dyDescent="0.25">
      <c r="K851" t="str">
        <f t="shared" si="65"/>
        <v>Сидорова Елена ВасильевнаСидоров Дмитрий Владимирович</v>
      </c>
      <c r="L851" t="s">
        <v>8</v>
      </c>
      <c r="M851" t="s">
        <v>155</v>
      </c>
      <c r="N851" t="s">
        <v>154</v>
      </c>
      <c r="S851" t="str">
        <f t="shared" si="66"/>
        <v>Яковлев Артем ИгоревичСтепанов Дмитрий Иванович</v>
      </c>
      <c r="T851" t="s">
        <v>30</v>
      </c>
      <c r="U851" t="s">
        <v>69</v>
      </c>
      <c r="V851" t="s">
        <v>423</v>
      </c>
    </row>
    <row r="852" spans="11:22" x14ac:dyDescent="0.25">
      <c r="K852" t="str">
        <f t="shared" si="65"/>
        <v>Кузнецов Дмитрий ЛьвовичСеменов Алексей Владимирович</v>
      </c>
      <c r="L852" t="s">
        <v>38</v>
      </c>
      <c r="M852" t="s">
        <v>35</v>
      </c>
      <c r="N852" t="s">
        <v>154</v>
      </c>
      <c r="S852" t="str">
        <f t="shared" si="66"/>
        <v>Сидорова Елена ВасильевнаСтепанов Александр Дмитриевич</v>
      </c>
      <c r="T852" t="s">
        <v>8</v>
      </c>
      <c r="U852" t="s">
        <v>149</v>
      </c>
      <c r="V852" t="s">
        <v>424</v>
      </c>
    </row>
    <row r="853" spans="11:22" x14ac:dyDescent="0.25">
      <c r="K853" t="str">
        <f t="shared" si="65"/>
        <v>Иванова Анна СергеевнаНовикова Виктория Александровна</v>
      </c>
      <c r="L853" t="s">
        <v>13</v>
      </c>
      <c r="M853" t="s">
        <v>101</v>
      </c>
      <c r="N853" t="s">
        <v>154</v>
      </c>
      <c r="S853" t="str">
        <f t="shared" si="66"/>
        <v>Ткаченко Андрей ОлеговичСеменова Светлана Дмитриевна</v>
      </c>
      <c r="T853" t="s">
        <v>27</v>
      </c>
      <c r="U853" t="s">
        <v>41</v>
      </c>
      <c r="V853" t="s">
        <v>424</v>
      </c>
    </row>
    <row r="854" spans="11:22" x14ac:dyDescent="0.25">
      <c r="K854" t="str">
        <f t="shared" si="65"/>
        <v>Белов Алексей КонстантиновичОрлова Анна Артемовна</v>
      </c>
      <c r="L854" t="s">
        <v>25</v>
      </c>
      <c r="M854" t="s">
        <v>141</v>
      </c>
      <c r="N854" t="s">
        <v>154</v>
      </c>
      <c r="S854" t="str">
        <f t="shared" si="66"/>
        <v>Фролов Сергей ВикторовичЛебедева Ирина Кирилловна</v>
      </c>
      <c r="T854" t="s">
        <v>16</v>
      </c>
      <c r="U854" t="s">
        <v>73</v>
      </c>
      <c r="V854" t="s">
        <v>424</v>
      </c>
    </row>
    <row r="855" spans="11:22" x14ac:dyDescent="0.25">
      <c r="K855" t="str">
        <f t="shared" si="65"/>
        <v>Яковлев Артем ИгоревичКозлов Алексей Романович</v>
      </c>
      <c r="L855" t="s">
        <v>30</v>
      </c>
      <c r="M855" t="s">
        <v>156</v>
      </c>
      <c r="N855" t="s">
        <v>154</v>
      </c>
      <c r="S855" t="str">
        <f t="shared" si="66"/>
        <v>Кузнецов Дмитрий ЛьвовичПавлов Никита Андреевич</v>
      </c>
      <c r="T855" t="s">
        <v>38</v>
      </c>
      <c r="U855" t="s">
        <v>130</v>
      </c>
      <c r="V855" t="s">
        <v>424</v>
      </c>
    </row>
    <row r="856" spans="11:22" x14ac:dyDescent="0.25">
      <c r="K856" t="str">
        <f t="shared" si="65"/>
        <v>Орлов Павел ДенисовичАлексеев Кирилл Иванович</v>
      </c>
      <c r="L856" t="s">
        <v>47</v>
      </c>
      <c r="M856" t="s">
        <v>90</v>
      </c>
      <c r="N856" t="s">
        <v>154</v>
      </c>
      <c r="S856" t="str">
        <f t="shared" si="66"/>
        <v>Белов Алексей КонстантиновичСеменова Наталья Олеговна</v>
      </c>
      <c r="T856" t="s">
        <v>25</v>
      </c>
      <c r="U856" t="s">
        <v>249</v>
      </c>
      <c r="V856" t="s">
        <v>425</v>
      </c>
    </row>
    <row r="857" spans="11:22" x14ac:dyDescent="0.25">
      <c r="K857" t="str">
        <f t="shared" si="65"/>
        <v>Орлов Павел ДенисовичОрлова Юлия Сергеевна</v>
      </c>
      <c r="L857" t="s">
        <v>47</v>
      </c>
      <c r="M857" t="s">
        <v>157</v>
      </c>
      <c r="N857" t="s">
        <v>154</v>
      </c>
      <c r="S857" t="str">
        <f t="shared" si="66"/>
        <v>Яковлев Артем ИгоревичПавлов Сергей Артемович</v>
      </c>
      <c r="T857" t="s">
        <v>30</v>
      </c>
      <c r="U857" t="s">
        <v>144</v>
      </c>
      <c r="V857" t="s">
        <v>425</v>
      </c>
    </row>
    <row r="858" spans="11:22" x14ac:dyDescent="0.25">
      <c r="K858" t="str">
        <f t="shared" si="65"/>
        <v>Ткаченко Андрей ОлеговичКозлова Ксения Ильинична</v>
      </c>
      <c r="L858" t="s">
        <v>27</v>
      </c>
      <c r="M858" t="s">
        <v>158</v>
      </c>
      <c r="N858" t="s">
        <v>154</v>
      </c>
      <c r="S858" t="str">
        <f t="shared" si="66"/>
        <v>Семенова Ирина ВалерьевнаСеменов Алексей Владимирович</v>
      </c>
      <c r="T858" t="s">
        <v>10</v>
      </c>
      <c r="U858" t="s">
        <v>35</v>
      </c>
      <c r="V858" t="s">
        <v>426</v>
      </c>
    </row>
    <row r="859" spans="11:22" x14ac:dyDescent="0.25">
      <c r="K859" t="str">
        <f t="shared" si="65"/>
        <v>Сидорова Елена ВасильевнаСтепанов Александр Дмитриевич</v>
      </c>
      <c r="L859" t="s">
        <v>8</v>
      </c>
      <c r="M859" t="s">
        <v>149</v>
      </c>
      <c r="N859" t="s">
        <v>150</v>
      </c>
      <c r="S859" t="str">
        <f t="shared" si="66"/>
        <v>Яковлев Артем ИгоревичИванова Людмила Юрьевна</v>
      </c>
      <c r="T859" t="s">
        <v>30</v>
      </c>
      <c r="U859" t="s">
        <v>148</v>
      </c>
      <c r="V859" t="s">
        <v>426</v>
      </c>
    </row>
    <row r="860" spans="11:22" x14ac:dyDescent="0.25">
      <c r="K860" t="str">
        <f t="shared" si="65"/>
        <v>Орлов Павел ДенисовичВолков Кирилл Юрьевич</v>
      </c>
      <c r="L860" t="s">
        <v>47</v>
      </c>
      <c r="M860" t="s">
        <v>151</v>
      </c>
      <c r="N860" t="s">
        <v>150</v>
      </c>
      <c r="S860" t="str">
        <f t="shared" si="66"/>
        <v>Новикова Ольга ПетровнаВолкова Наталья Андреевна</v>
      </c>
      <c r="T860" t="s">
        <v>45</v>
      </c>
      <c r="U860" t="s">
        <v>24</v>
      </c>
      <c r="V860" t="s">
        <v>427</v>
      </c>
    </row>
    <row r="861" spans="11:22" x14ac:dyDescent="0.25">
      <c r="K861" t="str">
        <f t="shared" si="65"/>
        <v>Иванова Анна СергеевнаПавлов Матвей Владимирович</v>
      </c>
      <c r="L861" t="s">
        <v>13</v>
      </c>
      <c r="M861" t="s">
        <v>152</v>
      </c>
      <c r="N861" t="s">
        <v>150</v>
      </c>
      <c r="S861" t="str">
        <f t="shared" si="66"/>
        <v>Новикова Ольга ПетровнаВолкова Ольга Андреевна</v>
      </c>
      <c r="T861" t="s">
        <v>45</v>
      </c>
      <c r="U861" t="s">
        <v>21</v>
      </c>
      <c r="V861" t="s">
        <v>427</v>
      </c>
    </row>
    <row r="862" spans="11:22" x14ac:dyDescent="0.25">
      <c r="K862" t="str">
        <f t="shared" si="65"/>
        <v>Петров Владимир КирилловичСидоров Егор Александрович</v>
      </c>
      <c r="L862" t="s">
        <v>18</v>
      </c>
      <c r="M862" t="s">
        <v>153</v>
      </c>
      <c r="N862" t="s">
        <v>150</v>
      </c>
      <c r="S862" t="str">
        <f t="shared" si="66"/>
        <v>Орлов Павел ДенисовичСмирнова Светлана Кирилловна</v>
      </c>
      <c r="T862" t="s">
        <v>47</v>
      </c>
      <c r="U862" t="s">
        <v>393</v>
      </c>
      <c r="V862" t="s">
        <v>427</v>
      </c>
    </row>
    <row r="863" spans="11:22" x14ac:dyDescent="0.25">
      <c r="K863" t="str">
        <f t="shared" si="65"/>
        <v>Иванова Анна СергеевнаПетрова Татьяна Павловна</v>
      </c>
      <c r="L863" t="s">
        <v>13</v>
      </c>
      <c r="M863" t="s">
        <v>48</v>
      </c>
      <c r="N863" t="s">
        <v>147</v>
      </c>
      <c r="S863" t="str">
        <f t="shared" si="66"/>
        <v>Громова Мария ИльиничнаСмирнова Алиса Михайловна</v>
      </c>
      <c r="T863" t="s">
        <v>5</v>
      </c>
      <c r="U863" t="s">
        <v>205</v>
      </c>
      <c r="V863" t="s">
        <v>427</v>
      </c>
    </row>
    <row r="864" spans="11:22" x14ac:dyDescent="0.25">
      <c r="K864" t="str">
        <f t="shared" si="65"/>
        <v>Орлов Павел ДенисовичОрлова Анна Артемовна</v>
      </c>
      <c r="L864" t="s">
        <v>47</v>
      </c>
      <c r="M864" t="s">
        <v>141</v>
      </c>
      <c r="N864" t="s">
        <v>147</v>
      </c>
      <c r="S864" t="str">
        <f t="shared" si="66"/>
        <v>Ткаченко Андрей ОлеговичИванов Роман Кириллович</v>
      </c>
      <c r="T864" t="s">
        <v>27</v>
      </c>
      <c r="U864" t="s">
        <v>91</v>
      </c>
      <c r="V864" t="s">
        <v>428</v>
      </c>
    </row>
    <row r="865" spans="11:22" x14ac:dyDescent="0.25">
      <c r="K865" t="str">
        <f t="shared" si="65"/>
        <v>Яковлев Артем ИгоревичИванова Людмила Юрьевна</v>
      </c>
      <c r="L865" t="s">
        <v>30</v>
      </c>
      <c r="M865" t="s">
        <v>148</v>
      </c>
      <c r="N865" t="s">
        <v>147</v>
      </c>
      <c r="S865" t="str">
        <f t="shared" si="66"/>
        <v>Петров Владимир КирилловичФедорова Алиса Викторовна</v>
      </c>
      <c r="T865" t="s">
        <v>18</v>
      </c>
      <c r="U865" t="s">
        <v>395</v>
      </c>
      <c r="V865" t="s">
        <v>428</v>
      </c>
    </row>
    <row r="866" spans="11:22" x14ac:dyDescent="0.25">
      <c r="K866" t="str">
        <f t="shared" si="65"/>
        <v>Яковлев Артем ИгоревичЛебедев Егор Никитич</v>
      </c>
      <c r="L866" t="s">
        <v>30</v>
      </c>
      <c r="M866" t="s">
        <v>136</v>
      </c>
      <c r="N866" t="s">
        <v>147</v>
      </c>
      <c r="S866" t="str">
        <f t="shared" si="66"/>
        <v>Ткаченко Андрей ОлеговичМорозов Никита Алексеевич</v>
      </c>
      <c r="T866" t="s">
        <v>27</v>
      </c>
      <c r="U866" t="s">
        <v>92</v>
      </c>
      <c r="V866" t="s">
        <v>429</v>
      </c>
    </row>
    <row r="867" spans="11:22" x14ac:dyDescent="0.25">
      <c r="K867" t="str">
        <f t="shared" si="65"/>
        <v>Орлов Павел ДенисовичОрлова Анна Юрьевна</v>
      </c>
      <c r="L867" t="s">
        <v>47</v>
      </c>
      <c r="M867" t="s">
        <v>61</v>
      </c>
      <c r="N867" t="s">
        <v>147</v>
      </c>
      <c r="S867" t="str">
        <f t="shared" si="66"/>
        <v>Иванова Анна СергеевнаМорозов Илья Геннадьевич</v>
      </c>
      <c r="T867" t="s">
        <v>13</v>
      </c>
      <c r="U867" t="s">
        <v>67</v>
      </c>
      <c r="V867" t="s">
        <v>429</v>
      </c>
    </row>
    <row r="868" spans="11:22" x14ac:dyDescent="0.25">
      <c r="K868" t="str">
        <f t="shared" si="65"/>
        <v>Орлов Павел ДенисовичКозлова Полина Артемовна</v>
      </c>
      <c r="L868" t="s">
        <v>47</v>
      </c>
      <c r="M868" t="s">
        <v>17</v>
      </c>
      <c r="N868" t="s">
        <v>145</v>
      </c>
      <c r="S868" t="str">
        <f t="shared" si="66"/>
        <v>Белов Алексей КонстантиновичЛебедев Сергей Станиславович</v>
      </c>
      <c r="T868" t="s">
        <v>25</v>
      </c>
      <c r="U868" t="s">
        <v>59</v>
      </c>
      <c r="V868" t="s">
        <v>429</v>
      </c>
    </row>
    <row r="869" spans="11:22" x14ac:dyDescent="0.25">
      <c r="K869" t="str">
        <f t="shared" si="65"/>
        <v>Белов Алексей КонстантиновичПетров Алексей Юрьевич</v>
      </c>
      <c r="L869" t="s">
        <v>25</v>
      </c>
      <c r="M869" t="s">
        <v>22</v>
      </c>
      <c r="N869" t="s">
        <v>145</v>
      </c>
      <c r="S869" t="str">
        <f t="shared" si="66"/>
        <v>Громова Мария ИльиничнаСмирнова Елена Викторовна</v>
      </c>
      <c r="T869" t="s">
        <v>5</v>
      </c>
      <c r="U869" t="s">
        <v>66</v>
      </c>
      <c r="V869" t="s">
        <v>430</v>
      </c>
    </row>
    <row r="870" spans="11:22" x14ac:dyDescent="0.25">
      <c r="K870" t="str">
        <f t="shared" si="65"/>
        <v>Сидорова Елена ВасильевнаПопов Михаил Павлович</v>
      </c>
      <c r="L870" t="s">
        <v>8</v>
      </c>
      <c r="M870" t="s">
        <v>146</v>
      </c>
      <c r="N870" t="s">
        <v>145</v>
      </c>
      <c r="S870" t="str">
        <f t="shared" si="66"/>
        <v>Белов Алексей КонстантиновичОрлов Константин Никитич</v>
      </c>
      <c r="T870" t="s">
        <v>25</v>
      </c>
      <c r="U870" t="s">
        <v>233</v>
      </c>
      <c r="V870" t="s">
        <v>430</v>
      </c>
    </row>
    <row r="871" spans="11:22" x14ac:dyDescent="0.25">
      <c r="K871" t="str">
        <f t="shared" si="65"/>
        <v>Иванова Анна СергеевнаОрлов Андрей Никитич</v>
      </c>
      <c r="L871" t="s">
        <v>13</v>
      </c>
      <c r="M871" t="s">
        <v>142</v>
      </c>
      <c r="N871" t="s">
        <v>143</v>
      </c>
      <c r="S871" t="str">
        <f t="shared" si="66"/>
        <v>Яковлев Артем ИгоревичПетрова Алиса Станиславовна</v>
      </c>
      <c r="T871" t="s">
        <v>30</v>
      </c>
      <c r="U871" t="s">
        <v>65</v>
      </c>
      <c r="V871" t="s">
        <v>430</v>
      </c>
    </row>
    <row r="872" spans="11:22" x14ac:dyDescent="0.25">
      <c r="K872" t="str">
        <f t="shared" si="65"/>
        <v>Яковлев Артем ИгоревичПавлов Сергей Артемович</v>
      </c>
      <c r="L872" t="s">
        <v>30</v>
      </c>
      <c r="M872" t="s">
        <v>144</v>
      </c>
      <c r="N872" t="s">
        <v>143</v>
      </c>
      <c r="S872" t="str">
        <f t="shared" si="66"/>
        <v>Фролов Сергей ВикторовичКозлов Илья Егорович</v>
      </c>
      <c r="T872" t="s">
        <v>16</v>
      </c>
      <c r="U872" t="s">
        <v>80</v>
      </c>
      <c r="V872" t="s">
        <v>430</v>
      </c>
    </row>
    <row r="873" spans="11:22" x14ac:dyDescent="0.25">
      <c r="K873" t="str">
        <f t="shared" si="65"/>
        <v>Ткаченко Андрей ОлеговичВолкова Наталья Андреевна</v>
      </c>
      <c r="L873" t="s">
        <v>27</v>
      </c>
      <c r="M873" t="s">
        <v>24</v>
      </c>
      <c r="N873" t="s">
        <v>143</v>
      </c>
      <c r="S873" t="str">
        <f t="shared" si="66"/>
        <v>Громова Мария ИльиничнаЕгоров Дмитрий Дмитриевич</v>
      </c>
      <c r="T873" t="s">
        <v>5</v>
      </c>
      <c r="U873" t="s">
        <v>224</v>
      </c>
      <c r="V873" t="s">
        <v>430</v>
      </c>
    </row>
    <row r="874" spans="11:22" x14ac:dyDescent="0.25">
      <c r="K874" t="str">
        <f t="shared" si="65"/>
        <v>Петров Владимир КирилловичВасильев Илья Александрович</v>
      </c>
      <c r="L874" t="s">
        <v>18</v>
      </c>
      <c r="M874" t="s">
        <v>137</v>
      </c>
      <c r="N874" t="s">
        <v>140</v>
      </c>
      <c r="S874" t="str">
        <f t="shared" si="66"/>
        <v>Фролов Сергей ВикторовичНиколаев Георгий Сергеевич</v>
      </c>
      <c r="T874" t="s">
        <v>16</v>
      </c>
      <c r="U874" t="s">
        <v>194</v>
      </c>
      <c r="V874" t="s">
        <v>430</v>
      </c>
    </row>
    <row r="875" spans="11:22" x14ac:dyDescent="0.25">
      <c r="K875" t="str">
        <f t="shared" si="65"/>
        <v>Новикова Ольга ПетровнаИванова Анна Егоровна</v>
      </c>
      <c r="L875" t="s">
        <v>45</v>
      </c>
      <c r="M875" t="s">
        <v>96</v>
      </c>
      <c r="N875" t="s">
        <v>140</v>
      </c>
      <c r="S875" t="str">
        <f t="shared" si="66"/>
        <v>Кузнецов Дмитрий ЛьвовичВасильева Ксения Михайловна</v>
      </c>
      <c r="T875" t="s">
        <v>38</v>
      </c>
      <c r="U875" t="s">
        <v>57</v>
      </c>
      <c r="V875" t="s">
        <v>430</v>
      </c>
    </row>
    <row r="876" spans="11:22" x14ac:dyDescent="0.25">
      <c r="K876" t="str">
        <f t="shared" si="65"/>
        <v>Новикова Ольга ПетровнаВолкова Татьяна Станиславовна</v>
      </c>
      <c r="L876" t="s">
        <v>45</v>
      </c>
      <c r="M876" t="s">
        <v>89</v>
      </c>
      <c r="N876" t="s">
        <v>140</v>
      </c>
      <c r="S876" t="str">
        <f t="shared" si="66"/>
        <v>Петров Владимир КирилловичНиколаева Наталья Геннадьевна</v>
      </c>
      <c r="T876" t="s">
        <v>18</v>
      </c>
      <c r="U876" t="s">
        <v>256</v>
      </c>
      <c r="V876" t="s">
        <v>431</v>
      </c>
    </row>
    <row r="877" spans="11:22" x14ac:dyDescent="0.25">
      <c r="K877" t="str">
        <f t="shared" si="65"/>
        <v>Кузнецов Дмитрий ЛьвовичОрлова Анна Артемовна</v>
      </c>
      <c r="L877" t="s">
        <v>38</v>
      </c>
      <c r="M877" t="s">
        <v>141</v>
      </c>
      <c r="N877" t="s">
        <v>140</v>
      </c>
      <c r="S877" t="str">
        <f t="shared" si="66"/>
        <v>Кузнецов Дмитрий ЛьвовичПетрова Алиса Станиславовна</v>
      </c>
      <c r="T877" t="s">
        <v>38</v>
      </c>
      <c r="U877" t="s">
        <v>65</v>
      </c>
      <c r="V877" t="s">
        <v>432</v>
      </c>
    </row>
    <row r="878" spans="11:22" x14ac:dyDescent="0.25">
      <c r="K878" t="str">
        <f t="shared" si="65"/>
        <v>Орлов Павел ДенисовичВасильев Илья Александрович</v>
      </c>
      <c r="L878" t="s">
        <v>47</v>
      </c>
      <c r="M878" t="s">
        <v>137</v>
      </c>
      <c r="N878" t="s">
        <v>138</v>
      </c>
      <c r="S878" t="str">
        <f t="shared" si="66"/>
        <v>Белов Алексей КонстантиновичАлексеев Кирилл Иванович</v>
      </c>
      <c r="T878" t="s">
        <v>25</v>
      </c>
      <c r="U878" t="s">
        <v>90</v>
      </c>
      <c r="V878" t="s">
        <v>432</v>
      </c>
    </row>
    <row r="879" spans="11:22" x14ac:dyDescent="0.25">
      <c r="K879" t="str">
        <f t="shared" si="65"/>
        <v>Ткаченко Андрей ОлеговичПетрова Александра Олеговна</v>
      </c>
      <c r="L879" t="s">
        <v>27</v>
      </c>
      <c r="M879" t="s">
        <v>139</v>
      </c>
      <c r="N879" t="s">
        <v>138</v>
      </c>
      <c r="S879" t="str">
        <f t="shared" si="66"/>
        <v>Петров Владимир КирилловичКозлов Александр Дмитриевич</v>
      </c>
      <c r="T879" t="s">
        <v>18</v>
      </c>
      <c r="U879" t="s">
        <v>88</v>
      </c>
      <c r="V879" t="s">
        <v>432</v>
      </c>
    </row>
    <row r="880" spans="11:22" x14ac:dyDescent="0.25">
      <c r="K880" t="str">
        <f t="shared" si="65"/>
        <v>Петров Владимир КирилловичВасильев Дмитрий Иванович</v>
      </c>
      <c r="L880" t="s">
        <v>18</v>
      </c>
      <c r="M880" t="s">
        <v>125</v>
      </c>
      <c r="N880" t="s">
        <v>135</v>
      </c>
      <c r="S880" t="str">
        <f t="shared" si="66"/>
        <v>Новикова Ольга ПетровнаСеменова Наталья Олеговна</v>
      </c>
      <c r="T880" t="s">
        <v>45</v>
      </c>
      <c r="U880" t="s">
        <v>249</v>
      </c>
      <c r="V880" t="s">
        <v>433</v>
      </c>
    </row>
    <row r="881" spans="11:22" x14ac:dyDescent="0.25">
      <c r="K881" t="str">
        <f t="shared" si="65"/>
        <v>Иванова Анна СергеевнаЛебедев Егор Никитич</v>
      </c>
      <c r="L881" t="s">
        <v>13</v>
      </c>
      <c r="M881" t="s">
        <v>136</v>
      </c>
      <c r="N881" t="s">
        <v>135</v>
      </c>
      <c r="S881" t="str">
        <f t="shared" si="66"/>
        <v>Иванова Анна СергеевнаНиколаев Георгий Сергеевич</v>
      </c>
      <c r="T881" t="s">
        <v>13</v>
      </c>
      <c r="U881" t="s">
        <v>194</v>
      </c>
      <c r="V881" t="s">
        <v>433</v>
      </c>
    </row>
    <row r="882" spans="11:22" x14ac:dyDescent="0.25">
      <c r="K882" t="str">
        <f t="shared" si="65"/>
        <v>Новикова Ольга ПетровнаИванова Наталья Дмитриевна</v>
      </c>
      <c r="L882" t="s">
        <v>45</v>
      </c>
      <c r="M882" t="s">
        <v>14</v>
      </c>
      <c r="N882" t="s">
        <v>135</v>
      </c>
      <c r="S882" t="str">
        <f t="shared" si="66"/>
        <v>Сидорова Елена ВасильевнаНиколаев Иван Михайлович</v>
      </c>
      <c r="T882" t="s">
        <v>8</v>
      </c>
      <c r="U882" t="s">
        <v>94</v>
      </c>
      <c r="V882" t="s">
        <v>433</v>
      </c>
    </row>
    <row r="883" spans="11:22" x14ac:dyDescent="0.25">
      <c r="K883" t="str">
        <f t="shared" si="65"/>
        <v>Фролов Сергей ВикторовичСтепанов Константин Геннадьевич</v>
      </c>
      <c r="L883" t="s">
        <v>16</v>
      </c>
      <c r="M883" t="s">
        <v>119</v>
      </c>
      <c r="N883" t="s">
        <v>131</v>
      </c>
      <c r="S883" t="str">
        <f t="shared" si="66"/>
        <v>Яковлев Артем ИгоревичПетрова Алиса Станиславовна</v>
      </c>
      <c r="T883" t="s">
        <v>30</v>
      </c>
      <c r="U883" t="s">
        <v>65</v>
      </c>
      <c r="V883" t="s">
        <v>434</v>
      </c>
    </row>
    <row r="884" spans="11:22" x14ac:dyDescent="0.25">
      <c r="K884" t="str">
        <f t="shared" si="65"/>
        <v>Семенова Ирина ВалерьевнаСтепанов Дмитрий Геннадьевич</v>
      </c>
      <c r="L884" t="s">
        <v>10</v>
      </c>
      <c r="M884" t="s">
        <v>132</v>
      </c>
      <c r="N884" t="s">
        <v>131</v>
      </c>
      <c r="S884" t="str">
        <f t="shared" si="66"/>
        <v>Фролов Сергей ВикторовичЕгорова Татьяна Романовна</v>
      </c>
      <c r="T884" t="s">
        <v>16</v>
      </c>
      <c r="U884" t="s">
        <v>299</v>
      </c>
      <c r="V884" t="s">
        <v>434</v>
      </c>
    </row>
    <row r="885" spans="11:22" x14ac:dyDescent="0.25">
      <c r="K885" t="str">
        <f t="shared" si="65"/>
        <v>Петров Владимир КирилловичЛебедева Вероника Никитична</v>
      </c>
      <c r="L885" t="s">
        <v>18</v>
      </c>
      <c r="M885" t="s">
        <v>133</v>
      </c>
      <c r="N885" t="s">
        <v>131</v>
      </c>
      <c r="S885" t="str">
        <f t="shared" si="66"/>
        <v>Белов Алексей КонстантиновичИванова Алиса Алексеевна</v>
      </c>
      <c r="T885" t="s">
        <v>25</v>
      </c>
      <c r="U885" t="s">
        <v>111</v>
      </c>
      <c r="V885" t="s">
        <v>434</v>
      </c>
    </row>
    <row r="886" spans="11:22" x14ac:dyDescent="0.25">
      <c r="K886" t="str">
        <f t="shared" si="65"/>
        <v>Иванова Анна СергеевнаЕгоров Павел Сергеевич</v>
      </c>
      <c r="L886" t="s">
        <v>13</v>
      </c>
      <c r="M886" t="s">
        <v>134</v>
      </c>
      <c r="N886" t="s">
        <v>131</v>
      </c>
      <c r="S886" t="str">
        <f t="shared" si="66"/>
        <v>Ткаченко Андрей ОлеговичПетрова Елена Юрьевна</v>
      </c>
      <c r="T886" t="s">
        <v>27</v>
      </c>
      <c r="U886" t="s">
        <v>116</v>
      </c>
      <c r="V886" t="s">
        <v>434</v>
      </c>
    </row>
    <row r="887" spans="11:22" x14ac:dyDescent="0.25">
      <c r="K887" t="str">
        <f t="shared" si="65"/>
        <v>Ткаченко Андрей ОлеговичИванова Анна Егоровна</v>
      </c>
      <c r="L887" t="s">
        <v>27</v>
      </c>
      <c r="M887" t="s">
        <v>96</v>
      </c>
      <c r="N887" t="s">
        <v>127</v>
      </c>
      <c r="S887" t="str">
        <f t="shared" si="66"/>
        <v>Иванова Анна СергеевнаЛебедева Ирина Кирилловна</v>
      </c>
      <c r="T887" t="s">
        <v>13</v>
      </c>
      <c r="U887" t="s">
        <v>73</v>
      </c>
      <c r="V887" t="s">
        <v>435</v>
      </c>
    </row>
    <row r="888" spans="11:22" x14ac:dyDescent="0.25">
      <c r="K888" t="str">
        <f t="shared" si="65"/>
        <v>Ткаченко Андрей ОлеговичСеменов Павел Юрьевич</v>
      </c>
      <c r="L888" t="s">
        <v>27</v>
      </c>
      <c r="M888" t="s">
        <v>128</v>
      </c>
      <c r="N888" t="s">
        <v>127</v>
      </c>
      <c r="S888" t="str">
        <f t="shared" si="66"/>
        <v>Петров Владимир КирилловичЕгоров Павел Сергеевич</v>
      </c>
      <c r="T888" t="s">
        <v>18</v>
      </c>
      <c r="U888" t="s">
        <v>134</v>
      </c>
      <c r="V888" t="s">
        <v>435</v>
      </c>
    </row>
    <row r="889" spans="11:22" x14ac:dyDescent="0.25">
      <c r="K889" t="str">
        <f t="shared" si="65"/>
        <v>Громова Мария ИльиничнаКузнецов Максим Алексеевич</v>
      </c>
      <c r="L889" t="s">
        <v>5</v>
      </c>
      <c r="M889" t="s">
        <v>53</v>
      </c>
      <c r="N889" t="s">
        <v>127</v>
      </c>
      <c r="S889" t="str">
        <f t="shared" si="66"/>
        <v>Ткаченко Андрей ОлеговичСтепанов Дмитрий Иванович</v>
      </c>
      <c r="T889" t="s">
        <v>27</v>
      </c>
      <c r="U889" t="s">
        <v>69</v>
      </c>
      <c r="V889" t="s">
        <v>435</v>
      </c>
    </row>
    <row r="890" spans="11:22" x14ac:dyDescent="0.25">
      <c r="K890" t="str">
        <f t="shared" si="65"/>
        <v>Белов Алексей КонстантиновичВолкова Виктория Павловна</v>
      </c>
      <c r="L890" t="s">
        <v>25</v>
      </c>
      <c r="M890" t="s">
        <v>129</v>
      </c>
      <c r="N890" t="s">
        <v>127</v>
      </c>
      <c r="S890" t="str">
        <f t="shared" si="66"/>
        <v>Орлов Павел ДенисовичЛебедева Ольга Романовна</v>
      </c>
      <c r="T890" t="s">
        <v>47</v>
      </c>
      <c r="U890" t="s">
        <v>186</v>
      </c>
      <c r="V890" t="s">
        <v>435</v>
      </c>
    </row>
    <row r="891" spans="11:22" x14ac:dyDescent="0.25">
      <c r="K891" t="str">
        <f t="shared" si="65"/>
        <v>Иванова Анна СергеевнаПавлов Никита Андреевич</v>
      </c>
      <c r="L891" t="s">
        <v>13</v>
      </c>
      <c r="M891" t="s">
        <v>130</v>
      </c>
      <c r="N891" t="s">
        <v>127</v>
      </c>
      <c r="S891" t="str">
        <f t="shared" si="66"/>
        <v>Яковлев Артем ИгоревичМорозов Максим Сергеевич</v>
      </c>
      <c r="T891" t="s">
        <v>30</v>
      </c>
      <c r="U891" t="s">
        <v>239</v>
      </c>
      <c r="V891" t="s">
        <v>435</v>
      </c>
    </row>
    <row r="892" spans="11:22" x14ac:dyDescent="0.25">
      <c r="K892" t="str">
        <f t="shared" si="65"/>
        <v>Орлов Павел ДенисовичНовиков Матвей Егорович</v>
      </c>
      <c r="L892" t="s">
        <v>47</v>
      </c>
      <c r="M892" t="s">
        <v>33</v>
      </c>
      <c r="N892" t="s">
        <v>120</v>
      </c>
      <c r="S892" t="str">
        <f t="shared" si="66"/>
        <v>Яковлев Артем ИгоревичНовикова Людмила Владимировна</v>
      </c>
      <c r="T892" t="s">
        <v>30</v>
      </c>
      <c r="U892" t="s">
        <v>113</v>
      </c>
      <c r="V892" t="s">
        <v>435</v>
      </c>
    </row>
    <row r="893" spans="11:22" x14ac:dyDescent="0.25">
      <c r="K893" t="str">
        <f t="shared" si="65"/>
        <v>Громова Мария ИльиничнаСидоров Никита Романович</v>
      </c>
      <c r="L893" t="s">
        <v>5</v>
      </c>
      <c r="M893" t="s">
        <v>121</v>
      </c>
      <c r="N893" t="s">
        <v>120</v>
      </c>
      <c r="S893" t="str">
        <f t="shared" si="66"/>
        <v>Ткаченко Андрей ОлеговичСеменов Михаил Егорович</v>
      </c>
      <c r="T893" t="s">
        <v>27</v>
      </c>
      <c r="U893" t="s">
        <v>169</v>
      </c>
      <c r="V893" t="s">
        <v>435</v>
      </c>
    </row>
    <row r="894" spans="11:22" x14ac:dyDescent="0.25">
      <c r="K894" t="str">
        <f t="shared" si="65"/>
        <v>Сидорова Елена ВасильевнаЛебедев Сергей Алексеевич</v>
      </c>
      <c r="L894" t="s">
        <v>8</v>
      </c>
      <c r="M894" t="s">
        <v>99</v>
      </c>
      <c r="N894" t="s">
        <v>120</v>
      </c>
      <c r="S894" t="str">
        <f t="shared" si="66"/>
        <v>Орлов Павел ДенисовичСидоров Владимир Артемович</v>
      </c>
      <c r="T894" t="s">
        <v>47</v>
      </c>
      <c r="U894" t="s">
        <v>32</v>
      </c>
      <c r="V894" t="s">
        <v>435</v>
      </c>
    </row>
    <row r="895" spans="11:22" x14ac:dyDescent="0.25">
      <c r="K895" t="str">
        <f t="shared" si="65"/>
        <v>Фролов Сергей ВикторовичСмирнов Илья Олегович</v>
      </c>
      <c r="L895" t="s">
        <v>16</v>
      </c>
      <c r="M895" t="s">
        <v>26</v>
      </c>
      <c r="N895" t="s">
        <v>120</v>
      </c>
      <c r="S895" t="str">
        <f t="shared" si="66"/>
        <v>Ткаченко Андрей ОлеговичСтепанов Дмитрий Иванович</v>
      </c>
      <c r="T895" t="s">
        <v>27</v>
      </c>
      <c r="U895" t="s">
        <v>69</v>
      </c>
      <c r="V895" t="s">
        <v>435</v>
      </c>
    </row>
    <row r="896" spans="11:22" x14ac:dyDescent="0.25">
      <c r="K896" t="str">
        <f t="shared" si="65"/>
        <v>Орлов Павел ДенисовичПавлов Дмитрий Павлович</v>
      </c>
      <c r="L896" t="s">
        <v>47</v>
      </c>
      <c r="M896" t="s">
        <v>122</v>
      </c>
      <c r="N896" t="s">
        <v>120</v>
      </c>
      <c r="S896" t="str">
        <f t="shared" si="66"/>
        <v>Белов Алексей КонстантиновичЛебедев Егор Никитич</v>
      </c>
      <c r="T896" t="s">
        <v>25</v>
      </c>
      <c r="U896" t="s">
        <v>136</v>
      </c>
      <c r="V896" t="s">
        <v>435</v>
      </c>
    </row>
    <row r="897" spans="11:22" x14ac:dyDescent="0.25">
      <c r="K897" t="str">
        <f t="shared" si="65"/>
        <v>Кузнецов Дмитрий ЛьвовичВолкова Ирина Сергеевна</v>
      </c>
      <c r="L897" t="s">
        <v>38</v>
      </c>
      <c r="M897" t="s">
        <v>123</v>
      </c>
      <c r="N897" t="s">
        <v>120</v>
      </c>
      <c r="S897" t="str">
        <f t="shared" si="66"/>
        <v>Новикова Ольга ПетровнаКозлов Павел Андреевич</v>
      </c>
      <c r="T897" t="s">
        <v>45</v>
      </c>
      <c r="U897" t="s">
        <v>363</v>
      </c>
      <c r="V897" t="s">
        <v>436</v>
      </c>
    </row>
    <row r="898" spans="11:22" x14ac:dyDescent="0.25">
      <c r="K898" t="str">
        <f t="shared" si="65"/>
        <v>Новикова Ольга ПетровнаКозлов Артем Викторович</v>
      </c>
      <c r="L898" t="s">
        <v>45</v>
      </c>
      <c r="M898" t="s">
        <v>124</v>
      </c>
      <c r="N898" t="s">
        <v>120</v>
      </c>
      <c r="S898" t="str">
        <f t="shared" si="66"/>
        <v>Орлов Павел ДенисовичЛебедев Сергей Станиславович</v>
      </c>
      <c r="T898" t="s">
        <v>47</v>
      </c>
      <c r="U898" t="s">
        <v>59</v>
      </c>
      <c r="V898" t="s">
        <v>436</v>
      </c>
    </row>
    <row r="899" spans="11:22" x14ac:dyDescent="0.25">
      <c r="K899" t="str">
        <f t="shared" ref="K899:K962" si="67">L899&amp;M899</f>
        <v>Сидорова Елена ВасильевнаОрлова Анна Романовна</v>
      </c>
      <c r="L899" t="s">
        <v>8</v>
      </c>
      <c r="M899" t="s">
        <v>19</v>
      </c>
      <c r="N899" t="s">
        <v>120</v>
      </c>
      <c r="S899" t="str">
        <f t="shared" ref="S899:S962" si="68">T899&amp;U899</f>
        <v>Петров Владимир КирилловичКозлов Павел Андреевич</v>
      </c>
      <c r="T899" t="s">
        <v>18</v>
      </c>
      <c r="U899" t="s">
        <v>363</v>
      </c>
      <c r="V899" t="s">
        <v>436</v>
      </c>
    </row>
    <row r="900" spans="11:22" x14ac:dyDescent="0.25">
      <c r="K900" t="str">
        <f t="shared" si="67"/>
        <v>Иванова Анна СергеевнаВасильев Дмитрий Иванович</v>
      </c>
      <c r="L900" t="s">
        <v>13</v>
      </c>
      <c r="M900" t="s">
        <v>125</v>
      </c>
      <c r="N900" t="s">
        <v>120</v>
      </c>
      <c r="S900" t="str">
        <f t="shared" si="68"/>
        <v>Семенова Ирина ВалерьевнаЛебедева Вероника Никитична</v>
      </c>
      <c r="T900" t="s">
        <v>10</v>
      </c>
      <c r="U900" t="s">
        <v>133</v>
      </c>
      <c r="V900" t="s">
        <v>436</v>
      </c>
    </row>
    <row r="901" spans="11:22" x14ac:dyDescent="0.25">
      <c r="K901" t="str">
        <f t="shared" si="67"/>
        <v>Белов Алексей КонстантиновичВасильев Константин Дмитриевич</v>
      </c>
      <c r="L901" t="s">
        <v>25</v>
      </c>
      <c r="M901" t="s">
        <v>126</v>
      </c>
      <c r="N901" t="s">
        <v>120</v>
      </c>
      <c r="S901" t="str">
        <f t="shared" si="68"/>
        <v>Иванова Анна СергеевнаСидоров Дмитрий Владимирович</v>
      </c>
      <c r="T901" t="s">
        <v>13</v>
      </c>
      <c r="U901" t="s">
        <v>155</v>
      </c>
      <c r="V901" t="s">
        <v>437</v>
      </c>
    </row>
    <row r="902" spans="11:22" x14ac:dyDescent="0.25">
      <c r="K902" t="str">
        <f t="shared" si="67"/>
        <v>Фролов Сергей ВикторовичПетров Михаил Кириллович</v>
      </c>
      <c r="L902" t="s">
        <v>16</v>
      </c>
      <c r="M902" t="s">
        <v>78</v>
      </c>
      <c r="N902" t="s">
        <v>120</v>
      </c>
      <c r="S902" t="str">
        <f t="shared" si="68"/>
        <v>Новикова Ольга ПетровнаСидоров Никита Романович</v>
      </c>
      <c r="T902" t="s">
        <v>45</v>
      </c>
      <c r="U902" t="s">
        <v>121</v>
      </c>
      <c r="V902" t="s">
        <v>437</v>
      </c>
    </row>
    <row r="903" spans="11:22" x14ac:dyDescent="0.25">
      <c r="K903" t="str">
        <f t="shared" si="67"/>
        <v>Громова Мария ИльиничнаИванова Алиса Алексеевна</v>
      </c>
      <c r="L903" t="s">
        <v>5</v>
      </c>
      <c r="M903" t="s">
        <v>111</v>
      </c>
      <c r="N903" t="s">
        <v>118</v>
      </c>
      <c r="S903" t="str">
        <f t="shared" si="68"/>
        <v>Петров Владимир КирилловичПавлова София Романовна</v>
      </c>
      <c r="T903" t="s">
        <v>18</v>
      </c>
      <c r="U903" t="s">
        <v>198</v>
      </c>
      <c r="V903" t="s">
        <v>437</v>
      </c>
    </row>
    <row r="904" spans="11:22" x14ac:dyDescent="0.25">
      <c r="K904" t="str">
        <f t="shared" si="67"/>
        <v>Громова Мария ИльиничнаСтепанов Константин Геннадьевич</v>
      </c>
      <c r="L904" t="s">
        <v>5</v>
      </c>
      <c r="M904" t="s">
        <v>119</v>
      </c>
      <c r="N904" t="s">
        <v>118</v>
      </c>
      <c r="S904" t="str">
        <f t="shared" si="68"/>
        <v>Кузнецов Дмитрий ЛьвовичЛебедева Ольга Романовна</v>
      </c>
      <c r="T904" t="s">
        <v>38</v>
      </c>
      <c r="U904" t="s">
        <v>186</v>
      </c>
      <c r="V904" t="s">
        <v>438</v>
      </c>
    </row>
    <row r="905" spans="11:22" x14ac:dyDescent="0.25">
      <c r="K905" t="str">
        <f t="shared" si="67"/>
        <v>Петров Владимир КирилловичСмирнов Иван Ильич</v>
      </c>
      <c r="L905" t="s">
        <v>18</v>
      </c>
      <c r="M905" t="s">
        <v>114</v>
      </c>
      <c r="N905" t="s">
        <v>115</v>
      </c>
      <c r="S905" t="str">
        <f t="shared" si="68"/>
        <v>Кузнецов Дмитрий ЛьвовичСтепанов Дмитрий Геннадьевич</v>
      </c>
      <c r="T905" t="s">
        <v>38</v>
      </c>
      <c r="U905" t="s">
        <v>132</v>
      </c>
      <c r="V905" t="s">
        <v>438</v>
      </c>
    </row>
    <row r="906" spans="11:22" x14ac:dyDescent="0.25">
      <c r="K906" t="str">
        <f t="shared" si="67"/>
        <v>Ткаченко Андрей ОлеговичПетрова Елена Юрьевна</v>
      </c>
      <c r="L906" t="s">
        <v>27</v>
      </c>
      <c r="M906" t="s">
        <v>116</v>
      </c>
      <c r="N906" t="s">
        <v>115</v>
      </c>
      <c r="S906" t="str">
        <f t="shared" si="68"/>
        <v>Белов Алексей КонстантиновичКозлов Илья Сергеевич</v>
      </c>
      <c r="T906" t="s">
        <v>25</v>
      </c>
      <c r="U906" t="s">
        <v>58</v>
      </c>
      <c r="V906" t="s">
        <v>438</v>
      </c>
    </row>
    <row r="907" spans="11:22" x14ac:dyDescent="0.25">
      <c r="K907" t="str">
        <f t="shared" si="67"/>
        <v>Белов Алексей КонстантиновичЕгорова Алиса Михайловна</v>
      </c>
      <c r="L907" t="s">
        <v>25</v>
      </c>
      <c r="M907" t="s">
        <v>117</v>
      </c>
      <c r="N907" t="s">
        <v>115</v>
      </c>
      <c r="S907" t="str">
        <f t="shared" si="68"/>
        <v>Ткаченко Андрей ОлеговичФедоров Егор Никитич</v>
      </c>
      <c r="T907" t="s">
        <v>27</v>
      </c>
      <c r="U907" t="s">
        <v>170</v>
      </c>
      <c r="V907" t="s">
        <v>438</v>
      </c>
    </row>
    <row r="908" spans="11:22" x14ac:dyDescent="0.25">
      <c r="K908" t="str">
        <f t="shared" si="67"/>
        <v>Яковлев Артем ИгоревичИванова Алиса Алексеевна</v>
      </c>
      <c r="L908" t="s">
        <v>30</v>
      </c>
      <c r="M908" t="s">
        <v>111</v>
      </c>
      <c r="N908" t="s">
        <v>112</v>
      </c>
      <c r="S908" t="str">
        <f t="shared" si="68"/>
        <v>Семенова Ирина ВалерьевнаПавлов Сергей Артемович</v>
      </c>
      <c r="T908" t="s">
        <v>10</v>
      </c>
      <c r="U908" t="s">
        <v>144</v>
      </c>
      <c r="V908" t="s">
        <v>439</v>
      </c>
    </row>
    <row r="909" spans="11:22" x14ac:dyDescent="0.25">
      <c r="K909" t="str">
        <f t="shared" si="67"/>
        <v>Яковлев Артем ИгоревичПетрова Алиса Станиславовна</v>
      </c>
      <c r="L909" t="s">
        <v>30</v>
      </c>
      <c r="M909" t="s">
        <v>65</v>
      </c>
      <c r="N909" t="s">
        <v>112</v>
      </c>
      <c r="S909" t="str">
        <f t="shared" si="68"/>
        <v>Новикова Ольга ПетровнаПопов Никита Геннадьевич</v>
      </c>
      <c r="T909" t="s">
        <v>45</v>
      </c>
      <c r="U909" t="s">
        <v>68</v>
      </c>
      <c r="V909" t="s">
        <v>439</v>
      </c>
    </row>
    <row r="910" spans="11:22" x14ac:dyDescent="0.25">
      <c r="K910" t="str">
        <f t="shared" si="67"/>
        <v>Громова Мария ИльиничнаНовикова Людмила Владимировна</v>
      </c>
      <c r="L910" t="s">
        <v>5</v>
      </c>
      <c r="M910" t="s">
        <v>113</v>
      </c>
      <c r="N910" t="s">
        <v>112</v>
      </c>
      <c r="S910" t="str">
        <f t="shared" si="68"/>
        <v>Ткаченко Андрей ОлеговичСтепанова София Михайловна</v>
      </c>
      <c r="T910" t="s">
        <v>27</v>
      </c>
      <c r="U910" t="s">
        <v>77</v>
      </c>
      <c r="V910" t="s">
        <v>440</v>
      </c>
    </row>
    <row r="911" spans="11:22" x14ac:dyDescent="0.25">
      <c r="K911" t="str">
        <f t="shared" si="67"/>
        <v>Громова Мария ИльиничнаСмирнова Татьяна Александровна</v>
      </c>
      <c r="L911" t="s">
        <v>5</v>
      </c>
      <c r="M911" t="s">
        <v>39</v>
      </c>
      <c r="N911" t="s">
        <v>109</v>
      </c>
      <c r="S911" t="str">
        <f t="shared" si="68"/>
        <v>Сидорова Елена ВасильевнаКузнецова Мария Дмитриевна</v>
      </c>
      <c r="T911" t="s">
        <v>8</v>
      </c>
      <c r="U911" t="s">
        <v>42</v>
      </c>
      <c r="V911" t="s">
        <v>440</v>
      </c>
    </row>
    <row r="912" spans="11:22" x14ac:dyDescent="0.25">
      <c r="K912" t="str">
        <f t="shared" si="67"/>
        <v>Ткаченко Андрей ОлеговичАлексеев Кирилл Иванович</v>
      </c>
      <c r="L912" t="s">
        <v>27</v>
      </c>
      <c r="M912" t="s">
        <v>90</v>
      </c>
      <c r="N912" t="s">
        <v>109</v>
      </c>
      <c r="S912" t="str">
        <f t="shared" si="68"/>
        <v>Семенова Ирина ВалерьевнаПетров Роман Алексеевич</v>
      </c>
      <c r="T912" t="s">
        <v>10</v>
      </c>
      <c r="U912" t="s">
        <v>75</v>
      </c>
      <c r="V912" t="s">
        <v>440</v>
      </c>
    </row>
    <row r="913" spans="11:22" x14ac:dyDescent="0.25">
      <c r="K913" t="str">
        <f t="shared" si="67"/>
        <v>Кузнецов Дмитрий ЛьвовичСтепанова Анна Станиславовна</v>
      </c>
      <c r="L913" t="s">
        <v>38</v>
      </c>
      <c r="M913" t="s">
        <v>110</v>
      </c>
      <c r="N913" t="s">
        <v>109</v>
      </c>
      <c r="S913" t="str">
        <f t="shared" si="68"/>
        <v>Орлов Павел ДенисовичКозлов Илья Сергеевич</v>
      </c>
      <c r="T913" t="s">
        <v>47</v>
      </c>
      <c r="U913" t="s">
        <v>58</v>
      </c>
      <c r="V913" t="s">
        <v>440</v>
      </c>
    </row>
    <row r="914" spans="11:22" x14ac:dyDescent="0.25">
      <c r="K914" t="str">
        <f t="shared" si="67"/>
        <v>Ткаченко Андрей ОлеговичПетров Роман Алексеевич</v>
      </c>
      <c r="L914" t="s">
        <v>27</v>
      </c>
      <c r="M914" t="s">
        <v>75</v>
      </c>
      <c r="N914" t="s">
        <v>109</v>
      </c>
      <c r="S914" t="str">
        <f t="shared" si="68"/>
        <v>Ткаченко Андрей ОлеговичПетров Михаил Кириллович</v>
      </c>
      <c r="T914" t="s">
        <v>27</v>
      </c>
      <c r="U914" t="s">
        <v>78</v>
      </c>
      <c r="V914" t="s">
        <v>440</v>
      </c>
    </row>
    <row r="915" spans="11:22" x14ac:dyDescent="0.25">
      <c r="K915" t="str">
        <f t="shared" si="67"/>
        <v>Яковлев Артем ИгоревичНовикова Елена Геннадьевна</v>
      </c>
      <c r="L915" t="s">
        <v>30</v>
      </c>
      <c r="M915" t="s">
        <v>103</v>
      </c>
      <c r="N915" t="s">
        <v>104</v>
      </c>
      <c r="S915" t="str">
        <f t="shared" si="68"/>
        <v>Фролов Сергей ВикторовичАлексеев Кирилл Иванович</v>
      </c>
      <c r="T915" t="s">
        <v>16</v>
      </c>
      <c r="U915" t="s">
        <v>90</v>
      </c>
      <c r="V915" t="s">
        <v>440</v>
      </c>
    </row>
    <row r="916" spans="11:22" x14ac:dyDescent="0.25">
      <c r="K916" t="str">
        <f t="shared" si="67"/>
        <v>Сидорова Елена ВасильевнаСеменов Иван Павлович</v>
      </c>
      <c r="L916" t="s">
        <v>8</v>
      </c>
      <c r="M916" t="s">
        <v>105</v>
      </c>
      <c r="N916" t="s">
        <v>104</v>
      </c>
      <c r="S916" t="str">
        <f t="shared" si="68"/>
        <v>Иванова Анна СергеевнаЛебедева Александра Дмитриевна</v>
      </c>
      <c r="T916" t="s">
        <v>13</v>
      </c>
      <c r="U916" t="s">
        <v>20</v>
      </c>
      <c r="V916" t="s">
        <v>440</v>
      </c>
    </row>
    <row r="917" spans="11:22" x14ac:dyDescent="0.25">
      <c r="K917" t="str">
        <f t="shared" si="67"/>
        <v>Сидорова Елена ВасильевнаВолкова Валерия Алексеевна</v>
      </c>
      <c r="L917" t="s">
        <v>8</v>
      </c>
      <c r="M917" t="s">
        <v>6</v>
      </c>
      <c r="N917" t="s">
        <v>104</v>
      </c>
      <c r="S917" t="str">
        <f t="shared" si="68"/>
        <v>Иванова Анна СергеевнаМорозов Егор Андреевич</v>
      </c>
      <c r="T917" t="s">
        <v>13</v>
      </c>
      <c r="U917" t="s">
        <v>9</v>
      </c>
      <c r="V917" t="s">
        <v>440</v>
      </c>
    </row>
    <row r="918" spans="11:22" x14ac:dyDescent="0.25">
      <c r="K918" t="str">
        <f t="shared" si="67"/>
        <v>Громова Мария ИльиничнаСидорова Полина Олеговна</v>
      </c>
      <c r="L918" t="s">
        <v>5</v>
      </c>
      <c r="M918" t="s">
        <v>106</v>
      </c>
      <c r="N918" t="s">
        <v>104</v>
      </c>
      <c r="S918" t="str">
        <f t="shared" si="68"/>
        <v>Семенова Ирина ВалерьевнаСтепанова София Михайловна</v>
      </c>
      <c r="T918" t="s">
        <v>10</v>
      </c>
      <c r="U918" t="s">
        <v>77</v>
      </c>
      <c r="V918" t="s">
        <v>440</v>
      </c>
    </row>
    <row r="919" spans="11:22" x14ac:dyDescent="0.25">
      <c r="K919" t="str">
        <f t="shared" si="67"/>
        <v>Иванова Анна СергеевнаОрлов Дмитрий Ильич</v>
      </c>
      <c r="L919" t="s">
        <v>13</v>
      </c>
      <c r="M919" t="s">
        <v>107</v>
      </c>
      <c r="N919" t="s">
        <v>104</v>
      </c>
      <c r="S919" t="str">
        <f t="shared" si="68"/>
        <v>Кузнецов Дмитрий ЛьвовичИванова Людмила Юрьевна</v>
      </c>
      <c r="T919" t="s">
        <v>38</v>
      </c>
      <c r="U919" t="s">
        <v>148</v>
      </c>
      <c r="V919" t="s">
        <v>441</v>
      </c>
    </row>
    <row r="920" spans="11:22" x14ac:dyDescent="0.25">
      <c r="K920" t="str">
        <f t="shared" si="67"/>
        <v>Иванова Анна СергеевнаЕгорова Светлана Андреевна</v>
      </c>
      <c r="L920" t="s">
        <v>13</v>
      </c>
      <c r="M920" t="s">
        <v>108</v>
      </c>
      <c r="N920" t="s">
        <v>104</v>
      </c>
      <c r="S920" t="str">
        <f t="shared" si="68"/>
        <v>Орлов Павел ДенисовичСеменов Егор Никитич</v>
      </c>
      <c r="T920" t="s">
        <v>47</v>
      </c>
      <c r="U920" t="s">
        <v>215</v>
      </c>
      <c r="V920" t="s">
        <v>441</v>
      </c>
    </row>
    <row r="921" spans="11:22" x14ac:dyDescent="0.25">
      <c r="K921" t="str">
        <f t="shared" si="67"/>
        <v>Фролов Сергей ВикторовичПетров Роман Алексеевич</v>
      </c>
      <c r="L921" t="s">
        <v>16</v>
      </c>
      <c r="M921" t="s">
        <v>75</v>
      </c>
      <c r="N921" t="s">
        <v>104</v>
      </c>
      <c r="S921" t="str">
        <f t="shared" si="68"/>
        <v>Орлов Павел ДенисовичСтепанова София Михайловна</v>
      </c>
      <c r="T921" t="s">
        <v>47</v>
      </c>
      <c r="U921" t="s">
        <v>77</v>
      </c>
      <c r="V921" t="s">
        <v>441</v>
      </c>
    </row>
    <row r="922" spans="11:22" x14ac:dyDescent="0.25">
      <c r="K922" t="str">
        <f t="shared" si="67"/>
        <v>Семенова Ирина ВалерьевнаНовикова Виктория Александровна</v>
      </c>
      <c r="L922" t="s">
        <v>10</v>
      </c>
      <c r="M922" t="s">
        <v>101</v>
      </c>
      <c r="N922" t="s">
        <v>102</v>
      </c>
      <c r="S922" t="str">
        <f t="shared" si="68"/>
        <v>Ткаченко Андрей ОлеговичЛебедев Егор Никитич</v>
      </c>
      <c r="T922" t="s">
        <v>27</v>
      </c>
      <c r="U922" t="s">
        <v>136</v>
      </c>
      <c r="V922" t="s">
        <v>442</v>
      </c>
    </row>
    <row r="923" spans="11:22" x14ac:dyDescent="0.25">
      <c r="K923" t="str">
        <f t="shared" si="67"/>
        <v>Новикова Ольга ПетровнаПавлов Никита Иванович</v>
      </c>
      <c r="L923" t="s">
        <v>45</v>
      </c>
      <c r="M923" t="s">
        <v>36</v>
      </c>
      <c r="N923" t="s">
        <v>102</v>
      </c>
      <c r="S923" t="str">
        <f t="shared" si="68"/>
        <v>Новикова Ольга ПетровнаЛебедев Матвей Сергеевич</v>
      </c>
      <c r="T923" t="s">
        <v>45</v>
      </c>
      <c r="U923" t="s">
        <v>243</v>
      </c>
      <c r="V923" t="s">
        <v>442</v>
      </c>
    </row>
    <row r="924" spans="11:22" x14ac:dyDescent="0.25">
      <c r="K924" t="str">
        <f t="shared" si="67"/>
        <v>Семенова Ирина ВалерьевнаЛебедев Сергей Алексеевич</v>
      </c>
      <c r="L924" t="s">
        <v>10</v>
      </c>
      <c r="M924" t="s">
        <v>99</v>
      </c>
      <c r="N924" t="s">
        <v>100</v>
      </c>
      <c r="S924" t="str">
        <f t="shared" si="68"/>
        <v>Ткаченко Андрей ОлеговичФедоров Илья Егорович</v>
      </c>
      <c r="T924" t="s">
        <v>27</v>
      </c>
      <c r="U924" t="s">
        <v>252</v>
      </c>
      <c r="V924" t="s">
        <v>442</v>
      </c>
    </row>
    <row r="925" spans="11:22" x14ac:dyDescent="0.25">
      <c r="K925" t="str">
        <f t="shared" si="67"/>
        <v>Ткаченко Андрей ОлеговичИванова Анна Егоровна</v>
      </c>
      <c r="L925" t="s">
        <v>27</v>
      </c>
      <c r="M925" t="s">
        <v>96</v>
      </c>
      <c r="N925" t="s">
        <v>97</v>
      </c>
      <c r="S925" t="str">
        <f t="shared" si="68"/>
        <v>Ткаченко Андрей ОлеговичЛебедев Никита Алексеевич</v>
      </c>
      <c r="T925" t="s">
        <v>27</v>
      </c>
      <c r="U925" t="s">
        <v>93</v>
      </c>
      <c r="V925" t="s">
        <v>442</v>
      </c>
    </row>
    <row r="926" spans="11:22" x14ac:dyDescent="0.25">
      <c r="K926" t="str">
        <f t="shared" si="67"/>
        <v>Орлов Павел ДенисовичВолков Алексей Егорович</v>
      </c>
      <c r="L926" t="s">
        <v>47</v>
      </c>
      <c r="M926" t="s">
        <v>98</v>
      </c>
      <c r="N926" t="s">
        <v>97</v>
      </c>
      <c r="S926" t="str">
        <f t="shared" si="68"/>
        <v>Семенова Ирина ВалерьевнаОрлова Анна Романовна</v>
      </c>
      <c r="T926" t="s">
        <v>10</v>
      </c>
      <c r="U926" t="s">
        <v>19</v>
      </c>
      <c r="V926" t="s">
        <v>442</v>
      </c>
    </row>
    <row r="927" spans="11:22" x14ac:dyDescent="0.25">
      <c r="K927" t="str">
        <f t="shared" si="67"/>
        <v>Иванова Анна СергеевнаФедорова Наталья Геннадьевна</v>
      </c>
      <c r="L927" t="s">
        <v>13</v>
      </c>
      <c r="M927" t="s">
        <v>43</v>
      </c>
      <c r="N927" t="s">
        <v>95</v>
      </c>
      <c r="S927" t="str">
        <f t="shared" si="68"/>
        <v>Громова Мария ИльиничнаСеменов Павел Юрьевич</v>
      </c>
      <c r="T927" t="s">
        <v>5</v>
      </c>
      <c r="U927" t="s">
        <v>128</v>
      </c>
      <c r="V927" t="s">
        <v>442</v>
      </c>
    </row>
    <row r="928" spans="11:22" x14ac:dyDescent="0.25">
      <c r="K928" t="str">
        <f t="shared" si="67"/>
        <v>Ткаченко Андрей ОлеговичНовиков Артем Павлович</v>
      </c>
      <c r="L928" t="s">
        <v>27</v>
      </c>
      <c r="M928" t="s">
        <v>86</v>
      </c>
      <c r="N928" t="s">
        <v>87</v>
      </c>
      <c r="S928" t="str">
        <f t="shared" si="68"/>
        <v>Новикова Ольга ПетровнаКузнецова Анна Павловна</v>
      </c>
      <c r="T928" t="s">
        <v>45</v>
      </c>
      <c r="U928" t="s">
        <v>162</v>
      </c>
      <c r="V928" t="s">
        <v>442</v>
      </c>
    </row>
    <row r="929" spans="11:22" x14ac:dyDescent="0.25">
      <c r="K929" t="str">
        <f t="shared" si="67"/>
        <v>Сидорова Елена ВасильевнаКозлов Александр Дмитриевич</v>
      </c>
      <c r="L929" t="s">
        <v>8</v>
      </c>
      <c r="M929" t="s">
        <v>88</v>
      </c>
      <c r="N929" t="s">
        <v>87</v>
      </c>
      <c r="S929" t="str">
        <f t="shared" si="68"/>
        <v>Фролов Сергей ВикторовичСидорова Полина Олеговна</v>
      </c>
      <c r="T929" t="s">
        <v>16</v>
      </c>
      <c r="U929" t="s">
        <v>106</v>
      </c>
      <c r="V929" t="s">
        <v>442</v>
      </c>
    </row>
    <row r="930" spans="11:22" x14ac:dyDescent="0.25">
      <c r="K930" t="str">
        <f t="shared" si="67"/>
        <v>Белов Алексей КонстантиновичВолкова Татьяна Станиславовна</v>
      </c>
      <c r="L930" t="s">
        <v>25</v>
      </c>
      <c r="M930" t="s">
        <v>89</v>
      </c>
      <c r="N930" t="s">
        <v>87</v>
      </c>
      <c r="S930" t="str">
        <f t="shared" si="68"/>
        <v>Громова Мария ИльиничнаСидоров Михаил Сергеевич</v>
      </c>
      <c r="T930" t="s">
        <v>5</v>
      </c>
      <c r="U930" t="s">
        <v>187</v>
      </c>
      <c r="V930" t="s">
        <v>443</v>
      </c>
    </row>
    <row r="931" spans="11:22" x14ac:dyDescent="0.25">
      <c r="K931" t="str">
        <f t="shared" si="67"/>
        <v>Сидорова Елена ВасильевнаАлексеев Кирилл Иванович</v>
      </c>
      <c r="L931" t="s">
        <v>8</v>
      </c>
      <c r="M931" t="s">
        <v>90</v>
      </c>
      <c r="N931" t="s">
        <v>87</v>
      </c>
      <c r="S931" t="str">
        <f t="shared" si="68"/>
        <v>Громова Мария ИльиничнаВолкова Ольга Геннадьевна</v>
      </c>
      <c r="T931" t="s">
        <v>5</v>
      </c>
      <c r="U931" t="s">
        <v>444</v>
      </c>
      <c r="V931" t="s">
        <v>443</v>
      </c>
    </row>
    <row r="932" spans="11:22" x14ac:dyDescent="0.25">
      <c r="K932" t="str">
        <f t="shared" si="67"/>
        <v>Белов Алексей КонстантиновичИванов Роман Кириллович</v>
      </c>
      <c r="L932" t="s">
        <v>25</v>
      </c>
      <c r="M932" t="s">
        <v>91</v>
      </c>
      <c r="N932" t="s">
        <v>87</v>
      </c>
      <c r="S932" t="str">
        <f t="shared" si="68"/>
        <v>Ткаченко Андрей ОлеговичСмирнова Елена Викторовна</v>
      </c>
      <c r="T932" t="s">
        <v>27</v>
      </c>
      <c r="U932" t="s">
        <v>66</v>
      </c>
      <c r="V932" t="s">
        <v>445</v>
      </c>
    </row>
    <row r="933" spans="11:22" x14ac:dyDescent="0.25">
      <c r="K933" t="str">
        <f t="shared" si="67"/>
        <v>Семенова Ирина ВалерьевнаМорозов Никита Алексеевич</v>
      </c>
      <c r="L933" t="s">
        <v>10</v>
      </c>
      <c r="M933" t="s">
        <v>92</v>
      </c>
      <c r="N933" t="s">
        <v>87</v>
      </c>
      <c r="S933" t="str">
        <f t="shared" si="68"/>
        <v>Новикова Ольга ПетровнаОрлова Анна Романовна</v>
      </c>
      <c r="T933" t="s">
        <v>45</v>
      </c>
      <c r="U933" t="s">
        <v>19</v>
      </c>
      <c r="V933" t="s">
        <v>445</v>
      </c>
    </row>
    <row r="934" spans="11:22" x14ac:dyDescent="0.25">
      <c r="K934" t="str">
        <f t="shared" si="67"/>
        <v>Громова Мария ИльиничнаЛебедев Никита Алексеевич</v>
      </c>
      <c r="L934" t="s">
        <v>5</v>
      </c>
      <c r="M934" t="s">
        <v>93</v>
      </c>
      <c r="N934" t="s">
        <v>87</v>
      </c>
      <c r="S934" t="str">
        <f t="shared" si="68"/>
        <v>Ткаченко Андрей ОлеговичНовиков Матвей Егорович</v>
      </c>
      <c r="T934" t="s">
        <v>27</v>
      </c>
      <c r="U934" t="s">
        <v>33</v>
      </c>
      <c r="V934" t="s">
        <v>446</v>
      </c>
    </row>
    <row r="935" spans="11:22" x14ac:dyDescent="0.25">
      <c r="K935" t="str">
        <f t="shared" si="67"/>
        <v>Петров Владимир КирилловичНиколаев Иван Михайлович</v>
      </c>
      <c r="L935" t="s">
        <v>18</v>
      </c>
      <c r="M935" t="s">
        <v>94</v>
      </c>
      <c r="N935" t="s">
        <v>87</v>
      </c>
      <c r="S935" t="str">
        <f t="shared" si="68"/>
        <v>Сидорова Елена ВасильевнаСеменов Роман Павлович</v>
      </c>
      <c r="T935" t="s">
        <v>8</v>
      </c>
      <c r="U935" t="s">
        <v>196</v>
      </c>
      <c r="V935" t="s">
        <v>446</v>
      </c>
    </row>
    <row r="936" spans="11:22" x14ac:dyDescent="0.25">
      <c r="K936" t="str">
        <f t="shared" si="67"/>
        <v>Яковлев Артем ИгоревичКузнецова Мария Дмитриевна</v>
      </c>
      <c r="L936" t="s">
        <v>30</v>
      </c>
      <c r="M936" t="s">
        <v>42</v>
      </c>
      <c r="N936" t="s">
        <v>87</v>
      </c>
      <c r="S936" t="str">
        <f t="shared" si="68"/>
        <v>Петров Владимир КирилловичВасильев Дмитрий Иванович</v>
      </c>
      <c r="T936" t="s">
        <v>18</v>
      </c>
      <c r="U936" t="s">
        <v>125</v>
      </c>
      <c r="V936" t="s">
        <v>446</v>
      </c>
    </row>
    <row r="937" spans="11:22" x14ac:dyDescent="0.25">
      <c r="K937" t="str">
        <f t="shared" si="67"/>
        <v>Петров Владимир КирилловичОрлова Ольга Алексеевна</v>
      </c>
      <c r="L937" t="s">
        <v>18</v>
      </c>
      <c r="M937" t="s">
        <v>82</v>
      </c>
      <c r="N937" t="s">
        <v>83</v>
      </c>
      <c r="S937" t="str">
        <f t="shared" si="68"/>
        <v>Ткаченко Андрей ОлеговичОрлов Константин Станиславович</v>
      </c>
      <c r="T937" t="s">
        <v>27</v>
      </c>
      <c r="U937" t="s">
        <v>11</v>
      </c>
      <c r="V937" t="s">
        <v>446</v>
      </c>
    </row>
    <row r="938" spans="11:22" x14ac:dyDescent="0.25">
      <c r="K938" t="str">
        <f t="shared" si="67"/>
        <v>Семенова Ирина ВалерьевнаСеменов Илья Андреевич</v>
      </c>
      <c r="L938" t="s">
        <v>10</v>
      </c>
      <c r="M938" t="s">
        <v>84</v>
      </c>
      <c r="N938" t="s">
        <v>83</v>
      </c>
      <c r="S938" t="str">
        <f t="shared" si="68"/>
        <v>Сидорова Елена ВасильевнаОрлов Павел Юрьевич</v>
      </c>
      <c r="T938" t="s">
        <v>8</v>
      </c>
      <c r="U938" t="s">
        <v>227</v>
      </c>
      <c r="V938" t="s">
        <v>446</v>
      </c>
    </row>
    <row r="939" spans="11:22" x14ac:dyDescent="0.25">
      <c r="K939" t="str">
        <f t="shared" si="67"/>
        <v>Семенова Ирина ВалерьевнаСмирнов Александр Дмитриевич</v>
      </c>
      <c r="L939" t="s">
        <v>10</v>
      </c>
      <c r="M939" t="s">
        <v>85</v>
      </c>
      <c r="N939" t="s">
        <v>83</v>
      </c>
      <c r="S939" t="str">
        <f t="shared" si="68"/>
        <v>Фролов Сергей ВикторовичМорозов Никита Алексеевич</v>
      </c>
      <c r="T939" t="s">
        <v>16</v>
      </c>
      <c r="U939" t="s">
        <v>92</v>
      </c>
      <c r="V939" t="s">
        <v>446</v>
      </c>
    </row>
    <row r="940" spans="11:22" x14ac:dyDescent="0.25">
      <c r="K940" t="str">
        <f t="shared" si="67"/>
        <v>Сидорова Елена ВасильевнаПетров Михаил Кириллович</v>
      </c>
      <c r="L940" t="s">
        <v>8</v>
      </c>
      <c r="M940" t="s">
        <v>78</v>
      </c>
      <c r="N940" t="s">
        <v>79</v>
      </c>
      <c r="S940" t="str">
        <f t="shared" si="68"/>
        <v>Белов Алексей КонстантиновичЕгорова Алиса Михайловна</v>
      </c>
      <c r="T940" t="s">
        <v>25</v>
      </c>
      <c r="U940" t="s">
        <v>117</v>
      </c>
      <c r="V940" t="s">
        <v>446</v>
      </c>
    </row>
    <row r="941" spans="11:22" x14ac:dyDescent="0.25">
      <c r="K941" t="str">
        <f t="shared" si="67"/>
        <v>Семенова Ирина ВалерьевнаКозлов Илья Егорович</v>
      </c>
      <c r="L941" t="s">
        <v>10</v>
      </c>
      <c r="M941" t="s">
        <v>80</v>
      </c>
      <c r="N941" t="s">
        <v>79</v>
      </c>
      <c r="S941" t="str">
        <f t="shared" si="68"/>
        <v>Иванова Анна СергеевнаНовикова Виктория Александровна</v>
      </c>
      <c r="T941" t="s">
        <v>13</v>
      </c>
      <c r="U941" t="s">
        <v>101</v>
      </c>
      <c r="V941" t="s">
        <v>446</v>
      </c>
    </row>
    <row r="942" spans="11:22" x14ac:dyDescent="0.25">
      <c r="K942" t="str">
        <f t="shared" si="67"/>
        <v>Петров Владимир КирилловичВолков Максим Дмитриевич</v>
      </c>
      <c r="L942" t="s">
        <v>18</v>
      </c>
      <c r="M942" t="s">
        <v>81</v>
      </c>
      <c r="N942" t="s">
        <v>79</v>
      </c>
      <c r="S942" t="str">
        <f t="shared" si="68"/>
        <v>Фролов Сергей ВикторовичЕгоров Александр Александрович</v>
      </c>
      <c r="T942" t="s">
        <v>16</v>
      </c>
      <c r="U942" t="s">
        <v>279</v>
      </c>
      <c r="V942" t="s">
        <v>446</v>
      </c>
    </row>
    <row r="943" spans="11:22" x14ac:dyDescent="0.25">
      <c r="K943" t="str">
        <f t="shared" si="67"/>
        <v>Яковлев Артем ИгоревичПетров Роман Алексеевич</v>
      </c>
      <c r="L943" t="s">
        <v>30</v>
      </c>
      <c r="M943" t="s">
        <v>75</v>
      </c>
      <c r="N943" t="s">
        <v>76</v>
      </c>
      <c r="S943" t="str">
        <f t="shared" si="68"/>
        <v>Петров Владимир КирилловичСмирнов Роман Юрьевич</v>
      </c>
      <c r="T943" t="s">
        <v>18</v>
      </c>
      <c r="U943" t="s">
        <v>229</v>
      </c>
      <c r="V943" t="s">
        <v>447</v>
      </c>
    </row>
    <row r="944" spans="11:22" x14ac:dyDescent="0.25">
      <c r="K944" t="str">
        <f t="shared" si="67"/>
        <v>Семенова Ирина ВалерьевнаКозлов Илья Сергеевич</v>
      </c>
      <c r="L944" t="s">
        <v>10</v>
      </c>
      <c r="M944" t="s">
        <v>58</v>
      </c>
      <c r="N944" t="s">
        <v>76</v>
      </c>
      <c r="S944" t="str">
        <f t="shared" si="68"/>
        <v>Кузнецов Дмитрий ЛьвовичФедоров Егор Михайлович</v>
      </c>
      <c r="T944" t="s">
        <v>38</v>
      </c>
      <c r="U944" t="s">
        <v>296</v>
      </c>
      <c r="V944" t="s">
        <v>448</v>
      </c>
    </row>
    <row r="945" spans="11:22" x14ac:dyDescent="0.25">
      <c r="K945" t="str">
        <f t="shared" si="67"/>
        <v>Фролов Сергей ВикторовичСтепанова София Михайловна</v>
      </c>
      <c r="L945" t="s">
        <v>16</v>
      </c>
      <c r="M945" t="s">
        <v>77</v>
      </c>
      <c r="N945" t="s">
        <v>76</v>
      </c>
      <c r="S945" t="str">
        <f t="shared" si="68"/>
        <v>Яковлев Артем ИгоревичЛебедева Александра Дмитриевна</v>
      </c>
      <c r="T945" t="s">
        <v>30</v>
      </c>
      <c r="U945" t="s">
        <v>20</v>
      </c>
      <c r="V945" t="s">
        <v>448</v>
      </c>
    </row>
    <row r="946" spans="11:22" x14ac:dyDescent="0.25">
      <c r="K946" t="str">
        <f t="shared" si="67"/>
        <v>Иванова Анна СергеевнаПавлов Никита Иванович</v>
      </c>
      <c r="L946" t="s">
        <v>13</v>
      </c>
      <c r="M946" t="s">
        <v>36</v>
      </c>
      <c r="N946" t="s">
        <v>71</v>
      </c>
      <c r="S946" t="str">
        <f t="shared" si="68"/>
        <v>Громова Мария ИльиничнаНиколаев Матвей Викторович</v>
      </c>
      <c r="T946" t="s">
        <v>5</v>
      </c>
      <c r="U946" t="s">
        <v>15</v>
      </c>
      <c r="V946" t="s">
        <v>448</v>
      </c>
    </row>
    <row r="947" spans="11:22" x14ac:dyDescent="0.25">
      <c r="K947" t="str">
        <f t="shared" si="67"/>
        <v>Орлов Павел ДенисовичОрлов Роман Ильич</v>
      </c>
      <c r="L947" t="s">
        <v>47</v>
      </c>
      <c r="M947" t="s">
        <v>72</v>
      </c>
      <c r="N947" t="s">
        <v>71</v>
      </c>
      <c r="S947" t="str">
        <f t="shared" si="68"/>
        <v>Семенова Ирина ВалерьевнаСтепанов Дмитрий Иванович</v>
      </c>
      <c r="T947" t="s">
        <v>10</v>
      </c>
      <c r="U947" t="s">
        <v>69</v>
      </c>
      <c r="V947" t="s">
        <v>449</v>
      </c>
    </row>
    <row r="948" spans="11:22" x14ac:dyDescent="0.25">
      <c r="K948" t="str">
        <f t="shared" si="67"/>
        <v>Новикова Ольга ПетровнаПетров Алексей Юрьевич</v>
      </c>
      <c r="L948" t="s">
        <v>45</v>
      </c>
      <c r="M948" t="s">
        <v>22</v>
      </c>
      <c r="N948" t="s">
        <v>71</v>
      </c>
      <c r="S948" t="str">
        <f t="shared" si="68"/>
        <v>Ткаченко Андрей ОлеговичВолков Максим Дмитриевич</v>
      </c>
      <c r="T948" t="s">
        <v>27</v>
      </c>
      <c r="U948" t="s">
        <v>81</v>
      </c>
      <c r="V948" t="s">
        <v>449</v>
      </c>
    </row>
    <row r="949" spans="11:22" x14ac:dyDescent="0.25">
      <c r="K949" t="str">
        <f t="shared" si="67"/>
        <v>Громова Мария ИльиничнаЛебедева Ирина Кирилловна</v>
      </c>
      <c r="L949" t="s">
        <v>5</v>
      </c>
      <c r="M949" t="s">
        <v>73</v>
      </c>
      <c r="N949" t="s">
        <v>71</v>
      </c>
      <c r="S949" t="str">
        <f t="shared" si="68"/>
        <v>Новикова Ольга ПетровнаЕгорова Вероника Егоровна</v>
      </c>
      <c r="T949" t="s">
        <v>45</v>
      </c>
      <c r="U949" t="s">
        <v>300</v>
      </c>
      <c r="V949" t="s">
        <v>449</v>
      </c>
    </row>
    <row r="950" spans="11:22" x14ac:dyDescent="0.25">
      <c r="K950" t="str">
        <f t="shared" si="67"/>
        <v>Фролов Сергей ВикторовичВолков Сергей Иванович</v>
      </c>
      <c r="L950" t="s">
        <v>16</v>
      </c>
      <c r="M950" t="s">
        <v>74</v>
      </c>
      <c r="N950" t="s">
        <v>71</v>
      </c>
      <c r="S950" t="str">
        <f t="shared" si="68"/>
        <v>Кузнецов Дмитрий ЛьвовичНиколаев Иван Михайлович</v>
      </c>
      <c r="T950" t="s">
        <v>38</v>
      </c>
      <c r="U950" t="s">
        <v>94</v>
      </c>
      <c r="V950" t="s">
        <v>449</v>
      </c>
    </row>
    <row r="951" spans="11:22" x14ac:dyDescent="0.25">
      <c r="K951" t="str">
        <f t="shared" si="67"/>
        <v>Громова Мария ИльиничнаОрлова Анна Юрьевна</v>
      </c>
      <c r="L951" t="s">
        <v>5</v>
      </c>
      <c r="M951" t="s">
        <v>61</v>
      </c>
      <c r="N951" t="s">
        <v>62</v>
      </c>
      <c r="S951" t="str">
        <f t="shared" si="68"/>
        <v>Фролов Сергей ВикторовичСмирнов Илья Олегович</v>
      </c>
      <c r="T951" t="s">
        <v>16</v>
      </c>
      <c r="U951" t="s">
        <v>26</v>
      </c>
      <c r="V951" t="s">
        <v>450</v>
      </c>
    </row>
    <row r="952" spans="11:22" x14ac:dyDescent="0.25">
      <c r="K952" t="str">
        <f t="shared" si="67"/>
        <v>Яковлев Артем ИгоревичФедоров Владимир Павлович</v>
      </c>
      <c r="L952" t="s">
        <v>30</v>
      </c>
      <c r="M952" t="s">
        <v>63</v>
      </c>
      <c r="N952" t="s">
        <v>62</v>
      </c>
      <c r="S952" t="str">
        <f t="shared" si="68"/>
        <v>Фролов Сергей ВикторовичСеменова Светлана Дмитриевна</v>
      </c>
      <c r="T952" t="s">
        <v>16</v>
      </c>
      <c r="U952" t="s">
        <v>41</v>
      </c>
      <c r="V952" t="s">
        <v>450</v>
      </c>
    </row>
    <row r="953" spans="11:22" x14ac:dyDescent="0.25">
      <c r="K953" t="str">
        <f t="shared" si="67"/>
        <v>Яковлев Артем ИгоревичФедоров Артур Олегович</v>
      </c>
      <c r="L953" t="s">
        <v>30</v>
      </c>
      <c r="M953" t="s">
        <v>64</v>
      </c>
      <c r="N953" t="s">
        <v>62</v>
      </c>
      <c r="S953" t="str">
        <f t="shared" si="68"/>
        <v>Иванова Анна СергеевнаМорозов Максим Сергеевич</v>
      </c>
      <c r="T953" t="s">
        <v>13</v>
      </c>
      <c r="U953" t="s">
        <v>239</v>
      </c>
      <c r="V953" t="s">
        <v>450</v>
      </c>
    </row>
    <row r="954" spans="11:22" x14ac:dyDescent="0.25">
      <c r="K954" t="str">
        <f t="shared" si="67"/>
        <v>Семенова Ирина ВалерьевнаПетрова Алиса Станиславовна</v>
      </c>
      <c r="L954" t="s">
        <v>10</v>
      </c>
      <c r="M954" t="s">
        <v>65</v>
      </c>
      <c r="N954" t="s">
        <v>62</v>
      </c>
      <c r="S954" t="str">
        <f t="shared" si="68"/>
        <v>Громова Мария ИльиничнаЛебедев Сергей Станиславович</v>
      </c>
      <c r="T954" t="s">
        <v>5</v>
      </c>
      <c r="U954" t="s">
        <v>59</v>
      </c>
      <c r="V954" t="s">
        <v>450</v>
      </c>
    </row>
    <row r="955" spans="11:22" x14ac:dyDescent="0.25">
      <c r="K955" t="str">
        <f t="shared" si="67"/>
        <v>Новикова Ольга ПетровнаСмирнова Елена Викторовна</v>
      </c>
      <c r="L955" t="s">
        <v>45</v>
      </c>
      <c r="M955" t="s">
        <v>66</v>
      </c>
      <c r="N955" t="s">
        <v>62</v>
      </c>
      <c r="S955" t="str">
        <f t="shared" si="68"/>
        <v>Фролов Сергей ВикторовичНовикова Виктория Александровна</v>
      </c>
      <c r="T955" t="s">
        <v>16</v>
      </c>
      <c r="U955" t="s">
        <v>101</v>
      </c>
      <c r="V955" t="s">
        <v>450</v>
      </c>
    </row>
    <row r="956" spans="11:22" x14ac:dyDescent="0.25">
      <c r="K956" t="str">
        <f t="shared" si="67"/>
        <v>Ткаченко Андрей ОлеговичСмирнов Константин Кириллович</v>
      </c>
      <c r="L956" t="s">
        <v>27</v>
      </c>
      <c r="M956" t="s">
        <v>37</v>
      </c>
      <c r="N956" t="s">
        <v>62</v>
      </c>
      <c r="S956" t="str">
        <f t="shared" si="68"/>
        <v>Иванова Анна СергеевнаОрлов Константин Станиславович</v>
      </c>
      <c r="T956" t="s">
        <v>13</v>
      </c>
      <c r="U956" t="s">
        <v>11</v>
      </c>
      <c r="V956" t="s">
        <v>451</v>
      </c>
    </row>
    <row r="957" spans="11:22" x14ac:dyDescent="0.25">
      <c r="K957" t="str">
        <f t="shared" si="67"/>
        <v>Кузнецов Дмитрий ЛьвовичМорозов Илья Геннадьевич</v>
      </c>
      <c r="L957" t="s">
        <v>38</v>
      </c>
      <c r="M957" t="s">
        <v>67</v>
      </c>
      <c r="N957" t="s">
        <v>62</v>
      </c>
      <c r="S957" t="str">
        <f t="shared" si="68"/>
        <v>Петров Владимир КирилловичНиколаева София Никитична</v>
      </c>
      <c r="T957" t="s">
        <v>18</v>
      </c>
      <c r="U957" t="s">
        <v>176</v>
      </c>
      <c r="V957" t="s">
        <v>451</v>
      </c>
    </row>
    <row r="958" spans="11:22" x14ac:dyDescent="0.25">
      <c r="K958" t="str">
        <f t="shared" si="67"/>
        <v>Ткаченко Андрей ОлеговичПопов Никита Геннадьевич</v>
      </c>
      <c r="L958" t="s">
        <v>27</v>
      </c>
      <c r="M958" t="s">
        <v>68</v>
      </c>
      <c r="N958" t="s">
        <v>62</v>
      </c>
      <c r="S958" t="str">
        <f t="shared" si="68"/>
        <v>Сидорова Елена ВасильевнаНовикова Анна Викторовна</v>
      </c>
      <c r="T958" t="s">
        <v>8</v>
      </c>
      <c r="U958" t="s">
        <v>211</v>
      </c>
      <c r="V958" t="s">
        <v>451</v>
      </c>
    </row>
    <row r="959" spans="11:22" x14ac:dyDescent="0.25">
      <c r="K959" t="str">
        <f t="shared" si="67"/>
        <v>Фролов Сергей ВикторовичСтепанов Дмитрий Иванович</v>
      </c>
      <c r="L959" t="s">
        <v>16</v>
      </c>
      <c r="M959" t="s">
        <v>69</v>
      </c>
      <c r="N959" t="s">
        <v>62</v>
      </c>
      <c r="S959" t="str">
        <f t="shared" si="68"/>
        <v>Орлов Павел ДенисовичФедорова София Егоровна</v>
      </c>
      <c r="T959" t="s">
        <v>47</v>
      </c>
      <c r="U959" t="s">
        <v>182</v>
      </c>
      <c r="V959" t="s">
        <v>451</v>
      </c>
    </row>
    <row r="960" spans="11:22" x14ac:dyDescent="0.25">
      <c r="K960" t="str">
        <f t="shared" si="67"/>
        <v>Фролов Сергей ВикторовичВолкова Ирина Геннадьевна</v>
      </c>
      <c r="L960" t="s">
        <v>16</v>
      </c>
      <c r="M960" t="s">
        <v>70</v>
      </c>
      <c r="N960" t="s">
        <v>62</v>
      </c>
      <c r="S960" t="str">
        <f t="shared" si="68"/>
        <v>Белов Алексей КонстантиновичЕгоров Никита Кириллович</v>
      </c>
      <c r="T960" t="s">
        <v>25</v>
      </c>
      <c r="U960" t="s">
        <v>385</v>
      </c>
      <c r="V960" t="s">
        <v>451</v>
      </c>
    </row>
    <row r="961" spans="11:22" x14ac:dyDescent="0.25">
      <c r="K961" t="str">
        <f t="shared" si="67"/>
        <v>Орлов Павел ДенисовичСтепанов Дмитрий Иванович</v>
      </c>
      <c r="L961" t="s">
        <v>47</v>
      </c>
      <c r="M961" t="s">
        <v>69</v>
      </c>
      <c r="N961" t="s">
        <v>62</v>
      </c>
      <c r="S961" t="str">
        <f t="shared" si="68"/>
        <v>Семенова Ирина ВалерьевнаСеменов Алексей Владимирович</v>
      </c>
      <c r="T961" t="s">
        <v>10</v>
      </c>
      <c r="U961" t="s">
        <v>35</v>
      </c>
      <c r="V961" t="s">
        <v>451</v>
      </c>
    </row>
    <row r="962" spans="11:22" x14ac:dyDescent="0.25">
      <c r="K962" t="str">
        <f t="shared" si="67"/>
        <v>Громова Мария ИльиничнаЛебедев Сергей Станиславович</v>
      </c>
      <c r="L962" t="s">
        <v>5</v>
      </c>
      <c r="M962" t="s">
        <v>59</v>
      </c>
      <c r="N962" t="s">
        <v>60</v>
      </c>
      <c r="S962" t="str">
        <f t="shared" si="68"/>
        <v>Громова Мария ИльиничнаФедорова Ксения Павловна</v>
      </c>
      <c r="T962" t="s">
        <v>5</v>
      </c>
      <c r="U962" t="s">
        <v>195</v>
      </c>
      <c r="V962" t="s">
        <v>452</v>
      </c>
    </row>
    <row r="963" spans="11:22" x14ac:dyDescent="0.25">
      <c r="K963" t="str">
        <f t="shared" ref="K963:K1001" si="69">L963&amp;M963</f>
        <v>Яковлев Артем ИгоревичМорозова Александра Станиславовна</v>
      </c>
      <c r="L963" t="s">
        <v>30</v>
      </c>
      <c r="M963" t="s">
        <v>55</v>
      </c>
      <c r="N963" t="s">
        <v>56</v>
      </c>
      <c r="S963" t="str">
        <f t="shared" ref="S963:S1001" si="70">T963&amp;U963</f>
        <v>Фролов Сергей ВикторовичПетров Роман Алексеевич</v>
      </c>
      <c r="T963" t="s">
        <v>16</v>
      </c>
      <c r="U963" t="s">
        <v>75</v>
      </c>
      <c r="V963" t="s">
        <v>452</v>
      </c>
    </row>
    <row r="964" spans="11:22" x14ac:dyDescent="0.25">
      <c r="K964" t="str">
        <f t="shared" si="69"/>
        <v>Белов Алексей КонстантиновичВасильева Ксения Михайловна</v>
      </c>
      <c r="L964" t="s">
        <v>25</v>
      </c>
      <c r="M964" t="s">
        <v>57</v>
      </c>
      <c r="N964" t="s">
        <v>56</v>
      </c>
      <c r="S964" t="str">
        <f t="shared" si="70"/>
        <v>Петров Владимир КирилловичФедорова Ксения Павловна</v>
      </c>
      <c r="T964" t="s">
        <v>18</v>
      </c>
      <c r="U964" t="s">
        <v>195</v>
      </c>
      <c r="V964" t="s">
        <v>452</v>
      </c>
    </row>
    <row r="965" spans="11:22" x14ac:dyDescent="0.25">
      <c r="K965" t="str">
        <f t="shared" si="69"/>
        <v>Сидорова Елена ВасильевнаСидоров Владимир Артемович</v>
      </c>
      <c r="L965" t="s">
        <v>8</v>
      </c>
      <c r="M965" t="s">
        <v>32</v>
      </c>
      <c r="N965" t="s">
        <v>56</v>
      </c>
      <c r="S965" t="str">
        <f t="shared" si="70"/>
        <v>Орлов Павел ДенисовичСеменов Егор Никитич</v>
      </c>
      <c r="T965" t="s">
        <v>47</v>
      </c>
      <c r="U965" t="s">
        <v>215</v>
      </c>
      <c r="V965" t="s">
        <v>452</v>
      </c>
    </row>
    <row r="966" spans="11:22" x14ac:dyDescent="0.25">
      <c r="K966" t="str">
        <f t="shared" si="69"/>
        <v>Громова Мария ИльиничнаКозлов Илья Сергеевич</v>
      </c>
      <c r="L966" t="s">
        <v>5</v>
      </c>
      <c r="M966" t="s">
        <v>58</v>
      </c>
      <c r="N966" t="s">
        <v>56</v>
      </c>
      <c r="S966" t="str">
        <f t="shared" si="70"/>
        <v>Яковлев Артем ИгоревичСмирнова Татьяна Александровна</v>
      </c>
      <c r="T966" t="s">
        <v>30</v>
      </c>
      <c r="U966" t="s">
        <v>39</v>
      </c>
      <c r="V966" t="s">
        <v>453</v>
      </c>
    </row>
    <row r="967" spans="11:22" x14ac:dyDescent="0.25">
      <c r="K967" t="str">
        <f t="shared" si="69"/>
        <v>Иванова Анна СергеевнаКузнецов Максим Алексеевич</v>
      </c>
      <c r="L967" t="s">
        <v>13</v>
      </c>
      <c r="M967" t="s">
        <v>53</v>
      </c>
      <c r="N967" t="s">
        <v>54</v>
      </c>
      <c r="S967" t="str">
        <f t="shared" si="70"/>
        <v>Громова Мария ИльиничнаОрлова Ольга Алексеевна</v>
      </c>
      <c r="T967" t="s">
        <v>5</v>
      </c>
      <c r="U967" t="s">
        <v>82</v>
      </c>
      <c r="V967" t="s">
        <v>453</v>
      </c>
    </row>
    <row r="968" spans="11:22" x14ac:dyDescent="0.25">
      <c r="K968" t="str">
        <f t="shared" si="69"/>
        <v>Фролов Сергей ВикторовичСеменова Светлана Дмитриевна</v>
      </c>
      <c r="L968" t="s">
        <v>16</v>
      </c>
      <c r="M968" t="s">
        <v>41</v>
      </c>
      <c r="N968" t="s">
        <v>54</v>
      </c>
      <c r="S968" t="str">
        <f t="shared" si="70"/>
        <v>Орлов Павел ДенисовичФедорова Алиса Юрьевна</v>
      </c>
      <c r="T968" t="s">
        <v>47</v>
      </c>
      <c r="U968" t="s">
        <v>231</v>
      </c>
      <c r="V968" t="s">
        <v>454</v>
      </c>
    </row>
    <row r="969" spans="11:22" x14ac:dyDescent="0.25">
      <c r="K969" t="str">
        <f t="shared" si="69"/>
        <v>Петров Владимир КирилловичФедорова Наталья Геннадьевна</v>
      </c>
      <c r="L969" t="s">
        <v>18</v>
      </c>
      <c r="M969" t="s">
        <v>43</v>
      </c>
      <c r="N969" t="s">
        <v>44</v>
      </c>
      <c r="S969" t="str">
        <f t="shared" si="70"/>
        <v>Фролов Сергей ВикторовичСмирнов Иван Ильич</v>
      </c>
      <c r="T969" t="s">
        <v>16</v>
      </c>
      <c r="U969" t="s">
        <v>114</v>
      </c>
      <c r="V969" t="s">
        <v>454</v>
      </c>
    </row>
    <row r="970" spans="11:22" x14ac:dyDescent="0.25">
      <c r="K970" t="str">
        <f t="shared" si="69"/>
        <v>Новикова Ольга ПетровнаКузнецова Алиса Владимировна</v>
      </c>
      <c r="L970" t="s">
        <v>45</v>
      </c>
      <c r="M970" t="s">
        <v>46</v>
      </c>
      <c r="N970" t="s">
        <v>44</v>
      </c>
      <c r="S970" t="str">
        <f t="shared" si="70"/>
        <v>Ткаченко Андрей ОлеговичИванова Наталья Дмитриевна</v>
      </c>
      <c r="T970" t="s">
        <v>27</v>
      </c>
      <c r="U970" t="s">
        <v>14</v>
      </c>
      <c r="V970" t="s">
        <v>454</v>
      </c>
    </row>
    <row r="971" spans="11:22" x14ac:dyDescent="0.25">
      <c r="K971" t="str">
        <f t="shared" si="69"/>
        <v>Орлов Павел ДенисовичПетрова Татьяна Павловна</v>
      </c>
      <c r="L971" t="s">
        <v>47</v>
      </c>
      <c r="M971" t="s">
        <v>48</v>
      </c>
      <c r="N971" t="s">
        <v>44</v>
      </c>
      <c r="S971" t="str">
        <f t="shared" si="70"/>
        <v>Яковлев Артем ИгоревичСеменов Илья Андреевич</v>
      </c>
      <c r="T971" t="s">
        <v>30</v>
      </c>
      <c r="U971" t="s">
        <v>84</v>
      </c>
      <c r="V971" t="s">
        <v>454</v>
      </c>
    </row>
    <row r="972" spans="11:22" x14ac:dyDescent="0.25">
      <c r="K972" t="str">
        <f t="shared" si="69"/>
        <v>Кузнецов Дмитрий ЛьвовичОрлова Анна Романовна</v>
      </c>
      <c r="L972" t="s">
        <v>38</v>
      </c>
      <c r="M972" t="s">
        <v>19</v>
      </c>
      <c r="N972" t="s">
        <v>44</v>
      </c>
      <c r="S972" t="str">
        <f t="shared" si="70"/>
        <v>Белов Алексей КонстантиновичЛебедев Егор Никитич</v>
      </c>
      <c r="T972" t="s">
        <v>25</v>
      </c>
      <c r="U972" t="s">
        <v>136</v>
      </c>
      <c r="V972" t="s">
        <v>454</v>
      </c>
    </row>
    <row r="973" spans="11:22" x14ac:dyDescent="0.25">
      <c r="K973" t="str">
        <f t="shared" si="69"/>
        <v>Яковлев Артем ИгоревичСмирнов Максим Сергеевич</v>
      </c>
      <c r="L973" t="s">
        <v>30</v>
      </c>
      <c r="M973" t="s">
        <v>49</v>
      </c>
      <c r="N973" t="s">
        <v>44</v>
      </c>
      <c r="S973" t="str">
        <f t="shared" si="70"/>
        <v>Орлов Павел ДенисовичСтепанова Ольга Андреевна</v>
      </c>
      <c r="T973" t="s">
        <v>47</v>
      </c>
      <c r="U973" t="s">
        <v>307</v>
      </c>
      <c r="V973" t="s">
        <v>454</v>
      </c>
    </row>
    <row r="974" spans="11:22" x14ac:dyDescent="0.25">
      <c r="K974" t="str">
        <f t="shared" si="69"/>
        <v>Кузнецов Дмитрий ЛьвовичКозлова Полина Артемовна</v>
      </c>
      <c r="L974" t="s">
        <v>38</v>
      </c>
      <c r="M974" t="s">
        <v>17</v>
      </c>
      <c r="N974" t="s">
        <v>44</v>
      </c>
      <c r="S974" t="str">
        <f t="shared" si="70"/>
        <v>Громова Мария ИльиничнаОрлов Андрей Никитич</v>
      </c>
      <c r="T974" t="s">
        <v>5</v>
      </c>
      <c r="U974" t="s">
        <v>142</v>
      </c>
      <c r="V974" t="s">
        <v>454</v>
      </c>
    </row>
    <row r="975" spans="11:22" x14ac:dyDescent="0.25">
      <c r="K975" t="str">
        <f t="shared" si="69"/>
        <v>Ткаченко Андрей ОлеговичВасильев Артур Артемович</v>
      </c>
      <c r="L975" t="s">
        <v>27</v>
      </c>
      <c r="M975" t="s">
        <v>31</v>
      </c>
      <c r="N975" t="s">
        <v>44</v>
      </c>
      <c r="S975" t="str">
        <f t="shared" si="70"/>
        <v>Петров Владимир КирилловичМорозов Егор Андреевич</v>
      </c>
      <c r="T975" t="s">
        <v>18</v>
      </c>
      <c r="U975" t="s">
        <v>9</v>
      </c>
      <c r="V975" t="s">
        <v>455</v>
      </c>
    </row>
    <row r="976" spans="11:22" x14ac:dyDescent="0.25">
      <c r="K976" t="str">
        <f t="shared" si="69"/>
        <v>Ткаченко Андрей ОлеговичСтепанова Полина Михайловна</v>
      </c>
      <c r="L976" t="s">
        <v>27</v>
      </c>
      <c r="M976" t="s">
        <v>50</v>
      </c>
      <c r="N976" t="s">
        <v>44</v>
      </c>
      <c r="S976" t="str">
        <f t="shared" si="70"/>
        <v>Петров Владимир КирилловичСмирнов Иван Ильич</v>
      </c>
      <c r="T976" t="s">
        <v>18</v>
      </c>
      <c r="U976" t="s">
        <v>114</v>
      </c>
      <c r="V976" t="s">
        <v>455</v>
      </c>
    </row>
    <row r="977" spans="11:22" x14ac:dyDescent="0.25">
      <c r="K977" t="str">
        <f t="shared" si="69"/>
        <v>Яковлев Артем ИгоревичПетров Алексей Артемович</v>
      </c>
      <c r="L977" t="s">
        <v>30</v>
      </c>
      <c r="M977" t="s">
        <v>51</v>
      </c>
      <c r="N977" t="s">
        <v>44</v>
      </c>
      <c r="S977" t="str">
        <f t="shared" si="70"/>
        <v>Яковлев Артем ИгоревичПавлов Никита Андреевич</v>
      </c>
      <c r="T977" t="s">
        <v>30</v>
      </c>
      <c r="U977" t="s">
        <v>130</v>
      </c>
      <c r="V977" t="s">
        <v>455</v>
      </c>
    </row>
    <row r="978" spans="11:22" x14ac:dyDescent="0.25">
      <c r="K978" t="str">
        <f t="shared" si="69"/>
        <v>Ткаченко Андрей ОлеговичСидорова Ольга Андреевна</v>
      </c>
      <c r="L978" t="s">
        <v>27</v>
      </c>
      <c r="M978" t="s">
        <v>52</v>
      </c>
      <c r="N978" t="s">
        <v>44</v>
      </c>
      <c r="S978" t="str">
        <f t="shared" si="70"/>
        <v>Новикова Ольга ПетровнаСтепанов Дмитрий Иванович</v>
      </c>
      <c r="T978" t="s">
        <v>45</v>
      </c>
      <c r="U978" t="s">
        <v>69</v>
      </c>
      <c r="V978" t="s">
        <v>455</v>
      </c>
    </row>
    <row r="979" spans="11:22" x14ac:dyDescent="0.25">
      <c r="K979" t="str">
        <f t="shared" si="69"/>
        <v>Кузнецов Дмитрий ЛьвовичСмирнова Татьяна Александровна</v>
      </c>
      <c r="L979" t="s">
        <v>38</v>
      </c>
      <c r="M979" t="s">
        <v>39</v>
      </c>
      <c r="N979" t="s">
        <v>40</v>
      </c>
      <c r="S979" t="str">
        <f t="shared" si="70"/>
        <v>Орлов Павел ДенисовичПетрова Александра Ильинична</v>
      </c>
      <c r="T979" t="s">
        <v>47</v>
      </c>
      <c r="U979" t="s">
        <v>344</v>
      </c>
      <c r="V979" t="s">
        <v>456</v>
      </c>
    </row>
    <row r="980" spans="11:22" x14ac:dyDescent="0.25">
      <c r="K980" t="str">
        <f t="shared" si="69"/>
        <v>Фролов Сергей ВикторовичСеменова Светлана Дмитриевна</v>
      </c>
      <c r="L980" t="s">
        <v>16</v>
      </c>
      <c r="M980" t="s">
        <v>41</v>
      </c>
      <c r="N980" t="s">
        <v>40</v>
      </c>
      <c r="S980" t="str">
        <f t="shared" si="70"/>
        <v>Белов Алексей КонстантиновичВолков Алексей Егорович</v>
      </c>
      <c r="T980" t="s">
        <v>25</v>
      </c>
      <c r="U980" t="s">
        <v>98</v>
      </c>
      <c r="V980" t="s">
        <v>456</v>
      </c>
    </row>
    <row r="981" spans="11:22" x14ac:dyDescent="0.25">
      <c r="K981" t="str">
        <f t="shared" si="69"/>
        <v>Петров Владимир КирилловичКузнецова Мария Дмитриевна</v>
      </c>
      <c r="L981" t="s">
        <v>18</v>
      </c>
      <c r="M981" t="s">
        <v>42</v>
      </c>
      <c r="N981" t="s">
        <v>40</v>
      </c>
      <c r="S981" t="str">
        <f t="shared" si="70"/>
        <v>Фролов Сергей ВикторовичНовиков Матвей Егорович</v>
      </c>
      <c r="T981" t="s">
        <v>16</v>
      </c>
      <c r="U981" t="s">
        <v>33</v>
      </c>
      <c r="V981" t="s">
        <v>456</v>
      </c>
    </row>
    <row r="982" spans="11:22" x14ac:dyDescent="0.25">
      <c r="K982" t="str">
        <f t="shared" si="69"/>
        <v>Белов Алексей КонстантиновичНовиков Матвей Егорович</v>
      </c>
      <c r="L982" t="s">
        <v>25</v>
      </c>
      <c r="M982" t="s">
        <v>33</v>
      </c>
      <c r="N982" t="s">
        <v>34</v>
      </c>
      <c r="S982" t="str">
        <f t="shared" si="70"/>
        <v>Яковлев Артем ИгоревичСеменов Роман Павлович</v>
      </c>
      <c r="T982" t="s">
        <v>30</v>
      </c>
      <c r="U982" t="s">
        <v>196</v>
      </c>
      <c r="V982" t="s">
        <v>456</v>
      </c>
    </row>
    <row r="983" spans="11:22" x14ac:dyDescent="0.25">
      <c r="K983" t="str">
        <f t="shared" si="69"/>
        <v>Фролов Сергей ВикторовичЛебедева Александра Дмитриевна</v>
      </c>
      <c r="L983" t="s">
        <v>16</v>
      </c>
      <c r="M983" t="s">
        <v>20</v>
      </c>
      <c r="N983" t="s">
        <v>34</v>
      </c>
      <c r="S983" t="str">
        <f t="shared" si="70"/>
        <v>Фролов Сергей ВикторовичПопов Михаил Павлович</v>
      </c>
      <c r="T983" t="s">
        <v>16</v>
      </c>
      <c r="U983" t="s">
        <v>146</v>
      </c>
      <c r="V983" t="s">
        <v>456</v>
      </c>
    </row>
    <row r="984" spans="11:22" x14ac:dyDescent="0.25">
      <c r="K984" t="str">
        <f t="shared" si="69"/>
        <v>Фролов Сергей ВикторовичСеменов Алексей Владимирович</v>
      </c>
      <c r="L984" t="s">
        <v>16</v>
      </c>
      <c r="M984" t="s">
        <v>35</v>
      </c>
      <c r="N984" t="s">
        <v>34</v>
      </c>
      <c r="S984" t="str">
        <f t="shared" si="70"/>
        <v>Белов Алексей КонстантиновичФедоров Владимир Павлович</v>
      </c>
      <c r="T984" t="s">
        <v>25</v>
      </c>
      <c r="U984" t="s">
        <v>63</v>
      </c>
      <c r="V984" t="s">
        <v>456</v>
      </c>
    </row>
    <row r="985" spans="11:22" x14ac:dyDescent="0.25">
      <c r="K985" t="str">
        <f t="shared" si="69"/>
        <v>Сидорова Елена ВасильевнаПавлов Никита Иванович</v>
      </c>
      <c r="L985" t="s">
        <v>8</v>
      </c>
      <c r="M985" t="s">
        <v>36</v>
      </c>
      <c r="N985" t="s">
        <v>34</v>
      </c>
      <c r="S985" t="str">
        <f t="shared" si="70"/>
        <v>Сидорова Елена ВасильевнаНовиков Матвей Егорович</v>
      </c>
      <c r="T985" t="s">
        <v>8</v>
      </c>
      <c r="U985" t="s">
        <v>33</v>
      </c>
      <c r="V985" t="s">
        <v>456</v>
      </c>
    </row>
    <row r="986" spans="11:22" x14ac:dyDescent="0.25">
      <c r="K986" t="str">
        <f t="shared" si="69"/>
        <v>Сидорова Елена ВасильевнаСмирнов Константин Кириллович</v>
      </c>
      <c r="L986" t="s">
        <v>8</v>
      </c>
      <c r="M986" t="s">
        <v>37</v>
      </c>
      <c r="N986" t="s">
        <v>34</v>
      </c>
      <c r="S986" t="str">
        <f t="shared" si="70"/>
        <v>Белов Алексей КонстантиновичОрлов Константин Станиславович</v>
      </c>
      <c r="T986" t="s">
        <v>25</v>
      </c>
      <c r="U986" t="s">
        <v>11</v>
      </c>
      <c r="V986" t="s">
        <v>456</v>
      </c>
    </row>
    <row r="987" spans="11:22" x14ac:dyDescent="0.25">
      <c r="K987" t="str">
        <f t="shared" si="69"/>
        <v>Ткаченко Андрей ОлеговичКозлова Татьяна Сергеевна</v>
      </c>
      <c r="L987" t="s">
        <v>27</v>
      </c>
      <c r="M987" t="s">
        <v>28</v>
      </c>
      <c r="N987" t="s">
        <v>29</v>
      </c>
      <c r="S987" t="str">
        <f t="shared" si="70"/>
        <v>Новикова Ольга ПетровнаСмирнов Александр Иванович</v>
      </c>
      <c r="T987" t="s">
        <v>45</v>
      </c>
      <c r="U987" t="s">
        <v>295</v>
      </c>
      <c r="V987" t="s">
        <v>456</v>
      </c>
    </row>
    <row r="988" spans="11:22" x14ac:dyDescent="0.25">
      <c r="K988" t="str">
        <f t="shared" si="69"/>
        <v>Яковлев Артем ИгоревичВасильев Артур Артемович</v>
      </c>
      <c r="L988" t="s">
        <v>30</v>
      </c>
      <c r="M988" t="s">
        <v>31</v>
      </c>
      <c r="N988" t="s">
        <v>29</v>
      </c>
      <c r="S988" t="str">
        <f t="shared" si="70"/>
        <v>Ткаченко Андрей ОлеговичПопов Михаил Павлович</v>
      </c>
      <c r="T988" t="s">
        <v>27</v>
      </c>
      <c r="U988" t="s">
        <v>146</v>
      </c>
      <c r="V988" t="s">
        <v>456</v>
      </c>
    </row>
    <row r="989" spans="11:22" x14ac:dyDescent="0.25">
      <c r="K989" t="str">
        <f t="shared" si="69"/>
        <v>Иванова Анна СергеевнаСидоров Владимир Артемович</v>
      </c>
      <c r="L989" t="s">
        <v>13</v>
      </c>
      <c r="M989" t="s">
        <v>32</v>
      </c>
      <c r="N989" t="s">
        <v>29</v>
      </c>
      <c r="S989" t="str">
        <f t="shared" si="70"/>
        <v>Сидорова Елена ВасильевнаФедорова Ксения Павловна</v>
      </c>
      <c r="T989" t="s">
        <v>8</v>
      </c>
      <c r="U989" t="s">
        <v>195</v>
      </c>
      <c r="V989" t="s">
        <v>457</v>
      </c>
    </row>
    <row r="990" spans="11:22" x14ac:dyDescent="0.25">
      <c r="K990" t="str">
        <f t="shared" si="69"/>
        <v>Семенова Ирина ВалерьевнаПетров Алексей Юрьевич</v>
      </c>
      <c r="L990" t="s">
        <v>10</v>
      </c>
      <c r="M990" t="s">
        <v>22</v>
      </c>
      <c r="N990" t="s">
        <v>23</v>
      </c>
      <c r="S990" t="str">
        <f t="shared" si="70"/>
        <v>Иванова Анна СергеевнаОрлова Анна Артемовна</v>
      </c>
      <c r="T990" t="s">
        <v>13</v>
      </c>
      <c r="U990" t="s">
        <v>141</v>
      </c>
      <c r="V990" t="s">
        <v>457</v>
      </c>
    </row>
    <row r="991" spans="11:22" x14ac:dyDescent="0.25">
      <c r="K991" t="str">
        <f t="shared" si="69"/>
        <v>Петров Владимир КирилловичВолкова Наталья Андреевна</v>
      </c>
      <c r="L991" t="s">
        <v>18</v>
      </c>
      <c r="M991" t="s">
        <v>24</v>
      </c>
      <c r="N991" t="s">
        <v>23</v>
      </c>
      <c r="S991" t="str">
        <f t="shared" si="70"/>
        <v>Новикова Ольга ПетровнаНиколаева София Никитична</v>
      </c>
      <c r="T991" t="s">
        <v>45</v>
      </c>
      <c r="U991" t="s">
        <v>176</v>
      </c>
      <c r="V991" t="s">
        <v>457</v>
      </c>
    </row>
    <row r="992" spans="11:22" x14ac:dyDescent="0.25">
      <c r="K992" t="str">
        <f t="shared" si="69"/>
        <v>Белов Алексей КонстантиновичСмирнов Илья Олегович</v>
      </c>
      <c r="L992" t="s">
        <v>25</v>
      </c>
      <c r="M992" t="s">
        <v>26</v>
      </c>
      <c r="N992" t="s">
        <v>23</v>
      </c>
      <c r="S992" t="str">
        <f t="shared" si="70"/>
        <v>Фролов Сергей ВикторовичКузнецова Валерия Дмитриевна</v>
      </c>
      <c r="T992" t="s">
        <v>16</v>
      </c>
      <c r="U992" t="s">
        <v>223</v>
      </c>
      <c r="V992" t="s">
        <v>458</v>
      </c>
    </row>
    <row r="993" spans="11:22" x14ac:dyDescent="0.25">
      <c r="K993" t="str">
        <f t="shared" si="69"/>
        <v>Семенова Ирина ВалерьевнаОрлов Константин Станиславович</v>
      </c>
      <c r="L993" t="s">
        <v>10</v>
      </c>
      <c r="M993" t="s">
        <v>11</v>
      </c>
      <c r="N993" t="s">
        <v>12</v>
      </c>
      <c r="S993" t="str">
        <f t="shared" si="70"/>
        <v>Новикова Ольга ПетровнаНиколаева Наталья Геннадьевна</v>
      </c>
      <c r="T993" t="s">
        <v>45</v>
      </c>
      <c r="U993" t="s">
        <v>256</v>
      </c>
      <c r="V993" t="s">
        <v>458</v>
      </c>
    </row>
    <row r="994" spans="11:22" x14ac:dyDescent="0.25">
      <c r="K994" t="str">
        <f t="shared" si="69"/>
        <v>Иванова Анна СергеевнаИванова Наталья Дмитриевна</v>
      </c>
      <c r="L994" t="s">
        <v>13</v>
      </c>
      <c r="M994" t="s">
        <v>14</v>
      </c>
      <c r="N994" t="s">
        <v>12</v>
      </c>
      <c r="S994" t="str">
        <f t="shared" si="70"/>
        <v>Семенова Ирина ВалерьевнаОрлов Константин Станиславович</v>
      </c>
      <c r="T994" t="s">
        <v>10</v>
      </c>
      <c r="U994" t="s">
        <v>11</v>
      </c>
      <c r="V994" t="s">
        <v>459</v>
      </c>
    </row>
    <row r="995" spans="11:22" x14ac:dyDescent="0.25">
      <c r="K995" t="str">
        <f t="shared" si="69"/>
        <v>Громова Мария ИльиничнаНиколаев Матвей Викторович</v>
      </c>
      <c r="L995" t="s">
        <v>5</v>
      </c>
      <c r="M995" t="s">
        <v>15</v>
      </c>
      <c r="N995" t="s">
        <v>12</v>
      </c>
      <c r="S995" t="str">
        <f t="shared" si="70"/>
        <v>Ткаченко Андрей ОлеговичПетрова Александра Ильинична</v>
      </c>
      <c r="T995" t="s">
        <v>27</v>
      </c>
      <c r="U995" t="s">
        <v>344</v>
      </c>
      <c r="V995" t="s">
        <v>459</v>
      </c>
    </row>
    <row r="996" spans="11:22" x14ac:dyDescent="0.25">
      <c r="K996" t="str">
        <f t="shared" si="69"/>
        <v>Фролов Сергей ВикторовичКозлова Полина Артемовна</v>
      </c>
      <c r="L996" t="s">
        <v>16</v>
      </c>
      <c r="M996" t="s">
        <v>17</v>
      </c>
      <c r="N996" t="s">
        <v>12</v>
      </c>
      <c r="S996" t="str">
        <f t="shared" si="70"/>
        <v>Ткаченко Андрей ОлеговичЛебедева Ольга Романовна</v>
      </c>
      <c r="T996" t="s">
        <v>27</v>
      </c>
      <c r="U996" t="s">
        <v>186</v>
      </c>
      <c r="V996" t="s">
        <v>459</v>
      </c>
    </row>
    <row r="997" spans="11:22" x14ac:dyDescent="0.25">
      <c r="K997" t="str">
        <f t="shared" si="69"/>
        <v>Петров Владимир КирилловичОрлова Анна Романовна</v>
      </c>
      <c r="L997" t="s">
        <v>18</v>
      </c>
      <c r="M997" t="s">
        <v>19</v>
      </c>
      <c r="N997" t="s">
        <v>12</v>
      </c>
      <c r="S997" t="str">
        <f t="shared" si="70"/>
        <v>Фролов Сергей ВикторовичСтепанов Дмитрий Иванович</v>
      </c>
      <c r="T997" t="s">
        <v>16</v>
      </c>
      <c r="U997" t="s">
        <v>69</v>
      </c>
      <c r="V997" t="s">
        <v>459</v>
      </c>
    </row>
    <row r="998" spans="11:22" x14ac:dyDescent="0.25">
      <c r="K998" t="str">
        <f t="shared" si="69"/>
        <v>Петров Владимир КирилловичЛебедева Александра Дмитриевна</v>
      </c>
      <c r="L998" t="s">
        <v>18</v>
      </c>
      <c r="M998" t="s">
        <v>20</v>
      </c>
      <c r="N998" t="s">
        <v>12</v>
      </c>
      <c r="S998" t="str">
        <f t="shared" si="70"/>
        <v>Фролов Сергей ВикторовичСтепанов Дмитрий Иванович</v>
      </c>
      <c r="T998" t="s">
        <v>16</v>
      </c>
      <c r="U998" t="s">
        <v>69</v>
      </c>
      <c r="V998" t="s">
        <v>460</v>
      </c>
    </row>
    <row r="999" spans="11:22" x14ac:dyDescent="0.25">
      <c r="K999" t="str">
        <f t="shared" si="69"/>
        <v>Иванова Анна СергеевнаВолкова Ольга Андреевна</v>
      </c>
      <c r="L999" t="s">
        <v>13</v>
      </c>
      <c r="M999" t="s">
        <v>21</v>
      </c>
      <c r="N999" t="s">
        <v>12</v>
      </c>
      <c r="S999" t="str">
        <f t="shared" si="70"/>
        <v>Кузнецов Дмитрий ЛьвовичПетрова Александра Олеговна</v>
      </c>
      <c r="T999" t="s">
        <v>38</v>
      </c>
      <c r="U999" t="s">
        <v>139</v>
      </c>
      <c r="V999" t="s">
        <v>460</v>
      </c>
    </row>
    <row r="1000" spans="11:22" x14ac:dyDescent="0.25">
      <c r="K1000" t="str">
        <f t="shared" si="69"/>
        <v>Громова Мария ИльиничнаВолкова Валерия Алексеевна</v>
      </c>
      <c r="L1000" t="s">
        <v>5</v>
      </c>
      <c r="M1000" t="s">
        <v>6</v>
      </c>
      <c r="N1000" t="s">
        <v>7</v>
      </c>
      <c r="S1000" t="str">
        <f t="shared" si="70"/>
        <v>Новикова Ольга ПетровнаНиколаева Наталья Геннадьевна</v>
      </c>
      <c r="T1000" t="s">
        <v>45</v>
      </c>
      <c r="U1000" t="s">
        <v>256</v>
      </c>
      <c r="V1000" t="s">
        <v>461</v>
      </c>
    </row>
    <row r="1001" spans="11:22" x14ac:dyDescent="0.25">
      <c r="K1001" t="str">
        <f t="shared" si="69"/>
        <v>Сидорова Елена ВасильевнаМорозов Егор Андреевич</v>
      </c>
      <c r="L1001" t="s">
        <v>8</v>
      </c>
      <c r="M1001" t="s">
        <v>9</v>
      </c>
      <c r="N1001" t="s">
        <v>7</v>
      </c>
      <c r="S1001" t="str">
        <f t="shared" si="70"/>
        <v>Ткаченко Андрей ОлеговичПопова Людмила Егоровна</v>
      </c>
      <c r="T1001" t="s">
        <v>27</v>
      </c>
      <c r="U1001" t="s">
        <v>217</v>
      </c>
      <c r="V1001" t="s">
        <v>461</v>
      </c>
    </row>
  </sheetData>
  <sortState xmlns:xlrd2="http://schemas.microsoft.com/office/spreadsheetml/2017/richdata2" ref="L2:O1002">
    <sortCondition descending="1" ref="N1:N1002"/>
  </sortState>
  <phoneticPr fontId="7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124CB6-B7F9-4360-94B2-4ABC235D7E11}">
  <dimension ref="A1:N807"/>
  <sheetViews>
    <sheetView workbookViewId="0">
      <selection activeCell="P13" sqref="P13"/>
    </sheetView>
  </sheetViews>
  <sheetFormatPr defaultRowHeight="15" x14ac:dyDescent="0.25"/>
  <cols>
    <col min="1" max="1" width="33" customWidth="1"/>
    <col min="2" max="2" width="36.140625" customWidth="1"/>
    <col min="3" max="3" width="21.140625" style="26" hidden="1" customWidth="1"/>
    <col min="4" max="4" width="9.5703125" style="26" customWidth="1"/>
    <col min="13" max="13" width="30.5703125" bestFit="1" customWidth="1"/>
    <col min="14" max="14" width="23.7109375" bestFit="1" customWidth="1"/>
    <col min="15" max="15" width="26.85546875" bestFit="1" customWidth="1"/>
    <col min="16" max="16" width="27.5703125" bestFit="1" customWidth="1"/>
    <col min="17" max="17" width="26.5703125" bestFit="1" customWidth="1"/>
    <col min="18" max="18" width="32.140625" bestFit="1" customWidth="1"/>
    <col min="19" max="19" width="28.140625" bestFit="1" customWidth="1"/>
    <col min="20" max="20" width="24" bestFit="1" customWidth="1"/>
    <col min="21" max="21" width="29.85546875" bestFit="1" customWidth="1"/>
    <col min="22" max="22" width="33" bestFit="1" customWidth="1"/>
    <col min="23" max="23" width="27.140625" bestFit="1" customWidth="1"/>
    <col min="24" max="24" width="30" bestFit="1" customWidth="1"/>
    <col min="25" max="25" width="27.28515625" bestFit="1" customWidth="1"/>
    <col min="26" max="26" width="28.28515625" bestFit="1" customWidth="1"/>
    <col min="27" max="27" width="27.5703125" bestFit="1" customWidth="1"/>
    <col min="28" max="28" width="24.85546875" bestFit="1" customWidth="1"/>
    <col min="29" max="29" width="21.85546875" bestFit="1" customWidth="1"/>
    <col min="30" max="30" width="24.140625" bestFit="1" customWidth="1"/>
    <col min="31" max="31" width="28" bestFit="1" customWidth="1"/>
    <col min="32" max="32" width="24.140625" bestFit="1" customWidth="1"/>
    <col min="33" max="33" width="28.5703125" bestFit="1" customWidth="1"/>
    <col min="34" max="34" width="32.85546875" bestFit="1" customWidth="1"/>
    <col min="35" max="35" width="27.28515625" bestFit="1" customWidth="1"/>
    <col min="36" max="36" width="27.7109375" bestFit="1" customWidth="1"/>
    <col min="37" max="37" width="25.28515625" bestFit="1" customWidth="1"/>
    <col min="38" max="38" width="27.5703125" bestFit="1" customWidth="1"/>
    <col min="39" max="39" width="25.5703125" bestFit="1" customWidth="1"/>
    <col min="40" max="40" width="27.140625" bestFit="1" customWidth="1"/>
    <col min="41" max="41" width="29.85546875" bestFit="1" customWidth="1"/>
    <col min="42" max="42" width="30.7109375" bestFit="1" customWidth="1"/>
    <col min="43" max="43" width="33" bestFit="1" customWidth="1"/>
    <col min="44" max="44" width="28.5703125" bestFit="1" customWidth="1"/>
    <col min="45" max="45" width="26.140625" bestFit="1" customWidth="1"/>
    <col min="46" max="46" width="23.5703125" bestFit="1" customWidth="1"/>
    <col min="47" max="47" width="26.5703125" bestFit="1" customWidth="1"/>
    <col min="48" max="48" width="26.7109375" bestFit="1" customWidth="1"/>
    <col min="49" max="49" width="29.28515625" bestFit="1" customWidth="1"/>
    <col min="50" max="50" width="28.28515625" bestFit="1" customWidth="1"/>
    <col min="51" max="51" width="26.85546875" bestFit="1" customWidth="1"/>
    <col min="52" max="52" width="26.5703125" bestFit="1" customWidth="1"/>
    <col min="53" max="53" width="20.5703125" bestFit="1" customWidth="1"/>
    <col min="54" max="54" width="26.28515625" bestFit="1" customWidth="1"/>
    <col min="55" max="55" width="26.42578125" bestFit="1" customWidth="1"/>
    <col min="56" max="56" width="22.85546875" bestFit="1" customWidth="1"/>
    <col min="57" max="57" width="27.5703125" bestFit="1" customWidth="1"/>
    <col min="58" max="59" width="29" bestFit="1" customWidth="1"/>
    <col min="60" max="60" width="30.5703125" bestFit="1" customWidth="1"/>
    <col min="61" max="61" width="26.85546875" bestFit="1" customWidth="1"/>
    <col min="62" max="62" width="25.5703125" bestFit="1" customWidth="1"/>
    <col min="63" max="63" width="21.5703125" bestFit="1" customWidth="1"/>
    <col min="64" max="64" width="22.85546875" bestFit="1" customWidth="1"/>
    <col min="65" max="65" width="33.85546875" bestFit="1" customWidth="1"/>
    <col min="66" max="66" width="24.5703125" bestFit="1" customWidth="1"/>
    <col min="67" max="67" width="26.42578125" bestFit="1" customWidth="1"/>
    <col min="68" max="68" width="27" bestFit="1" customWidth="1"/>
    <col min="69" max="69" width="30" bestFit="1" customWidth="1"/>
    <col min="70" max="70" width="26.42578125" bestFit="1" customWidth="1"/>
    <col min="71" max="71" width="27" bestFit="1" customWidth="1"/>
    <col min="72" max="72" width="29.28515625" bestFit="1" customWidth="1"/>
    <col min="73" max="73" width="31.42578125" bestFit="1" customWidth="1"/>
    <col min="74" max="74" width="25.140625" bestFit="1" customWidth="1"/>
    <col min="75" max="75" width="31.42578125" bestFit="1" customWidth="1"/>
    <col min="76" max="76" width="29.85546875" bestFit="1" customWidth="1"/>
    <col min="77" max="77" width="22" bestFit="1" customWidth="1"/>
    <col min="78" max="78" width="27.140625" bestFit="1" customWidth="1"/>
    <col min="79" max="80" width="27.85546875" bestFit="1" customWidth="1"/>
    <col min="81" max="81" width="30.7109375" bestFit="1" customWidth="1"/>
    <col min="82" max="82" width="34.42578125" bestFit="1" customWidth="1"/>
    <col min="83" max="83" width="28.5703125" bestFit="1" customWidth="1"/>
    <col min="84" max="84" width="25.85546875" bestFit="1" customWidth="1"/>
    <col min="85" max="85" width="30.28515625" bestFit="1" customWidth="1"/>
    <col min="86" max="86" width="29.85546875" bestFit="1" customWidth="1"/>
    <col min="87" max="87" width="28.5703125" bestFit="1" customWidth="1"/>
    <col min="88" max="88" width="27.140625" bestFit="1" customWidth="1"/>
    <col min="89" max="89" width="24.85546875" bestFit="1" customWidth="1"/>
    <col min="90" max="90" width="27.140625" bestFit="1" customWidth="1"/>
    <col min="91" max="91" width="27.7109375" bestFit="1" customWidth="1"/>
    <col min="92" max="92" width="28" bestFit="1" customWidth="1"/>
    <col min="93" max="93" width="36.5703125" bestFit="1" customWidth="1"/>
    <col min="94" max="94" width="29" bestFit="1" customWidth="1"/>
    <col min="95" max="95" width="28.140625" bestFit="1" customWidth="1"/>
    <col min="96" max="96" width="27.42578125" bestFit="1" customWidth="1"/>
    <col min="97" max="97" width="25.28515625" bestFit="1" customWidth="1"/>
    <col min="98" max="98" width="29" bestFit="1" customWidth="1"/>
    <col min="99" max="99" width="31.5703125" bestFit="1" customWidth="1"/>
    <col min="100" max="100" width="27.85546875" bestFit="1" customWidth="1"/>
    <col min="101" max="101" width="24.7109375" bestFit="1" customWidth="1"/>
    <col min="102" max="102" width="22.42578125" bestFit="1" customWidth="1"/>
    <col min="103" max="103" width="25.85546875" bestFit="1" customWidth="1"/>
    <col min="104" max="104" width="25.28515625" bestFit="1" customWidth="1"/>
    <col min="105" max="105" width="26.140625" bestFit="1" customWidth="1"/>
    <col min="106" max="106" width="24.28515625" bestFit="1" customWidth="1"/>
    <col min="107" max="107" width="25.28515625" bestFit="1" customWidth="1"/>
    <col min="108" max="108" width="26.42578125" bestFit="1" customWidth="1"/>
    <col min="109" max="109" width="34.28515625" bestFit="1" customWidth="1"/>
    <col min="110" max="110" width="28.42578125" bestFit="1" customWidth="1"/>
    <col min="111" max="111" width="34.28515625" bestFit="1" customWidth="1"/>
    <col min="112" max="112" width="27.28515625" bestFit="1" customWidth="1"/>
    <col min="113" max="113" width="24.5703125" bestFit="1" customWidth="1"/>
    <col min="114" max="114" width="22.85546875" bestFit="1" customWidth="1"/>
    <col min="115" max="115" width="22.28515625" bestFit="1" customWidth="1"/>
    <col min="116" max="117" width="25.28515625" bestFit="1" customWidth="1"/>
    <col min="118" max="118" width="26.28515625" bestFit="1" customWidth="1"/>
    <col min="119" max="119" width="32.42578125" bestFit="1" customWidth="1"/>
    <col min="120" max="120" width="22.140625" bestFit="1" customWidth="1"/>
    <col min="121" max="121" width="19.7109375" bestFit="1" customWidth="1"/>
    <col min="122" max="123" width="24" bestFit="1" customWidth="1"/>
    <col min="124" max="124" width="22.140625" bestFit="1" customWidth="1"/>
    <col min="125" max="125" width="25.28515625" bestFit="1" customWidth="1"/>
    <col min="126" max="126" width="22.7109375" bestFit="1" customWidth="1"/>
    <col min="127" max="127" width="24" bestFit="1" customWidth="1"/>
    <col min="128" max="128" width="26.140625" bestFit="1" customWidth="1"/>
    <col min="129" max="129" width="30" bestFit="1" customWidth="1"/>
    <col min="130" max="130" width="25.7109375" bestFit="1" customWidth="1"/>
    <col min="131" max="131" width="24.140625" bestFit="1" customWidth="1"/>
    <col min="132" max="132" width="25.7109375" bestFit="1" customWidth="1"/>
    <col min="133" max="133" width="26.140625" bestFit="1" customWidth="1"/>
    <col min="134" max="134" width="27" bestFit="1" customWidth="1"/>
    <col min="135" max="135" width="25" bestFit="1" customWidth="1"/>
    <col min="136" max="136" width="21.85546875" bestFit="1" customWidth="1"/>
    <col min="137" max="137" width="27.42578125" bestFit="1" customWidth="1"/>
    <col min="138" max="138" width="25.85546875" bestFit="1" customWidth="1"/>
    <col min="139" max="139" width="31.28515625" bestFit="1" customWidth="1"/>
    <col min="140" max="140" width="29.85546875" bestFit="1" customWidth="1"/>
    <col min="141" max="141" width="31.42578125" bestFit="1" customWidth="1"/>
    <col min="142" max="142" width="29" bestFit="1" customWidth="1"/>
    <col min="143" max="143" width="23.7109375" bestFit="1" customWidth="1"/>
    <col min="144" max="144" width="24.7109375" bestFit="1" customWidth="1"/>
    <col min="145" max="145" width="25.7109375" bestFit="1" customWidth="1"/>
    <col min="146" max="146" width="22.140625" bestFit="1" customWidth="1"/>
    <col min="147" max="147" width="24" bestFit="1" customWidth="1"/>
    <col min="148" max="149" width="26.42578125" bestFit="1" customWidth="1"/>
    <col min="150" max="150" width="32.42578125" bestFit="1" customWidth="1"/>
    <col min="151" max="151" width="30.42578125" bestFit="1" customWidth="1"/>
    <col min="152" max="152" width="22.140625" bestFit="1" customWidth="1"/>
    <col min="153" max="153" width="23.85546875" bestFit="1" customWidth="1"/>
    <col min="154" max="154" width="25.5703125" bestFit="1" customWidth="1"/>
    <col min="155" max="155" width="29.42578125" bestFit="1" customWidth="1"/>
    <col min="156" max="156" width="26.28515625" bestFit="1" customWidth="1"/>
    <col min="157" max="157" width="24.5703125" bestFit="1" customWidth="1"/>
    <col min="158" max="158" width="25.28515625" bestFit="1" customWidth="1"/>
    <col min="159" max="159" width="25.85546875" bestFit="1" customWidth="1"/>
    <col min="160" max="160" width="27.7109375" bestFit="1" customWidth="1"/>
    <col min="161" max="161" width="31.85546875" bestFit="1" customWidth="1"/>
    <col min="162" max="162" width="30.42578125" bestFit="1" customWidth="1"/>
    <col min="163" max="163" width="32.85546875" bestFit="1" customWidth="1"/>
    <col min="164" max="164" width="28.7109375" bestFit="1" customWidth="1"/>
    <col min="165" max="165" width="27.28515625" bestFit="1" customWidth="1"/>
    <col min="166" max="166" width="27.140625" bestFit="1" customWidth="1"/>
    <col min="167" max="167" width="30.28515625" bestFit="1" customWidth="1"/>
    <col min="168" max="169" width="27" bestFit="1" customWidth="1"/>
    <col min="170" max="170" width="32.42578125" bestFit="1" customWidth="1"/>
    <col min="171" max="171" width="29.7109375" bestFit="1" customWidth="1"/>
    <col min="172" max="172" width="20.7109375" bestFit="1" customWidth="1"/>
    <col min="173" max="173" width="23.85546875" bestFit="1" customWidth="1"/>
    <col min="174" max="174" width="32.42578125" bestFit="1" customWidth="1"/>
    <col min="175" max="175" width="27.7109375" bestFit="1" customWidth="1"/>
    <col min="176" max="176" width="25" bestFit="1" customWidth="1"/>
    <col min="177" max="177" width="28.7109375" bestFit="1" customWidth="1"/>
    <col min="178" max="178" width="27.85546875" bestFit="1" customWidth="1"/>
    <col min="179" max="179" width="29.42578125" bestFit="1" customWidth="1"/>
    <col min="180" max="180" width="31.42578125" bestFit="1" customWidth="1"/>
    <col min="181" max="181" width="33.140625" bestFit="1" customWidth="1"/>
    <col min="182" max="182" width="31.42578125" bestFit="1" customWidth="1"/>
    <col min="183" max="183" width="32.7109375" bestFit="1" customWidth="1"/>
    <col min="184" max="184" width="31.42578125" bestFit="1" customWidth="1"/>
    <col min="185" max="185" width="28.28515625" bestFit="1" customWidth="1"/>
    <col min="186" max="186" width="33.42578125" bestFit="1" customWidth="1"/>
    <col min="187" max="187" width="25.7109375" bestFit="1" customWidth="1"/>
    <col min="188" max="188" width="25.28515625" bestFit="1" customWidth="1"/>
    <col min="189" max="189" width="30.28515625" bestFit="1" customWidth="1"/>
    <col min="190" max="190" width="27.5703125" bestFit="1" customWidth="1"/>
    <col min="191" max="191" width="30.5703125" bestFit="1" customWidth="1"/>
    <col min="192" max="192" width="29.42578125" bestFit="1" customWidth="1"/>
    <col min="193" max="193" width="24.85546875" bestFit="1" customWidth="1"/>
    <col min="194" max="194" width="30" bestFit="1" customWidth="1"/>
    <col min="195" max="195" width="29.140625" bestFit="1" customWidth="1"/>
    <col min="196" max="196" width="26.42578125" bestFit="1" customWidth="1"/>
    <col min="197" max="197" width="22.28515625" bestFit="1" customWidth="1"/>
    <col min="198" max="198" width="23.5703125" bestFit="1" customWidth="1"/>
    <col min="199" max="199" width="28.5703125" bestFit="1" customWidth="1"/>
    <col min="200" max="200" width="28" bestFit="1" customWidth="1"/>
    <col min="201" max="201" width="25.7109375" bestFit="1" customWidth="1"/>
    <col min="202" max="202" width="28.7109375" bestFit="1" customWidth="1"/>
    <col min="203" max="203" width="27" bestFit="1" customWidth="1"/>
    <col min="204" max="204" width="31.140625" bestFit="1" customWidth="1"/>
    <col min="205" max="205" width="28.28515625" bestFit="1" customWidth="1"/>
    <col min="206" max="206" width="26" bestFit="1" customWidth="1"/>
    <col min="207" max="207" width="7.42578125" bestFit="1" customWidth="1"/>
    <col min="208" max="208" width="11.85546875" bestFit="1" customWidth="1"/>
  </cols>
  <sheetData>
    <row r="1" spans="1:14" x14ac:dyDescent="0.25">
      <c r="A1" s="1" t="s">
        <v>0</v>
      </c>
      <c r="B1" s="1" t="s">
        <v>1</v>
      </c>
      <c r="C1" s="25" t="s">
        <v>517</v>
      </c>
      <c r="D1" s="25" t="s">
        <v>518</v>
      </c>
      <c r="E1" s="1" t="s">
        <v>519</v>
      </c>
    </row>
    <row r="2" spans="1:14" x14ac:dyDescent="0.25">
      <c r="A2" t="s">
        <v>10</v>
      </c>
      <c r="B2" t="s">
        <v>11</v>
      </c>
      <c r="C2" s="26" t="s">
        <v>12</v>
      </c>
      <c r="D2" s="26" t="s">
        <v>459</v>
      </c>
      <c r="E2">
        <v>360</v>
      </c>
      <c r="M2" s="22" t="s">
        <v>512</v>
      </c>
      <c r="N2" t="s">
        <v>521</v>
      </c>
    </row>
    <row r="3" spans="1:14" x14ac:dyDescent="0.25">
      <c r="A3" t="s">
        <v>16</v>
      </c>
      <c r="B3" t="s">
        <v>69</v>
      </c>
      <c r="C3" s="26" t="s">
        <v>62</v>
      </c>
      <c r="D3" s="26" t="s">
        <v>460</v>
      </c>
      <c r="E3">
        <v>347</v>
      </c>
      <c r="M3" s="20" t="s">
        <v>25</v>
      </c>
      <c r="N3" s="23">
        <v>312</v>
      </c>
    </row>
    <row r="4" spans="1:14" x14ac:dyDescent="0.25">
      <c r="A4" t="s">
        <v>5</v>
      </c>
      <c r="B4" t="s">
        <v>15</v>
      </c>
      <c r="C4" s="26" t="s">
        <v>12</v>
      </c>
      <c r="D4" s="26" t="s">
        <v>448</v>
      </c>
      <c r="E4">
        <v>345</v>
      </c>
      <c r="M4" s="20" t="s">
        <v>5</v>
      </c>
      <c r="N4" s="23">
        <v>345</v>
      </c>
    </row>
    <row r="5" spans="1:14" x14ac:dyDescent="0.25">
      <c r="A5" t="s">
        <v>16</v>
      </c>
      <c r="B5" t="s">
        <v>41</v>
      </c>
      <c r="C5" s="26" t="s">
        <v>40</v>
      </c>
      <c r="D5" s="26" t="s">
        <v>450</v>
      </c>
      <c r="E5">
        <v>343</v>
      </c>
      <c r="M5" s="20" t="s">
        <v>13</v>
      </c>
      <c r="N5" s="23">
        <v>294</v>
      </c>
    </row>
    <row r="6" spans="1:14" x14ac:dyDescent="0.25">
      <c r="A6" t="s">
        <v>5</v>
      </c>
      <c r="B6" t="s">
        <v>59</v>
      </c>
      <c r="C6" s="26" t="s">
        <v>60</v>
      </c>
      <c r="D6" s="26" t="s">
        <v>450</v>
      </c>
      <c r="E6">
        <v>336</v>
      </c>
      <c r="M6" s="20" t="s">
        <v>38</v>
      </c>
      <c r="N6" s="23">
        <v>303</v>
      </c>
    </row>
    <row r="7" spans="1:14" x14ac:dyDescent="0.25">
      <c r="A7" t="s">
        <v>16</v>
      </c>
      <c r="B7" t="s">
        <v>75</v>
      </c>
      <c r="C7" s="26" t="s">
        <v>104</v>
      </c>
      <c r="D7" s="26" t="s">
        <v>452</v>
      </c>
      <c r="E7">
        <v>323</v>
      </c>
      <c r="M7" s="20" t="s">
        <v>45</v>
      </c>
      <c r="N7" s="23">
        <v>280</v>
      </c>
    </row>
    <row r="8" spans="1:14" x14ac:dyDescent="0.25">
      <c r="A8" t="s">
        <v>18</v>
      </c>
      <c r="B8" t="s">
        <v>114</v>
      </c>
      <c r="C8" s="26" t="s">
        <v>115</v>
      </c>
      <c r="D8" s="26" t="s">
        <v>455</v>
      </c>
      <c r="E8">
        <v>323</v>
      </c>
      <c r="M8" s="20" t="s">
        <v>47</v>
      </c>
      <c r="N8" s="23">
        <v>225</v>
      </c>
    </row>
    <row r="9" spans="1:14" x14ac:dyDescent="0.25">
      <c r="A9" t="s">
        <v>25</v>
      </c>
      <c r="B9" t="s">
        <v>117</v>
      </c>
      <c r="C9" s="26" t="s">
        <v>115</v>
      </c>
      <c r="D9" s="26" t="s">
        <v>446</v>
      </c>
      <c r="E9">
        <v>312</v>
      </c>
      <c r="M9" s="20" t="s">
        <v>18</v>
      </c>
      <c r="N9" s="23">
        <v>323</v>
      </c>
    </row>
    <row r="10" spans="1:14" x14ac:dyDescent="0.25">
      <c r="A10" t="s">
        <v>16</v>
      </c>
      <c r="B10" t="s">
        <v>26</v>
      </c>
      <c r="C10" s="26" t="s">
        <v>120</v>
      </c>
      <c r="D10" s="26" t="s">
        <v>450</v>
      </c>
      <c r="E10">
        <v>312</v>
      </c>
      <c r="M10" s="20" t="s">
        <v>10</v>
      </c>
      <c r="N10" s="23">
        <v>360</v>
      </c>
    </row>
    <row r="11" spans="1:14" x14ac:dyDescent="0.25">
      <c r="A11" t="s">
        <v>18</v>
      </c>
      <c r="B11" t="s">
        <v>125</v>
      </c>
      <c r="C11" s="26" t="s">
        <v>135</v>
      </c>
      <c r="D11" s="26" t="s">
        <v>446</v>
      </c>
      <c r="E11">
        <v>305</v>
      </c>
      <c r="M11" s="20" t="s">
        <v>8</v>
      </c>
      <c r="N11" s="23">
        <v>293</v>
      </c>
    </row>
    <row r="12" spans="1:14" x14ac:dyDescent="0.25">
      <c r="A12" t="s">
        <v>38</v>
      </c>
      <c r="B12" t="s">
        <v>19</v>
      </c>
      <c r="C12" s="26" t="s">
        <v>44</v>
      </c>
      <c r="D12" s="26" t="s">
        <v>422</v>
      </c>
      <c r="E12">
        <v>303</v>
      </c>
      <c r="M12" s="20" t="s">
        <v>27</v>
      </c>
      <c r="N12" s="23">
        <v>295</v>
      </c>
    </row>
    <row r="13" spans="1:14" x14ac:dyDescent="0.25">
      <c r="A13" t="s">
        <v>30</v>
      </c>
      <c r="B13" t="s">
        <v>65</v>
      </c>
      <c r="C13" s="26" t="s">
        <v>112</v>
      </c>
      <c r="D13" s="26" t="s">
        <v>434</v>
      </c>
      <c r="E13">
        <v>296</v>
      </c>
      <c r="M13" s="20" t="s">
        <v>16</v>
      </c>
      <c r="N13" s="23">
        <v>347</v>
      </c>
    </row>
    <row r="14" spans="1:14" x14ac:dyDescent="0.25">
      <c r="A14" t="s">
        <v>27</v>
      </c>
      <c r="B14" t="s">
        <v>116</v>
      </c>
      <c r="C14" s="26" t="s">
        <v>115</v>
      </c>
      <c r="D14" s="26" t="s">
        <v>434</v>
      </c>
      <c r="E14">
        <v>295</v>
      </c>
      <c r="M14" s="20" t="s">
        <v>30</v>
      </c>
      <c r="N14" s="23">
        <v>296</v>
      </c>
    </row>
    <row r="15" spans="1:14" x14ac:dyDescent="0.25">
      <c r="A15" t="s">
        <v>13</v>
      </c>
      <c r="B15" t="s">
        <v>101</v>
      </c>
      <c r="C15" s="26" t="s">
        <v>154</v>
      </c>
      <c r="D15" s="26" t="s">
        <v>446</v>
      </c>
      <c r="E15">
        <v>294</v>
      </c>
      <c r="M15" s="20" t="s">
        <v>513</v>
      </c>
      <c r="N15" s="23"/>
    </row>
    <row r="16" spans="1:14" x14ac:dyDescent="0.25">
      <c r="A16" t="s">
        <v>8</v>
      </c>
      <c r="B16" t="s">
        <v>9</v>
      </c>
      <c r="C16" s="26" t="s">
        <v>7</v>
      </c>
      <c r="D16" s="26" t="s">
        <v>408</v>
      </c>
      <c r="E16">
        <v>293</v>
      </c>
      <c r="M16" s="20" t="s">
        <v>514</v>
      </c>
      <c r="N16" s="23">
        <v>360</v>
      </c>
    </row>
    <row r="17" spans="1:5" x14ac:dyDescent="0.25">
      <c r="A17" t="s">
        <v>45</v>
      </c>
      <c r="B17" t="s">
        <v>46</v>
      </c>
      <c r="C17" s="26" t="s">
        <v>44</v>
      </c>
      <c r="D17" s="26" t="s">
        <v>405</v>
      </c>
      <c r="E17">
        <v>280</v>
      </c>
    </row>
    <row r="18" spans="1:5" x14ac:dyDescent="0.25">
      <c r="A18" t="s">
        <v>5</v>
      </c>
      <c r="B18" t="s">
        <v>53</v>
      </c>
      <c r="C18" s="26" t="s">
        <v>127</v>
      </c>
      <c r="D18" s="26" t="s">
        <v>423</v>
      </c>
      <c r="E18">
        <v>275</v>
      </c>
    </row>
    <row r="19" spans="1:5" x14ac:dyDescent="0.25">
      <c r="A19" t="s">
        <v>13</v>
      </c>
      <c r="B19" t="s">
        <v>125</v>
      </c>
      <c r="C19" s="26" t="s">
        <v>120</v>
      </c>
      <c r="D19" s="26" t="s">
        <v>421</v>
      </c>
      <c r="E19">
        <v>274</v>
      </c>
    </row>
    <row r="20" spans="1:5" x14ac:dyDescent="0.25">
      <c r="A20" t="s">
        <v>30</v>
      </c>
      <c r="B20" t="s">
        <v>144</v>
      </c>
      <c r="C20" s="26" t="s">
        <v>143</v>
      </c>
      <c r="D20" s="26" t="s">
        <v>425</v>
      </c>
      <c r="E20">
        <v>272</v>
      </c>
    </row>
    <row r="21" spans="1:5" x14ac:dyDescent="0.25">
      <c r="A21" t="s">
        <v>30</v>
      </c>
      <c r="B21" t="s">
        <v>148</v>
      </c>
      <c r="C21" s="26" t="s">
        <v>147</v>
      </c>
      <c r="D21" s="26" t="s">
        <v>426</v>
      </c>
      <c r="E21">
        <v>271</v>
      </c>
    </row>
    <row r="22" spans="1:5" x14ac:dyDescent="0.25">
      <c r="A22" t="s">
        <v>10</v>
      </c>
      <c r="B22" t="s">
        <v>22</v>
      </c>
      <c r="C22" s="26" t="s">
        <v>23</v>
      </c>
      <c r="D22" s="26" t="s">
        <v>392</v>
      </c>
      <c r="E22">
        <v>269</v>
      </c>
    </row>
    <row r="23" spans="1:5" x14ac:dyDescent="0.25">
      <c r="A23" t="s">
        <v>8</v>
      </c>
      <c r="B23" t="s">
        <v>149</v>
      </c>
      <c r="C23" s="26" t="s">
        <v>150</v>
      </c>
      <c r="D23" s="26" t="s">
        <v>424</v>
      </c>
      <c r="E23">
        <v>266</v>
      </c>
    </row>
    <row r="24" spans="1:5" x14ac:dyDescent="0.25">
      <c r="A24" t="s">
        <v>10</v>
      </c>
      <c r="B24" t="s">
        <v>35</v>
      </c>
      <c r="C24" s="26" t="s">
        <v>210</v>
      </c>
      <c r="D24" s="26" t="s">
        <v>451</v>
      </c>
      <c r="E24">
        <v>266</v>
      </c>
    </row>
    <row r="25" spans="1:5" x14ac:dyDescent="0.25">
      <c r="A25" t="s">
        <v>16</v>
      </c>
      <c r="B25" t="s">
        <v>223</v>
      </c>
      <c r="C25" s="26" t="s">
        <v>222</v>
      </c>
      <c r="D25" s="26" t="s">
        <v>458</v>
      </c>
      <c r="E25">
        <v>266</v>
      </c>
    </row>
    <row r="26" spans="1:5" x14ac:dyDescent="0.25">
      <c r="A26" t="s">
        <v>27</v>
      </c>
      <c r="B26" t="s">
        <v>33</v>
      </c>
      <c r="C26" s="26" t="s">
        <v>203</v>
      </c>
      <c r="D26" s="26" t="s">
        <v>446</v>
      </c>
      <c r="E26">
        <v>265</v>
      </c>
    </row>
    <row r="27" spans="1:5" x14ac:dyDescent="0.25">
      <c r="A27" t="s">
        <v>16</v>
      </c>
      <c r="B27" t="s">
        <v>78</v>
      </c>
      <c r="C27" s="26" t="s">
        <v>120</v>
      </c>
      <c r="D27" s="26" t="s">
        <v>412</v>
      </c>
      <c r="E27">
        <v>261</v>
      </c>
    </row>
    <row r="28" spans="1:5" x14ac:dyDescent="0.25">
      <c r="A28" t="s">
        <v>30</v>
      </c>
      <c r="B28" t="s">
        <v>20</v>
      </c>
      <c r="C28" s="26" t="s">
        <v>222</v>
      </c>
      <c r="D28" s="26" t="s">
        <v>448</v>
      </c>
      <c r="E28">
        <v>252</v>
      </c>
    </row>
    <row r="29" spans="1:5" x14ac:dyDescent="0.25">
      <c r="A29" t="s">
        <v>25</v>
      </c>
      <c r="B29" t="s">
        <v>63</v>
      </c>
      <c r="C29" s="26" t="s">
        <v>238</v>
      </c>
      <c r="D29" s="26" t="s">
        <v>456</v>
      </c>
      <c r="E29">
        <v>252</v>
      </c>
    </row>
    <row r="30" spans="1:5" x14ac:dyDescent="0.25">
      <c r="A30" t="s">
        <v>25</v>
      </c>
      <c r="B30" t="s">
        <v>90</v>
      </c>
      <c r="C30" s="26" t="s">
        <v>197</v>
      </c>
      <c r="D30" s="26" t="s">
        <v>432</v>
      </c>
      <c r="E30">
        <v>250</v>
      </c>
    </row>
    <row r="31" spans="1:5" x14ac:dyDescent="0.25">
      <c r="A31" t="s">
        <v>8</v>
      </c>
      <c r="B31" t="s">
        <v>227</v>
      </c>
      <c r="C31" s="26" t="s">
        <v>228</v>
      </c>
      <c r="D31" s="26" t="s">
        <v>446</v>
      </c>
      <c r="E31">
        <v>248</v>
      </c>
    </row>
    <row r="32" spans="1:5" x14ac:dyDescent="0.25">
      <c r="A32" t="s">
        <v>16</v>
      </c>
      <c r="B32" t="s">
        <v>68</v>
      </c>
      <c r="C32" s="26" t="s">
        <v>160</v>
      </c>
      <c r="D32" s="26" t="s">
        <v>411</v>
      </c>
      <c r="E32">
        <v>244</v>
      </c>
    </row>
    <row r="33" spans="1:5" x14ac:dyDescent="0.25">
      <c r="A33" t="s">
        <v>18</v>
      </c>
      <c r="B33" t="s">
        <v>19</v>
      </c>
      <c r="C33" s="26" t="s">
        <v>12</v>
      </c>
      <c r="D33" s="26" t="s">
        <v>368</v>
      </c>
      <c r="E33">
        <v>241</v>
      </c>
    </row>
    <row r="34" spans="1:5" x14ac:dyDescent="0.25">
      <c r="A34" t="s">
        <v>10</v>
      </c>
      <c r="B34" t="s">
        <v>144</v>
      </c>
      <c r="C34" s="26" t="s">
        <v>240</v>
      </c>
      <c r="D34" s="26" t="s">
        <v>439</v>
      </c>
      <c r="E34">
        <v>227</v>
      </c>
    </row>
    <row r="35" spans="1:5" x14ac:dyDescent="0.25">
      <c r="A35" t="s">
        <v>47</v>
      </c>
      <c r="B35" t="s">
        <v>157</v>
      </c>
      <c r="C35" s="26" t="s">
        <v>154</v>
      </c>
      <c r="D35" s="26" t="s">
        <v>396</v>
      </c>
      <c r="E35">
        <v>225</v>
      </c>
    </row>
    <row r="36" spans="1:5" x14ac:dyDescent="0.25">
      <c r="A36" t="s">
        <v>16</v>
      </c>
      <c r="B36" t="s">
        <v>77</v>
      </c>
      <c r="C36" s="26" t="s">
        <v>76</v>
      </c>
      <c r="D36" s="26" t="s">
        <v>367</v>
      </c>
      <c r="E36">
        <v>224</v>
      </c>
    </row>
    <row r="37" spans="1:5" x14ac:dyDescent="0.25">
      <c r="A37" t="s">
        <v>10</v>
      </c>
      <c r="B37" t="s">
        <v>75</v>
      </c>
      <c r="C37" s="26" t="s">
        <v>251</v>
      </c>
      <c r="D37" s="26" t="s">
        <v>440</v>
      </c>
      <c r="E37">
        <v>222</v>
      </c>
    </row>
    <row r="38" spans="1:5" x14ac:dyDescent="0.25">
      <c r="A38" t="s">
        <v>18</v>
      </c>
      <c r="B38" t="s">
        <v>176</v>
      </c>
      <c r="C38" s="26" t="s">
        <v>266</v>
      </c>
      <c r="D38" s="26" t="s">
        <v>451</v>
      </c>
      <c r="E38">
        <v>221</v>
      </c>
    </row>
    <row r="39" spans="1:5" x14ac:dyDescent="0.25">
      <c r="A39" t="s">
        <v>47</v>
      </c>
      <c r="B39" t="s">
        <v>231</v>
      </c>
      <c r="C39" s="26" t="s">
        <v>271</v>
      </c>
      <c r="D39" s="26" t="s">
        <v>454</v>
      </c>
      <c r="E39">
        <v>220</v>
      </c>
    </row>
    <row r="40" spans="1:5" x14ac:dyDescent="0.25">
      <c r="A40" t="s">
        <v>8</v>
      </c>
      <c r="B40" t="s">
        <v>196</v>
      </c>
      <c r="C40" s="26" t="s">
        <v>261</v>
      </c>
      <c r="D40" s="26" t="s">
        <v>446</v>
      </c>
      <c r="E40">
        <v>217</v>
      </c>
    </row>
    <row r="41" spans="1:5" x14ac:dyDescent="0.25">
      <c r="A41" t="s">
        <v>13</v>
      </c>
      <c r="B41" t="s">
        <v>141</v>
      </c>
      <c r="C41" s="26" t="s">
        <v>283</v>
      </c>
      <c r="D41" s="26" t="s">
        <v>457</v>
      </c>
      <c r="E41">
        <v>210</v>
      </c>
    </row>
    <row r="42" spans="1:5" x14ac:dyDescent="0.25">
      <c r="A42" t="s">
        <v>8</v>
      </c>
      <c r="B42" t="s">
        <v>155</v>
      </c>
      <c r="C42" s="26" t="s">
        <v>154</v>
      </c>
      <c r="D42" s="26" t="s">
        <v>381</v>
      </c>
      <c r="E42">
        <v>207</v>
      </c>
    </row>
    <row r="43" spans="1:5" x14ac:dyDescent="0.25">
      <c r="A43" t="s">
        <v>10</v>
      </c>
      <c r="B43" t="s">
        <v>177</v>
      </c>
      <c r="C43" s="26" t="s">
        <v>175</v>
      </c>
      <c r="D43" s="26" t="s">
        <v>388</v>
      </c>
      <c r="E43">
        <v>203</v>
      </c>
    </row>
    <row r="44" spans="1:5" x14ac:dyDescent="0.25">
      <c r="A44" t="s">
        <v>10</v>
      </c>
      <c r="B44" t="s">
        <v>231</v>
      </c>
      <c r="C44" s="26" t="s">
        <v>230</v>
      </c>
      <c r="D44" s="26" t="s">
        <v>415</v>
      </c>
      <c r="E44">
        <v>203</v>
      </c>
    </row>
    <row r="45" spans="1:5" x14ac:dyDescent="0.25">
      <c r="A45" t="s">
        <v>16</v>
      </c>
      <c r="B45" t="s">
        <v>9</v>
      </c>
      <c r="C45" s="26" t="s">
        <v>218</v>
      </c>
      <c r="D45" s="26" t="s">
        <v>400</v>
      </c>
      <c r="E45">
        <v>189</v>
      </c>
    </row>
    <row r="46" spans="1:5" x14ac:dyDescent="0.25">
      <c r="A46" t="s">
        <v>27</v>
      </c>
      <c r="B46" t="s">
        <v>92</v>
      </c>
      <c r="C46" s="26" t="s">
        <v>268</v>
      </c>
      <c r="D46" s="26" t="s">
        <v>429</v>
      </c>
      <c r="E46">
        <v>189</v>
      </c>
    </row>
    <row r="47" spans="1:5" x14ac:dyDescent="0.25">
      <c r="A47" t="s">
        <v>30</v>
      </c>
      <c r="B47" t="s">
        <v>33</v>
      </c>
      <c r="C47" s="26" t="s">
        <v>225</v>
      </c>
      <c r="D47" s="26" t="s">
        <v>402</v>
      </c>
      <c r="E47">
        <v>188</v>
      </c>
    </row>
    <row r="48" spans="1:5" x14ac:dyDescent="0.25">
      <c r="A48" t="s">
        <v>8</v>
      </c>
      <c r="B48" t="s">
        <v>32</v>
      </c>
      <c r="C48" s="26" t="s">
        <v>56</v>
      </c>
      <c r="D48" s="26" t="s">
        <v>330</v>
      </c>
      <c r="E48">
        <v>186</v>
      </c>
    </row>
    <row r="49" spans="1:5" x14ac:dyDescent="0.25">
      <c r="A49" t="s">
        <v>8</v>
      </c>
      <c r="B49" t="s">
        <v>239</v>
      </c>
      <c r="C49" s="26" t="s">
        <v>238</v>
      </c>
      <c r="D49" s="26" t="s">
        <v>405</v>
      </c>
      <c r="E49">
        <v>182</v>
      </c>
    </row>
    <row r="50" spans="1:5" x14ac:dyDescent="0.25">
      <c r="A50" t="s">
        <v>25</v>
      </c>
      <c r="B50" t="s">
        <v>129</v>
      </c>
      <c r="C50" s="26" t="s">
        <v>127</v>
      </c>
      <c r="D50" s="26" t="s">
        <v>342</v>
      </c>
      <c r="E50">
        <v>171</v>
      </c>
    </row>
    <row r="51" spans="1:5" x14ac:dyDescent="0.25">
      <c r="A51" t="s">
        <v>25</v>
      </c>
      <c r="B51" t="s">
        <v>105</v>
      </c>
      <c r="C51" s="26" t="s">
        <v>210</v>
      </c>
      <c r="D51" s="26" t="s">
        <v>379</v>
      </c>
      <c r="E51">
        <v>171</v>
      </c>
    </row>
    <row r="52" spans="1:5" x14ac:dyDescent="0.25">
      <c r="A52" t="s">
        <v>30</v>
      </c>
      <c r="B52" t="s">
        <v>55</v>
      </c>
      <c r="C52" s="26" t="s">
        <v>56</v>
      </c>
      <c r="D52" s="26" t="s">
        <v>317</v>
      </c>
      <c r="E52">
        <v>169</v>
      </c>
    </row>
    <row r="53" spans="1:5" x14ac:dyDescent="0.25">
      <c r="A53" t="s">
        <v>5</v>
      </c>
      <c r="B53" t="s">
        <v>73</v>
      </c>
      <c r="C53" s="26" t="s">
        <v>71</v>
      </c>
      <c r="D53" s="26" t="s">
        <v>320</v>
      </c>
      <c r="E53">
        <v>169</v>
      </c>
    </row>
    <row r="54" spans="1:5" x14ac:dyDescent="0.25">
      <c r="A54" t="s">
        <v>18</v>
      </c>
      <c r="B54" t="s">
        <v>81</v>
      </c>
      <c r="C54" s="26" t="s">
        <v>79</v>
      </c>
      <c r="D54" s="26" t="s">
        <v>320</v>
      </c>
      <c r="E54">
        <v>167</v>
      </c>
    </row>
    <row r="55" spans="1:5" x14ac:dyDescent="0.25">
      <c r="A55" t="s">
        <v>8</v>
      </c>
      <c r="B55" t="s">
        <v>42</v>
      </c>
      <c r="C55" s="26" t="s">
        <v>308</v>
      </c>
      <c r="D55" s="26" t="s">
        <v>440</v>
      </c>
      <c r="E55">
        <v>167</v>
      </c>
    </row>
    <row r="56" spans="1:5" x14ac:dyDescent="0.25">
      <c r="A56" t="s">
        <v>13</v>
      </c>
      <c r="B56" t="s">
        <v>167</v>
      </c>
      <c r="C56" s="26" t="s">
        <v>168</v>
      </c>
      <c r="D56" s="26" t="s">
        <v>352</v>
      </c>
      <c r="E56">
        <v>163</v>
      </c>
    </row>
    <row r="57" spans="1:5" x14ac:dyDescent="0.25">
      <c r="A57" t="s">
        <v>5</v>
      </c>
      <c r="B57" t="s">
        <v>195</v>
      </c>
      <c r="C57" s="26" t="s">
        <v>323</v>
      </c>
      <c r="D57" s="26" t="s">
        <v>452</v>
      </c>
      <c r="E57">
        <v>162</v>
      </c>
    </row>
    <row r="58" spans="1:5" x14ac:dyDescent="0.25">
      <c r="A58" t="s">
        <v>30</v>
      </c>
      <c r="B58" t="s">
        <v>156</v>
      </c>
      <c r="C58" s="26" t="s">
        <v>154</v>
      </c>
      <c r="D58" s="26" t="s">
        <v>343</v>
      </c>
      <c r="E58">
        <v>161</v>
      </c>
    </row>
    <row r="59" spans="1:5" x14ac:dyDescent="0.25">
      <c r="A59" t="s">
        <v>45</v>
      </c>
      <c r="B59" t="s">
        <v>22</v>
      </c>
      <c r="C59" s="26" t="s">
        <v>71</v>
      </c>
      <c r="D59" s="26" t="s">
        <v>310</v>
      </c>
      <c r="E59">
        <v>156</v>
      </c>
    </row>
    <row r="60" spans="1:5" x14ac:dyDescent="0.25">
      <c r="A60" t="s">
        <v>10</v>
      </c>
      <c r="B60" t="s">
        <v>139</v>
      </c>
      <c r="C60" s="26" t="s">
        <v>282</v>
      </c>
      <c r="D60" s="26" t="s">
        <v>416</v>
      </c>
      <c r="E60">
        <v>155</v>
      </c>
    </row>
    <row r="61" spans="1:5" x14ac:dyDescent="0.25">
      <c r="A61" t="s">
        <v>30</v>
      </c>
      <c r="B61" t="s">
        <v>103</v>
      </c>
      <c r="C61" s="26" t="s">
        <v>104</v>
      </c>
      <c r="D61" s="26" t="s">
        <v>318</v>
      </c>
      <c r="E61">
        <v>154</v>
      </c>
    </row>
    <row r="62" spans="1:5" x14ac:dyDescent="0.25">
      <c r="A62" t="s">
        <v>5</v>
      </c>
      <c r="B62" t="s">
        <v>196</v>
      </c>
      <c r="C62" s="26" t="s">
        <v>197</v>
      </c>
      <c r="D62" s="26" t="s">
        <v>358</v>
      </c>
      <c r="E62">
        <v>153</v>
      </c>
    </row>
    <row r="63" spans="1:5" x14ac:dyDescent="0.25">
      <c r="A63" t="s">
        <v>38</v>
      </c>
      <c r="B63" t="s">
        <v>194</v>
      </c>
      <c r="C63" s="26" t="s">
        <v>234</v>
      </c>
      <c r="D63" s="26" t="s">
        <v>376</v>
      </c>
      <c r="E63">
        <v>153</v>
      </c>
    </row>
    <row r="64" spans="1:5" x14ac:dyDescent="0.25">
      <c r="A64" t="s">
        <v>10</v>
      </c>
      <c r="B64" t="s">
        <v>99</v>
      </c>
      <c r="C64" s="26" t="s">
        <v>100</v>
      </c>
      <c r="D64" s="26" t="s">
        <v>314</v>
      </c>
      <c r="E64">
        <v>152</v>
      </c>
    </row>
    <row r="65" spans="1:5" x14ac:dyDescent="0.25">
      <c r="A65" t="s">
        <v>10</v>
      </c>
      <c r="B65" t="s">
        <v>96</v>
      </c>
      <c r="C65" s="26" t="s">
        <v>172</v>
      </c>
      <c r="D65" s="26" t="s">
        <v>343</v>
      </c>
      <c r="E65">
        <v>152</v>
      </c>
    </row>
    <row r="66" spans="1:5" x14ac:dyDescent="0.25">
      <c r="A66" t="s">
        <v>25</v>
      </c>
      <c r="B66" t="s">
        <v>82</v>
      </c>
      <c r="C66" s="26" t="s">
        <v>210</v>
      </c>
      <c r="D66" s="26" t="s">
        <v>362</v>
      </c>
      <c r="E66">
        <v>150</v>
      </c>
    </row>
    <row r="67" spans="1:5" x14ac:dyDescent="0.25">
      <c r="A67" t="s">
        <v>38</v>
      </c>
      <c r="B67" t="s">
        <v>65</v>
      </c>
      <c r="C67" s="26" t="s">
        <v>312</v>
      </c>
      <c r="D67" s="26" t="s">
        <v>432</v>
      </c>
      <c r="E67">
        <v>149</v>
      </c>
    </row>
    <row r="68" spans="1:5" x14ac:dyDescent="0.25">
      <c r="A68" t="s">
        <v>47</v>
      </c>
      <c r="B68" t="s">
        <v>32</v>
      </c>
      <c r="C68" s="26" t="s">
        <v>320</v>
      </c>
      <c r="D68" s="26" t="s">
        <v>435</v>
      </c>
      <c r="E68">
        <v>145</v>
      </c>
    </row>
    <row r="69" spans="1:5" x14ac:dyDescent="0.25">
      <c r="A69" t="s">
        <v>38</v>
      </c>
      <c r="B69" t="s">
        <v>195</v>
      </c>
      <c r="C69" s="26" t="s">
        <v>301</v>
      </c>
      <c r="D69" s="26" t="s">
        <v>418</v>
      </c>
      <c r="E69">
        <v>142</v>
      </c>
    </row>
    <row r="70" spans="1:5" x14ac:dyDescent="0.25">
      <c r="A70" t="s">
        <v>45</v>
      </c>
      <c r="B70" t="s">
        <v>233</v>
      </c>
      <c r="C70" s="26" t="s">
        <v>230</v>
      </c>
      <c r="D70" s="26" t="s">
        <v>365</v>
      </c>
      <c r="E70">
        <v>140</v>
      </c>
    </row>
    <row r="71" spans="1:5" x14ac:dyDescent="0.25">
      <c r="A71" t="s">
        <v>10</v>
      </c>
      <c r="B71" t="s">
        <v>132</v>
      </c>
      <c r="C71" s="26" t="s">
        <v>131</v>
      </c>
      <c r="D71" s="26" t="s">
        <v>314</v>
      </c>
      <c r="E71">
        <v>139</v>
      </c>
    </row>
    <row r="72" spans="1:5" x14ac:dyDescent="0.25">
      <c r="A72" t="s">
        <v>47</v>
      </c>
      <c r="B72" t="s">
        <v>196</v>
      </c>
      <c r="C72" s="26" t="s">
        <v>254</v>
      </c>
      <c r="D72" s="26" t="s">
        <v>379</v>
      </c>
      <c r="E72">
        <v>139</v>
      </c>
    </row>
    <row r="73" spans="1:5" x14ac:dyDescent="0.25">
      <c r="A73" t="s">
        <v>25</v>
      </c>
      <c r="B73" t="s">
        <v>287</v>
      </c>
      <c r="C73" s="26" t="s">
        <v>288</v>
      </c>
      <c r="D73" s="26" t="s">
        <v>405</v>
      </c>
      <c r="E73">
        <v>133</v>
      </c>
    </row>
    <row r="74" spans="1:5" x14ac:dyDescent="0.25">
      <c r="A74" t="s">
        <v>45</v>
      </c>
      <c r="B74" t="s">
        <v>279</v>
      </c>
      <c r="C74" s="26" t="s">
        <v>280</v>
      </c>
      <c r="D74" s="26" t="s">
        <v>394</v>
      </c>
      <c r="E74">
        <v>131</v>
      </c>
    </row>
    <row r="75" spans="1:5" x14ac:dyDescent="0.25">
      <c r="A75" t="s">
        <v>45</v>
      </c>
      <c r="B75" t="s">
        <v>89</v>
      </c>
      <c r="C75" s="26" t="s">
        <v>140</v>
      </c>
      <c r="D75" s="26" t="s">
        <v>311</v>
      </c>
      <c r="E75">
        <v>130</v>
      </c>
    </row>
    <row r="76" spans="1:5" x14ac:dyDescent="0.25">
      <c r="A76" t="s">
        <v>27</v>
      </c>
      <c r="B76" t="s">
        <v>57</v>
      </c>
      <c r="C76" s="26" t="s">
        <v>314</v>
      </c>
      <c r="D76" s="26" t="s">
        <v>418</v>
      </c>
      <c r="E76">
        <v>128</v>
      </c>
    </row>
    <row r="77" spans="1:5" x14ac:dyDescent="0.25">
      <c r="A77" t="s">
        <v>13</v>
      </c>
      <c r="B77" t="s">
        <v>239</v>
      </c>
      <c r="C77" s="26" t="s">
        <v>353</v>
      </c>
      <c r="D77" s="26" t="s">
        <v>450</v>
      </c>
      <c r="E77">
        <v>127</v>
      </c>
    </row>
    <row r="78" spans="1:5" x14ac:dyDescent="0.25">
      <c r="A78" t="s">
        <v>47</v>
      </c>
      <c r="B78" t="s">
        <v>121</v>
      </c>
      <c r="C78" s="26" t="s">
        <v>278</v>
      </c>
      <c r="D78" s="26" t="s">
        <v>389</v>
      </c>
      <c r="E78">
        <v>126</v>
      </c>
    </row>
    <row r="79" spans="1:5" x14ac:dyDescent="0.25">
      <c r="A79" t="s">
        <v>16</v>
      </c>
      <c r="B79" t="s">
        <v>146</v>
      </c>
      <c r="C79" s="26" t="s">
        <v>362</v>
      </c>
      <c r="D79" s="26" t="s">
        <v>456</v>
      </c>
      <c r="E79">
        <v>123</v>
      </c>
    </row>
    <row r="80" spans="1:5" x14ac:dyDescent="0.25">
      <c r="A80" t="s">
        <v>45</v>
      </c>
      <c r="B80" t="s">
        <v>264</v>
      </c>
      <c r="C80" s="26" t="s">
        <v>263</v>
      </c>
      <c r="D80" s="26" t="s">
        <v>373</v>
      </c>
      <c r="E80">
        <v>120</v>
      </c>
    </row>
    <row r="81" spans="1:5" x14ac:dyDescent="0.25">
      <c r="A81" t="s">
        <v>38</v>
      </c>
      <c r="B81" t="s">
        <v>99</v>
      </c>
      <c r="C81" s="26" t="s">
        <v>238</v>
      </c>
      <c r="D81" s="26" t="s">
        <v>355</v>
      </c>
      <c r="E81">
        <v>119</v>
      </c>
    </row>
    <row r="82" spans="1:5" x14ac:dyDescent="0.25">
      <c r="A82" t="s">
        <v>8</v>
      </c>
      <c r="B82" t="s">
        <v>211</v>
      </c>
      <c r="C82" s="26" t="s">
        <v>360</v>
      </c>
      <c r="D82" s="26" t="s">
        <v>451</v>
      </c>
      <c r="E82">
        <v>119</v>
      </c>
    </row>
    <row r="83" spans="1:5" x14ac:dyDescent="0.25">
      <c r="A83" t="s">
        <v>47</v>
      </c>
      <c r="B83" t="s">
        <v>344</v>
      </c>
      <c r="C83" s="26" t="s">
        <v>369</v>
      </c>
      <c r="D83" s="26" t="s">
        <v>456</v>
      </c>
      <c r="E83">
        <v>115</v>
      </c>
    </row>
    <row r="84" spans="1:5" x14ac:dyDescent="0.25">
      <c r="A84" t="s">
        <v>16</v>
      </c>
      <c r="B84" t="s">
        <v>70</v>
      </c>
      <c r="C84" s="26" t="s">
        <v>62</v>
      </c>
      <c r="D84" s="26" t="s">
        <v>262</v>
      </c>
      <c r="E84">
        <v>113</v>
      </c>
    </row>
    <row r="85" spans="1:5" x14ac:dyDescent="0.25">
      <c r="A85" t="s">
        <v>5</v>
      </c>
      <c r="B85" t="s">
        <v>41</v>
      </c>
      <c r="C85" s="26" t="s">
        <v>315</v>
      </c>
      <c r="D85" s="26" t="s">
        <v>408</v>
      </c>
      <c r="E85">
        <v>113</v>
      </c>
    </row>
    <row r="86" spans="1:5" x14ac:dyDescent="0.25">
      <c r="A86" t="s">
        <v>45</v>
      </c>
      <c r="B86" t="s">
        <v>36</v>
      </c>
      <c r="C86" s="26" t="s">
        <v>102</v>
      </c>
      <c r="D86" s="26" t="s">
        <v>273</v>
      </c>
      <c r="E86">
        <v>109</v>
      </c>
    </row>
    <row r="87" spans="1:5" x14ac:dyDescent="0.25">
      <c r="A87" t="s">
        <v>30</v>
      </c>
      <c r="B87" t="s">
        <v>134</v>
      </c>
      <c r="C87" s="26" t="s">
        <v>294</v>
      </c>
      <c r="D87" s="26" t="s">
        <v>388</v>
      </c>
      <c r="E87">
        <v>108</v>
      </c>
    </row>
    <row r="88" spans="1:5" x14ac:dyDescent="0.25">
      <c r="A88" t="s">
        <v>25</v>
      </c>
      <c r="B88" t="s">
        <v>94</v>
      </c>
      <c r="C88" s="26" t="s">
        <v>304</v>
      </c>
      <c r="D88" s="26" t="s">
        <v>394</v>
      </c>
      <c r="E88">
        <v>108</v>
      </c>
    </row>
    <row r="89" spans="1:5" x14ac:dyDescent="0.25">
      <c r="A89" t="s">
        <v>30</v>
      </c>
      <c r="B89" t="s">
        <v>221</v>
      </c>
      <c r="C89" s="26" t="s">
        <v>285</v>
      </c>
      <c r="D89" s="26" t="s">
        <v>379</v>
      </c>
      <c r="E89">
        <v>105</v>
      </c>
    </row>
    <row r="90" spans="1:5" x14ac:dyDescent="0.25">
      <c r="A90" t="s">
        <v>13</v>
      </c>
      <c r="B90" t="s">
        <v>11</v>
      </c>
      <c r="C90" s="26" t="s">
        <v>370</v>
      </c>
      <c r="D90" s="26" t="s">
        <v>451</v>
      </c>
      <c r="E90">
        <v>105</v>
      </c>
    </row>
    <row r="91" spans="1:5" x14ac:dyDescent="0.25">
      <c r="A91" t="s">
        <v>8</v>
      </c>
      <c r="B91" t="s">
        <v>17</v>
      </c>
      <c r="C91" s="26" t="s">
        <v>213</v>
      </c>
      <c r="D91" s="26" t="s">
        <v>324</v>
      </c>
      <c r="E91">
        <v>104</v>
      </c>
    </row>
    <row r="92" spans="1:5" x14ac:dyDescent="0.25">
      <c r="A92" t="s">
        <v>18</v>
      </c>
      <c r="B92" t="s">
        <v>309</v>
      </c>
      <c r="C92" s="26" t="s">
        <v>308</v>
      </c>
      <c r="D92" s="26" t="s">
        <v>394</v>
      </c>
      <c r="E92">
        <v>104</v>
      </c>
    </row>
    <row r="93" spans="1:5" x14ac:dyDescent="0.25">
      <c r="A93" t="s">
        <v>27</v>
      </c>
      <c r="B93" t="s">
        <v>178</v>
      </c>
      <c r="C93" s="26" t="s">
        <v>179</v>
      </c>
      <c r="D93" s="26" t="s">
        <v>303</v>
      </c>
      <c r="E93">
        <v>99</v>
      </c>
    </row>
    <row r="94" spans="1:5" x14ac:dyDescent="0.25">
      <c r="A94" t="s">
        <v>45</v>
      </c>
      <c r="B94" t="s">
        <v>338</v>
      </c>
      <c r="C94" s="26" t="s">
        <v>337</v>
      </c>
      <c r="D94" s="26" t="s">
        <v>416</v>
      </c>
      <c r="E94">
        <v>99</v>
      </c>
    </row>
    <row r="95" spans="1:5" x14ac:dyDescent="0.25">
      <c r="A95" t="s">
        <v>38</v>
      </c>
      <c r="B95" t="s">
        <v>128</v>
      </c>
      <c r="C95" s="26" t="s">
        <v>199</v>
      </c>
      <c r="D95" s="26" t="s">
        <v>312</v>
      </c>
      <c r="E95">
        <v>98</v>
      </c>
    </row>
    <row r="96" spans="1:5" x14ac:dyDescent="0.25">
      <c r="A96" t="s">
        <v>47</v>
      </c>
      <c r="B96" t="s">
        <v>307</v>
      </c>
      <c r="C96" s="26" t="s">
        <v>381</v>
      </c>
      <c r="D96" s="26" t="s">
        <v>454</v>
      </c>
      <c r="E96">
        <v>97</v>
      </c>
    </row>
    <row r="97" spans="1:5" x14ac:dyDescent="0.25">
      <c r="A97" t="s">
        <v>30</v>
      </c>
      <c r="B97" t="s">
        <v>94</v>
      </c>
      <c r="C97" s="26" t="s">
        <v>189</v>
      </c>
      <c r="D97" s="26" t="s">
        <v>303</v>
      </c>
      <c r="E97">
        <v>94</v>
      </c>
    </row>
    <row r="98" spans="1:5" x14ac:dyDescent="0.25">
      <c r="A98" t="s">
        <v>30</v>
      </c>
      <c r="B98" t="s">
        <v>31</v>
      </c>
      <c r="C98" s="26" t="s">
        <v>29</v>
      </c>
      <c r="D98" s="26" t="s">
        <v>228</v>
      </c>
      <c r="E98">
        <v>93</v>
      </c>
    </row>
    <row r="99" spans="1:5" x14ac:dyDescent="0.25">
      <c r="A99" t="s">
        <v>10</v>
      </c>
      <c r="B99" t="s">
        <v>69</v>
      </c>
      <c r="C99" s="26" t="s">
        <v>378</v>
      </c>
      <c r="D99" s="26" t="s">
        <v>449</v>
      </c>
      <c r="E99">
        <v>92</v>
      </c>
    </row>
    <row r="100" spans="1:5" x14ac:dyDescent="0.25">
      <c r="A100" t="s">
        <v>45</v>
      </c>
      <c r="B100" t="s">
        <v>24</v>
      </c>
      <c r="C100" s="26" t="s">
        <v>358</v>
      </c>
      <c r="D100" s="26" t="s">
        <v>427</v>
      </c>
      <c r="E100">
        <v>90</v>
      </c>
    </row>
    <row r="101" spans="1:5" x14ac:dyDescent="0.25">
      <c r="A101" t="s">
        <v>30</v>
      </c>
      <c r="B101" t="s">
        <v>58</v>
      </c>
      <c r="C101" s="26" t="s">
        <v>283</v>
      </c>
      <c r="D101" s="26" t="s">
        <v>362</v>
      </c>
      <c r="E101">
        <v>86</v>
      </c>
    </row>
    <row r="102" spans="1:5" x14ac:dyDescent="0.25">
      <c r="A102" t="s">
        <v>8</v>
      </c>
      <c r="B102" t="s">
        <v>107</v>
      </c>
      <c r="C102" s="26" t="s">
        <v>318</v>
      </c>
      <c r="D102" s="26" t="s">
        <v>387</v>
      </c>
      <c r="E102">
        <v>81</v>
      </c>
    </row>
    <row r="103" spans="1:5" x14ac:dyDescent="0.25">
      <c r="A103" t="s">
        <v>45</v>
      </c>
      <c r="B103" t="s">
        <v>187</v>
      </c>
      <c r="C103" s="26" t="s">
        <v>185</v>
      </c>
      <c r="D103" s="26" t="s">
        <v>282</v>
      </c>
      <c r="E103">
        <v>80</v>
      </c>
    </row>
    <row r="104" spans="1:5" x14ac:dyDescent="0.25">
      <c r="A104" t="s">
        <v>18</v>
      </c>
      <c r="B104" t="s">
        <v>73</v>
      </c>
      <c r="C104" s="26" t="s">
        <v>278</v>
      </c>
      <c r="D104" s="26" t="s">
        <v>353</v>
      </c>
      <c r="E104">
        <v>79</v>
      </c>
    </row>
    <row r="105" spans="1:5" x14ac:dyDescent="0.25">
      <c r="A105" t="s">
        <v>27</v>
      </c>
      <c r="B105" t="s">
        <v>28</v>
      </c>
      <c r="C105" s="26" t="s">
        <v>29</v>
      </c>
      <c r="D105" s="26" t="s">
        <v>207</v>
      </c>
      <c r="E105">
        <v>78</v>
      </c>
    </row>
    <row r="106" spans="1:5" x14ac:dyDescent="0.25">
      <c r="A106" t="s">
        <v>47</v>
      </c>
      <c r="B106" t="s">
        <v>49</v>
      </c>
      <c r="C106" s="26" t="s">
        <v>251</v>
      </c>
      <c r="D106" s="26" t="s">
        <v>326</v>
      </c>
      <c r="E106">
        <v>77</v>
      </c>
    </row>
    <row r="107" spans="1:5" x14ac:dyDescent="0.25">
      <c r="A107" t="s">
        <v>13</v>
      </c>
      <c r="B107" t="s">
        <v>9</v>
      </c>
      <c r="C107" s="26" t="s">
        <v>383</v>
      </c>
      <c r="D107" s="26" t="s">
        <v>440</v>
      </c>
      <c r="E107">
        <v>77</v>
      </c>
    </row>
    <row r="108" spans="1:5" x14ac:dyDescent="0.25">
      <c r="A108" t="s">
        <v>16</v>
      </c>
      <c r="B108" t="s">
        <v>17</v>
      </c>
      <c r="C108" s="26" t="s">
        <v>12</v>
      </c>
      <c r="D108" s="26" t="s">
        <v>192</v>
      </c>
      <c r="E108">
        <v>72</v>
      </c>
    </row>
    <row r="109" spans="1:5" x14ac:dyDescent="0.25">
      <c r="A109" t="s">
        <v>18</v>
      </c>
      <c r="B109" t="s">
        <v>33</v>
      </c>
      <c r="C109" s="26" t="s">
        <v>337</v>
      </c>
      <c r="D109" s="26" t="s">
        <v>394</v>
      </c>
      <c r="E109">
        <v>70</v>
      </c>
    </row>
    <row r="110" spans="1:5" x14ac:dyDescent="0.25">
      <c r="A110" t="s">
        <v>47</v>
      </c>
      <c r="B110" t="s">
        <v>24</v>
      </c>
      <c r="C110" s="26" t="s">
        <v>343</v>
      </c>
      <c r="D110" s="26" t="s">
        <v>400</v>
      </c>
      <c r="E110">
        <v>70</v>
      </c>
    </row>
    <row r="111" spans="1:5" x14ac:dyDescent="0.25">
      <c r="A111" t="s">
        <v>27</v>
      </c>
      <c r="B111" t="s">
        <v>344</v>
      </c>
      <c r="C111" s="26" t="s">
        <v>409</v>
      </c>
      <c r="D111" s="26" t="s">
        <v>459</v>
      </c>
      <c r="E111">
        <v>69</v>
      </c>
    </row>
    <row r="112" spans="1:5" x14ac:dyDescent="0.25">
      <c r="A112" t="s">
        <v>16</v>
      </c>
      <c r="B112" t="s">
        <v>215</v>
      </c>
      <c r="C112" s="26" t="s">
        <v>277</v>
      </c>
      <c r="D112" s="26" t="s">
        <v>342</v>
      </c>
      <c r="E112">
        <v>67</v>
      </c>
    </row>
    <row r="113" spans="1:5" x14ac:dyDescent="0.25">
      <c r="A113" t="s">
        <v>27</v>
      </c>
      <c r="B113" t="s">
        <v>77</v>
      </c>
      <c r="C113" s="26" t="s">
        <v>391</v>
      </c>
      <c r="D113" s="26" t="s">
        <v>440</v>
      </c>
      <c r="E113">
        <v>67</v>
      </c>
    </row>
    <row r="114" spans="1:5" x14ac:dyDescent="0.25">
      <c r="A114" t="s">
        <v>13</v>
      </c>
      <c r="B114" t="s">
        <v>155</v>
      </c>
      <c r="C114" s="26" t="s">
        <v>388</v>
      </c>
      <c r="D114" s="26" t="s">
        <v>437</v>
      </c>
      <c r="E114">
        <v>65</v>
      </c>
    </row>
    <row r="115" spans="1:5" x14ac:dyDescent="0.25">
      <c r="A115" t="s">
        <v>30</v>
      </c>
      <c r="B115" t="s">
        <v>84</v>
      </c>
      <c r="C115" s="26" t="s">
        <v>409</v>
      </c>
      <c r="D115" s="26" t="s">
        <v>454</v>
      </c>
      <c r="E115">
        <v>62</v>
      </c>
    </row>
    <row r="116" spans="1:5" x14ac:dyDescent="0.25">
      <c r="A116" t="s">
        <v>10</v>
      </c>
      <c r="B116" t="s">
        <v>50</v>
      </c>
      <c r="C116" s="26" t="s">
        <v>305</v>
      </c>
      <c r="D116" s="26" t="s">
        <v>359</v>
      </c>
      <c r="E116">
        <v>60</v>
      </c>
    </row>
    <row r="117" spans="1:5" x14ac:dyDescent="0.25">
      <c r="A117" t="s">
        <v>13</v>
      </c>
      <c r="B117" t="s">
        <v>67</v>
      </c>
      <c r="C117" s="26" t="s">
        <v>383</v>
      </c>
      <c r="D117" s="26" t="s">
        <v>429</v>
      </c>
      <c r="E117">
        <v>60</v>
      </c>
    </row>
    <row r="118" spans="1:5" x14ac:dyDescent="0.25">
      <c r="A118" t="s">
        <v>5</v>
      </c>
      <c r="B118" t="s">
        <v>206</v>
      </c>
      <c r="C118" s="26" t="s">
        <v>282</v>
      </c>
      <c r="D118" s="26" t="s">
        <v>339</v>
      </c>
      <c r="E118">
        <v>57</v>
      </c>
    </row>
    <row r="119" spans="1:5" x14ac:dyDescent="0.25">
      <c r="A119" t="s">
        <v>38</v>
      </c>
      <c r="B119" t="s">
        <v>57</v>
      </c>
      <c r="C119" s="26" t="s">
        <v>388</v>
      </c>
      <c r="D119" s="26" t="s">
        <v>430</v>
      </c>
      <c r="E119">
        <v>56</v>
      </c>
    </row>
    <row r="120" spans="1:5" x14ac:dyDescent="0.25">
      <c r="A120" t="s">
        <v>30</v>
      </c>
      <c r="B120" t="s">
        <v>217</v>
      </c>
      <c r="C120" s="26" t="s">
        <v>251</v>
      </c>
      <c r="D120" s="26" t="s">
        <v>305</v>
      </c>
      <c r="E120">
        <v>54</v>
      </c>
    </row>
    <row r="121" spans="1:5" x14ac:dyDescent="0.25">
      <c r="A121" t="s">
        <v>30</v>
      </c>
      <c r="B121" t="s">
        <v>152</v>
      </c>
      <c r="C121" s="26" t="s">
        <v>266</v>
      </c>
      <c r="D121" s="26" t="s">
        <v>319</v>
      </c>
      <c r="E121">
        <v>54</v>
      </c>
    </row>
    <row r="122" spans="1:5" x14ac:dyDescent="0.25">
      <c r="A122" t="s">
        <v>8</v>
      </c>
      <c r="B122" t="s">
        <v>247</v>
      </c>
      <c r="C122" s="26" t="s">
        <v>348</v>
      </c>
      <c r="D122" s="26" t="s">
        <v>389</v>
      </c>
      <c r="E122">
        <v>54</v>
      </c>
    </row>
    <row r="123" spans="1:5" x14ac:dyDescent="0.25">
      <c r="A123" t="s">
        <v>38</v>
      </c>
      <c r="B123" t="s">
        <v>110</v>
      </c>
      <c r="C123" s="26" t="s">
        <v>109</v>
      </c>
      <c r="D123" s="26" t="s">
        <v>207</v>
      </c>
      <c r="E123">
        <v>51</v>
      </c>
    </row>
    <row r="124" spans="1:5" x14ac:dyDescent="0.25">
      <c r="A124" t="s">
        <v>5</v>
      </c>
      <c r="B124" t="s">
        <v>93</v>
      </c>
      <c r="C124" s="26" t="s">
        <v>87</v>
      </c>
      <c r="D124" s="26" t="s">
        <v>191</v>
      </c>
      <c r="E124">
        <v>50</v>
      </c>
    </row>
    <row r="125" spans="1:5" x14ac:dyDescent="0.25">
      <c r="A125" t="s">
        <v>45</v>
      </c>
      <c r="B125" t="s">
        <v>49</v>
      </c>
      <c r="C125" s="26" t="s">
        <v>277</v>
      </c>
      <c r="D125" s="26" t="s">
        <v>323</v>
      </c>
      <c r="E125">
        <v>49</v>
      </c>
    </row>
    <row r="126" spans="1:5" x14ac:dyDescent="0.25">
      <c r="A126" t="s">
        <v>45</v>
      </c>
      <c r="B126" t="s">
        <v>77</v>
      </c>
      <c r="C126" s="26" t="s">
        <v>245</v>
      </c>
      <c r="D126" s="26" t="s">
        <v>292</v>
      </c>
      <c r="E126">
        <v>48</v>
      </c>
    </row>
    <row r="127" spans="1:5" x14ac:dyDescent="0.25">
      <c r="A127" t="s">
        <v>8</v>
      </c>
      <c r="B127" t="s">
        <v>33</v>
      </c>
      <c r="C127" s="26" t="s">
        <v>421</v>
      </c>
      <c r="D127" s="26" t="s">
        <v>456</v>
      </c>
      <c r="E127">
        <v>48</v>
      </c>
    </row>
    <row r="128" spans="1:5" x14ac:dyDescent="0.25">
      <c r="A128" t="s">
        <v>38</v>
      </c>
      <c r="B128" t="s">
        <v>55</v>
      </c>
      <c r="C128" s="26" t="s">
        <v>236</v>
      </c>
      <c r="D128" s="26" t="s">
        <v>282</v>
      </c>
      <c r="E128">
        <v>46</v>
      </c>
    </row>
    <row r="129" spans="1:5" x14ac:dyDescent="0.25">
      <c r="A129" t="s">
        <v>18</v>
      </c>
      <c r="B129" t="s">
        <v>265</v>
      </c>
      <c r="C129" s="26" t="s">
        <v>286</v>
      </c>
      <c r="D129" s="26" t="s">
        <v>330</v>
      </c>
      <c r="E129">
        <v>45</v>
      </c>
    </row>
    <row r="130" spans="1:5" x14ac:dyDescent="0.25">
      <c r="A130" t="s">
        <v>13</v>
      </c>
      <c r="B130" t="s">
        <v>144</v>
      </c>
      <c r="C130" s="26" t="s">
        <v>172</v>
      </c>
      <c r="D130" s="26" t="s">
        <v>237</v>
      </c>
      <c r="E130">
        <v>44</v>
      </c>
    </row>
    <row r="131" spans="1:5" x14ac:dyDescent="0.25">
      <c r="A131" t="s">
        <v>18</v>
      </c>
      <c r="B131" t="s">
        <v>395</v>
      </c>
      <c r="C131" s="26" t="s">
        <v>396</v>
      </c>
      <c r="D131" s="26" t="s">
        <v>428</v>
      </c>
      <c r="E131">
        <v>44</v>
      </c>
    </row>
    <row r="132" spans="1:5" x14ac:dyDescent="0.25">
      <c r="A132" t="s">
        <v>16</v>
      </c>
      <c r="B132" t="s">
        <v>188</v>
      </c>
      <c r="C132" s="26" t="s">
        <v>271</v>
      </c>
      <c r="D132" s="26" t="s">
        <v>312</v>
      </c>
      <c r="E132">
        <v>42</v>
      </c>
    </row>
    <row r="133" spans="1:5" x14ac:dyDescent="0.25">
      <c r="A133" t="s">
        <v>47</v>
      </c>
      <c r="B133" t="s">
        <v>165</v>
      </c>
      <c r="C133" s="26" t="s">
        <v>257</v>
      </c>
      <c r="D133" s="26" t="s">
        <v>297</v>
      </c>
      <c r="E133">
        <v>41</v>
      </c>
    </row>
    <row r="134" spans="1:5" x14ac:dyDescent="0.25">
      <c r="A134" t="s">
        <v>16</v>
      </c>
      <c r="B134" t="s">
        <v>106</v>
      </c>
      <c r="C134" s="26" t="s">
        <v>415</v>
      </c>
      <c r="D134" s="26" t="s">
        <v>442</v>
      </c>
      <c r="E134">
        <v>37</v>
      </c>
    </row>
    <row r="135" spans="1:5" x14ac:dyDescent="0.25">
      <c r="A135" t="s">
        <v>47</v>
      </c>
      <c r="B135" t="s">
        <v>221</v>
      </c>
      <c r="C135" s="26" t="s">
        <v>222</v>
      </c>
      <c r="D135" s="26" t="s">
        <v>262</v>
      </c>
      <c r="E135">
        <v>34</v>
      </c>
    </row>
    <row r="136" spans="1:5" x14ac:dyDescent="0.25">
      <c r="A136" t="s">
        <v>47</v>
      </c>
      <c r="B136" t="s">
        <v>144</v>
      </c>
      <c r="C136" s="26" t="s">
        <v>302</v>
      </c>
      <c r="D136" s="26" t="s">
        <v>330</v>
      </c>
      <c r="E136">
        <v>33</v>
      </c>
    </row>
    <row r="137" spans="1:5" x14ac:dyDescent="0.25">
      <c r="A137" t="s">
        <v>5</v>
      </c>
      <c r="B137" t="s">
        <v>190</v>
      </c>
      <c r="C137" s="26" t="s">
        <v>189</v>
      </c>
      <c r="D137" s="26" t="s">
        <v>237</v>
      </c>
      <c r="E137">
        <v>32</v>
      </c>
    </row>
    <row r="138" spans="1:5" x14ac:dyDescent="0.25">
      <c r="A138" t="s">
        <v>25</v>
      </c>
      <c r="B138" t="s">
        <v>55</v>
      </c>
      <c r="C138" s="26" t="s">
        <v>210</v>
      </c>
      <c r="D138" s="26" t="s">
        <v>251</v>
      </c>
      <c r="E138">
        <v>30</v>
      </c>
    </row>
    <row r="139" spans="1:5" x14ac:dyDescent="0.25">
      <c r="A139" t="s">
        <v>8</v>
      </c>
      <c r="B139" t="s">
        <v>170</v>
      </c>
      <c r="C139" s="26" t="s">
        <v>175</v>
      </c>
      <c r="D139" s="26" t="s">
        <v>218</v>
      </c>
      <c r="E139">
        <v>28</v>
      </c>
    </row>
    <row r="140" spans="1:5" x14ac:dyDescent="0.25">
      <c r="A140" t="s">
        <v>30</v>
      </c>
      <c r="B140" t="s">
        <v>184</v>
      </c>
      <c r="C140" s="26" t="s">
        <v>185</v>
      </c>
      <c r="D140" s="26" t="s">
        <v>228</v>
      </c>
      <c r="E140">
        <v>28</v>
      </c>
    </row>
    <row r="141" spans="1:5" x14ac:dyDescent="0.25">
      <c r="A141" t="s">
        <v>45</v>
      </c>
      <c r="B141" t="s">
        <v>26</v>
      </c>
      <c r="C141" s="26" t="s">
        <v>383</v>
      </c>
      <c r="D141" s="26" t="s">
        <v>405</v>
      </c>
      <c r="E141">
        <v>28</v>
      </c>
    </row>
    <row r="142" spans="1:5" x14ac:dyDescent="0.25">
      <c r="A142" t="s">
        <v>5</v>
      </c>
      <c r="B142" t="s">
        <v>14</v>
      </c>
      <c r="C142" s="26" t="s">
        <v>225</v>
      </c>
      <c r="D142" s="26" t="s">
        <v>258</v>
      </c>
      <c r="E142">
        <v>27</v>
      </c>
    </row>
    <row r="143" spans="1:5" x14ac:dyDescent="0.25">
      <c r="A143" t="s">
        <v>47</v>
      </c>
      <c r="B143" t="s">
        <v>124</v>
      </c>
      <c r="C143" s="26" t="s">
        <v>168</v>
      </c>
      <c r="D143" s="26" t="s">
        <v>208</v>
      </c>
      <c r="E143">
        <v>25</v>
      </c>
    </row>
    <row r="144" spans="1:5" x14ac:dyDescent="0.25">
      <c r="A144" t="s">
        <v>27</v>
      </c>
      <c r="B144" t="s">
        <v>126</v>
      </c>
      <c r="C144" s="26" t="s">
        <v>394</v>
      </c>
      <c r="D144" s="26" t="s">
        <v>413</v>
      </c>
      <c r="E144">
        <v>24</v>
      </c>
    </row>
    <row r="145" spans="1:5" x14ac:dyDescent="0.25">
      <c r="A145" t="s">
        <v>25</v>
      </c>
      <c r="B145" t="s">
        <v>136</v>
      </c>
      <c r="C145" s="26" t="s">
        <v>435</v>
      </c>
      <c r="D145" s="26" t="s">
        <v>454</v>
      </c>
      <c r="E145">
        <v>24</v>
      </c>
    </row>
    <row r="146" spans="1:5" x14ac:dyDescent="0.25">
      <c r="A146" t="s">
        <v>38</v>
      </c>
      <c r="B146" t="s">
        <v>217</v>
      </c>
      <c r="C146" s="26" t="s">
        <v>218</v>
      </c>
      <c r="D146" s="26" t="s">
        <v>251</v>
      </c>
      <c r="E146">
        <v>23</v>
      </c>
    </row>
    <row r="147" spans="1:5" x14ac:dyDescent="0.25">
      <c r="A147" t="s">
        <v>45</v>
      </c>
      <c r="B147" t="s">
        <v>128</v>
      </c>
      <c r="C147" s="26" t="s">
        <v>302</v>
      </c>
      <c r="D147" s="26" t="s">
        <v>321</v>
      </c>
      <c r="E147">
        <v>22</v>
      </c>
    </row>
    <row r="148" spans="1:5" x14ac:dyDescent="0.25">
      <c r="A148" t="s">
        <v>8</v>
      </c>
      <c r="B148" t="s">
        <v>217</v>
      </c>
      <c r="C148" s="26" t="s">
        <v>230</v>
      </c>
      <c r="D148" s="26" t="s">
        <v>255</v>
      </c>
      <c r="E148">
        <v>21</v>
      </c>
    </row>
    <row r="149" spans="1:5" x14ac:dyDescent="0.25">
      <c r="A149" t="s">
        <v>45</v>
      </c>
      <c r="B149" t="s">
        <v>53</v>
      </c>
      <c r="C149" s="26" t="s">
        <v>312</v>
      </c>
      <c r="D149" s="26" t="s">
        <v>330</v>
      </c>
      <c r="E149">
        <v>21</v>
      </c>
    </row>
    <row r="150" spans="1:5" x14ac:dyDescent="0.25">
      <c r="A150" t="s">
        <v>10</v>
      </c>
      <c r="B150" t="s">
        <v>346</v>
      </c>
      <c r="C150" s="26" t="s">
        <v>354</v>
      </c>
      <c r="D150" s="26" t="s">
        <v>368</v>
      </c>
      <c r="E150">
        <v>20</v>
      </c>
    </row>
    <row r="151" spans="1:5" x14ac:dyDescent="0.25">
      <c r="A151" t="s">
        <v>10</v>
      </c>
      <c r="B151" t="s">
        <v>287</v>
      </c>
      <c r="C151" s="26" t="s">
        <v>373</v>
      </c>
      <c r="D151" s="26" t="s">
        <v>390</v>
      </c>
      <c r="E151">
        <v>20</v>
      </c>
    </row>
    <row r="152" spans="1:5" x14ac:dyDescent="0.25">
      <c r="A152" t="s">
        <v>45</v>
      </c>
      <c r="B152" t="s">
        <v>142</v>
      </c>
      <c r="C152" s="26" t="s">
        <v>383</v>
      </c>
      <c r="D152" s="26" t="s">
        <v>397</v>
      </c>
      <c r="E152">
        <v>16</v>
      </c>
    </row>
    <row r="153" spans="1:5" x14ac:dyDescent="0.25">
      <c r="A153" t="s">
        <v>13</v>
      </c>
      <c r="B153" t="s">
        <v>184</v>
      </c>
      <c r="C153" s="26" t="s">
        <v>404</v>
      </c>
      <c r="D153" s="26" t="s">
        <v>414</v>
      </c>
      <c r="E153">
        <v>14</v>
      </c>
    </row>
    <row r="154" spans="1:5" x14ac:dyDescent="0.25">
      <c r="A154" t="s">
        <v>47</v>
      </c>
      <c r="B154" t="s">
        <v>215</v>
      </c>
      <c r="C154" s="26" t="s">
        <v>441</v>
      </c>
      <c r="D154" s="26" t="s">
        <v>452</v>
      </c>
      <c r="E154">
        <v>14</v>
      </c>
    </row>
    <row r="155" spans="1:5" x14ac:dyDescent="0.25">
      <c r="A155" t="s">
        <v>27</v>
      </c>
      <c r="B155" t="s">
        <v>96</v>
      </c>
      <c r="C155" s="26" t="s">
        <v>97</v>
      </c>
      <c r="D155" s="26" t="s">
        <v>127</v>
      </c>
      <c r="E155">
        <v>13</v>
      </c>
    </row>
    <row r="156" spans="1:5" x14ac:dyDescent="0.25">
      <c r="A156" t="s">
        <v>10</v>
      </c>
      <c r="B156" t="s">
        <v>248</v>
      </c>
      <c r="C156" s="26" t="s">
        <v>302</v>
      </c>
      <c r="D156" s="26" t="s">
        <v>314</v>
      </c>
      <c r="E156">
        <v>13</v>
      </c>
    </row>
    <row r="157" spans="1:5" x14ac:dyDescent="0.25">
      <c r="A157" t="s">
        <v>25</v>
      </c>
      <c r="B157" t="s">
        <v>177</v>
      </c>
      <c r="C157" s="26" t="s">
        <v>241</v>
      </c>
      <c r="D157" s="26" t="s">
        <v>255</v>
      </c>
      <c r="E157">
        <v>12</v>
      </c>
    </row>
    <row r="158" spans="1:5" x14ac:dyDescent="0.25">
      <c r="A158" t="s">
        <v>27</v>
      </c>
      <c r="B158" t="s">
        <v>110</v>
      </c>
      <c r="C158" s="26" t="s">
        <v>220</v>
      </c>
      <c r="D158" s="26" t="s">
        <v>230</v>
      </c>
      <c r="E158">
        <v>6</v>
      </c>
    </row>
    <row r="159" spans="1:5" x14ac:dyDescent="0.25">
      <c r="A159" t="s">
        <v>45</v>
      </c>
      <c r="B159" t="s">
        <v>256</v>
      </c>
      <c r="C159" s="26" t="s">
        <v>458</v>
      </c>
      <c r="D159" s="26" t="s">
        <v>461</v>
      </c>
      <c r="E159">
        <v>5</v>
      </c>
    </row>
    <row r="160" spans="1:5" x14ac:dyDescent="0.25">
      <c r="A160" t="s">
        <v>47</v>
      </c>
      <c r="B160" t="s">
        <v>306</v>
      </c>
      <c r="C160" s="26" t="s">
        <v>360</v>
      </c>
      <c r="D160" s="26" t="s">
        <v>362</v>
      </c>
      <c r="E160">
        <v>3</v>
      </c>
    </row>
    <row r="161" spans="1:5" x14ac:dyDescent="0.25">
      <c r="A161" t="s">
        <v>18</v>
      </c>
      <c r="B161" t="s">
        <v>173</v>
      </c>
      <c r="C161" s="26" t="s">
        <v>255</v>
      </c>
      <c r="D161" s="26" t="s">
        <v>258</v>
      </c>
      <c r="E161">
        <v>2</v>
      </c>
    </row>
    <row r="162" spans="1:5" x14ac:dyDescent="0.25">
      <c r="A162" t="s">
        <v>30</v>
      </c>
      <c r="B162" t="s">
        <v>243</v>
      </c>
      <c r="C162" s="26" t="s">
        <v>415</v>
      </c>
      <c r="D162" s="26" t="s">
        <v>417</v>
      </c>
      <c r="E162">
        <v>2</v>
      </c>
    </row>
    <row r="163" spans="1:5" x14ac:dyDescent="0.25">
      <c r="A163" t="s">
        <v>47</v>
      </c>
      <c r="B163" t="s">
        <v>289</v>
      </c>
      <c r="C163" s="26" t="s">
        <v>398</v>
      </c>
      <c r="D163" s="26" t="s">
        <v>399</v>
      </c>
      <c r="E163">
        <v>1</v>
      </c>
    </row>
    <row r="164" spans="1:5" x14ac:dyDescent="0.25">
      <c r="A164" t="s">
        <v>5</v>
      </c>
      <c r="B164" t="s">
        <v>6</v>
      </c>
      <c r="C164" s="26" t="s">
        <v>7</v>
      </c>
      <c r="D164" s="26" t="s">
        <v>7</v>
      </c>
      <c r="E164">
        <v>0</v>
      </c>
    </row>
    <row r="165" spans="1:5" x14ac:dyDescent="0.25">
      <c r="A165" t="s">
        <v>13</v>
      </c>
      <c r="B165" t="s">
        <v>14</v>
      </c>
      <c r="C165" s="26" t="s">
        <v>12</v>
      </c>
      <c r="D165" s="26" t="s">
        <v>12</v>
      </c>
      <c r="E165">
        <v>0</v>
      </c>
    </row>
    <row r="166" spans="1:5" x14ac:dyDescent="0.25">
      <c r="A166" t="s">
        <v>18</v>
      </c>
      <c r="B166" t="s">
        <v>20</v>
      </c>
      <c r="C166" s="26" t="s">
        <v>12</v>
      </c>
      <c r="D166" s="26" t="s">
        <v>12</v>
      </c>
      <c r="E166">
        <v>0</v>
      </c>
    </row>
    <row r="167" spans="1:5" x14ac:dyDescent="0.25">
      <c r="A167" t="s">
        <v>13</v>
      </c>
      <c r="B167" t="s">
        <v>21</v>
      </c>
      <c r="C167" s="26" t="s">
        <v>12</v>
      </c>
      <c r="D167" s="26" t="s">
        <v>12</v>
      </c>
      <c r="E167">
        <v>0</v>
      </c>
    </row>
    <row r="168" spans="1:5" x14ac:dyDescent="0.25">
      <c r="A168" t="s">
        <v>18</v>
      </c>
      <c r="B168" t="s">
        <v>24</v>
      </c>
      <c r="C168" s="26" t="s">
        <v>23</v>
      </c>
      <c r="D168" s="26" t="s">
        <v>23</v>
      </c>
      <c r="E168">
        <v>0</v>
      </c>
    </row>
    <row r="169" spans="1:5" x14ac:dyDescent="0.25">
      <c r="A169" t="s">
        <v>25</v>
      </c>
      <c r="B169" t="s">
        <v>26</v>
      </c>
      <c r="C169" s="26" t="s">
        <v>23</v>
      </c>
      <c r="D169" s="26" t="s">
        <v>23</v>
      </c>
      <c r="E169">
        <v>0</v>
      </c>
    </row>
    <row r="170" spans="1:5" x14ac:dyDescent="0.25">
      <c r="A170" t="s">
        <v>13</v>
      </c>
      <c r="B170" t="s">
        <v>32</v>
      </c>
      <c r="C170" s="26" t="s">
        <v>29</v>
      </c>
      <c r="D170" s="26" t="s">
        <v>29</v>
      </c>
      <c r="E170">
        <v>0</v>
      </c>
    </row>
    <row r="171" spans="1:5" x14ac:dyDescent="0.25">
      <c r="A171" t="s">
        <v>25</v>
      </c>
      <c r="B171" t="s">
        <v>33</v>
      </c>
      <c r="C171" s="26" t="s">
        <v>34</v>
      </c>
      <c r="D171" s="26" t="s">
        <v>34</v>
      </c>
      <c r="E171">
        <v>0</v>
      </c>
    </row>
    <row r="172" spans="1:5" x14ac:dyDescent="0.25">
      <c r="A172" t="s">
        <v>16</v>
      </c>
      <c r="B172" t="s">
        <v>20</v>
      </c>
      <c r="C172" s="26" t="s">
        <v>34</v>
      </c>
      <c r="D172" s="26" t="s">
        <v>34</v>
      </c>
      <c r="E172">
        <v>0</v>
      </c>
    </row>
    <row r="173" spans="1:5" x14ac:dyDescent="0.25">
      <c r="A173" t="s">
        <v>16</v>
      </c>
      <c r="B173" t="s">
        <v>35</v>
      </c>
      <c r="C173" s="26" t="s">
        <v>34</v>
      </c>
      <c r="D173" s="26" t="s">
        <v>34</v>
      </c>
      <c r="E173">
        <v>0</v>
      </c>
    </row>
    <row r="174" spans="1:5" x14ac:dyDescent="0.25">
      <c r="A174" t="s">
        <v>8</v>
      </c>
      <c r="B174" t="s">
        <v>36</v>
      </c>
      <c r="C174" s="26" t="s">
        <v>34</v>
      </c>
      <c r="D174" s="26" t="s">
        <v>34</v>
      </c>
      <c r="E174">
        <v>0</v>
      </c>
    </row>
    <row r="175" spans="1:5" x14ac:dyDescent="0.25">
      <c r="A175" t="s">
        <v>8</v>
      </c>
      <c r="B175" t="s">
        <v>37</v>
      </c>
      <c r="C175" s="26" t="s">
        <v>34</v>
      </c>
      <c r="D175" s="26" t="s">
        <v>34</v>
      </c>
      <c r="E175">
        <v>0</v>
      </c>
    </row>
    <row r="176" spans="1:5" x14ac:dyDescent="0.25">
      <c r="A176" t="s">
        <v>38</v>
      </c>
      <c r="B176" t="s">
        <v>39</v>
      </c>
      <c r="C176" s="26" t="s">
        <v>40</v>
      </c>
      <c r="D176" s="26" t="s">
        <v>40</v>
      </c>
      <c r="E176">
        <v>0</v>
      </c>
    </row>
    <row r="177" spans="1:5" x14ac:dyDescent="0.25">
      <c r="A177" t="s">
        <v>18</v>
      </c>
      <c r="B177" t="s">
        <v>42</v>
      </c>
      <c r="C177" s="26" t="s">
        <v>40</v>
      </c>
      <c r="D177" s="26" t="s">
        <v>40</v>
      </c>
      <c r="E177">
        <v>0</v>
      </c>
    </row>
    <row r="178" spans="1:5" x14ac:dyDescent="0.25">
      <c r="A178" t="s">
        <v>18</v>
      </c>
      <c r="B178" t="s">
        <v>43</v>
      </c>
      <c r="C178" s="26" t="s">
        <v>44</v>
      </c>
      <c r="D178" s="26" t="s">
        <v>44</v>
      </c>
      <c r="E178">
        <v>0</v>
      </c>
    </row>
    <row r="179" spans="1:5" x14ac:dyDescent="0.25">
      <c r="A179" t="s">
        <v>47</v>
      </c>
      <c r="B179" t="s">
        <v>48</v>
      </c>
      <c r="C179" s="26" t="s">
        <v>44</v>
      </c>
      <c r="D179" s="26" t="s">
        <v>44</v>
      </c>
      <c r="E179">
        <v>0</v>
      </c>
    </row>
    <row r="180" spans="1:5" x14ac:dyDescent="0.25">
      <c r="A180" t="s">
        <v>30</v>
      </c>
      <c r="B180" t="s">
        <v>49</v>
      </c>
      <c r="C180" s="26" t="s">
        <v>44</v>
      </c>
      <c r="D180" s="26" t="s">
        <v>44</v>
      </c>
      <c r="E180">
        <v>0</v>
      </c>
    </row>
    <row r="181" spans="1:5" x14ac:dyDescent="0.25">
      <c r="A181" t="s">
        <v>38</v>
      </c>
      <c r="B181" t="s">
        <v>17</v>
      </c>
      <c r="C181" s="26" t="s">
        <v>44</v>
      </c>
      <c r="D181" s="26" t="s">
        <v>44</v>
      </c>
      <c r="E181">
        <v>0</v>
      </c>
    </row>
    <row r="182" spans="1:5" x14ac:dyDescent="0.25">
      <c r="A182" t="s">
        <v>27</v>
      </c>
      <c r="B182" t="s">
        <v>31</v>
      </c>
      <c r="C182" s="26" t="s">
        <v>44</v>
      </c>
      <c r="D182" s="26" t="s">
        <v>44</v>
      </c>
      <c r="E182">
        <v>0</v>
      </c>
    </row>
    <row r="183" spans="1:5" x14ac:dyDescent="0.25">
      <c r="A183" t="s">
        <v>27</v>
      </c>
      <c r="B183" t="s">
        <v>50</v>
      </c>
      <c r="C183" s="26" t="s">
        <v>44</v>
      </c>
      <c r="D183" s="26" t="s">
        <v>44</v>
      </c>
      <c r="E183">
        <v>0</v>
      </c>
    </row>
    <row r="184" spans="1:5" x14ac:dyDescent="0.25">
      <c r="A184" t="s">
        <v>30</v>
      </c>
      <c r="B184" t="s">
        <v>51</v>
      </c>
      <c r="C184" s="26" t="s">
        <v>44</v>
      </c>
      <c r="D184" s="26" t="s">
        <v>44</v>
      </c>
      <c r="E184">
        <v>0</v>
      </c>
    </row>
    <row r="185" spans="1:5" x14ac:dyDescent="0.25">
      <c r="A185" t="s">
        <v>27</v>
      </c>
      <c r="B185" t="s">
        <v>52</v>
      </c>
      <c r="C185" s="26" t="s">
        <v>44</v>
      </c>
      <c r="D185" s="26" t="s">
        <v>44</v>
      </c>
      <c r="E185">
        <v>0</v>
      </c>
    </row>
    <row r="186" spans="1:5" x14ac:dyDescent="0.25">
      <c r="A186" t="s">
        <v>13</v>
      </c>
      <c r="B186" t="s">
        <v>53</v>
      </c>
      <c r="C186" s="26" t="s">
        <v>54</v>
      </c>
      <c r="D186" s="26" t="s">
        <v>54</v>
      </c>
      <c r="E186">
        <v>0</v>
      </c>
    </row>
    <row r="187" spans="1:5" x14ac:dyDescent="0.25">
      <c r="A187" t="s">
        <v>25</v>
      </c>
      <c r="B187" t="s">
        <v>57</v>
      </c>
      <c r="C187" s="26" t="s">
        <v>56</v>
      </c>
      <c r="D187" s="26" t="s">
        <v>56</v>
      </c>
      <c r="E187">
        <v>0</v>
      </c>
    </row>
    <row r="188" spans="1:5" x14ac:dyDescent="0.25">
      <c r="A188" t="s">
        <v>5</v>
      </c>
      <c r="B188" t="s">
        <v>58</v>
      </c>
      <c r="C188" s="26" t="s">
        <v>56</v>
      </c>
      <c r="D188" s="26" t="s">
        <v>56</v>
      </c>
      <c r="E188">
        <v>0</v>
      </c>
    </row>
    <row r="189" spans="1:5" x14ac:dyDescent="0.25">
      <c r="A189" t="s">
        <v>5</v>
      </c>
      <c r="B189" t="s">
        <v>61</v>
      </c>
      <c r="C189" s="26" t="s">
        <v>62</v>
      </c>
      <c r="D189" s="26" t="s">
        <v>62</v>
      </c>
      <c r="E189">
        <v>0</v>
      </c>
    </row>
    <row r="190" spans="1:5" x14ac:dyDescent="0.25">
      <c r="A190" t="s">
        <v>30</v>
      </c>
      <c r="B190" t="s">
        <v>63</v>
      </c>
      <c r="C190" s="26" t="s">
        <v>62</v>
      </c>
      <c r="D190" s="26" t="s">
        <v>62</v>
      </c>
      <c r="E190">
        <v>0</v>
      </c>
    </row>
    <row r="191" spans="1:5" x14ac:dyDescent="0.25">
      <c r="A191" t="s">
        <v>30</v>
      </c>
      <c r="B191" t="s">
        <v>64</v>
      </c>
      <c r="C191" s="26" t="s">
        <v>62</v>
      </c>
      <c r="D191" s="26" t="s">
        <v>62</v>
      </c>
      <c r="E191">
        <v>0</v>
      </c>
    </row>
    <row r="192" spans="1:5" x14ac:dyDescent="0.25">
      <c r="A192" t="s">
        <v>10</v>
      </c>
      <c r="B192" t="s">
        <v>65</v>
      </c>
      <c r="C192" s="26" t="s">
        <v>62</v>
      </c>
      <c r="D192" s="26" t="s">
        <v>62</v>
      </c>
      <c r="E192">
        <v>0</v>
      </c>
    </row>
    <row r="193" spans="1:5" x14ac:dyDescent="0.25">
      <c r="A193" t="s">
        <v>45</v>
      </c>
      <c r="B193" t="s">
        <v>66</v>
      </c>
      <c r="C193" s="26" t="s">
        <v>62</v>
      </c>
      <c r="D193" s="26" t="s">
        <v>62</v>
      </c>
      <c r="E193">
        <v>0</v>
      </c>
    </row>
    <row r="194" spans="1:5" x14ac:dyDescent="0.25">
      <c r="A194" t="s">
        <v>27</v>
      </c>
      <c r="B194" t="s">
        <v>37</v>
      </c>
      <c r="C194" s="26" t="s">
        <v>62</v>
      </c>
      <c r="D194" s="26" t="s">
        <v>62</v>
      </c>
      <c r="E194">
        <v>0</v>
      </c>
    </row>
    <row r="195" spans="1:5" x14ac:dyDescent="0.25">
      <c r="A195" t="s">
        <v>38</v>
      </c>
      <c r="B195" t="s">
        <v>67</v>
      </c>
      <c r="C195" s="26" t="s">
        <v>62</v>
      </c>
      <c r="D195" s="26" t="s">
        <v>62</v>
      </c>
      <c r="E195">
        <v>0</v>
      </c>
    </row>
    <row r="196" spans="1:5" x14ac:dyDescent="0.25">
      <c r="A196" t="s">
        <v>27</v>
      </c>
      <c r="B196" t="s">
        <v>68</v>
      </c>
      <c r="C196" s="26" t="s">
        <v>62</v>
      </c>
      <c r="D196" s="26" t="s">
        <v>62</v>
      </c>
      <c r="E196">
        <v>0</v>
      </c>
    </row>
    <row r="197" spans="1:5" x14ac:dyDescent="0.25">
      <c r="A197" t="s">
        <v>47</v>
      </c>
      <c r="B197" t="s">
        <v>69</v>
      </c>
      <c r="C197" s="26" t="s">
        <v>62</v>
      </c>
      <c r="D197" s="26" t="s">
        <v>62</v>
      </c>
      <c r="E197">
        <v>0</v>
      </c>
    </row>
    <row r="198" spans="1:5" x14ac:dyDescent="0.25">
      <c r="A198" t="s">
        <v>13</v>
      </c>
      <c r="B198" t="s">
        <v>36</v>
      </c>
      <c r="C198" s="26" t="s">
        <v>71</v>
      </c>
      <c r="D198" s="26" t="s">
        <v>71</v>
      </c>
      <c r="E198">
        <v>0</v>
      </c>
    </row>
    <row r="199" spans="1:5" x14ac:dyDescent="0.25">
      <c r="A199" t="s">
        <v>47</v>
      </c>
      <c r="B199" t="s">
        <v>72</v>
      </c>
      <c r="C199" s="26" t="s">
        <v>71</v>
      </c>
      <c r="D199" s="26" t="s">
        <v>71</v>
      </c>
      <c r="E199">
        <v>0</v>
      </c>
    </row>
    <row r="200" spans="1:5" x14ac:dyDescent="0.25">
      <c r="A200" t="s">
        <v>16</v>
      </c>
      <c r="B200" t="s">
        <v>74</v>
      </c>
      <c r="C200" s="26" t="s">
        <v>71</v>
      </c>
      <c r="D200" s="26" t="s">
        <v>71</v>
      </c>
      <c r="E200">
        <v>0</v>
      </c>
    </row>
    <row r="201" spans="1:5" x14ac:dyDescent="0.25">
      <c r="A201" t="s">
        <v>30</v>
      </c>
      <c r="B201" t="s">
        <v>75</v>
      </c>
      <c r="C201" s="26" t="s">
        <v>76</v>
      </c>
      <c r="D201" s="26" t="s">
        <v>76</v>
      </c>
      <c r="E201">
        <v>0</v>
      </c>
    </row>
    <row r="202" spans="1:5" x14ac:dyDescent="0.25">
      <c r="A202" t="s">
        <v>10</v>
      </c>
      <c r="B202" t="s">
        <v>58</v>
      </c>
      <c r="C202" s="26" t="s">
        <v>76</v>
      </c>
      <c r="D202" s="26" t="s">
        <v>76</v>
      </c>
      <c r="E202">
        <v>0</v>
      </c>
    </row>
    <row r="203" spans="1:5" x14ac:dyDescent="0.25">
      <c r="A203" t="s">
        <v>8</v>
      </c>
      <c r="B203" t="s">
        <v>78</v>
      </c>
      <c r="C203" s="26" t="s">
        <v>79</v>
      </c>
      <c r="D203" s="26" t="s">
        <v>79</v>
      </c>
      <c r="E203">
        <v>0</v>
      </c>
    </row>
    <row r="204" spans="1:5" x14ac:dyDescent="0.25">
      <c r="A204" t="s">
        <v>10</v>
      </c>
      <c r="B204" t="s">
        <v>80</v>
      </c>
      <c r="C204" s="26" t="s">
        <v>79</v>
      </c>
      <c r="D204" s="26" t="s">
        <v>79</v>
      </c>
      <c r="E204">
        <v>0</v>
      </c>
    </row>
    <row r="205" spans="1:5" x14ac:dyDescent="0.25">
      <c r="A205" t="s">
        <v>18</v>
      </c>
      <c r="B205" t="s">
        <v>82</v>
      </c>
      <c r="C205" s="26" t="s">
        <v>83</v>
      </c>
      <c r="D205" s="26" t="s">
        <v>83</v>
      </c>
      <c r="E205">
        <v>0</v>
      </c>
    </row>
    <row r="206" spans="1:5" x14ac:dyDescent="0.25">
      <c r="A206" t="s">
        <v>10</v>
      </c>
      <c r="B206" t="s">
        <v>84</v>
      </c>
      <c r="C206" s="26" t="s">
        <v>83</v>
      </c>
      <c r="D206" s="26" t="s">
        <v>83</v>
      </c>
      <c r="E206">
        <v>0</v>
      </c>
    </row>
    <row r="207" spans="1:5" x14ac:dyDescent="0.25">
      <c r="A207" t="s">
        <v>10</v>
      </c>
      <c r="B207" t="s">
        <v>85</v>
      </c>
      <c r="C207" s="26" t="s">
        <v>83</v>
      </c>
      <c r="D207" s="26" t="s">
        <v>83</v>
      </c>
      <c r="E207">
        <v>0</v>
      </c>
    </row>
    <row r="208" spans="1:5" x14ac:dyDescent="0.25">
      <c r="A208" t="s">
        <v>27</v>
      </c>
      <c r="B208" t="s">
        <v>86</v>
      </c>
      <c r="C208" s="26" t="s">
        <v>87</v>
      </c>
      <c r="D208" s="26" t="s">
        <v>87</v>
      </c>
      <c r="E208">
        <v>0</v>
      </c>
    </row>
    <row r="209" spans="1:5" x14ac:dyDescent="0.25">
      <c r="A209" t="s">
        <v>8</v>
      </c>
      <c r="B209" t="s">
        <v>88</v>
      </c>
      <c r="C209" s="26" t="s">
        <v>87</v>
      </c>
      <c r="D209" s="26" t="s">
        <v>87</v>
      </c>
      <c r="E209">
        <v>0</v>
      </c>
    </row>
    <row r="210" spans="1:5" x14ac:dyDescent="0.25">
      <c r="A210" t="s">
        <v>25</v>
      </c>
      <c r="B210" t="s">
        <v>89</v>
      </c>
      <c r="C210" s="26" t="s">
        <v>87</v>
      </c>
      <c r="D210" s="26" t="s">
        <v>87</v>
      </c>
      <c r="E210">
        <v>0</v>
      </c>
    </row>
    <row r="211" spans="1:5" x14ac:dyDescent="0.25">
      <c r="A211" t="s">
        <v>8</v>
      </c>
      <c r="B211" t="s">
        <v>90</v>
      </c>
      <c r="C211" s="26" t="s">
        <v>87</v>
      </c>
      <c r="D211" s="26" t="s">
        <v>87</v>
      </c>
      <c r="E211">
        <v>0</v>
      </c>
    </row>
    <row r="212" spans="1:5" x14ac:dyDescent="0.25">
      <c r="A212" t="s">
        <v>25</v>
      </c>
      <c r="B212" t="s">
        <v>91</v>
      </c>
      <c r="C212" s="26" t="s">
        <v>87</v>
      </c>
      <c r="D212" s="26" t="s">
        <v>87</v>
      </c>
      <c r="E212">
        <v>0</v>
      </c>
    </row>
    <row r="213" spans="1:5" x14ac:dyDescent="0.25">
      <c r="A213" t="s">
        <v>10</v>
      </c>
      <c r="B213" t="s">
        <v>92</v>
      </c>
      <c r="C213" s="26" t="s">
        <v>87</v>
      </c>
      <c r="D213" s="26" t="s">
        <v>87</v>
      </c>
      <c r="E213">
        <v>0</v>
      </c>
    </row>
    <row r="214" spans="1:5" x14ac:dyDescent="0.25">
      <c r="A214" t="s">
        <v>18</v>
      </c>
      <c r="B214" t="s">
        <v>94</v>
      </c>
      <c r="C214" s="26" t="s">
        <v>87</v>
      </c>
      <c r="D214" s="26" t="s">
        <v>87</v>
      </c>
      <c r="E214">
        <v>0</v>
      </c>
    </row>
    <row r="215" spans="1:5" x14ac:dyDescent="0.25">
      <c r="A215" t="s">
        <v>30</v>
      </c>
      <c r="B215" t="s">
        <v>42</v>
      </c>
      <c r="C215" s="26" t="s">
        <v>87</v>
      </c>
      <c r="D215" s="26" t="s">
        <v>87</v>
      </c>
      <c r="E215">
        <v>0</v>
      </c>
    </row>
    <row r="216" spans="1:5" x14ac:dyDescent="0.25">
      <c r="A216" t="s">
        <v>13</v>
      </c>
      <c r="B216" t="s">
        <v>43</v>
      </c>
      <c r="C216" s="26" t="s">
        <v>95</v>
      </c>
      <c r="D216" s="26" t="s">
        <v>95</v>
      </c>
      <c r="E216">
        <v>0</v>
      </c>
    </row>
    <row r="217" spans="1:5" x14ac:dyDescent="0.25">
      <c r="A217" t="s">
        <v>47</v>
      </c>
      <c r="B217" t="s">
        <v>98</v>
      </c>
      <c r="C217" s="26" t="s">
        <v>97</v>
      </c>
      <c r="D217" s="26" t="s">
        <v>97</v>
      </c>
      <c r="E217">
        <v>0</v>
      </c>
    </row>
    <row r="218" spans="1:5" x14ac:dyDescent="0.25">
      <c r="A218" t="s">
        <v>10</v>
      </c>
      <c r="B218" t="s">
        <v>101</v>
      </c>
      <c r="C218" s="26" t="s">
        <v>102</v>
      </c>
      <c r="D218" s="26" t="s">
        <v>102</v>
      </c>
      <c r="E218">
        <v>0</v>
      </c>
    </row>
    <row r="219" spans="1:5" x14ac:dyDescent="0.25">
      <c r="A219" t="s">
        <v>8</v>
      </c>
      <c r="B219" t="s">
        <v>105</v>
      </c>
      <c r="C219" s="26" t="s">
        <v>104</v>
      </c>
      <c r="D219" s="26" t="s">
        <v>104</v>
      </c>
      <c r="E219">
        <v>0</v>
      </c>
    </row>
    <row r="220" spans="1:5" x14ac:dyDescent="0.25">
      <c r="A220" t="s">
        <v>8</v>
      </c>
      <c r="B220" t="s">
        <v>6</v>
      </c>
      <c r="C220" s="26" t="s">
        <v>104</v>
      </c>
      <c r="D220" s="26" t="s">
        <v>104</v>
      </c>
      <c r="E220">
        <v>0</v>
      </c>
    </row>
    <row r="221" spans="1:5" x14ac:dyDescent="0.25">
      <c r="A221" t="s">
        <v>5</v>
      </c>
      <c r="B221" t="s">
        <v>106</v>
      </c>
      <c r="C221" s="26" t="s">
        <v>104</v>
      </c>
      <c r="D221" s="26" t="s">
        <v>104</v>
      </c>
      <c r="E221">
        <v>0</v>
      </c>
    </row>
    <row r="222" spans="1:5" x14ac:dyDescent="0.25">
      <c r="A222" t="s">
        <v>13</v>
      </c>
      <c r="B222" t="s">
        <v>107</v>
      </c>
      <c r="C222" s="26" t="s">
        <v>104</v>
      </c>
      <c r="D222" s="26" t="s">
        <v>104</v>
      </c>
      <c r="E222">
        <v>0</v>
      </c>
    </row>
    <row r="223" spans="1:5" x14ac:dyDescent="0.25">
      <c r="A223" t="s">
        <v>13</v>
      </c>
      <c r="B223" t="s">
        <v>108</v>
      </c>
      <c r="C223" s="26" t="s">
        <v>104</v>
      </c>
      <c r="D223" s="26" t="s">
        <v>104</v>
      </c>
      <c r="E223">
        <v>0</v>
      </c>
    </row>
    <row r="224" spans="1:5" x14ac:dyDescent="0.25">
      <c r="A224" t="s">
        <v>5</v>
      </c>
      <c r="B224" t="s">
        <v>39</v>
      </c>
      <c r="C224" s="26" t="s">
        <v>109</v>
      </c>
      <c r="D224" s="26" t="s">
        <v>109</v>
      </c>
      <c r="E224">
        <v>0</v>
      </c>
    </row>
    <row r="225" spans="1:5" x14ac:dyDescent="0.25">
      <c r="A225" t="s">
        <v>27</v>
      </c>
      <c r="B225" t="s">
        <v>90</v>
      </c>
      <c r="C225" s="26" t="s">
        <v>109</v>
      </c>
      <c r="D225" s="26" t="s">
        <v>109</v>
      </c>
      <c r="E225">
        <v>0</v>
      </c>
    </row>
    <row r="226" spans="1:5" x14ac:dyDescent="0.25">
      <c r="A226" t="s">
        <v>27</v>
      </c>
      <c r="B226" t="s">
        <v>75</v>
      </c>
      <c r="C226" s="26" t="s">
        <v>109</v>
      </c>
      <c r="D226" s="26" t="s">
        <v>109</v>
      </c>
      <c r="E226">
        <v>0</v>
      </c>
    </row>
    <row r="227" spans="1:5" x14ac:dyDescent="0.25">
      <c r="A227" t="s">
        <v>30</v>
      </c>
      <c r="B227" t="s">
        <v>111</v>
      </c>
      <c r="C227" s="26" t="s">
        <v>112</v>
      </c>
      <c r="D227" s="26" t="s">
        <v>112</v>
      </c>
      <c r="E227">
        <v>0</v>
      </c>
    </row>
    <row r="228" spans="1:5" x14ac:dyDescent="0.25">
      <c r="A228" t="s">
        <v>5</v>
      </c>
      <c r="B228" t="s">
        <v>113</v>
      </c>
      <c r="C228" s="26" t="s">
        <v>112</v>
      </c>
      <c r="D228" s="26" t="s">
        <v>112</v>
      </c>
      <c r="E228">
        <v>0</v>
      </c>
    </row>
    <row r="229" spans="1:5" x14ac:dyDescent="0.25">
      <c r="A229" t="s">
        <v>5</v>
      </c>
      <c r="B229" t="s">
        <v>111</v>
      </c>
      <c r="C229" s="26" t="s">
        <v>118</v>
      </c>
      <c r="D229" s="26" t="s">
        <v>118</v>
      </c>
      <c r="E229">
        <v>0</v>
      </c>
    </row>
    <row r="230" spans="1:5" x14ac:dyDescent="0.25">
      <c r="A230" t="s">
        <v>5</v>
      </c>
      <c r="B230" t="s">
        <v>119</v>
      </c>
      <c r="C230" s="26" t="s">
        <v>118</v>
      </c>
      <c r="D230" s="26" t="s">
        <v>118</v>
      </c>
      <c r="E230">
        <v>0</v>
      </c>
    </row>
    <row r="231" spans="1:5" x14ac:dyDescent="0.25">
      <c r="A231" t="s">
        <v>47</v>
      </c>
      <c r="B231" t="s">
        <v>33</v>
      </c>
      <c r="C231" s="26" t="s">
        <v>120</v>
      </c>
      <c r="D231" s="26" t="s">
        <v>120</v>
      </c>
      <c r="E231">
        <v>0</v>
      </c>
    </row>
    <row r="232" spans="1:5" x14ac:dyDescent="0.25">
      <c r="A232" t="s">
        <v>5</v>
      </c>
      <c r="B232" t="s">
        <v>121</v>
      </c>
      <c r="C232" s="26" t="s">
        <v>120</v>
      </c>
      <c r="D232" s="26" t="s">
        <v>120</v>
      </c>
      <c r="E232">
        <v>0</v>
      </c>
    </row>
    <row r="233" spans="1:5" x14ac:dyDescent="0.25">
      <c r="A233" t="s">
        <v>8</v>
      </c>
      <c r="B233" t="s">
        <v>99</v>
      </c>
      <c r="C233" s="26" t="s">
        <v>120</v>
      </c>
      <c r="D233" s="26" t="s">
        <v>120</v>
      </c>
      <c r="E233">
        <v>0</v>
      </c>
    </row>
    <row r="234" spans="1:5" x14ac:dyDescent="0.25">
      <c r="A234" t="s">
        <v>47</v>
      </c>
      <c r="B234" t="s">
        <v>122</v>
      </c>
      <c r="C234" s="26" t="s">
        <v>120</v>
      </c>
      <c r="D234" s="26" t="s">
        <v>120</v>
      </c>
      <c r="E234">
        <v>0</v>
      </c>
    </row>
    <row r="235" spans="1:5" x14ac:dyDescent="0.25">
      <c r="A235" t="s">
        <v>38</v>
      </c>
      <c r="B235" t="s">
        <v>123</v>
      </c>
      <c r="C235" s="26" t="s">
        <v>120</v>
      </c>
      <c r="D235" s="26" t="s">
        <v>120</v>
      </c>
      <c r="E235">
        <v>0</v>
      </c>
    </row>
    <row r="236" spans="1:5" x14ac:dyDescent="0.25">
      <c r="A236" t="s">
        <v>45</v>
      </c>
      <c r="B236" t="s">
        <v>124</v>
      </c>
      <c r="C236" s="26" t="s">
        <v>120</v>
      </c>
      <c r="D236" s="26" t="s">
        <v>120</v>
      </c>
      <c r="E236">
        <v>0</v>
      </c>
    </row>
    <row r="237" spans="1:5" x14ac:dyDescent="0.25">
      <c r="A237" t="s">
        <v>8</v>
      </c>
      <c r="B237" t="s">
        <v>19</v>
      </c>
      <c r="C237" s="26" t="s">
        <v>120</v>
      </c>
      <c r="D237" s="26" t="s">
        <v>120</v>
      </c>
      <c r="E237">
        <v>0</v>
      </c>
    </row>
    <row r="238" spans="1:5" x14ac:dyDescent="0.25">
      <c r="A238" t="s">
        <v>25</v>
      </c>
      <c r="B238" t="s">
        <v>126</v>
      </c>
      <c r="C238" s="26" t="s">
        <v>120</v>
      </c>
      <c r="D238" s="26" t="s">
        <v>120</v>
      </c>
      <c r="E238">
        <v>0</v>
      </c>
    </row>
    <row r="239" spans="1:5" x14ac:dyDescent="0.25">
      <c r="A239" t="s">
        <v>27</v>
      </c>
      <c r="B239" t="s">
        <v>128</v>
      </c>
      <c r="C239" s="26" t="s">
        <v>127</v>
      </c>
      <c r="D239" s="26" t="s">
        <v>127</v>
      </c>
      <c r="E239">
        <v>0</v>
      </c>
    </row>
    <row r="240" spans="1:5" x14ac:dyDescent="0.25">
      <c r="A240" t="s">
        <v>13</v>
      </c>
      <c r="B240" t="s">
        <v>130</v>
      </c>
      <c r="C240" s="26" t="s">
        <v>127</v>
      </c>
      <c r="D240" s="26" t="s">
        <v>127</v>
      </c>
      <c r="E240">
        <v>0</v>
      </c>
    </row>
    <row r="241" spans="1:5" x14ac:dyDescent="0.25">
      <c r="A241" t="s">
        <v>16</v>
      </c>
      <c r="B241" t="s">
        <v>119</v>
      </c>
      <c r="C241" s="26" t="s">
        <v>131</v>
      </c>
      <c r="D241" s="26" t="s">
        <v>131</v>
      </c>
      <c r="E241">
        <v>0</v>
      </c>
    </row>
    <row r="242" spans="1:5" x14ac:dyDescent="0.25">
      <c r="A242" t="s">
        <v>18</v>
      </c>
      <c r="B242" t="s">
        <v>133</v>
      </c>
      <c r="C242" s="26" t="s">
        <v>131</v>
      </c>
      <c r="D242" s="26" t="s">
        <v>131</v>
      </c>
      <c r="E242">
        <v>0</v>
      </c>
    </row>
    <row r="243" spans="1:5" x14ac:dyDescent="0.25">
      <c r="A243" t="s">
        <v>13</v>
      </c>
      <c r="B243" t="s">
        <v>134</v>
      </c>
      <c r="C243" s="26" t="s">
        <v>131</v>
      </c>
      <c r="D243" s="26" t="s">
        <v>131</v>
      </c>
      <c r="E243">
        <v>0</v>
      </c>
    </row>
    <row r="244" spans="1:5" x14ac:dyDescent="0.25">
      <c r="A244" t="s">
        <v>13</v>
      </c>
      <c r="B244" t="s">
        <v>136</v>
      </c>
      <c r="C244" s="26" t="s">
        <v>135</v>
      </c>
      <c r="D244" s="26" t="s">
        <v>135</v>
      </c>
      <c r="E244">
        <v>0</v>
      </c>
    </row>
    <row r="245" spans="1:5" x14ac:dyDescent="0.25">
      <c r="A245" t="s">
        <v>45</v>
      </c>
      <c r="B245" t="s">
        <v>14</v>
      </c>
      <c r="C245" s="26" t="s">
        <v>135</v>
      </c>
      <c r="D245" s="26" t="s">
        <v>135</v>
      </c>
      <c r="E245">
        <v>0</v>
      </c>
    </row>
    <row r="246" spans="1:5" x14ac:dyDescent="0.25">
      <c r="A246" t="s">
        <v>47</v>
      </c>
      <c r="B246" t="s">
        <v>137</v>
      </c>
      <c r="C246" s="26" t="s">
        <v>138</v>
      </c>
      <c r="D246" s="26" t="s">
        <v>138</v>
      </c>
      <c r="E246">
        <v>0</v>
      </c>
    </row>
    <row r="247" spans="1:5" x14ac:dyDescent="0.25">
      <c r="A247" t="s">
        <v>27</v>
      </c>
      <c r="B247" t="s">
        <v>139</v>
      </c>
      <c r="C247" s="26" t="s">
        <v>138</v>
      </c>
      <c r="D247" s="26" t="s">
        <v>138</v>
      </c>
      <c r="E247">
        <v>0</v>
      </c>
    </row>
    <row r="248" spans="1:5" x14ac:dyDescent="0.25">
      <c r="A248" t="s">
        <v>18</v>
      </c>
      <c r="B248" t="s">
        <v>137</v>
      </c>
      <c r="C248" s="26" t="s">
        <v>140</v>
      </c>
      <c r="D248" s="26" t="s">
        <v>140</v>
      </c>
      <c r="E248">
        <v>0</v>
      </c>
    </row>
    <row r="249" spans="1:5" x14ac:dyDescent="0.25">
      <c r="A249" t="s">
        <v>45</v>
      </c>
      <c r="B249" t="s">
        <v>96</v>
      </c>
      <c r="C249" s="26" t="s">
        <v>140</v>
      </c>
      <c r="D249" s="26" t="s">
        <v>140</v>
      </c>
      <c r="E249">
        <v>0</v>
      </c>
    </row>
    <row r="250" spans="1:5" x14ac:dyDescent="0.25">
      <c r="A250" t="s">
        <v>38</v>
      </c>
      <c r="B250" t="s">
        <v>141</v>
      </c>
      <c r="C250" s="26" t="s">
        <v>140</v>
      </c>
      <c r="D250" s="26" t="s">
        <v>140</v>
      </c>
      <c r="E250">
        <v>0</v>
      </c>
    </row>
    <row r="251" spans="1:5" x14ac:dyDescent="0.25">
      <c r="A251" t="s">
        <v>13</v>
      </c>
      <c r="B251" t="s">
        <v>142</v>
      </c>
      <c r="C251" s="26" t="s">
        <v>143</v>
      </c>
      <c r="D251" s="26" t="s">
        <v>143</v>
      </c>
      <c r="E251">
        <v>0</v>
      </c>
    </row>
    <row r="252" spans="1:5" x14ac:dyDescent="0.25">
      <c r="A252" t="s">
        <v>27</v>
      </c>
      <c r="B252" t="s">
        <v>24</v>
      </c>
      <c r="C252" s="26" t="s">
        <v>143</v>
      </c>
      <c r="D252" s="26" t="s">
        <v>143</v>
      </c>
      <c r="E252">
        <v>0</v>
      </c>
    </row>
    <row r="253" spans="1:5" x14ac:dyDescent="0.25">
      <c r="A253" t="s">
        <v>47</v>
      </c>
      <c r="B253" t="s">
        <v>17</v>
      </c>
      <c r="C253" s="26" t="s">
        <v>145</v>
      </c>
      <c r="D253" s="26" t="s">
        <v>145</v>
      </c>
      <c r="E253">
        <v>0</v>
      </c>
    </row>
    <row r="254" spans="1:5" x14ac:dyDescent="0.25">
      <c r="A254" t="s">
        <v>25</v>
      </c>
      <c r="B254" t="s">
        <v>22</v>
      </c>
      <c r="C254" s="26" t="s">
        <v>145</v>
      </c>
      <c r="D254" s="26" t="s">
        <v>145</v>
      </c>
      <c r="E254">
        <v>0</v>
      </c>
    </row>
    <row r="255" spans="1:5" x14ac:dyDescent="0.25">
      <c r="A255" t="s">
        <v>8</v>
      </c>
      <c r="B255" t="s">
        <v>146</v>
      </c>
      <c r="C255" s="26" t="s">
        <v>145</v>
      </c>
      <c r="D255" s="26" t="s">
        <v>145</v>
      </c>
      <c r="E255">
        <v>0</v>
      </c>
    </row>
    <row r="256" spans="1:5" x14ac:dyDescent="0.25">
      <c r="A256" t="s">
        <v>13</v>
      </c>
      <c r="B256" t="s">
        <v>48</v>
      </c>
      <c r="C256" s="26" t="s">
        <v>147</v>
      </c>
      <c r="D256" s="26" t="s">
        <v>147</v>
      </c>
      <c r="E256">
        <v>0</v>
      </c>
    </row>
    <row r="257" spans="1:5" x14ac:dyDescent="0.25">
      <c r="A257" t="s">
        <v>47</v>
      </c>
      <c r="B257" t="s">
        <v>141</v>
      </c>
      <c r="C257" s="26" t="s">
        <v>147</v>
      </c>
      <c r="D257" s="26" t="s">
        <v>147</v>
      </c>
      <c r="E257">
        <v>0</v>
      </c>
    </row>
    <row r="258" spans="1:5" x14ac:dyDescent="0.25">
      <c r="A258" t="s">
        <v>30</v>
      </c>
      <c r="B258" t="s">
        <v>136</v>
      </c>
      <c r="C258" s="26" t="s">
        <v>147</v>
      </c>
      <c r="D258" s="26" t="s">
        <v>147</v>
      </c>
      <c r="E258">
        <v>0</v>
      </c>
    </row>
    <row r="259" spans="1:5" x14ac:dyDescent="0.25">
      <c r="A259" t="s">
        <v>47</v>
      </c>
      <c r="B259" t="s">
        <v>61</v>
      </c>
      <c r="C259" s="26" t="s">
        <v>147</v>
      </c>
      <c r="D259" s="26" t="s">
        <v>147</v>
      </c>
      <c r="E259">
        <v>0</v>
      </c>
    </row>
    <row r="260" spans="1:5" x14ac:dyDescent="0.25">
      <c r="A260" t="s">
        <v>47</v>
      </c>
      <c r="B260" t="s">
        <v>151</v>
      </c>
      <c r="C260" s="26" t="s">
        <v>150</v>
      </c>
      <c r="D260" s="26" t="s">
        <v>150</v>
      </c>
      <c r="E260">
        <v>0</v>
      </c>
    </row>
    <row r="261" spans="1:5" x14ac:dyDescent="0.25">
      <c r="A261" t="s">
        <v>13</v>
      </c>
      <c r="B261" t="s">
        <v>152</v>
      </c>
      <c r="C261" s="26" t="s">
        <v>150</v>
      </c>
      <c r="D261" s="26" t="s">
        <v>150</v>
      </c>
      <c r="E261">
        <v>0</v>
      </c>
    </row>
    <row r="262" spans="1:5" x14ac:dyDescent="0.25">
      <c r="A262" t="s">
        <v>18</v>
      </c>
      <c r="B262" t="s">
        <v>153</v>
      </c>
      <c r="C262" s="26" t="s">
        <v>150</v>
      </c>
      <c r="D262" s="26" t="s">
        <v>150</v>
      </c>
      <c r="E262">
        <v>0</v>
      </c>
    </row>
    <row r="263" spans="1:5" x14ac:dyDescent="0.25">
      <c r="A263" t="s">
        <v>30</v>
      </c>
      <c r="B263" t="s">
        <v>77</v>
      </c>
      <c r="C263" s="26" t="s">
        <v>154</v>
      </c>
      <c r="D263" s="26" t="s">
        <v>154</v>
      </c>
      <c r="E263">
        <v>0</v>
      </c>
    </row>
    <row r="264" spans="1:5" x14ac:dyDescent="0.25">
      <c r="A264" t="s">
        <v>38</v>
      </c>
      <c r="B264" t="s">
        <v>35</v>
      </c>
      <c r="C264" s="26" t="s">
        <v>154</v>
      </c>
      <c r="D264" s="26" t="s">
        <v>154</v>
      </c>
      <c r="E264">
        <v>0</v>
      </c>
    </row>
    <row r="265" spans="1:5" x14ac:dyDescent="0.25">
      <c r="A265" t="s">
        <v>25</v>
      </c>
      <c r="B265" t="s">
        <v>141</v>
      </c>
      <c r="C265" s="26" t="s">
        <v>154</v>
      </c>
      <c r="D265" s="26" t="s">
        <v>154</v>
      </c>
      <c r="E265">
        <v>0</v>
      </c>
    </row>
    <row r="266" spans="1:5" x14ac:dyDescent="0.25">
      <c r="A266" t="s">
        <v>47</v>
      </c>
      <c r="B266" t="s">
        <v>90</v>
      </c>
      <c r="C266" s="26" t="s">
        <v>154</v>
      </c>
      <c r="D266" s="26" t="s">
        <v>154</v>
      </c>
      <c r="E266">
        <v>0</v>
      </c>
    </row>
    <row r="267" spans="1:5" x14ac:dyDescent="0.25">
      <c r="A267" t="s">
        <v>27</v>
      </c>
      <c r="B267" t="s">
        <v>158</v>
      </c>
      <c r="C267" s="26" t="s">
        <v>154</v>
      </c>
      <c r="D267" s="26" t="s">
        <v>154</v>
      </c>
      <c r="E267">
        <v>0</v>
      </c>
    </row>
    <row r="268" spans="1:5" x14ac:dyDescent="0.25">
      <c r="A268" t="s">
        <v>8</v>
      </c>
      <c r="B268" t="s">
        <v>52</v>
      </c>
      <c r="C268" s="26" t="s">
        <v>159</v>
      </c>
      <c r="D268" s="26" t="s">
        <v>159</v>
      </c>
      <c r="E268">
        <v>0</v>
      </c>
    </row>
    <row r="269" spans="1:5" x14ac:dyDescent="0.25">
      <c r="A269" t="s">
        <v>8</v>
      </c>
      <c r="B269" t="s">
        <v>101</v>
      </c>
      <c r="C269" s="26" t="s">
        <v>160</v>
      </c>
      <c r="D269" s="26" t="s">
        <v>160</v>
      </c>
      <c r="E269">
        <v>0</v>
      </c>
    </row>
    <row r="270" spans="1:5" x14ac:dyDescent="0.25">
      <c r="A270" t="s">
        <v>5</v>
      </c>
      <c r="B270" t="s">
        <v>161</v>
      </c>
      <c r="C270" s="26" t="s">
        <v>160</v>
      </c>
      <c r="D270" s="26" t="s">
        <v>160</v>
      </c>
      <c r="E270">
        <v>0</v>
      </c>
    </row>
    <row r="271" spans="1:5" x14ac:dyDescent="0.25">
      <c r="A271" t="s">
        <v>10</v>
      </c>
      <c r="B271" t="s">
        <v>91</v>
      </c>
      <c r="C271" s="26" t="s">
        <v>160</v>
      </c>
      <c r="D271" s="26" t="s">
        <v>160</v>
      </c>
      <c r="E271">
        <v>0</v>
      </c>
    </row>
    <row r="272" spans="1:5" x14ac:dyDescent="0.25">
      <c r="A272" t="s">
        <v>5</v>
      </c>
      <c r="B272" t="s">
        <v>162</v>
      </c>
      <c r="C272" s="26" t="s">
        <v>163</v>
      </c>
      <c r="D272" s="26" t="s">
        <v>163</v>
      </c>
      <c r="E272">
        <v>0</v>
      </c>
    </row>
    <row r="273" spans="1:5" x14ac:dyDescent="0.25">
      <c r="A273" t="s">
        <v>45</v>
      </c>
      <c r="B273" t="s">
        <v>33</v>
      </c>
      <c r="C273" s="26" t="s">
        <v>164</v>
      </c>
      <c r="D273" s="26" t="s">
        <v>164</v>
      </c>
      <c r="E273">
        <v>0</v>
      </c>
    </row>
    <row r="274" spans="1:5" x14ac:dyDescent="0.25">
      <c r="A274" t="s">
        <v>8</v>
      </c>
      <c r="B274" t="s">
        <v>85</v>
      </c>
      <c r="C274" s="26" t="s">
        <v>164</v>
      </c>
      <c r="D274" s="26" t="s">
        <v>164</v>
      </c>
      <c r="E274">
        <v>0</v>
      </c>
    </row>
    <row r="275" spans="1:5" x14ac:dyDescent="0.25">
      <c r="A275" t="s">
        <v>16</v>
      </c>
      <c r="B275" t="s">
        <v>165</v>
      </c>
      <c r="C275" s="26" t="s">
        <v>164</v>
      </c>
      <c r="D275" s="26" t="s">
        <v>164</v>
      </c>
      <c r="E275">
        <v>0</v>
      </c>
    </row>
    <row r="276" spans="1:5" x14ac:dyDescent="0.25">
      <c r="A276" t="s">
        <v>10</v>
      </c>
      <c r="B276" t="s">
        <v>146</v>
      </c>
      <c r="C276" s="26" t="s">
        <v>164</v>
      </c>
      <c r="D276" s="26" t="s">
        <v>164</v>
      </c>
      <c r="E276">
        <v>0</v>
      </c>
    </row>
    <row r="277" spans="1:5" x14ac:dyDescent="0.25">
      <c r="A277" t="s">
        <v>18</v>
      </c>
      <c r="B277" t="s">
        <v>166</v>
      </c>
      <c r="C277" s="26" t="s">
        <v>164</v>
      </c>
      <c r="D277" s="26" t="s">
        <v>164</v>
      </c>
      <c r="E277">
        <v>0</v>
      </c>
    </row>
    <row r="278" spans="1:5" x14ac:dyDescent="0.25">
      <c r="A278" t="s">
        <v>13</v>
      </c>
      <c r="B278" t="s">
        <v>106</v>
      </c>
      <c r="C278" s="26" t="s">
        <v>168</v>
      </c>
      <c r="D278" s="26" t="s">
        <v>168</v>
      </c>
      <c r="E278">
        <v>0</v>
      </c>
    </row>
    <row r="279" spans="1:5" x14ac:dyDescent="0.25">
      <c r="A279" t="s">
        <v>45</v>
      </c>
      <c r="B279" t="s">
        <v>169</v>
      </c>
      <c r="C279" s="26" t="s">
        <v>168</v>
      </c>
      <c r="D279" s="26" t="s">
        <v>168</v>
      </c>
      <c r="E279">
        <v>0</v>
      </c>
    </row>
    <row r="280" spans="1:5" x14ac:dyDescent="0.25">
      <c r="A280" t="s">
        <v>30</v>
      </c>
      <c r="B280" t="s">
        <v>52</v>
      </c>
      <c r="C280" s="26" t="s">
        <v>168</v>
      </c>
      <c r="D280" s="26" t="s">
        <v>168</v>
      </c>
      <c r="E280">
        <v>0</v>
      </c>
    </row>
    <row r="281" spans="1:5" x14ac:dyDescent="0.25">
      <c r="A281" t="s">
        <v>8</v>
      </c>
      <c r="B281" t="s">
        <v>141</v>
      </c>
      <c r="C281" s="26" t="s">
        <v>168</v>
      </c>
      <c r="D281" s="26" t="s">
        <v>168</v>
      </c>
      <c r="E281">
        <v>0</v>
      </c>
    </row>
    <row r="282" spans="1:5" x14ac:dyDescent="0.25">
      <c r="A282" t="s">
        <v>45</v>
      </c>
      <c r="B282" t="s">
        <v>170</v>
      </c>
      <c r="C282" s="26" t="s">
        <v>171</v>
      </c>
      <c r="D282" s="26" t="s">
        <v>171</v>
      </c>
      <c r="E282">
        <v>0</v>
      </c>
    </row>
    <row r="283" spans="1:5" x14ac:dyDescent="0.25">
      <c r="A283" t="s">
        <v>25</v>
      </c>
      <c r="B283" t="s">
        <v>50</v>
      </c>
      <c r="C283" s="26" t="s">
        <v>171</v>
      </c>
      <c r="D283" s="26" t="s">
        <v>171</v>
      </c>
      <c r="E283">
        <v>0</v>
      </c>
    </row>
    <row r="284" spans="1:5" x14ac:dyDescent="0.25">
      <c r="A284" t="s">
        <v>25</v>
      </c>
      <c r="B284" t="s">
        <v>46</v>
      </c>
      <c r="C284" s="26" t="s">
        <v>172</v>
      </c>
      <c r="D284" s="26" t="s">
        <v>172</v>
      </c>
      <c r="E284">
        <v>0</v>
      </c>
    </row>
    <row r="285" spans="1:5" x14ac:dyDescent="0.25">
      <c r="A285" t="s">
        <v>45</v>
      </c>
      <c r="B285" t="s">
        <v>57</v>
      </c>
      <c r="C285" s="26" t="s">
        <v>172</v>
      </c>
      <c r="D285" s="26" t="s">
        <v>172</v>
      </c>
      <c r="E285">
        <v>0</v>
      </c>
    </row>
    <row r="286" spans="1:5" x14ac:dyDescent="0.25">
      <c r="A286" t="s">
        <v>38</v>
      </c>
      <c r="B286" t="s">
        <v>170</v>
      </c>
      <c r="C286" s="26" t="s">
        <v>172</v>
      </c>
      <c r="D286" s="26" t="s">
        <v>172</v>
      </c>
      <c r="E286">
        <v>0</v>
      </c>
    </row>
    <row r="287" spans="1:5" x14ac:dyDescent="0.25">
      <c r="A287" t="s">
        <v>13</v>
      </c>
      <c r="B287" t="s">
        <v>173</v>
      </c>
      <c r="C287" s="26" t="s">
        <v>174</v>
      </c>
      <c r="D287" s="26" t="s">
        <v>174</v>
      </c>
      <c r="E287">
        <v>0</v>
      </c>
    </row>
    <row r="288" spans="1:5" x14ac:dyDescent="0.25">
      <c r="A288" t="s">
        <v>5</v>
      </c>
      <c r="B288" t="s">
        <v>101</v>
      </c>
      <c r="C288" s="26" t="s">
        <v>174</v>
      </c>
      <c r="D288" s="26" t="s">
        <v>174</v>
      </c>
      <c r="E288">
        <v>0</v>
      </c>
    </row>
    <row r="289" spans="1:5" x14ac:dyDescent="0.25">
      <c r="A289" t="s">
        <v>47</v>
      </c>
      <c r="B289" t="s">
        <v>176</v>
      </c>
      <c r="C289" s="26" t="s">
        <v>175</v>
      </c>
      <c r="D289" s="26" t="s">
        <v>175</v>
      </c>
      <c r="E289">
        <v>0</v>
      </c>
    </row>
    <row r="290" spans="1:5" x14ac:dyDescent="0.25">
      <c r="A290" t="s">
        <v>30</v>
      </c>
      <c r="B290" t="s">
        <v>155</v>
      </c>
      <c r="C290" s="26" t="s">
        <v>175</v>
      </c>
      <c r="D290" s="26" t="s">
        <v>175</v>
      </c>
      <c r="E290">
        <v>0</v>
      </c>
    </row>
    <row r="291" spans="1:5" x14ac:dyDescent="0.25">
      <c r="A291" t="s">
        <v>47</v>
      </c>
      <c r="B291" t="s">
        <v>180</v>
      </c>
      <c r="C291" s="26" t="s">
        <v>179</v>
      </c>
      <c r="D291" s="26" t="s">
        <v>179</v>
      </c>
      <c r="E291">
        <v>0</v>
      </c>
    </row>
    <row r="292" spans="1:5" x14ac:dyDescent="0.25">
      <c r="A292" t="s">
        <v>8</v>
      </c>
      <c r="B292" t="s">
        <v>181</v>
      </c>
      <c r="C292" s="26" t="s">
        <v>179</v>
      </c>
      <c r="D292" s="26" t="s">
        <v>179</v>
      </c>
      <c r="E292">
        <v>0</v>
      </c>
    </row>
    <row r="293" spans="1:5" x14ac:dyDescent="0.25">
      <c r="A293" t="s">
        <v>38</v>
      </c>
      <c r="B293" t="s">
        <v>182</v>
      </c>
      <c r="C293" s="26" t="s">
        <v>179</v>
      </c>
      <c r="D293" s="26" t="s">
        <v>179</v>
      </c>
      <c r="E293">
        <v>0</v>
      </c>
    </row>
    <row r="294" spans="1:5" x14ac:dyDescent="0.25">
      <c r="A294" t="s">
        <v>45</v>
      </c>
      <c r="B294" t="s">
        <v>108</v>
      </c>
      <c r="C294" s="26" t="s">
        <v>179</v>
      </c>
      <c r="D294" s="26" t="s">
        <v>179</v>
      </c>
      <c r="E294">
        <v>0</v>
      </c>
    </row>
    <row r="295" spans="1:5" x14ac:dyDescent="0.25">
      <c r="A295" t="s">
        <v>10</v>
      </c>
      <c r="B295" t="s">
        <v>119</v>
      </c>
      <c r="C295" s="26" t="s">
        <v>183</v>
      </c>
      <c r="D295" s="26" t="s">
        <v>183</v>
      </c>
      <c r="E295">
        <v>0</v>
      </c>
    </row>
    <row r="296" spans="1:5" x14ac:dyDescent="0.25">
      <c r="A296" t="s">
        <v>30</v>
      </c>
      <c r="B296" t="s">
        <v>68</v>
      </c>
      <c r="C296" s="26" t="s">
        <v>183</v>
      </c>
      <c r="D296" s="26" t="s">
        <v>183</v>
      </c>
      <c r="E296">
        <v>0</v>
      </c>
    </row>
    <row r="297" spans="1:5" x14ac:dyDescent="0.25">
      <c r="A297" t="s">
        <v>10</v>
      </c>
      <c r="B297" t="s">
        <v>186</v>
      </c>
      <c r="C297" s="26" t="s">
        <v>185</v>
      </c>
      <c r="D297" s="26" t="s">
        <v>185</v>
      </c>
      <c r="E297">
        <v>0</v>
      </c>
    </row>
    <row r="298" spans="1:5" x14ac:dyDescent="0.25">
      <c r="A298" t="s">
        <v>45</v>
      </c>
      <c r="B298" t="s">
        <v>188</v>
      </c>
      <c r="C298" s="26" t="s">
        <v>189</v>
      </c>
      <c r="D298" s="26" t="s">
        <v>189</v>
      </c>
      <c r="E298">
        <v>0</v>
      </c>
    </row>
    <row r="299" spans="1:5" x14ac:dyDescent="0.25">
      <c r="A299" t="s">
        <v>10</v>
      </c>
      <c r="B299" t="s">
        <v>116</v>
      </c>
      <c r="C299" s="26" t="s">
        <v>189</v>
      </c>
      <c r="D299" s="26" t="s">
        <v>189</v>
      </c>
      <c r="E299">
        <v>0</v>
      </c>
    </row>
    <row r="300" spans="1:5" x14ac:dyDescent="0.25">
      <c r="A300" t="s">
        <v>45</v>
      </c>
      <c r="B300" t="s">
        <v>43</v>
      </c>
      <c r="C300" s="26" t="s">
        <v>189</v>
      </c>
      <c r="D300" s="26" t="s">
        <v>189</v>
      </c>
      <c r="E300">
        <v>0</v>
      </c>
    </row>
    <row r="301" spans="1:5" x14ac:dyDescent="0.25">
      <c r="A301" t="s">
        <v>13</v>
      </c>
      <c r="B301" t="s">
        <v>6</v>
      </c>
      <c r="C301" s="26" t="s">
        <v>189</v>
      </c>
      <c r="D301" s="26" t="s">
        <v>189</v>
      </c>
      <c r="E301">
        <v>0</v>
      </c>
    </row>
    <row r="302" spans="1:5" x14ac:dyDescent="0.25">
      <c r="A302" t="s">
        <v>16</v>
      </c>
      <c r="B302" t="s">
        <v>72</v>
      </c>
      <c r="C302" s="26" t="s">
        <v>189</v>
      </c>
      <c r="D302" s="26" t="s">
        <v>189</v>
      </c>
      <c r="E302">
        <v>0</v>
      </c>
    </row>
    <row r="303" spans="1:5" x14ac:dyDescent="0.25">
      <c r="A303" t="s">
        <v>30</v>
      </c>
      <c r="B303" t="s">
        <v>105</v>
      </c>
      <c r="C303" s="26" t="s">
        <v>189</v>
      </c>
      <c r="D303" s="26" t="s">
        <v>189</v>
      </c>
      <c r="E303">
        <v>0</v>
      </c>
    </row>
    <row r="304" spans="1:5" x14ac:dyDescent="0.25">
      <c r="A304" t="s">
        <v>27</v>
      </c>
      <c r="B304" t="s">
        <v>64</v>
      </c>
      <c r="C304" s="26" t="s">
        <v>189</v>
      </c>
      <c r="D304" s="26" t="s">
        <v>189</v>
      </c>
      <c r="E304">
        <v>0</v>
      </c>
    </row>
    <row r="305" spans="1:5" x14ac:dyDescent="0.25">
      <c r="A305" t="s">
        <v>27</v>
      </c>
      <c r="B305" t="s">
        <v>49</v>
      </c>
      <c r="C305" s="26" t="s">
        <v>189</v>
      </c>
      <c r="D305" s="26" t="s">
        <v>189</v>
      </c>
      <c r="E305">
        <v>0</v>
      </c>
    </row>
    <row r="306" spans="1:5" x14ac:dyDescent="0.25">
      <c r="A306" t="s">
        <v>30</v>
      </c>
      <c r="B306" t="s">
        <v>96</v>
      </c>
      <c r="C306" s="26" t="s">
        <v>189</v>
      </c>
      <c r="D306" s="26" t="s">
        <v>189</v>
      </c>
      <c r="E306">
        <v>0</v>
      </c>
    </row>
    <row r="307" spans="1:5" x14ac:dyDescent="0.25">
      <c r="A307" t="s">
        <v>25</v>
      </c>
      <c r="B307" t="s">
        <v>128</v>
      </c>
      <c r="C307" s="26" t="s">
        <v>191</v>
      </c>
      <c r="D307" s="26" t="s">
        <v>191</v>
      </c>
      <c r="E307">
        <v>0</v>
      </c>
    </row>
    <row r="308" spans="1:5" x14ac:dyDescent="0.25">
      <c r="A308" t="s">
        <v>8</v>
      </c>
      <c r="B308" t="s">
        <v>123</v>
      </c>
      <c r="C308" s="26" t="s">
        <v>192</v>
      </c>
      <c r="D308" s="26" t="s">
        <v>192</v>
      </c>
      <c r="E308">
        <v>0</v>
      </c>
    </row>
    <row r="309" spans="1:5" x14ac:dyDescent="0.25">
      <c r="A309" t="s">
        <v>13</v>
      </c>
      <c r="B309" t="s">
        <v>39</v>
      </c>
      <c r="C309" s="26" t="s">
        <v>193</v>
      </c>
      <c r="D309" s="26" t="s">
        <v>193</v>
      </c>
      <c r="E309">
        <v>0</v>
      </c>
    </row>
    <row r="310" spans="1:5" x14ac:dyDescent="0.25">
      <c r="A310" t="s">
        <v>5</v>
      </c>
      <c r="B310" t="s">
        <v>194</v>
      </c>
      <c r="C310" s="26" t="s">
        <v>193</v>
      </c>
      <c r="D310" s="26" t="s">
        <v>193</v>
      </c>
      <c r="E310">
        <v>0</v>
      </c>
    </row>
    <row r="311" spans="1:5" x14ac:dyDescent="0.25">
      <c r="A311" t="s">
        <v>45</v>
      </c>
      <c r="B311" t="s">
        <v>195</v>
      </c>
      <c r="C311" s="26" t="s">
        <v>193</v>
      </c>
      <c r="D311" s="26" t="s">
        <v>193</v>
      </c>
      <c r="E311">
        <v>0</v>
      </c>
    </row>
    <row r="312" spans="1:5" x14ac:dyDescent="0.25">
      <c r="A312" t="s">
        <v>16</v>
      </c>
      <c r="B312" t="s">
        <v>124</v>
      </c>
      <c r="C312" s="26" t="s">
        <v>197</v>
      </c>
      <c r="D312" s="26" t="s">
        <v>197</v>
      </c>
      <c r="E312">
        <v>0</v>
      </c>
    </row>
    <row r="313" spans="1:5" x14ac:dyDescent="0.25">
      <c r="A313" t="s">
        <v>13</v>
      </c>
      <c r="B313" t="s">
        <v>198</v>
      </c>
      <c r="C313" s="26" t="s">
        <v>199</v>
      </c>
      <c r="D313" s="26" t="s">
        <v>199</v>
      </c>
      <c r="E313">
        <v>0</v>
      </c>
    </row>
    <row r="314" spans="1:5" x14ac:dyDescent="0.25">
      <c r="A314" t="s">
        <v>5</v>
      </c>
      <c r="B314" t="s">
        <v>200</v>
      </c>
      <c r="C314" s="26" t="s">
        <v>199</v>
      </c>
      <c r="D314" s="26" t="s">
        <v>199</v>
      </c>
      <c r="E314">
        <v>0</v>
      </c>
    </row>
    <row r="315" spans="1:5" x14ac:dyDescent="0.25">
      <c r="A315" t="s">
        <v>5</v>
      </c>
      <c r="B315" t="s">
        <v>201</v>
      </c>
      <c r="C315" s="26" t="s">
        <v>199</v>
      </c>
      <c r="D315" s="26" t="s">
        <v>199</v>
      </c>
      <c r="E315">
        <v>0</v>
      </c>
    </row>
    <row r="316" spans="1:5" x14ac:dyDescent="0.25">
      <c r="A316" t="s">
        <v>18</v>
      </c>
      <c r="B316" t="s">
        <v>130</v>
      </c>
      <c r="C316" s="26" t="s">
        <v>199</v>
      </c>
      <c r="D316" s="26" t="s">
        <v>199</v>
      </c>
      <c r="E316">
        <v>0</v>
      </c>
    </row>
    <row r="317" spans="1:5" x14ac:dyDescent="0.25">
      <c r="A317" t="s">
        <v>45</v>
      </c>
      <c r="B317" t="s">
        <v>202</v>
      </c>
      <c r="C317" s="26" t="s">
        <v>199</v>
      </c>
      <c r="D317" s="26" t="s">
        <v>199</v>
      </c>
      <c r="E317">
        <v>0</v>
      </c>
    </row>
    <row r="318" spans="1:5" x14ac:dyDescent="0.25">
      <c r="A318" t="s">
        <v>38</v>
      </c>
      <c r="B318" t="s">
        <v>14</v>
      </c>
      <c r="C318" s="26" t="s">
        <v>199</v>
      </c>
      <c r="D318" s="26" t="s">
        <v>199</v>
      </c>
      <c r="E318">
        <v>0</v>
      </c>
    </row>
    <row r="319" spans="1:5" x14ac:dyDescent="0.25">
      <c r="A319" t="s">
        <v>47</v>
      </c>
      <c r="B319" t="s">
        <v>67</v>
      </c>
      <c r="C319" s="26" t="s">
        <v>199</v>
      </c>
      <c r="D319" s="26" t="s">
        <v>199</v>
      </c>
      <c r="E319">
        <v>0</v>
      </c>
    </row>
    <row r="320" spans="1:5" x14ac:dyDescent="0.25">
      <c r="A320" t="s">
        <v>18</v>
      </c>
      <c r="B320" t="s">
        <v>103</v>
      </c>
      <c r="C320" s="26" t="s">
        <v>203</v>
      </c>
      <c r="D320" s="26" t="s">
        <v>203</v>
      </c>
      <c r="E320">
        <v>0</v>
      </c>
    </row>
    <row r="321" spans="1:5" x14ac:dyDescent="0.25">
      <c r="A321" t="s">
        <v>25</v>
      </c>
      <c r="B321" t="s">
        <v>65</v>
      </c>
      <c r="C321" s="26" t="s">
        <v>203</v>
      </c>
      <c r="D321" s="26" t="s">
        <v>203</v>
      </c>
      <c r="E321">
        <v>0</v>
      </c>
    </row>
    <row r="322" spans="1:5" x14ac:dyDescent="0.25">
      <c r="A322" t="s">
        <v>25</v>
      </c>
      <c r="B322" t="s">
        <v>66</v>
      </c>
      <c r="C322" s="26" t="s">
        <v>203</v>
      </c>
      <c r="D322" s="26" t="s">
        <v>203</v>
      </c>
      <c r="E322">
        <v>0</v>
      </c>
    </row>
    <row r="323" spans="1:5" x14ac:dyDescent="0.25">
      <c r="A323" t="s">
        <v>5</v>
      </c>
      <c r="B323" t="s">
        <v>141</v>
      </c>
      <c r="C323" s="26" t="s">
        <v>204</v>
      </c>
      <c r="D323" s="26" t="s">
        <v>204</v>
      </c>
      <c r="E323">
        <v>0</v>
      </c>
    </row>
    <row r="324" spans="1:5" x14ac:dyDescent="0.25">
      <c r="A324" t="s">
        <v>27</v>
      </c>
      <c r="B324" t="s">
        <v>205</v>
      </c>
      <c r="C324" s="26" t="s">
        <v>204</v>
      </c>
      <c r="D324" s="26" t="s">
        <v>204</v>
      </c>
      <c r="E324">
        <v>0</v>
      </c>
    </row>
    <row r="325" spans="1:5" x14ac:dyDescent="0.25">
      <c r="A325" t="s">
        <v>25</v>
      </c>
      <c r="B325" t="s">
        <v>206</v>
      </c>
      <c r="C325" s="26" t="s">
        <v>204</v>
      </c>
      <c r="D325" s="26" t="s">
        <v>204</v>
      </c>
      <c r="E325">
        <v>0</v>
      </c>
    </row>
    <row r="326" spans="1:5" x14ac:dyDescent="0.25">
      <c r="A326" t="s">
        <v>8</v>
      </c>
      <c r="B326" t="s">
        <v>122</v>
      </c>
      <c r="C326" s="26" t="s">
        <v>204</v>
      </c>
      <c r="D326" s="26" t="s">
        <v>204</v>
      </c>
      <c r="E326">
        <v>0</v>
      </c>
    </row>
    <row r="327" spans="1:5" x14ac:dyDescent="0.25">
      <c r="A327" t="s">
        <v>8</v>
      </c>
      <c r="B327" t="s">
        <v>35</v>
      </c>
      <c r="C327" s="26" t="s">
        <v>207</v>
      </c>
      <c r="D327" s="26" t="s">
        <v>207</v>
      </c>
      <c r="E327">
        <v>0</v>
      </c>
    </row>
    <row r="328" spans="1:5" x14ac:dyDescent="0.25">
      <c r="A328" t="s">
        <v>8</v>
      </c>
      <c r="B328" t="s">
        <v>209</v>
      </c>
      <c r="C328" s="26" t="s">
        <v>208</v>
      </c>
      <c r="D328" s="26" t="s">
        <v>208</v>
      </c>
      <c r="E328">
        <v>0</v>
      </c>
    </row>
    <row r="329" spans="1:5" x14ac:dyDescent="0.25">
      <c r="A329" t="s">
        <v>45</v>
      </c>
      <c r="B329" t="s">
        <v>107</v>
      </c>
      <c r="C329" s="26" t="s">
        <v>210</v>
      </c>
      <c r="D329" s="26" t="s">
        <v>210</v>
      </c>
      <c r="E329">
        <v>0</v>
      </c>
    </row>
    <row r="330" spans="1:5" x14ac:dyDescent="0.25">
      <c r="A330" t="s">
        <v>25</v>
      </c>
      <c r="B330" t="s">
        <v>182</v>
      </c>
      <c r="C330" s="26" t="s">
        <v>210</v>
      </c>
      <c r="D330" s="26" t="s">
        <v>210</v>
      </c>
      <c r="E330">
        <v>0</v>
      </c>
    </row>
    <row r="331" spans="1:5" x14ac:dyDescent="0.25">
      <c r="A331" t="s">
        <v>16</v>
      </c>
      <c r="B331" t="s">
        <v>211</v>
      </c>
      <c r="C331" s="26" t="s">
        <v>210</v>
      </c>
      <c r="D331" s="26" t="s">
        <v>210</v>
      </c>
      <c r="E331">
        <v>0</v>
      </c>
    </row>
    <row r="332" spans="1:5" x14ac:dyDescent="0.25">
      <c r="A332" t="s">
        <v>27</v>
      </c>
      <c r="B332" t="s">
        <v>43</v>
      </c>
      <c r="C332" s="26" t="s">
        <v>210</v>
      </c>
      <c r="D332" s="26" t="s">
        <v>210</v>
      </c>
      <c r="E332">
        <v>0</v>
      </c>
    </row>
    <row r="333" spans="1:5" x14ac:dyDescent="0.25">
      <c r="A333" t="s">
        <v>16</v>
      </c>
      <c r="B333" t="s">
        <v>212</v>
      </c>
      <c r="C333" s="26" t="s">
        <v>210</v>
      </c>
      <c r="D333" s="26" t="s">
        <v>210</v>
      </c>
      <c r="E333">
        <v>0</v>
      </c>
    </row>
    <row r="334" spans="1:5" x14ac:dyDescent="0.25">
      <c r="A334" t="s">
        <v>30</v>
      </c>
      <c r="B334" t="s">
        <v>214</v>
      </c>
      <c r="C334" s="26" t="s">
        <v>213</v>
      </c>
      <c r="D334" s="26" t="s">
        <v>213</v>
      </c>
      <c r="E334">
        <v>0</v>
      </c>
    </row>
    <row r="335" spans="1:5" x14ac:dyDescent="0.25">
      <c r="A335" t="s">
        <v>38</v>
      </c>
      <c r="B335" t="s">
        <v>215</v>
      </c>
      <c r="C335" s="26" t="s">
        <v>213</v>
      </c>
      <c r="D335" s="26" t="s">
        <v>213</v>
      </c>
      <c r="E335">
        <v>0</v>
      </c>
    </row>
    <row r="336" spans="1:5" x14ac:dyDescent="0.25">
      <c r="A336" t="s">
        <v>27</v>
      </c>
      <c r="B336" t="s">
        <v>129</v>
      </c>
      <c r="C336" s="26" t="s">
        <v>216</v>
      </c>
      <c r="D336" s="26" t="s">
        <v>216</v>
      </c>
      <c r="E336">
        <v>0</v>
      </c>
    </row>
    <row r="337" spans="1:5" x14ac:dyDescent="0.25">
      <c r="A337" t="s">
        <v>8</v>
      </c>
      <c r="B337" t="s">
        <v>200</v>
      </c>
      <c r="C337" s="26" t="s">
        <v>218</v>
      </c>
      <c r="D337" s="26" t="s">
        <v>218</v>
      </c>
      <c r="E337">
        <v>0</v>
      </c>
    </row>
    <row r="338" spans="1:5" x14ac:dyDescent="0.25">
      <c r="A338" t="s">
        <v>16</v>
      </c>
      <c r="B338" t="s">
        <v>136</v>
      </c>
      <c r="C338" s="26" t="s">
        <v>218</v>
      </c>
      <c r="D338" s="26" t="s">
        <v>218</v>
      </c>
      <c r="E338">
        <v>0</v>
      </c>
    </row>
    <row r="339" spans="1:5" x14ac:dyDescent="0.25">
      <c r="A339" t="s">
        <v>18</v>
      </c>
      <c r="B339" t="s">
        <v>75</v>
      </c>
      <c r="C339" s="26" t="s">
        <v>218</v>
      </c>
      <c r="D339" s="26" t="s">
        <v>218</v>
      </c>
      <c r="E339">
        <v>0</v>
      </c>
    </row>
    <row r="340" spans="1:5" x14ac:dyDescent="0.25">
      <c r="A340" t="s">
        <v>25</v>
      </c>
      <c r="B340" t="s">
        <v>149</v>
      </c>
      <c r="C340" s="26" t="s">
        <v>218</v>
      </c>
      <c r="D340" s="26" t="s">
        <v>218</v>
      </c>
      <c r="E340">
        <v>0</v>
      </c>
    </row>
    <row r="341" spans="1:5" x14ac:dyDescent="0.25">
      <c r="A341" t="s">
        <v>18</v>
      </c>
      <c r="B341" t="s">
        <v>219</v>
      </c>
      <c r="C341" s="26" t="s">
        <v>220</v>
      </c>
      <c r="D341" s="26" t="s">
        <v>220</v>
      </c>
      <c r="E341">
        <v>0</v>
      </c>
    </row>
    <row r="342" spans="1:5" x14ac:dyDescent="0.25">
      <c r="A342" t="s">
        <v>13</v>
      </c>
      <c r="B342" t="s">
        <v>224</v>
      </c>
      <c r="C342" s="26" t="s">
        <v>222</v>
      </c>
      <c r="D342" s="26" t="s">
        <v>222</v>
      </c>
      <c r="E342">
        <v>0</v>
      </c>
    </row>
    <row r="343" spans="1:5" x14ac:dyDescent="0.25">
      <c r="A343" t="s">
        <v>8</v>
      </c>
      <c r="B343" t="s">
        <v>48</v>
      </c>
      <c r="C343" s="26" t="s">
        <v>225</v>
      </c>
      <c r="D343" s="26" t="s">
        <v>225</v>
      </c>
      <c r="E343">
        <v>0</v>
      </c>
    </row>
    <row r="344" spans="1:5" x14ac:dyDescent="0.25">
      <c r="A344" t="s">
        <v>30</v>
      </c>
      <c r="B344" t="s">
        <v>226</v>
      </c>
      <c r="C344" s="26" t="s">
        <v>225</v>
      </c>
      <c r="D344" s="26" t="s">
        <v>225</v>
      </c>
      <c r="E344">
        <v>0</v>
      </c>
    </row>
    <row r="345" spans="1:5" x14ac:dyDescent="0.25">
      <c r="A345" t="s">
        <v>13</v>
      </c>
      <c r="B345" t="s">
        <v>229</v>
      </c>
      <c r="C345" s="26" t="s">
        <v>228</v>
      </c>
      <c r="D345" s="26" t="s">
        <v>228</v>
      </c>
      <c r="E345">
        <v>0</v>
      </c>
    </row>
    <row r="346" spans="1:5" x14ac:dyDescent="0.25">
      <c r="A346" t="s">
        <v>10</v>
      </c>
      <c r="B346" t="s">
        <v>152</v>
      </c>
      <c r="C346" s="26" t="s">
        <v>228</v>
      </c>
      <c r="D346" s="26" t="s">
        <v>228</v>
      </c>
      <c r="E346">
        <v>0</v>
      </c>
    </row>
    <row r="347" spans="1:5" x14ac:dyDescent="0.25">
      <c r="A347" t="s">
        <v>30</v>
      </c>
      <c r="B347" t="s">
        <v>153</v>
      </c>
      <c r="C347" s="26" t="s">
        <v>230</v>
      </c>
      <c r="D347" s="26" t="s">
        <v>230</v>
      </c>
      <c r="E347">
        <v>0</v>
      </c>
    </row>
    <row r="348" spans="1:5" x14ac:dyDescent="0.25">
      <c r="A348" t="s">
        <v>5</v>
      </c>
      <c r="B348" t="s">
        <v>125</v>
      </c>
      <c r="C348" s="26" t="s">
        <v>230</v>
      </c>
      <c r="D348" s="26" t="s">
        <v>230</v>
      </c>
      <c r="E348">
        <v>0</v>
      </c>
    </row>
    <row r="349" spans="1:5" x14ac:dyDescent="0.25">
      <c r="A349" t="s">
        <v>5</v>
      </c>
      <c r="B349" t="s">
        <v>68</v>
      </c>
      <c r="C349" s="26" t="s">
        <v>230</v>
      </c>
      <c r="D349" s="26" t="s">
        <v>230</v>
      </c>
      <c r="E349">
        <v>0</v>
      </c>
    </row>
    <row r="350" spans="1:5" x14ac:dyDescent="0.25">
      <c r="A350" t="s">
        <v>27</v>
      </c>
      <c r="B350" t="s">
        <v>232</v>
      </c>
      <c r="C350" s="26" t="s">
        <v>230</v>
      </c>
      <c r="D350" s="26" t="s">
        <v>230</v>
      </c>
      <c r="E350">
        <v>0</v>
      </c>
    </row>
    <row r="351" spans="1:5" x14ac:dyDescent="0.25">
      <c r="A351" t="s">
        <v>27</v>
      </c>
      <c r="B351" t="s">
        <v>134</v>
      </c>
      <c r="C351" s="26" t="s">
        <v>230</v>
      </c>
      <c r="D351" s="26" t="s">
        <v>230</v>
      </c>
      <c r="E351">
        <v>0</v>
      </c>
    </row>
    <row r="352" spans="1:5" x14ac:dyDescent="0.25">
      <c r="A352" t="s">
        <v>13</v>
      </c>
      <c r="B352" t="s">
        <v>132</v>
      </c>
      <c r="C352" s="26" t="s">
        <v>235</v>
      </c>
      <c r="D352" s="26" t="s">
        <v>235</v>
      </c>
      <c r="E352">
        <v>0</v>
      </c>
    </row>
    <row r="353" spans="1:5" x14ac:dyDescent="0.25">
      <c r="A353" t="s">
        <v>13</v>
      </c>
      <c r="B353" t="s">
        <v>116</v>
      </c>
      <c r="C353" s="26" t="s">
        <v>236</v>
      </c>
      <c r="D353" s="26" t="s">
        <v>236</v>
      </c>
      <c r="E353">
        <v>0</v>
      </c>
    </row>
    <row r="354" spans="1:5" x14ac:dyDescent="0.25">
      <c r="A354" t="s">
        <v>38</v>
      </c>
      <c r="B354" t="s">
        <v>53</v>
      </c>
      <c r="C354" s="26" t="s">
        <v>237</v>
      </c>
      <c r="D354" s="26" t="s">
        <v>237</v>
      </c>
      <c r="E354">
        <v>0</v>
      </c>
    </row>
    <row r="355" spans="1:5" x14ac:dyDescent="0.25">
      <c r="A355" t="s">
        <v>25</v>
      </c>
      <c r="B355" t="s">
        <v>53</v>
      </c>
      <c r="C355" s="26" t="s">
        <v>237</v>
      </c>
      <c r="D355" s="26" t="s">
        <v>237</v>
      </c>
      <c r="E355">
        <v>0</v>
      </c>
    </row>
    <row r="356" spans="1:5" x14ac:dyDescent="0.25">
      <c r="A356" t="s">
        <v>10</v>
      </c>
      <c r="B356" t="s">
        <v>41</v>
      </c>
      <c r="C356" s="26" t="s">
        <v>238</v>
      </c>
      <c r="D356" s="26" t="s">
        <v>238</v>
      </c>
      <c r="E356">
        <v>0</v>
      </c>
    </row>
    <row r="357" spans="1:5" x14ac:dyDescent="0.25">
      <c r="A357" t="s">
        <v>30</v>
      </c>
      <c r="B357" t="s">
        <v>6</v>
      </c>
      <c r="C357" s="26" t="s">
        <v>238</v>
      </c>
      <c r="D357" s="26" t="s">
        <v>238</v>
      </c>
      <c r="E357">
        <v>0</v>
      </c>
    </row>
    <row r="358" spans="1:5" x14ac:dyDescent="0.25">
      <c r="A358" t="s">
        <v>45</v>
      </c>
      <c r="B358" t="s">
        <v>194</v>
      </c>
      <c r="C358" s="26" t="s">
        <v>238</v>
      </c>
      <c r="D358" s="26" t="s">
        <v>238</v>
      </c>
      <c r="E358">
        <v>0</v>
      </c>
    </row>
    <row r="359" spans="1:5" x14ac:dyDescent="0.25">
      <c r="A359" t="s">
        <v>27</v>
      </c>
      <c r="B359" t="s">
        <v>65</v>
      </c>
      <c r="C359" s="26" t="s">
        <v>238</v>
      </c>
      <c r="D359" s="26" t="s">
        <v>238</v>
      </c>
      <c r="E359">
        <v>0</v>
      </c>
    </row>
    <row r="360" spans="1:5" x14ac:dyDescent="0.25">
      <c r="A360" t="s">
        <v>38</v>
      </c>
      <c r="B360" t="s">
        <v>31</v>
      </c>
      <c r="C360" s="26" t="s">
        <v>238</v>
      </c>
      <c r="D360" s="26" t="s">
        <v>238</v>
      </c>
      <c r="E360">
        <v>0</v>
      </c>
    </row>
    <row r="361" spans="1:5" x14ac:dyDescent="0.25">
      <c r="A361" t="s">
        <v>25</v>
      </c>
      <c r="B361" t="s">
        <v>214</v>
      </c>
      <c r="C361" s="26" t="s">
        <v>238</v>
      </c>
      <c r="D361" s="26" t="s">
        <v>238</v>
      </c>
      <c r="E361">
        <v>0</v>
      </c>
    </row>
    <row r="362" spans="1:5" x14ac:dyDescent="0.25">
      <c r="A362" t="s">
        <v>45</v>
      </c>
      <c r="B362" t="s">
        <v>144</v>
      </c>
      <c r="C362" s="26" t="s">
        <v>240</v>
      </c>
      <c r="D362" s="26" t="s">
        <v>240</v>
      </c>
      <c r="E362">
        <v>0</v>
      </c>
    </row>
    <row r="363" spans="1:5" x14ac:dyDescent="0.25">
      <c r="A363" t="s">
        <v>10</v>
      </c>
      <c r="B363" t="s">
        <v>200</v>
      </c>
      <c r="C363" s="26" t="s">
        <v>241</v>
      </c>
      <c r="D363" s="26" t="s">
        <v>241</v>
      </c>
      <c r="E363">
        <v>0</v>
      </c>
    </row>
    <row r="364" spans="1:5" x14ac:dyDescent="0.25">
      <c r="A364" t="s">
        <v>5</v>
      </c>
      <c r="B364" t="s">
        <v>63</v>
      </c>
      <c r="C364" s="26" t="s">
        <v>241</v>
      </c>
      <c r="D364" s="26" t="s">
        <v>241</v>
      </c>
      <c r="E364">
        <v>0</v>
      </c>
    </row>
    <row r="365" spans="1:5" x14ac:dyDescent="0.25">
      <c r="A365" t="s">
        <v>47</v>
      </c>
      <c r="B365" t="s">
        <v>242</v>
      </c>
      <c r="C365" s="26" t="s">
        <v>241</v>
      </c>
      <c r="D365" s="26" t="s">
        <v>241</v>
      </c>
      <c r="E365">
        <v>0</v>
      </c>
    </row>
    <row r="366" spans="1:5" x14ac:dyDescent="0.25">
      <c r="A366" t="s">
        <v>25</v>
      </c>
      <c r="B366" t="s">
        <v>243</v>
      </c>
      <c r="C366" s="26" t="s">
        <v>241</v>
      </c>
      <c r="D366" s="26" t="s">
        <v>241</v>
      </c>
      <c r="E366">
        <v>0</v>
      </c>
    </row>
    <row r="367" spans="1:5" x14ac:dyDescent="0.25">
      <c r="A367" t="s">
        <v>13</v>
      </c>
      <c r="B367" t="s">
        <v>92</v>
      </c>
      <c r="C367" s="26" t="s">
        <v>244</v>
      </c>
      <c r="D367" s="26" t="s">
        <v>244</v>
      </c>
      <c r="E367">
        <v>0</v>
      </c>
    </row>
    <row r="368" spans="1:5" x14ac:dyDescent="0.25">
      <c r="A368" t="s">
        <v>8</v>
      </c>
      <c r="B368" t="s">
        <v>81</v>
      </c>
      <c r="C368" s="26" t="s">
        <v>244</v>
      </c>
      <c r="D368" s="26" t="s">
        <v>244</v>
      </c>
      <c r="E368">
        <v>0</v>
      </c>
    </row>
    <row r="369" spans="1:5" x14ac:dyDescent="0.25">
      <c r="A369" t="s">
        <v>47</v>
      </c>
      <c r="B369" t="s">
        <v>173</v>
      </c>
      <c r="C369" s="26" t="s">
        <v>245</v>
      </c>
      <c r="D369" s="26" t="s">
        <v>245</v>
      </c>
      <c r="E369">
        <v>0</v>
      </c>
    </row>
    <row r="370" spans="1:5" x14ac:dyDescent="0.25">
      <c r="A370" t="s">
        <v>25</v>
      </c>
      <c r="B370" t="s">
        <v>99</v>
      </c>
      <c r="C370" s="26" t="s">
        <v>245</v>
      </c>
      <c r="D370" s="26" t="s">
        <v>245</v>
      </c>
      <c r="E370">
        <v>0</v>
      </c>
    </row>
    <row r="371" spans="1:5" x14ac:dyDescent="0.25">
      <c r="A371" t="s">
        <v>16</v>
      </c>
      <c r="B371" t="s">
        <v>67</v>
      </c>
      <c r="C371" s="26" t="s">
        <v>246</v>
      </c>
      <c r="D371" s="26" t="s">
        <v>246</v>
      </c>
      <c r="E371">
        <v>0</v>
      </c>
    </row>
    <row r="372" spans="1:5" x14ac:dyDescent="0.25">
      <c r="A372" t="s">
        <v>30</v>
      </c>
      <c r="B372" t="s">
        <v>247</v>
      </c>
      <c r="C372" s="26" t="s">
        <v>246</v>
      </c>
      <c r="D372" s="26" t="s">
        <v>246</v>
      </c>
      <c r="E372">
        <v>0</v>
      </c>
    </row>
    <row r="373" spans="1:5" x14ac:dyDescent="0.25">
      <c r="A373" t="s">
        <v>30</v>
      </c>
      <c r="B373" t="s">
        <v>248</v>
      </c>
      <c r="C373" s="26" t="s">
        <v>246</v>
      </c>
      <c r="D373" s="26" t="s">
        <v>246</v>
      </c>
      <c r="E373">
        <v>0</v>
      </c>
    </row>
    <row r="374" spans="1:5" x14ac:dyDescent="0.25">
      <c r="A374" t="s">
        <v>13</v>
      </c>
      <c r="B374" t="s">
        <v>89</v>
      </c>
      <c r="C374" s="26" t="s">
        <v>246</v>
      </c>
      <c r="D374" s="26" t="s">
        <v>246</v>
      </c>
      <c r="E374">
        <v>0</v>
      </c>
    </row>
    <row r="375" spans="1:5" x14ac:dyDescent="0.25">
      <c r="A375" t="s">
        <v>18</v>
      </c>
      <c r="B375" t="s">
        <v>249</v>
      </c>
      <c r="C375" s="26" t="s">
        <v>246</v>
      </c>
      <c r="D375" s="26" t="s">
        <v>246</v>
      </c>
      <c r="E375">
        <v>0</v>
      </c>
    </row>
    <row r="376" spans="1:5" x14ac:dyDescent="0.25">
      <c r="A376" t="s">
        <v>45</v>
      </c>
      <c r="B376" t="s">
        <v>61</v>
      </c>
      <c r="C376" s="26" t="s">
        <v>246</v>
      </c>
      <c r="D376" s="26" t="s">
        <v>246</v>
      </c>
      <c r="E376">
        <v>0</v>
      </c>
    </row>
    <row r="377" spans="1:5" x14ac:dyDescent="0.25">
      <c r="A377" t="s">
        <v>10</v>
      </c>
      <c r="B377" t="s">
        <v>129</v>
      </c>
      <c r="C377" s="26" t="s">
        <v>246</v>
      </c>
      <c r="D377" s="26" t="s">
        <v>246</v>
      </c>
      <c r="E377">
        <v>0</v>
      </c>
    </row>
    <row r="378" spans="1:5" x14ac:dyDescent="0.25">
      <c r="A378" t="s">
        <v>16</v>
      </c>
      <c r="B378" t="s">
        <v>130</v>
      </c>
      <c r="C378" s="26" t="s">
        <v>246</v>
      </c>
      <c r="D378" s="26" t="s">
        <v>246</v>
      </c>
      <c r="E378">
        <v>0</v>
      </c>
    </row>
    <row r="379" spans="1:5" x14ac:dyDescent="0.25">
      <c r="A379" t="s">
        <v>25</v>
      </c>
      <c r="B379" t="s">
        <v>181</v>
      </c>
      <c r="C379" s="26" t="s">
        <v>246</v>
      </c>
      <c r="D379" s="26" t="s">
        <v>246</v>
      </c>
      <c r="E379">
        <v>0</v>
      </c>
    </row>
    <row r="380" spans="1:5" x14ac:dyDescent="0.25">
      <c r="A380" t="s">
        <v>45</v>
      </c>
      <c r="B380" t="s">
        <v>101</v>
      </c>
      <c r="C380" s="26" t="s">
        <v>250</v>
      </c>
      <c r="D380" s="26" t="s">
        <v>250</v>
      </c>
      <c r="E380">
        <v>0</v>
      </c>
    </row>
    <row r="381" spans="1:5" x14ac:dyDescent="0.25">
      <c r="A381" t="s">
        <v>38</v>
      </c>
      <c r="B381" t="s">
        <v>64</v>
      </c>
      <c r="C381" s="26" t="s">
        <v>250</v>
      </c>
      <c r="D381" s="26" t="s">
        <v>250</v>
      </c>
      <c r="E381">
        <v>0</v>
      </c>
    </row>
    <row r="382" spans="1:5" x14ac:dyDescent="0.25">
      <c r="A382" t="s">
        <v>10</v>
      </c>
      <c r="B382" t="s">
        <v>136</v>
      </c>
      <c r="C382" s="26" t="s">
        <v>251</v>
      </c>
      <c r="D382" s="26" t="s">
        <v>251</v>
      </c>
      <c r="E382">
        <v>0</v>
      </c>
    </row>
    <row r="383" spans="1:5" x14ac:dyDescent="0.25">
      <c r="A383" t="s">
        <v>30</v>
      </c>
      <c r="B383" t="s">
        <v>252</v>
      </c>
      <c r="C383" s="26" t="s">
        <v>253</v>
      </c>
      <c r="D383" s="26" t="s">
        <v>253</v>
      </c>
      <c r="E383">
        <v>0</v>
      </c>
    </row>
    <row r="384" spans="1:5" x14ac:dyDescent="0.25">
      <c r="A384" t="s">
        <v>27</v>
      </c>
      <c r="B384" t="s">
        <v>223</v>
      </c>
      <c r="C384" s="26" t="s">
        <v>255</v>
      </c>
      <c r="D384" s="26" t="s">
        <v>255</v>
      </c>
      <c r="E384">
        <v>0</v>
      </c>
    </row>
    <row r="385" spans="1:5" x14ac:dyDescent="0.25">
      <c r="A385" t="s">
        <v>25</v>
      </c>
      <c r="B385" t="s">
        <v>256</v>
      </c>
      <c r="C385" s="26" t="s">
        <v>255</v>
      </c>
      <c r="D385" s="26" t="s">
        <v>255</v>
      </c>
      <c r="E385">
        <v>0</v>
      </c>
    </row>
    <row r="386" spans="1:5" x14ac:dyDescent="0.25">
      <c r="A386" t="s">
        <v>30</v>
      </c>
      <c r="B386" t="s">
        <v>223</v>
      </c>
      <c r="C386" s="26" t="s">
        <v>257</v>
      </c>
      <c r="D386" s="26" t="s">
        <v>257</v>
      </c>
      <c r="E386">
        <v>0</v>
      </c>
    </row>
    <row r="387" spans="1:5" x14ac:dyDescent="0.25">
      <c r="A387" t="s">
        <v>38</v>
      </c>
      <c r="B387" t="s">
        <v>66</v>
      </c>
      <c r="C387" s="26" t="s">
        <v>257</v>
      </c>
      <c r="D387" s="26" t="s">
        <v>257</v>
      </c>
      <c r="E387">
        <v>0</v>
      </c>
    </row>
    <row r="388" spans="1:5" x14ac:dyDescent="0.25">
      <c r="A388" t="s">
        <v>5</v>
      </c>
      <c r="B388" t="s">
        <v>31</v>
      </c>
      <c r="C388" s="26" t="s">
        <v>259</v>
      </c>
      <c r="D388" s="26" t="s">
        <v>259</v>
      </c>
      <c r="E388">
        <v>0</v>
      </c>
    </row>
    <row r="389" spans="1:5" x14ac:dyDescent="0.25">
      <c r="A389" t="s">
        <v>27</v>
      </c>
      <c r="B389" t="s">
        <v>20</v>
      </c>
      <c r="C389" s="26" t="s">
        <v>260</v>
      </c>
      <c r="D389" s="26" t="s">
        <v>260</v>
      </c>
      <c r="E389">
        <v>0</v>
      </c>
    </row>
    <row r="390" spans="1:5" x14ac:dyDescent="0.25">
      <c r="A390" t="s">
        <v>47</v>
      </c>
      <c r="B390" t="s">
        <v>55</v>
      </c>
      <c r="C390" s="26" t="s">
        <v>261</v>
      </c>
      <c r="D390" s="26" t="s">
        <v>261</v>
      </c>
      <c r="E390">
        <v>0</v>
      </c>
    </row>
    <row r="391" spans="1:5" x14ac:dyDescent="0.25">
      <c r="A391" t="s">
        <v>5</v>
      </c>
      <c r="B391" t="s">
        <v>69</v>
      </c>
      <c r="C391" s="26" t="s">
        <v>261</v>
      </c>
      <c r="D391" s="26" t="s">
        <v>261</v>
      </c>
      <c r="E391">
        <v>0</v>
      </c>
    </row>
    <row r="392" spans="1:5" x14ac:dyDescent="0.25">
      <c r="A392" t="s">
        <v>47</v>
      </c>
      <c r="B392" t="s">
        <v>35</v>
      </c>
      <c r="C392" s="26" t="s">
        <v>261</v>
      </c>
      <c r="D392" s="26" t="s">
        <v>261</v>
      </c>
      <c r="E392">
        <v>0</v>
      </c>
    </row>
    <row r="393" spans="1:5" x14ac:dyDescent="0.25">
      <c r="A393" t="s">
        <v>8</v>
      </c>
      <c r="B393" t="s">
        <v>67</v>
      </c>
      <c r="C393" s="26" t="s">
        <v>261</v>
      </c>
      <c r="D393" s="26" t="s">
        <v>261</v>
      </c>
      <c r="E393">
        <v>0</v>
      </c>
    </row>
    <row r="394" spans="1:5" x14ac:dyDescent="0.25">
      <c r="A394" t="s">
        <v>45</v>
      </c>
      <c r="B394" t="s">
        <v>51</v>
      </c>
      <c r="C394" s="26" t="s">
        <v>262</v>
      </c>
      <c r="D394" s="26" t="s">
        <v>262</v>
      </c>
      <c r="E394">
        <v>0</v>
      </c>
    </row>
    <row r="395" spans="1:5" x14ac:dyDescent="0.25">
      <c r="A395" t="s">
        <v>25</v>
      </c>
      <c r="B395" t="s">
        <v>64</v>
      </c>
      <c r="C395" s="26" t="s">
        <v>263</v>
      </c>
      <c r="D395" s="26" t="s">
        <v>263</v>
      </c>
      <c r="E395">
        <v>0</v>
      </c>
    </row>
    <row r="396" spans="1:5" x14ac:dyDescent="0.25">
      <c r="A396" t="s">
        <v>45</v>
      </c>
      <c r="B396" t="s">
        <v>265</v>
      </c>
      <c r="C396" s="26" t="s">
        <v>266</v>
      </c>
      <c r="D396" s="26" t="s">
        <v>266</v>
      </c>
      <c r="E396">
        <v>0</v>
      </c>
    </row>
    <row r="397" spans="1:5" x14ac:dyDescent="0.25">
      <c r="A397" t="s">
        <v>47</v>
      </c>
      <c r="B397" t="s">
        <v>267</v>
      </c>
      <c r="C397" s="26" t="s">
        <v>268</v>
      </c>
      <c r="D397" s="26" t="s">
        <v>268</v>
      </c>
      <c r="E397">
        <v>0</v>
      </c>
    </row>
    <row r="398" spans="1:5" x14ac:dyDescent="0.25">
      <c r="A398" t="s">
        <v>8</v>
      </c>
      <c r="B398" t="s">
        <v>269</v>
      </c>
      <c r="C398" s="26" t="s">
        <v>268</v>
      </c>
      <c r="D398" s="26" t="s">
        <v>268</v>
      </c>
      <c r="E398">
        <v>0</v>
      </c>
    </row>
    <row r="399" spans="1:5" x14ac:dyDescent="0.25">
      <c r="A399" t="s">
        <v>30</v>
      </c>
      <c r="B399" t="s">
        <v>270</v>
      </c>
      <c r="C399" s="26" t="s">
        <v>271</v>
      </c>
      <c r="D399" s="26" t="s">
        <v>271</v>
      </c>
      <c r="E399">
        <v>0</v>
      </c>
    </row>
    <row r="400" spans="1:5" x14ac:dyDescent="0.25">
      <c r="A400" t="s">
        <v>18</v>
      </c>
      <c r="B400" t="s">
        <v>272</v>
      </c>
      <c r="C400" s="26" t="s">
        <v>271</v>
      </c>
      <c r="D400" s="26" t="s">
        <v>271</v>
      </c>
      <c r="E400">
        <v>0</v>
      </c>
    </row>
    <row r="401" spans="1:5" x14ac:dyDescent="0.25">
      <c r="A401" t="s">
        <v>30</v>
      </c>
      <c r="B401" t="s">
        <v>227</v>
      </c>
      <c r="C401" s="26" t="s">
        <v>271</v>
      </c>
      <c r="D401" s="26" t="s">
        <v>271</v>
      </c>
      <c r="E401">
        <v>0</v>
      </c>
    </row>
    <row r="402" spans="1:5" x14ac:dyDescent="0.25">
      <c r="A402" t="s">
        <v>38</v>
      </c>
      <c r="B402" t="s">
        <v>50</v>
      </c>
      <c r="C402" s="26" t="s">
        <v>271</v>
      </c>
      <c r="D402" s="26" t="s">
        <v>271</v>
      </c>
      <c r="E402">
        <v>0</v>
      </c>
    </row>
    <row r="403" spans="1:5" x14ac:dyDescent="0.25">
      <c r="A403" t="s">
        <v>47</v>
      </c>
      <c r="B403" t="s">
        <v>39</v>
      </c>
      <c r="C403" s="26" t="s">
        <v>271</v>
      </c>
      <c r="D403" s="26" t="s">
        <v>271</v>
      </c>
      <c r="E403">
        <v>0</v>
      </c>
    </row>
    <row r="404" spans="1:5" x14ac:dyDescent="0.25">
      <c r="A404" t="s">
        <v>5</v>
      </c>
      <c r="B404" t="s">
        <v>52</v>
      </c>
      <c r="C404" s="26" t="s">
        <v>273</v>
      </c>
      <c r="D404" s="26" t="s">
        <v>273</v>
      </c>
      <c r="E404">
        <v>0</v>
      </c>
    </row>
    <row r="405" spans="1:5" x14ac:dyDescent="0.25">
      <c r="A405" t="s">
        <v>47</v>
      </c>
      <c r="B405" t="s">
        <v>188</v>
      </c>
      <c r="C405" s="26" t="s">
        <v>273</v>
      </c>
      <c r="D405" s="26" t="s">
        <v>273</v>
      </c>
      <c r="E405">
        <v>0</v>
      </c>
    </row>
    <row r="406" spans="1:5" x14ac:dyDescent="0.25">
      <c r="A406" t="s">
        <v>13</v>
      </c>
      <c r="B406" t="s">
        <v>133</v>
      </c>
      <c r="C406" s="26" t="s">
        <v>274</v>
      </c>
      <c r="D406" s="26" t="s">
        <v>274</v>
      </c>
      <c r="E406">
        <v>0</v>
      </c>
    </row>
    <row r="407" spans="1:5" x14ac:dyDescent="0.25">
      <c r="A407" t="s">
        <v>25</v>
      </c>
      <c r="B407" t="s">
        <v>28</v>
      </c>
      <c r="C407" s="26" t="s">
        <v>275</v>
      </c>
      <c r="D407" s="26" t="s">
        <v>275</v>
      </c>
      <c r="E407">
        <v>0</v>
      </c>
    </row>
    <row r="408" spans="1:5" x14ac:dyDescent="0.25">
      <c r="A408" t="s">
        <v>25</v>
      </c>
      <c r="B408" t="s">
        <v>217</v>
      </c>
      <c r="C408" s="26" t="s">
        <v>275</v>
      </c>
      <c r="D408" s="26" t="s">
        <v>275</v>
      </c>
      <c r="E408">
        <v>0</v>
      </c>
    </row>
    <row r="409" spans="1:5" x14ac:dyDescent="0.25">
      <c r="A409" t="s">
        <v>18</v>
      </c>
      <c r="B409" t="s">
        <v>26</v>
      </c>
      <c r="C409" s="26" t="s">
        <v>276</v>
      </c>
      <c r="D409" s="26" t="s">
        <v>276</v>
      </c>
      <c r="E409">
        <v>0</v>
      </c>
    </row>
    <row r="410" spans="1:5" x14ac:dyDescent="0.25">
      <c r="A410" t="s">
        <v>10</v>
      </c>
      <c r="B410" t="s">
        <v>162</v>
      </c>
      <c r="C410" s="26" t="s">
        <v>276</v>
      </c>
      <c r="D410" s="26" t="s">
        <v>276</v>
      </c>
      <c r="E410">
        <v>0</v>
      </c>
    </row>
    <row r="411" spans="1:5" x14ac:dyDescent="0.25">
      <c r="A411" t="s">
        <v>13</v>
      </c>
      <c r="B411" t="s">
        <v>146</v>
      </c>
      <c r="C411" s="26" t="s">
        <v>276</v>
      </c>
      <c r="D411" s="26" t="s">
        <v>276</v>
      </c>
      <c r="E411">
        <v>0</v>
      </c>
    </row>
    <row r="412" spans="1:5" x14ac:dyDescent="0.25">
      <c r="A412" t="s">
        <v>13</v>
      </c>
      <c r="B412" t="s">
        <v>156</v>
      </c>
      <c r="C412" s="26" t="s">
        <v>277</v>
      </c>
      <c r="D412" s="26" t="s">
        <v>277</v>
      </c>
      <c r="E412">
        <v>0</v>
      </c>
    </row>
    <row r="413" spans="1:5" x14ac:dyDescent="0.25">
      <c r="A413" t="s">
        <v>30</v>
      </c>
      <c r="B413" t="s">
        <v>187</v>
      </c>
      <c r="C413" s="26" t="s">
        <v>277</v>
      </c>
      <c r="D413" s="26" t="s">
        <v>277</v>
      </c>
      <c r="E413">
        <v>0</v>
      </c>
    </row>
    <row r="414" spans="1:5" x14ac:dyDescent="0.25">
      <c r="A414" t="s">
        <v>13</v>
      </c>
      <c r="B414" t="s">
        <v>186</v>
      </c>
      <c r="C414" s="26" t="s">
        <v>277</v>
      </c>
      <c r="D414" s="26" t="s">
        <v>277</v>
      </c>
      <c r="E414">
        <v>0</v>
      </c>
    </row>
    <row r="415" spans="1:5" x14ac:dyDescent="0.25">
      <c r="A415" t="s">
        <v>10</v>
      </c>
      <c r="B415" t="s">
        <v>239</v>
      </c>
      <c r="C415" s="26" t="s">
        <v>277</v>
      </c>
      <c r="D415" s="26" t="s">
        <v>277</v>
      </c>
      <c r="E415">
        <v>0</v>
      </c>
    </row>
    <row r="416" spans="1:5" x14ac:dyDescent="0.25">
      <c r="A416" t="s">
        <v>10</v>
      </c>
      <c r="B416" t="s">
        <v>173</v>
      </c>
      <c r="C416" s="26" t="s">
        <v>278</v>
      </c>
      <c r="D416" s="26" t="s">
        <v>278</v>
      </c>
      <c r="E416">
        <v>0</v>
      </c>
    </row>
    <row r="417" spans="1:5" x14ac:dyDescent="0.25">
      <c r="A417" t="s">
        <v>10</v>
      </c>
      <c r="B417" t="s">
        <v>126</v>
      </c>
      <c r="C417" s="26" t="s">
        <v>278</v>
      </c>
      <c r="D417" s="26" t="s">
        <v>278</v>
      </c>
      <c r="E417">
        <v>0</v>
      </c>
    </row>
    <row r="418" spans="1:5" x14ac:dyDescent="0.25">
      <c r="A418" t="s">
        <v>16</v>
      </c>
      <c r="B418" t="s">
        <v>205</v>
      </c>
      <c r="C418" s="26" t="s">
        <v>278</v>
      </c>
      <c r="D418" s="26" t="s">
        <v>278</v>
      </c>
      <c r="E418">
        <v>0</v>
      </c>
    </row>
    <row r="419" spans="1:5" x14ac:dyDescent="0.25">
      <c r="A419" t="s">
        <v>10</v>
      </c>
      <c r="B419" t="s">
        <v>67</v>
      </c>
      <c r="C419" s="26" t="s">
        <v>281</v>
      </c>
      <c r="D419" s="26" t="s">
        <v>281</v>
      </c>
      <c r="E419">
        <v>0</v>
      </c>
    </row>
    <row r="420" spans="1:5" x14ac:dyDescent="0.25">
      <c r="A420" t="s">
        <v>45</v>
      </c>
      <c r="B420" t="s">
        <v>196</v>
      </c>
      <c r="C420" s="26" t="s">
        <v>281</v>
      </c>
      <c r="D420" s="26" t="s">
        <v>281</v>
      </c>
      <c r="E420">
        <v>0</v>
      </c>
    </row>
    <row r="421" spans="1:5" x14ac:dyDescent="0.25">
      <c r="A421" t="s">
        <v>25</v>
      </c>
      <c r="B421" t="s">
        <v>215</v>
      </c>
      <c r="C421" s="26" t="s">
        <v>282</v>
      </c>
      <c r="D421" s="26" t="s">
        <v>282</v>
      </c>
      <c r="E421">
        <v>0</v>
      </c>
    </row>
    <row r="422" spans="1:5" x14ac:dyDescent="0.25">
      <c r="A422" t="s">
        <v>10</v>
      </c>
      <c r="B422" t="s">
        <v>74</v>
      </c>
      <c r="C422" s="26" t="s">
        <v>282</v>
      </c>
      <c r="D422" s="26" t="s">
        <v>282</v>
      </c>
      <c r="E422">
        <v>0</v>
      </c>
    </row>
    <row r="423" spans="1:5" x14ac:dyDescent="0.25">
      <c r="A423" t="s">
        <v>38</v>
      </c>
      <c r="B423" t="s">
        <v>125</v>
      </c>
      <c r="C423" s="26" t="s">
        <v>282</v>
      </c>
      <c r="D423" s="26" t="s">
        <v>282</v>
      </c>
      <c r="E423">
        <v>0</v>
      </c>
    </row>
    <row r="424" spans="1:5" x14ac:dyDescent="0.25">
      <c r="A424" t="s">
        <v>38</v>
      </c>
      <c r="B424" t="s">
        <v>73</v>
      </c>
      <c r="C424" s="26" t="s">
        <v>283</v>
      </c>
      <c r="D424" s="26" t="s">
        <v>283</v>
      </c>
      <c r="E424">
        <v>0</v>
      </c>
    </row>
    <row r="425" spans="1:5" x14ac:dyDescent="0.25">
      <c r="A425" t="s">
        <v>8</v>
      </c>
      <c r="B425" t="s">
        <v>66</v>
      </c>
      <c r="C425" s="26" t="s">
        <v>283</v>
      </c>
      <c r="D425" s="26" t="s">
        <v>283</v>
      </c>
      <c r="E425">
        <v>0</v>
      </c>
    </row>
    <row r="426" spans="1:5" x14ac:dyDescent="0.25">
      <c r="A426" t="s">
        <v>25</v>
      </c>
      <c r="B426" t="s">
        <v>202</v>
      </c>
      <c r="C426" s="26" t="s">
        <v>284</v>
      </c>
      <c r="D426" s="26" t="s">
        <v>284</v>
      </c>
      <c r="E426">
        <v>0</v>
      </c>
    </row>
    <row r="427" spans="1:5" x14ac:dyDescent="0.25">
      <c r="A427" t="s">
        <v>8</v>
      </c>
      <c r="B427" t="s">
        <v>49</v>
      </c>
      <c r="C427" s="26" t="s">
        <v>285</v>
      </c>
      <c r="D427" s="26" t="s">
        <v>285</v>
      </c>
      <c r="E427">
        <v>0</v>
      </c>
    </row>
    <row r="428" spans="1:5" x14ac:dyDescent="0.25">
      <c r="A428" t="s">
        <v>5</v>
      </c>
      <c r="B428" t="s">
        <v>226</v>
      </c>
      <c r="C428" s="26" t="s">
        <v>285</v>
      </c>
      <c r="D428" s="26" t="s">
        <v>285</v>
      </c>
      <c r="E428">
        <v>0</v>
      </c>
    </row>
    <row r="429" spans="1:5" x14ac:dyDescent="0.25">
      <c r="A429" t="s">
        <v>10</v>
      </c>
      <c r="B429" t="s">
        <v>106</v>
      </c>
      <c r="C429" s="26" t="s">
        <v>286</v>
      </c>
      <c r="D429" s="26" t="s">
        <v>286</v>
      </c>
      <c r="E429">
        <v>0</v>
      </c>
    </row>
    <row r="430" spans="1:5" x14ac:dyDescent="0.25">
      <c r="A430" t="s">
        <v>18</v>
      </c>
      <c r="B430" t="s">
        <v>289</v>
      </c>
      <c r="C430" s="26" t="s">
        <v>288</v>
      </c>
      <c r="D430" s="26" t="s">
        <v>288</v>
      </c>
      <c r="E430">
        <v>0</v>
      </c>
    </row>
    <row r="431" spans="1:5" x14ac:dyDescent="0.25">
      <c r="A431" t="s">
        <v>8</v>
      </c>
      <c r="B431" t="s">
        <v>20</v>
      </c>
      <c r="C431" s="26" t="s">
        <v>288</v>
      </c>
      <c r="D431" s="26" t="s">
        <v>288</v>
      </c>
      <c r="E431">
        <v>0</v>
      </c>
    </row>
    <row r="432" spans="1:5" x14ac:dyDescent="0.25">
      <c r="A432" t="s">
        <v>47</v>
      </c>
      <c r="B432" t="s">
        <v>212</v>
      </c>
      <c r="C432" s="26" t="s">
        <v>288</v>
      </c>
      <c r="D432" s="26" t="s">
        <v>288</v>
      </c>
      <c r="E432">
        <v>0</v>
      </c>
    </row>
    <row r="433" spans="1:5" x14ac:dyDescent="0.25">
      <c r="A433" t="s">
        <v>8</v>
      </c>
      <c r="B433" t="s">
        <v>144</v>
      </c>
      <c r="C433" s="26" t="s">
        <v>290</v>
      </c>
      <c r="D433" s="26" t="s">
        <v>290</v>
      </c>
      <c r="E433">
        <v>0</v>
      </c>
    </row>
    <row r="434" spans="1:5" x14ac:dyDescent="0.25">
      <c r="A434" t="s">
        <v>47</v>
      </c>
      <c r="B434" t="s">
        <v>91</v>
      </c>
      <c r="C434" s="26" t="s">
        <v>290</v>
      </c>
      <c r="D434" s="26" t="s">
        <v>290</v>
      </c>
      <c r="E434">
        <v>0</v>
      </c>
    </row>
    <row r="435" spans="1:5" x14ac:dyDescent="0.25">
      <c r="A435" t="s">
        <v>10</v>
      </c>
      <c r="B435" t="s">
        <v>142</v>
      </c>
      <c r="C435" s="26" t="s">
        <v>290</v>
      </c>
      <c r="D435" s="26" t="s">
        <v>290</v>
      </c>
      <c r="E435">
        <v>0</v>
      </c>
    </row>
    <row r="436" spans="1:5" x14ac:dyDescent="0.25">
      <c r="A436" t="s">
        <v>27</v>
      </c>
      <c r="B436" t="s">
        <v>130</v>
      </c>
      <c r="C436" s="26" t="s">
        <v>291</v>
      </c>
      <c r="D436" s="26" t="s">
        <v>291</v>
      </c>
      <c r="E436">
        <v>0</v>
      </c>
    </row>
    <row r="437" spans="1:5" x14ac:dyDescent="0.25">
      <c r="A437" t="s">
        <v>8</v>
      </c>
      <c r="B437" t="s">
        <v>121</v>
      </c>
      <c r="C437" s="26" t="s">
        <v>291</v>
      </c>
      <c r="D437" s="26" t="s">
        <v>291</v>
      </c>
      <c r="E437">
        <v>0</v>
      </c>
    </row>
    <row r="438" spans="1:5" x14ac:dyDescent="0.25">
      <c r="A438" t="s">
        <v>38</v>
      </c>
      <c r="B438" t="s">
        <v>248</v>
      </c>
      <c r="C438" s="26" t="s">
        <v>291</v>
      </c>
      <c r="D438" s="26" t="s">
        <v>291</v>
      </c>
      <c r="E438">
        <v>0</v>
      </c>
    </row>
    <row r="439" spans="1:5" x14ac:dyDescent="0.25">
      <c r="A439" t="s">
        <v>10</v>
      </c>
      <c r="B439" t="s">
        <v>217</v>
      </c>
      <c r="C439" s="26" t="s">
        <v>292</v>
      </c>
      <c r="D439" s="26" t="s">
        <v>292</v>
      </c>
      <c r="E439">
        <v>0</v>
      </c>
    </row>
    <row r="440" spans="1:5" x14ac:dyDescent="0.25">
      <c r="A440" t="s">
        <v>45</v>
      </c>
      <c r="B440" t="s">
        <v>293</v>
      </c>
      <c r="C440" s="26" t="s">
        <v>292</v>
      </c>
      <c r="D440" s="26" t="s">
        <v>292</v>
      </c>
      <c r="E440">
        <v>0</v>
      </c>
    </row>
    <row r="441" spans="1:5" x14ac:dyDescent="0.25">
      <c r="A441" t="s">
        <v>16</v>
      </c>
      <c r="B441" t="s">
        <v>122</v>
      </c>
      <c r="C441" s="26" t="s">
        <v>292</v>
      </c>
      <c r="D441" s="26" t="s">
        <v>292</v>
      </c>
      <c r="E441">
        <v>0</v>
      </c>
    </row>
    <row r="442" spans="1:5" x14ac:dyDescent="0.25">
      <c r="A442" t="s">
        <v>47</v>
      </c>
      <c r="B442" t="s">
        <v>227</v>
      </c>
      <c r="C442" s="26" t="s">
        <v>294</v>
      </c>
      <c r="D442" s="26" t="s">
        <v>294</v>
      </c>
      <c r="E442">
        <v>0</v>
      </c>
    </row>
    <row r="443" spans="1:5" x14ac:dyDescent="0.25">
      <c r="A443" t="s">
        <v>10</v>
      </c>
      <c r="B443" t="s">
        <v>295</v>
      </c>
      <c r="C443" s="26" t="s">
        <v>294</v>
      </c>
      <c r="D443" s="26" t="s">
        <v>294</v>
      </c>
      <c r="E443">
        <v>0</v>
      </c>
    </row>
    <row r="444" spans="1:5" x14ac:dyDescent="0.25">
      <c r="A444" t="s">
        <v>18</v>
      </c>
      <c r="B444" t="s">
        <v>296</v>
      </c>
      <c r="C444" s="26" t="s">
        <v>294</v>
      </c>
      <c r="D444" s="26" t="s">
        <v>294</v>
      </c>
      <c r="E444">
        <v>0</v>
      </c>
    </row>
    <row r="445" spans="1:5" x14ac:dyDescent="0.25">
      <c r="A445" t="s">
        <v>8</v>
      </c>
      <c r="B445" t="s">
        <v>226</v>
      </c>
      <c r="C445" s="26" t="s">
        <v>297</v>
      </c>
      <c r="D445" s="26" t="s">
        <v>297</v>
      </c>
      <c r="E445">
        <v>0</v>
      </c>
    </row>
    <row r="446" spans="1:5" x14ac:dyDescent="0.25">
      <c r="A446" t="s">
        <v>10</v>
      </c>
      <c r="B446" t="s">
        <v>149</v>
      </c>
      <c r="C446" s="26" t="s">
        <v>297</v>
      </c>
      <c r="D446" s="26" t="s">
        <v>297</v>
      </c>
      <c r="E446">
        <v>0</v>
      </c>
    </row>
    <row r="447" spans="1:5" x14ac:dyDescent="0.25">
      <c r="A447" t="s">
        <v>30</v>
      </c>
      <c r="B447" t="s">
        <v>289</v>
      </c>
      <c r="C447" s="26" t="s">
        <v>297</v>
      </c>
      <c r="D447" s="26" t="s">
        <v>297</v>
      </c>
      <c r="E447">
        <v>0</v>
      </c>
    </row>
    <row r="448" spans="1:5" x14ac:dyDescent="0.25">
      <c r="A448" t="s">
        <v>10</v>
      </c>
      <c r="B448" t="s">
        <v>298</v>
      </c>
      <c r="C448" s="26" t="s">
        <v>297</v>
      </c>
      <c r="D448" s="26" t="s">
        <v>297</v>
      </c>
      <c r="E448">
        <v>0</v>
      </c>
    </row>
    <row r="449" spans="1:5" x14ac:dyDescent="0.25">
      <c r="A449" t="s">
        <v>18</v>
      </c>
      <c r="B449" t="s">
        <v>299</v>
      </c>
      <c r="C449" s="26" t="s">
        <v>297</v>
      </c>
      <c r="D449" s="26" t="s">
        <v>297</v>
      </c>
      <c r="E449">
        <v>0</v>
      </c>
    </row>
    <row r="450" spans="1:5" x14ac:dyDescent="0.25">
      <c r="A450" t="s">
        <v>16</v>
      </c>
      <c r="B450" t="s">
        <v>300</v>
      </c>
      <c r="C450" s="26" t="s">
        <v>297</v>
      </c>
      <c r="D450" s="26" t="s">
        <v>297</v>
      </c>
      <c r="E450">
        <v>0</v>
      </c>
    </row>
    <row r="451" spans="1:5" x14ac:dyDescent="0.25">
      <c r="A451" t="s">
        <v>30</v>
      </c>
      <c r="B451" t="s">
        <v>190</v>
      </c>
      <c r="C451" s="26" t="s">
        <v>301</v>
      </c>
      <c r="D451" s="26" t="s">
        <v>301</v>
      </c>
      <c r="E451">
        <v>0</v>
      </c>
    </row>
    <row r="452" spans="1:5" x14ac:dyDescent="0.25">
      <c r="A452" t="s">
        <v>16</v>
      </c>
      <c r="B452" t="s">
        <v>239</v>
      </c>
      <c r="C452" s="26" t="s">
        <v>301</v>
      </c>
      <c r="D452" s="26" t="s">
        <v>301</v>
      </c>
      <c r="E452">
        <v>0</v>
      </c>
    </row>
    <row r="453" spans="1:5" x14ac:dyDescent="0.25">
      <c r="A453" t="s">
        <v>8</v>
      </c>
      <c r="B453" t="s">
        <v>58</v>
      </c>
      <c r="C453" s="26" t="s">
        <v>302</v>
      </c>
      <c r="D453" s="26" t="s">
        <v>302</v>
      </c>
      <c r="E453">
        <v>0</v>
      </c>
    </row>
    <row r="454" spans="1:5" x14ac:dyDescent="0.25">
      <c r="A454" t="s">
        <v>45</v>
      </c>
      <c r="B454" t="s">
        <v>157</v>
      </c>
      <c r="C454" s="26" t="s">
        <v>304</v>
      </c>
      <c r="D454" s="26" t="s">
        <v>304</v>
      </c>
      <c r="E454">
        <v>0</v>
      </c>
    </row>
    <row r="455" spans="1:5" x14ac:dyDescent="0.25">
      <c r="A455" t="s">
        <v>13</v>
      </c>
      <c r="B455" t="s">
        <v>187</v>
      </c>
      <c r="C455" s="26" t="s">
        <v>304</v>
      </c>
      <c r="D455" s="26" t="s">
        <v>304</v>
      </c>
      <c r="E455">
        <v>0</v>
      </c>
    </row>
    <row r="456" spans="1:5" x14ac:dyDescent="0.25">
      <c r="A456" t="s">
        <v>5</v>
      </c>
      <c r="B456" t="s">
        <v>152</v>
      </c>
      <c r="C456" s="26" t="s">
        <v>305</v>
      </c>
      <c r="D456" s="26" t="s">
        <v>305</v>
      </c>
      <c r="E456">
        <v>0</v>
      </c>
    </row>
    <row r="457" spans="1:5" x14ac:dyDescent="0.25">
      <c r="A457" t="s">
        <v>30</v>
      </c>
      <c r="B457" t="s">
        <v>306</v>
      </c>
      <c r="C457" s="26" t="s">
        <v>305</v>
      </c>
      <c r="D457" s="26" t="s">
        <v>305</v>
      </c>
      <c r="E457">
        <v>0</v>
      </c>
    </row>
    <row r="458" spans="1:5" x14ac:dyDescent="0.25">
      <c r="A458" t="s">
        <v>30</v>
      </c>
      <c r="B458" t="s">
        <v>72</v>
      </c>
      <c r="C458" s="26" t="s">
        <v>305</v>
      </c>
      <c r="D458" s="26" t="s">
        <v>305</v>
      </c>
      <c r="E458">
        <v>0</v>
      </c>
    </row>
    <row r="459" spans="1:5" x14ac:dyDescent="0.25">
      <c r="A459" t="s">
        <v>45</v>
      </c>
      <c r="B459" t="s">
        <v>153</v>
      </c>
      <c r="C459" s="26" t="s">
        <v>305</v>
      </c>
      <c r="D459" s="26" t="s">
        <v>305</v>
      </c>
      <c r="E459">
        <v>0</v>
      </c>
    </row>
    <row r="460" spans="1:5" x14ac:dyDescent="0.25">
      <c r="A460" t="s">
        <v>47</v>
      </c>
      <c r="B460" t="s">
        <v>205</v>
      </c>
      <c r="C460" s="26" t="s">
        <v>305</v>
      </c>
      <c r="D460" s="26" t="s">
        <v>305</v>
      </c>
      <c r="E460">
        <v>0</v>
      </c>
    </row>
    <row r="461" spans="1:5" x14ac:dyDescent="0.25">
      <c r="A461" t="s">
        <v>8</v>
      </c>
      <c r="B461" t="s">
        <v>73</v>
      </c>
      <c r="C461" s="26" t="s">
        <v>305</v>
      </c>
      <c r="D461" s="26" t="s">
        <v>305</v>
      </c>
      <c r="E461">
        <v>0</v>
      </c>
    </row>
    <row r="462" spans="1:5" x14ac:dyDescent="0.25">
      <c r="A462" t="s">
        <v>5</v>
      </c>
      <c r="B462" t="s">
        <v>307</v>
      </c>
      <c r="C462" s="26" t="s">
        <v>305</v>
      </c>
      <c r="D462" s="26" t="s">
        <v>305</v>
      </c>
      <c r="E462">
        <v>0</v>
      </c>
    </row>
    <row r="463" spans="1:5" x14ac:dyDescent="0.25">
      <c r="A463" t="s">
        <v>47</v>
      </c>
      <c r="B463" t="s">
        <v>51</v>
      </c>
      <c r="C463" s="26" t="s">
        <v>305</v>
      </c>
      <c r="D463" s="26" t="s">
        <v>305</v>
      </c>
      <c r="E463">
        <v>0</v>
      </c>
    </row>
    <row r="464" spans="1:5" x14ac:dyDescent="0.25">
      <c r="A464" t="s">
        <v>25</v>
      </c>
      <c r="B464" t="s">
        <v>142</v>
      </c>
      <c r="C464" s="26" t="s">
        <v>308</v>
      </c>
      <c r="D464" s="26" t="s">
        <v>308</v>
      </c>
      <c r="E464">
        <v>0</v>
      </c>
    </row>
    <row r="465" spans="1:5" x14ac:dyDescent="0.25">
      <c r="A465" t="s">
        <v>8</v>
      </c>
      <c r="B465" t="s">
        <v>80</v>
      </c>
      <c r="C465" s="26" t="s">
        <v>308</v>
      </c>
      <c r="D465" s="26" t="s">
        <v>308</v>
      </c>
      <c r="E465">
        <v>0</v>
      </c>
    </row>
    <row r="466" spans="1:5" x14ac:dyDescent="0.25">
      <c r="A466" t="s">
        <v>13</v>
      </c>
      <c r="B466" t="s">
        <v>61</v>
      </c>
      <c r="C466" s="26" t="s">
        <v>308</v>
      </c>
      <c r="D466" s="26" t="s">
        <v>308</v>
      </c>
      <c r="E466">
        <v>0</v>
      </c>
    </row>
    <row r="467" spans="1:5" x14ac:dyDescent="0.25">
      <c r="A467" t="s">
        <v>47</v>
      </c>
      <c r="B467" t="s">
        <v>142</v>
      </c>
      <c r="C467" s="26" t="s">
        <v>311</v>
      </c>
      <c r="D467" s="26" t="s">
        <v>311</v>
      </c>
      <c r="E467">
        <v>0</v>
      </c>
    </row>
    <row r="468" spans="1:5" x14ac:dyDescent="0.25">
      <c r="A468" t="s">
        <v>5</v>
      </c>
      <c r="B468" t="s">
        <v>11</v>
      </c>
      <c r="C468" s="26" t="s">
        <v>312</v>
      </c>
      <c r="D468" s="26" t="s">
        <v>312</v>
      </c>
      <c r="E468">
        <v>0</v>
      </c>
    </row>
    <row r="469" spans="1:5" x14ac:dyDescent="0.25">
      <c r="A469" t="s">
        <v>45</v>
      </c>
      <c r="B469" t="s">
        <v>151</v>
      </c>
      <c r="C469" s="26" t="s">
        <v>312</v>
      </c>
      <c r="D469" s="26" t="s">
        <v>312</v>
      </c>
      <c r="E469">
        <v>0</v>
      </c>
    </row>
    <row r="470" spans="1:5" x14ac:dyDescent="0.25">
      <c r="A470" t="s">
        <v>45</v>
      </c>
      <c r="B470" t="s">
        <v>80</v>
      </c>
      <c r="C470" s="26" t="s">
        <v>312</v>
      </c>
      <c r="D470" s="26" t="s">
        <v>312</v>
      </c>
      <c r="E470">
        <v>0</v>
      </c>
    </row>
    <row r="471" spans="1:5" x14ac:dyDescent="0.25">
      <c r="A471" t="s">
        <v>30</v>
      </c>
      <c r="B471" t="s">
        <v>61</v>
      </c>
      <c r="C471" s="26" t="s">
        <v>312</v>
      </c>
      <c r="D471" s="26" t="s">
        <v>312</v>
      </c>
      <c r="E471">
        <v>0</v>
      </c>
    </row>
    <row r="472" spans="1:5" x14ac:dyDescent="0.25">
      <c r="A472" t="s">
        <v>13</v>
      </c>
      <c r="B472" t="s">
        <v>313</v>
      </c>
      <c r="C472" s="26" t="s">
        <v>312</v>
      </c>
      <c r="D472" s="26" t="s">
        <v>312</v>
      </c>
      <c r="E472">
        <v>0</v>
      </c>
    </row>
    <row r="473" spans="1:5" x14ac:dyDescent="0.25">
      <c r="A473" t="s">
        <v>13</v>
      </c>
      <c r="B473" t="s">
        <v>35</v>
      </c>
      <c r="C473" s="26" t="s">
        <v>312</v>
      </c>
      <c r="D473" s="26" t="s">
        <v>312</v>
      </c>
      <c r="E473">
        <v>0</v>
      </c>
    </row>
    <row r="474" spans="1:5" x14ac:dyDescent="0.25">
      <c r="A474" t="s">
        <v>38</v>
      </c>
      <c r="B474" t="s">
        <v>293</v>
      </c>
      <c r="C474" s="26" t="s">
        <v>312</v>
      </c>
      <c r="D474" s="26" t="s">
        <v>312</v>
      </c>
      <c r="E474">
        <v>0</v>
      </c>
    </row>
    <row r="475" spans="1:5" x14ac:dyDescent="0.25">
      <c r="A475" t="s">
        <v>45</v>
      </c>
      <c r="B475" t="s">
        <v>232</v>
      </c>
      <c r="C475" s="26" t="s">
        <v>312</v>
      </c>
      <c r="D475" s="26" t="s">
        <v>312</v>
      </c>
      <c r="E475">
        <v>0</v>
      </c>
    </row>
    <row r="476" spans="1:5" x14ac:dyDescent="0.25">
      <c r="A476" t="s">
        <v>8</v>
      </c>
      <c r="B476" t="s">
        <v>84</v>
      </c>
      <c r="C476" s="26" t="s">
        <v>314</v>
      </c>
      <c r="D476" s="26" t="s">
        <v>314</v>
      </c>
      <c r="E476">
        <v>0</v>
      </c>
    </row>
    <row r="477" spans="1:5" x14ac:dyDescent="0.25">
      <c r="A477" t="s">
        <v>25</v>
      </c>
      <c r="B477" t="s">
        <v>270</v>
      </c>
      <c r="C477" s="26" t="s">
        <v>316</v>
      </c>
      <c r="D477" s="26" t="s">
        <v>316</v>
      </c>
      <c r="E477">
        <v>0</v>
      </c>
    </row>
    <row r="478" spans="1:5" x14ac:dyDescent="0.25">
      <c r="A478" t="s">
        <v>5</v>
      </c>
      <c r="B478" t="s">
        <v>144</v>
      </c>
      <c r="C478" s="26" t="s">
        <v>318</v>
      </c>
      <c r="D478" s="26" t="s">
        <v>318</v>
      </c>
      <c r="E478">
        <v>0</v>
      </c>
    </row>
    <row r="479" spans="1:5" x14ac:dyDescent="0.25">
      <c r="A479" t="s">
        <v>25</v>
      </c>
      <c r="B479" t="s">
        <v>35</v>
      </c>
      <c r="C479" s="26" t="s">
        <v>318</v>
      </c>
      <c r="D479" s="26" t="s">
        <v>318</v>
      </c>
      <c r="E479">
        <v>0</v>
      </c>
    </row>
    <row r="480" spans="1:5" x14ac:dyDescent="0.25">
      <c r="A480" t="s">
        <v>47</v>
      </c>
      <c r="B480" t="s">
        <v>248</v>
      </c>
      <c r="C480" s="26" t="s">
        <v>318</v>
      </c>
      <c r="D480" s="26" t="s">
        <v>318</v>
      </c>
      <c r="E480">
        <v>0</v>
      </c>
    </row>
    <row r="481" spans="1:5" x14ac:dyDescent="0.25">
      <c r="A481" t="s">
        <v>27</v>
      </c>
      <c r="B481" t="s">
        <v>188</v>
      </c>
      <c r="C481" s="26" t="s">
        <v>318</v>
      </c>
      <c r="D481" s="26" t="s">
        <v>318</v>
      </c>
      <c r="E481">
        <v>0</v>
      </c>
    </row>
    <row r="482" spans="1:5" x14ac:dyDescent="0.25">
      <c r="A482" t="s">
        <v>47</v>
      </c>
      <c r="B482" t="s">
        <v>92</v>
      </c>
      <c r="C482" s="26" t="s">
        <v>318</v>
      </c>
      <c r="D482" s="26" t="s">
        <v>318</v>
      </c>
      <c r="E482">
        <v>0</v>
      </c>
    </row>
    <row r="483" spans="1:5" x14ac:dyDescent="0.25">
      <c r="A483" t="s">
        <v>38</v>
      </c>
      <c r="B483" t="s">
        <v>32</v>
      </c>
      <c r="C483" s="26" t="s">
        <v>318</v>
      </c>
      <c r="D483" s="26" t="s">
        <v>318</v>
      </c>
      <c r="E483">
        <v>0</v>
      </c>
    </row>
    <row r="484" spans="1:5" x14ac:dyDescent="0.25">
      <c r="A484" t="s">
        <v>30</v>
      </c>
      <c r="B484" t="s">
        <v>264</v>
      </c>
      <c r="C484" s="26" t="s">
        <v>318</v>
      </c>
      <c r="D484" s="26" t="s">
        <v>318</v>
      </c>
      <c r="E484">
        <v>0</v>
      </c>
    </row>
    <row r="485" spans="1:5" x14ac:dyDescent="0.25">
      <c r="A485" t="s">
        <v>27</v>
      </c>
      <c r="B485" t="s">
        <v>15</v>
      </c>
      <c r="C485" s="26" t="s">
        <v>318</v>
      </c>
      <c r="D485" s="26" t="s">
        <v>318</v>
      </c>
      <c r="E485">
        <v>0</v>
      </c>
    </row>
    <row r="486" spans="1:5" x14ac:dyDescent="0.25">
      <c r="A486" t="s">
        <v>5</v>
      </c>
      <c r="B486" t="s">
        <v>217</v>
      </c>
      <c r="C486" s="26" t="s">
        <v>319</v>
      </c>
      <c r="D486" s="26" t="s">
        <v>319</v>
      </c>
      <c r="E486">
        <v>0</v>
      </c>
    </row>
    <row r="487" spans="1:5" x14ac:dyDescent="0.25">
      <c r="A487" t="s">
        <v>5</v>
      </c>
      <c r="B487" t="s">
        <v>126</v>
      </c>
      <c r="C487" s="26" t="s">
        <v>319</v>
      </c>
      <c r="D487" s="26" t="s">
        <v>319</v>
      </c>
      <c r="E487">
        <v>0</v>
      </c>
    </row>
    <row r="488" spans="1:5" x14ac:dyDescent="0.25">
      <c r="A488" t="s">
        <v>45</v>
      </c>
      <c r="B488" t="s">
        <v>42</v>
      </c>
      <c r="C488" s="26" t="s">
        <v>319</v>
      </c>
      <c r="D488" s="26" t="s">
        <v>319</v>
      </c>
      <c r="E488">
        <v>0</v>
      </c>
    </row>
    <row r="489" spans="1:5" x14ac:dyDescent="0.25">
      <c r="A489" t="s">
        <v>13</v>
      </c>
      <c r="B489" t="s">
        <v>227</v>
      </c>
      <c r="C489" s="26" t="s">
        <v>319</v>
      </c>
      <c r="D489" s="26" t="s">
        <v>319</v>
      </c>
      <c r="E489">
        <v>0</v>
      </c>
    </row>
    <row r="490" spans="1:5" x14ac:dyDescent="0.25">
      <c r="A490" t="s">
        <v>10</v>
      </c>
      <c r="B490" t="s">
        <v>247</v>
      </c>
      <c r="C490" s="26" t="s">
        <v>320</v>
      </c>
      <c r="D490" s="26" t="s">
        <v>320</v>
      </c>
      <c r="E490">
        <v>0</v>
      </c>
    </row>
    <row r="491" spans="1:5" x14ac:dyDescent="0.25">
      <c r="A491" t="s">
        <v>13</v>
      </c>
      <c r="B491" t="s">
        <v>84</v>
      </c>
      <c r="C491" s="26" t="s">
        <v>320</v>
      </c>
      <c r="D491" s="26" t="s">
        <v>320</v>
      </c>
      <c r="E491">
        <v>0</v>
      </c>
    </row>
    <row r="492" spans="1:5" x14ac:dyDescent="0.25">
      <c r="A492" t="s">
        <v>30</v>
      </c>
      <c r="B492" t="s">
        <v>9</v>
      </c>
      <c r="C492" s="26" t="s">
        <v>321</v>
      </c>
      <c r="D492" s="26" t="s">
        <v>321</v>
      </c>
      <c r="E492">
        <v>0</v>
      </c>
    </row>
    <row r="493" spans="1:5" x14ac:dyDescent="0.25">
      <c r="A493" t="s">
        <v>25</v>
      </c>
      <c r="B493" t="s">
        <v>114</v>
      </c>
      <c r="C493" s="26" t="s">
        <v>321</v>
      </c>
      <c r="D493" s="26" t="s">
        <v>321</v>
      </c>
      <c r="E493">
        <v>0</v>
      </c>
    </row>
    <row r="494" spans="1:5" x14ac:dyDescent="0.25">
      <c r="A494" t="s">
        <v>30</v>
      </c>
      <c r="B494" t="s">
        <v>269</v>
      </c>
      <c r="C494" s="26" t="s">
        <v>322</v>
      </c>
      <c r="D494" s="26" t="s">
        <v>322</v>
      </c>
      <c r="E494">
        <v>0</v>
      </c>
    </row>
    <row r="495" spans="1:5" x14ac:dyDescent="0.25">
      <c r="A495" t="s">
        <v>5</v>
      </c>
      <c r="B495" t="s">
        <v>232</v>
      </c>
      <c r="C495" s="26" t="s">
        <v>323</v>
      </c>
      <c r="D495" s="26" t="s">
        <v>323</v>
      </c>
      <c r="E495">
        <v>0</v>
      </c>
    </row>
    <row r="496" spans="1:5" x14ac:dyDescent="0.25">
      <c r="A496" t="s">
        <v>18</v>
      </c>
      <c r="B496" t="s">
        <v>89</v>
      </c>
      <c r="C496" s="26" t="s">
        <v>323</v>
      </c>
      <c r="D496" s="26" t="s">
        <v>323</v>
      </c>
      <c r="E496">
        <v>0</v>
      </c>
    </row>
    <row r="497" spans="1:5" x14ac:dyDescent="0.25">
      <c r="A497" t="s">
        <v>18</v>
      </c>
      <c r="B497" t="s">
        <v>158</v>
      </c>
      <c r="C497" s="26" t="s">
        <v>324</v>
      </c>
      <c r="D497" s="26" t="s">
        <v>324</v>
      </c>
      <c r="E497">
        <v>0</v>
      </c>
    </row>
    <row r="498" spans="1:5" x14ac:dyDescent="0.25">
      <c r="A498" t="s">
        <v>18</v>
      </c>
      <c r="B498" t="s">
        <v>325</v>
      </c>
      <c r="C498" s="26" t="s">
        <v>324</v>
      </c>
      <c r="D498" s="26" t="s">
        <v>324</v>
      </c>
      <c r="E498">
        <v>0</v>
      </c>
    </row>
    <row r="499" spans="1:5" x14ac:dyDescent="0.25">
      <c r="A499" t="s">
        <v>38</v>
      </c>
      <c r="B499" t="s">
        <v>43</v>
      </c>
      <c r="C499" s="26" t="s">
        <v>324</v>
      </c>
      <c r="D499" s="26" t="s">
        <v>324</v>
      </c>
      <c r="E499">
        <v>0</v>
      </c>
    </row>
    <row r="500" spans="1:5" x14ac:dyDescent="0.25">
      <c r="A500" t="s">
        <v>45</v>
      </c>
      <c r="B500" t="s">
        <v>91</v>
      </c>
      <c r="C500" s="26" t="s">
        <v>326</v>
      </c>
      <c r="D500" s="26" t="s">
        <v>326</v>
      </c>
      <c r="E500">
        <v>0</v>
      </c>
    </row>
    <row r="501" spans="1:5" x14ac:dyDescent="0.25">
      <c r="A501" t="s">
        <v>18</v>
      </c>
      <c r="B501" t="s">
        <v>98</v>
      </c>
      <c r="C501" s="26" t="s">
        <v>327</v>
      </c>
      <c r="D501" s="26" t="s">
        <v>327</v>
      </c>
      <c r="E501">
        <v>0</v>
      </c>
    </row>
    <row r="502" spans="1:5" x14ac:dyDescent="0.25">
      <c r="A502" t="s">
        <v>25</v>
      </c>
      <c r="B502" t="s">
        <v>272</v>
      </c>
      <c r="C502" s="26" t="s">
        <v>327</v>
      </c>
      <c r="D502" s="26" t="s">
        <v>327</v>
      </c>
      <c r="E502">
        <v>0</v>
      </c>
    </row>
    <row r="503" spans="1:5" x14ac:dyDescent="0.25">
      <c r="A503" t="s">
        <v>5</v>
      </c>
      <c r="B503" t="s">
        <v>229</v>
      </c>
      <c r="C503" s="26" t="s">
        <v>328</v>
      </c>
      <c r="D503" s="26" t="s">
        <v>328</v>
      </c>
      <c r="E503">
        <v>0</v>
      </c>
    </row>
    <row r="504" spans="1:5" x14ac:dyDescent="0.25">
      <c r="A504" t="s">
        <v>16</v>
      </c>
      <c r="B504" t="s">
        <v>152</v>
      </c>
      <c r="C504" s="26" t="s">
        <v>328</v>
      </c>
      <c r="D504" s="26" t="s">
        <v>328</v>
      </c>
      <c r="E504">
        <v>0</v>
      </c>
    </row>
    <row r="505" spans="1:5" x14ac:dyDescent="0.25">
      <c r="A505" t="s">
        <v>5</v>
      </c>
      <c r="B505" t="s">
        <v>329</v>
      </c>
      <c r="C505" s="26" t="s">
        <v>330</v>
      </c>
      <c r="D505" s="26" t="s">
        <v>330</v>
      </c>
      <c r="E505">
        <v>0</v>
      </c>
    </row>
    <row r="506" spans="1:5" x14ac:dyDescent="0.25">
      <c r="A506" t="s">
        <v>25</v>
      </c>
      <c r="B506" t="s">
        <v>331</v>
      </c>
      <c r="C506" s="26" t="s">
        <v>330</v>
      </c>
      <c r="D506" s="26" t="s">
        <v>330</v>
      </c>
      <c r="E506">
        <v>0</v>
      </c>
    </row>
    <row r="507" spans="1:5" x14ac:dyDescent="0.25">
      <c r="A507" t="s">
        <v>18</v>
      </c>
      <c r="B507" t="s">
        <v>248</v>
      </c>
      <c r="C507" s="26" t="s">
        <v>330</v>
      </c>
      <c r="D507" s="26" t="s">
        <v>330</v>
      </c>
      <c r="E507">
        <v>0</v>
      </c>
    </row>
    <row r="508" spans="1:5" x14ac:dyDescent="0.25">
      <c r="A508" t="s">
        <v>5</v>
      </c>
      <c r="B508" t="s">
        <v>249</v>
      </c>
      <c r="C508" s="26" t="s">
        <v>330</v>
      </c>
      <c r="D508" s="26" t="s">
        <v>330</v>
      </c>
      <c r="E508">
        <v>0</v>
      </c>
    </row>
    <row r="509" spans="1:5" x14ac:dyDescent="0.25">
      <c r="A509" t="s">
        <v>25</v>
      </c>
      <c r="B509" t="s">
        <v>227</v>
      </c>
      <c r="C509" s="26" t="s">
        <v>330</v>
      </c>
      <c r="D509" s="26" t="s">
        <v>330</v>
      </c>
      <c r="E509">
        <v>0</v>
      </c>
    </row>
    <row r="510" spans="1:5" x14ac:dyDescent="0.25">
      <c r="A510" t="s">
        <v>8</v>
      </c>
      <c r="B510" t="s">
        <v>176</v>
      </c>
      <c r="C510" s="26" t="s">
        <v>330</v>
      </c>
      <c r="D510" s="26" t="s">
        <v>330</v>
      </c>
      <c r="E510">
        <v>0</v>
      </c>
    </row>
    <row r="511" spans="1:5" x14ac:dyDescent="0.25">
      <c r="A511" t="s">
        <v>5</v>
      </c>
      <c r="B511" t="s">
        <v>332</v>
      </c>
      <c r="C511" s="26" t="s">
        <v>333</v>
      </c>
      <c r="D511" s="26" t="s">
        <v>333</v>
      </c>
      <c r="E511">
        <v>0</v>
      </c>
    </row>
    <row r="512" spans="1:5" x14ac:dyDescent="0.25">
      <c r="A512" t="s">
        <v>38</v>
      </c>
      <c r="B512" t="s">
        <v>229</v>
      </c>
      <c r="C512" s="26" t="s">
        <v>334</v>
      </c>
      <c r="D512" s="26" t="s">
        <v>334</v>
      </c>
      <c r="E512">
        <v>0</v>
      </c>
    </row>
    <row r="513" spans="1:5" x14ac:dyDescent="0.25">
      <c r="A513" t="s">
        <v>16</v>
      </c>
      <c r="B513" t="s">
        <v>177</v>
      </c>
      <c r="C513" s="26" t="s">
        <v>335</v>
      </c>
      <c r="D513" s="26" t="s">
        <v>335</v>
      </c>
      <c r="E513">
        <v>0</v>
      </c>
    </row>
    <row r="514" spans="1:5" x14ac:dyDescent="0.25">
      <c r="A514" t="s">
        <v>18</v>
      </c>
      <c r="B514" t="s">
        <v>57</v>
      </c>
      <c r="C514" s="26" t="s">
        <v>336</v>
      </c>
      <c r="D514" s="26" t="s">
        <v>336</v>
      </c>
      <c r="E514">
        <v>0</v>
      </c>
    </row>
    <row r="515" spans="1:5" x14ac:dyDescent="0.25">
      <c r="A515" t="s">
        <v>8</v>
      </c>
      <c r="B515" t="s">
        <v>152</v>
      </c>
      <c r="C515" s="26" t="s">
        <v>336</v>
      </c>
      <c r="D515" s="26" t="s">
        <v>336</v>
      </c>
      <c r="E515">
        <v>0</v>
      </c>
    </row>
    <row r="516" spans="1:5" x14ac:dyDescent="0.25">
      <c r="A516" t="s">
        <v>8</v>
      </c>
      <c r="B516" t="s">
        <v>243</v>
      </c>
      <c r="C516" s="26" t="s">
        <v>337</v>
      </c>
      <c r="D516" s="26" t="s">
        <v>337</v>
      </c>
      <c r="E516">
        <v>0</v>
      </c>
    </row>
    <row r="517" spans="1:5" x14ac:dyDescent="0.25">
      <c r="A517" t="s">
        <v>10</v>
      </c>
      <c r="B517" t="s">
        <v>224</v>
      </c>
      <c r="C517" s="26" t="s">
        <v>339</v>
      </c>
      <c r="D517" s="26" t="s">
        <v>339</v>
      </c>
      <c r="E517">
        <v>0</v>
      </c>
    </row>
    <row r="518" spans="1:5" x14ac:dyDescent="0.25">
      <c r="A518" t="s">
        <v>38</v>
      </c>
      <c r="B518" t="s">
        <v>37</v>
      </c>
      <c r="C518" s="26" t="s">
        <v>339</v>
      </c>
      <c r="D518" s="26" t="s">
        <v>339</v>
      </c>
      <c r="E518">
        <v>0</v>
      </c>
    </row>
    <row r="519" spans="1:5" x14ac:dyDescent="0.25">
      <c r="A519" t="s">
        <v>47</v>
      </c>
      <c r="B519" t="s">
        <v>116</v>
      </c>
      <c r="C519" s="26" t="s">
        <v>340</v>
      </c>
      <c r="D519" s="26" t="s">
        <v>340</v>
      </c>
      <c r="E519">
        <v>0</v>
      </c>
    </row>
    <row r="520" spans="1:5" x14ac:dyDescent="0.25">
      <c r="A520" t="s">
        <v>13</v>
      </c>
      <c r="B520" t="s">
        <v>74</v>
      </c>
      <c r="C520" s="26" t="s">
        <v>340</v>
      </c>
      <c r="D520" s="26" t="s">
        <v>340</v>
      </c>
      <c r="E520">
        <v>0</v>
      </c>
    </row>
    <row r="521" spans="1:5" x14ac:dyDescent="0.25">
      <c r="A521" t="s">
        <v>27</v>
      </c>
      <c r="B521" t="s">
        <v>32</v>
      </c>
      <c r="C521" s="26" t="s">
        <v>341</v>
      </c>
      <c r="D521" s="26" t="s">
        <v>341</v>
      </c>
      <c r="E521">
        <v>0</v>
      </c>
    </row>
    <row r="522" spans="1:5" x14ac:dyDescent="0.25">
      <c r="A522" t="s">
        <v>30</v>
      </c>
      <c r="B522" t="s">
        <v>90</v>
      </c>
      <c r="C522" s="26" t="s">
        <v>341</v>
      </c>
      <c r="D522" s="26" t="s">
        <v>341</v>
      </c>
      <c r="E522">
        <v>0</v>
      </c>
    </row>
    <row r="523" spans="1:5" x14ac:dyDescent="0.25">
      <c r="A523" t="s">
        <v>5</v>
      </c>
      <c r="B523" t="s">
        <v>227</v>
      </c>
      <c r="C523" s="26" t="s">
        <v>343</v>
      </c>
      <c r="D523" s="26" t="s">
        <v>343</v>
      </c>
      <c r="E523">
        <v>0</v>
      </c>
    </row>
    <row r="524" spans="1:5" x14ac:dyDescent="0.25">
      <c r="A524" t="s">
        <v>47</v>
      </c>
      <c r="B524" t="s">
        <v>125</v>
      </c>
      <c r="C524" s="26" t="s">
        <v>343</v>
      </c>
      <c r="D524" s="26" t="s">
        <v>343</v>
      </c>
      <c r="E524">
        <v>0</v>
      </c>
    </row>
    <row r="525" spans="1:5" x14ac:dyDescent="0.25">
      <c r="A525" t="s">
        <v>38</v>
      </c>
      <c r="B525" t="s">
        <v>42</v>
      </c>
      <c r="C525" s="26" t="s">
        <v>343</v>
      </c>
      <c r="D525" s="26" t="s">
        <v>343</v>
      </c>
      <c r="E525">
        <v>0</v>
      </c>
    </row>
    <row r="526" spans="1:5" x14ac:dyDescent="0.25">
      <c r="A526" t="s">
        <v>25</v>
      </c>
      <c r="B526" t="s">
        <v>187</v>
      </c>
      <c r="C526" s="26" t="s">
        <v>343</v>
      </c>
      <c r="D526" s="26" t="s">
        <v>343</v>
      </c>
      <c r="E526">
        <v>0</v>
      </c>
    </row>
    <row r="527" spans="1:5" x14ac:dyDescent="0.25">
      <c r="A527" t="s">
        <v>18</v>
      </c>
      <c r="B527" t="s">
        <v>46</v>
      </c>
      <c r="C527" s="26" t="s">
        <v>343</v>
      </c>
      <c r="D527" s="26" t="s">
        <v>343</v>
      </c>
      <c r="E527">
        <v>0</v>
      </c>
    </row>
    <row r="528" spans="1:5" x14ac:dyDescent="0.25">
      <c r="A528" t="s">
        <v>16</v>
      </c>
      <c r="B528" t="s">
        <v>344</v>
      </c>
      <c r="C528" s="26" t="s">
        <v>345</v>
      </c>
      <c r="D528" s="26" t="s">
        <v>345</v>
      </c>
      <c r="E528">
        <v>0</v>
      </c>
    </row>
    <row r="529" spans="1:5" x14ac:dyDescent="0.25">
      <c r="A529" t="s">
        <v>10</v>
      </c>
      <c r="B529" t="s">
        <v>296</v>
      </c>
      <c r="C529" s="26" t="s">
        <v>345</v>
      </c>
      <c r="D529" s="26" t="s">
        <v>345</v>
      </c>
      <c r="E529">
        <v>0</v>
      </c>
    </row>
    <row r="530" spans="1:5" x14ac:dyDescent="0.25">
      <c r="A530" t="s">
        <v>27</v>
      </c>
      <c r="B530" t="s">
        <v>346</v>
      </c>
      <c r="C530" s="26" t="s">
        <v>345</v>
      </c>
      <c r="D530" s="26" t="s">
        <v>345</v>
      </c>
      <c r="E530">
        <v>0</v>
      </c>
    </row>
    <row r="531" spans="1:5" x14ac:dyDescent="0.25">
      <c r="A531" t="s">
        <v>30</v>
      </c>
      <c r="B531" t="s">
        <v>110</v>
      </c>
      <c r="C531" s="26" t="s">
        <v>347</v>
      </c>
      <c r="D531" s="26" t="s">
        <v>347</v>
      </c>
      <c r="E531">
        <v>0</v>
      </c>
    </row>
    <row r="532" spans="1:5" x14ac:dyDescent="0.25">
      <c r="A532" t="s">
        <v>47</v>
      </c>
      <c r="B532" t="s">
        <v>167</v>
      </c>
      <c r="C532" s="26" t="s">
        <v>347</v>
      </c>
      <c r="D532" s="26" t="s">
        <v>347</v>
      </c>
      <c r="E532">
        <v>0</v>
      </c>
    </row>
    <row r="533" spans="1:5" x14ac:dyDescent="0.25">
      <c r="A533" t="s">
        <v>38</v>
      </c>
      <c r="B533" t="s">
        <v>68</v>
      </c>
      <c r="C533" s="26" t="s">
        <v>347</v>
      </c>
      <c r="D533" s="26" t="s">
        <v>347</v>
      </c>
      <c r="E533">
        <v>0</v>
      </c>
    </row>
    <row r="534" spans="1:5" x14ac:dyDescent="0.25">
      <c r="A534" t="s">
        <v>5</v>
      </c>
      <c r="B534" t="s">
        <v>28</v>
      </c>
      <c r="C534" s="26" t="s">
        <v>348</v>
      </c>
      <c r="D534" s="26" t="s">
        <v>348</v>
      </c>
      <c r="E534">
        <v>0</v>
      </c>
    </row>
    <row r="535" spans="1:5" x14ac:dyDescent="0.25">
      <c r="A535" t="s">
        <v>8</v>
      </c>
      <c r="B535" t="s">
        <v>75</v>
      </c>
      <c r="C535" s="26" t="s">
        <v>349</v>
      </c>
      <c r="D535" s="26" t="s">
        <v>349</v>
      </c>
      <c r="E535">
        <v>0</v>
      </c>
    </row>
    <row r="536" spans="1:5" x14ac:dyDescent="0.25">
      <c r="A536" t="s">
        <v>30</v>
      </c>
      <c r="B536" t="s">
        <v>186</v>
      </c>
      <c r="C536" s="26" t="s">
        <v>349</v>
      </c>
      <c r="D536" s="26" t="s">
        <v>349</v>
      </c>
      <c r="E536">
        <v>0</v>
      </c>
    </row>
    <row r="537" spans="1:5" x14ac:dyDescent="0.25">
      <c r="A537" t="s">
        <v>47</v>
      </c>
      <c r="B537" t="s">
        <v>66</v>
      </c>
      <c r="C537" s="26" t="s">
        <v>350</v>
      </c>
      <c r="D537" s="26" t="s">
        <v>350</v>
      </c>
      <c r="E537">
        <v>0</v>
      </c>
    </row>
    <row r="538" spans="1:5" x14ac:dyDescent="0.25">
      <c r="A538" t="s">
        <v>16</v>
      </c>
      <c r="B538" t="s">
        <v>158</v>
      </c>
      <c r="C538" s="26" t="s">
        <v>350</v>
      </c>
      <c r="D538" s="26" t="s">
        <v>350</v>
      </c>
      <c r="E538">
        <v>0</v>
      </c>
    </row>
    <row r="539" spans="1:5" x14ac:dyDescent="0.25">
      <c r="A539" t="s">
        <v>18</v>
      </c>
      <c r="B539" t="s">
        <v>201</v>
      </c>
      <c r="C539" s="26" t="s">
        <v>350</v>
      </c>
      <c r="D539" s="26" t="s">
        <v>350</v>
      </c>
      <c r="E539">
        <v>0</v>
      </c>
    </row>
    <row r="540" spans="1:5" x14ac:dyDescent="0.25">
      <c r="A540" t="s">
        <v>45</v>
      </c>
      <c r="B540" t="s">
        <v>111</v>
      </c>
      <c r="C540" s="26" t="s">
        <v>350</v>
      </c>
      <c r="D540" s="26" t="s">
        <v>350</v>
      </c>
      <c r="E540">
        <v>0</v>
      </c>
    </row>
    <row r="541" spans="1:5" x14ac:dyDescent="0.25">
      <c r="A541" t="s">
        <v>30</v>
      </c>
      <c r="B541" t="s">
        <v>99</v>
      </c>
      <c r="C541" s="26" t="s">
        <v>350</v>
      </c>
      <c r="D541" s="26" t="s">
        <v>350</v>
      </c>
      <c r="E541">
        <v>0</v>
      </c>
    </row>
    <row r="542" spans="1:5" x14ac:dyDescent="0.25">
      <c r="A542" t="s">
        <v>45</v>
      </c>
      <c r="B542" t="s">
        <v>248</v>
      </c>
      <c r="C542" s="26" t="s">
        <v>350</v>
      </c>
      <c r="D542" s="26" t="s">
        <v>350</v>
      </c>
      <c r="E542">
        <v>0</v>
      </c>
    </row>
    <row r="543" spans="1:5" x14ac:dyDescent="0.25">
      <c r="A543" t="s">
        <v>13</v>
      </c>
      <c r="B543" t="s">
        <v>332</v>
      </c>
      <c r="C543" s="26" t="s">
        <v>351</v>
      </c>
      <c r="D543" s="26" t="s">
        <v>351</v>
      </c>
      <c r="E543">
        <v>0</v>
      </c>
    </row>
    <row r="544" spans="1:5" x14ac:dyDescent="0.25">
      <c r="A544" t="s">
        <v>8</v>
      </c>
      <c r="B544" t="s">
        <v>331</v>
      </c>
      <c r="C544" s="26" t="s">
        <v>352</v>
      </c>
      <c r="D544" s="26" t="s">
        <v>352</v>
      </c>
      <c r="E544">
        <v>0</v>
      </c>
    </row>
    <row r="545" spans="1:5" x14ac:dyDescent="0.25">
      <c r="A545" t="s">
        <v>18</v>
      </c>
      <c r="B545" t="s">
        <v>209</v>
      </c>
      <c r="C545" s="26" t="s">
        <v>352</v>
      </c>
      <c r="D545" s="26" t="s">
        <v>352</v>
      </c>
      <c r="E545">
        <v>0</v>
      </c>
    </row>
    <row r="546" spans="1:5" x14ac:dyDescent="0.25">
      <c r="A546" t="s">
        <v>8</v>
      </c>
      <c r="B546" t="s">
        <v>93</v>
      </c>
      <c r="C546" s="26" t="s">
        <v>353</v>
      </c>
      <c r="D546" s="26" t="s">
        <v>353</v>
      </c>
      <c r="E546">
        <v>0</v>
      </c>
    </row>
    <row r="547" spans="1:5" x14ac:dyDescent="0.25">
      <c r="A547" t="s">
        <v>16</v>
      </c>
      <c r="B547" t="s">
        <v>121</v>
      </c>
      <c r="C547" s="26" t="s">
        <v>354</v>
      </c>
      <c r="D547" s="26" t="s">
        <v>354</v>
      </c>
      <c r="E547">
        <v>0</v>
      </c>
    </row>
    <row r="548" spans="1:5" x14ac:dyDescent="0.25">
      <c r="A548" t="s">
        <v>16</v>
      </c>
      <c r="B548" t="s">
        <v>89</v>
      </c>
      <c r="C548" s="26" t="s">
        <v>355</v>
      </c>
      <c r="D548" s="26" t="s">
        <v>355</v>
      </c>
      <c r="E548">
        <v>0</v>
      </c>
    </row>
    <row r="549" spans="1:5" x14ac:dyDescent="0.25">
      <c r="A549" t="s">
        <v>8</v>
      </c>
      <c r="B549" t="s">
        <v>22</v>
      </c>
      <c r="C549" s="26" t="s">
        <v>355</v>
      </c>
      <c r="D549" s="26" t="s">
        <v>355</v>
      </c>
      <c r="E549">
        <v>0</v>
      </c>
    </row>
    <row r="550" spans="1:5" x14ac:dyDescent="0.25">
      <c r="A550" t="s">
        <v>25</v>
      </c>
      <c r="B550" t="s">
        <v>43</v>
      </c>
      <c r="C550" s="26" t="s">
        <v>355</v>
      </c>
      <c r="D550" s="26" t="s">
        <v>355</v>
      </c>
      <c r="E550">
        <v>0</v>
      </c>
    </row>
    <row r="551" spans="1:5" x14ac:dyDescent="0.25">
      <c r="A551" t="s">
        <v>38</v>
      </c>
      <c r="B551" t="s">
        <v>161</v>
      </c>
      <c r="C551" s="26" t="s">
        <v>355</v>
      </c>
      <c r="D551" s="26" t="s">
        <v>355</v>
      </c>
      <c r="E551">
        <v>0</v>
      </c>
    </row>
    <row r="552" spans="1:5" x14ac:dyDescent="0.25">
      <c r="A552" t="s">
        <v>13</v>
      </c>
      <c r="B552" t="s">
        <v>137</v>
      </c>
      <c r="C552" s="26" t="s">
        <v>356</v>
      </c>
      <c r="D552" s="26" t="s">
        <v>356</v>
      </c>
      <c r="E552">
        <v>0</v>
      </c>
    </row>
    <row r="553" spans="1:5" x14ac:dyDescent="0.25">
      <c r="A553" t="s">
        <v>5</v>
      </c>
      <c r="B553" t="s">
        <v>22</v>
      </c>
      <c r="C553" s="26" t="s">
        <v>356</v>
      </c>
      <c r="D553" s="26" t="s">
        <v>356</v>
      </c>
      <c r="E553">
        <v>0</v>
      </c>
    </row>
    <row r="554" spans="1:5" x14ac:dyDescent="0.25">
      <c r="A554" t="s">
        <v>13</v>
      </c>
      <c r="B554" t="s">
        <v>249</v>
      </c>
      <c r="C554" s="26" t="s">
        <v>356</v>
      </c>
      <c r="D554" s="26" t="s">
        <v>356</v>
      </c>
      <c r="E554">
        <v>0</v>
      </c>
    </row>
    <row r="555" spans="1:5" x14ac:dyDescent="0.25">
      <c r="A555" t="s">
        <v>38</v>
      </c>
      <c r="B555" t="s">
        <v>212</v>
      </c>
      <c r="C555" s="26" t="s">
        <v>357</v>
      </c>
      <c r="D555" s="26" t="s">
        <v>357</v>
      </c>
      <c r="E555">
        <v>0</v>
      </c>
    </row>
    <row r="556" spans="1:5" x14ac:dyDescent="0.25">
      <c r="A556" t="s">
        <v>47</v>
      </c>
      <c r="B556" t="s">
        <v>139</v>
      </c>
      <c r="C556" s="26" t="s">
        <v>357</v>
      </c>
      <c r="D556" s="26" t="s">
        <v>357</v>
      </c>
      <c r="E556">
        <v>0</v>
      </c>
    </row>
    <row r="557" spans="1:5" x14ac:dyDescent="0.25">
      <c r="A557" t="s">
        <v>30</v>
      </c>
      <c r="B557" t="s">
        <v>70</v>
      </c>
      <c r="C557" s="26" t="s">
        <v>358</v>
      </c>
      <c r="D557" s="26" t="s">
        <v>358</v>
      </c>
      <c r="E557">
        <v>0</v>
      </c>
    </row>
    <row r="558" spans="1:5" x14ac:dyDescent="0.25">
      <c r="A558" t="s">
        <v>38</v>
      </c>
      <c r="B558" t="s">
        <v>331</v>
      </c>
      <c r="C558" s="26" t="s">
        <v>358</v>
      </c>
      <c r="D558" s="26" t="s">
        <v>358</v>
      </c>
      <c r="E558">
        <v>0</v>
      </c>
    </row>
    <row r="559" spans="1:5" x14ac:dyDescent="0.25">
      <c r="A559" t="s">
        <v>27</v>
      </c>
      <c r="B559" t="s">
        <v>80</v>
      </c>
      <c r="C559" s="26" t="s">
        <v>359</v>
      </c>
      <c r="D559" s="26" t="s">
        <v>359</v>
      </c>
      <c r="E559">
        <v>0</v>
      </c>
    </row>
    <row r="560" spans="1:5" x14ac:dyDescent="0.25">
      <c r="A560" t="s">
        <v>27</v>
      </c>
      <c r="B560" t="s">
        <v>239</v>
      </c>
      <c r="C560" s="26" t="s">
        <v>359</v>
      </c>
      <c r="D560" s="26" t="s">
        <v>359</v>
      </c>
      <c r="E560">
        <v>0</v>
      </c>
    </row>
    <row r="561" spans="1:5" x14ac:dyDescent="0.25">
      <c r="A561" t="s">
        <v>25</v>
      </c>
      <c r="B561" t="s">
        <v>108</v>
      </c>
      <c r="C561" s="26" t="s">
        <v>360</v>
      </c>
      <c r="D561" s="26" t="s">
        <v>360</v>
      </c>
      <c r="E561">
        <v>0</v>
      </c>
    </row>
    <row r="562" spans="1:5" x14ac:dyDescent="0.25">
      <c r="A562" t="s">
        <v>5</v>
      </c>
      <c r="B562" t="s">
        <v>64</v>
      </c>
      <c r="C562" s="26" t="s">
        <v>360</v>
      </c>
      <c r="D562" s="26" t="s">
        <v>360</v>
      </c>
      <c r="E562">
        <v>0</v>
      </c>
    </row>
    <row r="563" spans="1:5" x14ac:dyDescent="0.25">
      <c r="A563" t="s">
        <v>16</v>
      </c>
      <c r="B563" t="s">
        <v>81</v>
      </c>
      <c r="C563" s="26" t="s">
        <v>360</v>
      </c>
      <c r="D563" s="26" t="s">
        <v>360</v>
      </c>
      <c r="E563">
        <v>0</v>
      </c>
    </row>
    <row r="564" spans="1:5" x14ac:dyDescent="0.25">
      <c r="A564" t="s">
        <v>30</v>
      </c>
      <c r="B564" t="s">
        <v>28</v>
      </c>
      <c r="C564" s="26" t="s">
        <v>361</v>
      </c>
      <c r="D564" s="26" t="s">
        <v>361</v>
      </c>
      <c r="E564">
        <v>0</v>
      </c>
    </row>
    <row r="565" spans="1:5" x14ac:dyDescent="0.25">
      <c r="A565" t="s">
        <v>47</v>
      </c>
      <c r="B565" t="s">
        <v>88</v>
      </c>
      <c r="C565" s="26" t="s">
        <v>361</v>
      </c>
      <c r="D565" s="26" t="s">
        <v>361</v>
      </c>
      <c r="E565">
        <v>0</v>
      </c>
    </row>
    <row r="566" spans="1:5" x14ac:dyDescent="0.25">
      <c r="A566" t="s">
        <v>38</v>
      </c>
      <c r="B566" t="s">
        <v>307</v>
      </c>
      <c r="C566" s="26" t="s">
        <v>362</v>
      </c>
      <c r="D566" s="26" t="s">
        <v>362</v>
      </c>
      <c r="E566">
        <v>0</v>
      </c>
    </row>
    <row r="567" spans="1:5" x14ac:dyDescent="0.25">
      <c r="A567" t="s">
        <v>10</v>
      </c>
      <c r="B567" t="s">
        <v>113</v>
      </c>
      <c r="C567" s="26" t="s">
        <v>362</v>
      </c>
      <c r="D567" s="26" t="s">
        <v>362</v>
      </c>
      <c r="E567">
        <v>0</v>
      </c>
    </row>
    <row r="568" spans="1:5" x14ac:dyDescent="0.25">
      <c r="A568" t="s">
        <v>47</v>
      </c>
      <c r="B568" t="s">
        <v>363</v>
      </c>
      <c r="C568" s="26" t="s">
        <v>364</v>
      </c>
      <c r="D568" s="26" t="s">
        <v>364</v>
      </c>
      <c r="E568">
        <v>0</v>
      </c>
    </row>
    <row r="569" spans="1:5" x14ac:dyDescent="0.25">
      <c r="A569" t="s">
        <v>30</v>
      </c>
      <c r="B569" t="s">
        <v>81</v>
      </c>
      <c r="C569" s="26" t="s">
        <v>364</v>
      </c>
      <c r="D569" s="26" t="s">
        <v>364</v>
      </c>
      <c r="E569">
        <v>0</v>
      </c>
    </row>
    <row r="570" spans="1:5" x14ac:dyDescent="0.25">
      <c r="A570" t="s">
        <v>18</v>
      </c>
      <c r="B570" t="s">
        <v>180</v>
      </c>
      <c r="C570" s="26" t="s">
        <v>364</v>
      </c>
      <c r="D570" s="26" t="s">
        <v>364</v>
      </c>
      <c r="E570">
        <v>0</v>
      </c>
    </row>
    <row r="571" spans="1:5" x14ac:dyDescent="0.25">
      <c r="A571" t="s">
        <v>13</v>
      </c>
      <c r="B571" t="s">
        <v>63</v>
      </c>
      <c r="C571" s="26" t="s">
        <v>365</v>
      </c>
      <c r="D571" s="26" t="s">
        <v>365</v>
      </c>
      <c r="E571">
        <v>0</v>
      </c>
    </row>
    <row r="572" spans="1:5" x14ac:dyDescent="0.25">
      <c r="A572" t="s">
        <v>8</v>
      </c>
      <c r="B572" t="s">
        <v>190</v>
      </c>
      <c r="C572" s="26" t="s">
        <v>365</v>
      </c>
      <c r="D572" s="26" t="s">
        <v>365</v>
      </c>
      <c r="E572">
        <v>0</v>
      </c>
    </row>
    <row r="573" spans="1:5" x14ac:dyDescent="0.25">
      <c r="A573" t="s">
        <v>10</v>
      </c>
      <c r="B573" t="s">
        <v>279</v>
      </c>
      <c r="C573" s="26" t="s">
        <v>365</v>
      </c>
      <c r="D573" s="26" t="s">
        <v>365</v>
      </c>
      <c r="E573">
        <v>0</v>
      </c>
    </row>
    <row r="574" spans="1:5" x14ac:dyDescent="0.25">
      <c r="A574" t="s">
        <v>10</v>
      </c>
      <c r="B574" t="s">
        <v>137</v>
      </c>
      <c r="C574" s="26" t="s">
        <v>365</v>
      </c>
      <c r="D574" s="26" t="s">
        <v>365</v>
      </c>
      <c r="E574">
        <v>0</v>
      </c>
    </row>
    <row r="575" spans="1:5" x14ac:dyDescent="0.25">
      <c r="A575" t="s">
        <v>27</v>
      </c>
      <c r="B575" t="s">
        <v>215</v>
      </c>
      <c r="C575" s="26" t="s">
        <v>366</v>
      </c>
      <c r="D575" s="26" t="s">
        <v>366</v>
      </c>
      <c r="E575">
        <v>0</v>
      </c>
    </row>
    <row r="576" spans="1:5" x14ac:dyDescent="0.25">
      <c r="A576" t="s">
        <v>8</v>
      </c>
      <c r="B576" t="s">
        <v>70</v>
      </c>
      <c r="C576" s="26" t="s">
        <v>367</v>
      </c>
      <c r="D576" s="26" t="s">
        <v>367</v>
      </c>
      <c r="E576">
        <v>0</v>
      </c>
    </row>
    <row r="577" spans="1:5" x14ac:dyDescent="0.25">
      <c r="A577" t="s">
        <v>16</v>
      </c>
      <c r="B577" t="s">
        <v>126</v>
      </c>
      <c r="C577" s="26" t="s">
        <v>368</v>
      </c>
      <c r="D577" s="26" t="s">
        <v>368</v>
      </c>
      <c r="E577">
        <v>0</v>
      </c>
    </row>
    <row r="578" spans="1:5" x14ac:dyDescent="0.25">
      <c r="A578" t="s">
        <v>16</v>
      </c>
      <c r="B578" t="s">
        <v>270</v>
      </c>
      <c r="C578" s="26" t="s">
        <v>369</v>
      </c>
      <c r="D578" s="26" t="s">
        <v>369</v>
      </c>
      <c r="E578">
        <v>0</v>
      </c>
    </row>
    <row r="579" spans="1:5" x14ac:dyDescent="0.25">
      <c r="A579" t="s">
        <v>27</v>
      </c>
      <c r="B579" t="s">
        <v>167</v>
      </c>
      <c r="C579" s="26" t="s">
        <v>370</v>
      </c>
      <c r="D579" s="26" t="s">
        <v>370</v>
      </c>
      <c r="E579">
        <v>0</v>
      </c>
    </row>
    <row r="580" spans="1:5" x14ac:dyDescent="0.25">
      <c r="A580" t="s">
        <v>10</v>
      </c>
      <c r="B580" t="s">
        <v>21</v>
      </c>
      <c r="C580" s="26" t="s">
        <v>370</v>
      </c>
      <c r="D580" s="26" t="s">
        <v>370</v>
      </c>
      <c r="E580">
        <v>0</v>
      </c>
    </row>
    <row r="581" spans="1:5" x14ac:dyDescent="0.25">
      <c r="A581" t="s">
        <v>38</v>
      </c>
      <c r="B581" t="s">
        <v>298</v>
      </c>
      <c r="C581" s="26" t="s">
        <v>370</v>
      </c>
      <c r="D581" s="26" t="s">
        <v>370</v>
      </c>
      <c r="E581">
        <v>0</v>
      </c>
    </row>
    <row r="582" spans="1:5" x14ac:dyDescent="0.25">
      <c r="A582" t="s">
        <v>38</v>
      </c>
      <c r="B582" t="s">
        <v>221</v>
      </c>
      <c r="C582" s="26" t="s">
        <v>370</v>
      </c>
      <c r="D582" s="26" t="s">
        <v>370</v>
      </c>
      <c r="E582">
        <v>0</v>
      </c>
    </row>
    <row r="583" spans="1:5" x14ac:dyDescent="0.25">
      <c r="A583" t="s">
        <v>45</v>
      </c>
      <c r="B583" t="s">
        <v>267</v>
      </c>
      <c r="C583" s="26" t="s">
        <v>370</v>
      </c>
      <c r="D583" s="26" t="s">
        <v>370</v>
      </c>
      <c r="E583">
        <v>0</v>
      </c>
    </row>
    <row r="584" spans="1:5" x14ac:dyDescent="0.25">
      <c r="A584" t="s">
        <v>13</v>
      </c>
      <c r="B584" t="s">
        <v>77</v>
      </c>
      <c r="C584" s="26" t="s">
        <v>370</v>
      </c>
      <c r="D584" s="26" t="s">
        <v>370</v>
      </c>
      <c r="E584">
        <v>0</v>
      </c>
    </row>
    <row r="585" spans="1:5" x14ac:dyDescent="0.25">
      <c r="A585" t="s">
        <v>45</v>
      </c>
      <c r="B585" t="s">
        <v>247</v>
      </c>
      <c r="C585" s="26" t="s">
        <v>371</v>
      </c>
      <c r="D585" s="26" t="s">
        <v>371</v>
      </c>
      <c r="E585">
        <v>0</v>
      </c>
    </row>
    <row r="586" spans="1:5" x14ac:dyDescent="0.25">
      <c r="A586" t="s">
        <v>16</v>
      </c>
      <c r="B586" t="s">
        <v>15</v>
      </c>
      <c r="C586" s="26" t="s">
        <v>371</v>
      </c>
      <c r="D586" s="26" t="s">
        <v>371</v>
      </c>
      <c r="E586">
        <v>0</v>
      </c>
    </row>
    <row r="587" spans="1:5" x14ac:dyDescent="0.25">
      <c r="A587" t="s">
        <v>25</v>
      </c>
      <c r="B587" t="s">
        <v>39</v>
      </c>
      <c r="C587" s="26" t="s">
        <v>372</v>
      </c>
      <c r="D587" s="26" t="s">
        <v>372</v>
      </c>
      <c r="E587">
        <v>0</v>
      </c>
    </row>
    <row r="588" spans="1:5" x14ac:dyDescent="0.25">
      <c r="A588" t="s">
        <v>30</v>
      </c>
      <c r="B588" t="s">
        <v>36</v>
      </c>
      <c r="C588" s="26" t="s">
        <v>372</v>
      </c>
      <c r="D588" s="26" t="s">
        <v>372</v>
      </c>
      <c r="E588">
        <v>0</v>
      </c>
    </row>
    <row r="589" spans="1:5" x14ac:dyDescent="0.25">
      <c r="A589" t="s">
        <v>10</v>
      </c>
      <c r="B589" t="s">
        <v>114</v>
      </c>
      <c r="C589" s="26" t="s">
        <v>374</v>
      </c>
      <c r="D589" s="26" t="s">
        <v>374</v>
      </c>
      <c r="E589">
        <v>0</v>
      </c>
    </row>
    <row r="590" spans="1:5" x14ac:dyDescent="0.25">
      <c r="A590" t="s">
        <v>30</v>
      </c>
      <c r="B590" t="s">
        <v>375</v>
      </c>
      <c r="C590" s="26" t="s">
        <v>374</v>
      </c>
      <c r="D590" s="26" t="s">
        <v>374</v>
      </c>
      <c r="E590">
        <v>0</v>
      </c>
    </row>
    <row r="591" spans="1:5" x14ac:dyDescent="0.25">
      <c r="A591" t="s">
        <v>8</v>
      </c>
      <c r="B591" t="s">
        <v>309</v>
      </c>
      <c r="C591" s="26" t="s">
        <v>376</v>
      </c>
      <c r="D591" s="26" t="s">
        <v>376</v>
      </c>
      <c r="E591">
        <v>0</v>
      </c>
    </row>
    <row r="592" spans="1:5" x14ac:dyDescent="0.25">
      <c r="A592" t="s">
        <v>13</v>
      </c>
      <c r="B592" t="s">
        <v>124</v>
      </c>
      <c r="C592" s="26" t="s">
        <v>376</v>
      </c>
      <c r="D592" s="26" t="s">
        <v>376</v>
      </c>
      <c r="E592">
        <v>0</v>
      </c>
    </row>
    <row r="593" spans="1:5" x14ac:dyDescent="0.25">
      <c r="A593" t="s">
        <v>16</v>
      </c>
      <c r="B593" t="s">
        <v>187</v>
      </c>
      <c r="C593" s="26" t="s">
        <v>376</v>
      </c>
      <c r="D593" s="26" t="s">
        <v>376</v>
      </c>
      <c r="E593">
        <v>0</v>
      </c>
    </row>
    <row r="594" spans="1:5" x14ac:dyDescent="0.25">
      <c r="A594" t="s">
        <v>13</v>
      </c>
      <c r="B594" t="s">
        <v>64</v>
      </c>
      <c r="C594" s="26" t="s">
        <v>376</v>
      </c>
      <c r="D594" s="26" t="s">
        <v>376</v>
      </c>
      <c r="E594">
        <v>0</v>
      </c>
    </row>
    <row r="595" spans="1:5" x14ac:dyDescent="0.25">
      <c r="A595" t="s">
        <v>10</v>
      </c>
      <c r="B595" t="s">
        <v>300</v>
      </c>
      <c r="C595" s="26" t="s">
        <v>376</v>
      </c>
      <c r="D595" s="26" t="s">
        <v>376</v>
      </c>
      <c r="E595">
        <v>0</v>
      </c>
    </row>
    <row r="596" spans="1:5" x14ac:dyDescent="0.25">
      <c r="A596" t="s">
        <v>8</v>
      </c>
      <c r="B596" t="s">
        <v>134</v>
      </c>
      <c r="C596" s="26" t="s">
        <v>376</v>
      </c>
      <c r="D596" s="26" t="s">
        <v>376</v>
      </c>
      <c r="E596">
        <v>0</v>
      </c>
    </row>
    <row r="597" spans="1:5" x14ac:dyDescent="0.25">
      <c r="A597" t="s">
        <v>45</v>
      </c>
      <c r="B597" t="s">
        <v>332</v>
      </c>
      <c r="C597" s="26" t="s">
        <v>377</v>
      </c>
      <c r="D597" s="26" t="s">
        <v>377</v>
      </c>
      <c r="E597">
        <v>0</v>
      </c>
    </row>
    <row r="598" spans="1:5" x14ac:dyDescent="0.25">
      <c r="A598" t="s">
        <v>38</v>
      </c>
      <c r="B598" t="s">
        <v>59</v>
      </c>
      <c r="C598" s="26" t="s">
        <v>377</v>
      </c>
      <c r="D598" s="26" t="s">
        <v>377</v>
      </c>
      <c r="E598">
        <v>0</v>
      </c>
    </row>
    <row r="599" spans="1:5" x14ac:dyDescent="0.25">
      <c r="A599" t="s">
        <v>38</v>
      </c>
      <c r="B599" t="s">
        <v>137</v>
      </c>
      <c r="C599" s="26" t="s">
        <v>377</v>
      </c>
      <c r="D599" s="26" t="s">
        <v>377</v>
      </c>
      <c r="E599">
        <v>0</v>
      </c>
    </row>
    <row r="600" spans="1:5" x14ac:dyDescent="0.25">
      <c r="A600" t="s">
        <v>5</v>
      </c>
      <c r="B600" t="s">
        <v>105</v>
      </c>
      <c r="C600" s="26" t="s">
        <v>378</v>
      </c>
      <c r="D600" s="26" t="s">
        <v>378</v>
      </c>
      <c r="E600">
        <v>0</v>
      </c>
    </row>
    <row r="601" spans="1:5" x14ac:dyDescent="0.25">
      <c r="A601" t="s">
        <v>18</v>
      </c>
      <c r="B601" t="s">
        <v>49</v>
      </c>
      <c r="C601" s="26" t="s">
        <v>379</v>
      </c>
      <c r="D601" s="26" t="s">
        <v>379</v>
      </c>
      <c r="E601">
        <v>0</v>
      </c>
    </row>
    <row r="602" spans="1:5" x14ac:dyDescent="0.25">
      <c r="A602" t="s">
        <v>25</v>
      </c>
      <c r="B602" t="s">
        <v>313</v>
      </c>
      <c r="C602" s="26" t="s">
        <v>379</v>
      </c>
      <c r="D602" s="26" t="s">
        <v>379</v>
      </c>
      <c r="E602">
        <v>0</v>
      </c>
    </row>
    <row r="603" spans="1:5" x14ac:dyDescent="0.25">
      <c r="A603" t="s">
        <v>30</v>
      </c>
      <c r="B603" t="s">
        <v>380</v>
      </c>
      <c r="C603" s="26" t="s">
        <v>379</v>
      </c>
      <c r="D603" s="26" t="s">
        <v>379</v>
      </c>
      <c r="E603">
        <v>0</v>
      </c>
    </row>
    <row r="604" spans="1:5" x14ac:dyDescent="0.25">
      <c r="A604" t="s">
        <v>8</v>
      </c>
      <c r="B604" t="s">
        <v>132</v>
      </c>
      <c r="C604" s="26" t="s">
        <v>379</v>
      </c>
      <c r="D604" s="26" t="s">
        <v>379</v>
      </c>
      <c r="E604">
        <v>0</v>
      </c>
    </row>
    <row r="605" spans="1:5" x14ac:dyDescent="0.25">
      <c r="A605" t="s">
        <v>30</v>
      </c>
      <c r="B605" t="s">
        <v>202</v>
      </c>
      <c r="C605" s="26" t="s">
        <v>379</v>
      </c>
      <c r="D605" s="26" t="s">
        <v>379</v>
      </c>
      <c r="E605">
        <v>0</v>
      </c>
    </row>
    <row r="606" spans="1:5" x14ac:dyDescent="0.25">
      <c r="A606" t="s">
        <v>30</v>
      </c>
      <c r="B606" t="s">
        <v>344</v>
      </c>
      <c r="C606" s="26" t="s">
        <v>381</v>
      </c>
      <c r="D606" s="26" t="s">
        <v>381</v>
      </c>
      <c r="E606">
        <v>0</v>
      </c>
    </row>
    <row r="607" spans="1:5" x14ac:dyDescent="0.25">
      <c r="A607" t="s">
        <v>38</v>
      </c>
      <c r="B607" t="s">
        <v>158</v>
      </c>
      <c r="C607" s="26" t="s">
        <v>381</v>
      </c>
      <c r="D607" s="26" t="s">
        <v>381</v>
      </c>
      <c r="E607">
        <v>0</v>
      </c>
    </row>
    <row r="608" spans="1:5" x14ac:dyDescent="0.25">
      <c r="A608" t="s">
        <v>10</v>
      </c>
      <c r="B608" t="s">
        <v>382</v>
      </c>
      <c r="C608" s="26" t="s">
        <v>383</v>
      </c>
      <c r="D608" s="26" t="s">
        <v>383</v>
      </c>
      <c r="E608">
        <v>0</v>
      </c>
    </row>
    <row r="609" spans="1:5" x14ac:dyDescent="0.25">
      <c r="A609" t="s">
        <v>30</v>
      </c>
      <c r="B609" t="s">
        <v>384</v>
      </c>
      <c r="C609" s="26" t="s">
        <v>383</v>
      </c>
      <c r="D609" s="26" t="s">
        <v>383</v>
      </c>
      <c r="E609">
        <v>0</v>
      </c>
    </row>
    <row r="610" spans="1:5" x14ac:dyDescent="0.25">
      <c r="A610" t="s">
        <v>45</v>
      </c>
      <c r="B610" t="s">
        <v>206</v>
      </c>
      <c r="C610" s="26" t="s">
        <v>383</v>
      </c>
      <c r="D610" s="26" t="s">
        <v>383</v>
      </c>
      <c r="E610">
        <v>0</v>
      </c>
    </row>
    <row r="611" spans="1:5" x14ac:dyDescent="0.25">
      <c r="A611" t="s">
        <v>16</v>
      </c>
      <c r="B611" t="s">
        <v>385</v>
      </c>
      <c r="C611" s="26" t="s">
        <v>383</v>
      </c>
      <c r="D611" s="26" t="s">
        <v>383</v>
      </c>
      <c r="E611">
        <v>0</v>
      </c>
    </row>
    <row r="612" spans="1:5" x14ac:dyDescent="0.25">
      <c r="A612" t="s">
        <v>10</v>
      </c>
      <c r="B612" t="s">
        <v>68</v>
      </c>
      <c r="C612" s="26" t="s">
        <v>383</v>
      </c>
      <c r="D612" s="26" t="s">
        <v>383</v>
      </c>
      <c r="E612">
        <v>0</v>
      </c>
    </row>
    <row r="613" spans="1:5" x14ac:dyDescent="0.25">
      <c r="A613" t="s">
        <v>5</v>
      </c>
      <c r="B613" t="s">
        <v>270</v>
      </c>
      <c r="C613" s="26" t="s">
        <v>383</v>
      </c>
      <c r="D613" s="26" t="s">
        <v>383</v>
      </c>
      <c r="E613">
        <v>0</v>
      </c>
    </row>
    <row r="614" spans="1:5" x14ac:dyDescent="0.25">
      <c r="A614" t="s">
        <v>10</v>
      </c>
      <c r="B614" t="s">
        <v>125</v>
      </c>
      <c r="C614" s="26" t="s">
        <v>383</v>
      </c>
      <c r="D614" s="26" t="s">
        <v>383</v>
      </c>
      <c r="E614">
        <v>0</v>
      </c>
    </row>
    <row r="615" spans="1:5" x14ac:dyDescent="0.25">
      <c r="A615" t="s">
        <v>30</v>
      </c>
      <c r="B615" t="s">
        <v>272</v>
      </c>
      <c r="C615" s="26" t="s">
        <v>383</v>
      </c>
      <c r="D615" s="26" t="s">
        <v>383</v>
      </c>
      <c r="E615">
        <v>0</v>
      </c>
    </row>
    <row r="616" spans="1:5" x14ac:dyDescent="0.25">
      <c r="A616" t="s">
        <v>18</v>
      </c>
      <c r="B616" t="s">
        <v>110</v>
      </c>
      <c r="C616" s="26" t="s">
        <v>383</v>
      </c>
      <c r="D616" s="26" t="s">
        <v>383</v>
      </c>
      <c r="E616">
        <v>0</v>
      </c>
    </row>
    <row r="617" spans="1:5" x14ac:dyDescent="0.25">
      <c r="A617" t="s">
        <v>45</v>
      </c>
      <c r="B617" t="s">
        <v>99</v>
      </c>
      <c r="C617" s="26" t="s">
        <v>386</v>
      </c>
      <c r="D617" s="26" t="s">
        <v>386</v>
      </c>
      <c r="E617">
        <v>0</v>
      </c>
    </row>
    <row r="618" spans="1:5" x14ac:dyDescent="0.25">
      <c r="A618" t="s">
        <v>18</v>
      </c>
      <c r="B618" t="s">
        <v>96</v>
      </c>
      <c r="C618" s="26" t="s">
        <v>386</v>
      </c>
      <c r="D618" s="26" t="s">
        <v>386</v>
      </c>
      <c r="E618">
        <v>0</v>
      </c>
    </row>
    <row r="619" spans="1:5" x14ac:dyDescent="0.25">
      <c r="A619" t="s">
        <v>38</v>
      </c>
      <c r="B619" t="s">
        <v>344</v>
      </c>
      <c r="C619" s="26" t="s">
        <v>386</v>
      </c>
      <c r="D619" s="26" t="s">
        <v>386</v>
      </c>
      <c r="E619">
        <v>0</v>
      </c>
    </row>
    <row r="620" spans="1:5" x14ac:dyDescent="0.25">
      <c r="A620" t="s">
        <v>38</v>
      </c>
      <c r="B620" t="s">
        <v>299</v>
      </c>
      <c r="C620" s="26" t="s">
        <v>386</v>
      </c>
      <c r="D620" s="26" t="s">
        <v>386</v>
      </c>
      <c r="E620">
        <v>0</v>
      </c>
    </row>
    <row r="621" spans="1:5" x14ac:dyDescent="0.25">
      <c r="A621" t="s">
        <v>18</v>
      </c>
      <c r="B621" t="s">
        <v>119</v>
      </c>
      <c r="C621" s="26" t="s">
        <v>387</v>
      </c>
      <c r="D621" s="26" t="s">
        <v>387</v>
      </c>
      <c r="E621">
        <v>0</v>
      </c>
    </row>
    <row r="622" spans="1:5" x14ac:dyDescent="0.25">
      <c r="A622" t="s">
        <v>13</v>
      </c>
      <c r="B622" t="s">
        <v>270</v>
      </c>
      <c r="C622" s="26" t="s">
        <v>387</v>
      </c>
      <c r="D622" s="26" t="s">
        <v>387</v>
      </c>
      <c r="E622">
        <v>0</v>
      </c>
    </row>
    <row r="623" spans="1:5" x14ac:dyDescent="0.25">
      <c r="A623" t="s">
        <v>16</v>
      </c>
      <c r="B623" t="s">
        <v>94</v>
      </c>
      <c r="C623" s="26" t="s">
        <v>387</v>
      </c>
      <c r="D623" s="26" t="s">
        <v>387</v>
      </c>
      <c r="E623">
        <v>0</v>
      </c>
    </row>
    <row r="624" spans="1:5" x14ac:dyDescent="0.25">
      <c r="A624" t="s">
        <v>30</v>
      </c>
      <c r="B624" t="s">
        <v>169</v>
      </c>
      <c r="C624" s="26" t="s">
        <v>388</v>
      </c>
      <c r="D624" s="26" t="s">
        <v>388</v>
      </c>
      <c r="E624">
        <v>0</v>
      </c>
    </row>
    <row r="625" spans="1:5" x14ac:dyDescent="0.25">
      <c r="A625" t="s">
        <v>30</v>
      </c>
      <c r="B625" t="s">
        <v>82</v>
      </c>
      <c r="C625" s="26" t="s">
        <v>388</v>
      </c>
      <c r="D625" s="26" t="s">
        <v>388</v>
      </c>
      <c r="E625">
        <v>0</v>
      </c>
    </row>
    <row r="626" spans="1:5" x14ac:dyDescent="0.25">
      <c r="A626" t="s">
        <v>13</v>
      </c>
      <c r="B626" t="s">
        <v>157</v>
      </c>
      <c r="C626" s="26" t="s">
        <v>388</v>
      </c>
      <c r="D626" s="26" t="s">
        <v>388</v>
      </c>
      <c r="E626">
        <v>0</v>
      </c>
    </row>
    <row r="627" spans="1:5" x14ac:dyDescent="0.25">
      <c r="A627" t="s">
        <v>30</v>
      </c>
      <c r="B627" t="s">
        <v>249</v>
      </c>
      <c r="C627" s="26" t="s">
        <v>388</v>
      </c>
      <c r="D627" s="26" t="s">
        <v>388</v>
      </c>
      <c r="E627">
        <v>0</v>
      </c>
    </row>
    <row r="628" spans="1:5" x14ac:dyDescent="0.25">
      <c r="A628" t="s">
        <v>45</v>
      </c>
      <c r="B628" t="s">
        <v>219</v>
      </c>
      <c r="C628" s="26" t="s">
        <v>388</v>
      </c>
      <c r="D628" s="26" t="s">
        <v>388</v>
      </c>
      <c r="E628">
        <v>0</v>
      </c>
    </row>
    <row r="629" spans="1:5" x14ac:dyDescent="0.25">
      <c r="A629" t="s">
        <v>38</v>
      </c>
      <c r="B629" t="s">
        <v>173</v>
      </c>
      <c r="C629" s="26" t="s">
        <v>388</v>
      </c>
      <c r="D629" s="26" t="s">
        <v>388</v>
      </c>
      <c r="E629">
        <v>0</v>
      </c>
    </row>
    <row r="630" spans="1:5" x14ac:dyDescent="0.25">
      <c r="A630" t="s">
        <v>27</v>
      </c>
      <c r="B630" t="s">
        <v>224</v>
      </c>
      <c r="C630" s="26" t="s">
        <v>388</v>
      </c>
      <c r="D630" s="26" t="s">
        <v>388</v>
      </c>
      <c r="E630">
        <v>0</v>
      </c>
    </row>
    <row r="631" spans="1:5" x14ac:dyDescent="0.25">
      <c r="A631" t="s">
        <v>13</v>
      </c>
      <c r="B631" t="s">
        <v>211</v>
      </c>
      <c r="C631" s="26" t="s">
        <v>389</v>
      </c>
      <c r="D631" s="26" t="s">
        <v>389</v>
      </c>
      <c r="E631">
        <v>0</v>
      </c>
    </row>
    <row r="632" spans="1:5" x14ac:dyDescent="0.25">
      <c r="A632" t="s">
        <v>13</v>
      </c>
      <c r="B632" t="s">
        <v>226</v>
      </c>
      <c r="C632" s="26" t="s">
        <v>392</v>
      </c>
      <c r="D632" s="26" t="s">
        <v>392</v>
      </c>
      <c r="E632">
        <v>0</v>
      </c>
    </row>
    <row r="633" spans="1:5" x14ac:dyDescent="0.25">
      <c r="A633" t="s">
        <v>18</v>
      </c>
      <c r="B633" t="s">
        <v>393</v>
      </c>
      <c r="C633" s="26" t="s">
        <v>392</v>
      </c>
      <c r="D633" s="26" t="s">
        <v>392</v>
      </c>
      <c r="E633">
        <v>0</v>
      </c>
    </row>
    <row r="634" spans="1:5" x14ac:dyDescent="0.25">
      <c r="A634" t="s">
        <v>27</v>
      </c>
      <c r="B634" t="s">
        <v>212</v>
      </c>
      <c r="C634" s="26" t="s">
        <v>392</v>
      </c>
      <c r="D634" s="26" t="s">
        <v>392</v>
      </c>
      <c r="E634">
        <v>0</v>
      </c>
    </row>
    <row r="635" spans="1:5" x14ac:dyDescent="0.25">
      <c r="A635" t="s">
        <v>47</v>
      </c>
      <c r="B635" t="s">
        <v>89</v>
      </c>
      <c r="C635" s="26" t="s">
        <v>392</v>
      </c>
      <c r="D635" s="26" t="s">
        <v>392</v>
      </c>
      <c r="E635">
        <v>0</v>
      </c>
    </row>
    <row r="636" spans="1:5" x14ac:dyDescent="0.25">
      <c r="A636" t="s">
        <v>13</v>
      </c>
      <c r="B636" t="s">
        <v>55</v>
      </c>
      <c r="C636" s="26" t="s">
        <v>394</v>
      </c>
      <c r="D636" s="26" t="s">
        <v>394</v>
      </c>
      <c r="E636">
        <v>0</v>
      </c>
    </row>
    <row r="637" spans="1:5" x14ac:dyDescent="0.25">
      <c r="A637" t="s">
        <v>8</v>
      </c>
      <c r="B637" t="s">
        <v>41</v>
      </c>
      <c r="C637" s="26" t="s">
        <v>394</v>
      </c>
      <c r="D637" s="26" t="s">
        <v>394</v>
      </c>
      <c r="E637">
        <v>0</v>
      </c>
    </row>
    <row r="638" spans="1:5" x14ac:dyDescent="0.25">
      <c r="A638" t="s">
        <v>45</v>
      </c>
      <c r="B638" t="s">
        <v>209</v>
      </c>
      <c r="C638" s="26" t="s">
        <v>394</v>
      </c>
      <c r="D638" s="26" t="s">
        <v>394</v>
      </c>
      <c r="E638">
        <v>0</v>
      </c>
    </row>
    <row r="639" spans="1:5" x14ac:dyDescent="0.25">
      <c r="A639" t="s">
        <v>25</v>
      </c>
      <c r="B639" t="s">
        <v>137</v>
      </c>
      <c r="C639" s="26" t="s">
        <v>394</v>
      </c>
      <c r="D639" s="26" t="s">
        <v>394</v>
      </c>
      <c r="E639">
        <v>0</v>
      </c>
    </row>
    <row r="640" spans="1:5" x14ac:dyDescent="0.25">
      <c r="A640" t="s">
        <v>30</v>
      </c>
      <c r="B640" t="s">
        <v>194</v>
      </c>
      <c r="C640" s="26" t="s">
        <v>394</v>
      </c>
      <c r="D640" s="26" t="s">
        <v>394</v>
      </c>
      <c r="E640">
        <v>0</v>
      </c>
    </row>
    <row r="641" spans="1:5" x14ac:dyDescent="0.25">
      <c r="A641" t="s">
        <v>18</v>
      </c>
      <c r="B641" t="s">
        <v>157</v>
      </c>
      <c r="C641" s="26" t="s">
        <v>396</v>
      </c>
      <c r="D641" s="26" t="s">
        <v>396</v>
      </c>
      <c r="E641">
        <v>0</v>
      </c>
    </row>
    <row r="642" spans="1:5" x14ac:dyDescent="0.25">
      <c r="A642" t="s">
        <v>8</v>
      </c>
      <c r="B642" t="s">
        <v>53</v>
      </c>
      <c r="C642" s="26" t="s">
        <v>396</v>
      </c>
      <c r="D642" s="26" t="s">
        <v>396</v>
      </c>
      <c r="E642">
        <v>0</v>
      </c>
    </row>
    <row r="643" spans="1:5" x14ac:dyDescent="0.25">
      <c r="A643" t="s">
        <v>47</v>
      </c>
      <c r="B643" t="s">
        <v>107</v>
      </c>
      <c r="C643" s="26" t="s">
        <v>397</v>
      </c>
      <c r="D643" s="26" t="s">
        <v>397</v>
      </c>
      <c r="E643">
        <v>0</v>
      </c>
    </row>
    <row r="644" spans="1:5" x14ac:dyDescent="0.25">
      <c r="A644" t="s">
        <v>5</v>
      </c>
      <c r="B644" t="s">
        <v>363</v>
      </c>
      <c r="C644" s="26" t="s">
        <v>397</v>
      </c>
      <c r="D644" s="26" t="s">
        <v>397</v>
      </c>
      <c r="E644">
        <v>0</v>
      </c>
    </row>
    <row r="645" spans="1:5" x14ac:dyDescent="0.25">
      <c r="A645" t="s">
        <v>30</v>
      </c>
      <c r="B645" t="s">
        <v>85</v>
      </c>
      <c r="C645" s="26" t="s">
        <v>397</v>
      </c>
      <c r="D645" s="26" t="s">
        <v>397</v>
      </c>
      <c r="E645">
        <v>0</v>
      </c>
    </row>
    <row r="646" spans="1:5" x14ac:dyDescent="0.25">
      <c r="A646" t="s">
        <v>38</v>
      </c>
      <c r="B646" t="s">
        <v>89</v>
      </c>
      <c r="C646" s="26" t="s">
        <v>398</v>
      </c>
      <c r="D646" s="26" t="s">
        <v>398</v>
      </c>
      <c r="E646">
        <v>0</v>
      </c>
    </row>
    <row r="647" spans="1:5" x14ac:dyDescent="0.25">
      <c r="A647" t="s">
        <v>8</v>
      </c>
      <c r="B647" t="s">
        <v>77</v>
      </c>
      <c r="C647" s="26" t="s">
        <v>399</v>
      </c>
      <c r="D647" s="26" t="s">
        <v>399</v>
      </c>
      <c r="E647">
        <v>0</v>
      </c>
    </row>
    <row r="648" spans="1:5" x14ac:dyDescent="0.25">
      <c r="A648" t="s">
        <v>38</v>
      </c>
      <c r="B648" t="s">
        <v>20</v>
      </c>
      <c r="C648" s="26" t="s">
        <v>399</v>
      </c>
      <c r="D648" s="26" t="s">
        <v>399</v>
      </c>
      <c r="E648">
        <v>0</v>
      </c>
    </row>
    <row r="649" spans="1:5" x14ac:dyDescent="0.25">
      <c r="A649" t="s">
        <v>10</v>
      </c>
      <c r="B649" t="s">
        <v>393</v>
      </c>
      <c r="C649" s="26" t="s">
        <v>399</v>
      </c>
      <c r="D649" s="26" t="s">
        <v>399</v>
      </c>
      <c r="E649">
        <v>0</v>
      </c>
    </row>
    <row r="650" spans="1:5" x14ac:dyDescent="0.25">
      <c r="A650" t="s">
        <v>47</v>
      </c>
      <c r="B650" t="s">
        <v>94</v>
      </c>
      <c r="C650" s="26" t="s">
        <v>400</v>
      </c>
      <c r="D650" s="26" t="s">
        <v>400</v>
      </c>
      <c r="E650">
        <v>0</v>
      </c>
    </row>
    <row r="651" spans="1:5" x14ac:dyDescent="0.25">
      <c r="A651" t="s">
        <v>13</v>
      </c>
      <c r="B651" t="s">
        <v>114</v>
      </c>
      <c r="C651" s="26" t="s">
        <v>400</v>
      </c>
      <c r="D651" s="26" t="s">
        <v>400</v>
      </c>
      <c r="E651">
        <v>0</v>
      </c>
    </row>
    <row r="652" spans="1:5" x14ac:dyDescent="0.25">
      <c r="A652" t="s">
        <v>18</v>
      </c>
      <c r="B652" t="s">
        <v>194</v>
      </c>
      <c r="C652" s="26" t="s">
        <v>400</v>
      </c>
      <c r="D652" s="26" t="s">
        <v>400</v>
      </c>
      <c r="E652">
        <v>0</v>
      </c>
    </row>
    <row r="653" spans="1:5" x14ac:dyDescent="0.25">
      <c r="A653" t="s">
        <v>47</v>
      </c>
      <c r="B653" t="s">
        <v>270</v>
      </c>
      <c r="C653" s="26" t="s">
        <v>400</v>
      </c>
      <c r="D653" s="26" t="s">
        <v>400</v>
      </c>
      <c r="E653">
        <v>0</v>
      </c>
    </row>
    <row r="654" spans="1:5" x14ac:dyDescent="0.25">
      <c r="A654" t="s">
        <v>10</v>
      </c>
      <c r="B654" t="s">
        <v>187</v>
      </c>
      <c r="C654" s="26" t="s">
        <v>401</v>
      </c>
      <c r="D654" s="26" t="s">
        <v>401</v>
      </c>
      <c r="E654">
        <v>0</v>
      </c>
    </row>
    <row r="655" spans="1:5" x14ac:dyDescent="0.25">
      <c r="A655" t="s">
        <v>38</v>
      </c>
      <c r="B655" t="s">
        <v>116</v>
      </c>
      <c r="C655" s="26" t="s">
        <v>401</v>
      </c>
      <c r="D655" s="26" t="s">
        <v>401</v>
      </c>
      <c r="E655">
        <v>0</v>
      </c>
    </row>
    <row r="656" spans="1:5" x14ac:dyDescent="0.25">
      <c r="A656" t="s">
        <v>16</v>
      </c>
      <c r="B656" t="s">
        <v>149</v>
      </c>
      <c r="C656" s="26" t="s">
        <v>401</v>
      </c>
      <c r="D656" s="26" t="s">
        <v>401</v>
      </c>
      <c r="E656">
        <v>0</v>
      </c>
    </row>
    <row r="657" spans="1:5" x14ac:dyDescent="0.25">
      <c r="A657" t="s">
        <v>30</v>
      </c>
      <c r="B657" t="s">
        <v>59</v>
      </c>
      <c r="C657" s="26" t="s">
        <v>401</v>
      </c>
      <c r="D657" s="26" t="s">
        <v>401</v>
      </c>
      <c r="E657">
        <v>0</v>
      </c>
    </row>
    <row r="658" spans="1:5" x14ac:dyDescent="0.25">
      <c r="A658" t="s">
        <v>38</v>
      </c>
      <c r="B658" t="s">
        <v>146</v>
      </c>
      <c r="C658" s="26" t="s">
        <v>401</v>
      </c>
      <c r="D658" s="26" t="s">
        <v>401</v>
      </c>
      <c r="E658">
        <v>0</v>
      </c>
    </row>
    <row r="659" spans="1:5" x14ac:dyDescent="0.25">
      <c r="A659" t="s">
        <v>8</v>
      </c>
      <c r="B659" t="s">
        <v>186</v>
      </c>
      <c r="C659" s="26" t="s">
        <v>401</v>
      </c>
      <c r="D659" s="26" t="s">
        <v>401</v>
      </c>
      <c r="E659">
        <v>0</v>
      </c>
    </row>
    <row r="660" spans="1:5" x14ac:dyDescent="0.25">
      <c r="A660" t="s">
        <v>38</v>
      </c>
      <c r="B660" t="s">
        <v>247</v>
      </c>
      <c r="C660" s="26" t="s">
        <v>402</v>
      </c>
      <c r="D660" s="26" t="s">
        <v>402</v>
      </c>
      <c r="E660">
        <v>0</v>
      </c>
    </row>
    <row r="661" spans="1:5" x14ac:dyDescent="0.25">
      <c r="A661" t="s">
        <v>10</v>
      </c>
      <c r="B661" t="s">
        <v>153</v>
      </c>
      <c r="C661" s="26" t="s">
        <v>402</v>
      </c>
      <c r="D661" s="26" t="s">
        <v>402</v>
      </c>
      <c r="E661">
        <v>0</v>
      </c>
    </row>
    <row r="662" spans="1:5" x14ac:dyDescent="0.25">
      <c r="A662" t="s">
        <v>18</v>
      </c>
      <c r="B662" t="s">
        <v>215</v>
      </c>
      <c r="C662" s="26" t="s">
        <v>402</v>
      </c>
      <c r="D662" s="26" t="s">
        <v>402</v>
      </c>
      <c r="E662">
        <v>0</v>
      </c>
    </row>
    <row r="663" spans="1:5" x14ac:dyDescent="0.25">
      <c r="A663" t="s">
        <v>8</v>
      </c>
      <c r="B663" t="s">
        <v>300</v>
      </c>
      <c r="C663" s="26" t="s">
        <v>403</v>
      </c>
      <c r="D663" s="26" t="s">
        <v>403</v>
      </c>
      <c r="E663">
        <v>0</v>
      </c>
    </row>
    <row r="664" spans="1:5" x14ac:dyDescent="0.25">
      <c r="A664" t="s">
        <v>10</v>
      </c>
      <c r="B664" t="s">
        <v>32</v>
      </c>
      <c r="C664" s="26" t="s">
        <v>403</v>
      </c>
      <c r="D664" s="26" t="s">
        <v>403</v>
      </c>
      <c r="E664">
        <v>0</v>
      </c>
    </row>
    <row r="665" spans="1:5" x14ac:dyDescent="0.25">
      <c r="A665" t="s">
        <v>18</v>
      </c>
      <c r="B665" t="s">
        <v>252</v>
      </c>
      <c r="C665" s="26" t="s">
        <v>403</v>
      </c>
      <c r="D665" s="26" t="s">
        <v>403</v>
      </c>
      <c r="E665">
        <v>0</v>
      </c>
    </row>
    <row r="666" spans="1:5" x14ac:dyDescent="0.25">
      <c r="A666" t="s">
        <v>45</v>
      </c>
      <c r="B666" t="s">
        <v>73</v>
      </c>
      <c r="C666" s="26" t="s">
        <v>403</v>
      </c>
      <c r="D666" s="26" t="s">
        <v>403</v>
      </c>
      <c r="E666">
        <v>0</v>
      </c>
    </row>
    <row r="667" spans="1:5" x14ac:dyDescent="0.25">
      <c r="A667" t="s">
        <v>47</v>
      </c>
      <c r="B667" t="s">
        <v>298</v>
      </c>
      <c r="C667" s="26" t="s">
        <v>404</v>
      </c>
      <c r="D667" s="26" t="s">
        <v>404</v>
      </c>
      <c r="E667">
        <v>0</v>
      </c>
    </row>
    <row r="668" spans="1:5" x14ac:dyDescent="0.25">
      <c r="A668" t="s">
        <v>5</v>
      </c>
      <c r="B668" t="s">
        <v>243</v>
      </c>
      <c r="C668" s="26" t="s">
        <v>404</v>
      </c>
      <c r="D668" s="26" t="s">
        <v>404</v>
      </c>
      <c r="E668">
        <v>0</v>
      </c>
    </row>
    <row r="669" spans="1:5" x14ac:dyDescent="0.25">
      <c r="A669" t="s">
        <v>25</v>
      </c>
      <c r="B669" t="s">
        <v>68</v>
      </c>
      <c r="C669" s="26" t="s">
        <v>404</v>
      </c>
      <c r="D669" s="26" t="s">
        <v>404</v>
      </c>
      <c r="E669">
        <v>0</v>
      </c>
    </row>
    <row r="670" spans="1:5" x14ac:dyDescent="0.25">
      <c r="A670" t="s">
        <v>38</v>
      </c>
      <c r="B670" t="s">
        <v>309</v>
      </c>
      <c r="C670" s="26" t="s">
        <v>405</v>
      </c>
      <c r="D670" s="26" t="s">
        <v>405</v>
      </c>
      <c r="E670">
        <v>0</v>
      </c>
    </row>
    <row r="671" spans="1:5" x14ac:dyDescent="0.25">
      <c r="A671" t="s">
        <v>38</v>
      </c>
      <c r="B671" t="s">
        <v>152</v>
      </c>
      <c r="C671" s="26" t="s">
        <v>405</v>
      </c>
      <c r="D671" s="26" t="s">
        <v>405</v>
      </c>
      <c r="E671">
        <v>0</v>
      </c>
    </row>
    <row r="672" spans="1:5" x14ac:dyDescent="0.25">
      <c r="A672" t="s">
        <v>30</v>
      </c>
      <c r="B672" t="s">
        <v>158</v>
      </c>
      <c r="C672" s="26" t="s">
        <v>405</v>
      </c>
      <c r="D672" s="26" t="s">
        <v>405</v>
      </c>
      <c r="E672">
        <v>0</v>
      </c>
    </row>
    <row r="673" spans="1:5" x14ac:dyDescent="0.25">
      <c r="A673" t="s">
        <v>47</v>
      </c>
      <c r="B673" t="s">
        <v>252</v>
      </c>
      <c r="C673" s="26" t="s">
        <v>405</v>
      </c>
      <c r="D673" s="26" t="s">
        <v>405</v>
      </c>
      <c r="E673">
        <v>0</v>
      </c>
    </row>
    <row r="674" spans="1:5" x14ac:dyDescent="0.25">
      <c r="A674" t="s">
        <v>10</v>
      </c>
      <c r="B674" t="s">
        <v>90</v>
      </c>
      <c r="C674" s="26" t="s">
        <v>405</v>
      </c>
      <c r="D674" s="26" t="s">
        <v>405</v>
      </c>
      <c r="E674">
        <v>0</v>
      </c>
    </row>
    <row r="675" spans="1:5" x14ac:dyDescent="0.25">
      <c r="A675" t="s">
        <v>5</v>
      </c>
      <c r="B675" t="s">
        <v>19</v>
      </c>
      <c r="C675" s="26" t="s">
        <v>406</v>
      </c>
      <c r="D675" s="26" t="s">
        <v>406</v>
      </c>
      <c r="E675">
        <v>0</v>
      </c>
    </row>
    <row r="676" spans="1:5" x14ac:dyDescent="0.25">
      <c r="A676" t="s">
        <v>45</v>
      </c>
      <c r="B676" t="s">
        <v>119</v>
      </c>
      <c r="C676" s="26" t="s">
        <v>406</v>
      </c>
      <c r="D676" s="26" t="s">
        <v>406</v>
      </c>
      <c r="E676">
        <v>0</v>
      </c>
    </row>
    <row r="677" spans="1:5" x14ac:dyDescent="0.25">
      <c r="A677" t="s">
        <v>27</v>
      </c>
      <c r="B677" t="s">
        <v>248</v>
      </c>
      <c r="C677" s="26" t="s">
        <v>406</v>
      </c>
      <c r="D677" s="26" t="s">
        <v>406</v>
      </c>
      <c r="E677">
        <v>0</v>
      </c>
    </row>
    <row r="678" spans="1:5" x14ac:dyDescent="0.25">
      <c r="A678" t="s">
        <v>16</v>
      </c>
      <c r="B678" t="s">
        <v>91</v>
      </c>
      <c r="C678" s="26" t="s">
        <v>407</v>
      </c>
      <c r="D678" s="26" t="s">
        <v>407</v>
      </c>
      <c r="E678">
        <v>0</v>
      </c>
    </row>
    <row r="679" spans="1:5" x14ac:dyDescent="0.25">
      <c r="A679" t="s">
        <v>8</v>
      </c>
      <c r="B679" t="s">
        <v>214</v>
      </c>
      <c r="C679" s="26" t="s">
        <v>407</v>
      </c>
      <c r="D679" s="26" t="s">
        <v>407</v>
      </c>
      <c r="E679">
        <v>0</v>
      </c>
    </row>
    <row r="680" spans="1:5" x14ac:dyDescent="0.25">
      <c r="A680" t="s">
        <v>25</v>
      </c>
      <c r="B680" t="s">
        <v>298</v>
      </c>
      <c r="C680" s="26" t="s">
        <v>407</v>
      </c>
      <c r="D680" s="26" t="s">
        <v>407</v>
      </c>
      <c r="E680">
        <v>0</v>
      </c>
    </row>
    <row r="681" spans="1:5" x14ac:dyDescent="0.25">
      <c r="A681" t="s">
        <v>18</v>
      </c>
      <c r="B681" t="s">
        <v>152</v>
      </c>
      <c r="C681" s="26" t="s">
        <v>408</v>
      </c>
      <c r="D681" s="26" t="s">
        <v>408</v>
      </c>
      <c r="E681">
        <v>0</v>
      </c>
    </row>
    <row r="682" spans="1:5" x14ac:dyDescent="0.25">
      <c r="A682" t="s">
        <v>25</v>
      </c>
      <c r="B682" t="s">
        <v>188</v>
      </c>
      <c r="C682" s="26" t="s">
        <v>408</v>
      </c>
      <c r="D682" s="26" t="s">
        <v>408</v>
      </c>
      <c r="E682">
        <v>0</v>
      </c>
    </row>
    <row r="683" spans="1:5" x14ac:dyDescent="0.25">
      <c r="A683" t="s">
        <v>16</v>
      </c>
      <c r="B683" t="s">
        <v>64</v>
      </c>
      <c r="C683" s="26" t="s">
        <v>408</v>
      </c>
      <c r="D683" s="26" t="s">
        <v>408</v>
      </c>
      <c r="E683">
        <v>0</v>
      </c>
    </row>
    <row r="684" spans="1:5" x14ac:dyDescent="0.25">
      <c r="A684" t="s">
        <v>10</v>
      </c>
      <c r="B684" t="s">
        <v>37</v>
      </c>
      <c r="C684" s="26" t="s">
        <v>408</v>
      </c>
      <c r="D684" s="26" t="s">
        <v>408</v>
      </c>
      <c r="E684">
        <v>0</v>
      </c>
    </row>
    <row r="685" spans="1:5" x14ac:dyDescent="0.25">
      <c r="A685" t="s">
        <v>45</v>
      </c>
      <c r="B685" t="s">
        <v>28</v>
      </c>
      <c r="C685" s="26" t="s">
        <v>408</v>
      </c>
      <c r="D685" s="26" t="s">
        <v>408</v>
      </c>
      <c r="E685">
        <v>0</v>
      </c>
    </row>
    <row r="686" spans="1:5" x14ac:dyDescent="0.25">
      <c r="A686" t="s">
        <v>16</v>
      </c>
      <c r="B686" t="s">
        <v>96</v>
      </c>
      <c r="C686" s="26" t="s">
        <v>409</v>
      </c>
      <c r="D686" s="26" t="s">
        <v>409</v>
      </c>
      <c r="E686">
        <v>0</v>
      </c>
    </row>
    <row r="687" spans="1:5" x14ac:dyDescent="0.25">
      <c r="A687" t="s">
        <v>8</v>
      </c>
      <c r="B687" t="s">
        <v>82</v>
      </c>
      <c r="C687" s="26" t="s">
        <v>410</v>
      </c>
      <c r="D687" s="26" t="s">
        <v>410</v>
      </c>
      <c r="E687">
        <v>0</v>
      </c>
    </row>
    <row r="688" spans="1:5" x14ac:dyDescent="0.25">
      <c r="A688" t="s">
        <v>13</v>
      </c>
      <c r="B688" t="s">
        <v>205</v>
      </c>
      <c r="C688" s="26" t="s">
        <v>410</v>
      </c>
      <c r="D688" s="26" t="s">
        <v>410</v>
      </c>
      <c r="E688">
        <v>0</v>
      </c>
    </row>
    <row r="689" spans="1:5" x14ac:dyDescent="0.25">
      <c r="A689" t="s">
        <v>27</v>
      </c>
      <c r="B689" t="s">
        <v>53</v>
      </c>
      <c r="C689" s="26" t="s">
        <v>410</v>
      </c>
      <c r="D689" s="26" t="s">
        <v>410</v>
      </c>
      <c r="E689">
        <v>0</v>
      </c>
    </row>
    <row r="690" spans="1:5" x14ac:dyDescent="0.25">
      <c r="A690" t="s">
        <v>27</v>
      </c>
      <c r="B690" t="s">
        <v>325</v>
      </c>
      <c r="C690" s="26" t="s">
        <v>412</v>
      </c>
      <c r="D690" s="26" t="s">
        <v>412</v>
      </c>
      <c r="E690">
        <v>0</v>
      </c>
    </row>
    <row r="691" spans="1:5" x14ac:dyDescent="0.25">
      <c r="A691" t="s">
        <v>10</v>
      </c>
      <c r="B691" t="s">
        <v>395</v>
      </c>
      <c r="C691" s="26" t="s">
        <v>412</v>
      </c>
      <c r="D691" s="26" t="s">
        <v>412</v>
      </c>
      <c r="E691">
        <v>0</v>
      </c>
    </row>
    <row r="692" spans="1:5" x14ac:dyDescent="0.25">
      <c r="A692" t="s">
        <v>8</v>
      </c>
      <c r="B692" t="s">
        <v>249</v>
      </c>
      <c r="C692" s="26" t="s">
        <v>413</v>
      </c>
      <c r="D692" s="26" t="s">
        <v>413</v>
      </c>
      <c r="E692">
        <v>0</v>
      </c>
    </row>
    <row r="693" spans="1:5" x14ac:dyDescent="0.25">
      <c r="A693" t="s">
        <v>30</v>
      </c>
      <c r="B693" t="s">
        <v>142</v>
      </c>
      <c r="C693" s="26" t="s">
        <v>414</v>
      </c>
      <c r="D693" s="26" t="s">
        <v>414</v>
      </c>
      <c r="E693">
        <v>0</v>
      </c>
    </row>
    <row r="694" spans="1:5" x14ac:dyDescent="0.25">
      <c r="A694" t="s">
        <v>13</v>
      </c>
      <c r="B694" t="s">
        <v>19</v>
      </c>
      <c r="C694" s="26" t="s">
        <v>414</v>
      </c>
      <c r="D694" s="26" t="s">
        <v>414</v>
      </c>
      <c r="E694">
        <v>0</v>
      </c>
    </row>
    <row r="695" spans="1:5" x14ac:dyDescent="0.25">
      <c r="A695" t="s">
        <v>13</v>
      </c>
      <c r="B695" t="s">
        <v>214</v>
      </c>
      <c r="C695" s="26" t="s">
        <v>415</v>
      </c>
      <c r="D695" s="26" t="s">
        <v>415</v>
      </c>
      <c r="E695">
        <v>0</v>
      </c>
    </row>
    <row r="696" spans="1:5" x14ac:dyDescent="0.25">
      <c r="A696" t="s">
        <v>16</v>
      </c>
      <c r="B696" t="s">
        <v>151</v>
      </c>
      <c r="C696" s="26" t="s">
        <v>415</v>
      </c>
      <c r="D696" s="26" t="s">
        <v>415</v>
      </c>
      <c r="E696">
        <v>0</v>
      </c>
    </row>
    <row r="697" spans="1:5" x14ac:dyDescent="0.25">
      <c r="A697" t="s">
        <v>25</v>
      </c>
      <c r="B697" t="s">
        <v>307</v>
      </c>
      <c r="C697" s="26" t="s">
        <v>415</v>
      </c>
      <c r="D697" s="26" t="s">
        <v>415</v>
      </c>
      <c r="E697">
        <v>0</v>
      </c>
    </row>
    <row r="698" spans="1:5" x14ac:dyDescent="0.25">
      <c r="A698" t="s">
        <v>25</v>
      </c>
      <c r="B698" t="s">
        <v>332</v>
      </c>
      <c r="C698" s="26" t="s">
        <v>415</v>
      </c>
      <c r="D698" s="26" t="s">
        <v>415</v>
      </c>
      <c r="E698">
        <v>0</v>
      </c>
    </row>
    <row r="699" spans="1:5" x14ac:dyDescent="0.25">
      <c r="A699" t="s">
        <v>5</v>
      </c>
      <c r="B699" t="s">
        <v>49</v>
      </c>
      <c r="C699" s="26" t="s">
        <v>415</v>
      </c>
      <c r="D699" s="26" t="s">
        <v>415</v>
      </c>
      <c r="E699">
        <v>0</v>
      </c>
    </row>
    <row r="700" spans="1:5" x14ac:dyDescent="0.25">
      <c r="A700" t="s">
        <v>13</v>
      </c>
      <c r="B700" t="s">
        <v>82</v>
      </c>
      <c r="C700" s="26" t="s">
        <v>415</v>
      </c>
      <c r="D700" s="26" t="s">
        <v>415</v>
      </c>
      <c r="E700">
        <v>0</v>
      </c>
    </row>
    <row r="701" spans="1:5" x14ac:dyDescent="0.25">
      <c r="A701" t="s">
        <v>45</v>
      </c>
      <c r="B701" t="s">
        <v>105</v>
      </c>
      <c r="C701" s="26" t="s">
        <v>415</v>
      </c>
      <c r="D701" s="26" t="s">
        <v>415</v>
      </c>
      <c r="E701">
        <v>0</v>
      </c>
    </row>
    <row r="702" spans="1:5" x14ac:dyDescent="0.25">
      <c r="A702" t="s">
        <v>30</v>
      </c>
      <c r="B702" t="s">
        <v>50</v>
      </c>
      <c r="C702" s="26" t="s">
        <v>416</v>
      </c>
      <c r="D702" s="26" t="s">
        <v>416</v>
      </c>
      <c r="E702">
        <v>0</v>
      </c>
    </row>
    <row r="703" spans="1:5" x14ac:dyDescent="0.25">
      <c r="A703" t="s">
        <v>5</v>
      </c>
      <c r="B703" t="s">
        <v>81</v>
      </c>
      <c r="C703" s="26" t="s">
        <v>416</v>
      </c>
      <c r="D703" s="26" t="s">
        <v>416</v>
      </c>
      <c r="E703">
        <v>0</v>
      </c>
    </row>
    <row r="704" spans="1:5" x14ac:dyDescent="0.25">
      <c r="A704" t="s">
        <v>13</v>
      </c>
      <c r="B704" t="s">
        <v>33</v>
      </c>
      <c r="C704" s="26" t="s">
        <v>416</v>
      </c>
      <c r="D704" s="26" t="s">
        <v>416</v>
      </c>
      <c r="E704">
        <v>0</v>
      </c>
    </row>
    <row r="705" spans="1:5" x14ac:dyDescent="0.25">
      <c r="A705" t="s">
        <v>38</v>
      </c>
      <c r="B705" t="s">
        <v>114</v>
      </c>
      <c r="C705" s="26" t="s">
        <v>416</v>
      </c>
      <c r="D705" s="26" t="s">
        <v>416</v>
      </c>
      <c r="E705">
        <v>0</v>
      </c>
    </row>
    <row r="706" spans="1:5" x14ac:dyDescent="0.25">
      <c r="A706" t="s">
        <v>30</v>
      </c>
      <c r="B706" t="s">
        <v>141</v>
      </c>
      <c r="C706" s="26" t="s">
        <v>418</v>
      </c>
      <c r="D706" s="26" t="s">
        <v>418</v>
      </c>
      <c r="E706">
        <v>0</v>
      </c>
    </row>
    <row r="707" spans="1:5" x14ac:dyDescent="0.25">
      <c r="A707" t="s">
        <v>5</v>
      </c>
      <c r="B707" t="s">
        <v>148</v>
      </c>
      <c r="C707" s="26" t="s">
        <v>419</v>
      </c>
      <c r="D707" s="26" t="s">
        <v>419</v>
      </c>
      <c r="E707">
        <v>0</v>
      </c>
    </row>
    <row r="708" spans="1:5" x14ac:dyDescent="0.25">
      <c r="A708" t="s">
        <v>30</v>
      </c>
      <c r="B708" t="s">
        <v>22</v>
      </c>
      <c r="C708" s="26" t="s">
        <v>419</v>
      </c>
      <c r="D708" s="26" t="s">
        <v>419</v>
      </c>
      <c r="E708">
        <v>0</v>
      </c>
    </row>
    <row r="709" spans="1:5" x14ac:dyDescent="0.25">
      <c r="A709" t="s">
        <v>45</v>
      </c>
      <c r="B709" t="s">
        <v>6</v>
      </c>
      <c r="C709" s="26" t="s">
        <v>420</v>
      </c>
      <c r="D709" s="26" t="s">
        <v>420</v>
      </c>
      <c r="E709">
        <v>0</v>
      </c>
    </row>
    <row r="710" spans="1:5" x14ac:dyDescent="0.25">
      <c r="A710" t="s">
        <v>10</v>
      </c>
      <c r="B710" t="s">
        <v>167</v>
      </c>
      <c r="C710" s="26" t="s">
        <v>420</v>
      </c>
      <c r="D710" s="26" t="s">
        <v>420</v>
      </c>
      <c r="E710">
        <v>0</v>
      </c>
    </row>
    <row r="711" spans="1:5" x14ac:dyDescent="0.25">
      <c r="A711" t="s">
        <v>47</v>
      </c>
      <c r="B711" t="s">
        <v>113</v>
      </c>
      <c r="C711" s="26" t="s">
        <v>420</v>
      </c>
      <c r="D711" s="26" t="s">
        <v>420</v>
      </c>
      <c r="E711">
        <v>0</v>
      </c>
    </row>
    <row r="712" spans="1:5" x14ac:dyDescent="0.25">
      <c r="A712" t="s">
        <v>18</v>
      </c>
      <c r="B712" t="s">
        <v>264</v>
      </c>
      <c r="C712" s="26" t="s">
        <v>420</v>
      </c>
      <c r="D712" s="26" t="s">
        <v>420</v>
      </c>
      <c r="E712">
        <v>0</v>
      </c>
    </row>
    <row r="713" spans="1:5" x14ac:dyDescent="0.25">
      <c r="A713" t="s">
        <v>45</v>
      </c>
      <c r="B713" t="s">
        <v>146</v>
      </c>
      <c r="C713" s="26" t="s">
        <v>420</v>
      </c>
      <c r="D713" s="26" t="s">
        <v>420</v>
      </c>
      <c r="E713">
        <v>0</v>
      </c>
    </row>
    <row r="714" spans="1:5" x14ac:dyDescent="0.25">
      <c r="A714" t="s">
        <v>5</v>
      </c>
      <c r="B714" t="s">
        <v>50</v>
      </c>
      <c r="C714" s="26" t="s">
        <v>420</v>
      </c>
      <c r="D714" s="26" t="s">
        <v>420</v>
      </c>
      <c r="E714">
        <v>0</v>
      </c>
    </row>
    <row r="715" spans="1:5" x14ac:dyDescent="0.25">
      <c r="A715" t="s">
        <v>5</v>
      </c>
      <c r="B715" t="s">
        <v>180</v>
      </c>
      <c r="C715" s="26" t="s">
        <v>422</v>
      </c>
      <c r="D715" s="26" t="s">
        <v>422</v>
      </c>
      <c r="E715">
        <v>0</v>
      </c>
    </row>
    <row r="716" spans="1:5" x14ac:dyDescent="0.25">
      <c r="A716" t="s">
        <v>27</v>
      </c>
      <c r="B716" t="s">
        <v>363</v>
      </c>
      <c r="C716" s="26" t="s">
        <v>422</v>
      </c>
      <c r="D716" s="26" t="s">
        <v>422</v>
      </c>
      <c r="E716">
        <v>0</v>
      </c>
    </row>
    <row r="717" spans="1:5" x14ac:dyDescent="0.25">
      <c r="A717" t="s">
        <v>18</v>
      </c>
      <c r="B717" t="s">
        <v>124</v>
      </c>
      <c r="C717" s="26" t="s">
        <v>422</v>
      </c>
      <c r="D717" s="26" t="s">
        <v>422</v>
      </c>
      <c r="E717">
        <v>0</v>
      </c>
    </row>
    <row r="718" spans="1:5" x14ac:dyDescent="0.25">
      <c r="A718" t="s">
        <v>8</v>
      </c>
      <c r="B718" t="s">
        <v>92</v>
      </c>
      <c r="C718" s="26" t="s">
        <v>423</v>
      </c>
      <c r="D718" s="26" t="s">
        <v>423</v>
      </c>
      <c r="E718">
        <v>0</v>
      </c>
    </row>
    <row r="719" spans="1:5" x14ac:dyDescent="0.25">
      <c r="A719" t="s">
        <v>30</v>
      </c>
      <c r="B719" t="s">
        <v>69</v>
      </c>
      <c r="C719" s="26" t="s">
        <v>423</v>
      </c>
      <c r="D719" s="26" t="s">
        <v>423</v>
      </c>
      <c r="E719">
        <v>0</v>
      </c>
    </row>
    <row r="720" spans="1:5" x14ac:dyDescent="0.25">
      <c r="A720" t="s">
        <v>27</v>
      </c>
      <c r="B720" t="s">
        <v>41</v>
      </c>
      <c r="C720" s="26" t="s">
        <v>424</v>
      </c>
      <c r="D720" s="26" t="s">
        <v>424</v>
      </c>
      <c r="E720">
        <v>0</v>
      </c>
    </row>
    <row r="721" spans="1:5" x14ac:dyDescent="0.25">
      <c r="A721" t="s">
        <v>16</v>
      </c>
      <c r="B721" t="s">
        <v>73</v>
      </c>
      <c r="C721" s="26" t="s">
        <v>424</v>
      </c>
      <c r="D721" s="26" t="s">
        <v>424</v>
      </c>
      <c r="E721">
        <v>0</v>
      </c>
    </row>
    <row r="722" spans="1:5" x14ac:dyDescent="0.25">
      <c r="A722" t="s">
        <v>38</v>
      </c>
      <c r="B722" t="s">
        <v>130</v>
      </c>
      <c r="C722" s="26" t="s">
        <v>424</v>
      </c>
      <c r="D722" s="26" t="s">
        <v>424</v>
      </c>
      <c r="E722">
        <v>0</v>
      </c>
    </row>
    <row r="723" spans="1:5" x14ac:dyDescent="0.25">
      <c r="A723" t="s">
        <v>25</v>
      </c>
      <c r="B723" t="s">
        <v>249</v>
      </c>
      <c r="C723" s="26" t="s">
        <v>425</v>
      </c>
      <c r="D723" s="26" t="s">
        <v>425</v>
      </c>
      <c r="E723">
        <v>0</v>
      </c>
    </row>
    <row r="724" spans="1:5" x14ac:dyDescent="0.25">
      <c r="A724" t="s">
        <v>45</v>
      </c>
      <c r="B724" t="s">
        <v>21</v>
      </c>
      <c r="C724" s="26" t="s">
        <v>427</v>
      </c>
      <c r="D724" s="26" t="s">
        <v>427</v>
      </c>
      <c r="E724">
        <v>0</v>
      </c>
    </row>
    <row r="725" spans="1:5" x14ac:dyDescent="0.25">
      <c r="A725" t="s">
        <v>47</v>
      </c>
      <c r="B725" t="s">
        <v>393</v>
      </c>
      <c r="C725" s="26" t="s">
        <v>427</v>
      </c>
      <c r="D725" s="26" t="s">
        <v>427</v>
      </c>
      <c r="E725">
        <v>0</v>
      </c>
    </row>
    <row r="726" spans="1:5" x14ac:dyDescent="0.25">
      <c r="A726" t="s">
        <v>5</v>
      </c>
      <c r="B726" t="s">
        <v>205</v>
      </c>
      <c r="C726" s="26" t="s">
        <v>427</v>
      </c>
      <c r="D726" s="26" t="s">
        <v>427</v>
      </c>
      <c r="E726">
        <v>0</v>
      </c>
    </row>
    <row r="727" spans="1:5" x14ac:dyDescent="0.25">
      <c r="A727" t="s">
        <v>27</v>
      </c>
      <c r="B727" t="s">
        <v>91</v>
      </c>
      <c r="C727" s="26" t="s">
        <v>428</v>
      </c>
      <c r="D727" s="26" t="s">
        <v>428</v>
      </c>
      <c r="E727">
        <v>0</v>
      </c>
    </row>
    <row r="728" spans="1:5" x14ac:dyDescent="0.25">
      <c r="A728" t="s">
        <v>25</v>
      </c>
      <c r="B728" t="s">
        <v>59</v>
      </c>
      <c r="C728" s="26" t="s">
        <v>429</v>
      </c>
      <c r="D728" s="26" t="s">
        <v>429</v>
      </c>
      <c r="E728">
        <v>0</v>
      </c>
    </row>
    <row r="729" spans="1:5" x14ac:dyDescent="0.25">
      <c r="A729" t="s">
        <v>5</v>
      </c>
      <c r="B729" t="s">
        <v>66</v>
      </c>
      <c r="C729" s="26" t="s">
        <v>430</v>
      </c>
      <c r="D729" s="26" t="s">
        <v>430</v>
      </c>
      <c r="E729">
        <v>0</v>
      </c>
    </row>
    <row r="730" spans="1:5" x14ac:dyDescent="0.25">
      <c r="A730" t="s">
        <v>25</v>
      </c>
      <c r="B730" t="s">
        <v>233</v>
      </c>
      <c r="C730" s="26" t="s">
        <v>430</v>
      </c>
      <c r="D730" s="26" t="s">
        <v>430</v>
      </c>
      <c r="E730">
        <v>0</v>
      </c>
    </row>
    <row r="731" spans="1:5" x14ac:dyDescent="0.25">
      <c r="A731" t="s">
        <v>16</v>
      </c>
      <c r="B731" t="s">
        <v>80</v>
      </c>
      <c r="C731" s="26" t="s">
        <v>430</v>
      </c>
      <c r="D731" s="26" t="s">
        <v>430</v>
      </c>
      <c r="E731">
        <v>0</v>
      </c>
    </row>
    <row r="732" spans="1:5" x14ac:dyDescent="0.25">
      <c r="A732" t="s">
        <v>5</v>
      </c>
      <c r="B732" t="s">
        <v>224</v>
      </c>
      <c r="C732" s="26" t="s">
        <v>430</v>
      </c>
      <c r="D732" s="26" t="s">
        <v>430</v>
      </c>
      <c r="E732">
        <v>0</v>
      </c>
    </row>
    <row r="733" spans="1:5" x14ac:dyDescent="0.25">
      <c r="A733" t="s">
        <v>16</v>
      </c>
      <c r="B733" t="s">
        <v>194</v>
      </c>
      <c r="C733" s="26" t="s">
        <v>430</v>
      </c>
      <c r="D733" s="26" t="s">
        <v>430</v>
      </c>
      <c r="E733">
        <v>0</v>
      </c>
    </row>
    <row r="734" spans="1:5" x14ac:dyDescent="0.25">
      <c r="A734" t="s">
        <v>18</v>
      </c>
      <c r="B734" t="s">
        <v>256</v>
      </c>
      <c r="C734" s="26" t="s">
        <v>431</v>
      </c>
      <c r="D734" s="26" t="s">
        <v>431</v>
      </c>
      <c r="E734">
        <v>0</v>
      </c>
    </row>
    <row r="735" spans="1:5" x14ac:dyDescent="0.25">
      <c r="A735" t="s">
        <v>18</v>
      </c>
      <c r="B735" t="s">
        <v>88</v>
      </c>
      <c r="C735" s="26" t="s">
        <v>432</v>
      </c>
      <c r="D735" s="26" t="s">
        <v>432</v>
      </c>
      <c r="E735">
        <v>0</v>
      </c>
    </row>
    <row r="736" spans="1:5" x14ac:dyDescent="0.25">
      <c r="A736" t="s">
        <v>45</v>
      </c>
      <c r="B736" t="s">
        <v>249</v>
      </c>
      <c r="C736" s="26" t="s">
        <v>433</v>
      </c>
      <c r="D736" s="26" t="s">
        <v>433</v>
      </c>
      <c r="E736">
        <v>0</v>
      </c>
    </row>
    <row r="737" spans="1:5" x14ac:dyDescent="0.25">
      <c r="A737" t="s">
        <v>13</v>
      </c>
      <c r="B737" t="s">
        <v>194</v>
      </c>
      <c r="C737" s="26" t="s">
        <v>433</v>
      </c>
      <c r="D737" s="26" t="s">
        <v>433</v>
      </c>
      <c r="E737">
        <v>0</v>
      </c>
    </row>
    <row r="738" spans="1:5" x14ac:dyDescent="0.25">
      <c r="A738" t="s">
        <v>8</v>
      </c>
      <c r="B738" t="s">
        <v>94</v>
      </c>
      <c r="C738" s="26" t="s">
        <v>433</v>
      </c>
      <c r="D738" s="26" t="s">
        <v>433</v>
      </c>
      <c r="E738">
        <v>0</v>
      </c>
    </row>
    <row r="739" spans="1:5" x14ac:dyDescent="0.25">
      <c r="A739" t="s">
        <v>16</v>
      </c>
      <c r="B739" t="s">
        <v>299</v>
      </c>
      <c r="C739" s="26" t="s">
        <v>434</v>
      </c>
      <c r="D739" s="26" t="s">
        <v>434</v>
      </c>
      <c r="E739">
        <v>0</v>
      </c>
    </row>
    <row r="740" spans="1:5" x14ac:dyDescent="0.25">
      <c r="A740" t="s">
        <v>25</v>
      </c>
      <c r="B740" t="s">
        <v>111</v>
      </c>
      <c r="C740" s="26" t="s">
        <v>434</v>
      </c>
      <c r="D740" s="26" t="s">
        <v>434</v>
      </c>
      <c r="E740">
        <v>0</v>
      </c>
    </row>
    <row r="741" spans="1:5" x14ac:dyDescent="0.25">
      <c r="A741" t="s">
        <v>13</v>
      </c>
      <c r="B741" t="s">
        <v>73</v>
      </c>
      <c r="C741" s="26" t="s">
        <v>435</v>
      </c>
      <c r="D741" s="26" t="s">
        <v>435</v>
      </c>
      <c r="E741">
        <v>0</v>
      </c>
    </row>
    <row r="742" spans="1:5" x14ac:dyDescent="0.25">
      <c r="A742" t="s">
        <v>18</v>
      </c>
      <c r="B742" t="s">
        <v>134</v>
      </c>
      <c r="C742" s="26" t="s">
        <v>435</v>
      </c>
      <c r="D742" s="26" t="s">
        <v>435</v>
      </c>
      <c r="E742">
        <v>0</v>
      </c>
    </row>
    <row r="743" spans="1:5" x14ac:dyDescent="0.25">
      <c r="A743" t="s">
        <v>27</v>
      </c>
      <c r="B743" t="s">
        <v>69</v>
      </c>
      <c r="C743" s="26" t="s">
        <v>435</v>
      </c>
      <c r="D743" s="26" t="s">
        <v>435</v>
      </c>
      <c r="E743">
        <v>0</v>
      </c>
    </row>
    <row r="744" spans="1:5" x14ac:dyDescent="0.25">
      <c r="A744" t="s">
        <v>47</v>
      </c>
      <c r="B744" t="s">
        <v>186</v>
      </c>
      <c r="C744" s="26" t="s">
        <v>435</v>
      </c>
      <c r="D744" s="26" t="s">
        <v>435</v>
      </c>
      <c r="E744">
        <v>0</v>
      </c>
    </row>
    <row r="745" spans="1:5" x14ac:dyDescent="0.25">
      <c r="A745" t="s">
        <v>30</v>
      </c>
      <c r="B745" t="s">
        <v>239</v>
      </c>
      <c r="C745" s="26" t="s">
        <v>435</v>
      </c>
      <c r="D745" s="26" t="s">
        <v>435</v>
      </c>
      <c r="E745">
        <v>0</v>
      </c>
    </row>
    <row r="746" spans="1:5" x14ac:dyDescent="0.25">
      <c r="A746" t="s">
        <v>30</v>
      </c>
      <c r="B746" t="s">
        <v>113</v>
      </c>
      <c r="C746" s="26" t="s">
        <v>435</v>
      </c>
      <c r="D746" s="26" t="s">
        <v>435</v>
      </c>
      <c r="E746">
        <v>0</v>
      </c>
    </row>
    <row r="747" spans="1:5" x14ac:dyDescent="0.25">
      <c r="A747" t="s">
        <v>27</v>
      </c>
      <c r="B747" t="s">
        <v>169</v>
      </c>
      <c r="C747" s="26" t="s">
        <v>435</v>
      </c>
      <c r="D747" s="26" t="s">
        <v>435</v>
      </c>
      <c r="E747">
        <v>0</v>
      </c>
    </row>
    <row r="748" spans="1:5" x14ac:dyDescent="0.25">
      <c r="A748" t="s">
        <v>45</v>
      </c>
      <c r="B748" t="s">
        <v>363</v>
      </c>
      <c r="C748" s="26" t="s">
        <v>436</v>
      </c>
      <c r="D748" s="26" t="s">
        <v>436</v>
      </c>
      <c r="E748">
        <v>0</v>
      </c>
    </row>
    <row r="749" spans="1:5" x14ac:dyDescent="0.25">
      <c r="A749" t="s">
        <v>47</v>
      </c>
      <c r="B749" t="s">
        <v>59</v>
      </c>
      <c r="C749" s="26" t="s">
        <v>436</v>
      </c>
      <c r="D749" s="26" t="s">
        <v>436</v>
      </c>
      <c r="E749">
        <v>0</v>
      </c>
    </row>
    <row r="750" spans="1:5" x14ac:dyDescent="0.25">
      <c r="A750" t="s">
        <v>18</v>
      </c>
      <c r="B750" t="s">
        <v>363</v>
      </c>
      <c r="C750" s="26" t="s">
        <v>436</v>
      </c>
      <c r="D750" s="26" t="s">
        <v>436</v>
      </c>
      <c r="E750">
        <v>0</v>
      </c>
    </row>
    <row r="751" spans="1:5" x14ac:dyDescent="0.25">
      <c r="A751" t="s">
        <v>10</v>
      </c>
      <c r="B751" t="s">
        <v>133</v>
      </c>
      <c r="C751" s="26" t="s">
        <v>436</v>
      </c>
      <c r="D751" s="26" t="s">
        <v>436</v>
      </c>
      <c r="E751">
        <v>0</v>
      </c>
    </row>
    <row r="752" spans="1:5" x14ac:dyDescent="0.25">
      <c r="A752" t="s">
        <v>45</v>
      </c>
      <c r="B752" t="s">
        <v>121</v>
      </c>
      <c r="C752" s="26" t="s">
        <v>437</v>
      </c>
      <c r="D752" s="26" t="s">
        <v>437</v>
      </c>
      <c r="E752">
        <v>0</v>
      </c>
    </row>
    <row r="753" spans="1:5" x14ac:dyDescent="0.25">
      <c r="A753" t="s">
        <v>18</v>
      </c>
      <c r="B753" t="s">
        <v>198</v>
      </c>
      <c r="C753" s="26" t="s">
        <v>437</v>
      </c>
      <c r="D753" s="26" t="s">
        <v>437</v>
      </c>
      <c r="E753">
        <v>0</v>
      </c>
    </row>
    <row r="754" spans="1:5" x14ac:dyDescent="0.25">
      <c r="A754" t="s">
        <v>38</v>
      </c>
      <c r="B754" t="s">
        <v>186</v>
      </c>
      <c r="C754" s="26" t="s">
        <v>438</v>
      </c>
      <c r="D754" s="26" t="s">
        <v>438</v>
      </c>
      <c r="E754">
        <v>0</v>
      </c>
    </row>
    <row r="755" spans="1:5" x14ac:dyDescent="0.25">
      <c r="A755" t="s">
        <v>38</v>
      </c>
      <c r="B755" t="s">
        <v>132</v>
      </c>
      <c r="C755" s="26" t="s">
        <v>438</v>
      </c>
      <c r="D755" s="26" t="s">
        <v>438</v>
      </c>
      <c r="E755">
        <v>0</v>
      </c>
    </row>
    <row r="756" spans="1:5" x14ac:dyDescent="0.25">
      <c r="A756" t="s">
        <v>25</v>
      </c>
      <c r="B756" t="s">
        <v>58</v>
      </c>
      <c r="C756" s="26" t="s">
        <v>438</v>
      </c>
      <c r="D756" s="26" t="s">
        <v>438</v>
      </c>
      <c r="E756">
        <v>0</v>
      </c>
    </row>
    <row r="757" spans="1:5" x14ac:dyDescent="0.25">
      <c r="A757" t="s">
        <v>27</v>
      </c>
      <c r="B757" t="s">
        <v>170</v>
      </c>
      <c r="C757" s="26" t="s">
        <v>438</v>
      </c>
      <c r="D757" s="26" t="s">
        <v>438</v>
      </c>
      <c r="E757">
        <v>0</v>
      </c>
    </row>
    <row r="758" spans="1:5" x14ac:dyDescent="0.25">
      <c r="A758" t="s">
        <v>45</v>
      </c>
      <c r="B758" t="s">
        <v>68</v>
      </c>
      <c r="C758" s="26" t="s">
        <v>439</v>
      </c>
      <c r="D758" s="26" t="s">
        <v>439</v>
      </c>
      <c r="E758">
        <v>0</v>
      </c>
    </row>
    <row r="759" spans="1:5" x14ac:dyDescent="0.25">
      <c r="A759" t="s">
        <v>47</v>
      </c>
      <c r="B759" t="s">
        <v>58</v>
      </c>
      <c r="C759" s="26" t="s">
        <v>440</v>
      </c>
      <c r="D759" s="26" t="s">
        <v>440</v>
      </c>
      <c r="E759">
        <v>0</v>
      </c>
    </row>
    <row r="760" spans="1:5" x14ac:dyDescent="0.25">
      <c r="A760" t="s">
        <v>27</v>
      </c>
      <c r="B760" t="s">
        <v>78</v>
      </c>
      <c r="C760" s="26" t="s">
        <v>440</v>
      </c>
      <c r="D760" s="26" t="s">
        <v>440</v>
      </c>
      <c r="E760">
        <v>0</v>
      </c>
    </row>
    <row r="761" spans="1:5" x14ac:dyDescent="0.25">
      <c r="A761" t="s">
        <v>16</v>
      </c>
      <c r="B761" t="s">
        <v>90</v>
      </c>
      <c r="C761" s="26" t="s">
        <v>440</v>
      </c>
      <c r="D761" s="26" t="s">
        <v>440</v>
      </c>
      <c r="E761">
        <v>0</v>
      </c>
    </row>
    <row r="762" spans="1:5" x14ac:dyDescent="0.25">
      <c r="A762" t="s">
        <v>13</v>
      </c>
      <c r="B762" t="s">
        <v>20</v>
      </c>
      <c r="C762" s="26" t="s">
        <v>440</v>
      </c>
      <c r="D762" s="26" t="s">
        <v>440</v>
      </c>
      <c r="E762">
        <v>0</v>
      </c>
    </row>
    <row r="763" spans="1:5" x14ac:dyDescent="0.25">
      <c r="A763" t="s">
        <v>10</v>
      </c>
      <c r="B763" t="s">
        <v>77</v>
      </c>
      <c r="C763" s="26" t="s">
        <v>440</v>
      </c>
      <c r="D763" s="26" t="s">
        <v>440</v>
      </c>
      <c r="E763">
        <v>0</v>
      </c>
    </row>
    <row r="764" spans="1:5" x14ac:dyDescent="0.25">
      <c r="A764" t="s">
        <v>38</v>
      </c>
      <c r="B764" t="s">
        <v>148</v>
      </c>
      <c r="C764" s="26" t="s">
        <v>441</v>
      </c>
      <c r="D764" s="26" t="s">
        <v>441</v>
      </c>
      <c r="E764">
        <v>0</v>
      </c>
    </row>
    <row r="765" spans="1:5" x14ac:dyDescent="0.25">
      <c r="A765" t="s">
        <v>47</v>
      </c>
      <c r="B765" t="s">
        <v>77</v>
      </c>
      <c r="C765" s="26" t="s">
        <v>441</v>
      </c>
      <c r="D765" s="26" t="s">
        <v>441</v>
      </c>
      <c r="E765">
        <v>0</v>
      </c>
    </row>
    <row r="766" spans="1:5" x14ac:dyDescent="0.25">
      <c r="A766" t="s">
        <v>27</v>
      </c>
      <c r="B766" t="s">
        <v>136</v>
      </c>
      <c r="C766" s="26" t="s">
        <v>442</v>
      </c>
      <c r="D766" s="26" t="s">
        <v>442</v>
      </c>
      <c r="E766">
        <v>0</v>
      </c>
    </row>
    <row r="767" spans="1:5" x14ac:dyDescent="0.25">
      <c r="A767" t="s">
        <v>45</v>
      </c>
      <c r="B767" t="s">
        <v>243</v>
      </c>
      <c r="C767" s="26" t="s">
        <v>442</v>
      </c>
      <c r="D767" s="26" t="s">
        <v>442</v>
      </c>
      <c r="E767">
        <v>0</v>
      </c>
    </row>
    <row r="768" spans="1:5" x14ac:dyDescent="0.25">
      <c r="A768" t="s">
        <v>27</v>
      </c>
      <c r="B768" t="s">
        <v>252</v>
      </c>
      <c r="C768" s="26" t="s">
        <v>442</v>
      </c>
      <c r="D768" s="26" t="s">
        <v>442</v>
      </c>
      <c r="E768">
        <v>0</v>
      </c>
    </row>
    <row r="769" spans="1:5" x14ac:dyDescent="0.25">
      <c r="A769" t="s">
        <v>27</v>
      </c>
      <c r="B769" t="s">
        <v>93</v>
      </c>
      <c r="C769" s="26" t="s">
        <v>442</v>
      </c>
      <c r="D769" s="26" t="s">
        <v>442</v>
      </c>
      <c r="E769">
        <v>0</v>
      </c>
    </row>
    <row r="770" spans="1:5" x14ac:dyDescent="0.25">
      <c r="A770" t="s">
        <v>10</v>
      </c>
      <c r="B770" t="s">
        <v>19</v>
      </c>
      <c r="C770" s="26" t="s">
        <v>442</v>
      </c>
      <c r="D770" s="26" t="s">
        <v>442</v>
      </c>
      <c r="E770">
        <v>0</v>
      </c>
    </row>
    <row r="771" spans="1:5" x14ac:dyDescent="0.25">
      <c r="A771" t="s">
        <v>5</v>
      </c>
      <c r="B771" t="s">
        <v>128</v>
      </c>
      <c r="C771" s="26" t="s">
        <v>442</v>
      </c>
      <c r="D771" s="26" t="s">
        <v>442</v>
      </c>
      <c r="E771">
        <v>0</v>
      </c>
    </row>
    <row r="772" spans="1:5" x14ac:dyDescent="0.25">
      <c r="A772" t="s">
        <v>45</v>
      </c>
      <c r="B772" t="s">
        <v>162</v>
      </c>
      <c r="C772" s="26" t="s">
        <v>442</v>
      </c>
      <c r="D772" s="26" t="s">
        <v>442</v>
      </c>
      <c r="E772">
        <v>0</v>
      </c>
    </row>
    <row r="773" spans="1:5" x14ac:dyDescent="0.25">
      <c r="A773" t="s">
        <v>5</v>
      </c>
      <c r="B773" t="s">
        <v>187</v>
      </c>
      <c r="C773" s="26" t="s">
        <v>443</v>
      </c>
      <c r="D773" s="26" t="s">
        <v>443</v>
      </c>
      <c r="E773">
        <v>0</v>
      </c>
    </row>
    <row r="774" spans="1:5" x14ac:dyDescent="0.25">
      <c r="A774" t="s">
        <v>5</v>
      </c>
      <c r="B774" t="s">
        <v>444</v>
      </c>
      <c r="C774" s="26" t="s">
        <v>443</v>
      </c>
      <c r="D774" s="26" t="s">
        <v>443</v>
      </c>
      <c r="E774">
        <v>0</v>
      </c>
    </row>
    <row r="775" spans="1:5" x14ac:dyDescent="0.25">
      <c r="A775" t="s">
        <v>27</v>
      </c>
      <c r="B775" t="s">
        <v>66</v>
      </c>
      <c r="C775" s="26" t="s">
        <v>445</v>
      </c>
      <c r="D775" s="26" t="s">
        <v>445</v>
      </c>
      <c r="E775">
        <v>0</v>
      </c>
    </row>
    <row r="776" spans="1:5" x14ac:dyDescent="0.25">
      <c r="A776" t="s">
        <v>45</v>
      </c>
      <c r="B776" t="s">
        <v>19</v>
      </c>
      <c r="C776" s="26" t="s">
        <v>445</v>
      </c>
      <c r="D776" s="26" t="s">
        <v>445</v>
      </c>
      <c r="E776">
        <v>0</v>
      </c>
    </row>
    <row r="777" spans="1:5" x14ac:dyDescent="0.25">
      <c r="A777" t="s">
        <v>27</v>
      </c>
      <c r="B777" t="s">
        <v>11</v>
      </c>
      <c r="C777" s="26" t="s">
        <v>446</v>
      </c>
      <c r="D777" s="26" t="s">
        <v>446</v>
      </c>
      <c r="E777">
        <v>0</v>
      </c>
    </row>
    <row r="778" spans="1:5" x14ac:dyDescent="0.25">
      <c r="A778" t="s">
        <v>16</v>
      </c>
      <c r="B778" t="s">
        <v>92</v>
      </c>
      <c r="C778" s="26" t="s">
        <v>446</v>
      </c>
      <c r="D778" s="26" t="s">
        <v>446</v>
      </c>
      <c r="E778">
        <v>0</v>
      </c>
    </row>
    <row r="779" spans="1:5" x14ac:dyDescent="0.25">
      <c r="A779" t="s">
        <v>16</v>
      </c>
      <c r="B779" t="s">
        <v>279</v>
      </c>
      <c r="C779" s="26" t="s">
        <v>446</v>
      </c>
      <c r="D779" s="26" t="s">
        <v>446</v>
      </c>
      <c r="E779">
        <v>0</v>
      </c>
    </row>
    <row r="780" spans="1:5" x14ac:dyDescent="0.25">
      <c r="A780" t="s">
        <v>18</v>
      </c>
      <c r="B780" t="s">
        <v>229</v>
      </c>
      <c r="C780" s="26" t="s">
        <v>447</v>
      </c>
      <c r="D780" s="26" t="s">
        <v>447</v>
      </c>
      <c r="E780">
        <v>0</v>
      </c>
    </row>
    <row r="781" spans="1:5" x14ac:dyDescent="0.25">
      <c r="A781" t="s">
        <v>38</v>
      </c>
      <c r="B781" t="s">
        <v>296</v>
      </c>
      <c r="C781" s="26" t="s">
        <v>448</v>
      </c>
      <c r="D781" s="26" t="s">
        <v>448</v>
      </c>
      <c r="E781">
        <v>0</v>
      </c>
    </row>
    <row r="782" spans="1:5" x14ac:dyDescent="0.25">
      <c r="A782" t="s">
        <v>27</v>
      </c>
      <c r="B782" t="s">
        <v>81</v>
      </c>
      <c r="C782" s="26" t="s">
        <v>449</v>
      </c>
      <c r="D782" s="26" t="s">
        <v>449</v>
      </c>
      <c r="E782">
        <v>0</v>
      </c>
    </row>
    <row r="783" spans="1:5" x14ac:dyDescent="0.25">
      <c r="A783" t="s">
        <v>45</v>
      </c>
      <c r="B783" t="s">
        <v>300</v>
      </c>
      <c r="C783" s="26" t="s">
        <v>449</v>
      </c>
      <c r="D783" s="26" t="s">
        <v>449</v>
      </c>
      <c r="E783">
        <v>0</v>
      </c>
    </row>
    <row r="784" spans="1:5" x14ac:dyDescent="0.25">
      <c r="A784" t="s">
        <v>38</v>
      </c>
      <c r="B784" t="s">
        <v>94</v>
      </c>
      <c r="C784" s="26" t="s">
        <v>449</v>
      </c>
      <c r="D784" s="26" t="s">
        <v>449</v>
      </c>
      <c r="E784">
        <v>0</v>
      </c>
    </row>
    <row r="785" spans="1:5" x14ac:dyDescent="0.25">
      <c r="A785" t="s">
        <v>16</v>
      </c>
      <c r="B785" t="s">
        <v>101</v>
      </c>
      <c r="C785" s="26" t="s">
        <v>450</v>
      </c>
      <c r="D785" s="26" t="s">
        <v>450</v>
      </c>
      <c r="E785">
        <v>0</v>
      </c>
    </row>
    <row r="786" spans="1:5" x14ac:dyDescent="0.25">
      <c r="A786" t="s">
        <v>47</v>
      </c>
      <c r="B786" t="s">
        <v>182</v>
      </c>
      <c r="C786" s="26" t="s">
        <v>451</v>
      </c>
      <c r="D786" s="26" t="s">
        <v>451</v>
      </c>
      <c r="E786">
        <v>0</v>
      </c>
    </row>
    <row r="787" spans="1:5" x14ac:dyDescent="0.25">
      <c r="A787" t="s">
        <v>25</v>
      </c>
      <c r="B787" t="s">
        <v>385</v>
      </c>
      <c r="C787" s="26" t="s">
        <v>451</v>
      </c>
      <c r="D787" s="26" t="s">
        <v>451</v>
      </c>
      <c r="E787">
        <v>0</v>
      </c>
    </row>
    <row r="788" spans="1:5" x14ac:dyDescent="0.25">
      <c r="A788" t="s">
        <v>18</v>
      </c>
      <c r="B788" t="s">
        <v>195</v>
      </c>
      <c r="C788" s="26" t="s">
        <v>452</v>
      </c>
      <c r="D788" s="26" t="s">
        <v>452</v>
      </c>
      <c r="E788">
        <v>0</v>
      </c>
    </row>
    <row r="789" spans="1:5" x14ac:dyDescent="0.25">
      <c r="A789" t="s">
        <v>30</v>
      </c>
      <c r="B789" t="s">
        <v>39</v>
      </c>
      <c r="C789" s="26" t="s">
        <v>453</v>
      </c>
      <c r="D789" s="26" t="s">
        <v>453</v>
      </c>
      <c r="E789">
        <v>0</v>
      </c>
    </row>
    <row r="790" spans="1:5" x14ac:dyDescent="0.25">
      <c r="A790" t="s">
        <v>5</v>
      </c>
      <c r="B790" t="s">
        <v>82</v>
      </c>
      <c r="C790" s="26" t="s">
        <v>453</v>
      </c>
      <c r="D790" s="26" t="s">
        <v>453</v>
      </c>
      <c r="E790">
        <v>0</v>
      </c>
    </row>
    <row r="791" spans="1:5" x14ac:dyDescent="0.25">
      <c r="A791" t="s">
        <v>16</v>
      </c>
      <c r="B791" t="s">
        <v>114</v>
      </c>
      <c r="C791" s="26" t="s">
        <v>454</v>
      </c>
      <c r="D791" s="26" t="s">
        <v>454</v>
      </c>
      <c r="E791">
        <v>0</v>
      </c>
    </row>
    <row r="792" spans="1:5" x14ac:dyDescent="0.25">
      <c r="A792" t="s">
        <v>27</v>
      </c>
      <c r="B792" t="s">
        <v>14</v>
      </c>
      <c r="C792" s="26" t="s">
        <v>454</v>
      </c>
      <c r="D792" s="26" t="s">
        <v>454</v>
      </c>
      <c r="E792">
        <v>0</v>
      </c>
    </row>
    <row r="793" spans="1:5" x14ac:dyDescent="0.25">
      <c r="A793" t="s">
        <v>5</v>
      </c>
      <c r="B793" t="s">
        <v>142</v>
      </c>
      <c r="C793" s="26" t="s">
        <v>454</v>
      </c>
      <c r="D793" s="26" t="s">
        <v>454</v>
      </c>
      <c r="E793">
        <v>0</v>
      </c>
    </row>
    <row r="794" spans="1:5" x14ac:dyDescent="0.25">
      <c r="A794" t="s">
        <v>18</v>
      </c>
      <c r="B794" t="s">
        <v>9</v>
      </c>
      <c r="C794" s="26" t="s">
        <v>455</v>
      </c>
      <c r="D794" s="26" t="s">
        <v>455</v>
      </c>
      <c r="E794">
        <v>0</v>
      </c>
    </row>
    <row r="795" spans="1:5" x14ac:dyDescent="0.25">
      <c r="A795" t="s">
        <v>30</v>
      </c>
      <c r="B795" t="s">
        <v>130</v>
      </c>
      <c r="C795" s="26" t="s">
        <v>455</v>
      </c>
      <c r="D795" s="26" t="s">
        <v>455</v>
      </c>
      <c r="E795">
        <v>0</v>
      </c>
    </row>
    <row r="796" spans="1:5" x14ac:dyDescent="0.25">
      <c r="A796" t="s">
        <v>45</v>
      </c>
      <c r="B796" t="s">
        <v>69</v>
      </c>
      <c r="C796" s="26" t="s">
        <v>455</v>
      </c>
      <c r="D796" s="26" t="s">
        <v>455</v>
      </c>
      <c r="E796">
        <v>0</v>
      </c>
    </row>
    <row r="797" spans="1:5" x14ac:dyDescent="0.25">
      <c r="A797" t="s">
        <v>25</v>
      </c>
      <c r="B797" t="s">
        <v>98</v>
      </c>
      <c r="C797" s="26" t="s">
        <v>456</v>
      </c>
      <c r="D797" s="26" t="s">
        <v>456</v>
      </c>
      <c r="E797">
        <v>0</v>
      </c>
    </row>
    <row r="798" spans="1:5" x14ac:dyDescent="0.25">
      <c r="A798" t="s">
        <v>16</v>
      </c>
      <c r="B798" t="s">
        <v>33</v>
      </c>
      <c r="C798" s="26" t="s">
        <v>456</v>
      </c>
      <c r="D798" s="26" t="s">
        <v>456</v>
      </c>
      <c r="E798">
        <v>0</v>
      </c>
    </row>
    <row r="799" spans="1:5" x14ac:dyDescent="0.25">
      <c r="A799" t="s">
        <v>30</v>
      </c>
      <c r="B799" t="s">
        <v>196</v>
      </c>
      <c r="C799" s="26" t="s">
        <v>456</v>
      </c>
      <c r="D799" s="26" t="s">
        <v>456</v>
      </c>
      <c r="E799">
        <v>0</v>
      </c>
    </row>
    <row r="800" spans="1:5" x14ac:dyDescent="0.25">
      <c r="A800" t="s">
        <v>25</v>
      </c>
      <c r="B800" t="s">
        <v>11</v>
      </c>
      <c r="C800" s="26" t="s">
        <v>456</v>
      </c>
      <c r="D800" s="26" t="s">
        <v>456</v>
      </c>
      <c r="E800">
        <v>0</v>
      </c>
    </row>
    <row r="801" spans="1:5" x14ac:dyDescent="0.25">
      <c r="A801" t="s">
        <v>45</v>
      </c>
      <c r="B801" t="s">
        <v>295</v>
      </c>
      <c r="C801" s="26" t="s">
        <v>456</v>
      </c>
      <c r="D801" s="26" t="s">
        <v>456</v>
      </c>
      <c r="E801">
        <v>0</v>
      </c>
    </row>
    <row r="802" spans="1:5" x14ac:dyDescent="0.25">
      <c r="A802" t="s">
        <v>27</v>
      </c>
      <c r="B802" t="s">
        <v>146</v>
      </c>
      <c r="C802" s="26" t="s">
        <v>456</v>
      </c>
      <c r="D802" s="26" t="s">
        <v>456</v>
      </c>
      <c r="E802">
        <v>0</v>
      </c>
    </row>
    <row r="803" spans="1:5" x14ac:dyDescent="0.25">
      <c r="A803" t="s">
        <v>8</v>
      </c>
      <c r="B803" t="s">
        <v>195</v>
      </c>
      <c r="C803" s="26" t="s">
        <v>457</v>
      </c>
      <c r="D803" s="26" t="s">
        <v>457</v>
      </c>
      <c r="E803">
        <v>0</v>
      </c>
    </row>
    <row r="804" spans="1:5" x14ac:dyDescent="0.25">
      <c r="A804" t="s">
        <v>45</v>
      </c>
      <c r="B804" t="s">
        <v>176</v>
      </c>
      <c r="C804" s="26" t="s">
        <v>457</v>
      </c>
      <c r="D804" s="26" t="s">
        <v>457</v>
      </c>
      <c r="E804">
        <v>0</v>
      </c>
    </row>
    <row r="805" spans="1:5" x14ac:dyDescent="0.25">
      <c r="A805" t="s">
        <v>27</v>
      </c>
      <c r="B805" t="s">
        <v>186</v>
      </c>
      <c r="C805" s="26" t="s">
        <v>459</v>
      </c>
      <c r="D805" s="26" t="s">
        <v>459</v>
      </c>
      <c r="E805">
        <v>0</v>
      </c>
    </row>
    <row r="806" spans="1:5" x14ac:dyDescent="0.25">
      <c r="A806" t="s">
        <v>38</v>
      </c>
      <c r="B806" t="s">
        <v>139</v>
      </c>
      <c r="C806" s="26" t="s">
        <v>460</v>
      </c>
      <c r="D806" s="26" t="s">
        <v>460</v>
      </c>
      <c r="E806">
        <v>0</v>
      </c>
    </row>
    <row r="807" spans="1:5" x14ac:dyDescent="0.25">
      <c r="A807" t="s">
        <v>27</v>
      </c>
      <c r="B807" t="s">
        <v>217</v>
      </c>
      <c r="C807" s="26" t="s">
        <v>461</v>
      </c>
      <c r="D807" s="26" t="s">
        <v>461</v>
      </c>
      <c r="E807">
        <v>0</v>
      </c>
    </row>
  </sheetData>
  <sortState xmlns:xlrd2="http://schemas.microsoft.com/office/spreadsheetml/2017/richdata2" ref="A2:E1003">
    <sortCondition descending="1" ref="E1:E1003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8E9093-6F3B-44C2-B6BC-CC468EF6947D}">
  <sheetPr filterMode="1"/>
  <dimension ref="A1:N1002"/>
  <sheetViews>
    <sheetView workbookViewId="0">
      <selection activeCell="E15" sqref="E15:G104"/>
    </sheetView>
  </sheetViews>
  <sheetFormatPr defaultRowHeight="15" x14ac:dyDescent="0.25"/>
  <cols>
    <col min="1" max="1" width="36.28515625" bestFit="1" customWidth="1"/>
    <col min="2" max="2" width="9.140625" bestFit="1" customWidth="1"/>
    <col min="3" max="3" width="29.85546875" bestFit="1" customWidth="1"/>
    <col min="5" max="5" width="35.85546875" customWidth="1"/>
    <col min="6" max="6" width="15" customWidth="1"/>
    <col min="7" max="7" width="21.5703125" customWidth="1"/>
    <col min="8" max="8" width="16.28515625" customWidth="1"/>
    <col min="9" max="9" width="5.5703125" customWidth="1"/>
    <col min="10" max="11" width="36.140625" customWidth="1"/>
    <col min="13" max="13" width="36.28515625" bestFit="1" customWidth="1"/>
    <col min="14" max="14" width="37" bestFit="1" customWidth="1"/>
  </cols>
  <sheetData>
    <row r="1" spans="1:14" x14ac:dyDescent="0.25">
      <c r="A1" s="22" t="s">
        <v>512</v>
      </c>
      <c r="B1" t="s">
        <v>484</v>
      </c>
      <c r="C1" t="s">
        <v>515</v>
      </c>
      <c r="E1" t="s">
        <v>512</v>
      </c>
      <c r="F1" t="s">
        <v>484</v>
      </c>
      <c r="G1" t="s">
        <v>515</v>
      </c>
      <c r="H1" t="s">
        <v>522</v>
      </c>
      <c r="J1" s="1" t="s">
        <v>0</v>
      </c>
      <c r="K1" s="1" t="s">
        <v>1</v>
      </c>
      <c r="L1" s="23"/>
      <c r="M1" s="22" t="s">
        <v>512</v>
      </c>
      <c r="N1" t="s">
        <v>522</v>
      </c>
    </row>
    <row r="2" spans="1:14" hidden="1" x14ac:dyDescent="0.25">
      <c r="A2" s="20" t="s">
        <v>332</v>
      </c>
      <c r="B2" s="23">
        <v>4</v>
      </c>
      <c r="C2" s="23">
        <v>160160</v>
      </c>
      <c r="E2" t="s">
        <v>332</v>
      </c>
      <c r="F2">
        <v>4</v>
      </c>
      <c r="G2">
        <v>160160</v>
      </c>
      <c r="H2" s="23">
        <v>4</v>
      </c>
      <c r="J2" t="s">
        <v>5</v>
      </c>
      <c r="K2" t="s">
        <v>6</v>
      </c>
      <c r="L2" s="23"/>
      <c r="M2" s="20" t="s">
        <v>332</v>
      </c>
      <c r="N2" s="23">
        <v>4</v>
      </c>
    </row>
    <row r="3" spans="1:14" hidden="1" x14ac:dyDescent="0.25">
      <c r="A3" s="20" t="s">
        <v>90</v>
      </c>
      <c r="B3" s="23">
        <v>8</v>
      </c>
      <c r="C3" s="23">
        <v>432899</v>
      </c>
      <c r="E3" t="s">
        <v>90</v>
      </c>
      <c r="F3">
        <v>8</v>
      </c>
      <c r="G3">
        <v>432899</v>
      </c>
      <c r="H3" s="23">
        <v>7</v>
      </c>
      <c r="J3" t="s">
        <v>8</v>
      </c>
      <c r="K3" t="s">
        <v>9</v>
      </c>
      <c r="L3" s="23"/>
      <c r="M3" s="20" t="s">
        <v>90</v>
      </c>
      <c r="N3" s="23">
        <v>7</v>
      </c>
    </row>
    <row r="4" spans="1:14" hidden="1" x14ac:dyDescent="0.25">
      <c r="A4" s="20" t="s">
        <v>206</v>
      </c>
      <c r="B4" s="23">
        <v>4</v>
      </c>
      <c r="C4" s="23">
        <v>180778</v>
      </c>
      <c r="E4" t="s">
        <v>206</v>
      </c>
      <c r="F4">
        <v>4</v>
      </c>
      <c r="G4">
        <v>180778</v>
      </c>
      <c r="H4" s="23">
        <v>3</v>
      </c>
      <c r="J4" t="s">
        <v>10</v>
      </c>
      <c r="K4" t="s">
        <v>11</v>
      </c>
      <c r="L4" s="23"/>
      <c r="M4" s="20" t="s">
        <v>206</v>
      </c>
      <c r="N4" s="23">
        <v>3</v>
      </c>
    </row>
    <row r="5" spans="1:14" hidden="1" x14ac:dyDescent="0.25">
      <c r="A5" s="20" t="s">
        <v>31</v>
      </c>
      <c r="B5" s="23">
        <v>5</v>
      </c>
      <c r="C5" s="23">
        <v>266851</v>
      </c>
      <c r="E5" t="s">
        <v>31</v>
      </c>
      <c r="F5">
        <v>5</v>
      </c>
      <c r="G5">
        <v>266851</v>
      </c>
      <c r="H5" s="23">
        <v>4</v>
      </c>
      <c r="J5" t="s">
        <v>13</v>
      </c>
      <c r="K5" t="s">
        <v>14</v>
      </c>
      <c r="L5" s="23"/>
      <c r="M5" s="20" t="s">
        <v>31</v>
      </c>
      <c r="N5" s="23">
        <v>4</v>
      </c>
    </row>
    <row r="6" spans="1:14" hidden="1" x14ac:dyDescent="0.25">
      <c r="A6" s="20" t="s">
        <v>165</v>
      </c>
      <c r="B6" s="23">
        <v>3</v>
      </c>
      <c r="C6" s="23">
        <v>141363</v>
      </c>
      <c r="E6" t="s">
        <v>165</v>
      </c>
      <c r="F6">
        <v>3</v>
      </c>
      <c r="G6">
        <v>141363</v>
      </c>
      <c r="H6" s="23">
        <v>2</v>
      </c>
      <c r="J6" t="s">
        <v>5</v>
      </c>
      <c r="K6" t="s">
        <v>15</v>
      </c>
      <c r="L6" s="23"/>
      <c r="M6" s="20" t="s">
        <v>165</v>
      </c>
      <c r="N6" s="23">
        <v>2</v>
      </c>
    </row>
    <row r="7" spans="1:14" hidden="1" x14ac:dyDescent="0.25">
      <c r="A7" s="20" t="s">
        <v>125</v>
      </c>
      <c r="B7" s="23">
        <v>8</v>
      </c>
      <c r="C7" s="23">
        <v>401433</v>
      </c>
      <c r="E7" t="s">
        <v>125</v>
      </c>
      <c r="F7">
        <v>8</v>
      </c>
      <c r="G7">
        <v>401433</v>
      </c>
      <c r="H7" s="23">
        <v>6</v>
      </c>
      <c r="J7" t="s">
        <v>16</v>
      </c>
      <c r="K7" t="s">
        <v>17</v>
      </c>
      <c r="L7" s="23"/>
      <c r="M7" s="20" t="s">
        <v>125</v>
      </c>
      <c r="N7" s="23">
        <v>6</v>
      </c>
    </row>
    <row r="8" spans="1:14" hidden="1" x14ac:dyDescent="0.25">
      <c r="A8" s="20" t="s">
        <v>201</v>
      </c>
      <c r="B8" s="23">
        <v>2</v>
      </c>
      <c r="C8" s="23">
        <v>66931</v>
      </c>
      <c r="E8" t="s">
        <v>201</v>
      </c>
      <c r="F8">
        <v>2</v>
      </c>
      <c r="G8">
        <v>66931</v>
      </c>
      <c r="H8" s="23">
        <v>2</v>
      </c>
      <c r="J8" t="s">
        <v>18</v>
      </c>
      <c r="K8" t="s">
        <v>19</v>
      </c>
      <c r="L8" s="23"/>
      <c r="M8" s="20" t="s">
        <v>201</v>
      </c>
      <c r="N8" s="23">
        <v>2</v>
      </c>
    </row>
    <row r="9" spans="1:14" hidden="1" x14ac:dyDescent="0.25">
      <c r="A9" s="20" t="s">
        <v>137</v>
      </c>
      <c r="B9" s="23">
        <v>6</v>
      </c>
      <c r="C9" s="23">
        <v>395057</v>
      </c>
      <c r="E9" t="s">
        <v>137</v>
      </c>
      <c r="F9">
        <v>6</v>
      </c>
      <c r="G9">
        <v>395057</v>
      </c>
      <c r="H9" s="23">
        <v>6</v>
      </c>
      <c r="J9" t="s">
        <v>18</v>
      </c>
      <c r="K9" t="s">
        <v>20</v>
      </c>
      <c r="L9" s="23"/>
      <c r="M9" s="20" t="s">
        <v>137</v>
      </c>
      <c r="N9" s="23">
        <v>6</v>
      </c>
    </row>
    <row r="10" spans="1:14" hidden="1" x14ac:dyDescent="0.25">
      <c r="A10" s="20" t="s">
        <v>126</v>
      </c>
      <c r="B10" s="23">
        <v>6</v>
      </c>
      <c r="C10" s="23">
        <v>312620</v>
      </c>
      <c r="E10" t="s">
        <v>126</v>
      </c>
      <c r="F10">
        <v>6</v>
      </c>
      <c r="G10">
        <v>312620</v>
      </c>
      <c r="H10" s="23">
        <v>5</v>
      </c>
      <c r="J10" t="s">
        <v>13</v>
      </c>
      <c r="K10" t="s">
        <v>21</v>
      </c>
      <c r="L10" s="23"/>
      <c r="M10" s="20" t="s">
        <v>126</v>
      </c>
      <c r="N10" s="23">
        <v>5</v>
      </c>
    </row>
    <row r="11" spans="1:14" hidden="1" x14ac:dyDescent="0.25">
      <c r="A11" s="20" t="s">
        <v>212</v>
      </c>
      <c r="B11" s="23">
        <v>4</v>
      </c>
      <c r="C11" s="23">
        <v>242415</v>
      </c>
      <c r="E11" t="s">
        <v>212</v>
      </c>
      <c r="F11">
        <v>4</v>
      </c>
      <c r="G11">
        <v>242415</v>
      </c>
      <c r="H11" s="23">
        <v>4</v>
      </c>
      <c r="J11" t="s">
        <v>10</v>
      </c>
      <c r="K11" t="s">
        <v>22</v>
      </c>
      <c r="L11" s="23"/>
      <c r="M11" s="20" t="s">
        <v>212</v>
      </c>
      <c r="N11" s="23">
        <v>4</v>
      </c>
    </row>
    <row r="12" spans="1:14" hidden="1" x14ac:dyDescent="0.25">
      <c r="A12" s="20" t="s">
        <v>57</v>
      </c>
      <c r="B12" s="23">
        <v>8</v>
      </c>
      <c r="C12" s="23">
        <v>425363</v>
      </c>
      <c r="E12" t="s">
        <v>57</v>
      </c>
      <c r="F12">
        <v>8</v>
      </c>
      <c r="G12">
        <v>425363</v>
      </c>
      <c r="H12" s="23">
        <v>5</v>
      </c>
      <c r="J12" t="s">
        <v>18</v>
      </c>
      <c r="K12" t="s">
        <v>24</v>
      </c>
      <c r="L12" s="23"/>
      <c r="M12" s="20" t="s">
        <v>57</v>
      </c>
      <c r="N12" s="23">
        <v>5</v>
      </c>
    </row>
    <row r="13" spans="1:14" hidden="1" x14ac:dyDescent="0.25">
      <c r="A13" s="20" t="s">
        <v>267</v>
      </c>
      <c r="B13" s="23">
        <v>2</v>
      </c>
      <c r="C13" s="23">
        <v>125362</v>
      </c>
      <c r="E13" t="s">
        <v>267</v>
      </c>
      <c r="F13">
        <v>2</v>
      </c>
      <c r="G13">
        <v>125362</v>
      </c>
      <c r="H13" s="23">
        <v>2</v>
      </c>
      <c r="J13" t="s">
        <v>25</v>
      </c>
      <c r="K13" t="s">
        <v>26</v>
      </c>
      <c r="L13" s="23"/>
      <c r="M13" s="20" t="s">
        <v>267</v>
      </c>
      <c r="N13" s="23">
        <v>2</v>
      </c>
    </row>
    <row r="14" spans="1:14" hidden="1" x14ac:dyDescent="0.25">
      <c r="A14" s="20" t="s">
        <v>313</v>
      </c>
      <c r="B14" s="23">
        <v>2</v>
      </c>
      <c r="C14" s="23">
        <v>123627</v>
      </c>
      <c r="E14" t="s">
        <v>313</v>
      </c>
      <c r="F14">
        <v>2</v>
      </c>
      <c r="G14">
        <v>123627</v>
      </c>
      <c r="H14" s="23">
        <v>2</v>
      </c>
      <c r="J14" t="s">
        <v>27</v>
      </c>
      <c r="K14" t="s">
        <v>28</v>
      </c>
      <c r="L14" s="23"/>
      <c r="M14" s="20" t="s">
        <v>313</v>
      </c>
      <c r="N14" s="23">
        <v>2</v>
      </c>
    </row>
    <row r="15" spans="1:14" x14ac:dyDescent="0.25">
      <c r="A15" s="20" t="s">
        <v>382</v>
      </c>
      <c r="B15" s="23">
        <v>1</v>
      </c>
      <c r="C15" s="23">
        <v>40276</v>
      </c>
      <c r="E15" t="s">
        <v>117</v>
      </c>
      <c r="F15">
        <v>3</v>
      </c>
      <c r="G15">
        <v>272074</v>
      </c>
      <c r="H15" s="23">
        <v>1</v>
      </c>
      <c r="J15" t="s">
        <v>30</v>
      </c>
      <c r="K15" t="s">
        <v>31</v>
      </c>
      <c r="L15" s="23"/>
      <c r="M15" s="20" t="s">
        <v>382</v>
      </c>
      <c r="N15" s="23">
        <v>1</v>
      </c>
    </row>
    <row r="16" spans="1:14" hidden="1" x14ac:dyDescent="0.25">
      <c r="A16" s="20" t="s">
        <v>98</v>
      </c>
      <c r="B16" s="23">
        <v>3</v>
      </c>
      <c r="C16" s="23">
        <v>190553</v>
      </c>
      <c r="E16" t="s">
        <v>98</v>
      </c>
      <c r="F16">
        <v>3</v>
      </c>
      <c r="G16">
        <v>190553</v>
      </c>
      <c r="H16" s="23">
        <v>3</v>
      </c>
      <c r="J16" t="s">
        <v>13</v>
      </c>
      <c r="K16" t="s">
        <v>32</v>
      </c>
      <c r="L16" s="23"/>
      <c r="M16" s="20" t="s">
        <v>98</v>
      </c>
      <c r="N16" s="23">
        <v>3</v>
      </c>
    </row>
    <row r="17" spans="1:14" hidden="1" x14ac:dyDescent="0.25">
      <c r="A17" s="20" t="s">
        <v>219</v>
      </c>
      <c r="B17" s="23">
        <v>2</v>
      </c>
      <c r="C17" s="23">
        <v>79009</v>
      </c>
      <c r="E17" t="s">
        <v>219</v>
      </c>
      <c r="F17">
        <v>2</v>
      </c>
      <c r="G17">
        <v>79009</v>
      </c>
      <c r="H17" s="23">
        <v>2</v>
      </c>
      <c r="J17" t="s">
        <v>25</v>
      </c>
      <c r="K17" t="s">
        <v>33</v>
      </c>
      <c r="L17" s="23"/>
      <c r="M17" s="20" t="s">
        <v>219</v>
      </c>
      <c r="N17" s="23">
        <v>2</v>
      </c>
    </row>
    <row r="18" spans="1:14" hidden="1" x14ac:dyDescent="0.25">
      <c r="A18" s="20" t="s">
        <v>151</v>
      </c>
      <c r="B18" s="23">
        <v>3</v>
      </c>
      <c r="C18" s="23">
        <v>138388</v>
      </c>
      <c r="E18" t="s">
        <v>151</v>
      </c>
      <c r="F18">
        <v>3</v>
      </c>
      <c r="G18">
        <v>138388</v>
      </c>
      <c r="H18" s="23">
        <v>3</v>
      </c>
      <c r="J18" t="s">
        <v>16</v>
      </c>
      <c r="K18" t="s">
        <v>20</v>
      </c>
      <c r="L18" s="23"/>
      <c r="M18" s="20" t="s">
        <v>151</v>
      </c>
      <c r="N18" s="23">
        <v>3</v>
      </c>
    </row>
    <row r="19" spans="1:14" hidden="1" x14ac:dyDescent="0.25">
      <c r="A19" s="20" t="s">
        <v>81</v>
      </c>
      <c r="B19" s="23">
        <v>7</v>
      </c>
      <c r="C19" s="23">
        <v>341184</v>
      </c>
      <c r="E19" t="s">
        <v>81</v>
      </c>
      <c r="F19">
        <v>7</v>
      </c>
      <c r="G19">
        <v>341184</v>
      </c>
      <c r="H19" s="23">
        <v>6</v>
      </c>
      <c r="J19" t="s">
        <v>16</v>
      </c>
      <c r="K19" t="s">
        <v>35</v>
      </c>
      <c r="L19" s="23"/>
      <c r="M19" s="20" t="s">
        <v>81</v>
      </c>
      <c r="N19" s="23">
        <v>6</v>
      </c>
    </row>
    <row r="20" spans="1:14" hidden="1" x14ac:dyDescent="0.25">
      <c r="A20" s="20" t="s">
        <v>74</v>
      </c>
      <c r="B20" s="23">
        <v>3</v>
      </c>
      <c r="C20" s="23">
        <v>149007</v>
      </c>
      <c r="E20" t="s">
        <v>74</v>
      </c>
      <c r="F20">
        <v>3</v>
      </c>
      <c r="G20">
        <v>149007</v>
      </c>
      <c r="H20" s="23">
        <v>3</v>
      </c>
      <c r="J20" t="s">
        <v>8</v>
      </c>
      <c r="K20" t="s">
        <v>36</v>
      </c>
      <c r="L20" s="23"/>
      <c r="M20" s="20" t="s">
        <v>74</v>
      </c>
      <c r="N20" s="23">
        <v>3</v>
      </c>
    </row>
    <row r="21" spans="1:14" hidden="1" x14ac:dyDescent="0.25">
      <c r="A21" s="20" t="s">
        <v>6</v>
      </c>
      <c r="B21" s="23">
        <v>5</v>
      </c>
      <c r="C21" s="23">
        <v>310278</v>
      </c>
      <c r="E21" t="s">
        <v>6</v>
      </c>
      <c r="F21">
        <v>5</v>
      </c>
      <c r="G21">
        <v>310278</v>
      </c>
      <c r="H21" s="23">
        <v>5</v>
      </c>
      <c r="J21" t="s">
        <v>8</v>
      </c>
      <c r="K21" t="s">
        <v>37</v>
      </c>
      <c r="L21" s="23"/>
      <c r="M21" s="20" t="s">
        <v>6</v>
      </c>
      <c r="N21" s="23">
        <v>5</v>
      </c>
    </row>
    <row r="22" spans="1:14" hidden="1" x14ac:dyDescent="0.25">
      <c r="A22" s="20" t="s">
        <v>293</v>
      </c>
      <c r="B22" s="23">
        <v>2</v>
      </c>
      <c r="C22" s="23">
        <v>83103</v>
      </c>
      <c r="E22" t="s">
        <v>293</v>
      </c>
      <c r="F22">
        <v>2</v>
      </c>
      <c r="G22">
        <v>83103</v>
      </c>
      <c r="H22" s="23">
        <v>2</v>
      </c>
      <c r="J22" t="s">
        <v>38</v>
      </c>
      <c r="K22" t="s">
        <v>39</v>
      </c>
      <c r="L22" s="23"/>
      <c r="M22" s="20" t="s">
        <v>293</v>
      </c>
      <c r="N22" s="23">
        <v>2</v>
      </c>
    </row>
    <row r="23" spans="1:14" hidden="1" x14ac:dyDescent="0.25">
      <c r="A23" s="20" t="s">
        <v>129</v>
      </c>
      <c r="B23" s="23">
        <v>4</v>
      </c>
      <c r="C23" s="23">
        <v>141853</v>
      </c>
      <c r="E23" t="s">
        <v>129</v>
      </c>
      <c r="F23">
        <v>4</v>
      </c>
      <c r="G23">
        <v>141853</v>
      </c>
      <c r="H23" s="23">
        <v>3</v>
      </c>
      <c r="J23" t="s">
        <v>16</v>
      </c>
      <c r="K23" t="s">
        <v>41</v>
      </c>
      <c r="L23" s="23"/>
      <c r="M23" s="20" t="s">
        <v>129</v>
      </c>
      <c r="N23" s="23">
        <v>3</v>
      </c>
    </row>
    <row r="24" spans="1:14" hidden="1" x14ac:dyDescent="0.25">
      <c r="A24" s="20" t="s">
        <v>70</v>
      </c>
      <c r="B24" s="23">
        <v>4</v>
      </c>
      <c r="C24" s="23">
        <v>252292</v>
      </c>
      <c r="E24" t="s">
        <v>70</v>
      </c>
      <c r="F24">
        <v>4</v>
      </c>
      <c r="G24">
        <v>252292</v>
      </c>
      <c r="H24" s="23">
        <v>3</v>
      </c>
      <c r="J24" t="s">
        <v>18</v>
      </c>
      <c r="K24" t="s">
        <v>42</v>
      </c>
      <c r="L24" s="23"/>
      <c r="M24" s="20" t="s">
        <v>70</v>
      </c>
      <c r="N24" s="23">
        <v>3</v>
      </c>
    </row>
    <row r="25" spans="1:14" hidden="1" x14ac:dyDescent="0.25">
      <c r="A25" s="20" t="s">
        <v>123</v>
      </c>
      <c r="B25" s="23">
        <v>2</v>
      </c>
      <c r="C25" s="23">
        <v>77765</v>
      </c>
      <c r="E25" t="s">
        <v>123</v>
      </c>
      <c r="F25">
        <v>2</v>
      </c>
      <c r="G25">
        <v>77765</v>
      </c>
      <c r="H25" s="23">
        <v>2</v>
      </c>
      <c r="J25" t="s">
        <v>18</v>
      </c>
      <c r="K25" t="s">
        <v>43</v>
      </c>
      <c r="L25" s="23"/>
      <c r="M25" s="20" t="s">
        <v>123</v>
      </c>
      <c r="N25" s="23">
        <v>2</v>
      </c>
    </row>
    <row r="26" spans="1:14" hidden="1" x14ac:dyDescent="0.25">
      <c r="A26" s="20" t="s">
        <v>24</v>
      </c>
      <c r="B26" s="23">
        <v>6</v>
      </c>
      <c r="C26" s="23">
        <v>254177</v>
      </c>
      <c r="E26" t="s">
        <v>24</v>
      </c>
      <c r="F26">
        <v>6</v>
      </c>
      <c r="G26">
        <v>254177</v>
      </c>
      <c r="H26" s="23">
        <v>4</v>
      </c>
      <c r="J26" t="s">
        <v>45</v>
      </c>
      <c r="K26" t="s">
        <v>46</v>
      </c>
      <c r="L26" s="23"/>
      <c r="M26" s="20" t="s">
        <v>24</v>
      </c>
      <c r="N26" s="23">
        <v>4</v>
      </c>
    </row>
    <row r="27" spans="1:14" hidden="1" x14ac:dyDescent="0.25">
      <c r="A27" s="20" t="s">
        <v>21</v>
      </c>
      <c r="B27" s="23">
        <v>3</v>
      </c>
      <c r="C27" s="23">
        <v>108199</v>
      </c>
      <c r="E27" t="s">
        <v>21</v>
      </c>
      <c r="F27">
        <v>3</v>
      </c>
      <c r="G27">
        <v>108199</v>
      </c>
      <c r="H27" s="23">
        <v>3</v>
      </c>
      <c r="J27" t="s">
        <v>47</v>
      </c>
      <c r="K27" t="s">
        <v>48</v>
      </c>
      <c r="M27" s="20" t="s">
        <v>21</v>
      </c>
      <c r="N27" s="23">
        <v>3</v>
      </c>
    </row>
    <row r="28" spans="1:14" x14ac:dyDescent="0.25">
      <c r="A28" s="20" t="s">
        <v>444</v>
      </c>
      <c r="B28" s="23">
        <v>1</v>
      </c>
      <c r="C28" s="23">
        <v>42249</v>
      </c>
      <c r="E28" t="s">
        <v>178</v>
      </c>
      <c r="F28">
        <v>2</v>
      </c>
      <c r="G28">
        <v>171684</v>
      </c>
      <c r="H28" s="23">
        <v>1</v>
      </c>
      <c r="J28" t="s">
        <v>38</v>
      </c>
      <c r="K28" t="s">
        <v>19</v>
      </c>
      <c r="M28" s="20" t="s">
        <v>444</v>
      </c>
      <c r="N28" s="23">
        <v>1</v>
      </c>
    </row>
    <row r="29" spans="1:14" hidden="1" x14ac:dyDescent="0.25">
      <c r="A29" s="20" t="s">
        <v>289</v>
      </c>
      <c r="B29" s="23">
        <v>4</v>
      </c>
      <c r="C29" s="23">
        <v>171229</v>
      </c>
      <c r="E29" t="s">
        <v>289</v>
      </c>
      <c r="F29">
        <v>4</v>
      </c>
      <c r="G29">
        <v>171229</v>
      </c>
      <c r="H29" s="23">
        <v>3</v>
      </c>
      <c r="J29" t="s">
        <v>30</v>
      </c>
      <c r="K29" t="s">
        <v>49</v>
      </c>
      <c r="M29" s="20" t="s">
        <v>289</v>
      </c>
      <c r="N29" s="23">
        <v>3</v>
      </c>
    </row>
    <row r="30" spans="1:14" hidden="1" x14ac:dyDescent="0.25">
      <c r="A30" s="20" t="s">
        <v>89</v>
      </c>
      <c r="B30" s="23">
        <v>8</v>
      </c>
      <c r="C30" s="23">
        <v>390165</v>
      </c>
      <c r="E30" t="s">
        <v>89</v>
      </c>
      <c r="F30">
        <v>8</v>
      </c>
      <c r="G30">
        <v>390165</v>
      </c>
      <c r="H30" s="23">
        <v>7</v>
      </c>
      <c r="J30" t="s">
        <v>38</v>
      </c>
      <c r="K30" t="s">
        <v>17</v>
      </c>
      <c r="M30" s="20" t="s">
        <v>89</v>
      </c>
      <c r="N30" s="23">
        <v>7</v>
      </c>
    </row>
    <row r="31" spans="1:14" hidden="1" x14ac:dyDescent="0.25">
      <c r="A31" s="20" t="s">
        <v>279</v>
      </c>
      <c r="B31" s="23">
        <v>4</v>
      </c>
      <c r="C31" s="23">
        <v>125787</v>
      </c>
      <c r="E31" t="s">
        <v>279</v>
      </c>
      <c r="F31">
        <v>4</v>
      </c>
      <c r="G31">
        <v>125787</v>
      </c>
      <c r="H31" s="23">
        <v>3</v>
      </c>
      <c r="J31" t="s">
        <v>27</v>
      </c>
      <c r="K31" t="s">
        <v>31</v>
      </c>
      <c r="M31" s="20" t="s">
        <v>279</v>
      </c>
      <c r="N31" s="23">
        <v>3</v>
      </c>
    </row>
    <row r="32" spans="1:14" hidden="1" x14ac:dyDescent="0.25">
      <c r="A32" s="20" t="s">
        <v>224</v>
      </c>
      <c r="B32" s="23">
        <v>4</v>
      </c>
      <c r="C32" s="23">
        <v>140029</v>
      </c>
      <c r="E32" t="s">
        <v>224</v>
      </c>
      <c r="F32">
        <v>4</v>
      </c>
      <c r="G32">
        <v>140029</v>
      </c>
      <c r="H32" s="23">
        <v>4</v>
      </c>
      <c r="J32" t="s">
        <v>27</v>
      </c>
      <c r="K32" t="s">
        <v>50</v>
      </c>
      <c r="M32" s="20" t="s">
        <v>224</v>
      </c>
      <c r="N32" s="23">
        <v>4</v>
      </c>
    </row>
    <row r="33" spans="1:14" hidden="1" x14ac:dyDescent="0.25">
      <c r="A33" s="20" t="s">
        <v>385</v>
      </c>
      <c r="B33" s="23">
        <v>2</v>
      </c>
      <c r="C33" s="23">
        <v>113143</v>
      </c>
      <c r="E33" t="s">
        <v>385</v>
      </c>
      <c r="F33">
        <v>2</v>
      </c>
      <c r="G33">
        <v>113143</v>
      </c>
      <c r="H33" s="23">
        <v>2</v>
      </c>
      <c r="J33" t="s">
        <v>30</v>
      </c>
      <c r="K33" t="s">
        <v>51</v>
      </c>
      <c r="M33" s="20" t="s">
        <v>385</v>
      </c>
      <c r="N33" s="23">
        <v>2</v>
      </c>
    </row>
    <row r="34" spans="1:14" hidden="1" x14ac:dyDescent="0.25">
      <c r="A34" s="20" t="s">
        <v>134</v>
      </c>
      <c r="B34" s="23">
        <v>7</v>
      </c>
      <c r="C34" s="23">
        <v>353110</v>
      </c>
      <c r="E34" t="s">
        <v>134</v>
      </c>
      <c r="F34">
        <v>7</v>
      </c>
      <c r="G34">
        <v>353110</v>
      </c>
      <c r="H34" s="23">
        <v>5</v>
      </c>
      <c r="J34" t="s">
        <v>27</v>
      </c>
      <c r="K34" t="s">
        <v>52</v>
      </c>
      <c r="M34" s="20" t="s">
        <v>134</v>
      </c>
      <c r="N34" s="23">
        <v>5</v>
      </c>
    </row>
    <row r="35" spans="1:14" x14ac:dyDescent="0.25">
      <c r="A35" s="20" t="s">
        <v>117</v>
      </c>
      <c r="B35" s="23">
        <v>3</v>
      </c>
      <c r="C35" s="23">
        <v>272074</v>
      </c>
      <c r="E35" t="s">
        <v>338</v>
      </c>
      <c r="F35">
        <v>2</v>
      </c>
      <c r="G35">
        <v>149369</v>
      </c>
      <c r="H35" s="23">
        <v>1</v>
      </c>
      <c r="J35" t="s">
        <v>13</v>
      </c>
      <c r="K35" t="s">
        <v>53</v>
      </c>
      <c r="M35" s="20" t="s">
        <v>117</v>
      </c>
      <c r="N35" s="23">
        <v>1</v>
      </c>
    </row>
    <row r="36" spans="1:14" hidden="1" x14ac:dyDescent="0.25">
      <c r="A36" s="20" t="s">
        <v>300</v>
      </c>
      <c r="B36" s="23">
        <v>4</v>
      </c>
      <c r="C36" s="23">
        <v>171224</v>
      </c>
      <c r="E36" t="s">
        <v>300</v>
      </c>
      <c r="F36">
        <v>4</v>
      </c>
      <c r="G36">
        <v>171224</v>
      </c>
      <c r="H36" s="23">
        <v>4</v>
      </c>
      <c r="J36" t="s">
        <v>30</v>
      </c>
      <c r="K36" t="s">
        <v>55</v>
      </c>
      <c r="M36" s="20" t="s">
        <v>300</v>
      </c>
      <c r="N36" s="23">
        <v>4</v>
      </c>
    </row>
    <row r="37" spans="1:14" x14ac:dyDescent="0.25">
      <c r="A37" s="20" t="s">
        <v>384</v>
      </c>
      <c r="B37" s="23">
        <v>1</v>
      </c>
      <c r="C37" s="23">
        <v>16429</v>
      </c>
      <c r="E37" t="s">
        <v>86</v>
      </c>
      <c r="F37">
        <v>1</v>
      </c>
      <c r="G37">
        <v>99945</v>
      </c>
      <c r="H37" s="23">
        <v>1</v>
      </c>
      <c r="J37" t="s">
        <v>25</v>
      </c>
      <c r="K37" t="s">
        <v>57</v>
      </c>
      <c r="M37" s="20" t="s">
        <v>384</v>
      </c>
      <c r="N37" s="23">
        <v>1</v>
      </c>
    </row>
    <row r="38" spans="1:14" hidden="1" x14ac:dyDescent="0.25">
      <c r="A38" s="20" t="s">
        <v>108</v>
      </c>
      <c r="B38" s="23">
        <v>3</v>
      </c>
      <c r="C38" s="23">
        <v>162598</v>
      </c>
      <c r="E38" t="s">
        <v>108</v>
      </c>
      <c r="F38">
        <v>3</v>
      </c>
      <c r="G38">
        <v>162598</v>
      </c>
      <c r="H38" s="23">
        <v>3</v>
      </c>
      <c r="J38" t="s">
        <v>8</v>
      </c>
      <c r="K38" t="s">
        <v>32</v>
      </c>
      <c r="M38" s="20" t="s">
        <v>108</v>
      </c>
      <c r="N38" s="23">
        <v>3</v>
      </c>
    </row>
    <row r="39" spans="1:14" hidden="1" x14ac:dyDescent="0.25">
      <c r="A39" s="20" t="s">
        <v>299</v>
      </c>
      <c r="B39" s="23">
        <v>3</v>
      </c>
      <c r="C39" s="23">
        <v>165000</v>
      </c>
      <c r="E39" t="s">
        <v>299</v>
      </c>
      <c r="F39">
        <v>3</v>
      </c>
      <c r="G39">
        <v>165000</v>
      </c>
      <c r="H39" s="23">
        <v>3</v>
      </c>
      <c r="J39" t="s">
        <v>5</v>
      </c>
      <c r="K39" t="s">
        <v>58</v>
      </c>
      <c r="M39" s="20" t="s">
        <v>299</v>
      </c>
      <c r="N39" s="23">
        <v>3</v>
      </c>
    </row>
    <row r="40" spans="1:14" hidden="1" x14ac:dyDescent="0.25">
      <c r="A40" s="20" t="s">
        <v>190</v>
      </c>
      <c r="B40" s="23">
        <v>4</v>
      </c>
      <c r="C40" s="23">
        <v>175110</v>
      </c>
      <c r="E40" t="s">
        <v>190</v>
      </c>
      <c r="F40">
        <v>4</v>
      </c>
      <c r="G40">
        <v>175110</v>
      </c>
      <c r="H40" s="23">
        <v>3</v>
      </c>
      <c r="J40" t="s">
        <v>5</v>
      </c>
      <c r="K40" t="s">
        <v>59</v>
      </c>
      <c r="M40" s="20" t="s">
        <v>190</v>
      </c>
      <c r="N40" s="23">
        <v>3</v>
      </c>
    </row>
    <row r="41" spans="1:14" hidden="1" x14ac:dyDescent="0.25">
      <c r="A41" s="20" t="s">
        <v>325</v>
      </c>
      <c r="B41" s="23">
        <v>2</v>
      </c>
      <c r="C41" s="23">
        <v>84041</v>
      </c>
      <c r="E41" t="s">
        <v>325</v>
      </c>
      <c r="F41">
        <v>2</v>
      </c>
      <c r="G41">
        <v>84041</v>
      </c>
      <c r="H41" s="23">
        <v>2</v>
      </c>
      <c r="J41" t="s">
        <v>5</v>
      </c>
      <c r="K41" t="s">
        <v>61</v>
      </c>
      <c r="M41" s="20" t="s">
        <v>325</v>
      </c>
      <c r="N41" s="23">
        <v>2</v>
      </c>
    </row>
    <row r="42" spans="1:14" hidden="1" x14ac:dyDescent="0.25">
      <c r="A42" s="20" t="s">
        <v>91</v>
      </c>
      <c r="B42" s="23">
        <v>6</v>
      </c>
      <c r="C42" s="23">
        <v>324121</v>
      </c>
      <c r="E42" t="s">
        <v>91</v>
      </c>
      <c r="F42">
        <v>6</v>
      </c>
      <c r="G42">
        <v>324121</v>
      </c>
      <c r="H42" s="23">
        <v>6</v>
      </c>
      <c r="J42" t="s">
        <v>30</v>
      </c>
      <c r="K42" t="s">
        <v>63</v>
      </c>
      <c r="M42" s="20" t="s">
        <v>91</v>
      </c>
      <c r="N42" s="23">
        <v>6</v>
      </c>
    </row>
    <row r="43" spans="1:14" hidden="1" x14ac:dyDescent="0.25">
      <c r="A43" s="20" t="s">
        <v>111</v>
      </c>
      <c r="B43" s="23">
        <v>4</v>
      </c>
      <c r="C43" s="23">
        <v>210386</v>
      </c>
      <c r="E43" t="s">
        <v>111</v>
      </c>
      <c r="F43">
        <v>4</v>
      </c>
      <c r="G43">
        <v>210386</v>
      </c>
      <c r="H43" s="23">
        <v>4</v>
      </c>
      <c r="J43" t="s">
        <v>30</v>
      </c>
      <c r="K43" t="s">
        <v>64</v>
      </c>
      <c r="M43" s="20" t="s">
        <v>111</v>
      </c>
      <c r="N43" s="23">
        <v>4</v>
      </c>
    </row>
    <row r="44" spans="1:14" hidden="1" x14ac:dyDescent="0.25">
      <c r="A44" s="20" t="s">
        <v>96</v>
      </c>
      <c r="B44" s="23">
        <v>8</v>
      </c>
      <c r="C44" s="23">
        <v>421119</v>
      </c>
      <c r="E44" t="s">
        <v>96</v>
      </c>
      <c r="F44">
        <v>8</v>
      </c>
      <c r="G44">
        <v>421119</v>
      </c>
      <c r="H44" s="23">
        <v>6</v>
      </c>
      <c r="J44" t="s">
        <v>10</v>
      </c>
      <c r="K44" t="s">
        <v>65</v>
      </c>
      <c r="M44" s="20" t="s">
        <v>96</v>
      </c>
      <c r="N44" s="23">
        <v>6</v>
      </c>
    </row>
    <row r="45" spans="1:14" hidden="1" x14ac:dyDescent="0.25">
      <c r="A45" s="20" t="s">
        <v>148</v>
      </c>
      <c r="B45" s="23">
        <v>4</v>
      </c>
      <c r="C45" s="23">
        <v>266279</v>
      </c>
      <c r="E45" t="s">
        <v>148</v>
      </c>
      <c r="F45">
        <v>4</v>
      </c>
      <c r="G45">
        <v>266279</v>
      </c>
      <c r="H45" s="23">
        <v>3</v>
      </c>
      <c r="J45" t="s">
        <v>45</v>
      </c>
      <c r="K45" t="s">
        <v>66</v>
      </c>
      <c r="M45" s="20" t="s">
        <v>148</v>
      </c>
      <c r="N45" s="23">
        <v>3</v>
      </c>
    </row>
    <row r="46" spans="1:14" hidden="1" x14ac:dyDescent="0.25">
      <c r="A46" s="20" t="s">
        <v>14</v>
      </c>
      <c r="B46" s="23">
        <v>6</v>
      </c>
      <c r="C46" s="23">
        <v>320240</v>
      </c>
      <c r="E46" t="s">
        <v>14</v>
      </c>
      <c r="F46">
        <v>6</v>
      </c>
      <c r="G46">
        <v>320240</v>
      </c>
      <c r="H46" s="23">
        <v>5</v>
      </c>
      <c r="J46" t="s">
        <v>27</v>
      </c>
      <c r="K46" t="s">
        <v>37</v>
      </c>
      <c r="M46" s="20" t="s">
        <v>14</v>
      </c>
      <c r="N46" s="23">
        <v>5</v>
      </c>
    </row>
    <row r="47" spans="1:14" x14ac:dyDescent="0.25">
      <c r="A47" s="20" t="s">
        <v>178</v>
      </c>
      <c r="B47" s="23">
        <v>2</v>
      </c>
      <c r="C47" s="23">
        <v>171684</v>
      </c>
      <c r="E47" t="s">
        <v>329</v>
      </c>
      <c r="F47">
        <v>1</v>
      </c>
      <c r="G47">
        <v>55635</v>
      </c>
      <c r="H47" s="23">
        <v>1</v>
      </c>
      <c r="J47" t="s">
        <v>38</v>
      </c>
      <c r="K47" t="s">
        <v>67</v>
      </c>
      <c r="M47" s="20" t="s">
        <v>178</v>
      </c>
      <c r="N47" s="23">
        <v>1</v>
      </c>
    </row>
    <row r="48" spans="1:14" hidden="1" x14ac:dyDescent="0.25">
      <c r="A48" s="20" t="s">
        <v>88</v>
      </c>
      <c r="B48" s="23">
        <v>3</v>
      </c>
      <c r="C48" s="23">
        <v>188118</v>
      </c>
      <c r="E48" t="s">
        <v>88</v>
      </c>
      <c r="F48">
        <v>3</v>
      </c>
      <c r="G48">
        <v>188118</v>
      </c>
      <c r="H48" s="23">
        <v>3</v>
      </c>
      <c r="J48" t="s">
        <v>27</v>
      </c>
      <c r="K48" t="s">
        <v>68</v>
      </c>
      <c r="M48" s="20" t="s">
        <v>88</v>
      </c>
      <c r="N48" s="23">
        <v>3</v>
      </c>
    </row>
    <row r="49" spans="1:14" hidden="1" x14ac:dyDescent="0.25">
      <c r="A49" s="20" t="s">
        <v>156</v>
      </c>
      <c r="B49" s="23">
        <v>3</v>
      </c>
      <c r="C49" s="23">
        <v>271104</v>
      </c>
      <c r="E49" t="s">
        <v>156</v>
      </c>
      <c r="F49">
        <v>3</v>
      </c>
      <c r="G49">
        <v>271104</v>
      </c>
      <c r="H49" s="23">
        <v>2</v>
      </c>
      <c r="J49" t="s">
        <v>16</v>
      </c>
      <c r="K49" t="s">
        <v>69</v>
      </c>
      <c r="M49" s="20" t="s">
        <v>156</v>
      </c>
      <c r="N49" s="23">
        <v>2</v>
      </c>
    </row>
    <row r="50" spans="1:14" hidden="1" x14ac:dyDescent="0.25">
      <c r="A50" s="20" t="s">
        <v>124</v>
      </c>
      <c r="B50" s="23">
        <v>6</v>
      </c>
      <c r="C50" s="23">
        <v>274846</v>
      </c>
      <c r="E50" t="s">
        <v>124</v>
      </c>
      <c r="F50">
        <v>6</v>
      </c>
      <c r="G50">
        <v>274846</v>
      </c>
      <c r="H50" s="23">
        <v>5</v>
      </c>
      <c r="J50" t="s">
        <v>16</v>
      </c>
      <c r="K50" t="s">
        <v>70</v>
      </c>
      <c r="M50" s="20" t="s">
        <v>124</v>
      </c>
      <c r="N50" s="23">
        <v>5</v>
      </c>
    </row>
    <row r="51" spans="1:14" hidden="1" x14ac:dyDescent="0.25">
      <c r="A51" s="20" t="s">
        <v>80</v>
      </c>
      <c r="B51" s="23">
        <v>5</v>
      </c>
      <c r="C51" s="23">
        <v>343801</v>
      </c>
      <c r="E51" t="s">
        <v>80</v>
      </c>
      <c r="F51">
        <v>5</v>
      </c>
      <c r="G51">
        <v>343801</v>
      </c>
      <c r="H51" s="23">
        <v>5</v>
      </c>
      <c r="J51" t="s">
        <v>47</v>
      </c>
      <c r="K51" t="s">
        <v>69</v>
      </c>
      <c r="M51" s="20" t="s">
        <v>80</v>
      </c>
      <c r="N51" s="23">
        <v>5</v>
      </c>
    </row>
    <row r="52" spans="1:14" hidden="1" x14ac:dyDescent="0.25">
      <c r="A52" s="20" t="s">
        <v>58</v>
      </c>
      <c r="B52" s="23">
        <v>7</v>
      </c>
      <c r="C52" s="23">
        <v>472966</v>
      </c>
      <c r="E52" t="s">
        <v>58</v>
      </c>
      <c r="F52">
        <v>7</v>
      </c>
      <c r="G52">
        <v>472966</v>
      </c>
      <c r="H52" s="23">
        <v>6</v>
      </c>
      <c r="J52" t="s">
        <v>13</v>
      </c>
      <c r="K52" t="s">
        <v>36</v>
      </c>
      <c r="M52" s="20" t="s">
        <v>58</v>
      </c>
      <c r="N52" s="23">
        <v>6</v>
      </c>
    </row>
    <row r="53" spans="1:14" hidden="1" x14ac:dyDescent="0.25">
      <c r="A53" s="20" t="s">
        <v>173</v>
      </c>
      <c r="B53" s="23">
        <v>6</v>
      </c>
      <c r="C53" s="23">
        <v>305596</v>
      </c>
      <c r="E53" t="s">
        <v>173</v>
      </c>
      <c r="F53">
        <v>6</v>
      </c>
      <c r="G53">
        <v>305596</v>
      </c>
      <c r="H53" s="23">
        <v>5</v>
      </c>
      <c r="J53" t="s">
        <v>47</v>
      </c>
      <c r="K53" t="s">
        <v>72</v>
      </c>
      <c r="M53" s="20" t="s">
        <v>173</v>
      </c>
      <c r="N53" s="23">
        <v>5</v>
      </c>
    </row>
    <row r="54" spans="1:14" hidden="1" x14ac:dyDescent="0.25">
      <c r="A54" s="20" t="s">
        <v>363</v>
      </c>
      <c r="B54" s="23">
        <v>5</v>
      </c>
      <c r="C54" s="23">
        <v>242946</v>
      </c>
      <c r="E54" t="s">
        <v>363</v>
      </c>
      <c r="F54">
        <v>5</v>
      </c>
      <c r="G54">
        <v>242946</v>
      </c>
      <c r="H54" s="23">
        <v>5</v>
      </c>
      <c r="J54" t="s">
        <v>45</v>
      </c>
      <c r="K54" t="s">
        <v>22</v>
      </c>
      <c r="M54" s="20" t="s">
        <v>363</v>
      </c>
      <c r="N54" s="23">
        <v>5</v>
      </c>
    </row>
    <row r="55" spans="1:14" hidden="1" x14ac:dyDescent="0.25">
      <c r="A55" s="20" t="s">
        <v>158</v>
      </c>
      <c r="B55" s="23">
        <v>5</v>
      </c>
      <c r="C55" s="23">
        <v>330782</v>
      </c>
      <c r="E55" t="s">
        <v>158</v>
      </c>
      <c r="F55">
        <v>5</v>
      </c>
      <c r="G55">
        <v>330782</v>
      </c>
      <c r="H55" s="23">
        <v>5</v>
      </c>
      <c r="J55" t="s">
        <v>5</v>
      </c>
      <c r="K55" t="s">
        <v>73</v>
      </c>
      <c r="M55" s="20" t="s">
        <v>158</v>
      </c>
      <c r="N55" s="23">
        <v>5</v>
      </c>
    </row>
    <row r="56" spans="1:14" hidden="1" x14ac:dyDescent="0.25">
      <c r="A56" s="20" t="s">
        <v>17</v>
      </c>
      <c r="B56" s="23">
        <v>7</v>
      </c>
      <c r="C56" s="23">
        <v>419004</v>
      </c>
      <c r="E56" t="s">
        <v>17</v>
      </c>
      <c r="F56">
        <v>7</v>
      </c>
      <c r="G56">
        <v>419004</v>
      </c>
      <c r="H56" s="23">
        <v>4</v>
      </c>
      <c r="J56" t="s">
        <v>16</v>
      </c>
      <c r="K56" t="s">
        <v>74</v>
      </c>
      <c r="M56" s="20" t="s">
        <v>17</v>
      </c>
      <c r="N56" s="23">
        <v>4</v>
      </c>
    </row>
    <row r="57" spans="1:14" hidden="1" x14ac:dyDescent="0.25">
      <c r="A57" s="20" t="s">
        <v>265</v>
      </c>
      <c r="B57" s="23">
        <v>3</v>
      </c>
      <c r="C57" s="23">
        <v>206209</v>
      </c>
      <c r="E57" t="s">
        <v>265</v>
      </c>
      <c r="F57">
        <v>3</v>
      </c>
      <c r="G57">
        <v>206209</v>
      </c>
      <c r="H57" s="23">
        <v>2</v>
      </c>
      <c r="J57" t="s">
        <v>30</v>
      </c>
      <c r="K57" t="s">
        <v>75</v>
      </c>
      <c r="M57" s="20" t="s">
        <v>265</v>
      </c>
      <c r="N57" s="23">
        <v>2</v>
      </c>
    </row>
    <row r="58" spans="1:14" hidden="1" x14ac:dyDescent="0.25">
      <c r="A58" s="20" t="s">
        <v>28</v>
      </c>
      <c r="B58" s="23">
        <v>6</v>
      </c>
      <c r="C58" s="23">
        <v>348084</v>
      </c>
      <c r="E58" t="s">
        <v>28</v>
      </c>
      <c r="F58">
        <v>6</v>
      </c>
      <c r="G58">
        <v>348084</v>
      </c>
      <c r="H58" s="23">
        <v>5</v>
      </c>
      <c r="J58" t="s">
        <v>10</v>
      </c>
      <c r="K58" t="s">
        <v>58</v>
      </c>
      <c r="M58" s="20" t="s">
        <v>28</v>
      </c>
      <c r="N58" s="23">
        <v>5</v>
      </c>
    </row>
    <row r="59" spans="1:14" hidden="1" x14ac:dyDescent="0.25">
      <c r="A59" s="20" t="s">
        <v>247</v>
      </c>
      <c r="B59" s="23">
        <v>6</v>
      </c>
      <c r="C59" s="23">
        <v>375204</v>
      </c>
      <c r="E59" t="s">
        <v>247</v>
      </c>
      <c r="F59">
        <v>6</v>
      </c>
      <c r="G59">
        <v>375204</v>
      </c>
      <c r="H59" s="23">
        <v>5</v>
      </c>
      <c r="J59" t="s">
        <v>16</v>
      </c>
      <c r="K59" t="s">
        <v>77</v>
      </c>
      <c r="M59" s="20" t="s">
        <v>247</v>
      </c>
      <c r="N59" s="23">
        <v>5</v>
      </c>
    </row>
    <row r="60" spans="1:14" hidden="1" x14ac:dyDescent="0.25">
      <c r="A60" s="20" t="s">
        <v>53</v>
      </c>
      <c r="B60" s="23">
        <v>9</v>
      </c>
      <c r="C60" s="23">
        <v>434143</v>
      </c>
      <c r="E60" t="s">
        <v>53</v>
      </c>
      <c r="F60">
        <v>9</v>
      </c>
      <c r="G60">
        <v>434143</v>
      </c>
      <c r="H60" s="23">
        <v>7</v>
      </c>
      <c r="J60" t="s">
        <v>8</v>
      </c>
      <c r="K60" t="s">
        <v>78</v>
      </c>
      <c r="M60" s="20" t="s">
        <v>53</v>
      </c>
      <c r="N60" s="23">
        <v>7</v>
      </c>
    </row>
    <row r="61" spans="1:14" hidden="1" x14ac:dyDescent="0.25">
      <c r="A61" s="20" t="s">
        <v>46</v>
      </c>
      <c r="B61" s="23">
        <v>5</v>
      </c>
      <c r="C61" s="23">
        <v>240828</v>
      </c>
      <c r="E61" t="s">
        <v>46</v>
      </c>
      <c r="F61">
        <v>5</v>
      </c>
      <c r="G61">
        <v>240828</v>
      </c>
      <c r="H61" s="23">
        <v>3</v>
      </c>
      <c r="J61" t="s">
        <v>10</v>
      </c>
      <c r="K61" t="s">
        <v>80</v>
      </c>
      <c r="M61" s="20" t="s">
        <v>46</v>
      </c>
      <c r="N61" s="23">
        <v>3</v>
      </c>
    </row>
    <row r="62" spans="1:14" hidden="1" x14ac:dyDescent="0.25">
      <c r="A62" s="20" t="s">
        <v>162</v>
      </c>
      <c r="B62" s="23">
        <v>3</v>
      </c>
      <c r="C62" s="23">
        <v>129098</v>
      </c>
      <c r="E62" t="s">
        <v>162</v>
      </c>
      <c r="F62">
        <v>3</v>
      </c>
      <c r="G62">
        <v>129098</v>
      </c>
      <c r="H62" s="23">
        <v>3</v>
      </c>
      <c r="J62" t="s">
        <v>18</v>
      </c>
      <c r="K62" t="s">
        <v>81</v>
      </c>
      <c r="M62" s="20" t="s">
        <v>162</v>
      </c>
      <c r="N62" s="23">
        <v>3</v>
      </c>
    </row>
    <row r="63" spans="1:14" hidden="1" x14ac:dyDescent="0.25">
      <c r="A63" s="20" t="s">
        <v>223</v>
      </c>
      <c r="B63" s="23">
        <v>5</v>
      </c>
      <c r="C63" s="23">
        <v>278471</v>
      </c>
      <c r="E63" t="s">
        <v>223</v>
      </c>
      <c r="F63">
        <v>5</v>
      </c>
      <c r="G63">
        <v>278471</v>
      </c>
      <c r="H63" s="23">
        <v>3</v>
      </c>
      <c r="J63" t="s">
        <v>18</v>
      </c>
      <c r="K63" t="s">
        <v>82</v>
      </c>
      <c r="M63" s="20" t="s">
        <v>223</v>
      </c>
      <c r="N63" s="23">
        <v>3</v>
      </c>
    </row>
    <row r="64" spans="1:14" hidden="1" x14ac:dyDescent="0.25">
      <c r="A64" s="20" t="s">
        <v>42</v>
      </c>
      <c r="B64" s="23">
        <v>6</v>
      </c>
      <c r="C64" s="23">
        <v>453472</v>
      </c>
      <c r="E64" t="s">
        <v>42</v>
      </c>
      <c r="F64">
        <v>6</v>
      </c>
      <c r="G64">
        <v>453472</v>
      </c>
      <c r="H64" s="23">
        <v>5</v>
      </c>
      <c r="J64" t="s">
        <v>10</v>
      </c>
      <c r="K64" t="s">
        <v>84</v>
      </c>
      <c r="M64" s="20" t="s">
        <v>42</v>
      </c>
      <c r="N64" s="23">
        <v>5</v>
      </c>
    </row>
    <row r="65" spans="1:14" hidden="1" x14ac:dyDescent="0.25">
      <c r="A65" s="20" t="s">
        <v>136</v>
      </c>
      <c r="B65" s="23">
        <v>7</v>
      </c>
      <c r="C65" s="23">
        <v>391447</v>
      </c>
      <c r="E65" t="s">
        <v>136</v>
      </c>
      <c r="F65">
        <v>7</v>
      </c>
      <c r="G65">
        <v>391447</v>
      </c>
      <c r="H65" s="23">
        <v>6</v>
      </c>
      <c r="J65" t="s">
        <v>10</v>
      </c>
      <c r="K65" t="s">
        <v>85</v>
      </c>
      <c r="M65" s="20" t="s">
        <v>136</v>
      </c>
      <c r="N65" s="23">
        <v>6</v>
      </c>
    </row>
    <row r="66" spans="1:14" hidden="1" x14ac:dyDescent="0.25">
      <c r="A66" s="20" t="s">
        <v>243</v>
      </c>
      <c r="B66" s="23">
        <v>6</v>
      </c>
      <c r="C66" s="23">
        <v>233812</v>
      </c>
      <c r="E66" t="s">
        <v>243</v>
      </c>
      <c r="F66">
        <v>6</v>
      </c>
      <c r="G66">
        <v>233812</v>
      </c>
      <c r="H66" s="23">
        <v>5</v>
      </c>
      <c r="J66" t="s">
        <v>27</v>
      </c>
      <c r="K66" t="s">
        <v>86</v>
      </c>
      <c r="M66" s="20" t="s">
        <v>243</v>
      </c>
      <c r="N66" s="23">
        <v>5</v>
      </c>
    </row>
    <row r="67" spans="1:14" hidden="1" x14ac:dyDescent="0.25">
      <c r="A67" s="20" t="s">
        <v>93</v>
      </c>
      <c r="B67" s="23">
        <v>4</v>
      </c>
      <c r="C67" s="23">
        <v>170642</v>
      </c>
      <c r="E67" t="s">
        <v>93</v>
      </c>
      <c r="F67">
        <v>4</v>
      </c>
      <c r="G67">
        <v>170642</v>
      </c>
      <c r="H67" s="23">
        <v>3</v>
      </c>
      <c r="J67" t="s">
        <v>8</v>
      </c>
      <c r="K67" t="s">
        <v>88</v>
      </c>
      <c r="M67" s="20" t="s">
        <v>93</v>
      </c>
      <c r="N67" s="23">
        <v>3</v>
      </c>
    </row>
    <row r="68" spans="1:14" hidden="1" x14ac:dyDescent="0.25">
      <c r="A68" s="20" t="s">
        <v>99</v>
      </c>
      <c r="B68" s="23">
        <v>8</v>
      </c>
      <c r="C68" s="23">
        <v>423128</v>
      </c>
      <c r="E68" t="s">
        <v>99</v>
      </c>
      <c r="F68">
        <v>8</v>
      </c>
      <c r="G68">
        <v>423128</v>
      </c>
      <c r="H68" s="23">
        <v>6</v>
      </c>
      <c r="J68" t="s">
        <v>25</v>
      </c>
      <c r="K68" t="s">
        <v>89</v>
      </c>
      <c r="M68" s="20" t="s">
        <v>99</v>
      </c>
      <c r="N68" s="23">
        <v>6</v>
      </c>
    </row>
    <row r="69" spans="1:14" hidden="1" x14ac:dyDescent="0.25">
      <c r="A69" s="20" t="s">
        <v>59</v>
      </c>
      <c r="B69" s="23">
        <v>6</v>
      </c>
      <c r="C69" s="23">
        <v>337127</v>
      </c>
      <c r="E69" t="s">
        <v>59</v>
      </c>
      <c r="F69">
        <v>6</v>
      </c>
      <c r="G69">
        <v>337127</v>
      </c>
      <c r="H69" s="23">
        <v>5</v>
      </c>
      <c r="J69" t="s">
        <v>8</v>
      </c>
      <c r="K69" t="s">
        <v>90</v>
      </c>
      <c r="M69" s="20" t="s">
        <v>59</v>
      </c>
      <c r="N69" s="23">
        <v>5</v>
      </c>
    </row>
    <row r="70" spans="1:14" hidden="1" x14ac:dyDescent="0.25">
      <c r="A70" s="20" t="s">
        <v>20</v>
      </c>
      <c r="B70" s="23">
        <v>10</v>
      </c>
      <c r="C70" s="23">
        <v>493242</v>
      </c>
      <c r="E70" t="s">
        <v>20</v>
      </c>
      <c r="F70">
        <v>10</v>
      </c>
      <c r="G70">
        <v>493242</v>
      </c>
      <c r="H70" s="23">
        <v>7</v>
      </c>
      <c r="J70" t="s">
        <v>25</v>
      </c>
      <c r="K70" t="s">
        <v>91</v>
      </c>
      <c r="M70" s="20" t="s">
        <v>20</v>
      </c>
      <c r="N70" s="23">
        <v>7</v>
      </c>
    </row>
    <row r="71" spans="1:14" hidden="1" x14ac:dyDescent="0.25">
      <c r="A71" s="20" t="s">
        <v>269</v>
      </c>
      <c r="B71" s="23">
        <v>2</v>
      </c>
      <c r="C71" s="23">
        <v>120658</v>
      </c>
      <c r="E71" t="s">
        <v>269</v>
      </c>
      <c r="F71">
        <v>2</v>
      </c>
      <c r="G71">
        <v>120658</v>
      </c>
      <c r="H71" s="23">
        <v>2</v>
      </c>
      <c r="J71" t="s">
        <v>10</v>
      </c>
      <c r="K71" t="s">
        <v>92</v>
      </c>
      <c r="M71" s="20" t="s">
        <v>269</v>
      </c>
      <c r="N71" s="23">
        <v>2</v>
      </c>
    </row>
    <row r="72" spans="1:14" x14ac:dyDescent="0.25">
      <c r="A72" s="20" t="s">
        <v>242</v>
      </c>
      <c r="B72" s="23">
        <v>1</v>
      </c>
      <c r="C72" s="23">
        <v>52464</v>
      </c>
      <c r="E72" t="s">
        <v>242</v>
      </c>
      <c r="F72">
        <v>1</v>
      </c>
      <c r="G72">
        <v>52464</v>
      </c>
      <c r="H72" s="23">
        <v>1</v>
      </c>
      <c r="J72" t="s">
        <v>5</v>
      </c>
      <c r="K72" t="s">
        <v>93</v>
      </c>
      <c r="M72" s="20" t="s">
        <v>242</v>
      </c>
      <c r="N72" s="23">
        <v>1</v>
      </c>
    </row>
    <row r="73" spans="1:14" hidden="1" x14ac:dyDescent="0.25">
      <c r="A73" s="20" t="s">
        <v>133</v>
      </c>
      <c r="B73" s="23">
        <v>3</v>
      </c>
      <c r="C73" s="23">
        <v>177086</v>
      </c>
      <c r="E73" t="s">
        <v>133</v>
      </c>
      <c r="F73">
        <v>3</v>
      </c>
      <c r="G73">
        <v>177086</v>
      </c>
      <c r="H73" s="23">
        <v>3</v>
      </c>
      <c r="J73" t="s">
        <v>18</v>
      </c>
      <c r="K73" t="s">
        <v>94</v>
      </c>
      <c r="M73" s="20" t="s">
        <v>133</v>
      </c>
      <c r="N73" s="23">
        <v>3</v>
      </c>
    </row>
    <row r="74" spans="1:14" hidden="1" x14ac:dyDescent="0.25">
      <c r="A74" s="20" t="s">
        <v>209</v>
      </c>
      <c r="B74" s="23">
        <v>3</v>
      </c>
      <c r="C74" s="23">
        <v>90511</v>
      </c>
      <c r="E74" t="s">
        <v>209</v>
      </c>
      <c r="F74">
        <v>3</v>
      </c>
      <c r="G74">
        <v>90511</v>
      </c>
      <c r="H74" s="23">
        <v>3</v>
      </c>
      <c r="J74" t="s">
        <v>30</v>
      </c>
      <c r="K74" t="s">
        <v>42</v>
      </c>
      <c r="M74" s="20" t="s">
        <v>209</v>
      </c>
      <c r="N74" s="23">
        <v>3</v>
      </c>
    </row>
    <row r="75" spans="1:14" hidden="1" x14ac:dyDescent="0.25">
      <c r="A75" s="20" t="s">
        <v>73</v>
      </c>
      <c r="B75" s="23">
        <v>9</v>
      </c>
      <c r="C75" s="23">
        <v>526514</v>
      </c>
      <c r="E75" t="s">
        <v>73</v>
      </c>
      <c r="F75">
        <v>9</v>
      </c>
      <c r="G75">
        <v>526514</v>
      </c>
      <c r="H75" s="23">
        <v>7</v>
      </c>
      <c r="J75" t="s">
        <v>13</v>
      </c>
      <c r="K75" t="s">
        <v>43</v>
      </c>
      <c r="M75" s="20" t="s">
        <v>73</v>
      </c>
      <c r="N75" s="23">
        <v>7</v>
      </c>
    </row>
    <row r="76" spans="1:14" hidden="1" x14ac:dyDescent="0.25">
      <c r="A76" s="20" t="s">
        <v>186</v>
      </c>
      <c r="B76" s="23">
        <v>7</v>
      </c>
      <c r="C76" s="23">
        <v>463281</v>
      </c>
      <c r="E76" t="s">
        <v>186</v>
      </c>
      <c r="F76">
        <v>7</v>
      </c>
      <c r="G76">
        <v>463281</v>
      </c>
      <c r="H76" s="23">
        <v>7</v>
      </c>
      <c r="J76" t="s">
        <v>27</v>
      </c>
      <c r="K76" t="s">
        <v>96</v>
      </c>
      <c r="M76" s="20" t="s">
        <v>186</v>
      </c>
      <c r="N76" s="23">
        <v>7</v>
      </c>
    </row>
    <row r="77" spans="1:14" hidden="1" x14ac:dyDescent="0.25">
      <c r="A77" s="20" t="s">
        <v>9</v>
      </c>
      <c r="B77" s="23">
        <v>9</v>
      </c>
      <c r="C77" s="23">
        <v>465177</v>
      </c>
      <c r="E77" t="s">
        <v>9</v>
      </c>
      <c r="F77">
        <v>9</v>
      </c>
      <c r="G77">
        <v>465177</v>
      </c>
      <c r="H77" s="23">
        <v>5</v>
      </c>
      <c r="J77" t="s">
        <v>47</v>
      </c>
      <c r="K77" t="s">
        <v>98</v>
      </c>
      <c r="M77" s="20" t="s">
        <v>9</v>
      </c>
      <c r="N77" s="23">
        <v>5</v>
      </c>
    </row>
    <row r="78" spans="1:14" hidden="1" x14ac:dyDescent="0.25">
      <c r="A78" s="20" t="s">
        <v>67</v>
      </c>
      <c r="B78" s="23">
        <v>7</v>
      </c>
      <c r="C78" s="23">
        <v>381509</v>
      </c>
      <c r="E78" t="s">
        <v>67</v>
      </c>
      <c r="F78">
        <v>7</v>
      </c>
      <c r="G78">
        <v>381509</v>
      </c>
      <c r="H78" s="23">
        <v>6</v>
      </c>
      <c r="J78" t="s">
        <v>10</v>
      </c>
      <c r="K78" t="s">
        <v>99</v>
      </c>
      <c r="M78" s="20" t="s">
        <v>67</v>
      </c>
      <c r="N78" s="23">
        <v>6</v>
      </c>
    </row>
    <row r="79" spans="1:14" hidden="1" x14ac:dyDescent="0.25">
      <c r="A79" s="20" t="s">
        <v>239</v>
      </c>
      <c r="B79" s="23">
        <v>9</v>
      </c>
      <c r="C79" s="23">
        <v>561893</v>
      </c>
      <c r="E79" t="s">
        <v>239</v>
      </c>
      <c r="F79">
        <v>9</v>
      </c>
      <c r="G79">
        <v>561893</v>
      </c>
      <c r="H79" s="23">
        <v>6</v>
      </c>
      <c r="J79" t="s">
        <v>10</v>
      </c>
      <c r="K79" t="s">
        <v>101</v>
      </c>
      <c r="M79" s="20" t="s">
        <v>239</v>
      </c>
      <c r="N79" s="23">
        <v>6</v>
      </c>
    </row>
    <row r="80" spans="1:14" hidden="1" x14ac:dyDescent="0.25">
      <c r="A80" s="20" t="s">
        <v>92</v>
      </c>
      <c r="B80" s="23">
        <v>7</v>
      </c>
      <c r="C80" s="23">
        <v>401190</v>
      </c>
      <c r="E80" t="s">
        <v>92</v>
      </c>
      <c r="F80">
        <v>7</v>
      </c>
      <c r="G80">
        <v>401190</v>
      </c>
      <c r="H80" s="23">
        <v>6</v>
      </c>
      <c r="J80" t="s">
        <v>45</v>
      </c>
      <c r="K80" t="s">
        <v>36</v>
      </c>
      <c r="M80" s="20" t="s">
        <v>92</v>
      </c>
      <c r="N80" s="23">
        <v>6</v>
      </c>
    </row>
    <row r="81" spans="1:14" hidden="1" x14ac:dyDescent="0.25">
      <c r="A81" s="20" t="s">
        <v>55</v>
      </c>
      <c r="B81" s="23">
        <v>9</v>
      </c>
      <c r="C81" s="23">
        <v>431330</v>
      </c>
      <c r="E81" t="s">
        <v>55</v>
      </c>
      <c r="F81">
        <v>9</v>
      </c>
      <c r="G81">
        <v>431330</v>
      </c>
      <c r="H81" s="23">
        <v>5</v>
      </c>
      <c r="J81" t="s">
        <v>30</v>
      </c>
      <c r="K81" t="s">
        <v>103</v>
      </c>
      <c r="M81" s="20" t="s">
        <v>55</v>
      </c>
      <c r="N81" s="23">
        <v>5</v>
      </c>
    </row>
    <row r="82" spans="1:14" x14ac:dyDescent="0.25">
      <c r="A82" s="20" t="s">
        <v>166</v>
      </c>
      <c r="B82" s="23">
        <v>1</v>
      </c>
      <c r="C82" s="23">
        <v>18426</v>
      </c>
      <c r="E82" t="s">
        <v>444</v>
      </c>
      <c r="F82">
        <v>1</v>
      </c>
      <c r="G82">
        <v>42249</v>
      </c>
      <c r="H82" s="23">
        <v>1</v>
      </c>
      <c r="J82" t="s">
        <v>8</v>
      </c>
      <c r="K82" t="s">
        <v>105</v>
      </c>
      <c r="M82" s="20" t="s">
        <v>166</v>
      </c>
      <c r="N82" s="23">
        <v>1</v>
      </c>
    </row>
    <row r="83" spans="1:14" hidden="1" x14ac:dyDescent="0.25">
      <c r="A83" s="20" t="s">
        <v>194</v>
      </c>
      <c r="B83" s="23">
        <v>8</v>
      </c>
      <c r="C83" s="23">
        <v>354962</v>
      </c>
      <c r="E83" t="s">
        <v>194</v>
      </c>
      <c r="F83">
        <v>8</v>
      </c>
      <c r="G83">
        <v>354962</v>
      </c>
      <c r="H83" s="23">
        <v>7</v>
      </c>
      <c r="J83" t="s">
        <v>8</v>
      </c>
      <c r="K83" t="s">
        <v>6</v>
      </c>
      <c r="M83" s="20" t="s">
        <v>194</v>
      </c>
      <c r="N83" s="23">
        <v>7</v>
      </c>
    </row>
    <row r="84" spans="1:14" hidden="1" x14ac:dyDescent="0.25">
      <c r="A84" s="20" t="s">
        <v>94</v>
      </c>
      <c r="B84" s="23">
        <v>10</v>
      </c>
      <c r="C84" s="23">
        <v>441783</v>
      </c>
      <c r="E84" t="s">
        <v>94</v>
      </c>
      <c r="F84">
        <v>10</v>
      </c>
      <c r="G84">
        <v>441783</v>
      </c>
      <c r="H84" s="23">
        <v>7</v>
      </c>
      <c r="J84" t="s">
        <v>5</v>
      </c>
      <c r="K84" t="s">
        <v>106</v>
      </c>
      <c r="M84" s="20" t="s">
        <v>94</v>
      </c>
      <c r="N84" s="23">
        <v>7</v>
      </c>
    </row>
    <row r="85" spans="1:14" x14ac:dyDescent="0.25">
      <c r="A85" s="20" t="s">
        <v>338</v>
      </c>
      <c r="B85" s="23">
        <v>2</v>
      </c>
      <c r="C85" s="23">
        <v>149369</v>
      </c>
      <c r="E85" t="s">
        <v>380</v>
      </c>
      <c r="F85">
        <v>1</v>
      </c>
      <c r="G85">
        <v>41145</v>
      </c>
      <c r="H85" s="23">
        <v>1</v>
      </c>
      <c r="J85" t="s">
        <v>13</v>
      </c>
      <c r="K85" t="s">
        <v>107</v>
      </c>
      <c r="M85" s="20" t="s">
        <v>338</v>
      </c>
      <c r="N85" s="23">
        <v>1</v>
      </c>
    </row>
    <row r="86" spans="1:14" hidden="1" x14ac:dyDescent="0.25">
      <c r="A86" s="20" t="s">
        <v>15</v>
      </c>
      <c r="B86" s="23">
        <v>4</v>
      </c>
      <c r="C86" s="23">
        <v>159048</v>
      </c>
      <c r="E86" t="s">
        <v>15</v>
      </c>
      <c r="F86">
        <v>4</v>
      </c>
      <c r="G86">
        <v>159048</v>
      </c>
      <c r="H86" s="23">
        <v>3</v>
      </c>
      <c r="J86" t="s">
        <v>13</v>
      </c>
      <c r="K86" t="s">
        <v>108</v>
      </c>
      <c r="M86" s="20" t="s">
        <v>15</v>
      </c>
      <c r="N86" s="23">
        <v>3</v>
      </c>
    </row>
    <row r="87" spans="1:14" hidden="1" x14ac:dyDescent="0.25">
      <c r="A87" s="20" t="s">
        <v>256</v>
      </c>
      <c r="B87" s="23">
        <v>4</v>
      </c>
      <c r="C87" s="23">
        <v>140166</v>
      </c>
      <c r="E87" t="s">
        <v>256</v>
      </c>
      <c r="F87">
        <v>4</v>
      </c>
      <c r="G87">
        <v>140166</v>
      </c>
      <c r="H87" s="23">
        <v>3</v>
      </c>
      <c r="J87" t="s">
        <v>16</v>
      </c>
      <c r="K87" t="s">
        <v>75</v>
      </c>
      <c r="M87" s="20" t="s">
        <v>256</v>
      </c>
      <c r="N87" s="23">
        <v>3</v>
      </c>
    </row>
    <row r="88" spans="1:14" hidden="1" x14ac:dyDescent="0.25">
      <c r="A88" s="20" t="s">
        <v>176</v>
      </c>
      <c r="B88" s="23">
        <v>5</v>
      </c>
      <c r="C88" s="23">
        <v>320411</v>
      </c>
      <c r="E88" t="s">
        <v>176</v>
      </c>
      <c r="F88">
        <v>5</v>
      </c>
      <c r="G88">
        <v>320411</v>
      </c>
      <c r="H88" s="23">
        <v>4</v>
      </c>
      <c r="J88" t="s">
        <v>5</v>
      </c>
      <c r="K88" t="s">
        <v>39</v>
      </c>
      <c r="M88" s="20" t="s">
        <v>176</v>
      </c>
      <c r="N88" s="23">
        <v>4</v>
      </c>
    </row>
    <row r="89" spans="1:14" x14ac:dyDescent="0.25">
      <c r="A89" s="20" t="s">
        <v>86</v>
      </c>
      <c r="B89" s="23">
        <v>1</v>
      </c>
      <c r="C89" s="23">
        <v>99945</v>
      </c>
      <c r="E89" t="s">
        <v>375</v>
      </c>
      <c r="F89">
        <v>1</v>
      </c>
      <c r="G89">
        <v>40657</v>
      </c>
      <c r="H89" s="23">
        <v>1</v>
      </c>
      <c r="J89" t="s">
        <v>27</v>
      </c>
      <c r="K89" t="s">
        <v>90</v>
      </c>
      <c r="M89" s="20" t="s">
        <v>86</v>
      </c>
      <c r="N89" s="23">
        <v>1</v>
      </c>
    </row>
    <row r="90" spans="1:14" hidden="1" x14ac:dyDescent="0.25">
      <c r="A90" s="20" t="s">
        <v>181</v>
      </c>
      <c r="B90" s="23">
        <v>2</v>
      </c>
      <c r="C90" s="23">
        <v>79092</v>
      </c>
      <c r="E90" t="s">
        <v>181</v>
      </c>
      <c r="F90">
        <v>2</v>
      </c>
      <c r="G90">
        <v>79092</v>
      </c>
      <c r="H90" s="23">
        <v>2</v>
      </c>
      <c r="J90" t="s">
        <v>38</v>
      </c>
      <c r="K90" t="s">
        <v>110</v>
      </c>
      <c r="M90" s="20" t="s">
        <v>181</v>
      </c>
      <c r="N90" s="23">
        <v>2</v>
      </c>
    </row>
    <row r="91" spans="1:14" hidden="1" x14ac:dyDescent="0.25">
      <c r="A91" s="20" t="s">
        <v>248</v>
      </c>
      <c r="B91" s="23">
        <v>8</v>
      </c>
      <c r="C91" s="23">
        <v>299064</v>
      </c>
      <c r="E91" t="s">
        <v>248</v>
      </c>
      <c r="F91">
        <v>8</v>
      </c>
      <c r="G91">
        <v>299064</v>
      </c>
      <c r="H91" s="23">
        <v>7</v>
      </c>
      <c r="J91" t="s">
        <v>27</v>
      </c>
      <c r="K91" t="s">
        <v>75</v>
      </c>
      <c r="M91" s="20" t="s">
        <v>248</v>
      </c>
      <c r="N91" s="23">
        <v>7</v>
      </c>
    </row>
    <row r="92" spans="1:14" hidden="1" x14ac:dyDescent="0.25">
      <c r="A92" s="20" t="s">
        <v>33</v>
      </c>
      <c r="B92" s="23">
        <v>14</v>
      </c>
      <c r="C92" s="23">
        <v>759518</v>
      </c>
      <c r="E92" t="s">
        <v>33</v>
      </c>
      <c r="F92">
        <v>14</v>
      </c>
      <c r="G92">
        <v>759518</v>
      </c>
      <c r="H92" s="23">
        <v>9</v>
      </c>
      <c r="J92" t="s">
        <v>30</v>
      </c>
      <c r="K92" t="s">
        <v>111</v>
      </c>
      <c r="M92" s="20" t="s">
        <v>33</v>
      </c>
      <c r="N92" s="23">
        <v>9</v>
      </c>
    </row>
    <row r="93" spans="1:14" hidden="1" x14ac:dyDescent="0.25">
      <c r="A93" s="20" t="s">
        <v>331</v>
      </c>
      <c r="B93" s="23">
        <v>3</v>
      </c>
      <c r="C93" s="23">
        <v>200550</v>
      </c>
      <c r="E93" t="s">
        <v>331</v>
      </c>
      <c r="F93">
        <v>3</v>
      </c>
      <c r="G93">
        <v>200550</v>
      </c>
      <c r="H93" s="23">
        <v>3</v>
      </c>
      <c r="J93" t="s">
        <v>30</v>
      </c>
      <c r="K93" t="s">
        <v>65</v>
      </c>
      <c r="M93" s="20" t="s">
        <v>331</v>
      </c>
      <c r="N93" s="23">
        <v>3</v>
      </c>
    </row>
    <row r="94" spans="1:14" hidden="1" x14ac:dyDescent="0.25">
      <c r="A94" s="20" t="s">
        <v>226</v>
      </c>
      <c r="B94" s="23">
        <v>4</v>
      </c>
      <c r="C94" s="23">
        <v>257797</v>
      </c>
      <c r="E94" t="s">
        <v>226</v>
      </c>
      <c r="F94">
        <v>4</v>
      </c>
      <c r="G94">
        <v>257797</v>
      </c>
      <c r="H94" s="23">
        <v>4</v>
      </c>
      <c r="J94" t="s">
        <v>5</v>
      </c>
      <c r="K94" t="s">
        <v>113</v>
      </c>
      <c r="M94" s="20" t="s">
        <v>226</v>
      </c>
      <c r="N94" s="23">
        <v>4</v>
      </c>
    </row>
    <row r="95" spans="1:14" hidden="1" x14ac:dyDescent="0.25">
      <c r="A95" s="20" t="s">
        <v>202</v>
      </c>
      <c r="B95" s="23">
        <v>3</v>
      </c>
      <c r="C95" s="23">
        <v>128457</v>
      </c>
      <c r="E95" t="s">
        <v>202</v>
      </c>
      <c r="F95">
        <v>3</v>
      </c>
      <c r="G95">
        <v>128457</v>
      </c>
      <c r="H95" s="23">
        <v>3</v>
      </c>
      <c r="J95" t="s">
        <v>18</v>
      </c>
      <c r="K95" t="s">
        <v>114</v>
      </c>
      <c r="M95" s="20" t="s">
        <v>202</v>
      </c>
      <c r="N95" s="23">
        <v>3</v>
      </c>
    </row>
    <row r="96" spans="1:14" hidden="1" x14ac:dyDescent="0.25">
      <c r="A96" s="20" t="s">
        <v>211</v>
      </c>
      <c r="B96" s="23">
        <v>4</v>
      </c>
      <c r="C96" s="23">
        <v>206605</v>
      </c>
      <c r="E96" t="s">
        <v>211</v>
      </c>
      <c r="F96">
        <v>4</v>
      </c>
      <c r="G96">
        <v>206605</v>
      </c>
      <c r="H96" s="23">
        <v>3</v>
      </c>
      <c r="J96" t="s">
        <v>27</v>
      </c>
      <c r="K96" t="s">
        <v>116</v>
      </c>
      <c r="M96" s="20" t="s">
        <v>211</v>
      </c>
      <c r="N96" s="23">
        <v>3</v>
      </c>
    </row>
    <row r="97" spans="1:14" hidden="1" x14ac:dyDescent="0.25">
      <c r="A97" s="20" t="s">
        <v>101</v>
      </c>
      <c r="B97" s="23">
        <v>7</v>
      </c>
      <c r="C97" s="23">
        <v>489451</v>
      </c>
      <c r="E97" t="s">
        <v>101</v>
      </c>
      <c r="F97">
        <v>7</v>
      </c>
      <c r="G97">
        <v>489451</v>
      </c>
      <c r="H97" s="23">
        <v>6</v>
      </c>
      <c r="J97" t="s">
        <v>25</v>
      </c>
      <c r="K97" t="s">
        <v>117</v>
      </c>
      <c r="M97" s="20" t="s">
        <v>101</v>
      </c>
      <c r="N97" s="23">
        <v>6</v>
      </c>
    </row>
    <row r="98" spans="1:14" hidden="1" x14ac:dyDescent="0.25">
      <c r="A98" s="20" t="s">
        <v>103</v>
      </c>
      <c r="B98" s="23">
        <v>3</v>
      </c>
      <c r="C98" s="23">
        <v>110982</v>
      </c>
      <c r="E98" t="s">
        <v>103</v>
      </c>
      <c r="F98">
        <v>3</v>
      </c>
      <c r="G98">
        <v>110982</v>
      </c>
      <c r="H98" s="23">
        <v>2</v>
      </c>
      <c r="J98" t="s">
        <v>5</v>
      </c>
      <c r="K98" t="s">
        <v>111</v>
      </c>
      <c r="M98" s="20" t="s">
        <v>103</v>
      </c>
      <c r="N98" s="23">
        <v>2</v>
      </c>
    </row>
    <row r="99" spans="1:14" hidden="1" x14ac:dyDescent="0.25">
      <c r="A99" s="20" t="s">
        <v>113</v>
      </c>
      <c r="B99" s="23">
        <v>4</v>
      </c>
      <c r="C99" s="23">
        <v>229768</v>
      </c>
      <c r="E99" t="s">
        <v>113</v>
      </c>
      <c r="F99">
        <v>4</v>
      </c>
      <c r="G99">
        <v>229768</v>
      </c>
      <c r="H99" s="23">
        <v>4</v>
      </c>
      <c r="J99" t="s">
        <v>5</v>
      </c>
      <c r="K99" t="s">
        <v>119</v>
      </c>
      <c r="M99" s="20" t="s">
        <v>113</v>
      </c>
      <c r="N99" s="23">
        <v>4</v>
      </c>
    </row>
    <row r="100" spans="1:14" hidden="1" x14ac:dyDescent="0.25">
      <c r="A100" s="20" t="s">
        <v>306</v>
      </c>
      <c r="B100" s="23">
        <v>3</v>
      </c>
      <c r="C100" s="23">
        <v>102463</v>
      </c>
      <c r="E100" t="s">
        <v>306</v>
      </c>
      <c r="F100">
        <v>3</v>
      </c>
      <c r="G100">
        <v>102463</v>
      </c>
      <c r="H100" s="23">
        <v>2</v>
      </c>
      <c r="J100" t="s">
        <v>47</v>
      </c>
      <c r="K100" t="s">
        <v>33</v>
      </c>
      <c r="M100" s="20" t="s">
        <v>306</v>
      </c>
      <c r="N100" s="23">
        <v>2</v>
      </c>
    </row>
    <row r="101" spans="1:14" hidden="1" x14ac:dyDescent="0.25">
      <c r="A101" s="20" t="s">
        <v>200</v>
      </c>
      <c r="B101" s="23">
        <v>3</v>
      </c>
      <c r="C101" s="23">
        <v>215979</v>
      </c>
      <c r="E101" t="s">
        <v>200</v>
      </c>
      <c r="F101">
        <v>3</v>
      </c>
      <c r="G101">
        <v>215979</v>
      </c>
      <c r="H101" s="23">
        <v>3</v>
      </c>
      <c r="J101" t="s">
        <v>5</v>
      </c>
      <c r="K101" t="s">
        <v>121</v>
      </c>
      <c r="M101" s="20" t="s">
        <v>200</v>
      </c>
      <c r="N101" s="23">
        <v>3</v>
      </c>
    </row>
    <row r="102" spans="1:14" hidden="1" x14ac:dyDescent="0.25">
      <c r="A102" s="20" t="s">
        <v>142</v>
      </c>
      <c r="B102" s="23">
        <v>8</v>
      </c>
      <c r="C102" s="23">
        <v>450819</v>
      </c>
      <c r="E102" t="s">
        <v>142</v>
      </c>
      <c r="F102">
        <v>8</v>
      </c>
      <c r="G102">
        <v>450819</v>
      </c>
      <c r="H102" s="23">
        <v>7</v>
      </c>
      <c r="J102" t="s">
        <v>8</v>
      </c>
      <c r="K102" t="s">
        <v>99</v>
      </c>
      <c r="M102" s="20" t="s">
        <v>142</v>
      </c>
      <c r="N102" s="23">
        <v>7</v>
      </c>
    </row>
    <row r="103" spans="1:14" hidden="1" x14ac:dyDescent="0.25">
      <c r="A103" s="20" t="s">
        <v>107</v>
      </c>
      <c r="B103" s="23">
        <v>5</v>
      </c>
      <c r="C103" s="23">
        <v>261343</v>
      </c>
      <c r="E103" t="s">
        <v>107</v>
      </c>
      <c r="F103">
        <v>5</v>
      </c>
      <c r="G103">
        <v>261343</v>
      </c>
      <c r="H103" s="23">
        <v>4</v>
      </c>
      <c r="J103" t="s">
        <v>16</v>
      </c>
      <c r="K103" t="s">
        <v>26</v>
      </c>
      <c r="M103" s="20" t="s">
        <v>107</v>
      </c>
      <c r="N103" s="23">
        <v>4</v>
      </c>
    </row>
    <row r="104" spans="1:14" x14ac:dyDescent="0.25">
      <c r="A104" s="20" t="s">
        <v>375</v>
      </c>
      <c r="B104" s="23">
        <v>1</v>
      </c>
      <c r="C104" s="23">
        <v>40657</v>
      </c>
      <c r="E104" t="s">
        <v>382</v>
      </c>
      <c r="F104">
        <v>1</v>
      </c>
      <c r="G104">
        <v>40276</v>
      </c>
      <c r="H104" s="23">
        <v>1</v>
      </c>
      <c r="J104" t="s">
        <v>47</v>
      </c>
      <c r="K104" t="s">
        <v>122</v>
      </c>
      <c r="M104" s="20" t="s">
        <v>375</v>
      </c>
      <c r="N104" s="23">
        <v>1</v>
      </c>
    </row>
    <row r="105" spans="1:14" hidden="1" x14ac:dyDescent="0.25">
      <c r="A105" s="20" t="s">
        <v>270</v>
      </c>
      <c r="B105" s="23">
        <v>6</v>
      </c>
      <c r="C105" s="23">
        <v>314313</v>
      </c>
      <c r="E105" t="s">
        <v>270</v>
      </c>
      <c r="F105">
        <v>6</v>
      </c>
      <c r="G105">
        <v>314313</v>
      </c>
      <c r="H105" s="23">
        <v>6</v>
      </c>
      <c r="J105" t="s">
        <v>38</v>
      </c>
      <c r="K105" t="s">
        <v>123</v>
      </c>
      <c r="M105" s="20" t="s">
        <v>270</v>
      </c>
      <c r="N105" s="23">
        <v>6</v>
      </c>
    </row>
    <row r="106" spans="1:14" hidden="1" x14ac:dyDescent="0.25">
      <c r="A106" s="20" t="s">
        <v>233</v>
      </c>
      <c r="B106" s="23">
        <v>3</v>
      </c>
      <c r="C106" s="23">
        <v>135067</v>
      </c>
      <c r="E106" t="s">
        <v>233</v>
      </c>
      <c r="F106">
        <v>3</v>
      </c>
      <c r="G106">
        <v>135067</v>
      </c>
      <c r="H106" s="23">
        <v>2</v>
      </c>
      <c r="J106" t="s">
        <v>45</v>
      </c>
      <c r="K106" t="s">
        <v>124</v>
      </c>
      <c r="M106" s="20" t="s">
        <v>233</v>
      </c>
      <c r="N106" s="23">
        <v>2</v>
      </c>
    </row>
    <row r="107" spans="1:14" hidden="1" x14ac:dyDescent="0.25">
      <c r="A107" s="20" t="s">
        <v>11</v>
      </c>
      <c r="B107" s="23">
        <v>7</v>
      </c>
      <c r="C107" s="23">
        <v>356174</v>
      </c>
      <c r="E107" t="s">
        <v>11</v>
      </c>
      <c r="F107">
        <v>7</v>
      </c>
      <c r="G107">
        <v>356174</v>
      </c>
      <c r="H107" s="23">
        <v>5</v>
      </c>
      <c r="J107" t="s">
        <v>8</v>
      </c>
      <c r="K107" t="s">
        <v>19</v>
      </c>
      <c r="M107" s="20" t="s">
        <v>11</v>
      </c>
      <c r="N107" s="23">
        <v>5</v>
      </c>
    </row>
    <row r="108" spans="1:14" hidden="1" x14ac:dyDescent="0.25">
      <c r="A108" s="20" t="s">
        <v>227</v>
      </c>
      <c r="B108" s="23">
        <v>7</v>
      </c>
      <c r="C108" s="23">
        <v>432196</v>
      </c>
      <c r="E108" t="s">
        <v>227</v>
      </c>
      <c r="F108">
        <v>7</v>
      </c>
      <c r="G108">
        <v>432196</v>
      </c>
      <c r="H108" s="23">
        <v>6</v>
      </c>
      <c r="J108" t="s">
        <v>13</v>
      </c>
      <c r="K108" t="s">
        <v>125</v>
      </c>
      <c r="M108" s="20" t="s">
        <v>227</v>
      </c>
      <c r="N108" s="23">
        <v>6</v>
      </c>
    </row>
    <row r="109" spans="1:14" hidden="1" x14ac:dyDescent="0.25">
      <c r="A109" s="20" t="s">
        <v>72</v>
      </c>
      <c r="B109" s="23">
        <v>3</v>
      </c>
      <c r="C109" s="23">
        <v>137500</v>
      </c>
      <c r="E109" t="s">
        <v>72</v>
      </c>
      <c r="F109">
        <v>3</v>
      </c>
      <c r="G109">
        <v>137500</v>
      </c>
      <c r="H109" s="23">
        <v>3</v>
      </c>
      <c r="J109" t="s">
        <v>25</v>
      </c>
      <c r="K109" t="s">
        <v>126</v>
      </c>
      <c r="M109" s="20" t="s">
        <v>72</v>
      </c>
      <c r="N109" s="23">
        <v>3</v>
      </c>
    </row>
    <row r="110" spans="1:14" hidden="1" x14ac:dyDescent="0.25">
      <c r="A110" s="20" t="s">
        <v>141</v>
      </c>
      <c r="B110" s="23">
        <v>8</v>
      </c>
      <c r="C110" s="23">
        <v>554461</v>
      </c>
      <c r="E110" t="s">
        <v>141</v>
      </c>
      <c r="F110">
        <v>8</v>
      </c>
      <c r="G110">
        <v>554461</v>
      </c>
      <c r="H110" s="23">
        <v>7</v>
      </c>
      <c r="J110" t="s">
        <v>16</v>
      </c>
      <c r="K110" t="s">
        <v>78</v>
      </c>
      <c r="M110" s="20" t="s">
        <v>141</v>
      </c>
      <c r="N110" s="23">
        <v>7</v>
      </c>
    </row>
    <row r="111" spans="1:14" hidden="1" x14ac:dyDescent="0.25">
      <c r="A111" s="20" t="s">
        <v>19</v>
      </c>
      <c r="B111" s="23">
        <v>9</v>
      </c>
      <c r="C111" s="23">
        <v>509786</v>
      </c>
      <c r="E111" t="s">
        <v>19</v>
      </c>
      <c r="F111">
        <v>9</v>
      </c>
      <c r="G111">
        <v>509786</v>
      </c>
      <c r="H111" s="23">
        <v>7</v>
      </c>
      <c r="J111" t="s">
        <v>27</v>
      </c>
      <c r="K111" t="s">
        <v>128</v>
      </c>
      <c r="M111" s="20" t="s">
        <v>19</v>
      </c>
      <c r="N111" s="23">
        <v>7</v>
      </c>
    </row>
    <row r="112" spans="1:14" hidden="1" x14ac:dyDescent="0.25">
      <c r="A112" s="20" t="s">
        <v>61</v>
      </c>
      <c r="B112" s="23">
        <v>5</v>
      </c>
      <c r="C112" s="23">
        <v>337502</v>
      </c>
      <c r="E112" t="s">
        <v>61</v>
      </c>
      <c r="F112">
        <v>5</v>
      </c>
      <c r="G112">
        <v>337502</v>
      </c>
      <c r="H112" s="23">
        <v>5</v>
      </c>
      <c r="J112" t="s">
        <v>5</v>
      </c>
      <c r="K112" t="s">
        <v>53</v>
      </c>
      <c r="M112" s="20" t="s">
        <v>61</v>
      </c>
      <c r="N112" s="23">
        <v>5</v>
      </c>
    </row>
    <row r="113" spans="1:14" hidden="1" x14ac:dyDescent="0.25">
      <c r="A113" s="20" t="s">
        <v>82</v>
      </c>
      <c r="B113" s="23">
        <v>7</v>
      </c>
      <c r="C113" s="23">
        <v>522222</v>
      </c>
      <c r="E113" t="s">
        <v>82</v>
      </c>
      <c r="F113">
        <v>7</v>
      </c>
      <c r="G113">
        <v>522222</v>
      </c>
      <c r="H113" s="23">
        <v>6</v>
      </c>
      <c r="J113" t="s">
        <v>25</v>
      </c>
      <c r="K113" t="s">
        <v>129</v>
      </c>
      <c r="M113" s="20" t="s">
        <v>82</v>
      </c>
      <c r="N113" s="23">
        <v>6</v>
      </c>
    </row>
    <row r="114" spans="1:14" hidden="1" x14ac:dyDescent="0.25">
      <c r="A114" s="20" t="s">
        <v>272</v>
      </c>
      <c r="B114" s="23">
        <v>3</v>
      </c>
      <c r="C114" s="23">
        <v>138464</v>
      </c>
      <c r="E114" t="s">
        <v>272</v>
      </c>
      <c r="F114">
        <v>3</v>
      </c>
      <c r="G114">
        <v>138464</v>
      </c>
      <c r="H114" s="23">
        <v>3</v>
      </c>
      <c r="J114" t="s">
        <v>13</v>
      </c>
      <c r="K114" t="s">
        <v>130</v>
      </c>
      <c r="M114" s="20" t="s">
        <v>272</v>
      </c>
      <c r="N114" s="23">
        <v>3</v>
      </c>
    </row>
    <row r="115" spans="1:14" hidden="1" x14ac:dyDescent="0.25">
      <c r="A115" s="20" t="s">
        <v>157</v>
      </c>
      <c r="B115" s="23">
        <v>5</v>
      </c>
      <c r="C115" s="23">
        <v>333915</v>
      </c>
      <c r="E115" t="s">
        <v>157</v>
      </c>
      <c r="F115">
        <v>5</v>
      </c>
      <c r="G115">
        <v>333915</v>
      </c>
      <c r="H115" s="23">
        <v>4</v>
      </c>
      <c r="J115" t="s">
        <v>16</v>
      </c>
      <c r="K115" t="s">
        <v>119</v>
      </c>
      <c r="M115" s="20" t="s">
        <v>157</v>
      </c>
      <c r="N115" s="23">
        <v>4</v>
      </c>
    </row>
    <row r="116" spans="1:14" hidden="1" x14ac:dyDescent="0.25">
      <c r="A116" s="20" t="s">
        <v>122</v>
      </c>
      <c r="B116" s="23">
        <v>3</v>
      </c>
      <c r="C116" s="23">
        <v>202026</v>
      </c>
      <c r="E116" t="s">
        <v>122</v>
      </c>
      <c r="F116">
        <v>3</v>
      </c>
      <c r="G116">
        <v>202026</v>
      </c>
      <c r="H116" s="23">
        <v>3</v>
      </c>
      <c r="J116" t="s">
        <v>10</v>
      </c>
      <c r="K116" t="s">
        <v>132</v>
      </c>
      <c r="M116" s="20" t="s">
        <v>122</v>
      </c>
      <c r="N116" s="23">
        <v>3</v>
      </c>
    </row>
    <row r="117" spans="1:14" hidden="1" x14ac:dyDescent="0.25">
      <c r="A117" s="20" t="s">
        <v>152</v>
      </c>
      <c r="B117" s="23">
        <v>9</v>
      </c>
      <c r="C117" s="23">
        <v>538094</v>
      </c>
      <c r="E117" t="s">
        <v>152</v>
      </c>
      <c r="F117">
        <v>9</v>
      </c>
      <c r="G117">
        <v>538094</v>
      </c>
      <c r="H117" s="23">
        <v>8</v>
      </c>
      <c r="J117" t="s">
        <v>18</v>
      </c>
      <c r="K117" t="s">
        <v>133</v>
      </c>
      <c r="M117" s="20" t="s">
        <v>152</v>
      </c>
      <c r="N117" s="23">
        <v>8</v>
      </c>
    </row>
    <row r="118" spans="1:14" hidden="1" x14ac:dyDescent="0.25">
      <c r="A118" s="20" t="s">
        <v>130</v>
      </c>
      <c r="B118" s="23">
        <v>6</v>
      </c>
      <c r="C118" s="23">
        <v>343153</v>
      </c>
      <c r="E118" t="s">
        <v>130</v>
      </c>
      <c r="F118">
        <v>6</v>
      </c>
      <c r="G118">
        <v>343153</v>
      </c>
      <c r="H118" s="23">
        <v>6</v>
      </c>
      <c r="J118" t="s">
        <v>13</v>
      </c>
      <c r="K118" t="s">
        <v>134</v>
      </c>
      <c r="M118" s="20" t="s">
        <v>130</v>
      </c>
      <c r="N118" s="23">
        <v>6</v>
      </c>
    </row>
    <row r="119" spans="1:14" hidden="1" x14ac:dyDescent="0.25">
      <c r="A119" s="20" t="s">
        <v>36</v>
      </c>
      <c r="B119" s="23">
        <v>5</v>
      </c>
      <c r="C119" s="23">
        <v>267076</v>
      </c>
      <c r="E119" t="s">
        <v>36</v>
      </c>
      <c r="F119">
        <v>5</v>
      </c>
      <c r="G119">
        <v>267076</v>
      </c>
      <c r="H119" s="23">
        <v>4</v>
      </c>
      <c r="J119" t="s">
        <v>18</v>
      </c>
      <c r="K119" t="s">
        <v>125</v>
      </c>
      <c r="M119" s="20" t="s">
        <v>36</v>
      </c>
      <c r="N119" s="23">
        <v>4</v>
      </c>
    </row>
    <row r="120" spans="1:14" hidden="1" x14ac:dyDescent="0.25">
      <c r="A120" s="20" t="s">
        <v>144</v>
      </c>
      <c r="B120" s="23">
        <v>11</v>
      </c>
      <c r="C120" s="23">
        <v>575295</v>
      </c>
      <c r="E120" t="s">
        <v>144</v>
      </c>
      <c r="F120">
        <v>11</v>
      </c>
      <c r="G120">
        <v>575295</v>
      </c>
      <c r="H120" s="23">
        <v>7</v>
      </c>
      <c r="J120" t="s">
        <v>13</v>
      </c>
      <c r="K120" t="s">
        <v>136</v>
      </c>
      <c r="M120" s="20" t="s">
        <v>144</v>
      </c>
      <c r="N120" s="23">
        <v>7</v>
      </c>
    </row>
    <row r="121" spans="1:14" hidden="1" x14ac:dyDescent="0.25">
      <c r="A121" s="20" t="s">
        <v>198</v>
      </c>
      <c r="B121" s="23">
        <v>2</v>
      </c>
      <c r="C121" s="23">
        <v>117195</v>
      </c>
      <c r="E121" t="s">
        <v>198</v>
      </c>
      <c r="F121">
        <v>2</v>
      </c>
      <c r="G121">
        <v>117195</v>
      </c>
      <c r="H121" s="23">
        <v>2</v>
      </c>
      <c r="J121" t="s">
        <v>45</v>
      </c>
      <c r="K121" t="s">
        <v>14</v>
      </c>
      <c r="M121" s="20" t="s">
        <v>198</v>
      </c>
      <c r="N121" s="23">
        <v>2</v>
      </c>
    </row>
    <row r="122" spans="1:14" hidden="1" x14ac:dyDescent="0.25">
      <c r="A122" s="20" t="s">
        <v>51</v>
      </c>
      <c r="B122" s="23">
        <v>3</v>
      </c>
      <c r="C122" s="23">
        <v>145337</v>
      </c>
      <c r="E122" t="s">
        <v>51</v>
      </c>
      <c r="F122">
        <v>3</v>
      </c>
      <c r="G122">
        <v>145337</v>
      </c>
      <c r="H122" s="23">
        <v>3</v>
      </c>
      <c r="J122" t="s">
        <v>47</v>
      </c>
      <c r="K122" t="s">
        <v>137</v>
      </c>
      <c r="M122" s="20" t="s">
        <v>51</v>
      </c>
      <c r="N122" s="23">
        <v>3</v>
      </c>
    </row>
    <row r="123" spans="1:14" hidden="1" x14ac:dyDescent="0.25">
      <c r="A123" s="20" t="s">
        <v>22</v>
      </c>
      <c r="B123" s="23">
        <v>8</v>
      </c>
      <c r="C123" s="23">
        <v>515407</v>
      </c>
      <c r="E123" t="s">
        <v>22</v>
      </c>
      <c r="F123">
        <v>8</v>
      </c>
      <c r="G123">
        <v>515407</v>
      </c>
      <c r="H123" s="23">
        <v>6</v>
      </c>
      <c r="J123" t="s">
        <v>27</v>
      </c>
      <c r="K123" t="s">
        <v>139</v>
      </c>
      <c r="M123" s="20" t="s">
        <v>22</v>
      </c>
      <c r="N123" s="23">
        <v>6</v>
      </c>
    </row>
    <row r="124" spans="1:14" hidden="1" x14ac:dyDescent="0.25">
      <c r="A124" s="20" t="s">
        <v>177</v>
      </c>
      <c r="B124" s="23">
        <v>5</v>
      </c>
      <c r="C124" s="23">
        <v>190242</v>
      </c>
      <c r="E124" t="s">
        <v>177</v>
      </c>
      <c r="F124">
        <v>5</v>
      </c>
      <c r="G124">
        <v>190242</v>
      </c>
      <c r="H124" s="23">
        <v>3</v>
      </c>
      <c r="J124" t="s">
        <v>18</v>
      </c>
      <c r="K124" t="s">
        <v>137</v>
      </c>
      <c r="M124" s="20" t="s">
        <v>177</v>
      </c>
      <c r="N124" s="23">
        <v>3</v>
      </c>
    </row>
    <row r="125" spans="1:14" hidden="1" x14ac:dyDescent="0.25">
      <c r="A125" s="20" t="s">
        <v>78</v>
      </c>
      <c r="B125" s="23">
        <v>4</v>
      </c>
      <c r="C125" s="23">
        <v>217356</v>
      </c>
      <c r="E125" t="s">
        <v>78</v>
      </c>
      <c r="F125">
        <v>4</v>
      </c>
      <c r="G125">
        <v>217356</v>
      </c>
      <c r="H125" s="23">
        <v>3</v>
      </c>
      <c r="J125" t="s">
        <v>45</v>
      </c>
      <c r="K125" t="s">
        <v>96</v>
      </c>
      <c r="M125" s="20" t="s">
        <v>78</v>
      </c>
      <c r="N125" s="23">
        <v>3</v>
      </c>
    </row>
    <row r="126" spans="1:14" hidden="1" x14ac:dyDescent="0.25">
      <c r="A126" s="20" t="s">
        <v>75</v>
      </c>
      <c r="B126" s="23">
        <v>9</v>
      </c>
      <c r="C126" s="23">
        <v>539765</v>
      </c>
      <c r="E126" t="s">
        <v>75</v>
      </c>
      <c r="F126">
        <v>9</v>
      </c>
      <c r="G126">
        <v>539765</v>
      </c>
      <c r="H126" s="23">
        <v>6</v>
      </c>
      <c r="J126" t="s">
        <v>45</v>
      </c>
      <c r="K126" t="s">
        <v>89</v>
      </c>
      <c r="M126" s="20" t="s">
        <v>75</v>
      </c>
      <c r="N126" s="23">
        <v>6</v>
      </c>
    </row>
    <row r="127" spans="1:14" hidden="1" x14ac:dyDescent="0.25">
      <c r="A127" s="20" t="s">
        <v>344</v>
      </c>
      <c r="B127" s="23">
        <v>7</v>
      </c>
      <c r="C127" s="23">
        <v>386537</v>
      </c>
      <c r="E127" t="s">
        <v>344</v>
      </c>
      <c r="F127">
        <v>7</v>
      </c>
      <c r="G127">
        <v>386537</v>
      </c>
      <c r="H127" s="23">
        <v>5</v>
      </c>
      <c r="J127" t="s">
        <v>38</v>
      </c>
      <c r="K127" t="s">
        <v>141</v>
      </c>
      <c r="M127" s="20" t="s">
        <v>344</v>
      </c>
      <c r="N127" s="23">
        <v>5</v>
      </c>
    </row>
    <row r="128" spans="1:14" hidden="1" x14ac:dyDescent="0.25">
      <c r="A128" s="20" t="s">
        <v>139</v>
      </c>
      <c r="B128" s="23">
        <v>5</v>
      </c>
      <c r="C128" s="23">
        <v>344648</v>
      </c>
      <c r="E128" t="s">
        <v>139</v>
      </c>
      <c r="F128">
        <v>5</v>
      </c>
      <c r="G128">
        <v>344648</v>
      </c>
      <c r="H128" s="23">
        <v>4</v>
      </c>
      <c r="J128" t="s">
        <v>13</v>
      </c>
      <c r="K128" t="s">
        <v>142</v>
      </c>
      <c r="M128" s="20" t="s">
        <v>139</v>
      </c>
      <c r="N128" s="23">
        <v>4</v>
      </c>
    </row>
    <row r="129" spans="1:14" x14ac:dyDescent="0.25">
      <c r="A129" s="20" t="s">
        <v>380</v>
      </c>
      <c r="B129" s="23">
        <v>1</v>
      </c>
      <c r="C129" s="23">
        <v>41145</v>
      </c>
      <c r="E129" t="s">
        <v>166</v>
      </c>
      <c r="F129">
        <v>1</v>
      </c>
      <c r="G129">
        <v>18426</v>
      </c>
      <c r="H129" s="23">
        <v>1</v>
      </c>
      <c r="J129" t="s">
        <v>30</v>
      </c>
      <c r="K129" t="s">
        <v>144</v>
      </c>
      <c r="M129" s="20" t="s">
        <v>380</v>
      </c>
      <c r="N129" s="23">
        <v>1</v>
      </c>
    </row>
    <row r="130" spans="1:14" hidden="1" x14ac:dyDescent="0.25">
      <c r="A130" s="20" t="s">
        <v>65</v>
      </c>
      <c r="B130" s="23">
        <v>8</v>
      </c>
      <c r="C130" s="23">
        <v>553432</v>
      </c>
      <c r="E130" t="s">
        <v>65</v>
      </c>
      <c r="F130">
        <v>8</v>
      </c>
      <c r="G130">
        <v>553432</v>
      </c>
      <c r="H130" s="23">
        <v>5</v>
      </c>
      <c r="J130" t="s">
        <v>27</v>
      </c>
      <c r="K130" t="s">
        <v>24</v>
      </c>
      <c r="M130" s="20" t="s">
        <v>65</v>
      </c>
      <c r="N130" s="23">
        <v>5</v>
      </c>
    </row>
    <row r="131" spans="1:14" hidden="1" x14ac:dyDescent="0.25">
      <c r="A131" s="20" t="s">
        <v>116</v>
      </c>
      <c r="B131" s="23">
        <v>6</v>
      </c>
      <c r="C131" s="23">
        <v>346476</v>
      </c>
      <c r="E131" t="s">
        <v>116</v>
      </c>
      <c r="F131">
        <v>6</v>
      </c>
      <c r="G131">
        <v>346476</v>
      </c>
      <c r="H131" s="23">
        <v>5</v>
      </c>
      <c r="J131" t="s">
        <v>47</v>
      </c>
      <c r="K131" t="s">
        <v>17</v>
      </c>
      <c r="M131" s="20" t="s">
        <v>116</v>
      </c>
      <c r="N131" s="23">
        <v>5</v>
      </c>
    </row>
    <row r="132" spans="1:14" hidden="1" x14ac:dyDescent="0.25">
      <c r="A132" s="20" t="s">
        <v>161</v>
      </c>
      <c r="B132" s="23">
        <v>2</v>
      </c>
      <c r="C132" s="23">
        <v>147086</v>
      </c>
      <c r="E132" t="s">
        <v>161</v>
      </c>
      <c r="F132">
        <v>2</v>
      </c>
      <c r="G132">
        <v>147086</v>
      </c>
      <c r="H132" s="23">
        <v>2</v>
      </c>
      <c r="J132" t="s">
        <v>25</v>
      </c>
      <c r="K132" t="s">
        <v>22</v>
      </c>
      <c r="M132" s="20" t="s">
        <v>161</v>
      </c>
      <c r="N132" s="23">
        <v>2</v>
      </c>
    </row>
    <row r="133" spans="1:14" hidden="1" x14ac:dyDescent="0.25">
      <c r="A133" s="20" t="s">
        <v>48</v>
      </c>
      <c r="B133" s="23">
        <v>3</v>
      </c>
      <c r="C133" s="23">
        <v>193014</v>
      </c>
      <c r="E133" t="s">
        <v>48</v>
      </c>
      <c r="F133">
        <v>3</v>
      </c>
      <c r="G133">
        <v>193014</v>
      </c>
      <c r="H133" s="23">
        <v>3</v>
      </c>
      <c r="J133" t="s">
        <v>8</v>
      </c>
      <c r="K133" t="s">
        <v>146</v>
      </c>
      <c r="M133" s="20" t="s">
        <v>48</v>
      </c>
      <c r="N133" s="23">
        <v>3</v>
      </c>
    </row>
    <row r="134" spans="1:14" hidden="1" x14ac:dyDescent="0.25">
      <c r="A134" s="20" t="s">
        <v>232</v>
      </c>
      <c r="B134" s="23">
        <v>3</v>
      </c>
      <c r="C134" s="23">
        <v>130231</v>
      </c>
      <c r="E134" t="s">
        <v>232</v>
      </c>
      <c r="F134">
        <v>3</v>
      </c>
      <c r="G134">
        <v>130231</v>
      </c>
      <c r="H134" s="23">
        <v>3</v>
      </c>
      <c r="J134" t="s">
        <v>13</v>
      </c>
      <c r="K134" t="s">
        <v>48</v>
      </c>
      <c r="M134" s="20" t="s">
        <v>232</v>
      </c>
      <c r="N134" s="23">
        <v>3</v>
      </c>
    </row>
    <row r="135" spans="1:14" hidden="1" x14ac:dyDescent="0.25">
      <c r="A135" s="20" t="s">
        <v>146</v>
      </c>
      <c r="B135" s="23">
        <v>8</v>
      </c>
      <c r="C135" s="23">
        <v>539465</v>
      </c>
      <c r="E135" t="s">
        <v>146</v>
      </c>
      <c r="F135">
        <v>8</v>
      </c>
      <c r="G135">
        <v>539465</v>
      </c>
      <c r="H135" s="23">
        <v>7</v>
      </c>
      <c r="J135" t="s">
        <v>47</v>
      </c>
      <c r="K135" t="s">
        <v>141</v>
      </c>
      <c r="M135" s="20" t="s">
        <v>146</v>
      </c>
      <c r="N135" s="23">
        <v>7</v>
      </c>
    </row>
    <row r="136" spans="1:14" hidden="1" x14ac:dyDescent="0.25">
      <c r="A136" s="20" t="s">
        <v>68</v>
      </c>
      <c r="B136" s="23">
        <v>11</v>
      </c>
      <c r="C136" s="23">
        <v>616804</v>
      </c>
      <c r="E136" t="s">
        <v>68</v>
      </c>
      <c r="F136">
        <v>11</v>
      </c>
      <c r="G136">
        <v>616804</v>
      </c>
      <c r="H136" s="23">
        <v>8</v>
      </c>
      <c r="J136" t="s">
        <v>30</v>
      </c>
      <c r="K136" t="s">
        <v>148</v>
      </c>
      <c r="M136" s="20" t="s">
        <v>68</v>
      </c>
      <c r="N136" s="23">
        <v>8</v>
      </c>
    </row>
    <row r="137" spans="1:14" hidden="1" x14ac:dyDescent="0.25">
      <c r="A137" s="20" t="s">
        <v>217</v>
      </c>
      <c r="B137" s="23">
        <v>10</v>
      </c>
      <c r="C137" s="23">
        <v>375660</v>
      </c>
      <c r="E137" t="s">
        <v>217</v>
      </c>
      <c r="F137">
        <v>10</v>
      </c>
      <c r="G137">
        <v>375660</v>
      </c>
      <c r="H137" s="23">
        <v>7</v>
      </c>
      <c r="J137" t="s">
        <v>30</v>
      </c>
      <c r="K137" t="s">
        <v>136</v>
      </c>
      <c r="M137" s="20" t="s">
        <v>217</v>
      </c>
      <c r="N137" s="23">
        <v>7</v>
      </c>
    </row>
    <row r="138" spans="1:14" hidden="1" x14ac:dyDescent="0.25">
      <c r="A138" s="20" t="s">
        <v>35</v>
      </c>
      <c r="B138" s="23">
        <v>9</v>
      </c>
      <c r="C138" s="23">
        <v>466120</v>
      </c>
      <c r="E138" t="s">
        <v>35</v>
      </c>
      <c r="F138">
        <v>9</v>
      </c>
      <c r="G138">
        <v>466120</v>
      </c>
      <c r="H138" s="23">
        <v>7</v>
      </c>
      <c r="J138" t="s">
        <v>47</v>
      </c>
      <c r="K138" t="s">
        <v>61</v>
      </c>
      <c r="M138" s="20" t="s">
        <v>35</v>
      </c>
      <c r="N138" s="23">
        <v>7</v>
      </c>
    </row>
    <row r="139" spans="1:14" hidden="1" x14ac:dyDescent="0.25">
      <c r="A139" s="20" t="s">
        <v>298</v>
      </c>
      <c r="B139" s="23">
        <v>4</v>
      </c>
      <c r="C139" s="23">
        <v>171132</v>
      </c>
      <c r="E139" t="s">
        <v>298</v>
      </c>
      <c r="F139">
        <v>4</v>
      </c>
      <c r="G139">
        <v>171132</v>
      </c>
      <c r="H139" s="23">
        <v>4</v>
      </c>
      <c r="J139" t="s">
        <v>8</v>
      </c>
      <c r="K139" t="s">
        <v>149</v>
      </c>
      <c r="M139" s="20" t="s">
        <v>298</v>
      </c>
      <c r="N139" s="23">
        <v>4</v>
      </c>
    </row>
    <row r="140" spans="1:14" hidden="1" x14ac:dyDescent="0.25">
      <c r="A140" s="20" t="s">
        <v>215</v>
      </c>
      <c r="B140" s="23">
        <v>8</v>
      </c>
      <c r="C140" s="23">
        <v>428747</v>
      </c>
      <c r="E140" t="s">
        <v>215</v>
      </c>
      <c r="F140">
        <v>8</v>
      </c>
      <c r="G140">
        <v>428747</v>
      </c>
      <c r="H140" s="23">
        <v>6</v>
      </c>
      <c r="J140" t="s">
        <v>47</v>
      </c>
      <c r="K140" t="s">
        <v>151</v>
      </c>
      <c r="M140" s="20" t="s">
        <v>215</v>
      </c>
      <c r="N140" s="23">
        <v>6</v>
      </c>
    </row>
    <row r="141" spans="1:14" hidden="1" x14ac:dyDescent="0.25">
      <c r="A141" s="20" t="s">
        <v>105</v>
      </c>
      <c r="B141" s="23">
        <v>6</v>
      </c>
      <c r="C141" s="23">
        <v>338425</v>
      </c>
      <c r="E141" t="s">
        <v>105</v>
      </c>
      <c r="F141">
        <v>6</v>
      </c>
      <c r="G141">
        <v>338425</v>
      </c>
      <c r="H141" s="23">
        <v>5</v>
      </c>
      <c r="J141" t="s">
        <v>13</v>
      </c>
      <c r="K141" t="s">
        <v>152</v>
      </c>
      <c r="M141" s="20" t="s">
        <v>105</v>
      </c>
      <c r="N141" s="23">
        <v>5</v>
      </c>
    </row>
    <row r="142" spans="1:14" hidden="1" x14ac:dyDescent="0.25">
      <c r="A142" s="20" t="s">
        <v>84</v>
      </c>
      <c r="B142" s="23">
        <v>5</v>
      </c>
      <c r="C142" s="23">
        <v>199886</v>
      </c>
      <c r="E142" t="s">
        <v>84</v>
      </c>
      <c r="F142">
        <v>5</v>
      </c>
      <c r="G142">
        <v>199886</v>
      </c>
      <c r="H142" s="23">
        <v>4</v>
      </c>
      <c r="J142" t="s">
        <v>18</v>
      </c>
      <c r="K142" t="s">
        <v>153</v>
      </c>
      <c r="M142" s="20" t="s">
        <v>84</v>
      </c>
      <c r="N142" s="23">
        <v>4</v>
      </c>
    </row>
    <row r="143" spans="1:14" hidden="1" x14ac:dyDescent="0.25">
      <c r="A143" s="20" t="s">
        <v>188</v>
      </c>
      <c r="B143" s="23">
        <v>6</v>
      </c>
      <c r="C143" s="23">
        <v>336929</v>
      </c>
      <c r="E143" t="s">
        <v>188</v>
      </c>
      <c r="F143">
        <v>6</v>
      </c>
      <c r="G143">
        <v>336929</v>
      </c>
      <c r="H143" s="23">
        <v>5</v>
      </c>
      <c r="J143" t="s">
        <v>30</v>
      </c>
      <c r="K143" t="s">
        <v>77</v>
      </c>
      <c r="M143" s="20" t="s">
        <v>188</v>
      </c>
      <c r="N143" s="23">
        <v>5</v>
      </c>
    </row>
    <row r="144" spans="1:14" hidden="1" x14ac:dyDescent="0.25">
      <c r="A144" s="20" t="s">
        <v>169</v>
      </c>
      <c r="B144" s="23">
        <v>3</v>
      </c>
      <c r="C144" s="23">
        <v>123623</v>
      </c>
      <c r="E144" t="s">
        <v>169</v>
      </c>
      <c r="F144">
        <v>3</v>
      </c>
      <c r="G144">
        <v>123623</v>
      </c>
      <c r="H144" s="23">
        <v>3</v>
      </c>
      <c r="J144" t="s">
        <v>8</v>
      </c>
      <c r="K144" t="s">
        <v>155</v>
      </c>
      <c r="M144" s="20" t="s">
        <v>169</v>
      </c>
      <c r="N144" s="23">
        <v>3</v>
      </c>
    </row>
    <row r="145" spans="1:14" hidden="1" x14ac:dyDescent="0.25">
      <c r="A145" s="20" t="s">
        <v>128</v>
      </c>
      <c r="B145" s="23">
        <v>7</v>
      </c>
      <c r="C145" s="23">
        <v>536297</v>
      </c>
      <c r="E145" t="s">
        <v>128</v>
      </c>
      <c r="F145">
        <v>7</v>
      </c>
      <c r="G145">
        <v>536297</v>
      </c>
      <c r="H145" s="23">
        <v>5</v>
      </c>
      <c r="J145" t="s">
        <v>38</v>
      </c>
      <c r="K145" t="s">
        <v>35</v>
      </c>
      <c r="M145" s="20" t="s">
        <v>128</v>
      </c>
      <c r="N145" s="23">
        <v>5</v>
      </c>
    </row>
    <row r="146" spans="1:14" hidden="1" x14ac:dyDescent="0.25">
      <c r="A146" s="20" t="s">
        <v>196</v>
      </c>
      <c r="B146" s="23">
        <v>10</v>
      </c>
      <c r="C146" s="23">
        <v>451635</v>
      </c>
      <c r="E146" t="s">
        <v>196</v>
      </c>
      <c r="F146">
        <v>10</v>
      </c>
      <c r="G146">
        <v>451635</v>
      </c>
      <c r="H146" s="23">
        <v>5</v>
      </c>
      <c r="J146" t="s">
        <v>13</v>
      </c>
      <c r="K146" t="s">
        <v>101</v>
      </c>
      <c r="M146" s="20" t="s">
        <v>196</v>
      </c>
      <c r="N146" s="23">
        <v>5</v>
      </c>
    </row>
    <row r="147" spans="1:14" hidden="1" x14ac:dyDescent="0.25">
      <c r="A147" s="20" t="s">
        <v>346</v>
      </c>
      <c r="B147" s="23">
        <v>3</v>
      </c>
      <c r="C147" s="23">
        <v>144338</v>
      </c>
      <c r="E147" t="s">
        <v>346</v>
      </c>
      <c r="F147">
        <v>3</v>
      </c>
      <c r="G147">
        <v>144338</v>
      </c>
      <c r="H147" s="23">
        <v>2</v>
      </c>
      <c r="J147" t="s">
        <v>25</v>
      </c>
      <c r="K147" t="s">
        <v>141</v>
      </c>
      <c r="M147" s="20" t="s">
        <v>346</v>
      </c>
      <c r="N147" s="23">
        <v>2</v>
      </c>
    </row>
    <row r="148" spans="1:14" hidden="1" x14ac:dyDescent="0.25">
      <c r="A148" s="20" t="s">
        <v>249</v>
      </c>
      <c r="B148" s="23">
        <v>7</v>
      </c>
      <c r="C148" s="23">
        <v>455502</v>
      </c>
      <c r="E148" t="s">
        <v>249</v>
      </c>
      <c r="F148">
        <v>7</v>
      </c>
      <c r="G148">
        <v>455502</v>
      </c>
      <c r="H148" s="23">
        <v>7</v>
      </c>
      <c r="J148" t="s">
        <v>30</v>
      </c>
      <c r="K148" t="s">
        <v>156</v>
      </c>
      <c r="M148" s="20" t="s">
        <v>249</v>
      </c>
      <c r="N148" s="23">
        <v>7</v>
      </c>
    </row>
    <row r="149" spans="1:14" hidden="1" x14ac:dyDescent="0.25">
      <c r="A149" s="20" t="s">
        <v>41</v>
      </c>
      <c r="B149" s="23">
        <v>8</v>
      </c>
      <c r="C149" s="23">
        <v>401763</v>
      </c>
      <c r="E149" t="s">
        <v>41</v>
      </c>
      <c r="F149">
        <v>8</v>
      </c>
      <c r="G149">
        <v>401763</v>
      </c>
      <c r="H149" s="23">
        <v>5</v>
      </c>
      <c r="J149" t="s">
        <v>47</v>
      </c>
      <c r="K149" t="s">
        <v>90</v>
      </c>
      <c r="M149" s="20" t="s">
        <v>41</v>
      </c>
      <c r="N149" s="23">
        <v>5</v>
      </c>
    </row>
    <row r="150" spans="1:14" hidden="1" x14ac:dyDescent="0.25">
      <c r="A150" s="20" t="s">
        <v>32</v>
      </c>
      <c r="B150" s="23">
        <v>9</v>
      </c>
      <c r="C150" s="23">
        <v>574422</v>
      </c>
      <c r="E150" t="s">
        <v>32</v>
      </c>
      <c r="F150">
        <v>9</v>
      </c>
      <c r="G150">
        <v>574422</v>
      </c>
      <c r="H150" s="23">
        <v>6</v>
      </c>
      <c r="J150" t="s">
        <v>47</v>
      </c>
      <c r="K150" t="s">
        <v>157</v>
      </c>
      <c r="M150" s="20" t="s">
        <v>32</v>
      </c>
      <c r="N150" s="23">
        <v>6</v>
      </c>
    </row>
    <row r="151" spans="1:14" hidden="1" x14ac:dyDescent="0.25">
      <c r="A151" s="20" t="s">
        <v>155</v>
      </c>
      <c r="B151" s="23">
        <v>6</v>
      </c>
      <c r="C151" s="23">
        <v>335413</v>
      </c>
      <c r="E151" t="s">
        <v>155</v>
      </c>
      <c r="F151">
        <v>6</v>
      </c>
      <c r="G151">
        <v>335413</v>
      </c>
      <c r="H151" s="23">
        <v>3</v>
      </c>
      <c r="J151" t="s">
        <v>27</v>
      </c>
      <c r="K151" t="s">
        <v>158</v>
      </c>
      <c r="M151" s="20" t="s">
        <v>155</v>
      </c>
      <c r="N151" s="23">
        <v>3</v>
      </c>
    </row>
    <row r="152" spans="1:14" hidden="1" x14ac:dyDescent="0.25">
      <c r="A152" s="20" t="s">
        <v>153</v>
      </c>
      <c r="B152" s="23">
        <v>4</v>
      </c>
      <c r="C152" s="23">
        <v>98518</v>
      </c>
      <c r="E152" t="s">
        <v>153</v>
      </c>
      <c r="F152">
        <v>4</v>
      </c>
      <c r="G152">
        <v>98518</v>
      </c>
      <c r="H152" s="23">
        <v>4</v>
      </c>
      <c r="J152" t="s">
        <v>8</v>
      </c>
      <c r="K152" t="s">
        <v>52</v>
      </c>
      <c r="M152" s="20" t="s">
        <v>153</v>
      </c>
      <c r="N152" s="23">
        <v>4</v>
      </c>
    </row>
    <row r="153" spans="1:14" hidden="1" x14ac:dyDescent="0.25">
      <c r="A153" s="20" t="s">
        <v>187</v>
      </c>
      <c r="B153" s="23">
        <v>8</v>
      </c>
      <c r="C153" s="23">
        <v>386844</v>
      </c>
      <c r="E153" t="s">
        <v>187</v>
      </c>
      <c r="F153">
        <v>8</v>
      </c>
      <c r="G153">
        <v>386844</v>
      </c>
      <c r="H153" s="23">
        <v>7</v>
      </c>
      <c r="J153" t="s">
        <v>8</v>
      </c>
      <c r="K153" t="s">
        <v>101</v>
      </c>
      <c r="M153" s="20" t="s">
        <v>187</v>
      </c>
      <c r="N153" s="23">
        <v>7</v>
      </c>
    </row>
    <row r="154" spans="1:14" hidden="1" x14ac:dyDescent="0.25">
      <c r="A154" s="20" t="s">
        <v>121</v>
      </c>
      <c r="B154" s="23">
        <v>6</v>
      </c>
      <c r="C154" s="23">
        <v>307282</v>
      </c>
      <c r="E154" t="s">
        <v>121</v>
      </c>
      <c r="F154">
        <v>6</v>
      </c>
      <c r="G154">
        <v>307282</v>
      </c>
      <c r="H154" s="23">
        <v>5</v>
      </c>
      <c r="J154" t="s">
        <v>16</v>
      </c>
      <c r="K154" t="s">
        <v>68</v>
      </c>
      <c r="M154" s="20" t="s">
        <v>121</v>
      </c>
      <c r="N154" s="23">
        <v>5</v>
      </c>
    </row>
    <row r="155" spans="1:14" x14ac:dyDescent="0.25">
      <c r="A155" s="20" t="s">
        <v>329</v>
      </c>
      <c r="B155" s="23">
        <v>1</v>
      </c>
      <c r="C155" s="23">
        <v>55635</v>
      </c>
      <c r="E155" t="s">
        <v>384</v>
      </c>
      <c r="F155">
        <v>1</v>
      </c>
      <c r="G155">
        <v>16429</v>
      </c>
      <c r="H155" s="23">
        <v>1</v>
      </c>
      <c r="J155" t="s">
        <v>5</v>
      </c>
      <c r="K155" t="s">
        <v>161</v>
      </c>
      <c r="M155" s="20" t="s">
        <v>329</v>
      </c>
      <c r="N155" s="23">
        <v>1</v>
      </c>
    </row>
    <row r="156" spans="1:14" hidden="1" x14ac:dyDescent="0.25">
      <c r="A156" s="20" t="s">
        <v>52</v>
      </c>
      <c r="B156" s="23">
        <v>4</v>
      </c>
      <c r="C156" s="23">
        <v>209497</v>
      </c>
      <c r="E156" t="s">
        <v>52</v>
      </c>
      <c r="F156">
        <v>4</v>
      </c>
      <c r="G156">
        <v>209497</v>
      </c>
      <c r="H156" s="23">
        <v>4</v>
      </c>
      <c r="J156" t="s">
        <v>10</v>
      </c>
      <c r="K156" t="s">
        <v>91</v>
      </c>
      <c r="M156" s="20" t="s">
        <v>52</v>
      </c>
      <c r="N156" s="23">
        <v>4</v>
      </c>
    </row>
    <row r="157" spans="1:14" hidden="1" x14ac:dyDescent="0.25">
      <c r="A157" s="20" t="s">
        <v>106</v>
      </c>
      <c r="B157" s="23">
        <v>5</v>
      </c>
      <c r="C157" s="23">
        <v>243581</v>
      </c>
      <c r="E157" t="s">
        <v>106</v>
      </c>
      <c r="F157">
        <v>5</v>
      </c>
      <c r="G157">
        <v>243581</v>
      </c>
      <c r="H157" s="23">
        <v>4</v>
      </c>
      <c r="J157" t="s">
        <v>5</v>
      </c>
      <c r="K157" t="s">
        <v>162</v>
      </c>
      <c r="M157" s="20" t="s">
        <v>106</v>
      </c>
      <c r="N157" s="23">
        <v>4</v>
      </c>
    </row>
    <row r="158" spans="1:14" hidden="1" x14ac:dyDescent="0.25">
      <c r="A158" s="20" t="s">
        <v>85</v>
      </c>
      <c r="B158" s="23">
        <v>3</v>
      </c>
      <c r="C158" s="23">
        <v>151054</v>
      </c>
      <c r="E158" t="s">
        <v>85</v>
      </c>
      <c r="F158">
        <v>3</v>
      </c>
      <c r="G158">
        <v>151054</v>
      </c>
      <c r="H158" s="23">
        <v>3</v>
      </c>
      <c r="J158" t="s">
        <v>45</v>
      </c>
      <c r="K158" t="s">
        <v>33</v>
      </c>
      <c r="M158" s="20" t="s">
        <v>85</v>
      </c>
      <c r="N158" s="23">
        <v>3</v>
      </c>
    </row>
    <row r="159" spans="1:14" hidden="1" x14ac:dyDescent="0.25">
      <c r="A159" s="20" t="s">
        <v>295</v>
      </c>
      <c r="B159" s="23">
        <v>2</v>
      </c>
      <c r="C159" s="23">
        <v>171746</v>
      </c>
      <c r="E159" t="s">
        <v>295</v>
      </c>
      <c r="F159">
        <v>2</v>
      </c>
      <c r="G159">
        <v>171746</v>
      </c>
      <c r="H159" s="23">
        <v>2</v>
      </c>
      <c r="J159" t="s">
        <v>8</v>
      </c>
      <c r="K159" t="s">
        <v>85</v>
      </c>
      <c r="M159" s="20" t="s">
        <v>295</v>
      </c>
      <c r="N159" s="23">
        <v>2</v>
      </c>
    </row>
    <row r="160" spans="1:14" hidden="1" x14ac:dyDescent="0.25">
      <c r="A160" s="20" t="s">
        <v>114</v>
      </c>
      <c r="B160" s="23">
        <v>8</v>
      </c>
      <c r="C160" s="23">
        <v>312309</v>
      </c>
      <c r="E160" t="s">
        <v>114</v>
      </c>
      <c r="F160">
        <v>8</v>
      </c>
      <c r="G160">
        <v>312309</v>
      </c>
      <c r="H160" s="23">
        <v>6</v>
      </c>
      <c r="J160" t="s">
        <v>16</v>
      </c>
      <c r="K160" t="s">
        <v>165</v>
      </c>
      <c r="M160" s="20" t="s">
        <v>114</v>
      </c>
      <c r="N160" s="23">
        <v>6</v>
      </c>
    </row>
    <row r="161" spans="1:14" hidden="1" x14ac:dyDescent="0.25">
      <c r="A161" s="20" t="s">
        <v>26</v>
      </c>
      <c r="B161" s="23">
        <v>7</v>
      </c>
      <c r="C161" s="23">
        <v>300110</v>
      </c>
      <c r="E161" t="s">
        <v>26</v>
      </c>
      <c r="F161">
        <v>7</v>
      </c>
      <c r="G161">
        <v>300110</v>
      </c>
      <c r="H161" s="23">
        <v>4</v>
      </c>
      <c r="J161" t="s">
        <v>10</v>
      </c>
      <c r="K161" t="s">
        <v>146</v>
      </c>
      <c r="M161" s="20" t="s">
        <v>26</v>
      </c>
      <c r="N161" s="23">
        <v>4</v>
      </c>
    </row>
    <row r="162" spans="1:14" hidden="1" x14ac:dyDescent="0.25">
      <c r="A162" s="20" t="s">
        <v>37</v>
      </c>
      <c r="B162" s="23">
        <v>4</v>
      </c>
      <c r="C162" s="23">
        <v>192006</v>
      </c>
      <c r="E162" t="s">
        <v>37</v>
      </c>
      <c r="F162">
        <v>4</v>
      </c>
      <c r="G162">
        <v>192006</v>
      </c>
      <c r="H162" s="23">
        <v>4</v>
      </c>
      <c r="J162" t="s">
        <v>18</v>
      </c>
      <c r="K162" t="s">
        <v>166</v>
      </c>
      <c r="M162" s="20" t="s">
        <v>37</v>
      </c>
      <c r="N162" s="23">
        <v>4</v>
      </c>
    </row>
    <row r="163" spans="1:14" hidden="1" x14ac:dyDescent="0.25">
      <c r="A163" s="20" t="s">
        <v>49</v>
      </c>
      <c r="B163" s="23">
        <v>9</v>
      </c>
      <c r="C163" s="23">
        <v>402707</v>
      </c>
      <c r="E163" t="s">
        <v>49</v>
      </c>
      <c r="F163">
        <v>9</v>
      </c>
      <c r="G163">
        <v>402707</v>
      </c>
      <c r="H163" s="23">
        <v>7</v>
      </c>
      <c r="J163" t="s">
        <v>13</v>
      </c>
      <c r="K163" t="s">
        <v>167</v>
      </c>
      <c r="M163" s="20" t="s">
        <v>49</v>
      </c>
      <c r="N163" s="23">
        <v>7</v>
      </c>
    </row>
    <row r="164" spans="1:14" hidden="1" x14ac:dyDescent="0.25">
      <c r="A164" s="20" t="s">
        <v>229</v>
      </c>
      <c r="B164" s="23">
        <v>4</v>
      </c>
      <c r="C164" s="23">
        <v>218257</v>
      </c>
      <c r="E164" t="s">
        <v>229</v>
      </c>
      <c r="F164">
        <v>4</v>
      </c>
      <c r="G164">
        <v>218257</v>
      </c>
      <c r="H164" s="23">
        <v>4</v>
      </c>
      <c r="J164" t="s">
        <v>13</v>
      </c>
      <c r="K164" t="s">
        <v>106</v>
      </c>
      <c r="M164" s="20" t="s">
        <v>229</v>
      </c>
      <c r="N164" s="23">
        <v>4</v>
      </c>
    </row>
    <row r="165" spans="1:14" hidden="1" x14ac:dyDescent="0.25">
      <c r="A165" s="20" t="s">
        <v>205</v>
      </c>
      <c r="B165" s="23">
        <v>5</v>
      </c>
      <c r="C165" s="23">
        <v>248215</v>
      </c>
      <c r="E165" t="s">
        <v>205</v>
      </c>
      <c r="F165">
        <v>5</v>
      </c>
      <c r="G165">
        <v>248215</v>
      </c>
      <c r="H165" s="23">
        <v>5</v>
      </c>
      <c r="J165" t="s">
        <v>45</v>
      </c>
      <c r="K165" t="s">
        <v>169</v>
      </c>
      <c r="M165" s="20" t="s">
        <v>205</v>
      </c>
      <c r="N165" s="23">
        <v>5</v>
      </c>
    </row>
    <row r="166" spans="1:14" hidden="1" x14ac:dyDescent="0.25">
      <c r="A166" s="20" t="s">
        <v>66</v>
      </c>
      <c r="B166" s="23">
        <v>7</v>
      </c>
      <c r="C166" s="23">
        <v>320401</v>
      </c>
      <c r="E166" t="s">
        <v>66</v>
      </c>
      <c r="F166">
        <v>7</v>
      </c>
      <c r="G166">
        <v>320401</v>
      </c>
      <c r="H166" s="23">
        <v>7</v>
      </c>
      <c r="J166" t="s">
        <v>30</v>
      </c>
      <c r="K166" t="s">
        <v>52</v>
      </c>
      <c r="M166" s="20" t="s">
        <v>66</v>
      </c>
      <c r="N166" s="23">
        <v>7</v>
      </c>
    </row>
    <row r="167" spans="1:14" hidden="1" x14ac:dyDescent="0.25">
      <c r="A167" s="20" t="s">
        <v>180</v>
      </c>
      <c r="B167" s="23">
        <v>3</v>
      </c>
      <c r="C167" s="23">
        <v>175728</v>
      </c>
      <c r="E167" t="s">
        <v>180</v>
      </c>
      <c r="F167">
        <v>3</v>
      </c>
      <c r="G167">
        <v>175728</v>
      </c>
      <c r="H167" s="23">
        <v>3</v>
      </c>
      <c r="J167" t="s">
        <v>8</v>
      </c>
      <c r="K167" t="s">
        <v>141</v>
      </c>
      <c r="M167" s="20" t="s">
        <v>180</v>
      </c>
      <c r="N167" s="23">
        <v>3</v>
      </c>
    </row>
    <row r="168" spans="1:14" hidden="1" x14ac:dyDescent="0.25">
      <c r="A168" s="20" t="s">
        <v>393</v>
      </c>
      <c r="B168" s="23">
        <v>3</v>
      </c>
      <c r="C168" s="23">
        <v>110847</v>
      </c>
      <c r="E168" t="s">
        <v>393</v>
      </c>
      <c r="F168">
        <v>3</v>
      </c>
      <c r="G168">
        <v>110847</v>
      </c>
      <c r="H168" s="23">
        <v>3</v>
      </c>
      <c r="J168" t="s">
        <v>47</v>
      </c>
      <c r="K168" t="s">
        <v>124</v>
      </c>
      <c r="M168" s="20" t="s">
        <v>393</v>
      </c>
      <c r="N168" s="23">
        <v>3</v>
      </c>
    </row>
    <row r="169" spans="1:14" hidden="1" x14ac:dyDescent="0.25">
      <c r="A169" s="20" t="s">
        <v>39</v>
      </c>
      <c r="B169" s="23">
        <v>6</v>
      </c>
      <c r="C169" s="23">
        <v>313660</v>
      </c>
      <c r="E169" t="s">
        <v>39</v>
      </c>
      <c r="F169">
        <v>6</v>
      </c>
      <c r="G169">
        <v>313660</v>
      </c>
      <c r="H169" s="23">
        <v>6</v>
      </c>
      <c r="J169" t="s">
        <v>45</v>
      </c>
      <c r="K169" t="s">
        <v>170</v>
      </c>
      <c r="M169" s="20" t="s">
        <v>39</v>
      </c>
      <c r="N169" s="23">
        <v>6</v>
      </c>
    </row>
    <row r="170" spans="1:14" hidden="1" x14ac:dyDescent="0.25">
      <c r="A170" s="20" t="s">
        <v>214</v>
      </c>
      <c r="B170" s="23">
        <v>4</v>
      </c>
      <c r="C170" s="23">
        <v>193331</v>
      </c>
      <c r="E170" t="s">
        <v>214</v>
      </c>
      <c r="F170">
        <v>4</v>
      </c>
      <c r="G170">
        <v>193331</v>
      </c>
      <c r="H170" s="23">
        <v>4</v>
      </c>
      <c r="J170" t="s">
        <v>25</v>
      </c>
      <c r="K170" t="s">
        <v>50</v>
      </c>
      <c r="M170" s="20" t="s">
        <v>214</v>
      </c>
      <c r="N170" s="23">
        <v>4</v>
      </c>
    </row>
    <row r="171" spans="1:14" hidden="1" x14ac:dyDescent="0.25">
      <c r="A171" s="20" t="s">
        <v>149</v>
      </c>
      <c r="B171" s="23">
        <v>6</v>
      </c>
      <c r="C171" s="23">
        <v>251865</v>
      </c>
      <c r="E171" t="s">
        <v>149</v>
      </c>
      <c r="F171">
        <v>6</v>
      </c>
      <c r="G171">
        <v>251865</v>
      </c>
      <c r="H171" s="23">
        <v>4</v>
      </c>
      <c r="J171" t="s">
        <v>13</v>
      </c>
      <c r="K171" t="s">
        <v>144</v>
      </c>
      <c r="M171" s="20" t="s">
        <v>149</v>
      </c>
      <c r="N171" s="23">
        <v>4</v>
      </c>
    </row>
    <row r="172" spans="1:14" hidden="1" x14ac:dyDescent="0.25">
      <c r="A172" s="20" t="s">
        <v>132</v>
      </c>
      <c r="B172" s="23">
        <v>5</v>
      </c>
      <c r="C172" s="23">
        <v>327472</v>
      </c>
      <c r="E172" t="s">
        <v>132</v>
      </c>
      <c r="F172">
        <v>5</v>
      </c>
      <c r="G172">
        <v>327472</v>
      </c>
      <c r="H172" s="23">
        <v>4</v>
      </c>
      <c r="J172" t="s">
        <v>10</v>
      </c>
      <c r="K172" t="s">
        <v>96</v>
      </c>
      <c r="M172" s="20" t="s">
        <v>132</v>
      </c>
      <c r="N172" s="23">
        <v>4</v>
      </c>
    </row>
    <row r="173" spans="1:14" hidden="1" x14ac:dyDescent="0.25">
      <c r="A173" s="20" t="s">
        <v>69</v>
      </c>
      <c r="B173" s="23">
        <v>11</v>
      </c>
      <c r="C173" s="23">
        <v>589442</v>
      </c>
      <c r="E173" t="s">
        <v>69</v>
      </c>
      <c r="F173">
        <v>11</v>
      </c>
      <c r="G173">
        <v>589442</v>
      </c>
      <c r="H173" s="23">
        <v>7</v>
      </c>
      <c r="J173" t="s">
        <v>25</v>
      </c>
      <c r="K173" t="s">
        <v>46</v>
      </c>
      <c r="M173" s="20" t="s">
        <v>69</v>
      </c>
      <c r="N173" s="23">
        <v>7</v>
      </c>
    </row>
    <row r="174" spans="1:14" hidden="1" x14ac:dyDescent="0.25">
      <c r="A174" s="20" t="s">
        <v>119</v>
      </c>
      <c r="B174" s="23">
        <v>5</v>
      </c>
      <c r="C174" s="23">
        <v>321153</v>
      </c>
      <c r="E174" t="s">
        <v>119</v>
      </c>
      <c r="F174">
        <v>5</v>
      </c>
      <c r="G174">
        <v>321153</v>
      </c>
      <c r="H174" s="23">
        <v>5</v>
      </c>
      <c r="J174" t="s">
        <v>45</v>
      </c>
      <c r="K174" t="s">
        <v>57</v>
      </c>
      <c r="M174" s="20" t="s">
        <v>119</v>
      </c>
      <c r="N174" s="23">
        <v>5</v>
      </c>
    </row>
    <row r="175" spans="1:14" hidden="1" x14ac:dyDescent="0.25">
      <c r="A175" s="20" t="s">
        <v>184</v>
      </c>
      <c r="B175" s="23">
        <v>4</v>
      </c>
      <c r="C175" s="23">
        <v>166299</v>
      </c>
      <c r="E175" t="s">
        <v>184</v>
      </c>
      <c r="F175">
        <v>4</v>
      </c>
      <c r="G175">
        <v>166299</v>
      </c>
      <c r="H175" s="23">
        <v>2</v>
      </c>
      <c r="J175" t="s">
        <v>38</v>
      </c>
      <c r="K175" t="s">
        <v>170</v>
      </c>
      <c r="M175" s="20" t="s">
        <v>184</v>
      </c>
      <c r="N175" s="23">
        <v>2</v>
      </c>
    </row>
    <row r="176" spans="1:14" hidden="1" x14ac:dyDescent="0.25">
      <c r="A176" s="20" t="s">
        <v>221</v>
      </c>
      <c r="B176" s="23">
        <v>5</v>
      </c>
      <c r="C176" s="23">
        <v>215212</v>
      </c>
      <c r="E176" t="s">
        <v>221</v>
      </c>
      <c r="F176">
        <v>5</v>
      </c>
      <c r="G176">
        <v>215212</v>
      </c>
      <c r="H176" s="23">
        <v>3</v>
      </c>
      <c r="J176" t="s">
        <v>13</v>
      </c>
      <c r="K176" t="s">
        <v>173</v>
      </c>
      <c r="M176" s="20" t="s">
        <v>221</v>
      </c>
      <c r="N176" s="23">
        <v>3</v>
      </c>
    </row>
    <row r="177" spans="1:14" hidden="1" x14ac:dyDescent="0.25">
      <c r="A177" s="20" t="s">
        <v>110</v>
      </c>
      <c r="B177" s="23">
        <v>6</v>
      </c>
      <c r="C177" s="23">
        <v>244914</v>
      </c>
      <c r="E177" t="s">
        <v>110</v>
      </c>
      <c r="F177">
        <v>6</v>
      </c>
      <c r="G177">
        <v>244914</v>
      </c>
      <c r="H177" s="23">
        <v>4</v>
      </c>
      <c r="J177" t="s">
        <v>5</v>
      </c>
      <c r="K177" t="s">
        <v>101</v>
      </c>
      <c r="M177" s="20" t="s">
        <v>110</v>
      </c>
      <c r="N177" s="23">
        <v>4</v>
      </c>
    </row>
    <row r="178" spans="1:14" hidden="1" x14ac:dyDescent="0.25">
      <c r="A178" s="20" t="s">
        <v>307</v>
      </c>
      <c r="B178" s="23">
        <v>6</v>
      </c>
      <c r="C178" s="23">
        <v>305087</v>
      </c>
      <c r="E178" t="s">
        <v>307</v>
      </c>
      <c r="F178">
        <v>6</v>
      </c>
      <c r="G178">
        <v>305087</v>
      </c>
      <c r="H178" s="23">
        <v>4</v>
      </c>
      <c r="J178" t="s">
        <v>8</v>
      </c>
      <c r="K178" t="s">
        <v>170</v>
      </c>
      <c r="M178" s="20" t="s">
        <v>307</v>
      </c>
      <c r="N178" s="23">
        <v>4</v>
      </c>
    </row>
    <row r="179" spans="1:14" hidden="1" x14ac:dyDescent="0.25">
      <c r="A179" s="20" t="s">
        <v>50</v>
      </c>
      <c r="B179" s="23">
        <v>7</v>
      </c>
      <c r="C179" s="23">
        <v>460570</v>
      </c>
      <c r="E179" t="s">
        <v>50</v>
      </c>
      <c r="F179">
        <v>7</v>
      </c>
      <c r="G179">
        <v>460570</v>
      </c>
      <c r="H179" s="23">
        <v>6</v>
      </c>
      <c r="J179" t="s">
        <v>47</v>
      </c>
      <c r="K179" t="s">
        <v>176</v>
      </c>
      <c r="M179" s="20" t="s">
        <v>50</v>
      </c>
      <c r="N179" s="23">
        <v>6</v>
      </c>
    </row>
    <row r="180" spans="1:14" hidden="1" x14ac:dyDescent="0.25">
      <c r="A180" s="20" t="s">
        <v>77</v>
      </c>
      <c r="B180" s="23">
        <v>12</v>
      </c>
      <c r="C180" s="23">
        <v>731183</v>
      </c>
      <c r="E180" t="s">
        <v>77</v>
      </c>
      <c r="F180">
        <v>12</v>
      </c>
      <c r="G180">
        <v>731183</v>
      </c>
      <c r="H180" s="23">
        <v>8</v>
      </c>
      <c r="J180" t="s">
        <v>30</v>
      </c>
      <c r="K180" t="s">
        <v>155</v>
      </c>
      <c r="M180" s="20" t="s">
        <v>77</v>
      </c>
      <c r="N180" s="23">
        <v>8</v>
      </c>
    </row>
    <row r="181" spans="1:14" hidden="1" x14ac:dyDescent="0.25">
      <c r="A181" s="20" t="s">
        <v>64</v>
      </c>
      <c r="B181" s="23">
        <v>7</v>
      </c>
      <c r="C181" s="23">
        <v>387783</v>
      </c>
      <c r="E181" t="s">
        <v>64</v>
      </c>
      <c r="F181">
        <v>7</v>
      </c>
      <c r="G181">
        <v>387783</v>
      </c>
      <c r="H181" s="23">
        <v>7</v>
      </c>
      <c r="J181" t="s">
        <v>10</v>
      </c>
      <c r="K181" t="s">
        <v>177</v>
      </c>
      <c r="M181" s="20" t="s">
        <v>64</v>
      </c>
      <c r="N181" s="23">
        <v>7</v>
      </c>
    </row>
    <row r="182" spans="1:14" hidden="1" x14ac:dyDescent="0.25">
      <c r="A182" s="20" t="s">
        <v>309</v>
      </c>
      <c r="B182" s="23">
        <v>4</v>
      </c>
      <c r="C182" s="23">
        <v>204237</v>
      </c>
      <c r="E182" t="s">
        <v>309</v>
      </c>
      <c r="F182">
        <v>4</v>
      </c>
      <c r="G182">
        <v>204237</v>
      </c>
      <c r="H182" s="23">
        <v>3</v>
      </c>
      <c r="J182" t="s">
        <v>27</v>
      </c>
      <c r="K182" t="s">
        <v>178</v>
      </c>
      <c r="M182" s="20" t="s">
        <v>309</v>
      </c>
      <c r="N182" s="23">
        <v>3</v>
      </c>
    </row>
    <row r="183" spans="1:14" hidden="1" x14ac:dyDescent="0.25">
      <c r="A183" s="20" t="s">
        <v>63</v>
      </c>
      <c r="B183" s="23">
        <v>5</v>
      </c>
      <c r="C183" s="23">
        <v>258053</v>
      </c>
      <c r="E183" t="s">
        <v>63</v>
      </c>
      <c r="F183">
        <v>5</v>
      </c>
      <c r="G183">
        <v>258053</v>
      </c>
      <c r="H183" s="23">
        <v>4</v>
      </c>
      <c r="J183" t="s">
        <v>47</v>
      </c>
      <c r="K183" t="s">
        <v>180</v>
      </c>
      <c r="M183" s="20" t="s">
        <v>63</v>
      </c>
      <c r="N183" s="23">
        <v>4</v>
      </c>
    </row>
    <row r="184" spans="1:14" hidden="1" x14ac:dyDescent="0.25">
      <c r="A184" s="20" t="s">
        <v>296</v>
      </c>
      <c r="B184" s="23">
        <v>3</v>
      </c>
      <c r="C184" s="23">
        <v>183343</v>
      </c>
      <c r="E184" t="s">
        <v>296</v>
      </c>
      <c r="F184">
        <v>3</v>
      </c>
      <c r="G184">
        <v>183343</v>
      </c>
      <c r="H184" s="23">
        <v>3</v>
      </c>
      <c r="J184" t="s">
        <v>8</v>
      </c>
      <c r="K184" t="s">
        <v>181</v>
      </c>
      <c r="M184" s="20" t="s">
        <v>296</v>
      </c>
      <c r="N184" s="23">
        <v>3</v>
      </c>
    </row>
    <row r="185" spans="1:14" hidden="1" x14ac:dyDescent="0.25">
      <c r="A185" s="20" t="s">
        <v>170</v>
      </c>
      <c r="B185" s="23">
        <v>5</v>
      </c>
      <c r="C185" s="23">
        <v>212407</v>
      </c>
      <c r="E185" t="s">
        <v>170</v>
      </c>
      <c r="F185">
        <v>5</v>
      </c>
      <c r="G185">
        <v>212407</v>
      </c>
      <c r="H185" s="23">
        <v>4</v>
      </c>
      <c r="J185" t="s">
        <v>38</v>
      </c>
      <c r="K185" t="s">
        <v>182</v>
      </c>
      <c r="M185" s="20" t="s">
        <v>170</v>
      </c>
      <c r="N185" s="23">
        <v>4</v>
      </c>
    </row>
    <row r="186" spans="1:14" hidden="1" x14ac:dyDescent="0.25">
      <c r="A186" s="20" t="s">
        <v>252</v>
      </c>
      <c r="B186" s="23">
        <v>4</v>
      </c>
      <c r="C186" s="23">
        <v>282924</v>
      </c>
      <c r="E186" t="s">
        <v>252</v>
      </c>
      <c r="F186">
        <v>4</v>
      </c>
      <c r="G186">
        <v>282924</v>
      </c>
      <c r="H186" s="23">
        <v>4</v>
      </c>
      <c r="J186" t="s">
        <v>45</v>
      </c>
      <c r="K186" t="s">
        <v>108</v>
      </c>
      <c r="M186" s="20" t="s">
        <v>252</v>
      </c>
      <c r="N186" s="23">
        <v>4</v>
      </c>
    </row>
    <row r="187" spans="1:14" hidden="1" x14ac:dyDescent="0.25">
      <c r="A187" s="20" t="s">
        <v>287</v>
      </c>
      <c r="B187" s="23">
        <v>5</v>
      </c>
      <c r="C187" s="23">
        <v>361553</v>
      </c>
      <c r="E187" t="s">
        <v>287</v>
      </c>
      <c r="F187">
        <v>5</v>
      </c>
      <c r="G187">
        <v>361553</v>
      </c>
      <c r="H187" s="23">
        <v>2</v>
      </c>
      <c r="J187" t="s">
        <v>10</v>
      </c>
      <c r="K187" t="s">
        <v>119</v>
      </c>
      <c r="M187" s="20" t="s">
        <v>287</v>
      </c>
      <c r="N187" s="23">
        <v>2</v>
      </c>
    </row>
    <row r="188" spans="1:14" hidden="1" x14ac:dyDescent="0.25">
      <c r="A188" s="20" t="s">
        <v>395</v>
      </c>
      <c r="B188" s="23">
        <v>4</v>
      </c>
      <c r="C188" s="23">
        <v>157617</v>
      </c>
      <c r="E188" t="s">
        <v>395</v>
      </c>
      <c r="F188">
        <v>4</v>
      </c>
      <c r="G188">
        <v>157617</v>
      </c>
      <c r="H188" s="23">
        <v>2</v>
      </c>
      <c r="J188" t="s">
        <v>30</v>
      </c>
      <c r="K188" t="s">
        <v>68</v>
      </c>
      <c r="M188" s="20" t="s">
        <v>395</v>
      </c>
      <c r="N188" s="23">
        <v>2</v>
      </c>
    </row>
    <row r="189" spans="1:14" hidden="1" x14ac:dyDescent="0.25">
      <c r="A189" s="20" t="s">
        <v>231</v>
      </c>
      <c r="B189" s="23">
        <v>4</v>
      </c>
      <c r="C189" s="23">
        <v>285920</v>
      </c>
      <c r="E189" t="s">
        <v>231</v>
      </c>
      <c r="F189">
        <v>4</v>
      </c>
      <c r="G189">
        <v>285920</v>
      </c>
      <c r="H189" s="23">
        <v>2</v>
      </c>
      <c r="J189" t="s">
        <v>30</v>
      </c>
      <c r="K189" t="s">
        <v>184</v>
      </c>
      <c r="M189" s="20" t="s">
        <v>231</v>
      </c>
      <c r="N189" s="23">
        <v>2</v>
      </c>
    </row>
    <row r="190" spans="1:14" hidden="1" x14ac:dyDescent="0.25">
      <c r="A190" s="20" t="s">
        <v>264</v>
      </c>
      <c r="B190" s="23">
        <v>4</v>
      </c>
      <c r="C190" s="23">
        <v>244078</v>
      </c>
      <c r="E190" t="s">
        <v>264</v>
      </c>
      <c r="F190">
        <v>4</v>
      </c>
      <c r="G190">
        <v>244078</v>
      </c>
      <c r="H190" s="23">
        <v>3</v>
      </c>
      <c r="J190" t="s">
        <v>10</v>
      </c>
      <c r="K190" t="s">
        <v>186</v>
      </c>
      <c r="M190" s="20" t="s">
        <v>264</v>
      </c>
      <c r="N190" s="23">
        <v>3</v>
      </c>
    </row>
    <row r="191" spans="1:14" hidden="1" x14ac:dyDescent="0.25">
      <c r="A191" s="20" t="s">
        <v>195</v>
      </c>
      <c r="B191" s="23">
        <v>7</v>
      </c>
      <c r="C191" s="23">
        <v>297699</v>
      </c>
      <c r="E191" t="s">
        <v>195</v>
      </c>
      <c r="F191">
        <v>7</v>
      </c>
      <c r="G191">
        <v>297699</v>
      </c>
      <c r="H191" s="23">
        <v>5</v>
      </c>
      <c r="J191" t="s">
        <v>45</v>
      </c>
      <c r="K191" t="s">
        <v>187</v>
      </c>
      <c r="M191" s="20" t="s">
        <v>195</v>
      </c>
      <c r="N191" s="23">
        <v>5</v>
      </c>
    </row>
    <row r="192" spans="1:14" hidden="1" x14ac:dyDescent="0.25">
      <c r="A192" s="20" t="s">
        <v>43</v>
      </c>
      <c r="B192" s="23">
        <v>6</v>
      </c>
      <c r="C192" s="23">
        <v>398763</v>
      </c>
      <c r="E192" t="s">
        <v>43</v>
      </c>
      <c r="F192">
        <v>6</v>
      </c>
      <c r="G192">
        <v>398763</v>
      </c>
      <c r="H192" s="23">
        <v>6</v>
      </c>
      <c r="J192" t="s">
        <v>45</v>
      </c>
      <c r="K192" t="s">
        <v>188</v>
      </c>
      <c r="M192" s="20" t="s">
        <v>43</v>
      </c>
      <c r="N192" s="23">
        <v>6</v>
      </c>
    </row>
    <row r="193" spans="1:14" hidden="1" x14ac:dyDescent="0.25">
      <c r="A193" s="20" t="s">
        <v>167</v>
      </c>
      <c r="B193" s="23">
        <v>5</v>
      </c>
      <c r="C193" s="23">
        <v>220263</v>
      </c>
      <c r="E193" t="s">
        <v>167</v>
      </c>
      <c r="F193">
        <v>5</v>
      </c>
      <c r="G193">
        <v>220263</v>
      </c>
      <c r="H193" s="23">
        <v>4</v>
      </c>
      <c r="J193" t="s">
        <v>10</v>
      </c>
      <c r="K193" t="s">
        <v>116</v>
      </c>
      <c r="M193" s="20" t="s">
        <v>167</v>
      </c>
      <c r="N193" s="23">
        <v>4</v>
      </c>
    </row>
    <row r="194" spans="1:14" hidden="1" x14ac:dyDescent="0.25">
      <c r="A194" s="20" t="s">
        <v>182</v>
      </c>
      <c r="B194" s="23">
        <v>3</v>
      </c>
      <c r="C194" s="23">
        <v>96433</v>
      </c>
      <c r="E194" t="s">
        <v>182</v>
      </c>
      <c r="F194">
        <v>3</v>
      </c>
      <c r="G194">
        <v>96433</v>
      </c>
      <c r="H194" s="23">
        <v>3</v>
      </c>
      <c r="J194" t="s">
        <v>30</v>
      </c>
      <c r="K194" t="s">
        <v>94</v>
      </c>
      <c r="M194" s="20" t="s">
        <v>182</v>
      </c>
      <c r="N194" s="23">
        <v>3</v>
      </c>
    </row>
    <row r="195" spans="1:14" hidden="1" x14ac:dyDescent="0.25">
      <c r="A195" s="20" t="s">
        <v>513</v>
      </c>
      <c r="B195" s="23"/>
      <c r="C195" s="23"/>
      <c r="E195" t="s">
        <v>513</v>
      </c>
      <c r="H195" s="23"/>
      <c r="J195" t="s">
        <v>45</v>
      </c>
      <c r="K195" t="s">
        <v>43</v>
      </c>
      <c r="M195" s="20" t="s">
        <v>513</v>
      </c>
      <c r="N195" s="23"/>
    </row>
    <row r="196" spans="1:14" hidden="1" x14ac:dyDescent="0.25">
      <c r="H196" s="23">
        <v>806</v>
      </c>
      <c r="J196" t="s">
        <v>13</v>
      </c>
      <c r="K196" t="s">
        <v>6</v>
      </c>
      <c r="M196" s="20" t="s">
        <v>514</v>
      </c>
      <c r="N196" s="23">
        <v>806</v>
      </c>
    </row>
    <row r="197" spans="1:14" hidden="1" x14ac:dyDescent="0.25">
      <c r="J197" t="s">
        <v>16</v>
      </c>
      <c r="K197" t="s">
        <v>72</v>
      </c>
    </row>
    <row r="198" spans="1:14" hidden="1" x14ac:dyDescent="0.25">
      <c r="J198" t="s">
        <v>30</v>
      </c>
      <c r="K198" t="s">
        <v>105</v>
      </c>
    </row>
    <row r="199" spans="1:14" hidden="1" x14ac:dyDescent="0.25">
      <c r="J199" t="s">
        <v>27</v>
      </c>
      <c r="K199" t="s">
        <v>64</v>
      </c>
    </row>
    <row r="200" spans="1:14" hidden="1" x14ac:dyDescent="0.25">
      <c r="J200" t="s">
        <v>5</v>
      </c>
      <c r="K200" t="s">
        <v>190</v>
      </c>
    </row>
    <row r="201" spans="1:14" hidden="1" x14ac:dyDescent="0.25">
      <c r="J201" t="s">
        <v>27</v>
      </c>
      <c r="K201" t="s">
        <v>49</v>
      </c>
    </row>
    <row r="202" spans="1:14" hidden="1" x14ac:dyDescent="0.25">
      <c r="J202" t="s">
        <v>30</v>
      </c>
      <c r="K202" t="s">
        <v>96</v>
      </c>
    </row>
    <row r="203" spans="1:14" hidden="1" x14ac:dyDescent="0.25">
      <c r="J203" t="s">
        <v>25</v>
      </c>
      <c r="K203" t="s">
        <v>128</v>
      </c>
    </row>
    <row r="204" spans="1:14" hidden="1" x14ac:dyDescent="0.25">
      <c r="J204" t="s">
        <v>8</v>
      </c>
      <c r="K204" t="s">
        <v>123</v>
      </c>
    </row>
    <row r="205" spans="1:14" hidden="1" x14ac:dyDescent="0.25">
      <c r="J205" t="s">
        <v>13</v>
      </c>
      <c r="K205" t="s">
        <v>39</v>
      </c>
    </row>
    <row r="206" spans="1:14" hidden="1" x14ac:dyDescent="0.25">
      <c r="J206" t="s">
        <v>5</v>
      </c>
      <c r="K206" t="s">
        <v>194</v>
      </c>
    </row>
    <row r="207" spans="1:14" hidden="1" x14ac:dyDescent="0.25">
      <c r="J207" t="s">
        <v>45</v>
      </c>
      <c r="K207" t="s">
        <v>195</v>
      </c>
    </row>
    <row r="208" spans="1:14" hidden="1" x14ac:dyDescent="0.25">
      <c r="J208" t="s">
        <v>5</v>
      </c>
      <c r="K208" t="s">
        <v>196</v>
      </c>
    </row>
    <row r="209" spans="10:11" hidden="1" x14ac:dyDescent="0.25">
      <c r="J209" t="s">
        <v>16</v>
      </c>
      <c r="K209" t="s">
        <v>124</v>
      </c>
    </row>
    <row r="210" spans="10:11" hidden="1" x14ac:dyDescent="0.25">
      <c r="J210" t="s">
        <v>25</v>
      </c>
      <c r="K210" t="s">
        <v>90</v>
      </c>
    </row>
    <row r="211" spans="10:11" hidden="1" x14ac:dyDescent="0.25">
      <c r="J211" t="s">
        <v>13</v>
      </c>
      <c r="K211" t="s">
        <v>198</v>
      </c>
    </row>
    <row r="212" spans="10:11" hidden="1" x14ac:dyDescent="0.25">
      <c r="J212" t="s">
        <v>5</v>
      </c>
      <c r="K212" t="s">
        <v>200</v>
      </c>
    </row>
    <row r="213" spans="10:11" hidden="1" x14ac:dyDescent="0.25">
      <c r="J213" t="s">
        <v>5</v>
      </c>
      <c r="K213" t="s">
        <v>201</v>
      </c>
    </row>
    <row r="214" spans="10:11" hidden="1" x14ac:dyDescent="0.25">
      <c r="J214" t="s">
        <v>38</v>
      </c>
      <c r="K214" t="s">
        <v>128</v>
      </c>
    </row>
    <row r="215" spans="10:11" hidden="1" x14ac:dyDescent="0.25">
      <c r="J215" t="s">
        <v>18</v>
      </c>
      <c r="K215" t="s">
        <v>130</v>
      </c>
    </row>
    <row r="216" spans="10:11" hidden="1" x14ac:dyDescent="0.25">
      <c r="J216" t="s">
        <v>45</v>
      </c>
      <c r="K216" t="s">
        <v>202</v>
      </c>
    </row>
    <row r="217" spans="10:11" hidden="1" x14ac:dyDescent="0.25">
      <c r="J217" t="s">
        <v>38</v>
      </c>
      <c r="K217" t="s">
        <v>14</v>
      </c>
    </row>
    <row r="218" spans="10:11" hidden="1" x14ac:dyDescent="0.25">
      <c r="J218" t="s">
        <v>47</v>
      </c>
      <c r="K218" t="s">
        <v>67</v>
      </c>
    </row>
    <row r="219" spans="10:11" hidden="1" x14ac:dyDescent="0.25">
      <c r="J219" t="s">
        <v>18</v>
      </c>
      <c r="K219" t="s">
        <v>103</v>
      </c>
    </row>
    <row r="220" spans="10:11" hidden="1" x14ac:dyDescent="0.25">
      <c r="J220" t="s">
        <v>25</v>
      </c>
      <c r="K220" t="s">
        <v>65</v>
      </c>
    </row>
    <row r="221" spans="10:11" hidden="1" x14ac:dyDescent="0.25">
      <c r="J221" t="s">
        <v>27</v>
      </c>
      <c r="K221" t="s">
        <v>33</v>
      </c>
    </row>
    <row r="222" spans="10:11" hidden="1" x14ac:dyDescent="0.25">
      <c r="J222" t="s">
        <v>25</v>
      </c>
      <c r="K222" t="s">
        <v>66</v>
      </c>
    </row>
    <row r="223" spans="10:11" hidden="1" x14ac:dyDescent="0.25">
      <c r="J223" t="s">
        <v>5</v>
      </c>
      <c r="K223" t="s">
        <v>141</v>
      </c>
    </row>
    <row r="224" spans="10:11" hidden="1" x14ac:dyDescent="0.25">
      <c r="J224" t="s">
        <v>27</v>
      </c>
      <c r="K224" t="s">
        <v>205</v>
      </c>
    </row>
    <row r="225" spans="10:11" hidden="1" x14ac:dyDescent="0.25">
      <c r="J225" t="s">
        <v>25</v>
      </c>
      <c r="K225" t="s">
        <v>206</v>
      </c>
    </row>
    <row r="226" spans="10:11" hidden="1" x14ac:dyDescent="0.25">
      <c r="J226" t="s">
        <v>8</v>
      </c>
      <c r="K226" t="s">
        <v>122</v>
      </c>
    </row>
    <row r="227" spans="10:11" hidden="1" x14ac:dyDescent="0.25">
      <c r="J227" t="s">
        <v>8</v>
      </c>
      <c r="K227" t="s">
        <v>35</v>
      </c>
    </row>
    <row r="228" spans="10:11" hidden="1" x14ac:dyDescent="0.25">
      <c r="J228" t="s">
        <v>8</v>
      </c>
      <c r="K228" t="s">
        <v>209</v>
      </c>
    </row>
    <row r="229" spans="10:11" hidden="1" x14ac:dyDescent="0.25">
      <c r="J229" t="s">
        <v>45</v>
      </c>
      <c r="K229" t="s">
        <v>107</v>
      </c>
    </row>
    <row r="230" spans="10:11" hidden="1" x14ac:dyDescent="0.25">
      <c r="J230" t="s">
        <v>25</v>
      </c>
      <c r="K230" t="s">
        <v>182</v>
      </c>
    </row>
    <row r="231" spans="10:11" hidden="1" x14ac:dyDescent="0.25">
      <c r="J231" t="s">
        <v>16</v>
      </c>
      <c r="K231" t="s">
        <v>211</v>
      </c>
    </row>
    <row r="232" spans="10:11" hidden="1" x14ac:dyDescent="0.25">
      <c r="J232" t="s">
        <v>27</v>
      </c>
      <c r="K232" t="s">
        <v>43</v>
      </c>
    </row>
    <row r="233" spans="10:11" hidden="1" x14ac:dyDescent="0.25">
      <c r="J233" t="s">
        <v>25</v>
      </c>
      <c r="K233" t="s">
        <v>82</v>
      </c>
    </row>
    <row r="234" spans="10:11" hidden="1" x14ac:dyDescent="0.25">
      <c r="J234" t="s">
        <v>25</v>
      </c>
      <c r="K234" t="s">
        <v>105</v>
      </c>
    </row>
    <row r="235" spans="10:11" hidden="1" x14ac:dyDescent="0.25">
      <c r="J235" t="s">
        <v>16</v>
      </c>
      <c r="K235" t="s">
        <v>212</v>
      </c>
    </row>
    <row r="236" spans="10:11" hidden="1" x14ac:dyDescent="0.25">
      <c r="J236" t="s">
        <v>25</v>
      </c>
      <c r="K236" t="s">
        <v>55</v>
      </c>
    </row>
    <row r="237" spans="10:11" hidden="1" x14ac:dyDescent="0.25">
      <c r="J237" t="s">
        <v>10</v>
      </c>
      <c r="K237" t="s">
        <v>35</v>
      </c>
    </row>
    <row r="238" spans="10:11" hidden="1" x14ac:dyDescent="0.25">
      <c r="J238" t="s">
        <v>8</v>
      </c>
      <c r="K238" t="s">
        <v>17</v>
      </c>
    </row>
    <row r="239" spans="10:11" hidden="1" x14ac:dyDescent="0.25">
      <c r="J239" t="s">
        <v>30</v>
      </c>
      <c r="K239" t="s">
        <v>214</v>
      </c>
    </row>
    <row r="240" spans="10:11" hidden="1" x14ac:dyDescent="0.25">
      <c r="J240" t="s">
        <v>38</v>
      </c>
      <c r="K240" t="s">
        <v>215</v>
      </c>
    </row>
    <row r="241" spans="10:11" hidden="1" x14ac:dyDescent="0.25">
      <c r="J241" t="s">
        <v>27</v>
      </c>
      <c r="K241" t="s">
        <v>129</v>
      </c>
    </row>
    <row r="242" spans="10:11" hidden="1" x14ac:dyDescent="0.25">
      <c r="J242" t="s">
        <v>38</v>
      </c>
      <c r="K242" t="s">
        <v>217</v>
      </c>
    </row>
    <row r="243" spans="10:11" hidden="1" x14ac:dyDescent="0.25">
      <c r="J243" t="s">
        <v>8</v>
      </c>
      <c r="K243" t="s">
        <v>200</v>
      </c>
    </row>
    <row r="244" spans="10:11" hidden="1" x14ac:dyDescent="0.25">
      <c r="J244" t="s">
        <v>16</v>
      </c>
      <c r="K244" t="s">
        <v>136</v>
      </c>
    </row>
    <row r="245" spans="10:11" hidden="1" x14ac:dyDescent="0.25">
      <c r="J245" t="s">
        <v>18</v>
      </c>
      <c r="K245" t="s">
        <v>75</v>
      </c>
    </row>
    <row r="246" spans="10:11" hidden="1" x14ac:dyDescent="0.25">
      <c r="J246" t="s">
        <v>25</v>
      </c>
      <c r="K246" t="s">
        <v>149</v>
      </c>
    </row>
    <row r="247" spans="10:11" hidden="1" x14ac:dyDescent="0.25">
      <c r="J247" t="s">
        <v>16</v>
      </c>
      <c r="K247" t="s">
        <v>9</v>
      </c>
    </row>
    <row r="248" spans="10:11" hidden="1" x14ac:dyDescent="0.25">
      <c r="J248" t="s">
        <v>18</v>
      </c>
      <c r="K248" t="s">
        <v>219</v>
      </c>
    </row>
    <row r="249" spans="10:11" hidden="1" x14ac:dyDescent="0.25">
      <c r="J249" t="s">
        <v>27</v>
      </c>
      <c r="K249" t="s">
        <v>110</v>
      </c>
    </row>
    <row r="250" spans="10:11" hidden="1" x14ac:dyDescent="0.25">
      <c r="J250" t="s">
        <v>47</v>
      </c>
      <c r="K250" t="s">
        <v>221</v>
      </c>
    </row>
    <row r="251" spans="10:11" hidden="1" x14ac:dyDescent="0.25">
      <c r="J251" t="s">
        <v>16</v>
      </c>
      <c r="K251" t="s">
        <v>223</v>
      </c>
    </row>
    <row r="252" spans="10:11" hidden="1" x14ac:dyDescent="0.25">
      <c r="J252" t="s">
        <v>13</v>
      </c>
      <c r="K252" t="s">
        <v>224</v>
      </c>
    </row>
    <row r="253" spans="10:11" hidden="1" x14ac:dyDescent="0.25">
      <c r="J253" t="s">
        <v>30</v>
      </c>
      <c r="K253" t="s">
        <v>20</v>
      </c>
    </row>
    <row r="254" spans="10:11" hidden="1" x14ac:dyDescent="0.25">
      <c r="J254" t="s">
        <v>5</v>
      </c>
      <c r="K254" t="s">
        <v>14</v>
      </c>
    </row>
    <row r="255" spans="10:11" hidden="1" x14ac:dyDescent="0.25">
      <c r="J255" t="s">
        <v>8</v>
      </c>
      <c r="K255" t="s">
        <v>48</v>
      </c>
    </row>
    <row r="256" spans="10:11" hidden="1" x14ac:dyDescent="0.25">
      <c r="J256" t="s">
        <v>30</v>
      </c>
      <c r="K256" t="s">
        <v>33</v>
      </c>
    </row>
    <row r="257" spans="10:11" hidden="1" x14ac:dyDescent="0.25">
      <c r="J257" t="s">
        <v>30</v>
      </c>
      <c r="K257" t="s">
        <v>226</v>
      </c>
    </row>
    <row r="258" spans="10:11" hidden="1" x14ac:dyDescent="0.25">
      <c r="J258" t="s">
        <v>8</v>
      </c>
      <c r="K258" t="s">
        <v>227</v>
      </c>
    </row>
    <row r="259" spans="10:11" hidden="1" x14ac:dyDescent="0.25">
      <c r="J259" t="s">
        <v>13</v>
      </c>
      <c r="K259" t="s">
        <v>229</v>
      </c>
    </row>
    <row r="260" spans="10:11" hidden="1" x14ac:dyDescent="0.25">
      <c r="J260" t="s">
        <v>10</v>
      </c>
      <c r="K260" t="s">
        <v>152</v>
      </c>
    </row>
    <row r="261" spans="10:11" hidden="1" x14ac:dyDescent="0.25">
      <c r="J261" t="s">
        <v>30</v>
      </c>
      <c r="K261" t="s">
        <v>153</v>
      </c>
    </row>
    <row r="262" spans="10:11" hidden="1" x14ac:dyDescent="0.25">
      <c r="J262" t="s">
        <v>10</v>
      </c>
      <c r="K262" t="s">
        <v>231</v>
      </c>
    </row>
    <row r="263" spans="10:11" hidden="1" x14ac:dyDescent="0.25">
      <c r="J263" t="s">
        <v>5</v>
      </c>
      <c r="K263" t="s">
        <v>125</v>
      </c>
    </row>
    <row r="264" spans="10:11" hidden="1" x14ac:dyDescent="0.25">
      <c r="J264" t="s">
        <v>5</v>
      </c>
      <c r="K264" t="s">
        <v>68</v>
      </c>
    </row>
    <row r="265" spans="10:11" hidden="1" x14ac:dyDescent="0.25">
      <c r="J265" t="s">
        <v>8</v>
      </c>
      <c r="K265" t="s">
        <v>217</v>
      </c>
    </row>
    <row r="266" spans="10:11" hidden="1" x14ac:dyDescent="0.25">
      <c r="J266" t="s">
        <v>27</v>
      </c>
      <c r="K266" t="s">
        <v>232</v>
      </c>
    </row>
    <row r="267" spans="10:11" hidden="1" x14ac:dyDescent="0.25">
      <c r="J267" t="s">
        <v>27</v>
      </c>
      <c r="K267" t="s">
        <v>134</v>
      </c>
    </row>
    <row r="268" spans="10:11" hidden="1" x14ac:dyDescent="0.25">
      <c r="J268" t="s">
        <v>45</v>
      </c>
      <c r="K268" t="s">
        <v>233</v>
      </c>
    </row>
    <row r="269" spans="10:11" hidden="1" x14ac:dyDescent="0.25">
      <c r="J269" t="s">
        <v>38</v>
      </c>
      <c r="K269" t="s">
        <v>194</v>
      </c>
    </row>
    <row r="270" spans="10:11" hidden="1" x14ac:dyDescent="0.25">
      <c r="J270" t="s">
        <v>13</v>
      </c>
      <c r="K270" t="s">
        <v>132</v>
      </c>
    </row>
    <row r="271" spans="10:11" hidden="1" x14ac:dyDescent="0.25">
      <c r="J271" t="s">
        <v>38</v>
      </c>
      <c r="K271" t="s">
        <v>55</v>
      </c>
    </row>
    <row r="272" spans="10:11" hidden="1" x14ac:dyDescent="0.25">
      <c r="J272" t="s">
        <v>13</v>
      </c>
      <c r="K272" t="s">
        <v>116</v>
      </c>
    </row>
    <row r="273" spans="10:11" hidden="1" x14ac:dyDescent="0.25">
      <c r="J273" t="s">
        <v>38</v>
      </c>
      <c r="K273" t="s">
        <v>53</v>
      </c>
    </row>
    <row r="274" spans="10:11" hidden="1" x14ac:dyDescent="0.25">
      <c r="J274" t="s">
        <v>25</v>
      </c>
      <c r="K274" t="s">
        <v>53</v>
      </c>
    </row>
    <row r="275" spans="10:11" hidden="1" x14ac:dyDescent="0.25">
      <c r="J275" t="s">
        <v>10</v>
      </c>
      <c r="K275" t="s">
        <v>41</v>
      </c>
    </row>
    <row r="276" spans="10:11" hidden="1" x14ac:dyDescent="0.25">
      <c r="J276" t="s">
        <v>30</v>
      </c>
      <c r="K276" t="s">
        <v>6</v>
      </c>
    </row>
    <row r="277" spans="10:11" hidden="1" x14ac:dyDescent="0.25">
      <c r="J277" t="s">
        <v>45</v>
      </c>
      <c r="K277" t="s">
        <v>194</v>
      </c>
    </row>
    <row r="278" spans="10:11" hidden="1" x14ac:dyDescent="0.25">
      <c r="J278" t="s">
        <v>8</v>
      </c>
      <c r="K278" t="s">
        <v>239</v>
      </c>
    </row>
    <row r="279" spans="10:11" hidden="1" x14ac:dyDescent="0.25">
      <c r="J279" t="s">
        <v>27</v>
      </c>
      <c r="K279" t="s">
        <v>65</v>
      </c>
    </row>
    <row r="280" spans="10:11" hidden="1" x14ac:dyDescent="0.25">
      <c r="J280" t="s">
        <v>25</v>
      </c>
      <c r="K280" t="s">
        <v>63</v>
      </c>
    </row>
    <row r="281" spans="10:11" hidden="1" x14ac:dyDescent="0.25">
      <c r="J281" t="s">
        <v>38</v>
      </c>
      <c r="K281" t="s">
        <v>31</v>
      </c>
    </row>
    <row r="282" spans="10:11" hidden="1" x14ac:dyDescent="0.25">
      <c r="J282" t="s">
        <v>38</v>
      </c>
      <c r="K282" t="s">
        <v>99</v>
      </c>
    </row>
    <row r="283" spans="10:11" hidden="1" x14ac:dyDescent="0.25">
      <c r="J283" t="s">
        <v>25</v>
      </c>
      <c r="K283" t="s">
        <v>214</v>
      </c>
    </row>
    <row r="284" spans="10:11" hidden="1" x14ac:dyDescent="0.25">
      <c r="J284" t="s">
        <v>45</v>
      </c>
      <c r="K284" t="s">
        <v>144</v>
      </c>
    </row>
    <row r="285" spans="10:11" hidden="1" x14ac:dyDescent="0.25">
      <c r="J285" t="s">
        <v>10</v>
      </c>
      <c r="K285" t="s">
        <v>144</v>
      </c>
    </row>
    <row r="286" spans="10:11" hidden="1" x14ac:dyDescent="0.25">
      <c r="J286" t="s">
        <v>10</v>
      </c>
      <c r="K286" t="s">
        <v>200</v>
      </c>
    </row>
    <row r="287" spans="10:11" hidden="1" x14ac:dyDescent="0.25">
      <c r="J287" t="s">
        <v>5</v>
      </c>
      <c r="K287" t="s">
        <v>63</v>
      </c>
    </row>
    <row r="288" spans="10:11" hidden="1" x14ac:dyDescent="0.25">
      <c r="J288" t="s">
        <v>47</v>
      </c>
      <c r="K288" t="s">
        <v>242</v>
      </c>
    </row>
    <row r="289" spans="10:11" hidden="1" x14ac:dyDescent="0.25">
      <c r="J289" t="s">
        <v>25</v>
      </c>
      <c r="K289" t="s">
        <v>177</v>
      </c>
    </row>
    <row r="290" spans="10:11" hidden="1" x14ac:dyDescent="0.25">
      <c r="J290" t="s">
        <v>25</v>
      </c>
      <c r="K290" t="s">
        <v>243</v>
      </c>
    </row>
    <row r="291" spans="10:11" hidden="1" x14ac:dyDescent="0.25">
      <c r="J291" t="s">
        <v>13</v>
      </c>
      <c r="K291" t="s">
        <v>92</v>
      </c>
    </row>
    <row r="292" spans="10:11" hidden="1" x14ac:dyDescent="0.25">
      <c r="J292" t="s">
        <v>8</v>
      </c>
      <c r="K292" t="s">
        <v>81</v>
      </c>
    </row>
    <row r="293" spans="10:11" hidden="1" x14ac:dyDescent="0.25">
      <c r="J293" t="s">
        <v>47</v>
      </c>
      <c r="K293" t="s">
        <v>173</v>
      </c>
    </row>
    <row r="294" spans="10:11" hidden="1" x14ac:dyDescent="0.25">
      <c r="J294" t="s">
        <v>25</v>
      </c>
      <c r="K294" t="s">
        <v>99</v>
      </c>
    </row>
    <row r="295" spans="10:11" hidden="1" x14ac:dyDescent="0.25">
      <c r="J295" t="s">
        <v>45</v>
      </c>
      <c r="K295" t="s">
        <v>77</v>
      </c>
    </row>
    <row r="296" spans="10:11" hidden="1" x14ac:dyDescent="0.25">
      <c r="J296" t="s">
        <v>16</v>
      </c>
      <c r="K296" t="s">
        <v>67</v>
      </c>
    </row>
    <row r="297" spans="10:11" hidden="1" x14ac:dyDescent="0.25">
      <c r="J297" t="s">
        <v>30</v>
      </c>
      <c r="K297" t="s">
        <v>247</v>
      </c>
    </row>
    <row r="298" spans="10:11" hidden="1" x14ac:dyDescent="0.25">
      <c r="J298" t="s">
        <v>30</v>
      </c>
      <c r="K298" t="s">
        <v>248</v>
      </c>
    </row>
    <row r="299" spans="10:11" hidden="1" x14ac:dyDescent="0.25">
      <c r="J299" t="s">
        <v>13</v>
      </c>
      <c r="K299" t="s">
        <v>89</v>
      </c>
    </row>
    <row r="300" spans="10:11" hidden="1" x14ac:dyDescent="0.25">
      <c r="J300" t="s">
        <v>18</v>
      </c>
      <c r="K300" t="s">
        <v>249</v>
      </c>
    </row>
    <row r="301" spans="10:11" hidden="1" x14ac:dyDescent="0.25">
      <c r="J301" t="s">
        <v>45</v>
      </c>
      <c r="K301" t="s">
        <v>61</v>
      </c>
    </row>
    <row r="302" spans="10:11" hidden="1" x14ac:dyDescent="0.25">
      <c r="J302" t="s">
        <v>10</v>
      </c>
      <c r="K302" t="s">
        <v>129</v>
      </c>
    </row>
    <row r="303" spans="10:11" hidden="1" x14ac:dyDescent="0.25">
      <c r="J303" t="s">
        <v>16</v>
      </c>
      <c r="K303" t="s">
        <v>130</v>
      </c>
    </row>
    <row r="304" spans="10:11" hidden="1" x14ac:dyDescent="0.25">
      <c r="J304" t="s">
        <v>25</v>
      </c>
      <c r="K304" t="s">
        <v>181</v>
      </c>
    </row>
    <row r="305" spans="10:11" hidden="1" x14ac:dyDescent="0.25">
      <c r="J305" t="s">
        <v>45</v>
      </c>
      <c r="K305" t="s">
        <v>101</v>
      </c>
    </row>
    <row r="306" spans="10:11" hidden="1" x14ac:dyDescent="0.25">
      <c r="J306" t="s">
        <v>38</v>
      </c>
      <c r="K306" t="s">
        <v>64</v>
      </c>
    </row>
    <row r="307" spans="10:11" hidden="1" x14ac:dyDescent="0.25">
      <c r="J307" t="s">
        <v>47</v>
      </c>
      <c r="K307" t="s">
        <v>49</v>
      </c>
    </row>
    <row r="308" spans="10:11" hidden="1" x14ac:dyDescent="0.25">
      <c r="J308" t="s">
        <v>10</v>
      </c>
      <c r="K308" t="s">
        <v>75</v>
      </c>
    </row>
    <row r="309" spans="10:11" hidden="1" x14ac:dyDescent="0.25">
      <c r="J309" t="s">
        <v>30</v>
      </c>
      <c r="K309" t="s">
        <v>217</v>
      </c>
    </row>
    <row r="310" spans="10:11" hidden="1" x14ac:dyDescent="0.25">
      <c r="J310" t="s">
        <v>10</v>
      </c>
      <c r="K310" t="s">
        <v>136</v>
      </c>
    </row>
    <row r="311" spans="10:11" hidden="1" x14ac:dyDescent="0.25">
      <c r="J311" t="s">
        <v>30</v>
      </c>
      <c r="K311" t="s">
        <v>252</v>
      </c>
    </row>
    <row r="312" spans="10:11" hidden="1" x14ac:dyDescent="0.25">
      <c r="J312" t="s">
        <v>47</v>
      </c>
      <c r="K312" t="s">
        <v>196</v>
      </c>
    </row>
    <row r="313" spans="10:11" hidden="1" x14ac:dyDescent="0.25">
      <c r="J313" t="s">
        <v>27</v>
      </c>
      <c r="K313" t="s">
        <v>223</v>
      </c>
    </row>
    <row r="314" spans="10:11" hidden="1" x14ac:dyDescent="0.25">
      <c r="J314" t="s">
        <v>25</v>
      </c>
      <c r="K314" t="s">
        <v>256</v>
      </c>
    </row>
    <row r="315" spans="10:11" hidden="1" x14ac:dyDescent="0.25">
      <c r="J315" t="s">
        <v>18</v>
      </c>
      <c r="K315" t="s">
        <v>173</v>
      </c>
    </row>
    <row r="316" spans="10:11" hidden="1" x14ac:dyDescent="0.25">
      <c r="J316" t="s">
        <v>30</v>
      </c>
      <c r="K316" t="s">
        <v>223</v>
      </c>
    </row>
    <row r="317" spans="10:11" hidden="1" x14ac:dyDescent="0.25">
      <c r="J317" t="s">
        <v>38</v>
      </c>
      <c r="K317" t="s">
        <v>66</v>
      </c>
    </row>
    <row r="318" spans="10:11" hidden="1" x14ac:dyDescent="0.25">
      <c r="J318" t="s">
        <v>47</v>
      </c>
      <c r="K318" t="s">
        <v>165</v>
      </c>
    </row>
    <row r="319" spans="10:11" hidden="1" x14ac:dyDescent="0.25">
      <c r="J319" t="s">
        <v>5</v>
      </c>
      <c r="K319" t="s">
        <v>31</v>
      </c>
    </row>
    <row r="320" spans="10:11" hidden="1" x14ac:dyDescent="0.25">
      <c r="J320" t="s">
        <v>27</v>
      </c>
      <c r="K320" t="s">
        <v>20</v>
      </c>
    </row>
    <row r="321" spans="10:11" hidden="1" x14ac:dyDescent="0.25">
      <c r="J321" t="s">
        <v>47</v>
      </c>
      <c r="K321" t="s">
        <v>55</v>
      </c>
    </row>
    <row r="322" spans="10:11" hidden="1" x14ac:dyDescent="0.25">
      <c r="J322" t="s">
        <v>5</v>
      </c>
      <c r="K322" t="s">
        <v>69</v>
      </c>
    </row>
    <row r="323" spans="10:11" hidden="1" x14ac:dyDescent="0.25">
      <c r="J323" t="s">
        <v>47</v>
      </c>
      <c r="K323" t="s">
        <v>35</v>
      </c>
    </row>
    <row r="324" spans="10:11" hidden="1" x14ac:dyDescent="0.25">
      <c r="J324" t="s">
        <v>8</v>
      </c>
      <c r="K324" t="s">
        <v>67</v>
      </c>
    </row>
    <row r="325" spans="10:11" hidden="1" x14ac:dyDescent="0.25">
      <c r="J325" t="s">
        <v>8</v>
      </c>
      <c r="K325" t="s">
        <v>196</v>
      </c>
    </row>
    <row r="326" spans="10:11" hidden="1" x14ac:dyDescent="0.25">
      <c r="J326" t="s">
        <v>45</v>
      </c>
      <c r="K326" t="s">
        <v>51</v>
      </c>
    </row>
    <row r="327" spans="10:11" hidden="1" x14ac:dyDescent="0.25">
      <c r="J327" t="s">
        <v>25</v>
      </c>
      <c r="K327" t="s">
        <v>64</v>
      </c>
    </row>
    <row r="328" spans="10:11" hidden="1" x14ac:dyDescent="0.25">
      <c r="J328" t="s">
        <v>45</v>
      </c>
      <c r="K328" t="s">
        <v>264</v>
      </c>
    </row>
    <row r="329" spans="10:11" hidden="1" x14ac:dyDescent="0.25">
      <c r="J329" t="s">
        <v>45</v>
      </c>
      <c r="K329" t="s">
        <v>265</v>
      </c>
    </row>
    <row r="330" spans="10:11" hidden="1" x14ac:dyDescent="0.25">
      <c r="J330" t="s">
        <v>30</v>
      </c>
      <c r="K330" t="s">
        <v>152</v>
      </c>
    </row>
    <row r="331" spans="10:11" hidden="1" x14ac:dyDescent="0.25">
      <c r="J331" t="s">
        <v>18</v>
      </c>
      <c r="K331" t="s">
        <v>176</v>
      </c>
    </row>
    <row r="332" spans="10:11" hidden="1" x14ac:dyDescent="0.25">
      <c r="J332" t="s">
        <v>47</v>
      </c>
      <c r="K332" t="s">
        <v>267</v>
      </c>
    </row>
    <row r="333" spans="10:11" hidden="1" x14ac:dyDescent="0.25">
      <c r="J333" t="s">
        <v>8</v>
      </c>
      <c r="K333" t="s">
        <v>269</v>
      </c>
    </row>
    <row r="334" spans="10:11" hidden="1" x14ac:dyDescent="0.25">
      <c r="J334" t="s">
        <v>27</v>
      </c>
      <c r="K334" t="s">
        <v>92</v>
      </c>
    </row>
    <row r="335" spans="10:11" hidden="1" x14ac:dyDescent="0.25">
      <c r="J335" t="s">
        <v>30</v>
      </c>
      <c r="K335" t="s">
        <v>270</v>
      </c>
    </row>
    <row r="336" spans="10:11" hidden="1" x14ac:dyDescent="0.25">
      <c r="J336" t="s">
        <v>16</v>
      </c>
      <c r="K336" t="s">
        <v>188</v>
      </c>
    </row>
    <row r="337" spans="10:11" hidden="1" x14ac:dyDescent="0.25">
      <c r="J337" t="s">
        <v>47</v>
      </c>
      <c r="K337" t="s">
        <v>231</v>
      </c>
    </row>
    <row r="338" spans="10:11" hidden="1" x14ac:dyDescent="0.25">
      <c r="J338" t="s">
        <v>18</v>
      </c>
      <c r="K338" t="s">
        <v>272</v>
      </c>
    </row>
    <row r="339" spans="10:11" hidden="1" x14ac:dyDescent="0.25">
      <c r="J339" t="s">
        <v>30</v>
      </c>
      <c r="K339" t="s">
        <v>227</v>
      </c>
    </row>
    <row r="340" spans="10:11" hidden="1" x14ac:dyDescent="0.25">
      <c r="J340" t="s">
        <v>38</v>
      </c>
      <c r="K340" t="s">
        <v>50</v>
      </c>
    </row>
    <row r="341" spans="10:11" hidden="1" x14ac:dyDescent="0.25">
      <c r="J341" t="s">
        <v>47</v>
      </c>
      <c r="K341" t="s">
        <v>39</v>
      </c>
    </row>
    <row r="342" spans="10:11" hidden="1" x14ac:dyDescent="0.25">
      <c r="J342" t="s">
        <v>5</v>
      </c>
      <c r="K342" t="s">
        <v>52</v>
      </c>
    </row>
    <row r="343" spans="10:11" hidden="1" x14ac:dyDescent="0.25">
      <c r="J343" t="s">
        <v>47</v>
      </c>
      <c r="K343" t="s">
        <v>188</v>
      </c>
    </row>
    <row r="344" spans="10:11" hidden="1" x14ac:dyDescent="0.25">
      <c r="J344" t="s">
        <v>13</v>
      </c>
      <c r="K344" t="s">
        <v>133</v>
      </c>
    </row>
    <row r="345" spans="10:11" hidden="1" x14ac:dyDescent="0.25">
      <c r="J345" t="s">
        <v>25</v>
      </c>
      <c r="K345" t="s">
        <v>28</v>
      </c>
    </row>
    <row r="346" spans="10:11" hidden="1" x14ac:dyDescent="0.25">
      <c r="J346" t="s">
        <v>25</v>
      </c>
      <c r="K346" t="s">
        <v>217</v>
      </c>
    </row>
    <row r="347" spans="10:11" hidden="1" x14ac:dyDescent="0.25">
      <c r="J347" t="s">
        <v>18</v>
      </c>
      <c r="K347" t="s">
        <v>26</v>
      </c>
    </row>
    <row r="348" spans="10:11" hidden="1" x14ac:dyDescent="0.25">
      <c r="J348" t="s">
        <v>10</v>
      </c>
      <c r="K348" t="s">
        <v>162</v>
      </c>
    </row>
    <row r="349" spans="10:11" hidden="1" x14ac:dyDescent="0.25">
      <c r="J349" t="s">
        <v>13</v>
      </c>
      <c r="K349" t="s">
        <v>146</v>
      </c>
    </row>
    <row r="350" spans="10:11" hidden="1" x14ac:dyDescent="0.25">
      <c r="J350" t="s">
        <v>16</v>
      </c>
      <c r="K350" t="s">
        <v>215</v>
      </c>
    </row>
    <row r="351" spans="10:11" hidden="1" x14ac:dyDescent="0.25">
      <c r="J351" t="s">
        <v>13</v>
      </c>
      <c r="K351" t="s">
        <v>156</v>
      </c>
    </row>
    <row r="352" spans="10:11" hidden="1" x14ac:dyDescent="0.25">
      <c r="J352" t="s">
        <v>45</v>
      </c>
      <c r="K352" t="s">
        <v>49</v>
      </c>
    </row>
    <row r="353" spans="10:11" hidden="1" x14ac:dyDescent="0.25">
      <c r="J353" t="s">
        <v>30</v>
      </c>
      <c r="K353" t="s">
        <v>187</v>
      </c>
    </row>
    <row r="354" spans="10:11" hidden="1" x14ac:dyDescent="0.25">
      <c r="J354" t="s">
        <v>13</v>
      </c>
      <c r="K354" t="s">
        <v>186</v>
      </c>
    </row>
    <row r="355" spans="10:11" hidden="1" x14ac:dyDescent="0.25">
      <c r="J355" t="s">
        <v>10</v>
      </c>
      <c r="K355" t="s">
        <v>239</v>
      </c>
    </row>
    <row r="356" spans="10:11" hidden="1" x14ac:dyDescent="0.25">
      <c r="J356" t="s">
        <v>18</v>
      </c>
      <c r="K356" t="s">
        <v>73</v>
      </c>
    </row>
    <row r="357" spans="10:11" hidden="1" x14ac:dyDescent="0.25">
      <c r="J357" t="s">
        <v>10</v>
      </c>
      <c r="K357" t="s">
        <v>173</v>
      </c>
    </row>
    <row r="358" spans="10:11" hidden="1" x14ac:dyDescent="0.25">
      <c r="J358" t="s">
        <v>10</v>
      </c>
      <c r="K358" t="s">
        <v>126</v>
      </c>
    </row>
    <row r="359" spans="10:11" hidden="1" x14ac:dyDescent="0.25">
      <c r="J359" t="s">
        <v>16</v>
      </c>
      <c r="K359" t="s">
        <v>205</v>
      </c>
    </row>
    <row r="360" spans="10:11" hidden="1" x14ac:dyDescent="0.25">
      <c r="J360" t="s">
        <v>47</v>
      </c>
      <c r="K360" t="s">
        <v>121</v>
      </c>
    </row>
    <row r="361" spans="10:11" hidden="1" x14ac:dyDescent="0.25">
      <c r="J361" t="s">
        <v>45</v>
      </c>
      <c r="K361" t="s">
        <v>279</v>
      </c>
    </row>
    <row r="362" spans="10:11" hidden="1" x14ac:dyDescent="0.25">
      <c r="J362" t="s">
        <v>10</v>
      </c>
      <c r="K362" t="s">
        <v>67</v>
      </c>
    </row>
    <row r="363" spans="10:11" hidden="1" x14ac:dyDescent="0.25">
      <c r="J363" t="s">
        <v>45</v>
      </c>
      <c r="K363" t="s">
        <v>196</v>
      </c>
    </row>
    <row r="364" spans="10:11" hidden="1" x14ac:dyDescent="0.25">
      <c r="J364" t="s">
        <v>25</v>
      </c>
      <c r="K364" t="s">
        <v>215</v>
      </c>
    </row>
    <row r="365" spans="10:11" hidden="1" x14ac:dyDescent="0.25">
      <c r="J365" t="s">
        <v>10</v>
      </c>
      <c r="K365" t="s">
        <v>74</v>
      </c>
    </row>
    <row r="366" spans="10:11" hidden="1" x14ac:dyDescent="0.25">
      <c r="J366" t="s">
        <v>10</v>
      </c>
      <c r="K366" t="s">
        <v>139</v>
      </c>
    </row>
    <row r="367" spans="10:11" hidden="1" x14ac:dyDescent="0.25">
      <c r="J367" t="s">
        <v>5</v>
      </c>
      <c r="K367" t="s">
        <v>206</v>
      </c>
    </row>
    <row r="368" spans="10:11" hidden="1" x14ac:dyDescent="0.25">
      <c r="J368" t="s">
        <v>38</v>
      </c>
      <c r="K368" t="s">
        <v>125</v>
      </c>
    </row>
    <row r="369" spans="10:11" hidden="1" x14ac:dyDescent="0.25">
      <c r="J369" t="s">
        <v>38</v>
      </c>
      <c r="K369" t="s">
        <v>73</v>
      </c>
    </row>
    <row r="370" spans="10:11" hidden="1" x14ac:dyDescent="0.25">
      <c r="J370" t="s">
        <v>8</v>
      </c>
      <c r="K370" t="s">
        <v>66</v>
      </c>
    </row>
    <row r="371" spans="10:11" hidden="1" x14ac:dyDescent="0.25">
      <c r="J371" t="s">
        <v>13</v>
      </c>
      <c r="K371" t="s">
        <v>141</v>
      </c>
    </row>
    <row r="372" spans="10:11" hidden="1" x14ac:dyDescent="0.25">
      <c r="J372" t="s">
        <v>30</v>
      </c>
      <c r="K372" t="s">
        <v>58</v>
      </c>
    </row>
    <row r="373" spans="10:11" hidden="1" x14ac:dyDescent="0.25">
      <c r="J373" t="s">
        <v>25</v>
      </c>
      <c r="K373" t="s">
        <v>202</v>
      </c>
    </row>
    <row r="374" spans="10:11" hidden="1" x14ac:dyDescent="0.25">
      <c r="J374" t="s">
        <v>8</v>
      </c>
      <c r="K374" t="s">
        <v>49</v>
      </c>
    </row>
    <row r="375" spans="10:11" hidden="1" x14ac:dyDescent="0.25">
      <c r="J375" t="s">
        <v>5</v>
      </c>
      <c r="K375" t="s">
        <v>226</v>
      </c>
    </row>
    <row r="376" spans="10:11" hidden="1" x14ac:dyDescent="0.25">
      <c r="J376" t="s">
        <v>30</v>
      </c>
      <c r="K376" t="s">
        <v>221</v>
      </c>
    </row>
    <row r="377" spans="10:11" hidden="1" x14ac:dyDescent="0.25">
      <c r="J377" t="s">
        <v>18</v>
      </c>
      <c r="K377" t="s">
        <v>265</v>
      </c>
    </row>
    <row r="378" spans="10:11" hidden="1" x14ac:dyDescent="0.25">
      <c r="J378" t="s">
        <v>10</v>
      </c>
      <c r="K378" t="s">
        <v>106</v>
      </c>
    </row>
    <row r="379" spans="10:11" hidden="1" x14ac:dyDescent="0.25">
      <c r="J379" t="s">
        <v>25</v>
      </c>
      <c r="K379" t="s">
        <v>287</v>
      </c>
    </row>
    <row r="380" spans="10:11" hidden="1" x14ac:dyDescent="0.25">
      <c r="J380" t="s">
        <v>18</v>
      </c>
      <c r="K380" t="s">
        <v>289</v>
      </c>
    </row>
    <row r="381" spans="10:11" hidden="1" x14ac:dyDescent="0.25">
      <c r="J381" t="s">
        <v>8</v>
      </c>
      <c r="K381" t="s">
        <v>20</v>
      </c>
    </row>
    <row r="382" spans="10:11" hidden="1" x14ac:dyDescent="0.25">
      <c r="J382" t="s">
        <v>47</v>
      </c>
      <c r="K382" t="s">
        <v>212</v>
      </c>
    </row>
    <row r="383" spans="10:11" hidden="1" x14ac:dyDescent="0.25">
      <c r="J383" t="s">
        <v>8</v>
      </c>
      <c r="K383" t="s">
        <v>144</v>
      </c>
    </row>
    <row r="384" spans="10:11" hidden="1" x14ac:dyDescent="0.25">
      <c r="J384" t="s">
        <v>47</v>
      </c>
      <c r="K384" t="s">
        <v>91</v>
      </c>
    </row>
    <row r="385" spans="10:11" hidden="1" x14ac:dyDescent="0.25">
      <c r="J385" t="s">
        <v>10</v>
      </c>
      <c r="K385" t="s">
        <v>142</v>
      </c>
    </row>
    <row r="386" spans="10:11" hidden="1" x14ac:dyDescent="0.25">
      <c r="J386" t="s">
        <v>27</v>
      </c>
      <c r="K386" t="s">
        <v>130</v>
      </c>
    </row>
    <row r="387" spans="10:11" hidden="1" x14ac:dyDescent="0.25">
      <c r="J387" t="s">
        <v>8</v>
      </c>
      <c r="K387" t="s">
        <v>121</v>
      </c>
    </row>
    <row r="388" spans="10:11" hidden="1" x14ac:dyDescent="0.25">
      <c r="J388" t="s">
        <v>38</v>
      </c>
      <c r="K388" t="s">
        <v>248</v>
      </c>
    </row>
    <row r="389" spans="10:11" hidden="1" x14ac:dyDescent="0.25">
      <c r="J389" t="s">
        <v>10</v>
      </c>
      <c r="K389" t="s">
        <v>217</v>
      </c>
    </row>
    <row r="390" spans="10:11" hidden="1" x14ac:dyDescent="0.25">
      <c r="J390" t="s">
        <v>45</v>
      </c>
      <c r="K390" t="s">
        <v>293</v>
      </c>
    </row>
    <row r="391" spans="10:11" hidden="1" x14ac:dyDescent="0.25">
      <c r="J391" t="s">
        <v>16</v>
      </c>
      <c r="K391" t="s">
        <v>122</v>
      </c>
    </row>
    <row r="392" spans="10:11" hidden="1" x14ac:dyDescent="0.25">
      <c r="J392" t="s">
        <v>47</v>
      </c>
      <c r="K392" t="s">
        <v>227</v>
      </c>
    </row>
    <row r="393" spans="10:11" hidden="1" x14ac:dyDescent="0.25">
      <c r="J393" t="s">
        <v>10</v>
      </c>
      <c r="K393" t="s">
        <v>295</v>
      </c>
    </row>
    <row r="394" spans="10:11" hidden="1" x14ac:dyDescent="0.25">
      <c r="J394" t="s">
        <v>30</v>
      </c>
      <c r="K394" t="s">
        <v>134</v>
      </c>
    </row>
    <row r="395" spans="10:11" hidden="1" x14ac:dyDescent="0.25">
      <c r="J395" t="s">
        <v>18</v>
      </c>
      <c r="K395" t="s">
        <v>296</v>
      </c>
    </row>
    <row r="396" spans="10:11" hidden="1" x14ac:dyDescent="0.25">
      <c r="J396" t="s">
        <v>8</v>
      </c>
      <c r="K396" t="s">
        <v>226</v>
      </c>
    </row>
    <row r="397" spans="10:11" hidden="1" x14ac:dyDescent="0.25">
      <c r="J397" t="s">
        <v>10</v>
      </c>
      <c r="K397" t="s">
        <v>149</v>
      </c>
    </row>
    <row r="398" spans="10:11" hidden="1" x14ac:dyDescent="0.25">
      <c r="J398" t="s">
        <v>30</v>
      </c>
      <c r="K398" t="s">
        <v>289</v>
      </c>
    </row>
    <row r="399" spans="10:11" hidden="1" x14ac:dyDescent="0.25">
      <c r="J399" t="s">
        <v>10</v>
      </c>
      <c r="K399" t="s">
        <v>298</v>
      </c>
    </row>
    <row r="400" spans="10:11" hidden="1" x14ac:dyDescent="0.25">
      <c r="J400" t="s">
        <v>18</v>
      </c>
      <c r="K400" t="s">
        <v>299</v>
      </c>
    </row>
    <row r="401" spans="10:11" hidden="1" x14ac:dyDescent="0.25">
      <c r="J401" t="s">
        <v>16</v>
      </c>
      <c r="K401" t="s">
        <v>300</v>
      </c>
    </row>
    <row r="402" spans="10:11" hidden="1" x14ac:dyDescent="0.25">
      <c r="J402" t="s">
        <v>30</v>
      </c>
      <c r="K402" t="s">
        <v>190</v>
      </c>
    </row>
    <row r="403" spans="10:11" hidden="1" x14ac:dyDescent="0.25">
      <c r="J403" t="s">
        <v>16</v>
      </c>
      <c r="K403" t="s">
        <v>239</v>
      </c>
    </row>
    <row r="404" spans="10:11" hidden="1" x14ac:dyDescent="0.25">
      <c r="J404" t="s">
        <v>38</v>
      </c>
      <c r="K404" t="s">
        <v>195</v>
      </c>
    </row>
    <row r="405" spans="10:11" hidden="1" x14ac:dyDescent="0.25">
      <c r="J405" t="s">
        <v>10</v>
      </c>
      <c r="K405" t="s">
        <v>248</v>
      </c>
    </row>
    <row r="406" spans="10:11" hidden="1" x14ac:dyDescent="0.25">
      <c r="J406" t="s">
        <v>45</v>
      </c>
      <c r="K406" t="s">
        <v>128</v>
      </c>
    </row>
    <row r="407" spans="10:11" hidden="1" x14ac:dyDescent="0.25">
      <c r="J407" t="s">
        <v>47</v>
      </c>
      <c r="K407" t="s">
        <v>144</v>
      </c>
    </row>
    <row r="408" spans="10:11" hidden="1" x14ac:dyDescent="0.25">
      <c r="J408" t="s">
        <v>8</v>
      </c>
      <c r="K408" t="s">
        <v>58</v>
      </c>
    </row>
    <row r="409" spans="10:11" hidden="1" x14ac:dyDescent="0.25">
      <c r="J409" t="s">
        <v>45</v>
      </c>
      <c r="K409" t="s">
        <v>157</v>
      </c>
    </row>
    <row r="410" spans="10:11" hidden="1" x14ac:dyDescent="0.25">
      <c r="J410" t="s">
        <v>25</v>
      </c>
      <c r="K410" t="s">
        <v>94</v>
      </c>
    </row>
    <row r="411" spans="10:11" hidden="1" x14ac:dyDescent="0.25">
      <c r="J411" t="s">
        <v>13</v>
      </c>
      <c r="K411" t="s">
        <v>187</v>
      </c>
    </row>
    <row r="412" spans="10:11" hidden="1" x14ac:dyDescent="0.25">
      <c r="J412" t="s">
        <v>5</v>
      </c>
      <c r="K412" t="s">
        <v>152</v>
      </c>
    </row>
    <row r="413" spans="10:11" hidden="1" x14ac:dyDescent="0.25">
      <c r="J413" t="s">
        <v>10</v>
      </c>
      <c r="K413" t="s">
        <v>50</v>
      </c>
    </row>
    <row r="414" spans="10:11" hidden="1" x14ac:dyDescent="0.25">
      <c r="J414" t="s">
        <v>30</v>
      </c>
      <c r="K414" t="s">
        <v>306</v>
      </c>
    </row>
    <row r="415" spans="10:11" hidden="1" x14ac:dyDescent="0.25">
      <c r="J415" t="s">
        <v>30</v>
      </c>
      <c r="K415" t="s">
        <v>72</v>
      </c>
    </row>
    <row r="416" spans="10:11" hidden="1" x14ac:dyDescent="0.25">
      <c r="J416" t="s">
        <v>45</v>
      </c>
      <c r="K416" t="s">
        <v>153</v>
      </c>
    </row>
    <row r="417" spans="10:11" hidden="1" x14ac:dyDescent="0.25">
      <c r="J417" t="s">
        <v>47</v>
      </c>
      <c r="K417" t="s">
        <v>205</v>
      </c>
    </row>
    <row r="418" spans="10:11" hidden="1" x14ac:dyDescent="0.25">
      <c r="J418" t="s">
        <v>8</v>
      </c>
      <c r="K418" t="s">
        <v>73</v>
      </c>
    </row>
    <row r="419" spans="10:11" hidden="1" x14ac:dyDescent="0.25">
      <c r="J419" t="s">
        <v>5</v>
      </c>
      <c r="K419" t="s">
        <v>307</v>
      </c>
    </row>
    <row r="420" spans="10:11" hidden="1" x14ac:dyDescent="0.25">
      <c r="J420" t="s">
        <v>47</v>
      </c>
      <c r="K420" t="s">
        <v>51</v>
      </c>
    </row>
    <row r="421" spans="10:11" hidden="1" x14ac:dyDescent="0.25">
      <c r="J421" t="s">
        <v>25</v>
      </c>
      <c r="K421" t="s">
        <v>142</v>
      </c>
    </row>
    <row r="422" spans="10:11" hidden="1" x14ac:dyDescent="0.25">
      <c r="J422" t="s">
        <v>18</v>
      </c>
      <c r="K422" t="s">
        <v>309</v>
      </c>
    </row>
    <row r="423" spans="10:11" hidden="1" x14ac:dyDescent="0.25">
      <c r="J423" t="s">
        <v>8</v>
      </c>
      <c r="K423" t="s">
        <v>42</v>
      </c>
    </row>
    <row r="424" spans="10:11" hidden="1" x14ac:dyDescent="0.25">
      <c r="J424" t="s">
        <v>8</v>
      </c>
      <c r="K424" t="s">
        <v>80</v>
      </c>
    </row>
    <row r="425" spans="10:11" hidden="1" x14ac:dyDescent="0.25">
      <c r="J425" t="s">
        <v>13</v>
      </c>
      <c r="K425" t="s">
        <v>61</v>
      </c>
    </row>
    <row r="426" spans="10:11" hidden="1" x14ac:dyDescent="0.25">
      <c r="J426" t="s">
        <v>47</v>
      </c>
      <c r="K426" t="s">
        <v>142</v>
      </c>
    </row>
    <row r="427" spans="10:11" hidden="1" x14ac:dyDescent="0.25">
      <c r="J427" t="s">
        <v>5</v>
      </c>
      <c r="K427" t="s">
        <v>11</v>
      </c>
    </row>
    <row r="428" spans="10:11" hidden="1" x14ac:dyDescent="0.25">
      <c r="J428" t="s">
        <v>45</v>
      </c>
      <c r="K428" t="s">
        <v>151</v>
      </c>
    </row>
    <row r="429" spans="10:11" hidden="1" x14ac:dyDescent="0.25">
      <c r="J429" t="s">
        <v>38</v>
      </c>
      <c r="K429" t="s">
        <v>65</v>
      </c>
    </row>
    <row r="430" spans="10:11" hidden="1" x14ac:dyDescent="0.25">
      <c r="J430" t="s">
        <v>45</v>
      </c>
      <c r="K430" t="s">
        <v>80</v>
      </c>
    </row>
    <row r="431" spans="10:11" hidden="1" x14ac:dyDescent="0.25">
      <c r="J431" t="s">
        <v>30</v>
      </c>
      <c r="K431" t="s">
        <v>61</v>
      </c>
    </row>
    <row r="432" spans="10:11" hidden="1" x14ac:dyDescent="0.25">
      <c r="J432" t="s">
        <v>13</v>
      </c>
      <c r="K432" t="s">
        <v>313</v>
      </c>
    </row>
    <row r="433" spans="10:11" hidden="1" x14ac:dyDescent="0.25">
      <c r="J433" t="s">
        <v>13</v>
      </c>
      <c r="K433" t="s">
        <v>35</v>
      </c>
    </row>
    <row r="434" spans="10:11" hidden="1" x14ac:dyDescent="0.25">
      <c r="J434" t="s">
        <v>38</v>
      </c>
      <c r="K434" t="s">
        <v>293</v>
      </c>
    </row>
    <row r="435" spans="10:11" hidden="1" x14ac:dyDescent="0.25">
      <c r="J435" t="s">
        <v>45</v>
      </c>
      <c r="K435" t="s">
        <v>53</v>
      </c>
    </row>
    <row r="436" spans="10:11" hidden="1" x14ac:dyDescent="0.25">
      <c r="J436" t="s">
        <v>45</v>
      </c>
      <c r="K436" t="s">
        <v>232</v>
      </c>
    </row>
    <row r="437" spans="10:11" hidden="1" x14ac:dyDescent="0.25">
      <c r="J437" t="s">
        <v>8</v>
      </c>
      <c r="K437" t="s">
        <v>84</v>
      </c>
    </row>
    <row r="438" spans="10:11" hidden="1" x14ac:dyDescent="0.25">
      <c r="J438" t="s">
        <v>27</v>
      </c>
      <c r="K438" t="s">
        <v>57</v>
      </c>
    </row>
    <row r="439" spans="10:11" hidden="1" x14ac:dyDescent="0.25">
      <c r="J439" t="s">
        <v>5</v>
      </c>
      <c r="K439" t="s">
        <v>41</v>
      </c>
    </row>
    <row r="440" spans="10:11" hidden="1" x14ac:dyDescent="0.25">
      <c r="J440" t="s">
        <v>25</v>
      </c>
      <c r="K440" t="s">
        <v>270</v>
      </c>
    </row>
    <row r="441" spans="10:11" hidden="1" x14ac:dyDescent="0.25">
      <c r="J441" t="s">
        <v>5</v>
      </c>
      <c r="K441" t="s">
        <v>144</v>
      </c>
    </row>
    <row r="442" spans="10:11" hidden="1" x14ac:dyDescent="0.25">
      <c r="J442" t="s">
        <v>25</v>
      </c>
      <c r="K442" t="s">
        <v>35</v>
      </c>
    </row>
    <row r="443" spans="10:11" hidden="1" x14ac:dyDescent="0.25">
      <c r="J443" t="s">
        <v>47</v>
      </c>
      <c r="K443" t="s">
        <v>248</v>
      </c>
    </row>
    <row r="444" spans="10:11" hidden="1" x14ac:dyDescent="0.25">
      <c r="J444" t="s">
        <v>27</v>
      </c>
      <c r="K444" t="s">
        <v>188</v>
      </c>
    </row>
    <row r="445" spans="10:11" hidden="1" x14ac:dyDescent="0.25">
      <c r="J445" t="s">
        <v>47</v>
      </c>
      <c r="K445" t="s">
        <v>92</v>
      </c>
    </row>
    <row r="446" spans="10:11" hidden="1" x14ac:dyDescent="0.25">
      <c r="J446" t="s">
        <v>38</v>
      </c>
      <c r="K446" t="s">
        <v>32</v>
      </c>
    </row>
    <row r="447" spans="10:11" hidden="1" x14ac:dyDescent="0.25">
      <c r="J447" t="s">
        <v>8</v>
      </c>
      <c r="K447" t="s">
        <v>107</v>
      </c>
    </row>
    <row r="448" spans="10:11" hidden="1" x14ac:dyDescent="0.25">
      <c r="J448" t="s">
        <v>30</v>
      </c>
      <c r="K448" t="s">
        <v>264</v>
      </c>
    </row>
    <row r="449" spans="10:11" hidden="1" x14ac:dyDescent="0.25">
      <c r="J449" t="s">
        <v>27</v>
      </c>
      <c r="K449" t="s">
        <v>15</v>
      </c>
    </row>
    <row r="450" spans="10:11" hidden="1" x14ac:dyDescent="0.25">
      <c r="J450" t="s">
        <v>5</v>
      </c>
      <c r="K450" t="s">
        <v>217</v>
      </c>
    </row>
    <row r="451" spans="10:11" hidden="1" x14ac:dyDescent="0.25">
      <c r="J451" t="s">
        <v>5</v>
      </c>
      <c r="K451" t="s">
        <v>126</v>
      </c>
    </row>
    <row r="452" spans="10:11" hidden="1" x14ac:dyDescent="0.25">
      <c r="J452" t="s">
        <v>45</v>
      </c>
      <c r="K452" t="s">
        <v>42</v>
      </c>
    </row>
    <row r="453" spans="10:11" hidden="1" x14ac:dyDescent="0.25">
      <c r="J453" t="s">
        <v>13</v>
      </c>
      <c r="K453" t="s">
        <v>227</v>
      </c>
    </row>
    <row r="454" spans="10:11" hidden="1" x14ac:dyDescent="0.25">
      <c r="J454" t="s">
        <v>10</v>
      </c>
      <c r="K454" t="s">
        <v>247</v>
      </c>
    </row>
    <row r="455" spans="10:11" hidden="1" x14ac:dyDescent="0.25">
      <c r="J455" t="s">
        <v>47</v>
      </c>
      <c r="K455" t="s">
        <v>32</v>
      </c>
    </row>
    <row r="456" spans="10:11" hidden="1" x14ac:dyDescent="0.25">
      <c r="J456" t="s">
        <v>13</v>
      </c>
      <c r="K456" t="s">
        <v>84</v>
      </c>
    </row>
    <row r="457" spans="10:11" hidden="1" x14ac:dyDescent="0.25">
      <c r="J457" t="s">
        <v>30</v>
      </c>
      <c r="K457" t="s">
        <v>9</v>
      </c>
    </row>
    <row r="458" spans="10:11" hidden="1" x14ac:dyDescent="0.25">
      <c r="J458" t="s">
        <v>25</v>
      </c>
      <c r="K458" t="s">
        <v>114</v>
      </c>
    </row>
    <row r="459" spans="10:11" hidden="1" x14ac:dyDescent="0.25">
      <c r="J459" t="s">
        <v>30</v>
      </c>
      <c r="K459" t="s">
        <v>269</v>
      </c>
    </row>
    <row r="460" spans="10:11" hidden="1" x14ac:dyDescent="0.25">
      <c r="J460" t="s">
        <v>5</v>
      </c>
      <c r="K460" t="s">
        <v>232</v>
      </c>
    </row>
    <row r="461" spans="10:11" hidden="1" x14ac:dyDescent="0.25">
      <c r="J461" t="s">
        <v>18</v>
      </c>
      <c r="K461" t="s">
        <v>89</v>
      </c>
    </row>
    <row r="462" spans="10:11" hidden="1" x14ac:dyDescent="0.25">
      <c r="J462" t="s">
        <v>5</v>
      </c>
      <c r="K462" t="s">
        <v>195</v>
      </c>
    </row>
    <row r="463" spans="10:11" hidden="1" x14ac:dyDescent="0.25">
      <c r="J463" t="s">
        <v>18</v>
      </c>
      <c r="K463" t="s">
        <v>158</v>
      </c>
    </row>
    <row r="464" spans="10:11" hidden="1" x14ac:dyDescent="0.25">
      <c r="J464" t="s">
        <v>18</v>
      </c>
      <c r="K464" t="s">
        <v>325</v>
      </c>
    </row>
    <row r="465" spans="10:11" hidden="1" x14ac:dyDescent="0.25">
      <c r="J465" t="s">
        <v>38</v>
      </c>
      <c r="K465" t="s">
        <v>43</v>
      </c>
    </row>
    <row r="466" spans="10:11" hidden="1" x14ac:dyDescent="0.25">
      <c r="J466" t="s">
        <v>45</v>
      </c>
      <c r="K466" t="s">
        <v>91</v>
      </c>
    </row>
    <row r="467" spans="10:11" hidden="1" x14ac:dyDescent="0.25">
      <c r="J467" t="s">
        <v>18</v>
      </c>
      <c r="K467" t="s">
        <v>98</v>
      </c>
    </row>
    <row r="468" spans="10:11" hidden="1" x14ac:dyDescent="0.25">
      <c r="J468" t="s">
        <v>25</v>
      </c>
      <c r="K468" t="s">
        <v>272</v>
      </c>
    </row>
    <row r="469" spans="10:11" hidden="1" x14ac:dyDescent="0.25">
      <c r="J469" t="s">
        <v>5</v>
      </c>
      <c r="K469" t="s">
        <v>229</v>
      </c>
    </row>
    <row r="470" spans="10:11" hidden="1" x14ac:dyDescent="0.25">
      <c r="J470" t="s">
        <v>16</v>
      </c>
      <c r="K470" t="s">
        <v>152</v>
      </c>
    </row>
    <row r="471" spans="10:11" hidden="1" x14ac:dyDescent="0.25">
      <c r="J471" t="s">
        <v>5</v>
      </c>
      <c r="K471" t="s">
        <v>329</v>
      </c>
    </row>
    <row r="472" spans="10:11" hidden="1" x14ac:dyDescent="0.25">
      <c r="J472" t="s">
        <v>25</v>
      </c>
      <c r="K472" t="s">
        <v>331</v>
      </c>
    </row>
    <row r="473" spans="10:11" hidden="1" x14ac:dyDescent="0.25">
      <c r="J473" t="s">
        <v>18</v>
      </c>
      <c r="K473" t="s">
        <v>248</v>
      </c>
    </row>
    <row r="474" spans="10:11" hidden="1" x14ac:dyDescent="0.25">
      <c r="J474" t="s">
        <v>5</v>
      </c>
      <c r="K474" t="s">
        <v>249</v>
      </c>
    </row>
    <row r="475" spans="10:11" hidden="1" x14ac:dyDescent="0.25">
      <c r="J475" t="s">
        <v>25</v>
      </c>
      <c r="K475" t="s">
        <v>227</v>
      </c>
    </row>
    <row r="476" spans="10:11" hidden="1" x14ac:dyDescent="0.25">
      <c r="J476" t="s">
        <v>8</v>
      </c>
      <c r="K476" t="s">
        <v>176</v>
      </c>
    </row>
    <row r="477" spans="10:11" hidden="1" x14ac:dyDescent="0.25">
      <c r="J477" t="s">
        <v>5</v>
      </c>
      <c r="K477" t="s">
        <v>332</v>
      </c>
    </row>
    <row r="478" spans="10:11" hidden="1" x14ac:dyDescent="0.25">
      <c r="J478" t="s">
        <v>38</v>
      </c>
      <c r="K478" t="s">
        <v>229</v>
      </c>
    </row>
    <row r="479" spans="10:11" hidden="1" x14ac:dyDescent="0.25">
      <c r="J479" t="s">
        <v>16</v>
      </c>
      <c r="K479" t="s">
        <v>177</v>
      </c>
    </row>
    <row r="480" spans="10:11" hidden="1" x14ac:dyDescent="0.25">
      <c r="J480" t="s">
        <v>18</v>
      </c>
      <c r="K480" t="s">
        <v>57</v>
      </c>
    </row>
    <row r="481" spans="10:11" hidden="1" x14ac:dyDescent="0.25">
      <c r="J481" t="s">
        <v>8</v>
      </c>
      <c r="K481" t="s">
        <v>152</v>
      </c>
    </row>
    <row r="482" spans="10:11" hidden="1" x14ac:dyDescent="0.25">
      <c r="J482" t="s">
        <v>18</v>
      </c>
      <c r="K482" t="s">
        <v>33</v>
      </c>
    </row>
    <row r="483" spans="10:11" hidden="1" x14ac:dyDescent="0.25">
      <c r="J483" t="s">
        <v>45</v>
      </c>
      <c r="K483" t="s">
        <v>338</v>
      </c>
    </row>
    <row r="484" spans="10:11" hidden="1" x14ac:dyDescent="0.25">
      <c r="J484" t="s">
        <v>8</v>
      </c>
      <c r="K484" t="s">
        <v>243</v>
      </c>
    </row>
    <row r="485" spans="10:11" hidden="1" x14ac:dyDescent="0.25">
      <c r="J485" t="s">
        <v>10</v>
      </c>
      <c r="K485" t="s">
        <v>224</v>
      </c>
    </row>
    <row r="486" spans="10:11" hidden="1" x14ac:dyDescent="0.25">
      <c r="J486" t="s">
        <v>38</v>
      </c>
      <c r="K486" t="s">
        <v>37</v>
      </c>
    </row>
    <row r="487" spans="10:11" hidden="1" x14ac:dyDescent="0.25">
      <c r="J487" t="s">
        <v>47</v>
      </c>
      <c r="K487" t="s">
        <v>116</v>
      </c>
    </row>
    <row r="488" spans="10:11" hidden="1" x14ac:dyDescent="0.25">
      <c r="J488" t="s">
        <v>13</v>
      </c>
      <c r="K488" t="s">
        <v>74</v>
      </c>
    </row>
    <row r="489" spans="10:11" hidden="1" x14ac:dyDescent="0.25">
      <c r="J489" t="s">
        <v>27</v>
      </c>
      <c r="K489" t="s">
        <v>32</v>
      </c>
    </row>
    <row r="490" spans="10:11" hidden="1" x14ac:dyDescent="0.25">
      <c r="J490" t="s">
        <v>30</v>
      </c>
      <c r="K490" t="s">
        <v>90</v>
      </c>
    </row>
    <row r="491" spans="10:11" hidden="1" x14ac:dyDescent="0.25">
      <c r="J491" t="s">
        <v>5</v>
      </c>
      <c r="K491" t="s">
        <v>227</v>
      </c>
    </row>
    <row r="492" spans="10:11" hidden="1" x14ac:dyDescent="0.25">
      <c r="J492" t="s">
        <v>47</v>
      </c>
      <c r="K492" t="s">
        <v>125</v>
      </c>
    </row>
    <row r="493" spans="10:11" hidden="1" x14ac:dyDescent="0.25">
      <c r="J493" t="s">
        <v>38</v>
      </c>
      <c r="K493" t="s">
        <v>42</v>
      </c>
    </row>
    <row r="494" spans="10:11" hidden="1" x14ac:dyDescent="0.25">
      <c r="J494" t="s">
        <v>47</v>
      </c>
      <c r="K494" t="s">
        <v>24</v>
      </c>
    </row>
    <row r="495" spans="10:11" hidden="1" x14ac:dyDescent="0.25">
      <c r="J495" t="s">
        <v>25</v>
      </c>
      <c r="K495" t="s">
        <v>187</v>
      </c>
    </row>
    <row r="496" spans="10:11" hidden="1" x14ac:dyDescent="0.25">
      <c r="J496" t="s">
        <v>18</v>
      </c>
      <c r="K496" t="s">
        <v>46</v>
      </c>
    </row>
    <row r="497" spans="10:11" hidden="1" x14ac:dyDescent="0.25">
      <c r="J497" t="s">
        <v>16</v>
      </c>
      <c r="K497" t="s">
        <v>344</v>
      </c>
    </row>
    <row r="498" spans="10:11" hidden="1" x14ac:dyDescent="0.25">
      <c r="J498" t="s">
        <v>10</v>
      </c>
      <c r="K498" t="s">
        <v>296</v>
      </c>
    </row>
    <row r="499" spans="10:11" hidden="1" x14ac:dyDescent="0.25">
      <c r="J499" t="s">
        <v>27</v>
      </c>
      <c r="K499" t="s">
        <v>346</v>
      </c>
    </row>
    <row r="500" spans="10:11" hidden="1" x14ac:dyDescent="0.25">
      <c r="J500" t="s">
        <v>30</v>
      </c>
      <c r="K500" t="s">
        <v>110</v>
      </c>
    </row>
    <row r="501" spans="10:11" hidden="1" x14ac:dyDescent="0.25">
      <c r="J501" t="s">
        <v>47</v>
      </c>
      <c r="K501" t="s">
        <v>167</v>
      </c>
    </row>
    <row r="502" spans="10:11" hidden="1" x14ac:dyDescent="0.25">
      <c r="J502" t="s">
        <v>38</v>
      </c>
      <c r="K502" t="s">
        <v>68</v>
      </c>
    </row>
    <row r="503" spans="10:11" hidden="1" x14ac:dyDescent="0.25">
      <c r="J503" t="s">
        <v>5</v>
      </c>
      <c r="K503" t="s">
        <v>28</v>
      </c>
    </row>
    <row r="504" spans="10:11" hidden="1" x14ac:dyDescent="0.25">
      <c r="J504" t="s">
        <v>8</v>
      </c>
      <c r="K504" t="s">
        <v>247</v>
      </c>
    </row>
    <row r="505" spans="10:11" hidden="1" x14ac:dyDescent="0.25">
      <c r="J505" t="s">
        <v>8</v>
      </c>
      <c r="K505" t="s">
        <v>75</v>
      </c>
    </row>
    <row r="506" spans="10:11" hidden="1" x14ac:dyDescent="0.25">
      <c r="J506" t="s">
        <v>30</v>
      </c>
      <c r="K506" t="s">
        <v>186</v>
      </c>
    </row>
    <row r="507" spans="10:11" hidden="1" x14ac:dyDescent="0.25">
      <c r="J507" t="s">
        <v>47</v>
      </c>
      <c r="K507" t="s">
        <v>66</v>
      </c>
    </row>
    <row r="508" spans="10:11" hidden="1" x14ac:dyDescent="0.25">
      <c r="J508" t="s">
        <v>16</v>
      </c>
      <c r="K508" t="s">
        <v>158</v>
      </c>
    </row>
    <row r="509" spans="10:11" hidden="1" x14ac:dyDescent="0.25">
      <c r="J509" t="s">
        <v>18</v>
      </c>
      <c r="K509" t="s">
        <v>201</v>
      </c>
    </row>
    <row r="510" spans="10:11" hidden="1" x14ac:dyDescent="0.25">
      <c r="J510" t="s">
        <v>45</v>
      </c>
      <c r="K510" t="s">
        <v>111</v>
      </c>
    </row>
    <row r="511" spans="10:11" hidden="1" x14ac:dyDescent="0.25">
      <c r="J511" t="s">
        <v>30</v>
      </c>
      <c r="K511" t="s">
        <v>99</v>
      </c>
    </row>
    <row r="512" spans="10:11" hidden="1" x14ac:dyDescent="0.25">
      <c r="J512" t="s">
        <v>45</v>
      </c>
      <c r="K512" t="s">
        <v>248</v>
      </c>
    </row>
    <row r="513" spans="10:11" hidden="1" x14ac:dyDescent="0.25">
      <c r="J513" t="s">
        <v>13</v>
      </c>
      <c r="K513" t="s">
        <v>332</v>
      </c>
    </row>
    <row r="514" spans="10:11" hidden="1" x14ac:dyDescent="0.25">
      <c r="J514" t="s">
        <v>8</v>
      </c>
      <c r="K514" t="s">
        <v>331</v>
      </c>
    </row>
    <row r="515" spans="10:11" hidden="1" x14ac:dyDescent="0.25">
      <c r="J515" t="s">
        <v>18</v>
      </c>
      <c r="K515" t="s">
        <v>209</v>
      </c>
    </row>
    <row r="516" spans="10:11" hidden="1" x14ac:dyDescent="0.25">
      <c r="J516" t="s">
        <v>13</v>
      </c>
      <c r="K516" t="s">
        <v>239</v>
      </c>
    </row>
    <row r="517" spans="10:11" hidden="1" x14ac:dyDescent="0.25">
      <c r="J517" t="s">
        <v>8</v>
      </c>
      <c r="K517" t="s">
        <v>93</v>
      </c>
    </row>
    <row r="518" spans="10:11" hidden="1" x14ac:dyDescent="0.25">
      <c r="J518" t="s">
        <v>16</v>
      </c>
      <c r="K518" t="s">
        <v>121</v>
      </c>
    </row>
    <row r="519" spans="10:11" hidden="1" x14ac:dyDescent="0.25">
      <c r="J519" t="s">
        <v>10</v>
      </c>
      <c r="K519" t="s">
        <v>346</v>
      </c>
    </row>
    <row r="520" spans="10:11" hidden="1" x14ac:dyDescent="0.25">
      <c r="J520" t="s">
        <v>16</v>
      </c>
      <c r="K520" t="s">
        <v>89</v>
      </c>
    </row>
    <row r="521" spans="10:11" hidden="1" x14ac:dyDescent="0.25">
      <c r="J521" t="s">
        <v>8</v>
      </c>
      <c r="K521" t="s">
        <v>22</v>
      </c>
    </row>
    <row r="522" spans="10:11" hidden="1" x14ac:dyDescent="0.25">
      <c r="J522" t="s">
        <v>25</v>
      </c>
      <c r="K522" t="s">
        <v>43</v>
      </c>
    </row>
    <row r="523" spans="10:11" hidden="1" x14ac:dyDescent="0.25">
      <c r="J523" t="s">
        <v>38</v>
      </c>
      <c r="K523" t="s">
        <v>161</v>
      </c>
    </row>
    <row r="524" spans="10:11" hidden="1" x14ac:dyDescent="0.25">
      <c r="J524" t="s">
        <v>13</v>
      </c>
      <c r="K524" t="s">
        <v>137</v>
      </c>
    </row>
    <row r="525" spans="10:11" hidden="1" x14ac:dyDescent="0.25">
      <c r="J525" t="s">
        <v>5</v>
      </c>
      <c r="K525" t="s">
        <v>22</v>
      </c>
    </row>
    <row r="526" spans="10:11" hidden="1" x14ac:dyDescent="0.25">
      <c r="J526" t="s">
        <v>13</v>
      </c>
      <c r="K526" t="s">
        <v>249</v>
      </c>
    </row>
    <row r="527" spans="10:11" hidden="1" x14ac:dyDescent="0.25">
      <c r="J527" t="s">
        <v>38</v>
      </c>
      <c r="K527" t="s">
        <v>212</v>
      </c>
    </row>
    <row r="528" spans="10:11" hidden="1" x14ac:dyDescent="0.25">
      <c r="J528" t="s">
        <v>47</v>
      </c>
      <c r="K528" t="s">
        <v>139</v>
      </c>
    </row>
    <row r="529" spans="10:11" hidden="1" x14ac:dyDescent="0.25">
      <c r="J529" t="s">
        <v>30</v>
      </c>
      <c r="K529" t="s">
        <v>70</v>
      </c>
    </row>
    <row r="530" spans="10:11" hidden="1" x14ac:dyDescent="0.25">
      <c r="J530" t="s">
        <v>38</v>
      </c>
      <c r="K530" t="s">
        <v>331</v>
      </c>
    </row>
    <row r="531" spans="10:11" hidden="1" x14ac:dyDescent="0.25">
      <c r="J531" t="s">
        <v>45</v>
      </c>
      <c r="K531" t="s">
        <v>24</v>
      </c>
    </row>
    <row r="532" spans="10:11" hidden="1" x14ac:dyDescent="0.25">
      <c r="J532" t="s">
        <v>27</v>
      </c>
      <c r="K532" t="s">
        <v>80</v>
      </c>
    </row>
    <row r="533" spans="10:11" hidden="1" x14ac:dyDescent="0.25">
      <c r="J533" t="s">
        <v>27</v>
      </c>
      <c r="K533" t="s">
        <v>239</v>
      </c>
    </row>
    <row r="534" spans="10:11" hidden="1" x14ac:dyDescent="0.25">
      <c r="J534" t="s">
        <v>25</v>
      </c>
      <c r="K534" t="s">
        <v>108</v>
      </c>
    </row>
    <row r="535" spans="10:11" hidden="1" x14ac:dyDescent="0.25">
      <c r="J535" t="s">
        <v>8</v>
      </c>
      <c r="K535" t="s">
        <v>211</v>
      </c>
    </row>
    <row r="536" spans="10:11" hidden="1" x14ac:dyDescent="0.25">
      <c r="J536" t="s">
        <v>47</v>
      </c>
      <c r="K536" t="s">
        <v>306</v>
      </c>
    </row>
    <row r="537" spans="10:11" hidden="1" x14ac:dyDescent="0.25">
      <c r="J537" t="s">
        <v>5</v>
      </c>
      <c r="K537" t="s">
        <v>64</v>
      </c>
    </row>
    <row r="538" spans="10:11" hidden="1" x14ac:dyDescent="0.25">
      <c r="J538" t="s">
        <v>16</v>
      </c>
      <c r="K538" t="s">
        <v>81</v>
      </c>
    </row>
    <row r="539" spans="10:11" hidden="1" x14ac:dyDescent="0.25">
      <c r="J539" t="s">
        <v>30</v>
      </c>
      <c r="K539" t="s">
        <v>28</v>
      </c>
    </row>
    <row r="540" spans="10:11" hidden="1" x14ac:dyDescent="0.25">
      <c r="J540" t="s">
        <v>47</v>
      </c>
      <c r="K540" t="s">
        <v>88</v>
      </c>
    </row>
    <row r="541" spans="10:11" hidden="1" x14ac:dyDescent="0.25">
      <c r="J541" t="s">
        <v>38</v>
      </c>
      <c r="K541" t="s">
        <v>307</v>
      </c>
    </row>
    <row r="542" spans="10:11" hidden="1" x14ac:dyDescent="0.25">
      <c r="J542" t="s">
        <v>10</v>
      </c>
      <c r="K542" t="s">
        <v>113</v>
      </c>
    </row>
    <row r="543" spans="10:11" hidden="1" x14ac:dyDescent="0.25">
      <c r="J543" t="s">
        <v>16</v>
      </c>
      <c r="K543" t="s">
        <v>146</v>
      </c>
    </row>
    <row r="544" spans="10:11" hidden="1" x14ac:dyDescent="0.25">
      <c r="J544" t="s">
        <v>47</v>
      </c>
      <c r="K544" t="s">
        <v>363</v>
      </c>
    </row>
    <row r="545" spans="10:11" hidden="1" x14ac:dyDescent="0.25">
      <c r="J545" t="s">
        <v>30</v>
      </c>
      <c r="K545" t="s">
        <v>81</v>
      </c>
    </row>
    <row r="546" spans="10:11" hidden="1" x14ac:dyDescent="0.25">
      <c r="J546" t="s">
        <v>18</v>
      </c>
      <c r="K546" t="s">
        <v>180</v>
      </c>
    </row>
    <row r="547" spans="10:11" hidden="1" x14ac:dyDescent="0.25">
      <c r="J547" t="s">
        <v>13</v>
      </c>
      <c r="K547" t="s">
        <v>63</v>
      </c>
    </row>
    <row r="548" spans="10:11" hidden="1" x14ac:dyDescent="0.25">
      <c r="J548" t="s">
        <v>8</v>
      </c>
      <c r="K548" t="s">
        <v>190</v>
      </c>
    </row>
    <row r="549" spans="10:11" hidden="1" x14ac:dyDescent="0.25">
      <c r="J549" t="s">
        <v>10</v>
      </c>
      <c r="K549" t="s">
        <v>279</v>
      </c>
    </row>
    <row r="550" spans="10:11" hidden="1" x14ac:dyDescent="0.25">
      <c r="J550" t="s">
        <v>10</v>
      </c>
      <c r="K550" t="s">
        <v>137</v>
      </c>
    </row>
    <row r="551" spans="10:11" hidden="1" x14ac:dyDescent="0.25">
      <c r="J551" t="s">
        <v>27</v>
      </c>
      <c r="K551" t="s">
        <v>215</v>
      </c>
    </row>
    <row r="552" spans="10:11" hidden="1" x14ac:dyDescent="0.25">
      <c r="J552" t="s">
        <v>8</v>
      </c>
      <c r="K552" t="s">
        <v>70</v>
      </c>
    </row>
    <row r="553" spans="10:11" hidden="1" x14ac:dyDescent="0.25">
      <c r="J553" t="s">
        <v>16</v>
      </c>
      <c r="K553" t="s">
        <v>126</v>
      </c>
    </row>
    <row r="554" spans="10:11" hidden="1" x14ac:dyDescent="0.25">
      <c r="J554" t="s">
        <v>47</v>
      </c>
      <c r="K554" t="s">
        <v>344</v>
      </c>
    </row>
    <row r="555" spans="10:11" hidden="1" x14ac:dyDescent="0.25">
      <c r="J555" t="s">
        <v>16</v>
      </c>
      <c r="K555" t="s">
        <v>270</v>
      </c>
    </row>
    <row r="556" spans="10:11" hidden="1" x14ac:dyDescent="0.25">
      <c r="J556" t="s">
        <v>13</v>
      </c>
      <c r="K556" t="s">
        <v>11</v>
      </c>
    </row>
    <row r="557" spans="10:11" hidden="1" x14ac:dyDescent="0.25">
      <c r="J557" t="s">
        <v>27</v>
      </c>
      <c r="K557" t="s">
        <v>167</v>
      </c>
    </row>
    <row r="558" spans="10:11" hidden="1" x14ac:dyDescent="0.25">
      <c r="J558" t="s">
        <v>10</v>
      </c>
      <c r="K558" t="s">
        <v>21</v>
      </c>
    </row>
    <row r="559" spans="10:11" hidden="1" x14ac:dyDescent="0.25">
      <c r="J559" t="s">
        <v>38</v>
      </c>
      <c r="K559" t="s">
        <v>298</v>
      </c>
    </row>
    <row r="560" spans="10:11" hidden="1" x14ac:dyDescent="0.25">
      <c r="J560" t="s">
        <v>38</v>
      </c>
      <c r="K560" t="s">
        <v>221</v>
      </c>
    </row>
    <row r="561" spans="10:11" hidden="1" x14ac:dyDescent="0.25">
      <c r="J561" t="s">
        <v>45</v>
      </c>
      <c r="K561" t="s">
        <v>267</v>
      </c>
    </row>
    <row r="562" spans="10:11" hidden="1" x14ac:dyDescent="0.25">
      <c r="J562" t="s">
        <v>13</v>
      </c>
      <c r="K562" t="s">
        <v>77</v>
      </c>
    </row>
    <row r="563" spans="10:11" hidden="1" x14ac:dyDescent="0.25">
      <c r="J563" t="s">
        <v>45</v>
      </c>
      <c r="K563" t="s">
        <v>247</v>
      </c>
    </row>
    <row r="564" spans="10:11" hidden="1" x14ac:dyDescent="0.25">
      <c r="J564" t="s">
        <v>16</v>
      </c>
      <c r="K564" t="s">
        <v>15</v>
      </c>
    </row>
    <row r="565" spans="10:11" hidden="1" x14ac:dyDescent="0.25">
      <c r="J565" t="s">
        <v>25</v>
      </c>
      <c r="K565" t="s">
        <v>39</v>
      </c>
    </row>
    <row r="566" spans="10:11" hidden="1" x14ac:dyDescent="0.25">
      <c r="J566" t="s">
        <v>30</v>
      </c>
      <c r="K566" t="s">
        <v>36</v>
      </c>
    </row>
    <row r="567" spans="10:11" hidden="1" x14ac:dyDescent="0.25">
      <c r="J567" t="s">
        <v>10</v>
      </c>
      <c r="K567" t="s">
        <v>287</v>
      </c>
    </row>
    <row r="568" spans="10:11" hidden="1" x14ac:dyDescent="0.25">
      <c r="J568" t="s">
        <v>10</v>
      </c>
      <c r="K568" t="s">
        <v>114</v>
      </c>
    </row>
    <row r="569" spans="10:11" hidden="1" x14ac:dyDescent="0.25">
      <c r="J569" t="s">
        <v>30</v>
      </c>
      <c r="K569" t="s">
        <v>375</v>
      </c>
    </row>
    <row r="570" spans="10:11" hidden="1" x14ac:dyDescent="0.25">
      <c r="J570" t="s">
        <v>8</v>
      </c>
      <c r="K570" t="s">
        <v>309</v>
      </c>
    </row>
    <row r="571" spans="10:11" hidden="1" x14ac:dyDescent="0.25">
      <c r="J571" t="s">
        <v>13</v>
      </c>
      <c r="K571" t="s">
        <v>124</v>
      </c>
    </row>
    <row r="572" spans="10:11" hidden="1" x14ac:dyDescent="0.25">
      <c r="J572" t="s">
        <v>16</v>
      </c>
      <c r="K572" t="s">
        <v>187</v>
      </c>
    </row>
    <row r="573" spans="10:11" hidden="1" x14ac:dyDescent="0.25">
      <c r="J573" t="s">
        <v>13</v>
      </c>
      <c r="K573" t="s">
        <v>64</v>
      </c>
    </row>
    <row r="574" spans="10:11" hidden="1" x14ac:dyDescent="0.25">
      <c r="J574" t="s">
        <v>10</v>
      </c>
      <c r="K574" t="s">
        <v>300</v>
      </c>
    </row>
    <row r="575" spans="10:11" hidden="1" x14ac:dyDescent="0.25">
      <c r="J575" t="s">
        <v>8</v>
      </c>
      <c r="K575" t="s">
        <v>134</v>
      </c>
    </row>
    <row r="576" spans="10:11" hidden="1" x14ac:dyDescent="0.25">
      <c r="J576" t="s">
        <v>45</v>
      </c>
      <c r="K576" t="s">
        <v>332</v>
      </c>
    </row>
    <row r="577" spans="10:11" hidden="1" x14ac:dyDescent="0.25">
      <c r="J577" t="s">
        <v>38</v>
      </c>
      <c r="K577" t="s">
        <v>59</v>
      </c>
    </row>
    <row r="578" spans="10:11" hidden="1" x14ac:dyDescent="0.25">
      <c r="J578" t="s">
        <v>38</v>
      </c>
      <c r="K578" t="s">
        <v>137</v>
      </c>
    </row>
    <row r="579" spans="10:11" hidden="1" x14ac:dyDescent="0.25">
      <c r="J579" t="s">
        <v>5</v>
      </c>
      <c r="K579" t="s">
        <v>105</v>
      </c>
    </row>
    <row r="580" spans="10:11" hidden="1" x14ac:dyDescent="0.25">
      <c r="J580" t="s">
        <v>10</v>
      </c>
      <c r="K580" t="s">
        <v>69</v>
      </c>
    </row>
    <row r="581" spans="10:11" hidden="1" x14ac:dyDescent="0.25">
      <c r="J581" t="s">
        <v>18</v>
      </c>
      <c r="K581" t="s">
        <v>49</v>
      </c>
    </row>
    <row r="582" spans="10:11" hidden="1" x14ac:dyDescent="0.25">
      <c r="J582" t="s">
        <v>25</v>
      </c>
      <c r="K582" t="s">
        <v>313</v>
      </c>
    </row>
    <row r="583" spans="10:11" hidden="1" x14ac:dyDescent="0.25">
      <c r="J583" t="s">
        <v>30</v>
      </c>
      <c r="K583" t="s">
        <v>380</v>
      </c>
    </row>
    <row r="584" spans="10:11" hidden="1" x14ac:dyDescent="0.25">
      <c r="J584" t="s">
        <v>8</v>
      </c>
      <c r="K584" t="s">
        <v>132</v>
      </c>
    </row>
    <row r="585" spans="10:11" hidden="1" x14ac:dyDescent="0.25">
      <c r="J585" t="s">
        <v>30</v>
      </c>
      <c r="K585" t="s">
        <v>202</v>
      </c>
    </row>
    <row r="586" spans="10:11" hidden="1" x14ac:dyDescent="0.25">
      <c r="J586" t="s">
        <v>30</v>
      </c>
      <c r="K586" t="s">
        <v>344</v>
      </c>
    </row>
    <row r="587" spans="10:11" hidden="1" x14ac:dyDescent="0.25">
      <c r="J587" t="s">
        <v>47</v>
      </c>
      <c r="K587" t="s">
        <v>307</v>
      </c>
    </row>
    <row r="588" spans="10:11" hidden="1" x14ac:dyDescent="0.25">
      <c r="J588" t="s">
        <v>38</v>
      </c>
      <c r="K588" t="s">
        <v>158</v>
      </c>
    </row>
    <row r="589" spans="10:11" hidden="1" x14ac:dyDescent="0.25">
      <c r="J589" t="s">
        <v>10</v>
      </c>
      <c r="K589" t="s">
        <v>382</v>
      </c>
    </row>
    <row r="590" spans="10:11" hidden="1" x14ac:dyDescent="0.25">
      <c r="J590" t="s">
        <v>30</v>
      </c>
      <c r="K590" t="s">
        <v>384</v>
      </c>
    </row>
    <row r="591" spans="10:11" hidden="1" x14ac:dyDescent="0.25">
      <c r="J591" t="s">
        <v>45</v>
      </c>
      <c r="K591" t="s">
        <v>142</v>
      </c>
    </row>
    <row r="592" spans="10:11" hidden="1" x14ac:dyDescent="0.25">
      <c r="J592" t="s">
        <v>13</v>
      </c>
      <c r="K592" t="s">
        <v>9</v>
      </c>
    </row>
    <row r="593" spans="10:11" hidden="1" x14ac:dyDescent="0.25">
      <c r="J593" t="s">
        <v>45</v>
      </c>
      <c r="K593" t="s">
        <v>26</v>
      </c>
    </row>
    <row r="594" spans="10:11" hidden="1" x14ac:dyDescent="0.25">
      <c r="J594" t="s">
        <v>45</v>
      </c>
      <c r="K594" t="s">
        <v>206</v>
      </c>
    </row>
    <row r="595" spans="10:11" hidden="1" x14ac:dyDescent="0.25">
      <c r="J595" t="s">
        <v>13</v>
      </c>
      <c r="K595" t="s">
        <v>67</v>
      </c>
    </row>
    <row r="596" spans="10:11" hidden="1" x14ac:dyDescent="0.25">
      <c r="J596" t="s">
        <v>16</v>
      </c>
      <c r="K596" t="s">
        <v>385</v>
      </c>
    </row>
    <row r="597" spans="10:11" hidden="1" x14ac:dyDescent="0.25">
      <c r="J597" t="s">
        <v>10</v>
      </c>
      <c r="K597" t="s">
        <v>68</v>
      </c>
    </row>
    <row r="598" spans="10:11" hidden="1" x14ac:dyDescent="0.25">
      <c r="J598" t="s">
        <v>5</v>
      </c>
      <c r="K598" t="s">
        <v>270</v>
      </c>
    </row>
    <row r="599" spans="10:11" hidden="1" x14ac:dyDescent="0.25">
      <c r="J599" t="s">
        <v>10</v>
      </c>
      <c r="K599" t="s">
        <v>125</v>
      </c>
    </row>
    <row r="600" spans="10:11" hidden="1" x14ac:dyDescent="0.25">
      <c r="J600" t="s">
        <v>30</v>
      </c>
      <c r="K600" t="s">
        <v>272</v>
      </c>
    </row>
    <row r="601" spans="10:11" hidden="1" x14ac:dyDescent="0.25">
      <c r="J601" t="s">
        <v>18</v>
      </c>
      <c r="K601" t="s">
        <v>110</v>
      </c>
    </row>
    <row r="602" spans="10:11" hidden="1" x14ac:dyDescent="0.25">
      <c r="J602" t="s">
        <v>45</v>
      </c>
      <c r="K602" t="s">
        <v>99</v>
      </c>
    </row>
    <row r="603" spans="10:11" hidden="1" x14ac:dyDescent="0.25">
      <c r="J603" t="s">
        <v>18</v>
      </c>
      <c r="K603" t="s">
        <v>96</v>
      </c>
    </row>
    <row r="604" spans="10:11" hidden="1" x14ac:dyDescent="0.25">
      <c r="J604" t="s">
        <v>38</v>
      </c>
      <c r="K604" t="s">
        <v>344</v>
      </c>
    </row>
    <row r="605" spans="10:11" hidden="1" x14ac:dyDescent="0.25">
      <c r="J605" t="s">
        <v>38</v>
      </c>
      <c r="K605" t="s">
        <v>299</v>
      </c>
    </row>
    <row r="606" spans="10:11" hidden="1" x14ac:dyDescent="0.25">
      <c r="J606" t="s">
        <v>18</v>
      </c>
      <c r="K606" t="s">
        <v>119</v>
      </c>
    </row>
    <row r="607" spans="10:11" hidden="1" x14ac:dyDescent="0.25">
      <c r="J607" t="s">
        <v>13</v>
      </c>
      <c r="K607" t="s">
        <v>270</v>
      </c>
    </row>
    <row r="608" spans="10:11" hidden="1" x14ac:dyDescent="0.25">
      <c r="J608" t="s">
        <v>16</v>
      </c>
      <c r="K608" t="s">
        <v>94</v>
      </c>
    </row>
    <row r="609" spans="10:11" hidden="1" x14ac:dyDescent="0.25">
      <c r="J609" t="s">
        <v>30</v>
      </c>
      <c r="K609" t="s">
        <v>169</v>
      </c>
    </row>
    <row r="610" spans="10:11" hidden="1" x14ac:dyDescent="0.25">
      <c r="J610" t="s">
        <v>30</v>
      </c>
      <c r="K610" t="s">
        <v>82</v>
      </c>
    </row>
    <row r="611" spans="10:11" hidden="1" x14ac:dyDescent="0.25">
      <c r="J611" t="s">
        <v>13</v>
      </c>
      <c r="K611" t="s">
        <v>157</v>
      </c>
    </row>
    <row r="612" spans="10:11" hidden="1" x14ac:dyDescent="0.25">
      <c r="J612" t="s">
        <v>30</v>
      </c>
      <c r="K612" t="s">
        <v>249</v>
      </c>
    </row>
    <row r="613" spans="10:11" hidden="1" x14ac:dyDescent="0.25">
      <c r="J613" t="s">
        <v>38</v>
      </c>
      <c r="K613" t="s">
        <v>57</v>
      </c>
    </row>
    <row r="614" spans="10:11" hidden="1" x14ac:dyDescent="0.25">
      <c r="J614" t="s">
        <v>45</v>
      </c>
      <c r="K614" t="s">
        <v>219</v>
      </c>
    </row>
    <row r="615" spans="10:11" hidden="1" x14ac:dyDescent="0.25">
      <c r="J615" t="s">
        <v>13</v>
      </c>
      <c r="K615" t="s">
        <v>155</v>
      </c>
    </row>
    <row r="616" spans="10:11" hidden="1" x14ac:dyDescent="0.25">
      <c r="J616" t="s">
        <v>38</v>
      </c>
      <c r="K616" t="s">
        <v>173</v>
      </c>
    </row>
    <row r="617" spans="10:11" hidden="1" x14ac:dyDescent="0.25">
      <c r="J617" t="s">
        <v>27</v>
      </c>
      <c r="K617" t="s">
        <v>224</v>
      </c>
    </row>
    <row r="618" spans="10:11" hidden="1" x14ac:dyDescent="0.25">
      <c r="J618" t="s">
        <v>13</v>
      </c>
      <c r="K618" t="s">
        <v>211</v>
      </c>
    </row>
    <row r="619" spans="10:11" hidden="1" x14ac:dyDescent="0.25">
      <c r="J619" t="s">
        <v>27</v>
      </c>
      <c r="K619" t="s">
        <v>77</v>
      </c>
    </row>
    <row r="620" spans="10:11" hidden="1" x14ac:dyDescent="0.25">
      <c r="J620" t="s">
        <v>13</v>
      </c>
      <c r="K620" t="s">
        <v>226</v>
      </c>
    </row>
    <row r="621" spans="10:11" hidden="1" x14ac:dyDescent="0.25">
      <c r="J621" t="s">
        <v>18</v>
      </c>
      <c r="K621" t="s">
        <v>393</v>
      </c>
    </row>
    <row r="622" spans="10:11" hidden="1" x14ac:dyDescent="0.25">
      <c r="J622" t="s">
        <v>27</v>
      </c>
      <c r="K622" t="s">
        <v>212</v>
      </c>
    </row>
    <row r="623" spans="10:11" hidden="1" x14ac:dyDescent="0.25">
      <c r="J623" t="s">
        <v>47</v>
      </c>
      <c r="K623" t="s">
        <v>89</v>
      </c>
    </row>
    <row r="624" spans="10:11" hidden="1" x14ac:dyDescent="0.25">
      <c r="J624" t="s">
        <v>13</v>
      </c>
      <c r="K624" t="s">
        <v>55</v>
      </c>
    </row>
    <row r="625" spans="10:11" hidden="1" x14ac:dyDescent="0.25">
      <c r="J625" t="s">
        <v>8</v>
      </c>
      <c r="K625" t="s">
        <v>41</v>
      </c>
    </row>
    <row r="626" spans="10:11" hidden="1" x14ac:dyDescent="0.25">
      <c r="J626" t="s">
        <v>27</v>
      </c>
      <c r="K626" t="s">
        <v>126</v>
      </c>
    </row>
    <row r="627" spans="10:11" hidden="1" x14ac:dyDescent="0.25">
      <c r="J627" t="s">
        <v>45</v>
      </c>
      <c r="K627" t="s">
        <v>209</v>
      </c>
    </row>
    <row r="628" spans="10:11" hidden="1" x14ac:dyDescent="0.25">
      <c r="J628" t="s">
        <v>25</v>
      </c>
      <c r="K628" t="s">
        <v>137</v>
      </c>
    </row>
    <row r="629" spans="10:11" hidden="1" x14ac:dyDescent="0.25">
      <c r="J629" t="s">
        <v>30</v>
      </c>
      <c r="K629" t="s">
        <v>194</v>
      </c>
    </row>
    <row r="630" spans="10:11" hidden="1" x14ac:dyDescent="0.25">
      <c r="J630" t="s">
        <v>18</v>
      </c>
      <c r="K630" t="s">
        <v>395</v>
      </c>
    </row>
    <row r="631" spans="10:11" hidden="1" x14ac:dyDescent="0.25">
      <c r="J631" t="s">
        <v>18</v>
      </c>
      <c r="K631" t="s">
        <v>157</v>
      </c>
    </row>
    <row r="632" spans="10:11" hidden="1" x14ac:dyDescent="0.25">
      <c r="J632" t="s">
        <v>8</v>
      </c>
      <c r="K632" t="s">
        <v>53</v>
      </c>
    </row>
    <row r="633" spans="10:11" hidden="1" x14ac:dyDescent="0.25">
      <c r="J633" t="s">
        <v>47</v>
      </c>
      <c r="K633" t="s">
        <v>107</v>
      </c>
    </row>
    <row r="634" spans="10:11" hidden="1" x14ac:dyDescent="0.25">
      <c r="J634" t="s">
        <v>5</v>
      </c>
      <c r="K634" t="s">
        <v>363</v>
      </c>
    </row>
    <row r="635" spans="10:11" hidden="1" x14ac:dyDescent="0.25">
      <c r="J635" t="s">
        <v>30</v>
      </c>
      <c r="K635" t="s">
        <v>85</v>
      </c>
    </row>
    <row r="636" spans="10:11" hidden="1" x14ac:dyDescent="0.25">
      <c r="J636" t="s">
        <v>38</v>
      </c>
      <c r="K636" t="s">
        <v>89</v>
      </c>
    </row>
    <row r="637" spans="10:11" hidden="1" x14ac:dyDescent="0.25">
      <c r="J637" t="s">
        <v>47</v>
      </c>
      <c r="K637" t="s">
        <v>289</v>
      </c>
    </row>
    <row r="638" spans="10:11" hidden="1" x14ac:dyDescent="0.25">
      <c r="J638" t="s">
        <v>8</v>
      </c>
      <c r="K638" t="s">
        <v>77</v>
      </c>
    </row>
    <row r="639" spans="10:11" hidden="1" x14ac:dyDescent="0.25">
      <c r="J639" t="s">
        <v>38</v>
      </c>
      <c r="K639" t="s">
        <v>20</v>
      </c>
    </row>
    <row r="640" spans="10:11" hidden="1" x14ac:dyDescent="0.25">
      <c r="J640" t="s">
        <v>10</v>
      </c>
      <c r="K640" t="s">
        <v>393</v>
      </c>
    </row>
    <row r="641" spans="10:11" hidden="1" x14ac:dyDescent="0.25">
      <c r="J641" t="s">
        <v>47</v>
      </c>
      <c r="K641" t="s">
        <v>94</v>
      </c>
    </row>
    <row r="642" spans="10:11" hidden="1" x14ac:dyDescent="0.25">
      <c r="J642" t="s">
        <v>13</v>
      </c>
      <c r="K642" t="s">
        <v>114</v>
      </c>
    </row>
    <row r="643" spans="10:11" hidden="1" x14ac:dyDescent="0.25">
      <c r="J643" t="s">
        <v>18</v>
      </c>
      <c r="K643" t="s">
        <v>194</v>
      </c>
    </row>
    <row r="644" spans="10:11" hidden="1" x14ac:dyDescent="0.25">
      <c r="J644" t="s">
        <v>47</v>
      </c>
      <c r="K644" t="s">
        <v>270</v>
      </c>
    </row>
    <row r="645" spans="10:11" hidden="1" x14ac:dyDescent="0.25">
      <c r="J645" t="s">
        <v>10</v>
      </c>
      <c r="K645" t="s">
        <v>187</v>
      </c>
    </row>
    <row r="646" spans="10:11" hidden="1" x14ac:dyDescent="0.25">
      <c r="J646" t="s">
        <v>38</v>
      </c>
      <c r="K646" t="s">
        <v>116</v>
      </c>
    </row>
    <row r="647" spans="10:11" hidden="1" x14ac:dyDescent="0.25">
      <c r="J647" t="s">
        <v>16</v>
      </c>
      <c r="K647" t="s">
        <v>149</v>
      </c>
    </row>
    <row r="648" spans="10:11" hidden="1" x14ac:dyDescent="0.25">
      <c r="J648" t="s">
        <v>30</v>
      </c>
      <c r="K648" t="s">
        <v>59</v>
      </c>
    </row>
    <row r="649" spans="10:11" hidden="1" x14ac:dyDescent="0.25">
      <c r="J649" t="s">
        <v>38</v>
      </c>
      <c r="K649" t="s">
        <v>146</v>
      </c>
    </row>
    <row r="650" spans="10:11" hidden="1" x14ac:dyDescent="0.25">
      <c r="J650" t="s">
        <v>8</v>
      </c>
      <c r="K650" t="s">
        <v>186</v>
      </c>
    </row>
    <row r="651" spans="10:11" hidden="1" x14ac:dyDescent="0.25">
      <c r="J651" t="s">
        <v>38</v>
      </c>
      <c r="K651" t="s">
        <v>247</v>
      </c>
    </row>
    <row r="652" spans="10:11" hidden="1" x14ac:dyDescent="0.25">
      <c r="J652" t="s">
        <v>10</v>
      </c>
      <c r="K652" t="s">
        <v>153</v>
      </c>
    </row>
    <row r="653" spans="10:11" hidden="1" x14ac:dyDescent="0.25">
      <c r="J653" t="s">
        <v>18</v>
      </c>
      <c r="K653" t="s">
        <v>215</v>
      </c>
    </row>
    <row r="654" spans="10:11" hidden="1" x14ac:dyDescent="0.25">
      <c r="J654" t="s">
        <v>8</v>
      </c>
      <c r="K654" t="s">
        <v>300</v>
      </c>
    </row>
    <row r="655" spans="10:11" hidden="1" x14ac:dyDescent="0.25">
      <c r="J655" t="s">
        <v>10</v>
      </c>
      <c r="K655" t="s">
        <v>32</v>
      </c>
    </row>
    <row r="656" spans="10:11" hidden="1" x14ac:dyDescent="0.25">
      <c r="J656" t="s">
        <v>18</v>
      </c>
      <c r="K656" t="s">
        <v>252</v>
      </c>
    </row>
    <row r="657" spans="10:11" hidden="1" x14ac:dyDescent="0.25">
      <c r="J657" t="s">
        <v>45</v>
      </c>
      <c r="K657" t="s">
        <v>73</v>
      </c>
    </row>
    <row r="658" spans="10:11" hidden="1" x14ac:dyDescent="0.25">
      <c r="J658" t="s">
        <v>13</v>
      </c>
      <c r="K658" t="s">
        <v>184</v>
      </c>
    </row>
    <row r="659" spans="10:11" hidden="1" x14ac:dyDescent="0.25">
      <c r="J659" t="s">
        <v>47</v>
      </c>
      <c r="K659" t="s">
        <v>298</v>
      </c>
    </row>
    <row r="660" spans="10:11" hidden="1" x14ac:dyDescent="0.25">
      <c r="J660" t="s">
        <v>5</v>
      </c>
      <c r="K660" t="s">
        <v>243</v>
      </c>
    </row>
    <row r="661" spans="10:11" hidden="1" x14ac:dyDescent="0.25">
      <c r="J661" t="s">
        <v>25</v>
      </c>
      <c r="K661" t="s">
        <v>68</v>
      </c>
    </row>
    <row r="662" spans="10:11" hidden="1" x14ac:dyDescent="0.25">
      <c r="J662" t="s">
        <v>38</v>
      </c>
      <c r="K662" t="s">
        <v>309</v>
      </c>
    </row>
    <row r="663" spans="10:11" hidden="1" x14ac:dyDescent="0.25">
      <c r="J663" t="s">
        <v>38</v>
      </c>
      <c r="K663" t="s">
        <v>152</v>
      </c>
    </row>
    <row r="664" spans="10:11" hidden="1" x14ac:dyDescent="0.25">
      <c r="J664" t="s">
        <v>30</v>
      </c>
      <c r="K664" t="s">
        <v>158</v>
      </c>
    </row>
    <row r="665" spans="10:11" hidden="1" x14ac:dyDescent="0.25">
      <c r="J665" t="s">
        <v>47</v>
      </c>
      <c r="K665" t="s">
        <v>252</v>
      </c>
    </row>
    <row r="666" spans="10:11" hidden="1" x14ac:dyDescent="0.25">
      <c r="J666" t="s">
        <v>10</v>
      </c>
      <c r="K666" t="s">
        <v>90</v>
      </c>
    </row>
    <row r="667" spans="10:11" hidden="1" x14ac:dyDescent="0.25">
      <c r="J667" t="s">
        <v>5</v>
      </c>
      <c r="K667" t="s">
        <v>19</v>
      </c>
    </row>
    <row r="668" spans="10:11" hidden="1" x14ac:dyDescent="0.25">
      <c r="J668" t="s">
        <v>45</v>
      </c>
      <c r="K668" t="s">
        <v>119</v>
      </c>
    </row>
    <row r="669" spans="10:11" hidden="1" x14ac:dyDescent="0.25">
      <c r="J669" t="s">
        <v>27</v>
      </c>
      <c r="K669" t="s">
        <v>248</v>
      </c>
    </row>
    <row r="670" spans="10:11" hidden="1" x14ac:dyDescent="0.25">
      <c r="J670" t="s">
        <v>16</v>
      </c>
      <c r="K670" t="s">
        <v>91</v>
      </c>
    </row>
    <row r="671" spans="10:11" hidden="1" x14ac:dyDescent="0.25">
      <c r="J671" t="s">
        <v>8</v>
      </c>
      <c r="K671" t="s">
        <v>214</v>
      </c>
    </row>
    <row r="672" spans="10:11" hidden="1" x14ac:dyDescent="0.25">
      <c r="J672" t="s">
        <v>25</v>
      </c>
      <c r="K672" t="s">
        <v>298</v>
      </c>
    </row>
    <row r="673" spans="10:11" hidden="1" x14ac:dyDescent="0.25">
      <c r="J673" t="s">
        <v>18</v>
      </c>
      <c r="K673" t="s">
        <v>152</v>
      </c>
    </row>
    <row r="674" spans="10:11" hidden="1" x14ac:dyDescent="0.25">
      <c r="J674" t="s">
        <v>25</v>
      </c>
      <c r="K674" t="s">
        <v>188</v>
      </c>
    </row>
    <row r="675" spans="10:11" hidden="1" x14ac:dyDescent="0.25">
      <c r="J675" t="s">
        <v>16</v>
      </c>
      <c r="K675" t="s">
        <v>64</v>
      </c>
    </row>
    <row r="676" spans="10:11" hidden="1" x14ac:dyDescent="0.25">
      <c r="J676" t="s">
        <v>10</v>
      </c>
      <c r="K676" t="s">
        <v>37</v>
      </c>
    </row>
    <row r="677" spans="10:11" hidden="1" x14ac:dyDescent="0.25">
      <c r="J677" t="s">
        <v>45</v>
      </c>
      <c r="K677" t="s">
        <v>28</v>
      </c>
    </row>
    <row r="678" spans="10:11" hidden="1" x14ac:dyDescent="0.25">
      <c r="J678" t="s">
        <v>27</v>
      </c>
      <c r="K678" t="s">
        <v>344</v>
      </c>
    </row>
    <row r="679" spans="10:11" hidden="1" x14ac:dyDescent="0.25">
      <c r="J679" t="s">
        <v>16</v>
      </c>
      <c r="K679" t="s">
        <v>96</v>
      </c>
    </row>
    <row r="680" spans="10:11" hidden="1" x14ac:dyDescent="0.25">
      <c r="J680" t="s">
        <v>30</v>
      </c>
      <c r="K680" t="s">
        <v>84</v>
      </c>
    </row>
    <row r="681" spans="10:11" hidden="1" x14ac:dyDescent="0.25">
      <c r="J681" t="s">
        <v>8</v>
      </c>
      <c r="K681" t="s">
        <v>82</v>
      </c>
    </row>
    <row r="682" spans="10:11" hidden="1" x14ac:dyDescent="0.25">
      <c r="J682" t="s">
        <v>13</v>
      </c>
      <c r="K682" t="s">
        <v>205</v>
      </c>
    </row>
    <row r="683" spans="10:11" hidden="1" x14ac:dyDescent="0.25">
      <c r="J683" t="s">
        <v>27</v>
      </c>
      <c r="K683" t="s">
        <v>53</v>
      </c>
    </row>
    <row r="684" spans="10:11" hidden="1" x14ac:dyDescent="0.25">
      <c r="J684" t="s">
        <v>27</v>
      </c>
      <c r="K684" t="s">
        <v>325</v>
      </c>
    </row>
    <row r="685" spans="10:11" hidden="1" x14ac:dyDescent="0.25">
      <c r="J685" t="s">
        <v>10</v>
      </c>
      <c r="K685" t="s">
        <v>395</v>
      </c>
    </row>
    <row r="686" spans="10:11" hidden="1" x14ac:dyDescent="0.25">
      <c r="J686" t="s">
        <v>8</v>
      </c>
      <c r="K686" t="s">
        <v>249</v>
      </c>
    </row>
    <row r="687" spans="10:11" hidden="1" x14ac:dyDescent="0.25">
      <c r="J687" t="s">
        <v>30</v>
      </c>
      <c r="K687" t="s">
        <v>142</v>
      </c>
    </row>
    <row r="688" spans="10:11" hidden="1" x14ac:dyDescent="0.25">
      <c r="J688" t="s">
        <v>13</v>
      </c>
      <c r="K688" t="s">
        <v>19</v>
      </c>
    </row>
    <row r="689" spans="10:11" hidden="1" x14ac:dyDescent="0.25">
      <c r="J689" t="s">
        <v>13</v>
      </c>
      <c r="K689" t="s">
        <v>214</v>
      </c>
    </row>
    <row r="690" spans="10:11" hidden="1" x14ac:dyDescent="0.25">
      <c r="J690" t="s">
        <v>16</v>
      </c>
      <c r="K690" t="s">
        <v>151</v>
      </c>
    </row>
    <row r="691" spans="10:11" hidden="1" x14ac:dyDescent="0.25">
      <c r="J691" t="s">
        <v>25</v>
      </c>
      <c r="K691" t="s">
        <v>307</v>
      </c>
    </row>
    <row r="692" spans="10:11" hidden="1" x14ac:dyDescent="0.25">
      <c r="J692" t="s">
        <v>25</v>
      </c>
      <c r="K692" t="s">
        <v>332</v>
      </c>
    </row>
    <row r="693" spans="10:11" hidden="1" x14ac:dyDescent="0.25">
      <c r="J693" t="s">
        <v>5</v>
      </c>
      <c r="K693" t="s">
        <v>49</v>
      </c>
    </row>
    <row r="694" spans="10:11" hidden="1" x14ac:dyDescent="0.25">
      <c r="J694" t="s">
        <v>16</v>
      </c>
      <c r="K694" t="s">
        <v>106</v>
      </c>
    </row>
    <row r="695" spans="10:11" hidden="1" x14ac:dyDescent="0.25">
      <c r="J695" t="s">
        <v>13</v>
      </c>
      <c r="K695" t="s">
        <v>82</v>
      </c>
    </row>
    <row r="696" spans="10:11" hidden="1" x14ac:dyDescent="0.25">
      <c r="J696" t="s">
        <v>45</v>
      </c>
      <c r="K696" t="s">
        <v>105</v>
      </c>
    </row>
    <row r="697" spans="10:11" hidden="1" x14ac:dyDescent="0.25">
      <c r="J697" t="s">
        <v>30</v>
      </c>
      <c r="K697" t="s">
        <v>243</v>
      </c>
    </row>
    <row r="698" spans="10:11" hidden="1" x14ac:dyDescent="0.25">
      <c r="J698" t="s">
        <v>30</v>
      </c>
      <c r="K698" t="s">
        <v>50</v>
      </c>
    </row>
    <row r="699" spans="10:11" hidden="1" x14ac:dyDescent="0.25">
      <c r="J699" t="s">
        <v>5</v>
      </c>
      <c r="K699" t="s">
        <v>81</v>
      </c>
    </row>
    <row r="700" spans="10:11" hidden="1" x14ac:dyDescent="0.25">
      <c r="J700" t="s">
        <v>13</v>
      </c>
      <c r="K700" t="s">
        <v>33</v>
      </c>
    </row>
    <row r="701" spans="10:11" hidden="1" x14ac:dyDescent="0.25">
      <c r="J701" t="s">
        <v>38</v>
      </c>
      <c r="K701" t="s">
        <v>114</v>
      </c>
    </row>
    <row r="702" spans="10:11" hidden="1" x14ac:dyDescent="0.25">
      <c r="J702" t="s">
        <v>30</v>
      </c>
      <c r="K702" t="s">
        <v>141</v>
      </c>
    </row>
    <row r="703" spans="10:11" hidden="1" x14ac:dyDescent="0.25">
      <c r="J703" t="s">
        <v>5</v>
      </c>
      <c r="K703" t="s">
        <v>148</v>
      </c>
    </row>
    <row r="704" spans="10:11" hidden="1" x14ac:dyDescent="0.25">
      <c r="J704" t="s">
        <v>30</v>
      </c>
      <c r="K704" t="s">
        <v>22</v>
      </c>
    </row>
    <row r="705" spans="10:11" hidden="1" x14ac:dyDescent="0.25">
      <c r="J705" t="s">
        <v>45</v>
      </c>
      <c r="K705" t="s">
        <v>6</v>
      </c>
    </row>
    <row r="706" spans="10:11" hidden="1" x14ac:dyDescent="0.25">
      <c r="J706" t="s">
        <v>10</v>
      </c>
      <c r="K706" t="s">
        <v>167</v>
      </c>
    </row>
    <row r="707" spans="10:11" hidden="1" x14ac:dyDescent="0.25">
      <c r="J707" t="s">
        <v>47</v>
      </c>
      <c r="K707" t="s">
        <v>113</v>
      </c>
    </row>
    <row r="708" spans="10:11" hidden="1" x14ac:dyDescent="0.25">
      <c r="J708" t="s">
        <v>18</v>
      </c>
      <c r="K708" t="s">
        <v>264</v>
      </c>
    </row>
    <row r="709" spans="10:11" hidden="1" x14ac:dyDescent="0.25">
      <c r="J709" t="s">
        <v>45</v>
      </c>
      <c r="K709" t="s">
        <v>146</v>
      </c>
    </row>
    <row r="710" spans="10:11" hidden="1" x14ac:dyDescent="0.25">
      <c r="J710" t="s">
        <v>5</v>
      </c>
      <c r="K710" t="s">
        <v>50</v>
      </c>
    </row>
    <row r="711" spans="10:11" hidden="1" x14ac:dyDescent="0.25">
      <c r="J711" t="s">
        <v>8</v>
      </c>
      <c r="K711" t="s">
        <v>33</v>
      </c>
    </row>
    <row r="712" spans="10:11" hidden="1" x14ac:dyDescent="0.25">
      <c r="J712" t="s">
        <v>5</v>
      </c>
      <c r="K712" t="s">
        <v>180</v>
      </c>
    </row>
    <row r="713" spans="10:11" hidden="1" x14ac:dyDescent="0.25">
      <c r="J713" t="s">
        <v>27</v>
      </c>
      <c r="K713" t="s">
        <v>363</v>
      </c>
    </row>
    <row r="714" spans="10:11" hidden="1" x14ac:dyDescent="0.25">
      <c r="J714" t="s">
        <v>18</v>
      </c>
      <c r="K714" t="s">
        <v>124</v>
      </c>
    </row>
    <row r="715" spans="10:11" hidden="1" x14ac:dyDescent="0.25">
      <c r="J715" t="s">
        <v>8</v>
      </c>
      <c r="K715" t="s">
        <v>92</v>
      </c>
    </row>
    <row r="716" spans="10:11" hidden="1" x14ac:dyDescent="0.25">
      <c r="J716" t="s">
        <v>30</v>
      </c>
      <c r="K716" t="s">
        <v>69</v>
      </c>
    </row>
    <row r="717" spans="10:11" hidden="1" x14ac:dyDescent="0.25">
      <c r="J717" t="s">
        <v>27</v>
      </c>
      <c r="K717" t="s">
        <v>41</v>
      </c>
    </row>
    <row r="718" spans="10:11" hidden="1" x14ac:dyDescent="0.25">
      <c r="J718" t="s">
        <v>16</v>
      </c>
      <c r="K718" t="s">
        <v>73</v>
      </c>
    </row>
    <row r="719" spans="10:11" hidden="1" x14ac:dyDescent="0.25">
      <c r="J719" t="s">
        <v>38</v>
      </c>
      <c r="K719" t="s">
        <v>130</v>
      </c>
    </row>
    <row r="720" spans="10:11" hidden="1" x14ac:dyDescent="0.25">
      <c r="J720" t="s">
        <v>25</v>
      </c>
      <c r="K720" t="s">
        <v>249</v>
      </c>
    </row>
    <row r="721" spans="10:11" hidden="1" x14ac:dyDescent="0.25">
      <c r="J721" t="s">
        <v>45</v>
      </c>
      <c r="K721" t="s">
        <v>21</v>
      </c>
    </row>
    <row r="722" spans="10:11" hidden="1" x14ac:dyDescent="0.25">
      <c r="J722" t="s">
        <v>47</v>
      </c>
      <c r="K722" t="s">
        <v>393</v>
      </c>
    </row>
    <row r="723" spans="10:11" hidden="1" x14ac:dyDescent="0.25">
      <c r="J723" t="s">
        <v>5</v>
      </c>
      <c r="K723" t="s">
        <v>205</v>
      </c>
    </row>
    <row r="724" spans="10:11" hidden="1" x14ac:dyDescent="0.25">
      <c r="J724" t="s">
        <v>27</v>
      </c>
      <c r="K724" t="s">
        <v>91</v>
      </c>
    </row>
    <row r="725" spans="10:11" hidden="1" x14ac:dyDescent="0.25">
      <c r="J725" t="s">
        <v>25</v>
      </c>
      <c r="K725" t="s">
        <v>59</v>
      </c>
    </row>
    <row r="726" spans="10:11" hidden="1" x14ac:dyDescent="0.25">
      <c r="J726" t="s">
        <v>5</v>
      </c>
      <c r="K726" t="s">
        <v>66</v>
      </c>
    </row>
    <row r="727" spans="10:11" hidden="1" x14ac:dyDescent="0.25">
      <c r="J727" t="s">
        <v>25</v>
      </c>
      <c r="K727" t="s">
        <v>233</v>
      </c>
    </row>
    <row r="728" spans="10:11" hidden="1" x14ac:dyDescent="0.25">
      <c r="J728" t="s">
        <v>16</v>
      </c>
      <c r="K728" t="s">
        <v>80</v>
      </c>
    </row>
    <row r="729" spans="10:11" hidden="1" x14ac:dyDescent="0.25">
      <c r="J729" t="s">
        <v>5</v>
      </c>
      <c r="K729" t="s">
        <v>224</v>
      </c>
    </row>
    <row r="730" spans="10:11" hidden="1" x14ac:dyDescent="0.25">
      <c r="J730" t="s">
        <v>16</v>
      </c>
      <c r="K730" t="s">
        <v>194</v>
      </c>
    </row>
    <row r="731" spans="10:11" hidden="1" x14ac:dyDescent="0.25">
      <c r="J731" t="s">
        <v>18</v>
      </c>
      <c r="K731" t="s">
        <v>256</v>
      </c>
    </row>
    <row r="732" spans="10:11" hidden="1" x14ac:dyDescent="0.25">
      <c r="J732" t="s">
        <v>18</v>
      </c>
      <c r="K732" t="s">
        <v>88</v>
      </c>
    </row>
    <row r="733" spans="10:11" hidden="1" x14ac:dyDescent="0.25">
      <c r="J733" t="s">
        <v>45</v>
      </c>
      <c r="K733" t="s">
        <v>249</v>
      </c>
    </row>
    <row r="734" spans="10:11" hidden="1" x14ac:dyDescent="0.25">
      <c r="J734" t="s">
        <v>13</v>
      </c>
      <c r="K734" t="s">
        <v>194</v>
      </c>
    </row>
    <row r="735" spans="10:11" hidden="1" x14ac:dyDescent="0.25">
      <c r="J735" t="s">
        <v>8</v>
      </c>
      <c r="K735" t="s">
        <v>94</v>
      </c>
    </row>
    <row r="736" spans="10:11" hidden="1" x14ac:dyDescent="0.25">
      <c r="J736" t="s">
        <v>16</v>
      </c>
      <c r="K736" t="s">
        <v>299</v>
      </c>
    </row>
    <row r="737" spans="10:11" hidden="1" x14ac:dyDescent="0.25">
      <c r="J737" t="s">
        <v>25</v>
      </c>
      <c r="K737" t="s">
        <v>111</v>
      </c>
    </row>
    <row r="738" spans="10:11" hidden="1" x14ac:dyDescent="0.25">
      <c r="J738" t="s">
        <v>13</v>
      </c>
      <c r="K738" t="s">
        <v>73</v>
      </c>
    </row>
    <row r="739" spans="10:11" hidden="1" x14ac:dyDescent="0.25">
      <c r="J739" t="s">
        <v>18</v>
      </c>
      <c r="K739" t="s">
        <v>134</v>
      </c>
    </row>
    <row r="740" spans="10:11" hidden="1" x14ac:dyDescent="0.25">
      <c r="J740" t="s">
        <v>27</v>
      </c>
      <c r="K740" t="s">
        <v>69</v>
      </c>
    </row>
    <row r="741" spans="10:11" hidden="1" x14ac:dyDescent="0.25">
      <c r="J741" t="s">
        <v>47</v>
      </c>
      <c r="K741" t="s">
        <v>186</v>
      </c>
    </row>
    <row r="742" spans="10:11" hidden="1" x14ac:dyDescent="0.25">
      <c r="J742" t="s">
        <v>30</v>
      </c>
      <c r="K742" t="s">
        <v>239</v>
      </c>
    </row>
    <row r="743" spans="10:11" hidden="1" x14ac:dyDescent="0.25">
      <c r="J743" t="s">
        <v>30</v>
      </c>
      <c r="K743" t="s">
        <v>113</v>
      </c>
    </row>
    <row r="744" spans="10:11" hidden="1" x14ac:dyDescent="0.25">
      <c r="J744" t="s">
        <v>27</v>
      </c>
      <c r="K744" t="s">
        <v>169</v>
      </c>
    </row>
    <row r="745" spans="10:11" hidden="1" x14ac:dyDescent="0.25">
      <c r="J745" t="s">
        <v>25</v>
      </c>
      <c r="K745" t="s">
        <v>136</v>
      </c>
    </row>
    <row r="746" spans="10:11" hidden="1" x14ac:dyDescent="0.25">
      <c r="J746" t="s">
        <v>45</v>
      </c>
      <c r="K746" t="s">
        <v>363</v>
      </c>
    </row>
    <row r="747" spans="10:11" hidden="1" x14ac:dyDescent="0.25">
      <c r="J747" t="s">
        <v>47</v>
      </c>
      <c r="K747" t="s">
        <v>59</v>
      </c>
    </row>
    <row r="748" spans="10:11" hidden="1" x14ac:dyDescent="0.25">
      <c r="J748" t="s">
        <v>18</v>
      </c>
      <c r="K748" t="s">
        <v>363</v>
      </c>
    </row>
    <row r="749" spans="10:11" hidden="1" x14ac:dyDescent="0.25">
      <c r="J749" t="s">
        <v>10</v>
      </c>
      <c r="K749" t="s">
        <v>133</v>
      </c>
    </row>
    <row r="750" spans="10:11" hidden="1" x14ac:dyDescent="0.25">
      <c r="J750" t="s">
        <v>45</v>
      </c>
      <c r="K750" t="s">
        <v>121</v>
      </c>
    </row>
    <row r="751" spans="10:11" hidden="1" x14ac:dyDescent="0.25">
      <c r="J751" t="s">
        <v>18</v>
      </c>
      <c r="K751" t="s">
        <v>198</v>
      </c>
    </row>
    <row r="752" spans="10:11" hidden="1" x14ac:dyDescent="0.25">
      <c r="J752" t="s">
        <v>38</v>
      </c>
      <c r="K752" t="s">
        <v>186</v>
      </c>
    </row>
    <row r="753" spans="10:11" hidden="1" x14ac:dyDescent="0.25">
      <c r="J753" t="s">
        <v>38</v>
      </c>
      <c r="K753" t="s">
        <v>132</v>
      </c>
    </row>
    <row r="754" spans="10:11" hidden="1" x14ac:dyDescent="0.25">
      <c r="J754" t="s">
        <v>25</v>
      </c>
      <c r="K754" t="s">
        <v>58</v>
      </c>
    </row>
    <row r="755" spans="10:11" hidden="1" x14ac:dyDescent="0.25">
      <c r="J755" t="s">
        <v>27</v>
      </c>
      <c r="K755" t="s">
        <v>170</v>
      </c>
    </row>
    <row r="756" spans="10:11" hidden="1" x14ac:dyDescent="0.25">
      <c r="J756" t="s">
        <v>45</v>
      </c>
      <c r="K756" t="s">
        <v>68</v>
      </c>
    </row>
    <row r="757" spans="10:11" hidden="1" x14ac:dyDescent="0.25">
      <c r="J757" t="s">
        <v>47</v>
      </c>
      <c r="K757" t="s">
        <v>58</v>
      </c>
    </row>
    <row r="758" spans="10:11" hidden="1" x14ac:dyDescent="0.25">
      <c r="J758" t="s">
        <v>27</v>
      </c>
      <c r="K758" t="s">
        <v>78</v>
      </c>
    </row>
    <row r="759" spans="10:11" hidden="1" x14ac:dyDescent="0.25">
      <c r="J759" t="s">
        <v>16</v>
      </c>
      <c r="K759" t="s">
        <v>90</v>
      </c>
    </row>
    <row r="760" spans="10:11" hidden="1" x14ac:dyDescent="0.25">
      <c r="J760" t="s">
        <v>13</v>
      </c>
      <c r="K760" t="s">
        <v>20</v>
      </c>
    </row>
    <row r="761" spans="10:11" hidden="1" x14ac:dyDescent="0.25">
      <c r="J761" t="s">
        <v>10</v>
      </c>
      <c r="K761" t="s">
        <v>77</v>
      </c>
    </row>
    <row r="762" spans="10:11" hidden="1" x14ac:dyDescent="0.25">
      <c r="J762" t="s">
        <v>38</v>
      </c>
      <c r="K762" t="s">
        <v>148</v>
      </c>
    </row>
    <row r="763" spans="10:11" hidden="1" x14ac:dyDescent="0.25">
      <c r="J763" t="s">
        <v>47</v>
      </c>
      <c r="K763" t="s">
        <v>215</v>
      </c>
    </row>
    <row r="764" spans="10:11" hidden="1" x14ac:dyDescent="0.25">
      <c r="J764" t="s">
        <v>47</v>
      </c>
      <c r="K764" t="s">
        <v>77</v>
      </c>
    </row>
    <row r="765" spans="10:11" hidden="1" x14ac:dyDescent="0.25">
      <c r="J765" t="s">
        <v>27</v>
      </c>
      <c r="K765" t="s">
        <v>136</v>
      </c>
    </row>
    <row r="766" spans="10:11" hidden="1" x14ac:dyDescent="0.25">
      <c r="J766" t="s">
        <v>45</v>
      </c>
      <c r="K766" t="s">
        <v>243</v>
      </c>
    </row>
    <row r="767" spans="10:11" hidden="1" x14ac:dyDescent="0.25">
      <c r="J767" t="s">
        <v>27</v>
      </c>
      <c r="K767" t="s">
        <v>252</v>
      </c>
    </row>
    <row r="768" spans="10:11" hidden="1" x14ac:dyDescent="0.25">
      <c r="J768" t="s">
        <v>27</v>
      </c>
      <c r="K768" t="s">
        <v>93</v>
      </c>
    </row>
    <row r="769" spans="10:11" hidden="1" x14ac:dyDescent="0.25">
      <c r="J769" t="s">
        <v>10</v>
      </c>
      <c r="K769" t="s">
        <v>19</v>
      </c>
    </row>
    <row r="770" spans="10:11" hidden="1" x14ac:dyDescent="0.25">
      <c r="J770" t="s">
        <v>5</v>
      </c>
      <c r="K770" t="s">
        <v>128</v>
      </c>
    </row>
    <row r="771" spans="10:11" hidden="1" x14ac:dyDescent="0.25">
      <c r="J771" t="s">
        <v>45</v>
      </c>
      <c r="K771" t="s">
        <v>162</v>
      </c>
    </row>
    <row r="772" spans="10:11" hidden="1" x14ac:dyDescent="0.25">
      <c r="J772" t="s">
        <v>5</v>
      </c>
      <c r="K772" t="s">
        <v>187</v>
      </c>
    </row>
    <row r="773" spans="10:11" hidden="1" x14ac:dyDescent="0.25">
      <c r="J773" t="s">
        <v>5</v>
      </c>
      <c r="K773" t="s">
        <v>444</v>
      </c>
    </row>
    <row r="774" spans="10:11" hidden="1" x14ac:dyDescent="0.25">
      <c r="J774" t="s">
        <v>27</v>
      </c>
      <c r="K774" t="s">
        <v>66</v>
      </c>
    </row>
    <row r="775" spans="10:11" hidden="1" x14ac:dyDescent="0.25">
      <c r="J775" t="s">
        <v>45</v>
      </c>
      <c r="K775" t="s">
        <v>19</v>
      </c>
    </row>
    <row r="776" spans="10:11" hidden="1" x14ac:dyDescent="0.25">
      <c r="J776" t="s">
        <v>27</v>
      </c>
      <c r="K776" t="s">
        <v>11</v>
      </c>
    </row>
    <row r="777" spans="10:11" hidden="1" x14ac:dyDescent="0.25">
      <c r="J777" t="s">
        <v>16</v>
      </c>
      <c r="K777" t="s">
        <v>92</v>
      </c>
    </row>
    <row r="778" spans="10:11" hidden="1" x14ac:dyDescent="0.25">
      <c r="J778" t="s">
        <v>16</v>
      </c>
      <c r="K778" t="s">
        <v>279</v>
      </c>
    </row>
    <row r="779" spans="10:11" hidden="1" x14ac:dyDescent="0.25">
      <c r="J779" t="s">
        <v>18</v>
      </c>
      <c r="K779" t="s">
        <v>229</v>
      </c>
    </row>
    <row r="780" spans="10:11" hidden="1" x14ac:dyDescent="0.25">
      <c r="J780" t="s">
        <v>38</v>
      </c>
      <c r="K780" t="s">
        <v>296</v>
      </c>
    </row>
    <row r="781" spans="10:11" hidden="1" x14ac:dyDescent="0.25">
      <c r="J781" t="s">
        <v>27</v>
      </c>
      <c r="K781" t="s">
        <v>81</v>
      </c>
    </row>
    <row r="782" spans="10:11" hidden="1" x14ac:dyDescent="0.25">
      <c r="J782" t="s">
        <v>45</v>
      </c>
      <c r="K782" t="s">
        <v>300</v>
      </c>
    </row>
    <row r="783" spans="10:11" hidden="1" x14ac:dyDescent="0.25">
      <c r="J783" t="s">
        <v>38</v>
      </c>
      <c r="K783" t="s">
        <v>94</v>
      </c>
    </row>
    <row r="784" spans="10:11" hidden="1" x14ac:dyDescent="0.25">
      <c r="J784" t="s">
        <v>16</v>
      </c>
      <c r="K784" t="s">
        <v>101</v>
      </c>
    </row>
    <row r="785" spans="10:11" hidden="1" x14ac:dyDescent="0.25">
      <c r="J785" t="s">
        <v>47</v>
      </c>
      <c r="K785" t="s">
        <v>182</v>
      </c>
    </row>
    <row r="786" spans="10:11" hidden="1" x14ac:dyDescent="0.25">
      <c r="J786" t="s">
        <v>25</v>
      </c>
      <c r="K786" t="s">
        <v>385</v>
      </c>
    </row>
    <row r="787" spans="10:11" hidden="1" x14ac:dyDescent="0.25">
      <c r="J787" t="s">
        <v>18</v>
      </c>
      <c r="K787" t="s">
        <v>195</v>
      </c>
    </row>
    <row r="788" spans="10:11" hidden="1" x14ac:dyDescent="0.25">
      <c r="J788" t="s">
        <v>30</v>
      </c>
      <c r="K788" t="s">
        <v>39</v>
      </c>
    </row>
    <row r="789" spans="10:11" hidden="1" x14ac:dyDescent="0.25">
      <c r="J789" t="s">
        <v>5</v>
      </c>
      <c r="K789" t="s">
        <v>82</v>
      </c>
    </row>
    <row r="790" spans="10:11" hidden="1" x14ac:dyDescent="0.25">
      <c r="J790" t="s">
        <v>16</v>
      </c>
      <c r="K790" t="s">
        <v>114</v>
      </c>
    </row>
    <row r="791" spans="10:11" hidden="1" x14ac:dyDescent="0.25">
      <c r="J791" t="s">
        <v>27</v>
      </c>
      <c r="K791" t="s">
        <v>14</v>
      </c>
    </row>
    <row r="792" spans="10:11" hidden="1" x14ac:dyDescent="0.25">
      <c r="J792" t="s">
        <v>5</v>
      </c>
      <c r="K792" t="s">
        <v>142</v>
      </c>
    </row>
    <row r="793" spans="10:11" hidden="1" x14ac:dyDescent="0.25">
      <c r="J793" t="s">
        <v>18</v>
      </c>
      <c r="K793" t="s">
        <v>9</v>
      </c>
    </row>
    <row r="794" spans="10:11" hidden="1" x14ac:dyDescent="0.25">
      <c r="J794" t="s">
        <v>30</v>
      </c>
      <c r="K794" t="s">
        <v>130</v>
      </c>
    </row>
    <row r="795" spans="10:11" hidden="1" x14ac:dyDescent="0.25">
      <c r="J795" t="s">
        <v>45</v>
      </c>
      <c r="K795" t="s">
        <v>69</v>
      </c>
    </row>
    <row r="796" spans="10:11" hidden="1" x14ac:dyDescent="0.25">
      <c r="J796" t="s">
        <v>25</v>
      </c>
      <c r="K796" t="s">
        <v>98</v>
      </c>
    </row>
    <row r="797" spans="10:11" hidden="1" x14ac:dyDescent="0.25">
      <c r="J797" t="s">
        <v>16</v>
      </c>
      <c r="K797" t="s">
        <v>33</v>
      </c>
    </row>
    <row r="798" spans="10:11" hidden="1" x14ac:dyDescent="0.25">
      <c r="J798" t="s">
        <v>30</v>
      </c>
      <c r="K798" t="s">
        <v>196</v>
      </c>
    </row>
    <row r="799" spans="10:11" hidden="1" x14ac:dyDescent="0.25">
      <c r="J799" t="s">
        <v>25</v>
      </c>
      <c r="K799" t="s">
        <v>11</v>
      </c>
    </row>
    <row r="800" spans="10:11" hidden="1" x14ac:dyDescent="0.25">
      <c r="J800" t="s">
        <v>45</v>
      </c>
      <c r="K800" t="s">
        <v>295</v>
      </c>
    </row>
    <row r="801" spans="10:11" hidden="1" x14ac:dyDescent="0.25">
      <c r="J801" t="s">
        <v>27</v>
      </c>
      <c r="K801" t="s">
        <v>146</v>
      </c>
    </row>
    <row r="802" spans="10:11" hidden="1" x14ac:dyDescent="0.25">
      <c r="J802" t="s">
        <v>8</v>
      </c>
      <c r="K802" t="s">
        <v>195</v>
      </c>
    </row>
    <row r="803" spans="10:11" hidden="1" x14ac:dyDescent="0.25">
      <c r="J803" t="s">
        <v>45</v>
      </c>
      <c r="K803" t="s">
        <v>176</v>
      </c>
    </row>
    <row r="804" spans="10:11" hidden="1" x14ac:dyDescent="0.25">
      <c r="J804" t="s">
        <v>45</v>
      </c>
      <c r="K804" t="s">
        <v>256</v>
      </c>
    </row>
    <row r="805" spans="10:11" hidden="1" x14ac:dyDescent="0.25">
      <c r="J805" t="s">
        <v>27</v>
      </c>
      <c r="K805" t="s">
        <v>186</v>
      </c>
    </row>
    <row r="806" spans="10:11" hidden="1" x14ac:dyDescent="0.25">
      <c r="J806" t="s">
        <v>38</v>
      </c>
      <c r="K806" t="s">
        <v>139</v>
      </c>
    </row>
    <row r="807" spans="10:11" hidden="1" x14ac:dyDescent="0.25">
      <c r="J807" t="s">
        <v>27</v>
      </c>
      <c r="K807" t="s">
        <v>217</v>
      </c>
    </row>
    <row r="808" spans="10:11" hidden="1" x14ac:dyDescent="0.25"/>
    <row r="809" spans="10:11" hidden="1" x14ac:dyDescent="0.25"/>
    <row r="810" spans="10:11" hidden="1" x14ac:dyDescent="0.25"/>
    <row r="811" spans="10:11" hidden="1" x14ac:dyDescent="0.25"/>
    <row r="812" spans="10:11" hidden="1" x14ac:dyDescent="0.25"/>
    <row r="813" spans="10:11" hidden="1" x14ac:dyDescent="0.25"/>
    <row r="814" spans="10:11" hidden="1" x14ac:dyDescent="0.25"/>
    <row r="815" spans="10:11" hidden="1" x14ac:dyDescent="0.25"/>
    <row r="816" spans="10:11" hidden="1" x14ac:dyDescent="0.25"/>
    <row r="817" hidden="1" x14ac:dyDescent="0.25"/>
    <row r="818" hidden="1" x14ac:dyDescent="0.25"/>
    <row r="819" hidden="1" x14ac:dyDescent="0.25"/>
    <row r="820" hidden="1" x14ac:dyDescent="0.25"/>
    <row r="821" hidden="1" x14ac:dyDescent="0.25"/>
    <row r="822" hidden="1" x14ac:dyDescent="0.25"/>
    <row r="823" hidden="1" x14ac:dyDescent="0.25"/>
    <row r="824" hidden="1" x14ac:dyDescent="0.25"/>
    <row r="825" hidden="1" x14ac:dyDescent="0.25"/>
    <row r="826" hidden="1" x14ac:dyDescent="0.25"/>
    <row r="827" hidden="1" x14ac:dyDescent="0.25"/>
    <row r="828" hidden="1" x14ac:dyDescent="0.25"/>
    <row r="829" hidden="1" x14ac:dyDescent="0.25"/>
    <row r="830" hidden="1" x14ac:dyDescent="0.25"/>
    <row r="831" hidden="1" x14ac:dyDescent="0.25"/>
    <row r="832" hidden="1" x14ac:dyDescent="0.25"/>
    <row r="833" hidden="1" x14ac:dyDescent="0.25"/>
    <row r="834" hidden="1" x14ac:dyDescent="0.25"/>
    <row r="835" hidden="1" x14ac:dyDescent="0.25"/>
    <row r="836" hidden="1" x14ac:dyDescent="0.25"/>
    <row r="837" hidden="1" x14ac:dyDescent="0.25"/>
    <row r="838" hidden="1" x14ac:dyDescent="0.25"/>
    <row r="839" hidden="1" x14ac:dyDescent="0.25"/>
    <row r="840" hidden="1" x14ac:dyDescent="0.25"/>
    <row r="841" hidden="1" x14ac:dyDescent="0.25"/>
    <row r="842" hidden="1" x14ac:dyDescent="0.25"/>
    <row r="843" hidden="1" x14ac:dyDescent="0.25"/>
    <row r="844" hidden="1" x14ac:dyDescent="0.25"/>
    <row r="845" hidden="1" x14ac:dyDescent="0.25"/>
    <row r="846" hidden="1" x14ac:dyDescent="0.25"/>
    <row r="847" hidden="1" x14ac:dyDescent="0.25"/>
    <row r="848" hidden="1" x14ac:dyDescent="0.25"/>
    <row r="849" hidden="1" x14ac:dyDescent="0.25"/>
    <row r="850" hidden="1" x14ac:dyDescent="0.25"/>
    <row r="851" hidden="1" x14ac:dyDescent="0.25"/>
    <row r="852" hidden="1" x14ac:dyDescent="0.25"/>
    <row r="853" hidden="1" x14ac:dyDescent="0.25"/>
    <row r="854" hidden="1" x14ac:dyDescent="0.25"/>
    <row r="855" hidden="1" x14ac:dyDescent="0.25"/>
    <row r="856" hidden="1" x14ac:dyDescent="0.25"/>
    <row r="857" hidden="1" x14ac:dyDescent="0.25"/>
    <row r="858" hidden="1" x14ac:dyDescent="0.25"/>
    <row r="859" hidden="1" x14ac:dyDescent="0.25"/>
    <row r="860" hidden="1" x14ac:dyDescent="0.25"/>
    <row r="861" hidden="1" x14ac:dyDescent="0.25"/>
    <row r="862" hidden="1" x14ac:dyDescent="0.25"/>
    <row r="863" hidden="1" x14ac:dyDescent="0.25"/>
    <row r="864" hidden="1" x14ac:dyDescent="0.25"/>
    <row r="865" hidden="1" x14ac:dyDescent="0.25"/>
    <row r="866" hidden="1" x14ac:dyDescent="0.25"/>
    <row r="867" hidden="1" x14ac:dyDescent="0.25"/>
    <row r="868" hidden="1" x14ac:dyDescent="0.25"/>
    <row r="869" hidden="1" x14ac:dyDescent="0.25"/>
    <row r="870" hidden="1" x14ac:dyDescent="0.25"/>
    <row r="871" hidden="1" x14ac:dyDescent="0.25"/>
    <row r="872" hidden="1" x14ac:dyDescent="0.25"/>
    <row r="873" hidden="1" x14ac:dyDescent="0.25"/>
    <row r="874" hidden="1" x14ac:dyDescent="0.25"/>
    <row r="875" hidden="1" x14ac:dyDescent="0.25"/>
    <row r="876" hidden="1" x14ac:dyDescent="0.25"/>
    <row r="877" hidden="1" x14ac:dyDescent="0.25"/>
    <row r="878" hidden="1" x14ac:dyDescent="0.25"/>
    <row r="879" hidden="1" x14ac:dyDescent="0.25"/>
    <row r="880" hidden="1" x14ac:dyDescent="0.25"/>
    <row r="881" hidden="1" x14ac:dyDescent="0.25"/>
    <row r="882" hidden="1" x14ac:dyDescent="0.25"/>
    <row r="883" hidden="1" x14ac:dyDescent="0.25"/>
    <row r="884" hidden="1" x14ac:dyDescent="0.25"/>
    <row r="885" hidden="1" x14ac:dyDescent="0.25"/>
    <row r="886" hidden="1" x14ac:dyDescent="0.25"/>
    <row r="887" hidden="1" x14ac:dyDescent="0.25"/>
    <row r="888" hidden="1" x14ac:dyDescent="0.25"/>
    <row r="889" hidden="1" x14ac:dyDescent="0.25"/>
    <row r="890" hidden="1" x14ac:dyDescent="0.25"/>
    <row r="891" hidden="1" x14ac:dyDescent="0.25"/>
    <row r="892" hidden="1" x14ac:dyDescent="0.25"/>
    <row r="893" hidden="1" x14ac:dyDescent="0.25"/>
    <row r="894" hidden="1" x14ac:dyDescent="0.25"/>
    <row r="895" hidden="1" x14ac:dyDescent="0.25"/>
    <row r="896" hidden="1" x14ac:dyDescent="0.25"/>
    <row r="897" hidden="1" x14ac:dyDescent="0.25"/>
    <row r="898" hidden="1" x14ac:dyDescent="0.25"/>
    <row r="899" hidden="1" x14ac:dyDescent="0.25"/>
    <row r="900" hidden="1" x14ac:dyDescent="0.25"/>
    <row r="901" hidden="1" x14ac:dyDescent="0.25"/>
    <row r="902" hidden="1" x14ac:dyDescent="0.25"/>
    <row r="903" hidden="1" x14ac:dyDescent="0.25"/>
    <row r="904" hidden="1" x14ac:dyDescent="0.25"/>
    <row r="905" hidden="1" x14ac:dyDescent="0.25"/>
    <row r="906" hidden="1" x14ac:dyDescent="0.25"/>
    <row r="907" hidden="1" x14ac:dyDescent="0.25"/>
    <row r="908" hidden="1" x14ac:dyDescent="0.25"/>
    <row r="909" hidden="1" x14ac:dyDescent="0.25"/>
    <row r="910" hidden="1" x14ac:dyDescent="0.25"/>
    <row r="911" hidden="1" x14ac:dyDescent="0.25"/>
    <row r="912" hidden="1" x14ac:dyDescent="0.25"/>
    <row r="913" hidden="1" x14ac:dyDescent="0.25"/>
    <row r="914" hidden="1" x14ac:dyDescent="0.25"/>
    <row r="915" hidden="1" x14ac:dyDescent="0.25"/>
    <row r="916" hidden="1" x14ac:dyDescent="0.25"/>
    <row r="917" hidden="1" x14ac:dyDescent="0.25"/>
    <row r="918" hidden="1" x14ac:dyDescent="0.25"/>
    <row r="919" hidden="1" x14ac:dyDescent="0.25"/>
    <row r="920" hidden="1" x14ac:dyDescent="0.25"/>
    <row r="921" hidden="1" x14ac:dyDescent="0.25"/>
    <row r="922" hidden="1" x14ac:dyDescent="0.25"/>
    <row r="923" hidden="1" x14ac:dyDescent="0.25"/>
    <row r="924" hidden="1" x14ac:dyDescent="0.25"/>
    <row r="925" hidden="1" x14ac:dyDescent="0.25"/>
    <row r="926" hidden="1" x14ac:dyDescent="0.25"/>
    <row r="927" hidden="1" x14ac:dyDescent="0.25"/>
    <row r="928" hidden="1" x14ac:dyDescent="0.25"/>
    <row r="929" hidden="1" x14ac:dyDescent="0.25"/>
    <row r="930" hidden="1" x14ac:dyDescent="0.25"/>
    <row r="931" hidden="1" x14ac:dyDescent="0.25"/>
    <row r="932" hidden="1" x14ac:dyDescent="0.25"/>
    <row r="933" hidden="1" x14ac:dyDescent="0.25"/>
    <row r="934" hidden="1" x14ac:dyDescent="0.25"/>
    <row r="935" hidden="1" x14ac:dyDescent="0.25"/>
    <row r="936" hidden="1" x14ac:dyDescent="0.25"/>
    <row r="937" hidden="1" x14ac:dyDescent="0.25"/>
    <row r="938" hidden="1" x14ac:dyDescent="0.25"/>
    <row r="939" hidden="1" x14ac:dyDescent="0.25"/>
    <row r="940" hidden="1" x14ac:dyDescent="0.25"/>
    <row r="941" hidden="1" x14ac:dyDescent="0.25"/>
    <row r="942" hidden="1" x14ac:dyDescent="0.25"/>
    <row r="943" hidden="1" x14ac:dyDescent="0.25"/>
    <row r="944" hidden="1" x14ac:dyDescent="0.25"/>
    <row r="945" hidden="1" x14ac:dyDescent="0.25"/>
    <row r="946" hidden="1" x14ac:dyDescent="0.25"/>
    <row r="947" hidden="1" x14ac:dyDescent="0.25"/>
    <row r="948" hidden="1" x14ac:dyDescent="0.25"/>
    <row r="949" hidden="1" x14ac:dyDescent="0.25"/>
    <row r="950" hidden="1" x14ac:dyDescent="0.25"/>
    <row r="951" hidden="1" x14ac:dyDescent="0.25"/>
    <row r="952" hidden="1" x14ac:dyDescent="0.25"/>
    <row r="953" hidden="1" x14ac:dyDescent="0.25"/>
    <row r="954" hidden="1" x14ac:dyDescent="0.25"/>
    <row r="955" hidden="1" x14ac:dyDescent="0.25"/>
    <row r="956" hidden="1" x14ac:dyDescent="0.25"/>
    <row r="957" hidden="1" x14ac:dyDescent="0.25"/>
    <row r="958" hidden="1" x14ac:dyDescent="0.25"/>
    <row r="959" hidden="1" x14ac:dyDescent="0.25"/>
    <row r="960" hidden="1" x14ac:dyDescent="0.25"/>
    <row r="961" hidden="1" x14ac:dyDescent="0.25"/>
    <row r="962" hidden="1" x14ac:dyDescent="0.25"/>
    <row r="963" hidden="1" x14ac:dyDescent="0.25"/>
    <row r="964" hidden="1" x14ac:dyDescent="0.25"/>
    <row r="965" hidden="1" x14ac:dyDescent="0.25"/>
    <row r="966" hidden="1" x14ac:dyDescent="0.25"/>
    <row r="967" hidden="1" x14ac:dyDescent="0.25"/>
    <row r="968" hidden="1" x14ac:dyDescent="0.25"/>
    <row r="969" hidden="1" x14ac:dyDescent="0.25"/>
    <row r="970" hidden="1" x14ac:dyDescent="0.25"/>
    <row r="971" hidden="1" x14ac:dyDescent="0.25"/>
    <row r="972" hidden="1" x14ac:dyDescent="0.25"/>
    <row r="973" hidden="1" x14ac:dyDescent="0.25"/>
    <row r="974" hidden="1" x14ac:dyDescent="0.25"/>
    <row r="975" hidden="1" x14ac:dyDescent="0.25"/>
    <row r="976" hidden="1" x14ac:dyDescent="0.25"/>
    <row r="977" hidden="1" x14ac:dyDescent="0.25"/>
    <row r="978" hidden="1" x14ac:dyDescent="0.25"/>
    <row r="979" hidden="1" x14ac:dyDescent="0.25"/>
    <row r="980" hidden="1" x14ac:dyDescent="0.25"/>
    <row r="981" hidden="1" x14ac:dyDescent="0.25"/>
    <row r="982" hidden="1" x14ac:dyDescent="0.25"/>
    <row r="983" hidden="1" x14ac:dyDescent="0.25"/>
    <row r="984" hidden="1" x14ac:dyDescent="0.25"/>
    <row r="985" hidden="1" x14ac:dyDescent="0.25"/>
    <row r="986" hidden="1" x14ac:dyDescent="0.25"/>
    <row r="987" hidden="1" x14ac:dyDescent="0.25"/>
    <row r="988" hidden="1" x14ac:dyDescent="0.25"/>
    <row r="989" hidden="1" x14ac:dyDescent="0.25"/>
    <row r="990" hidden="1" x14ac:dyDescent="0.25"/>
    <row r="991" hidden="1" x14ac:dyDescent="0.25"/>
    <row r="992" hidden="1" x14ac:dyDescent="0.25"/>
    <row r="993" hidden="1" x14ac:dyDescent="0.25"/>
    <row r="994" hidden="1" x14ac:dyDescent="0.25"/>
    <row r="995" hidden="1" x14ac:dyDescent="0.25"/>
    <row r="996" hidden="1" x14ac:dyDescent="0.25"/>
    <row r="997" hidden="1" x14ac:dyDescent="0.25"/>
    <row r="998" hidden="1" x14ac:dyDescent="0.25"/>
    <row r="999" hidden="1" x14ac:dyDescent="0.25"/>
    <row r="1000" hidden="1" x14ac:dyDescent="0.25"/>
    <row r="1001" hidden="1" x14ac:dyDescent="0.25"/>
    <row r="1002" hidden="1" x14ac:dyDescent="0.25"/>
  </sheetData>
  <autoFilter ref="G1:H1002" xr:uid="{FA8E9093-6F3B-44C2-B6BC-CC468EF6947D}">
    <filterColumn colId="1">
      <filters>
        <filter val="1"/>
      </filters>
    </filterColumn>
  </autoFilter>
  <sortState xmlns:xlrd2="http://schemas.microsoft.com/office/spreadsheetml/2017/richdata2" ref="E15:H155">
    <sortCondition descending="1" ref="G1:G196"/>
  </sortState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43BA1A-3461-4669-B36B-0DA6D5FDCC23}">
  <dimension ref="A1:L1001"/>
  <sheetViews>
    <sheetView workbookViewId="0">
      <selection activeCell="O7" sqref="O7"/>
    </sheetView>
  </sheetViews>
  <sheetFormatPr defaultRowHeight="15" x14ac:dyDescent="0.25"/>
  <cols>
    <col min="1" max="1" width="36.28515625" customWidth="1"/>
    <col min="2" max="2" width="12" customWidth="1"/>
    <col min="8" max="8" width="36.28515625" customWidth="1"/>
    <col min="9" max="9" width="15.42578125" customWidth="1"/>
    <col min="11" max="11" width="36.28515625" customWidth="1"/>
  </cols>
  <sheetData>
    <row r="1" spans="1:12" x14ac:dyDescent="0.25">
      <c r="A1" s="1" t="s">
        <v>1</v>
      </c>
      <c r="B1" s="1" t="s">
        <v>2</v>
      </c>
      <c r="C1" t="s">
        <v>523</v>
      </c>
      <c r="D1" t="s">
        <v>524</v>
      </c>
      <c r="E1" t="s">
        <v>525</v>
      </c>
      <c r="H1" s="1" t="s">
        <v>1</v>
      </c>
      <c r="I1" s="1" t="s">
        <v>525</v>
      </c>
      <c r="K1" s="1" t="s">
        <v>1</v>
      </c>
    </row>
    <row r="2" spans="1:12" x14ac:dyDescent="0.25">
      <c r="A2" t="s">
        <v>6</v>
      </c>
      <c r="B2" t="s">
        <v>7</v>
      </c>
      <c r="C2">
        <f>YEAR(B2)</f>
        <v>2023</v>
      </c>
      <c r="D2">
        <f>MONTH(B2)</f>
        <v>9</v>
      </c>
      <c r="E2" t="str">
        <f>C2&amp;"-"&amp;D2</f>
        <v>2023-9</v>
      </c>
      <c r="H2" t="s">
        <v>332</v>
      </c>
      <c r="I2" t="s">
        <v>501</v>
      </c>
      <c r="K2" t="s">
        <v>332</v>
      </c>
      <c r="L2">
        <f>COUNTIF(H:H,K2)</f>
        <v>4</v>
      </c>
    </row>
    <row r="3" spans="1:12" x14ac:dyDescent="0.25">
      <c r="A3" t="s">
        <v>9</v>
      </c>
      <c r="B3" t="s">
        <v>7</v>
      </c>
      <c r="C3">
        <f t="shared" ref="C3:C66" si="0">YEAR(B3)</f>
        <v>2023</v>
      </c>
      <c r="D3">
        <f t="shared" ref="D3:D66" si="1">MONTH(B3)</f>
        <v>9</v>
      </c>
      <c r="E3" t="str">
        <f t="shared" ref="E3:E66" si="2">C3&amp;"-"&amp;D3</f>
        <v>2023-9</v>
      </c>
      <c r="H3" t="s">
        <v>332</v>
      </c>
      <c r="I3" t="s">
        <v>502</v>
      </c>
      <c r="K3" t="s">
        <v>90</v>
      </c>
      <c r="L3">
        <f t="shared" ref="L3:L66" si="3">COUNTIF(H:H,K3)</f>
        <v>7</v>
      </c>
    </row>
    <row r="4" spans="1:12" x14ac:dyDescent="0.25">
      <c r="A4" t="s">
        <v>11</v>
      </c>
      <c r="B4" t="s">
        <v>12</v>
      </c>
      <c r="C4">
        <f t="shared" si="0"/>
        <v>2023</v>
      </c>
      <c r="D4">
        <f t="shared" si="1"/>
        <v>9</v>
      </c>
      <c r="E4" t="str">
        <f t="shared" si="2"/>
        <v>2023-9</v>
      </c>
      <c r="H4" t="s">
        <v>332</v>
      </c>
      <c r="I4" t="s">
        <v>503</v>
      </c>
      <c r="K4" t="s">
        <v>206</v>
      </c>
      <c r="L4">
        <f t="shared" si="3"/>
        <v>4</v>
      </c>
    </row>
    <row r="5" spans="1:12" x14ac:dyDescent="0.25">
      <c r="A5" t="s">
        <v>14</v>
      </c>
      <c r="B5" t="s">
        <v>12</v>
      </c>
      <c r="C5">
        <f t="shared" si="0"/>
        <v>2023</v>
      </c>
      <c r="D5">
        <f t="shared" si="1"/>
        <v>9</v>
      </c>
      <c r="E5" t="str">
        <f t="shared" si="2"/>
        <v>2023-9</v>
      </c>
      <c r="H5" t="s">
        <v>332</v>
      </c>
      <c r="I5" t="s">
        <v>505</v>
      </c>
      <c r="K5" t="s">
        <v>31</v>
      </c>
      <c r="L5">
        <f t="shared" si="3"/>
        <v>3</v>
      </c>
    </row>
    <row r="6" spans="1:12" x14ac:dyDescent="0.25">
      <c r="A6" t="s">
        <v>15</v>
      </c>
      <c r="B6" t="s">
        <v>12</v>
      </c>
      <c r="C6">
        <f t="shared" si="0"/>
        <v>2023</v>
      </c>
      <c r="D6">
        <f t="shared" si="1"/>
        <v>9</v>
      </c>
      <c r="E6" t="str">
        <f t="shared" si="2"/>
        <v>2023-9</v>
      </c>
      <c r="H6" t="s">
        <v>90</v>
      </c>
      <c r="I6" t="s">
        <v>495</v>
      </c>
      <c r="K6" t="s">
        <v>165</v>
      </c>
      <c r="L6">
        <f t="shared" si="3"/>
        <v>3</v>
      </c>
    </row>
    <row r="7" spans="1:12" x14ac:dyDescent="0.25">
      <c r="A7" t="s">
        <v>17</v>
      </c>
      <c r="B7" t="s">
        <v>12</v>
      </c>
      <c r="C7">
        <f t="shared" si="0"/>
        <v>2023</v>
      </c>
      <c r="D7">
        <f t="shared" si="1"/>
        <v>9</v>
      </c>
      <c r="E7" t="str">
        <f t="shared" si="2"/>
        <v>2023-9</v>
      </c>
      <c r="H7" t="s">
        <v>90</v>
      </c>
      <c r="I7" t="s">
        <v>496</v>
      </c>
      <c r="K7" t="s">
        <v>125</v>
      </c>
      <c r="L7">
        <f t="shared" si="3"/>
        <v>7</v>
      </c>
    </row>
    <row r="8" spans="1:12" x14ac:dyDescent="0.25">
      <c r="A8" t="s">
        <v>19</v>
      </c>
      <c r="B8" t="s">
        <v>12</v>
      </c>
      <c r="C8">
        <f t="shared" si="0"/>
        <v>2023</v>
      </c>
      <c r="D8">
        <f t="shared" si="1"/>
        <v>9</v>
      </c>
      <c r="E8" t="str">
        <f t="shared" si="2"/>
        <v>2023-9</v>
      </c>
      <c r="H8" t="s">
        <v>90</v>
      </c>
      <c r="I8" t="s">
        <v>497</v>
      </c>
      <c r="K8" t="s">
        <v>201</v>
      </c>
      <c r="L8">
        <f t="shared" si="3"/>
        <v>2</v>
      </c>
    </row>
    <row r="9" spans="1:12" x14ac:dyDescent="0.25">
      <c r="A9" t="s">
        <v>20</v>
      </c>
      <c r="B9" t="s">
        <v>12</v>
      </c>
      <c r="C9">
        <f t="shared" si="0"/>
        <v>2023</v>
      </c>
      <c r="D9">
        <f t="shared" si="1"/>
        <v>9</v>
      </c>
      <c r="E9" t="str">
        <f t="shared" si="2"/>
        <v>2023-9</v>
      </c>
      <c r="H9" t="s">
        <v>90</v>
      </c>
      <c r="I9" t="s">
        <v>501</v>
      </c>
      <c r="K9" t="s">
        <v>137</v>
      </c>
      <c r="L9">
        <f t="shared" si="3"/>
        <v>4</v>
      </c>
    </row>
    <row r="10" spans="1:12" x14ac:dyDescent="0.25">
      <c r="A10" t="s">
        <v>21</v>
      </c>
      <c r="B10" t="s">
        <v>12</v>
      </c>
      <c r="C10">
        <f t="shared" si="0"/>
        <v>2023</v>
      </c>
      <c r="D10">
        <f t="shared" si="1"/>
        <v>9</v>
      </c>
      <c r="E10" t="str">
        <f t="shared" si="2"/>
        <v>2023-9</v>
      </c>
      <c r="H10" t="s">
        <v>90</v>
      </c>
      <c r="I10" t="s">
        <v>504</v>
      </c>
      <c r="K10" t="s">
        <v>126</v>
      </c>
      <c r="L10">
        <f t="shared" si="3"/>
        <v>5</v>
      </c>
    </row>
    <row r="11" spans="1:12" x14ac:dyDescent="0.25">
      <c r="A11" t="s">
        <v>22</v>
      </c>
      <c r="B11" t="s">
        <v>23</v>
      </c>
      <c r="C11">
        <f t="shared" si="0"/>
        <v>2023</v>
      </c>
      <c r="D11">
        <f t="shared" si="1"/>
        <v>9</v>
      </c>
      <c r="E11" t="str">
        <f t="shared" si="2"/>
        <v>2023-9</v>
      </c>
      <c r="H11" t="s">
        <v>90</v>
      </c>
      <c r="I11" t="s">
        <v>505</v>
      </c>
      <c r="K11" t="s">
        <v>212</v>
      </c>
      <c r="L11">
        <f t="shared" si="3"/>
        <v>4</v>
      </c>
    </row>
    <row r="12" spans="1:12" x14ac:dyDescent="0.25">
      <c r="A12" t="s">
        <v>24</v>
      </c>
      <c r="B12" t="s">
        <v>23</v>
      </c>
      <c r="C12">
        <f t="shared" si="0"/>
        <v>2023</v>
      </c>
      <c r="D12">
        <f t="shared" si="1"/>
        <v>9</v>
      </c>
      <c r="E12" t="str">
        <f t="shared" si="2"/>
        <v>2023-9</v>
      </c>
      <c r="H12" t="s">
        <v>90</v>
      </c>
      <c r="I12" t="s">
        <v>506</v>
      </c>
      <c r="K12" t="s">
        <v>57</v>
      </c>
      <c r="L12">
        <f t="shared" si="3"/>
        <v>6</v>
      </c>
    </row>
    <row r="13" spans="1:12" x14ac:dyDescent="0.25">
      <c r="A13" t="s">
        <v>26</v>
      </c>
      <c r="B13" t="s">
        <v>23</v>
      </c>
      <c r="C13">
        <f t="shared" si="0"/>
        <v>2023</v>
      </c>
      <c r="D13">
        <f t="shared" si="1"/>
        <v>9</v>
      </c>
      <c r="E13" t="str">
        <f t="shared" si="2"/>
        <v>2023-9</v>
      </c>
      <c r="H13" t="s">
        <v>206</v>
      </c>
      <c r="I13" t="s">
        <v>497</v>
      </c>
      <c r="K13" t="s">
        <v>267</v>
      </c>
      <c r="L13">
        <f t="shared" si="3"/>
        <v>2</v>
      </c>
    </row>
    <row r="14" spans="1:12" x14ac:dyDescent="0.25">
      <c r="A14" t="s">
        <v>28</v>
      </c>
      <c r="B14" t="s">
        <v>29</v>
      </c>
      <c r="C14">
        <f t="shared" si="0"/>
        <v>2023</v>
      </c>
      <c r="D14">
        <f t="shared" si="1"/>
        <v>9</v>
      </c>
      <c r="E14" t="str">
        <f t="shared" si="2"/>
        <v>2023-9</v>
      </c>
      <c r="H14" t="s">
        <v>206</v>
      </c>
      <c r="I14" t="s">
        <v>499</v>
      </c>
      <c r="K14" t="s">
        <v>313</v>
      </c>
      <c r="L14">
        <f t="shared" si="3"/>
        <v>2</v>
      </c>
    </row>
    <row r="15" spans="1:12" x14ac:dyDescent="0.25">
      <c r="A15" t="s">
        <v>31</v>
      </c>
      <c r="B15" t="s">
        <v>29</v>
      </c>
      <c r="C15">
        <f t="shared" si="0"/>
        <v>2023</v>
      </c>
      <c r="D15">
        <f t="shared" si="1"/>
        <v>9</v>
      </c>
      <c r="E15" t="str">
        <f t="shared" si="2"/>
        <v>2023-9</v>
      </c>
      <c r="H15" t="s">
        <v>206</v>
      </c>
      <c r="I15" t="s">
        <v>501</v>
      </c>
      <c r="K15" t="s">
        <v>382</v>
      </c>
      <c r="L15">
        <f t="shared" si="3"/>
        <v>1</v>
      </c>
    </row>
    <row r="16" spans="1:12" x14ac:dyDescent="0.25">
      <c r="A16" t="s">
        <v>32</v>
      </c>
      <c r="B16" t="s">
        <v>29</v>
      </c>
      <c r="C16">
        <f t="shared" si="0"/>
        <v>2023</v>
      </c>
      <c r="D16">
        <f t="shared" si="1"/>
        <v>9</v>
      </c>
      <c r="E16" t="str">
        <f t="shared" si="2"/>
        <v>2023-9</v>
      </c>
      <c r="H16" t="s">
        <v>206</v>
      </c>
      <c r="I16" t="s">
        <v>503</v>
      </c>
      <c r="K16" t="s">
        <v>98</v>
      </c>
      <c r="L16">
        <f t="shared" si="3"/>
        <v>3</v>
      </c>
    </row>
    <row r="17" spans="1:12" x14ac:dyDescent="0.25">
      <c r="A17" t="s">
        <v>33</v>
      </c>
      <c r="B17" t="s">
        <v>34</v>
      </c>
      <c r="C17">
        <f t="shared" si="0"/>
        <v>2023</v>
      </c>
      <c r="D17">
        <f t="shared" si="1"/>
        <v>9</v>
      </c>
      <c r="E17" t="str">
        <f t="shared" si="2"/>
        <v>2023-9</v>
      </c>
      <c r="H17" t="s">
        <v>31</v>
      </c>
      <c r="I17" t="s">
        <v>495</v>
      </c>
      <c r="K17" t="s">
        <v>219</v>
      </c>
      <c r="L17">
        <f t="shared" si="3"/>
        <v>2</v>
      </c>
    </row>
    <row r="18" spans="1:12" x14ac:dyDescent="0.25">
      <c r="A18" t="s">
        <v>20</v>
      </c>
      <c r="B18" t="s">
        <v>34</v>
      </c>
      <c r="C18">
        <f t="shared" si="0"/>
        <v>2023</v>
      </c>
      <c r="D18">
        <f t="shared" si="1"/>
        <v>9</v>
      </c>
      <c r="E18" t="str">
        <f t="shared" si="2"/>
        <v>2023-9</v>
      </c>
      <c r="H18" t="s">
        <v>31</v>
      </c>
      <c r="I18" t="s">
        <v>498</v>
      </c>
      <c r="K18" t="s">
        <v>151</v>
      </c>
      <c r="L18">
        <f t="shared" si="3"/>
        <v>3</v>
      </c>
    </row>
    <row r="19" spans="1:12" x14ac:dyDescent="0.25">
      <c r="A19" t="s">
        <v>35</v>
      </c>
      <c r="B19" t="s">
        <v>34</v>
      </c>
      <c r="C19">
        <f t="shared" si="0"/>
        <v>2023</v>
      </c>
      <c r="D19">
        <f t="shared" si="1"/>
        <v>9</v>
      </c>
      <c r="E19" t="str">
        <f t="shared" si="2"/>
        <v>2023-9</v>
      </c>
      <c r="H19" t="s">
        <v>31</v>
      </c>
      <c r="I19" t="s">
        <v>499</v>
      </c>
      <c r="K19" t="s">
        <v>81</v>
      </c>
      <c r="L19">
        <f t="shared" si="3"/>
        <v>6</v>
      </c>
    </row>
    <row r="20" spans="1:12" x14ac:dyDescent="0.25">
      <c r="A20" t="s">
        <v>36</v>
      </c>
      <c r="B20" t="s">
        <v>34</v>
      </c>
      <c r="C20">
        <f t="shared" si="0"/>
        <v>2023</v>
      </c>
      <c r="D20">
        <f t="shared" si="1"/>
        <v>9</v>
      </c>
      <c r="E20" t="str">
        <f t="shared" si="2"/>
        <v>2023-9</v>
      </c>
      <c r="H20" t="s">
        <v>165</v>
      </c>
      <c r="I20" t="s">
        <v>496</v>
      </c>
      <c r="K20" t="s">
        <v>74</v>
      </c>
      <c r="L20">
        <f t="shared" si="3"/>
        <v>3</v>
      </c>
    </row>
    <row r="21" spans="1:12" x14ac:dyDescent="0.25">
      <c r="A21" t="s">
        <v>37</v>
      </c>
      <c r="B21" t="s">
        <v>34</v>
      </c>
      <c r="C21">
        <f t="shared" si="0"/>
        <v>2023</v>
      </c>
      <c r="D21">
        <f t="shared" si="1"/>
        <v>9</v>
      </c>
      <c r="E21" t="str">
        <f t="shared" si="2"/>
        <v>2023-9</v>
      </c>
      <c r="H21" t="s">
        <v>165</v>
      </c>
      <c r="I21" t="s">
        <v>499</v>
      </c>
      <c r="K21" t="s">
        <v>6</v>
      </c>
      <c r="L21">
        <f t="shared" si="3"/>
        <v>5</v>
      </c>
    </row>
    <row r="22" spans="1:12" x14ac:dyDescent="0.25">
      <c r="A22" t="s">
        <v>39</v>
      </c>
      <c r="B22" t="s">
        <v>40</v>
      </c>
      <c r="C22">
        <f t="shared" si="0"/>
        <v>2023</v>
      </c>
      <c r="D22">
        <f t="shared" si="1"/>
        <v>9</v>
      </c>
      <c r="E22" t="str">
        <f t="shared" si="2"/>
        <v>2023-9</v>
      </c>
      <c r="H22" t="s">
        <v>165</v>
      </c>
      <c r="I22" t="s">
        <v>500</v>
      </c>
      <c r="K22" t="s">
        <v>293</v>
      </c>
      <c r="L22">
        <f t="shared" si="3"/>
        <v>1</v>
      </c>
    </row>
    <row r="23" spans="1:12" x14ac:dyDescent="0.25">
      <c r="A23" t="s">
        <v>41</v>
      </c>
      <c r="B23" t="s">
        <v>40</v>
      </c>
      <c r="C23">
        <f t="shared" si="0"/>
        <v>2023</v>
      </c>
      <c r="D23">
        <f t="shared" si="1"/>
        <v>9</v>
      </c>
      <c r="E23" t="str">
        <f t="shared" si="2"/>
        <v>2023-9</v>
      </c>
      <c r="H23" t="s">
        <v>125</v>
      </c>
      <c r="I23" t="s">
        <v>496</v>
      </c>
      <c r="K23" t="s">
        <v>129</v>
      </c>
      <c r="L23">
        <f t="shared" si="3"/>
        <v>3</v>
      </c>
    </row>
    <row r="24" spans="1:12" x14ac:dyDescent="0.25">
      <c r="A24" t="s">
        <v>42</v>
      </c>
      <c r="B24" t="s">
        <v>40</v>
      </c>
      <c r="C24">
        <f t="shared" si="0"/>
        <v>2023</v>
      </c>
      <c r="D24">
        <f t="shared" si="1"/>
        <v>9</v>
      </c>
      <c r="E24" t="str">
        <f t="shared" si="2"/>
        <v>2023-9</v>
      </c>
      <c r="H24" t="s">
        <v>125</v>
      </c>
      <c r="I24" t="s">
        <v>498</v>
      </c>
      <c r="K24" t="s">
        <v>70</v>
      </c>
      <c r="L24">
        <f t="shared" si="3"/>
        <v>4</v>
      </c>
    </row>
    <row r="25" spans="1:12" x14ac:dyDescent="0.25">
      <c r="A25" t="s">
        <v>43</v>
      </c>
      <c r="B25" t="s">
        <v>44</v>
      </c>
      <c r="C25">
        <f t="shared" si="0"/>
        <v>2023</v>
      </c>
      <c r="D25">
        <f t="shared" si="1"/>
        <v>9</v>
      </c>
      <c r="E25" t="str">
        <f t="shared" si="2"/>
        <v>2023-9</v>
      </c>
      <c r="H25" t="s">
        <v>125</v>
      </c>
      <c r="I25" t="s">
        <v>499</v>
      </c>
      <c r="K25" t="s">
        <v>123</v>
      </c>
      <c r="L25">
        <f t="shared" si="3"/>
        <v>2</v>
      </c>
    </row>
    <row r="26" spans="1:12" x14ac:dyDescent="0.25">
      <c r="A26" t="s">
        <v>46</v>
      </c>
      <c r="B26" t="s">
        <v>44</v>
      </c>
      <c r="C26">
        <f t="shared" si="0"/>
        <v>2023</v>
      </c>
      <c r="D26">
        <f t="shared" si="1"/>
        <v>9</v>
      </c>
      <c r="E26" t="str">
        <f t="shared" si="2"/>
        <v>2023-9</v>
      </c>
      <c r="H26" t="s">
        <v>125</v>
      </c>
      <c r="I26" t="s">
        <v>502</v>
      </c>
      <c r="K26" t="s">
        <v>24</v>
      </c>
      <c r="L26">
        <f t="shared" si="3"/>
        <v>5</v>
      </c>
    </row>
    <row r="27" spans="1:12" x14ac:dyDescent="0.25">
      <c r="A27" t="s">
        <v>48</v>
      </c>
      <c r="B27" t="s">
        <v>44</v>
      </c>
      <c r="C27">
        <f t="shared" si="0"/>
        <v>2023</v>
      </c>
      <c r="D27">
        <f t="shared" si="1"/>
        <v>9</v>
      </c>
      <c r="E27" t="str">
        <f t="shared" si="2"/>
        <v>2023-9</v>
      </c>
      <c r="H27" t="s">
        <v>125</v>
      </c>
      <c r="I27" t="s">
        <v>503</v>
      </c>
      <c r="K27" t="s">
        <v>21</v>
      </c>
      <c r="L27">
        <f t="shared" si="3"/>
        <v>3</v>
      </c>
    </row>
    <row r="28" spans="1:12" x14ac:dyDescent="0.25">
      <c r="A28" t="s">
        <v>19</v>
      </c>
      <c r="B28" t="s">
        <v>44</v>
      </c>
      <c r="C28">
        <f t="shared" si="0"/>
        <v>2023</v>
      </c>
      <c r="D28">
        <f t="shared" si="1"/>
        <v>9</v>
      </c>
      <c r="E28" t="str">
        <f t="shared" si="2"/>
        <v>2023-9</v>
      </c>
      <c r="H28" t="s">
        <v>125</v>
      </c>
      <c r="I28" t="s">
        <v>505</v>
      </c>
      <c r="K28" t="s">
        <v>444</v>
      </c>
      <c r="L28">
        <f t="shared" si="3"/>
        <v>1</v>
      </c>
    </row>
    <row r="29" spans="1:12" x14ac:dyDescent="0.25">
      <c r="A29" t="s">
        <v>49</v>
      </c>
      <c r="B29" t="s">
        <v>44</v>
      </c>
      <c r="C29">
        <f t="shared" si="0"/>
        <v>2023</v>
      </c>
      <c r="D29">
        <f t="shared" si="1"/>
        <v>9</v>
      </c>
      <c r="E29" t="str">
        <f t="shared" si="2"/>
        <v>2023-9</v>
      </c>
      <c r="H29" t="s">
        <v>125</v>
      </c>
      <c r="I29" t="s">
        <v>506</v>
      </c>
      <c r="K29" t="s">
        <v>289</v>
      </c>
      <c r="L29">
        <f t="shared" si="3"/>
        <v>2</v>
      </c>
    </row>
    <row r="30" spans="1:12" x14ac:dyDescent="0.25">
      <c r="A30" t="s">
        <v>17</v>
      </c>
      <c r="B30" t="s">
        <v>44</v>
      </c>
      <c r="C30">
        <f t="shared" si="0"/>
        <v>2023</v>
      </c>
      <c r="D30">
        <f t="shared" si="1"/>
        <v>9</v>
      </c>
      <c r="E30" t="str">
        <f t="shared" si="2"/>
        <v>2023-9</v>
      </c>
      <c r="H30" t="s">
        <v>201</v>
      </c>
      <c r="I30" t="s">
        <v>497</v>
      </c>
      <c r="K30" t="s">
        <v>89</v>
      </c>
      <c r="L30">
        <f t="shared" si="3"/>
        <v>8</v>
      </c>
    </row>
    <row r="31" spans="1:12" x14ac:dyDescent="0.25">
      <c r="A31" t="s">
        <v>31</v>
      </c>
      <c r="B31" t="s">
        <v>44</v>
      </c>
      <c r="C31">
        <f t="shared" si="0"/>
        <v>2023</v>
      </c>
      <c r="D31">
        <f t="shared" si="1"/>
        <v>9</v>
      </c>
      <c r="E31" t="str">
        <f t="shared" si="2"/>
        <v>2023-9</v>
      </c>
      <c r="H31" t="s">
        <v>201</v>
      </c>
      <c r="I31" t="s">
        <v>502</v>
      </c>
      <c r="K31" t="s">
        <v>279</v>
      </c>
      <c r="L31">
        <f t="shared" si="3"/>
        <v>4</v>
      </c>
    </row>
    <row r="32" spans="1:12" x14ac:dyDescent="0.25">
      <c r="A32" t="s">
        <v>50</v>
      </c>
      <c r="B32" t="s">
        <v>44</v>
      </c>
      <c r="C32">
        <f t="shared" si="0"/>
        <v>2023</v>
      </c>
      <c r="D32">
        <f t="shared" si="1"/>
        <v>9</v>
      </c>
      <c r="E32" t="str">
        <f t="shared" si="2"/>
        <v>2023-9</v>
      </c>
      <c r="H32" t="s">
        <v>137</v>
      </c>
      <c r="I32" t="s">
        <v>496</v>
      </c>
      <c r="K32" t="s">
        <v>224</v>
      </c>
      <c r="L32">
        <f t="shared" si="3"/>
        <v>4</v>
      </c>
    </row>
    <row r="33" spans="1:12" x14ac:dyDescent="0.25">
      <c r="A33" t="s">
        <v>51</v>
      </c>
      <c r="B33" t="s">
        <v>44</v>
      </c>
      <c r="C33">
        <f t="shared" si="0"/>
        <v>2023</v>
      </c>
      <c r="D33">
        <f t="shared" si="1"/>
        <v>9</v>
      </c>
      <c r="E33" t="str">
        <f t="shared" si="2"/>
        <v>2023-9</v>
      </c>
      <c r="H33" t="s">
        <v>137</v>
      </c>
      <c r="I33" t="s">
        <v>502</v>
      </c>
      <c r="K33" t="s">
        <v>385</v>
      </c>
      <c r="L33">
        <f t="shared" si="3"/>
        <v>2</v>
      </c>
    </row>
    <row r="34" spans="1:12" x14ac:dyDescent="0.25">
      <c r="A34" t="s">
        <v>52</v>
      </c>
      <c r="B34" t="s">
        <v>44</v>
      </c>
      <c r="C34">
        <f t="shared" si="0"/>
        <v>2023</v>
      </c>
      <c r="D34">
        <f t="shared" si="1"/>
        <v>9</v>
      </c>
      <c r="E34" t="str">
        <f t="shared" si="2"/>
        <v>2023-9</v>
      </c>
      <c r="H34" t="s">
        <v>137</v>
      </c>
      <c r="I34" t="s">
        <v>503</v>
      </c>
      <c r="K34" t="s">
        <v>134</v>
      </c>
      <c r="L34">
        <f t="shared" si="3"/>
        <v>6</v>
      </c>
    </row>
    <row r="35" spans="1:12" x14ac:dyDescent="0.25">
      <c r="A35" t="s">
        <v>53</v>
      </c>
      <c r="B35" t="s">
        <v>54</v>
      </c>
      <c r="C35">
        <f t="shared" si="0"/>
        <v>2023</v>
      </c>
      <c r="D35">
        <f t="shared" si="1"/>
        <v>9</v>
      </c>
      <c r="E35" t="str">
        <f t="shared" si="2"/>
        <v>2023-9</v>
      </c>
      <c r="H35" t="s">
        <v>137</v>
      </c>
      <c r="I35" t="s">
        <v>504</v>
      </c>
      <c r="K35" t="s">
        <v>117</v>
      </c>
      <c r="L35">
        <f t="shared" si="3"/>
        <v>3</v>
      </c>
    </row>
    <row r="36" spans="1:12" x14ac:dyDescent="0.25">
      <c r="A36" t="s">
        <v>41</v>
      </c>
      <c r="B36" t="s">
        <v>54</v>
      </c>
      <c r="C36">
        <f t="shared" si="0"/>
        <v>2023</v>
      </c>
      <c r="D36">
        <f t="shared" si="1"/>
        <v>9</v>
      </c>
      <c r="E36" t="str">
        <f t="shared" si="2"/>
        <v>2023-9</v>
      </c>
      <c r="H36" t="s">
        <v>126</v>
      </c>
      <c r="I36" t="s">
        <v>496</v>
      </c>
      <c r="K36" t="s">
        <v>300</v>
      </c>
      <c r="L36">
        <f t="shared" si="3"/>
        <v>4</v>
      </c>
    </row>
    <row r="37" spans="1:12" x14ac:dyDescent="0.25">
      <c r="A37" t="s">
        <v>55</v>
      </c>
      <c r="B37" t="s">
        <v>56</v>
      </c>
      <c r="C37">
        <f t="shared" si="0"/>
        <v>2023</v>
      </c>
      <c r="D37">
        <f t="shared" si="1"/>
        <v>9</v>
      </c>
      <c r="E37" t="str">
        <f t="shared" si="2"/>
        <v>2023-9</v>
      </c>
      <c r="H37" t="s">
        <v>126</v>
      </c>
      <c r="I37" t="s">
        <v>499</v>
      </c>
      <c r="K37" t="s">
        <v>384</v>
      </c>
      <c r="L37">
        <f t="shared" si="3"/>
        <v>1</v>
      </c>
    </row>
    <row r="38" spans="1:12" x14ac:dyDescent="0.25">
      <c r="A38" t="s">
        <v>57</v>
      </c>
      <c r="B38" t="s">
        <v>56</v>
      </c>
      <c r="C38">
        <f t="shared" si="0"/>
        <v>2023</v>
      </c>
      <c r="D38">
        <f t="shared" si="1"/>
        <v>9</v>
      </c>
      <c r="E38" t="str">
        <f t="shared" si="2"/>
        <v>2023-9</v>
      </c>
      <c r="H38" t="s">
        <v>126</v>
      </c>
      <c r="I38" t="s">
        <v>501</v>
      </c>
      <c r="K38" t="s">
        <v>108</v>
      </c>
      <c r="L38">
        <f t="shared" si="3"/>
        <v>3</v>
      </c>
    </row>
    <row r="39" spans="1:12" x14ac:dyDescent="0.25">
      <c r="A39" t="s">
        <v>32</v>
      </c>
      <c r="B39" t="s">
        <v>56</v>
      </c>
      <c r="C39">
        <f t="shared" si="0"/>
        <v>2023</v>
      </c>
      <c r="D39">
        <f t="shared" si="1"/>
        <v>9</v>
      </c>
      <c r="E39" t="str">
        <f t="shared" si="2"/>
        <v>2023-9</v>
      </c>
      <c r="H39" t="s">
        <v>126</v>
      </c>
      <c r="I39" t="s">
        <v>503</v>
      </c>
      <c r="K39" t="s">
        <v>299</v>
      </c>
      <c r="L39">
        <f t="shared" si="3"/>
        <v>3</v>
      </c>
    </row>
    <row r="40" spans="1:12" x14ac:dyDescent="0.25">
      <c r="A40" t="s">
        <v>58</v>
      </c>
      <c r="B40" t="s">
        <v>56</v>
      </c>
      <c r="C40">
        <f t="shared" si="0"/>
        <v>2023</v>
      </c>
      <c r="D40">
        <f t="shared" si="1"/>
        <v>9</v>
      </c>
      <c r="E40" t="str">
        <f t="shared" si="2"/>
        <v>2023-9</v>
      </c>
      <c r="H40" t="s">
        <v>126</v>
      </c>
      <c r="I40" t="s">
        <v>504</v>
      </c>
      <c r="K40" t="s">
        <v>190</v>
      </c>
      <c r="L40">
        <f t="shared" si="3"/>
        <v>4</v>
      </c>
    </row>
    <row r="41" spans="1:12" x14ac:dyDescent="0.25">
      <c r="A41" t="s">
        <v>59</v>
      </c>
      <c r="B41" t="s">
        <v>60</v>
      </c>
      <c r="C41">
        <f t="shared" si="0"/>
        <v>2023</v>
      </c>
      <c r="D41">
        <f t="shared" si="1"/>
        <v>9</v>
      </c>
      <c r="E41" t="str">
        <f t="shared" si="2"/>
        <v>2023-9</v>
      </c>
      <c r="H41" t="s">
        <v>212</v>
      </c>
      <c r="I41" t="s">
        <v>497</v>
      </c>
      <c r="K41" t="s">
        <v>325</v>
      </c>
      <c r="L41">
        <f t="shared" si="3"/>
        <v>2</v>
      </c>
    </row>
    <row r="42" spans="1:12" x14ac:dyDescent="0.25">
      <c r="A42" t="s">
        <v>61</v>
      </c>
      <c r="B42" t="s">
        <v>62</v>
      </c>
      <c r="C42">
        <f t="shared" si="0"/>
        <v>2023</v>
      </c>
      <c r="D42">
        <f t="shared" si="1"/>
        <v>9</v>
      </c>
      <c r="E42" t="str">
        <f t="shared" si="2"/>
        <v>2023-9</v>
      </c>
      <c r="H42" t="s">
        <v>212</v>
      </c>
      <c r="I42" t="s">
        <v>500</v>
      </c>
      <c r="K42" t="s">
        <v>91</v>
      </c>
      <c r="L42">
        <f t="shared" si="3"/>
        <v>6</v>
      </c>
    </row>
    <row r="43" spans="1:12" x14ac:dyDescent="0.25">
      <c r="A43" t="s">
        <v>63</v>
      </c>
      <c r="B43" t="s">
        <v>62</v>
      </c>
      <c r="C43">
        <f t="shared" si="0"/>
        <v>2023</v>
      </c>
      <c r="D43">
        <f t="shared" si="1"/>
        <v>9</v>
      </c>
      <c r="E43" t="str">
        <f t="shared" si="2"/>
        <v>2023-9</v>
      </c>
      <c r="H43" t="s">
        <v>212</v>
      </c>
      <c r="I43" t="s">
        <v>502</v>
      </c>
      <c r="K43" t="s">
        <v>111</v>
      </c>
      <c r="L43">
        <f t="shared" si="3"/>
        <v>3</v>
      </c>
    </row>
    <row r="44" spans="1:12" x14ac:dyDescent="0.25">
      <c r="A44" t="s">
        <v>64</v>
      </c>
      <c r="B44" t="s">
        <v>62</v>
      </c>
      <c r="C44">
        <f t="shared" si="0"/>
        <v>2023</v>
      </c>
      <c r="D44">
        <f t="shared" si="1"/>
        <v>9</v>
      </c>
      <c r="E44" t="str">
        <f t="shared" si="2"/>
        <v>2023-9</v>
      </c>
      <c r="H44" t="s">
        <v>212</v>
      </c>
      <c r="I44" t="s">
        <v>503</v>
      </c>
      <c r="K44" t="s">
        <v>96</v>
      </c>
      <c r="L44">
        <f t="shared" si="3"/>
        <v>6</v>
      </c>
    </row>
    <row r="45" spans="1:12" x14ac:dyDescent="0.25">
      <c r="A45" t="s">
        <v>65</v>
      </c>
      <c r="B45" t="s">
        <v>62</v>
      </c>
      <c r="C45">
        <f t="shared" si="0"/>
        <v>2023</v>
      </c>
      <c r="D45">
        <f t="shared" si="1"/>
        <v>9</v>
      </c>
      <c r="E45" t="str">
        <f t="shared" si="2"/>
        <v>2023-9</v>
      </c>
      <c r="H45" t="s">
        <v>57</v>
      </c>
      <c r="I45" t="s">
        <v>495</v>
      </c>
      <c r="K45" t="s">
        <v>148</v>
      </c>
      <c r="L45">
        <f t="shared" si="3"/>
        <v>3</v>
      </c>
    </row>
    <row r="46" spans="1:12" x14ac:dyDescent="0.25">
      <c r="A46" t="s">
        <v>66</v>
      </c>
      <c r="B46" t="s">
        <v>62</v>
      </c>
      <c r="C46">
        <f t="shared" si="0"/>
        <v>2023</v>
      </c>
      <c r="D46">
        <f t="shared" si="1"/>
        <v>9</v>
      </c>
      <c r="E46" t="str">
        <f t="shared" si="2"/>
        <v>2023-9</v>
      </c>
      <c r="H46" t="s">
        <v>57</v>
      </c>
      <c r="I46" t="s">
        <v>497</v>
      </c>
      <c r="K46" t="s">
        <v>14</v>
      </c>
      <c r="L46">
        <f t="shared" si="3"/>
        <v>6</v>
      </c>
    </row>
    <row r="47" spans="1:12" x14ac:dyDescent="0.25">
      <c r="A47" t="s">
        <v>37</v>
      </c>
      <c r="B47" t="s">
        <v>62</v>
      </c>
      <c r="C47">
        <f t="shared" si="0"/>
        <v>2023</v>
      </c>
      <c r="D47">
        <f t="shared" si="1"/>
        <v>9</v>
      </c>
      <c r="E47" t="str">
        <f t="shared" si="2"/>
        <v>2023-9</v>
      </c>
      <c r="H47" t="s">
        <v>57</v>
      </c>
      <c r="I47" t="s">
        <v>500</v>
      </c>
      <c r="K47" t="s">
        <v>178</v>
      </c>
      <c r="L47">
        <f t="shared" si="3"/>
        <v>2</v>
      </c>
    </row>
    <row r="48" spans="1:12" x14ac:dyDescent="0.25">
      <c r="A48" t="s">
        <v>67</v>
      </c>
      <c r="B48" t="s">
        <v>62</v>
      </c>
      <c r="C48">
        <f t="shared" si="0"/>
        <v>2023</v>
      </c>
      <c r="D48">
        <f t="shared" si="1"/>
        <v>9</v>
      </c>
      <c r="E48" t="str">
        <f t="shared" si="2"/>
        <v>2023-9</v>
      </c>
      <c r="H48" t="s">
        <v>57</v>
      </c>
      <c r="I48" t="s">
        <v>501</v>
      </c>
      <c r="K48" t="s">
        <v>88</v>
      </c>
      <c r="L48">
        <f t="shared" si="3"/>
        <v>3</v>
      </c>
    </row>
    <row r="49" spans="1:12" x14ac:dyDescent="0.25">
      <c r="A49" t="s">
        <v>68</v>
      </c>
      <c r="B49" t="s">
        <v>62</v>
      </c>
      <c r="C49">
        <f t="shared" si="0"/>
        <v>2023</v>
      </c>
      <c r="D49">
        <f t="shared" si="1"/>
        <v>9</v>
      </c>
      <c r="E49" t="str">
        <f t="shared" si="2"/>
        <v>2023-9</v>
      </c>
      <c r="H49" t="s">
        <v>57</v>
      </c>
      <c r="I49" t="s">
        <v>503</v>
      </c>
      <c r="K49" t="s">
        <v>156</v>
      </c>
      <c r="L49">
        <f t="shared" si="3"/>
        <v>3</v>
      </c>
    </row>
    <row r="50" spans="1:12" x14ac:dyDescent="0.25">
      <c r="A50" t="s">
        <v>69</v>
      </c>
      <c r="B50" t="s">
        <v>62</v>
      </c>
      <c r="C50">
        <f t="shared" si="0"/>
        <v>2023</v>
      </c>
      <c r="D50">
        <f t="shared" si="1"/>
        <v>9</v>
      </c>
      <c r="E50" t="str">
        <f t="shared" si="2"/>
        <v>2023-9</v>
      </c>
      <c r="H50" t="s">
        <v>57</v>
      </c>
      <c r="I50" t="s">
        <v>505</v>
      </c>
      <c r="K50" t="s">
        <v>124</v>
      </c>
      <c r="L50">
        <f t="shared" si="3"/>
        <v>4</v>
      </c>
    </row>
    <row r="51" spans="1:12" x14ac:dyDescent="0.25">
      <c r="A51" t="s">
        <v>70</v>
      </c>
      <c r="B51" t="s">
        <v>62</v>
      </c>
      <c r="C51">
        <f t="shared" si="0"/>
        <v>2023</v>
      </c>
      <c r="D51">
        <f t="shared" si="1"/>
        <v>9</v>
      </c>
      <c r="E51" t="str">
        <f t="shared" si="2"/>
        <v>2023-9</v>
      </c>
      <c r="H51" t="s">
        <v>267</v>
      </c>
      <c r="I51" t="s">
        <v>499</v>
      </c>
      <c r="K51" t="s">
        <v>80</v>
      </c>
      <c r="L51">
        <f t="shared" si="3"/>
        <v>4</v>
      </c>
    </row>
    <row r="52" spans="1:12" x14ac:dyDescent="0.25">
      <c r="A52" t="s">
        <v>69</v>
      </c>
      <c r="B52" t="s">
        <v>62</v>
      </c>
      <c r="C52">
        <f t="shared" si="0"/>
        <v>2023</v>
      </c>
      <c r="D52">
        <f t="shared" si="1"/>
        <v>9</v>
      </c>
      <c r="E52" t="str">
        <f t="shared" si="2"/>
        <v>2023-9</v>
      </c>
      <c r="H52" t="s">
        <v>267</v>
      </c>
      <c r="I52" t="s">
        <v>503</v>
      </c>
      <c r="K52" t="s">
        <v>58</v>
      </c>
      <c r="L52">
        <f t="shared" si="3"/>
        <v>5</v>
      </c>
    </row>
    <row r="53" spans="1:12" x14ac:dyDescent="0.25">
      <c r="A53" t="s">
        <v>36</v>
      </c>
      <c r="B53" t="s">
        <v>71</v>
      </c>
      <c r="C53">
        <f t="shared" si="0"/>
        <v>2023</v>
      </c>
      <c r="D53">
        <f t="shared" si="1"/>
        <v>9</v>
      </c>
      <c r="E53" t="str">
        <f t="shared" si="2"/>
        <v>2023-9</v>
      </c>
      <c r="H53" t="s">
        <v>313</v>
      </c>
      <c r="I53" t="s">
        <v>500</v>
      </c>
      <c r="K53" t="s">
        <v>173</v>
      </c>
      <c r="L53">
        <f t="shared" si="3"/>
        <v>4</v>
      </c>
    </row>
    <row r="54" spans="1:12" x14ac:dyDescent="0.25">
      <c r="A54" t="s">
        <v>72</v>
      </c>
      <c r="B54" t="s">
        <v>71</v>
      </c>
      <c r="C54">
        <f t="shared" si="0"/>
        <v>2023</v>
      </c>
      <c r="D54">
        <f t="shared" si="1"/>
        <v>9</v>
      </c>
      <c r="E54" t="str">
        <f t="shared" si="2"/>
        <v>2023-9</v>
      </c>
      <c r="H54" t="s">
        <v>313</v>
      </c>
      <c r="I54" t="s">
        <v>503</v>
      </c>
      <c r="K54" t="s">
        <v>363</v>
      </c>
      <c r="L54">
        <f t="shared" si="3"/>
        <v>3</v>
      </c>
    </row>
    <row r="55" spans="1:12" x14ac:dyDescent="0.25">
      <c r="A55" t="s">
        <v>22</v>
      </c>
      <c r="B55" t="s">
        <v>71</v>
      </c>
      <c r="C55">
        <f t="shared" si="0"/>
        <v>2023</v>
      </c>
      <c r="D55">
        <f t="shared" si="1"/>
        <v>9</v>
      </c>
      <c r="E55" t="str">
        <f t="shared" si="2"/>
        <v>2023-9</v>
      </c>
      <c r="H55" t="s">
        <v>382</v>
      </c>
      <c r="I55" t="s">
        <v>503</v>
      </c>
      <c r="K55" t="s">
        <v>158</v>
      </c>
      <c r="L55">
        <f t="shared" si="3"/>
        <v>5</v>
      </c>
    </row>
    <row r="56" spans="1:12" x14ac:dyDescent="0.25">
      <c r="A56" t="s">
        <v>73</v>
      </c>
      <c r="B56" t="s">
        <v>71</v>
      </c>
      <c r="C56">
        <f t="shared" si="0"/>
        <v>2023</v>
      </c>
      <c r="D56">
        <f t="shared" si="1"/>
        <v>9</v>
      </c>
      <c r="E56" t="str">
        <f t="shared" si="2"/>
        <v>2023-9</v>
      </c>
      <c r="H56" t="s">
        <v>98</v>
      </c>
      <c r="I56" t="s">
        <v>495</v>
      </c>
      <c r="K56" t="s">
        <v>17</v>
      </c>
      <c r="L56">
        <f t="shared" si="3"/>
        <v>5</v>
      </c>
    </row>
    <row r="57" spans="1:12" x14ac:dyDescent="0.25">
      <c r="A57" t="s">
        <v>74</v>
      </c>
      <c r="B57" t="s">
        <v>71</v>
      </c>
      <c r="C57">
        <f t="shared" si="0"/>
        <v>2023</v>
      </c>
      <c r="D57">
        <f t="shared" si="1"/>
        <v>9</v>
      </c>
      <c r="E57" t="str">
        <f t="shared" si="2"/>
        <v>2023-9</v>
      </c>
      <c r="H57" t="s">
        <v>98</v>
      </c>
      <c r="I57" t="s">
        <v>501</v>
      </c>
      <c r="K57" t="s">
        <v>265</v>
      </c>
      <c r="L57">
        <f t="shared" si="3"/>
        <v>3</v>
      </c>
    </row>
    <row r="58" spans="1:12" x14ac:dyDescent="0.25">
      <c r="A58" t="s">
        <v>75</v>
      </c>
      <c r="B58" t="s">
        <v>76</v>
      </c>
      <c r="C58">
        <f t="shared" si="0"/>
        <v>2023</v>
      </c>
      <c r="D58">
        <f t="shared" si="1"/>
        <v>9</v>
      </c>
      <c r="E58" t="str">
        <f t="shared" si="2"/>
        <v>2023-9</v>
      </c>
      <c r="H58" t="s">
        <v>98</v>
      </c>
      <c r="I58" t="s">
        <v>506</v>
      </c>
      <c r="K58" t="s">
        <v>28</v>
      </c>
      <c r="L58">
        <f t="shared" si="3"/>
        <v>5</v>
      </c>
    </row>
    <row r="59" spans="1:12" x14ac:dyDescent="0.25">
      <c r="A59" t="s">
        <v>58</v>
      </c>
      <c r="B59" t="s">
        <v>76</v>
      </c>
      <c r="C59">
        <f t="shared" si="0"/>
        <v>2023</v>
      </c>
      <c r="D59">
        <f t="shared" si="1"/>
        <v>9</v>
      </c>
      <c r="E59" t="str">
        <f t="shared" si="2"/>
        <v>2023-9</v>
      </c>
      <c r="H59" t="s">
        <v>219</v>
      </c>
      <c r="I59" t="s">
        <v>498</v>
      </c>
      <c r="K59" t="s">
        <v>247</v>
      </c>
      <c r="L59">
        <f t="shared" si="3"/>
        <v>5</v>
      </c>
    </row>
    <row r="60" spans="1:12" x14ac:dyDescent="0.25">
      <c r="A60" t="s">
        <v>77</v>
      </c>
      <c r="B60" t="s">
        <v>76</v>
      </c>
      <c r="C60">
        <f t="shared" si="0"/>
        <v>2023</v>
      </c>
      <c r="D60">
        <f t="shared" si="1"/>
        <v>9</v>
      </c>
      <c r="E60" t="str">
        <f t="shared" si="2"/>
        <v>2023-9</v>
      </c>
      <c r="H60" t="s">
        <v>219</v>
      </c>
      <c r="I60" t="s">
        <v>503</v>
      </c>
      <c r="K60" t="s">
        <v>53</v>
      </c>
      <c r="L60">
        <f t="shared" si="3"/>
        <v>7</v>
      </c>
    </row>
    <row r="61" spans="1:12" x14ac:dyDescent="0.25">
      <c r="A61" t="s">
        <v>78</v>
      </c>
      <c r="B61" t="s">
        <v>79</v>
      </c>
      <c r="C61">
        <f t="shared" si="0"/>
        <v>2023</v>
      </c>
      <c r="D61">
        <f t="shared" si="1"/>
        <v>9</v>
      </c>
      <c r="E61" t="str">
        <f t="shared" si="2"/>
        <v>2023-9</v>
      </c>
      <c r="H61" t="s">
        <v>151</v>
      </c>
      <c r="I61" t="s">
        <v>496</v>
      </c>
      <c r="K61" t="s">
        <v>46</v>
      </c>
      <c r="L61">
        <f t="shared" si="3"/>
        <v>4</v>
      </c>
    </row>
    <row r="62" spans="1:12" x14ac:dyDescent="0.25">
      <c r="A62" t="s">
        <v>80</v>
      </c>
      <c r="B62" t="s">
        <v>79</v>
      </c>
      <c r="C62">
        <f t="shared" si="0"/>
        <v>2023</v>
      </c>
      <c r="D62">
        <f t="shared" si="1"/>
        <v>9</v>
      </c>
      <c r="E62" t="str">
        <f t="shared" si="2"/>
        <v>2023-9</v>
      </c>
      <c r="H62" t="s">
        <v>151</v>
      </c>
      <c r="I62" t="s">
        <v>500</v>
      </c>
      <c r="K62" t="s">
        <v>162</v>
      </c>
      <c r="L62">
        <f t="shared" si="3"/>
        <v>3</v>
      </c>
    </row>
    <row r="63" spans="1:12" x14ac:dyDescent="0.25">
      <c r="A63" t="s">
        <v>81</v>
      </c>
      <c r="B63" t="s">
        <v>79</v>
      </c>
      <c r="C63">
        <f t="shared" si="0"/>
        <v>2023</v>
      </c>
      <c r="D63">
        <f t="shared" si="1"/>
        <v>9</v>
      </c>
      <c r="E63" t="str">
        <f t="shared" si="2"/>
        <v>2023-9</v>
      </c>
      <c r="H63" t="s">
        <v>151</v>
      </c>
      <c r="I63" t="s">
        <v>505</v>
      </c>
      <c r="K63" t="s">
        <v>223</v>
      </c>
      <c r="L63">
        <f t="shared" si="3"/>
        <v>4</v>
      </c>
    </row>
    <row r="64" spans="1:12" x14ac:dyDescent="0.25">
      <c r="A64" t="s">
        <v>82</v>
      </c>
      <c r="B64" t="s">
        <v>83</v>
      </c>
      <c r="C64">
        <f t="shared" si="0"/>
        <v>2023</v>
      </c>
      <c r="D64">
        <f t="shared" si="1"/>
        <v>9</v>
      </c>
      <c r="E64" t="str">
        <f t="shared" si="2"/>
        <v>2023-9</v>
      </c>
      <c r="H64" t="s">
        <v>81</v>
      </c>
      <c r="I64" t="s">
        <v>495</v>
      </c>
      <c r="K64" t="s">
        <v>42</v>
      </c>
      <c r="L64">
        <f t="shared" si="3"/>
        <v>5</v>
      </c>
    </row>
    <row r="65" spans="1:12" x14ac:dyDescent="0.25">
      <c r="A65" t="s">
        <v>84</v>
      </c>
      <c r="B65" t="s">
        <v>83</v>
      </c>
      <c r="C65">
        <f t="shared" si="0"/>
        <v>2023</v>
      </c>
      <c r="D65">
        <f t="shared" si="1"/>
        <v>9</v>
      </c>
      <c r="E65" t="str">
        <f t="shared" si="2"/>
        <v>2023-9</v>
      </c>
      <c r="H65" t="s">
        <v>81</v>
      </c>
      <c r="I65" t="s">
        <v>498</v>
      </c>
      <c r="K65" t="s">
        <v>136</v>
      </c>
      <c r="L65">
        <f t="shared" si="3"/>
        <v>4</v>
      </c>
    </row>
    <row r="66" spans="1:12" x14ac:dyDescent="0.25">
      <c r="A66" t="s">
        <v>85</v>
      </c>
      <c r="B66" t="s">
        <v>83</v>
      </c>
      <c r="C66">
        <f t="shared" si="0"/>
        <v>2023</v>
      </c>
      <c r="D66">
        <f t="shared" si="1"/>
        <v>9</v>
      </c>
      <c r="E66" t="str">
        <f t="shared" si="2"/>
        <v>2023-9</v>
      </c>
      <c r="H66" t="s">
        <v>81</v>
      </c>
      <c r="I66" t="s">
        <v>501</v>
      </c>
      <c r="K66" t="s">
        <v>243</v>
      </c>
      <c r="L66">
        <f t="shared" si="3"/>
        <v>5</v>
      </c>
    </row>
    <row r="67" spans="1:12" x14ac:dyDescent="0.25">
      <c r="A67" t="s">
        <v>86</v>
      </c>
      <c r="B67" t="s">
        <v>87</v>
      </c>
      <c r="C67">
        <f t="shared" ref="C67:C130" si="4">YEAR(B67)</f>
        <v>2023</v>
      </c>
      <c r="D67">
        <f t="shared" ref="D67:D130" si="5">MONTH(B67)</f>
        <v>9</v>
      </c>
      <c r="E67" t="str">
        <f t="shared" ref="E67:E130" si="6">C67&amp;"-"&amp;D67</f>
        <v>2023-9</v>
      </c>
      <c r="H67" t="s">
        <v>81</v>
      </c>
      <c r="I67" t="s">
        <v>502</v>
      </c>
      <c r="K67" t="s">
        <v>93</v>
      </c>
      <c r="L67">
        <f t="shared" ref="L67:L130" si="7">COUNTIF(H:H,K67)</f>
        <v>4</v>
      </c>
    </row>
    <row r="68" spans="1:12" x14ac:dyDescent="0.25">
      <c r="A68" t="s">
        <v>88</v>
      </c>
      <c r="B68" t="s">
        <v>87</v>
      </c>
      <c r="C68">
        <f t="shared" si="4"/>
        <v>2023</v>
      </c>
      <c r="D68">
        <f t="shared" si="5"/>
        <v>9</v>
      </c>
      <c r="E68" t="str">
        <f t="shared" si="6"/>
        <v>2023-9</v>
      </c>
      <c r="H68" t="s">
        <v>81</v>
      </c>
      <c r="I68" t="s">
        <v>505</v>
      </c>
      <c r="K68" t="s">
        <v>99</v>
      </c>
      <c r="L68">
        <f t="shared" si="7"/>
        <v>6</v>
      </c>
    </row>
    <row r="69" spans="1:12" x14ac:dyDescent="0.25">
      <c r="A69" t="s">
        <v>89</v>
      </c>
      <c r="B69" t="s">
        <v>87</v>
      </c>
      <c r="C69">
        <f t="shared" si="4"/>
        <v>2023</v>
      </c>
      <c r="D69">
        <f t="shared" si="5"/>
        <v>9</v>
      </c>
      <c r="E69" t="str">
        <f t="shared" si="6"/>
        <v>2023-9</v>
      </c>
      <c r="H69" t="s">
        <v>81</v>
      </c>
      <c r="I69" t="s">
        <v>506</v>
      </c>
      <c r="K69" t="s">
        <v>59</v>
      </c>
      <c r="L69">
        <f t="shared" si="7"/>
        <v>5</v>
      </c>
    </row>
    <row r="70" spans="1:12" x14ac:dyDescent="0.25">
      <c r="A70" t="s">
        <v>90</v>
      </c>
      <c r="B70" t="s">
        <v>87</v>
      </c>
      <c r="C70">
        <f t="shared" si="4"/>
        <v>2023</v>
      </c>
      <c r="D70">
        <f t="shared" si="5"/>
        <v>9</v>
      </c>
      <c r="E70" t="str">
        <f t="shared" si="6"/>
        <v>2023-9</v>
      </c>
      <c r="H70" t="s">
        <v>74</v>
      </c>
      <c r="I70" t="s">
        <v>495</v>
      </c>
      <c r="K70" t="s">
        <v>20</v>
      </c>
      <c r="L70">
        <f t="shared" si="7"/>
        <v>6</v>
      </c>
    </row>
    <row r="71" spans="1:12" x14ac:dyDescent="0.25">
      <c r="A71" t="s">
        <v>91</v>
      </c>
      <c r="B71" t="s">
        <v>87</v>
      </c>
      <c r="C71">
        <f t="shared" si="4"/>
        <v>2023</v>
      </c>
      <c r="D71">
        <f t="shared" si="5"/>
        <v>9</v>
      </c>
      <c r="E71" t="str">
        <f t="shared" si="6"/>
        <v>2023-9</v>
      </c>
      <c r="H71" t="s">
        <v>74</v>
      </c>
      <c r="I71" t="s">
        <v>499</v>
      </c>
      <c r="K71" t="s">
        <v>269</v>
      </c>
      <c r="L71">
        <f t="shared" si="7"/>
        <v>2</v>
      </c>
    </row>
    <row r="72" spans="1:12" x14ac:dyDescent="0.25">
      <c r="A72" t="s">
        <v>92</v>
      </c>
      <c r="B72" t="s">
        <v>87</v>
      </c>
      <c r="C72">
        <f t="shared" si="4"/>
        <v>2023</v>
      </c>
      <c r="D72">
        <f t="shared" si="5"/>
        <v>9</v>
      </c>
      <c r="E72" t="str">
        <f t="shared" si="6"/>
        <v>2023-9</v>
      </c>
      <c r="H72" t="s">
        <v>74</v>
      </c>
      <c r="I72" t="s">
        <v>501</v>
      </c>
      <c r="K72" t="s">
        <v>242</v>
      </c>
      <c r="L72">
        <f t="shared" si="7"/>
        <v>1</v>
      </c>
    </row>
    <row r="73" spans="1:12" x14ac:dyDescent="0.25">
      <c r="A73" t="s">
        <v>93</v>
      </c>
      <c r="B73" t="s">
        <v>87</v>
      </c>
      <c r="C73">
        <f t="shared" si="4"/>
        <v>2023</v>
      </c>
      <c r="D73">
        <f t="shared" si="5"/>
        <v>9</v>
      </c>
      <c r="E73" t="str">
        <f t="shared" si="6"/>
        <v>2023-9</v>
      </c>
      <c r="H73" t="s">
        <v>6</v>
      </c>
      <c r="I73" t="s">
        <v>495</v>
      </c>
      <c r="K73" t="s">
        <v>133</v>
      </c>
      <c r="L73">
        <f t="shared" si="7"/>
        <v>3</v>
      </c>
    </row>
    <row r="74" spans="1:12" x14ac:dyDescent="0.25">
      <c r="A74" t="s">
        <v>94</v>
      </c>
      <c r="B74" t="s">
        <v>87</v>
      </c>
      <c r="C74">
        <f t="shared" si="4"/>
        <v>2023</v>
      </c>
      <c r="D74">
        <f t="shared" si="5"/>
        <v>9</v>
      </c>
      <c r="E74" t="str">
        <f t="shared" si="6"/>
        <v>2023-9</v>
      </c>
      <c r="H74" t="s">
        <v>6</v>
      </c>
      <c r="I74" t="s">
        <v>496</v>
      </c>
      <c r="K74" t="s">
        <v>209</v>
      </c>
      <c r="L74">
        <f t="shared" si="7"/>
        <v>3</v>
      </c>
    </row>
    <row r="75" spans="1:12" x14ac:dyDescent="0.25">
      <c r="A75" t="s">
        <v>42</v>
      </c>
      <c r="B75" t="s">
        <v>87</v>
      </c>
      <c r="C75">
        <f t="shared" si="4"/>
        <v>2023</v>
      </c>
      <c r="D75">
        <f t="shared" si="5"/>
        <v>9</v>
      </c>
      <c r="E75" t="str">
        <f t="shared" si="6"/>
        <v>2023-9</v>
      </c>
      <c r="H75" t="s">
        <v>6</v>
      </c>
      <c r="I75" t="s">
        <v>497</v>
      </c>
      <c r="K75" t="s">
        <v>73</v>
      </c>
      <c r="L75">
        <f t="shared" si="7"/>
        <v>7</v>
      </c>
    </row>
    <row r="76" spans="1:12" x14ac:dyDescent="0.25">
      <c r="A76" t="s">
        <v>43</v>
      </c>
      <c r="B76" t="s">
        <v>95</v>
      </c>
      <c r="C76">
        <f t="shared" si="4"/>
        <v>2023</v>
      </c>
      <c r="D76">
        <f t="shared" si="5"/>
        <v>9</v>
      </c>
      <c r="E76" t="str">
        <f t="shared" si="6"/>
        <v>2023-9</v>
      </c>
      <c r="H76" t="s">
        <v>6</v>
      </c>
      <c r="I76" t="s">
        <v>498</v>
      </c>
      <c r="K76" t="s">
        <v>186</v>
      </c>
      <c r="L76">
        <f t="shared" si="7"/>
        <v>6</v>
      </c>
    </row>
    <row r="77" spans="1:12" x14ac:dyDescent="0.25">
      <c r="A77" t="s">
        <v>96</v>
      </c>
      <c r="B77" t="s">
        <v>97</v>
      </c>
      <c r="C77">
        <f t="shared" si="4"/>
        <v>2023</v>
      </c>
      <c r="D77">
        <f t="shared" si="5"/>
        <v>9</v>
      </c>
      <c r="E77" t="str">
        <f t="shared" si="6"/>
        <v>2023-9</v>
      </c>
      <c r="H77" t="s">
        <v>6</v>
      </c>
      <c r="I77" t="s">
        <v>505</v>
      </c>
      <c r="K77" t="s">
        <v>9</v>
      </c>
      <c r="L77">
        <f t="shared" si="7"/>
        <v>7</v>
      </c>
    </row>
    <row r="78" spans="1:12" x14ac:dyDescent="0.25">
      <c r="A78" t="s">
        <v>98</v>
      </c>
      <c r="B78" t="s">
        <v>97</v>
      </c>
      <c r="C78">
        <f t="shared" si="4"/>
        <v>2023</v>
      </c>
      <c r="D78">
        <f t="shared" si="5"/>
        <v>9</v>
      </c>
      <c r="E78" t="str">
        <f t="shared" si="6"/>
        <v>2023-9</v>
      </c>
      <c r="H78" t="s">
        <v>293</v>
      </c>
      <c r="I78" t="s">
        <v>500</v>
      </c>
      <c r="K78" t="s">
        <v>67</v>
      </c>
      <c r="L78">
        <f t="shared" si="7"/>
        <v>6</v>
      </c>
    </row>
    <row r="79" spans="1:12" x14ac:dyDescent="0.25">
      <c r="A79" t="s">
        <v>99</v>
      </c>
      <c r="B79" t="s">
        <v>100</v>
      </c>
      <c r="C79">
        <f t="shared" si="4"/>
        <v>2023</v>
      </c>
      <c r="D79">
        <f t="shared" si="5"/>
        <v>9</v>
      </c>
      <c r="E79" t="str">
        <f t="shared" si="6"/>
        <v>2023-9</v>
      </c>
      <c r="H79" t="s">
        <v>129</v>
      </c>
      <c r="I79" t="s">
        <v>496</v>
      </c>
      <c r="K79" t="s">
        <v>239</v>
      </c>
      <c r="L79">
        <f t="shared" si="7"/>
        <v>8</v>
      </c>
    </row>
    <row r="80" spans="1:12" x14ac:dyDescent="0.25">
      <c r="A80" t="s">
        <v>101</v>
      </c>
      <c r="B80" t="s">
        <v>102</v>
      </c>
      <c r="C80">
        <f t="shared" si="4"/>
        <v>2023</v>
      </c>
      <c r="D80">
        <f t="shared" si="5"/>
        <v>9</v>
      </c>
      <c r="E80" t="str">
        <f t="shared" si="6"/>
        <v>2023-9</v>
      </c>
      <c r="H80" t="s">
        <v>129</v>
      </c>
      <c r="I80" t="s">
        <v>498</v>
      </c>
      <c r="K80" t="s">
        <v>92</v>
      </c>
      <c r="L80">
        <f t="shared" si="7"/>
        <v>6</v>
      </c>
    </row>
    <row r="81" spans="1:12" x14ac:dyDescent="0.25">
      <c r="A81" t="s">
        <v>36</v>
      </c>
      <c r="B81" t="s">
        <v>102</v>
      </c>
      <c r="C81">
        <f t="shared" si="4"/>
        <v>2023</v>
      </c>
      <c r="D81">
        <f t="shared" si="5"/>
        <v>9</v>
      </c>
      <c r="E81" t="str">
        <f t="shared" si="6"/>
        <v>2023-9</v>
      </c>
      <c r="H81" t="s">
        <v>129</v>
      </c>
      <c r="I81" t="s">
        <v>501</v>
      </c>
      <c r="K81" t="s">
        <v>55</v>
      </c>
      <c r="L81">
        <f t="shared" si="7"/>
        <v>6</v>
      </c>
    </row>
    <row r="82" spans="1:12" x14ac:dyDescent="0.25">
      <c r="A82" t="s">
        <v>103</v>
      </c>
      <c r="B82" t="s">
        <v>104</v>
      </c>
      <c r="C82">
        <f t="shared" si="4"/>
        <v>2023</v>
      </c>
      <c r="D82">
        <f t="shared" si="5"/>
        <v>10</v>
      </c>
      <c r="E82" t="str">
        <f t="shared" si="6"/>
        <v>2023-10</v>
      </c>
      <c r="H82" t="s">
        <v>70</v>
      </c>
      <c r="I82" t="s">
        <v>495</v>
      </c>
      <c r="K82" t="s">
        <v>166</v>
      </c>
      <c r="L82">
        <f t="shared" si="7"/>
        <v>1</v>
      </c>
    </row>
    <row r="83" spans="1:12" x14ac:dyDescent="0.25">
      <c r="A83" t="s">
        <v>105</v>
      </c>
      <c r="B83" t="s">
        <v>104</v>
      </c>
      <c r="C83">
        <f t="shared" si="4"/>
        <v>2023</v>
      </c>
      <c r="D83">
        <f t="shared" si="5"/>
        <v>10</v>
      </c>
      <c r="E83" t="str">
        <f t="shared" si="6"/>
        <v>2023-10</v>
      </c>
      <c r="H83" t="s">
        <v>70</v>
      </c>
      <c r="I83" t="s">
        <v>499</v>
      </c>
      <c r="K83" t="s">
        <v>194</v>
      </c>
      <c r="L83">
        <f t="shared" si="7"/>
        <v>5</v>
      </c>
    </row>
    <row r="84" spans="1:12" x14ac:dyDescent="0.25">
      <c r="A84" t="s">
        <v>6</v>
      </c>
      <c r="B84" t="s">
        <v>104</v>
      </c>
      <c r="C84">
        <f t="shared" si="4"/>
        <v>2023</v>
      </c>
      <c r="D84">
        <f t="shared" si="5"/>
        <v>10</v>
      </c>
      <c r="E84" t="str">
        <f t="shared" si="6"/>
        <v>2023-10</v>
      </c>
      <c r="H84" t="s">
        <v>70</v>
      </c>
      <c r="I84" t="s">
        <v>502</v>
      </c>
      <c r="K84" t="s">
        <v>94</v>
      </c>
      <c r="L84">
        <f t="shared" si="7"/>
        <v>8</v>
      </c>
    </row>
    <row r="85" spans="1:12" x14ac:dyDescent="0.25">
      <c r="A85" t="s">
        <v>106</v>
      </c>
      <c r="B85" t="s">
        <v>104</v>
      </c>
      <c r="C85">
        <f t="shared" si="4"/>
        <v>2023</v>
      </c>
      <c r="D85">
        <f t="shared" si="5"/>
        <v>10</v>
      </c>
      <c r="E85" t="str">
        <f t="shared" si="6"/>
        <v>2023-10</v>
      </c>
      <c r="H85" t="s">
        <v>70</v>
      </c>
      <c r="I85" t="s">
        <v>503</v>
      </c>
      <c r="K85" t="s">
        <v>338</v>
      </c>
      <c r="L85">
        <f t="shared" si="7"/>
        <v>2</v>
      </c>
    </row>
    <row r="86" spans="1:12" x14ac:dyDescent="0.25">
      <c r="A86" t="s">
        <v>107</v>
      </c>
      <c r="B86" t="s">
        <v>104</v>
      </c>
      <c r="C86">
        <f t="shared" si="4"/>
        <v>2023</v>
      </c>
      <c r="D86">
        <f t="shared" si="5"/>
        <v>10</v>
      </c>
      <c r="E86" t="str">
        <f t="shared" si="6"/>
        <v>2023-10</v>
      </c>
      <c r="H86" t="s">
        <v>123</v>
      </c>
      <c r="I86" t="s">
        <v>496</v>
      </c>
      <c r="K86" t="s">
        <v>15</v>
      </c>
      <c r="L86">
        <f t="shared" si="7"/>
        <v>4</v>
      </c>
    </row>
    <row r="87" spans="1:12" x14ac:dyDescent="0.25">
      <c r="A87" t="s">
        <v>108</v>
      </c>
      <c r="B87" t="s">
        <v>104</v>
      </c>
      <c r="C87">
        <f t="shared" si="4"/>
        <v>2023</v>
      </c>
      <c r="D87">
        <f t="shared" si="5"/>
        <v>10</v>
      </c>
      <c r="E87" t="str">
        <f t="shared" si="6"/>
        <v>2023-10</v>
      </c>
      <c r="H87" t="s">
        <v>123</v>
      </c>
      <c r="I87" t="s">
        <v>497</v>
      </c>
      <c r="K87" t="s">
        <v>256</v>
      </c>
      <c r="L87">
        <f t="shared" si="7"/>
        <v>4</v>
      </c>
    </row>
    <row r="88" spans="1:12" x14ac:dyDescent="0.25">
      <c r="A88" t="s">
        <v>75</v>
      </c>
      <c r="B88" t="s">
        <v>104</v>
      </c>
      <c r="C88">
        <f t="shared" si="4"/>
        <v>2023</v>
      </c>
      <c r="D88">
        <f t="shared" si="5"/>
        <v>10</v>
      </c>
      <c r="E88" t="str">
        <f t="shared" si="6"/>
        <v>2023-10</v>
      </c>
      <c r="H88" t="s">
        <v>24</v>
      </c>
      <c r="I88" t="s">
        <v>495</v>
      </c>
      <c r="K88" t="s">
        <v>176</v>
      </c>
      <c r="L88">
        <f t="shared" si="7"/>
        <v>4</v>
      </c>
    </row>
    <row r="89" spans="1:12" x14ac:dyDescent="0.25">
      <c r="A89" t="s">
        <v>39</v>
      </c>
      <c r="B89" t="s">
        <v>109</v>
      </c>
      <c r="C89">
        <f t="shared" si="4"/>
        <v>2023</v>
      </c>
      <c r="D89">
        <f t="shared" si="5"/>
        <v>10</v>
      </c>
      <c r="E89" t="str">
        <f t="shared" si="6"/>
        <v>2023-10</v>
      </c>
      <c r="H89" t="s">
        <v>24</v>
      </c>
      <c r="I89" t="s">
        <v>496</v>
      </c>
      <c r="K89" t="s">
        <v>86</v>
      </c>
      <c r="L89">
        <f t="shared" si="7"/>
        <v>1</v>
      </c>
    </row>
    <row r="90" spans="1:12" x14ac:dyDescent="0.25">
      <c r="A90" t="s">
        <v>90</v>
      </c>
      <c r="B90" t="s">
        <v>109</v>
      </c>
      <c r="C90">
        <f t="shared" si="4"/>
        <v>2023</v>
      </c>
      <c r="D90">
        <f t="shared" si="5"/>
        <v>10</v>
      </c>
      <c r="E90" t="str">
        <f t="shared" si="6"/>
        <v>2023-10</v>
      </c>
      <c r="H90" t="s">
        <v>24</v>
      </c>
      <c r="I90" t="s">
        <v>502</v>
      </c>
      <c r="K90" t="s">
        <v>181</v>
      </c>
      <c r="L90">
        <f t="shared" si="7"/>
        <v>2</v>
      </c>
    </row>
    <row r="91" spans="1:12" x14ac:dyDescent="0.25">
      <c r="A91" t="s">
        <v>110</v>
      </c>
      <c r="B91" t="s">
        <v>109</v>
      </c>
      <c r="C91">
        <f t="shared" si="4"/>
        <v>2023</v>
      </c>
      <c r="D91">
        <f t="shared" si="5"/>
        <v>10</v>
      </c>
      <c r="E91" t="str">
        <f t="shared" si="6"/>
        <v>2023-10</v>
      </c>
      <c r="H91" t="s">
        <v>24</v>
      </c>
      <c r="I91" t="s">
        <v>504</v>
      </c>
      <c r="K91" t="s">
        <v>248</v>
      </c>
      <c r="L91">
        <f t="shared" si="7"/>
        <v>5</v>
      </c>
    </row>
    <row r="92" spans="1:12" x14ac:dyDescent="0.25">
      <c r="A92" t="s">
        <v>75</v>
      </c>
      <c r="B92" t="s">
        <v>109</v>
      </c>
      <c r="C92">
        <f t="shared" si="4"/>
        <v>2023</v>
      </c>
      <c r="D92">
        <f t="shared" si="5"/>
        <v>10</v>
      </c>
      <c r="E92" t="str">
        <f t="shared" si="6"/>
        <v>2023-10</v>
      </c>
      <c r="H92" t="s">
        <v>24</v>
      </c>
      <c r="I92" t="s">
        <v>505</v>
      </c>
      <c r="K92" t="s">
        <v>33</v>
      </c>
      <c r="L92">
        <f t="shared" si="7"/>
        <v>8</v>
      </c>
    </row>
    <row r="93" spans="1:12" x14ac:dyDescent="0.25">
      <c r="A93" t="s">
        <v>111</v>
      </c>
      <c r="B93" t="s">
        <v>112</v>
      </c>
      <c r="C93">
        <f t="shared" si="4"/>
        <v>2023</v>
      </c>
      <c r="D93">
        <f t="shared" si="5"/>
        <v>10</v>
      </c>
      <c r="E93" t="str">
        <f t="shared" si="6"/>
        <v>2023-10</v>
      </c>
      <c r="H93" t="s">
        <v>21</v>
      </c>
      <c r="I93" t="s">
        <v>495</v>
      </c>
      <c r="K93" t="s">
        <v>331</v>
      </c>
      <c r="L93">
        <f t="shared" si="7"/>
        <v>2</v>
      </c>
    </row>
    <row r="94" spans="1:12" x14ac:dyDescent="0.25">
      <c r="A94" t="s">
        <v>65</v>
      </c>
      <c r="B94" t="s">
        <v>112</v>
      </c>
      <c r="C94">
        <f t="shared" si="4"/>
        <v>2023</v>
      </c>
      <c r="D94">
        <f t="shared" si="5"/>
        <v>10</v>
      </c>
      <c r="E94" t="str">
        <f t="shared" si="6"/>
        <v>2023-10</v>
      </c>
      <c r="H94" t="s">
        <v>21</v>
      </c>
      <c r="I94" t="s">
        <v>503</v>
      </c>
      <c r="K94" t="s">
        <v>226</v>
      </c>
      <c r="L94">
        <f t="shared" si="7"/>
        <v>3</v>
      </c>
    </row>
    <row r="95" spans="1:12" x14ac:dyDescent="0.25">
      <c r="A95" t="s">
        <v>113</v>
      </c>
      <c r="B95" t="s">
        <v>112</v>
      </c>
      <c r="C95">
        <f t="shared" si="4"/>
        <v>2023</v>
      </c>
      <c r="D95">
        <f t="shared" si="5"/>
        <v>10</v>
      </c>
      <c r="E95" t="str">
        <f t="shared" si="6"/>
        <v>2023-10</v>
      </c>
      <c r="H95" t="s">
        <v>21</v>
      </c>
      <c r="I95" t="s">
        <v>505</v>
      </c>
      <c r="K95" t="s">
        <v>202</v>
      </c>
      <c r="L95">
        <f t="shared" si="7"/>
        <v>3</v>
      </c>
    </row>
    <row r="96" spans="1:12" x14ac:dyDescent="0.25">
      <c r="A96" t="s">
        <v>114</v>
      </c>
      <c r="B96" t="s">
        <v>115</v>
      </c>
      <c r="C96">
        <f t="shared" si="4"/>
        <v>2023</v>
      </c>
      <c r="D96">
        <f t="shared" si="5"/>
        <v>10</v>
      </c>
      <c r="E96" t="str">
        <f t="shared" si="6"/>
        <v>2023-10</v>
      </c>
      <c r="H96" t="s">
        <v>444</v>
      </c>
      <c r="I96" t="s">
        <v>506</v>
      </c>
      <c r="K96" t="s">
        <v>211</v>
      </c>
      <c r="L96">
        <f t="shared" si="7"/>
        <v>4</v>
      </c>
    </row>
    <row r="97" spans="1:12" x14ac:dyDescent="0.25">
      <c r="A97" t="s">
        <v>116</v>
      </c>
      <c r="B97" t="s">
        <v>115</v>
      </c>
      <c r="C97">
        <f t="shared" si="4"/>
        <v>2023</v>
      </c>
      <c r="D97">
        <f t="shared" si="5"/>
        <v>10</v>
      </c>
      <c r="E97" t="str">
        <f t="shared" si="6"/>
        <v>2023-10</v>
      </c>
      <c r="H97" t="s">
        <v>289</v>
      </c>
      <c r="I97" t="s">
        <v>500</v>
      </c>
      <c r="K97" t="s">
        <v>101</v>
      </c>
      <c r="L97">
        <f t="shared" si="7"/>
        <v>5</v>
      </c>
    </row>
    <row r="98" spans="1:12" x14ac:dyDescent="0.25">
      <c r="A98" t="s">
        <v>117</v>
      </c>
      <c r="B98" t="s">
        <v>115</v>
      </c>
      <c r="C98">
        <f t="shared" si="4"/>
        <v>2023</v>
      </c>
      <c r="D98">
        <f t="shared" si="5"/>
        <v>10</v>
      </c>
      <c r="E98" t="str">
        <f t="shared" si="6"/>
        <v>2023-10</v>
      </c>
      <c r="H98" t="s">
        <v>289</v>
      </c>
      <c r="I98" t="s">
        <v>504</v>
      </c>
      <c r="K98" t="s">
        <v>103</v>
      </c>
      <c r="L98">
        <f t="shared" si="7"/>
        <v>3</v>
      </c>
    </row>
    <row r="99" spans="1:12" x14ac:dyDescent="0.25">
      <c r="A99" t="s">
        <v>111</v>
      </c>
      <c r="B99" t="s">
        <v>118</v>
      </c>
      <c r="C99">
        <f t="shared" si="4"/>
        <v>2023</v>
      </c>
      <c r="D99">
        <f t="shared" si="5"/>
        <v>10</v>
      </c>
      <c r="E99" t="str">
        <f t="shared" si="6"/>
        <v>2023-10</v>
      </c>
      <c r="H99" t="s">
        <v>89</v>
      </c>
      <c r="I99" t="s">
        <v>495</v>
      </c>
      <c r="K99" t="s">
        <v>113</v>
      </c>
      <c r="L99">
        <f t="shared" si="7"/>
        <v>3</v>
      </c>
    </row>
    <row r="100" spans="1:12" x14ac:dyDescent="0.25">
      <c r="A100" t="s">
        <v>119</v>
      </c>
      <c r="B100" t="s">
        <v>118</v>
      </c>
      <c r="C100">
        <f t="shared" si="4"/>
        <v>2023</v>
      </c>
      <c r="D100">
        <f t="shared" si="5"/>
        <v>10</v>
      </c>
      <c r="E100" t="str">
        <f t="shared" si="6"/>
        <v>2023-10</v>
      </c>
      <c r="H100" t="s">
        <v>89</v>
      </c>
      <c r="I100" t="s">
        <v>496</v>
      </c>
      <c r="K100" t="s">
        <v>306</v>
      </c>
      <c r="L100">
        <f t="shared" si="7"/>
        <v>2</v>
      </c>
    </row>
    <row r="101" spans="1:12" x14ac:dyDescent="0.25">
      <c r="A101" t="s">
        <v>33</v>
      </c>
      <c r="B101" t="s">
        <v>120</v>
      </c>
      <c r="C101">
        <f t="shared" si="4"/>
        <v>2023</v>
      </c>
      <c r="D101">
        <f t="shared" si="5"/>
        <v>10</v>
      </c>
      <c r="E101" t="str">
        <f t="shared" si="6"/>
        <v>2023-10</v>
      </c>
      <c r="H101" t="s">
        <v>89</v>
      </c>
      <c r="I101" t="s">
        <v>498</v>
      </c>
      <c r="K101" t="s">
        <v>200</v>
      </c>
      <c r="L101">
        <f t="shared" si="7"/>
        <v>2</v>
      </c>
    </row>
    <row r="102" spans="1:12" x14ac:dyDescent="0.25">
      <c r="A102" t="s">
        <v>121</v>
      </c>
      <c r="B102" t="s">
        <v>120</v>
      </c>
      <c r="C102">
        <f t="shared" si="4"/>
        <v>2023</v>
      </c>
      <c r="D102">
        <f t="shared" si="5"/>
        <v>10</v>
      </c>
      <c r="E102" t="str">
        <f t="shared" si="6"/>
        <v>2023-10</v>
      </c>
      <c r="H102" t="s">
        <v>89</v>
      </c>
      <c r="I102" t="s">
        <v>500</v>
      </c>
      <c r="K102" t="s">
        <v>142</v>
      </c>
      <c r="L102">
        <f t="shared" si="7"/>
        <v>5</v>
      </c>
    </row>
    <row r="103" spans="1:12" x14ac:dyDescent="0.25">
      <c r="A103" t="s">
        <v>99</v>
      </c>
      <c r="B103" t="s">
        <v>120</v>
      </c>
      <c r="C103">
        <f t="shared" si="4"/>
        <v>2023</v>
      </c>
      <c r="D103">
        <f t="shared" si="5"/>
        <v>10</v>
      </c>
      <c r="E103" t="str">
        <f t="shared" si="6"/>
        <v>2023-10</v>
      </c>
      <c r="H103" t="s">
        <v>89</v>
      </c>
      <c r="I103" t="s">
        <v>501</v>
      </c>
      <c r="K103" t="s">
        <v>107</v>
      </c>
      <c r="L103">
        <f t="shared" si="7"/>
        <v>5</v>
      </c>
    </row>
    <row r="104" spans="1:12" x14ac:dyDescent="0.25">
      <c r="A104" t="s">
        <v>26</v>
      </c>
      <c r="B104" t="s">
        <v>120</v>
      </c>
      <c r="C104">
        <f t="shared" si="4"/>
        <v>2023</v>
      </c>
      <c r="D104">
        <f t="shared" si="5"/>
        <v>10</v>
      </c>
      <c r="E104" t="str">
        <f t="shared" si="6"/>
        <v>2023-10</v>
      </c>
      <c r="H104" t="s">
        <v>89</v>
      </c>
      <c r="I104" t="s">
        <v>502</v>
      </c>
      <c r="K104" t="s">
        <v>375</v>
      </c>
      <c r="L104">
        <f t="shared" si="7"/>
        <v>1</v>
      </c>
    </row>
    <row r="105" spans="1:12" x14ac:dyDescent="0.25">
      <c r="A105" t="s">
        <v>122</v>
      </c>
      <c r="B105" t="s">
        <v>120</v>
      </c>
      <c r="C105">
        <f t="shared" si="4"/>
        <v>2023</v>
      </c>
      <c r="D105">
        <f t="shared" si="5"/>
        <v>10</v>
      </c>
      <c r="E105" t="str">
        <f t="shared" si="6"/>
        <v>2023-10</v>
      </c>
      <c r="H105" t="s">
        <v>89</v>
      </c>
      <c r="I105" t="s">
        <v>503</v>
      </c>
      <c r="K105" t="s">
        <v>270</v>
      </c>
      <c r="L105">
        <f t="shared" si="7"/>
        <v>4</v>
      </c>
    </row>
    <row r="106" spans="1:12" x14ac:dyDescent="0.25">
      <c r="A106" t="s">
        <v>123</v>
      </c>
      <c r="B106" t="s">
        <v>120</v>
      </c>
      <c r="C106">
        <f t="shared" si="4"/>
        <v>2023</v>
      </c>
      <c r="D106">
        <f t="shared" si="5"/>
        <v>10</v>
      </c>
      <c r="E106" t="str">
        <f t="shared" si="6"/>
        <v>2023-10</v>
      </c>
      <c r="H106" t="s">
        <v>89</v>
      </c>
      <c r="I106" t="s">
        <v>504</v>
      </c>
      <c r="K106" t="s">
        <v>233</v>
      </c>
      <c r="L106">
        <f t="shared" si="7"/>
        <v>3</v>
      </c>
    </row>
    <row r="107" spans="1:12" x14ac:dyDescent="0.25">
      <c r="A107" t="s">
        <v>124</v>
      </c>
      <c r="B107" t="s">
        <v>120</v>
      </c>
      <c r="C107">
        <f t="shared" si="4"/>
        <v>2023</v>
      </c>
      <c r="D107">
        <f t="shared" si="5"/>
        <v>10</v>
      </c>
      <c r="E107" t="str">
        <f t="shared" si="6"/>
        <v>2023-10</v>
      </c>
      <c r="H107" t="s">
        <v>279</v>
      </c>
      <c r="I107" t="s">
        <v>499</v>
      </c>
      <c r="K107" t="s">
        <v>11</v>
      </c>
      <c r="L107">
        <f t="shared" si="7"/>
        <v>4</v>
      </c>
    </row>
    <row r="108" spans="1:12" x14ac:dyDescent="0.25">
      <c r="A108" t="s">
        <v>19</v>
      </c>
      <c r="B108" t="s">
        <v>120</v>
      </c>
      <c r="C108">
        <f t="shared" si="4"/>
        <v>2023</v>
      </c>
      <c r="D108">
        <f t="shared" si="5"/>
        <v>10</v>
      </c>
      <c r="E108" t="str">
        <f t="shared" si="6"/>
        <v>2023-10</v>
      </c>
      <c r="H108" t="s">
        <v>279</v>
      </c>
      <c r="I108" t="s">
        <v>502</v>
      </c>
      <c r="K108" t="s">
        <v>227</v>
      </c>
      <c r="L108">
        <f t="shared" si="7"/>
        <v>6</v>
      </c>
    </row>
    <row r="109" spans="1:12" x14ac:dyDescent="0.25">
      <c r="A109" t="s">
        <v>125</v>
      </c>
      <c r="B109" t="s">
        <v>120</v>
      </c>
      <c r="C109">
        <f t="shared" si="4"/>
        <v>2023</v>
      </c>
      <c r="D109">
        <f t="shared" si="5"/>
        <v>10</v>
      </c>
      <c r="E109" t="str">
        <f t="shared" si="6"/>
        <v>2023-10</v>
      </c>
      <c r="H109" t="s">
        <v>279</v>
      </c>
      <c r="I109" t="s">
        <v>504</v>
      </c>
      <c r="K109" t="s">
        <v>72</v>
      </c>
      <c r="L109">
        <f t="shared" si="7"/>
        <v>3</v>
      </c>
    </row>
    <row r="110" spans="1:12" x14ac:dyDescent="0.25">
      <c r="A110" t="s">
        <v>126</v>
      </c>
      <c r="B110" t="s">
        <v>120</v>
      </c>
      <c r="C110">
        <f t="shared" si="4"/>
        <v>2023</v>
      </c>
      <c r="D110">
        <f t="shared" si="5"/>
        <v>10</v>
      </c>
      <c r="E110" t="str">
        <f t="shared" si="6"/>
        <v>2023-10</v>
      </c>
      <c r="H110" t="s">
        <v>279</v>
      </c>
      <c r="I110" t="s">
        <v>506</v>
      </c>
      <c r="K110" t="s">
        <v>141</v>
      </c>
      <c r="L110">
        <f t="shared" si="7"/>
        <v>5</v>
      </c>
    </row>
    <row r="111" spans="1:12" x14ac:dyDescent="0.25">
      <c r="A111" t="s">
        <v>78</v>
      </c>
      <c r="B111" t="s">
        <v>120</v>
      </c>
      <c r="C111">
        <f t="shared" si="4"/>
        <v>2023</v>
      </c>
      <c r="D111">
        <f t="shared" si="5"/>
        <v>10</v>
      </c>
      <c r="E111" t="str">
        <f t="shared" si="6"/>
        <v>2023-10</v>
      </c>
      <c r="H111" t="s">
        <v>224</v>
      </c>
      <c r="I111" t="s">
        <v>498</v>
      </c>
      <c r="K111" t="s">
        <v>19</v>
      </c>
      <c r="L111">
        <f t="shared" si="7"/>
        <v>6</v>
      </c>
    </row>
    <row r="112" spans="1:12" x14ac:dyDescent="0.25">
      <c r="A112" t="s">
        <v>96</v>
      </c>
      <c r="B112" t="s">
        <v>127</v>
      </c>
      <c r="C112">
        <f t="shared" si="4"/>
        <v>2023</v>
      </c>
      <c r="D112">
        <f t="shared" si="5"/>
        <v>10</v>
      </c>
      <c r="E112" t="str">
        <f t="shared" si="6"/>
        <v>2023-10</v>
      </c>
      <c r="H112" t="s">
        <v>224</v>
      </c>
      <c r="I112" t="s">
        <v>501</v>
      </c>
      <c r="K112" t="s">
        <v>61</v>
      </c>
      <c r="L112">
        <f t="shared" si="7"/>
        <v>4</v>
      </c>
    </row>
    <row r="113" spans="1:12" x14ac:dyDescent="0.25">
      <c r="A113" t="s">
        <v>128</v>
      </c>
      <c r="B113" t="s">
        <v>127</v>
      </c>
      <c r="C113">
        <f t="shared" si="4"/>
        <v>2023</v>
      </c>
      <c r="D113">
        <f t="shared" si="5"/>
        <v>10</v>
      </c>
      <c r="E113" t="str">
        <f t="shared" si="6"/>
        <v>2023-10</v>
      </c>
      <c r="H113" t="s">
        <v>224</v>
      </c>
      <c r="I113" t="s">
        <v>503</v>
      </c>
      <c r="K113" t="s">
        <v>82</v>
      </c>
      <c r="L113">
        <f t="shared" si="7"/>
        <v>7</v>
      </c>
    </row>
    <row r="114" spans="1:12" x14ac:dyDescent="0.25">
      <c r="A114" t="s">
        <v>53</v>
      </c>
      <c r="B114" t="s">
        <v>127</v>
      </c>
      <c r="C114">
        <f t="shared" si="4"/>
        <v>2023</v>
      </c>
      <c r="D114">
        <f t="shared" si="5"/>
        <v>10</v>
      </c>
      <c r="E114" t="str">
        <f t="shared" si="6"/>
        <v>2023-10</v>
      </c>
      <c r="H114" t="s">
        <v>224</v>
      </c>
      <c r="I114" t="s">
        <v>505</v>
      </c>
      <c r="K114" t="s">
        <v>272</v>
      </c>
      <c r="L114">
        <f t="shared" si="7"/>
        <v>3</v>
      </c>
    </row>
    <row r="115" spans="1:12" x14ac:dyDescent="0.25">
      <c r="A115" t="s">
        <v>129</v>
      </c>
      <c r="B115" t="s">
        <v>127</v>
      </c>
      <c r="C115">
        <f t="shared" si="4"/>
        <v>2023</v>
      </c>
      <c r="D115">
        <f t="shared" si="5"/>
        <v>10</v>
      </c>
      <c r="E115" t="str">
        <f t="shared" si="6"/>
        <v>2023-10</v>
      </c>
      <c r="H115" t="s">
        <v>385</v>
      </c>
      <c r="I115" t="s">
        <v>503</v>
      </c>
      <c r="K115" t="s">
        <v>157</v>
      </c>
      <c r="L115">
        <f t="shared" si="7"/>
        <v>4</v>
      </c>
    </row>
    <row r="116" spans="1:12" x14ac:dyDescent="0.25">
      <c r="A116" t="s">
        <v>130</v>
      </c>
      <c r="B116" t="s">
        <v>127</v>
      </c>
      <c r="C116">
        <f t="shared" si="4"/>
        <v>2023</v>
      </c>
      <c r="D116">
        <f t="shared" si="5"/>
        <v>10</v>
      </c>
      <c r="E116" t="str">
        <f t="shared" si="6"/>
        <v>2023-10</v>
      </c>
      <c r="H116" t="s">
        <v>385</v>
      </c>
      <c r="I116" t="s">
        <v>506</v>
      </c>
      <c r="K116" t="s">
        <v>122</v>
      </c>
      <c r="L116">
        <f t="shared" si="7"/>
        <v>3</v>
      </c>
    </row>
    <row r="117" spans="1:12" x14ac:dyDescent="0.25">
      <c r="A117" t="s">
        <v>119</v>
      </c>
      <c r="B117" t="s">
        <v>131</v>
      </c>
      <c r="C117">
        <f t="shared" si="4"/>
        <v>2023</v>
      </c>
      <c r="D117">
        <f t="shared" si="5"/>
        <v>10</v>
      </c>
      <c r="E117" t="str">
        <f t="shared" si="6"/>
        <v>2023-10</v>
      </c>
      <c r="H117" t="s">
        <v>134</v>
      </c>
      <c r="I117" t="s">
        <v>496</v>
      </c>
      <c r="K117" t="s">
        <v>152</v>
      </c>
      <c r="L117">
        <f t="shared" si="7"/>
        <v>6</v>
      </c>
    </row>
    <row r="118" spans="1:12" x14ac:dyDescent="0.25">
      <c r="A118" t="s">
        <v>132</v>
      </c>
      <c r="B118" t="s">
        <v>131</v>
      </c>
      <c r="C118">
        <f t="shared" si="4"/>
        <v>2023</v>
      </c>
      <c r="D118">
        <f t="shared" si="5"/>
        <v>10</v>
      </c>
      <c r="E118" t="str">
        <f t="shared" si="6"/>
        <v>2023-10</v>
      </c>
      <c r="H118" t="s">
        <v>134</v>
      </c>
      <c r="I118" t="s">
        <v>498</v>
      </c>
      <c r="K118" t="s">
        <v>130</v>
      </c>
      <c r="L118">
        <f t="shared" si="7"/>
        <v>6</v>
      </c>
    </row>
    <row r="119" spans="1:12" x14ac:dyDescent="0.25">
      <c r="A119" t="s">
        <v>133</v>
      </c>
      <c r="B119" t="s">
        <v>131</v>
      </c>
      <c r="C119">
        <f t="shared" si="4"/>
        <v>2023</v>
      </c>
      <c r="D119">
        <f t="shared" si="5"/>
        <v>10</v>
      </c>
      <c r="E119" t="str">
        <f t="shared" si="6"/>
        <v>2023-10</v>
      </c>
      <c r="H119" t="s">
        <v>134</v>
      </c>
      <c r="I119" t="s">
        <v>500</v>
      </c>
      <c r="K119" t="s">
        <v>36</v>
      </c>
      <c r="L119">
        <f t="shared" si="7"/>
        <v>3</v>
      </c>
    </row>
    <row r="120" spans="1:12" x14ac:dyDescent="0.25">
      <c r="A120" t="s">
        <v>134</v>
      </c>
      <c r="B120" t="s">
        <v>131</v>
      </c>
      <c r="C120">
        <f t="shared" si="4"/>
        <v>2023</v>
      </c>
      <c r="D120">
        <f t="shared" si="5"/>
        <v>10</v>
      </c>
      <c r="E120" t="str">
        <f t="shared" si="6"/>
        <v>2023-10</v>
      </c>
      <c r="H120" t="s">
        <v>134</v>
      </c>
      <c r="I120" t="s">
        <v>502</v>
      </c>
      <c r="K120" t="s">
        <v>144</v>
      </c>
      <c r="L120">
        <f t="shared" si="7"/>
        <v>7</v>
      </c>
    </row>
    <row r="121" spans="1:12" x14ac:dyDescent="0.25">
      <c r="A121" t="s">
        <v>125</v>
      </c>
      <c r="B121" t="s">
        <v>135</v>
      </c>
      <c r="C121">
        <f t="shared" si="4"/>
        <v>2023</v>
      </c>
      <c r="D121">
        <f t="shared" si="5"/>
        <v>10</v>
      </c>
      <c r="E121" t="str">
        <f t="shared" si="6"/>
        <v>2023-10</v>
      </c>
      <c r="H121" t="s">
        <v>134</v>
      </c>
      <c r="I121" t="s">
        <v>503</v>
      </c>
      <c r="K121" t="s">
        <v>198</v>
      </c>
      <c r="L121">
        <f t="shared" si="7"/>
        <v>2</v>
      </c>
    </row>
    <row r="122" spans="1:12" x14ac:dyDescent="0.25">
      <c r="A122" t="s">
        <v>136</v>
      </c>
      <c r="B122" t="s">
        <v>135</v>
      </c>
      <c r="C122">
        <f t="shared" si="4"/>
        <v>2023</v>
      </c>
      <c r="D122">
        <f t="shared" si="5"/>
        <v>10</v>
      </c>
      <c r="E122" t="str">
        <f t="shared" si="6"/>
        <v>2023-10</v>
      </c>
      <c r="H122" t="s">
        <v>134</v>
      </c>
      <c r="I122" t="s">
        <v>505</v>
      </c>
      <c r="K122" t="s">
        <v>51</v>
      </c>
      <c r="L122">
        <f t="shared" si="7"/>
        <v>3</v>
      </c>
    </row>
    <row r="123" spans="1:12" x14ac:dyDescent="0.25">
      <c r="A123" t="s">
        <v>14</v>
      </c>
      <c r="B123" t="s">
        <v>135</v>
      </c>
      <c r="C123">
        <f t="shared" si="4"/>
        <v>2023</v>
      </c>
      <c r="D123">
        <f t="shared" si="5"/>
        <v>10</v>
      </c>
      <c r="E123" t="str">
        <f t="shared" si="6"/>
        <v>2023-10</v>
      </c>
      <c r="H123" t="s">
        <v>117</v>
      </c>
      <c r="I123" t="s">
        <v>496</v>
      </c>
      <c r="K123" t="s">
        <v>22</v>
      </c>
      <c r="L123">
        <f t="shared" si="7"/>
        <v>6</v>
      </c>
    </row>
    <row r="124" spans="1:12" x14ac:dyDescent="0.25">
      <c r="A124" t="s">
        <v>137</v>
      </c>
      <c r="B124" t="s">
        <v>138</v>
      </c>
      <c r="C124">
        <f t="shared" si="4"/>
        <v>2023</v>
      </c>
      <c r="D124">
        <f t="shared" si="5"/>
        <v>10</v>
      </c>
      <c r="E124" t="str">
        <f t="shared" si="6"/>
        <v>2023-10</v>
      </c>
      <c r="H124" t="s">
        <v>117</v>
      </c>
      <c r="I124" t="s">
        <v>501</v>
      </c>
      <c r="K124" t="s">
        <v>177</v>
      </c>
      <c r="L124">
        <f t="shared" si="7"/>
        <v>5</v>
      </c>
    </row>
    <row r="125" spans="1:12" x14ac:dyDescent="0.25">
      <c r="A125" t="s">
        <v>139</v>
      </c>
      <c r="B125" t="s">
        <v>138</v>
      </c>
      <c r="C125">
        <f t="shared" si="4"/>
        <v>2023</v>
      </c>
      <c r="D125">
        <f t="shared" si="5"/>
        <v>10</v>
      </c>
      <c r="E125" t="str">
        <f t="shared" si="6"/>
        <v>2023-10</v>
      </c>
      <c r="H125" t="s">
        <v>117</v>
      </c>
      <c r="I125" t="s">
        <v>506</v>
      </c>
      <c r="K125" t="s">
        <v>78</v>
      </c>
      <c r="L125">
        <f t="shared" si="7"/>
        <v>4</v>
      </c>
    </row>
    <row r="126" spans="1:12" x14ac:dyDescent="0.25">
      <c r="A126" t="s">
        <v>137</v>
      </c>
      <c r="B126" t="s">
        <v>140</v>
      </c>
      <c r="C126">
        <f t="shared" si="4"/>
        <v>2023</v>
      </c>
      <c r="D126">
        <f t="shared" si="5"/>
        <v>10</v>
      </c>
      <c r="E126" t="str">
        <f t="shared" si="6"/>
        <v>2023-10</v>
      </c>
      <c r="H126" t="s">
        <v>300</v>
      </c>
      <c r="I126" t="s">
        <v>500</v>
      </c>
      <c r="K126" t="s">
        <v>75</v>
      </c>
      <c r="L126">
        <f t="shared" si="7"/>
        <v>6</v>
      </c>
    </row>
    <row r="127" spans="1:12" x14ac:dyDescent="0.25">
      <c r="A127" t="s">
        <v>96</v>
      </c>
      <c r="B127" t="s">
        <v>140</v>
      </c>
      <c r="C127">
        <f t="shared" si="4"/>
        <v>2023</v>
      </c>
      <c r="D127">
        <f t="shared" si="5"/>
        <v>10</v>
      </c>
      <c r="E127" t="str">
        <f t="shared" si="6"/>
        <v>2023-10</v>
      </c>
      <c r="H127" t="s">
        <v>300</v>
      </c>
      <c r="I127" t="s">
        <v>503</v>
      </c>
      <c r="K127" t="s">
        <v>344</v>
      </c>
      <c r="L127">
        <f t="shared" si="7"/>
        <v>4</v>
      </c>
    </row>
    <row r="128" spans="1:12" x14ac:dyDescent="0.25">
      <c r="A128" t="s">
        <v>89</v>
      </c>
      <c r="B128" t="s">
        <v>140</v>
      </c>
      <c r="C128">
        <f t="shared" si="4"/>
        <v>2023</v>
      </c>
      <c r="D128">
        <f t="shared" si="5"/>
        <v>10</v>
      </c>
      <c r="E128" t="str">
        <f t="shared" si="6"/>
        <v>2023-10</v>
      </c>
      <c r="H128" t="s">
        <v>300</v>
      </c>
      <c r="I128" t="s">
        <v>504</v>
      </c>
      <c r="K128" t="s">
        <v>139</v>
      </c>
      <c r="L128">
        <f t="shared" si="7"/>
        <v>5</v>
      </c>
    </row>
    <row r="129" spans="1:12" x14ac:dyDescent="0.25">
      <c r="A129" t="s">
        <v>141</v>
      </c>
      <c r="B129" t="s">
        <v>140</v>
      </c>
      <c r="C129">
        <f t="shared" si="4"/>
        <v>2023</v>
      </c>
      <c r="D129">
        <f t="shared" si="5"/>
        <v>10</v>
      </c>
      <c r="E129" t="str">
        <f t="shared" si="6"/>
        <v>2023-10</v>
      </c>
      <c r="H129" t="s">
        <v>300</v>
      </c>
      <c r="I129" t="s">
        <v>506</v>
      </c>
      <c r="K129" t="s">
        <v>380</v>
      </c>
      <c r="L129">
        <f t="shared" si="7"/>
        <v>1</v>
      </c>
    </row>
    <row r="130" spans="1:12" x14ac:dyDescent="0.25">
      <c r="A130" t="s">
        <v>142</v>
      </c>
      <c r="B130" t="s">
        <v>143</v>
      </c>
      <c r="C130">
        <f t="shared" si="4"/>
        <v>2023</v>
      </c>
      <c r="D130">
        <f t="shared" si="5"/>
        <v>10</v>
      </c>
      <c r="E130" t="str">
        <f t="shared" si="6"/>
        <v>2023-10</v>
      </c>
      <c r="H130" t="s">
        <v>384</v>
      </c>
      <c r="I130" t="s">
        <v>503</v>
      </c>
      <c r="K130" t="s">
        <v>65</v>
      </c>
      <c r="L130">
        <f t="shared" si="7"/>
        <v>6</v>
      </c>
    </row>
    <row r="131" spans="1:12" x14ac:dyDescent="0.25">
      <c r="A131" t="s">
        <v>144</v>
      </c>
      <c r="B131" t="s">
        <v>143</v>
      </c>
      <c r="C131">
        <f t="shared" ref="C131:C194" si="8">YEAR(B131)</f>
        <v>2023</v>
      </c>
      <c r="D131">
        <f t="shared" ref="D131:D194" si="9">MONTH(B131)</f>
        <v>10</v>
      </c>
      <c r="E131" t="str">
        <f t="shared" ref="E131:E194" si="10">C131&amp;"-"&amp;D131</f>
        <v>2023-10</v>
      </c>
      <c r="H131" t="s">
        <v>108</v>
      </c>
      <c r="I131" t="s">
        <v>496</v>
      </c>
      <c r="K131" t="s">
        <v>116</v>
      </c>
      <c r="L131">
        <f t="shared" ref="L131:L194" si="11">COUNTIF(H:H,K131)</f>
        <v>6</v>
      </c>
    </row>
    <row r="132" spans="1:12" x14ac:dyDescent="0.25">
      <c r="A132" t="s">
        <v>24</v>
      </c>
      <c r="B132" t="s">
        <v>143</v>
      </c>
      <c r="C132">
        <f t="shared" si="8"/>
        <v>2023</v>
      </c>
      <c r="D132">
        <f t="shared" si="9"/>
        <v>10</v>
      </c>
      <c r="E132" t="str">
        <f t="shared" si="10"/>
        <v>2023-10</v>
      </c>
      <c r="H132" t="s">
        <v>108</v>
      </c>
      <c r="I132" t="s">
        <v>497</v>
      </c>
      <c r="K132" t="s">
        <v>161</v>
      </c>
      <c r="L132">
        <f t="shared" si="11"/>
        <v>2</v>
      </c>
    </row>
    <row r="133" spans="1:12" x14ac:dyDescent="0.25">
      <c r="A133" t="s">
        <v>17</v>
      </c>
      <c r="B133" t="s">
        <v>145</v>
      </c>
      <c r="C133">
        <f t="shared" si="8"/>
        <v>2023</v>
      </c>
      <c r="D133">
        <f t="shared" si="9"/>
        <v>10</v>
      </c>
      <c r="E133" t="str">
        <f t="shared" si="10"/>
        <v>2023-10</v>
      </c>
      <c r="H133" t="s">
        <v>108</v>
      </c>
      <c r="I133" t="s">
        <v>502</v>
      </c>
      <c r="K133" t="s">
        <v>48</v>
      </c>
      <c r="L133">
        <f t="shared" si="11"/>
        <v>3</v>
      </c>
    </row>
    <row r="134" spans="1:12" x14ac:dyDescent="0.25">
      <c r="A134" t="s">
        <v>22</v>
      </c>
      <c r="B134" t="s">
        <v>145</v>
      </c>
      <c r="C134">
        <f t="shared" si="8"/>
        <v>2023</v>
      </c>
      <c r="D134">
        <f t="shared" si="9"/>
        <v>10</v>
      </c>
      <c r="E134" t="str">
        <f t="shared" si="10"/>
        <v>2023-10</v>
      </c>
      <c r="H134" t="s">
        <v>299</v>
      </c>
      <c r="I134" t="s">
        <v>500</v>
      </c>
      <c r="K134" t="s">
        <v>232</v>
      </c>
      <c r="L134">
        <f t="shared" si="11"/>
        <v>3</v>
      </c>
    </row>
    <row r="135" spans="1:12" x14ac:dyDescent="0.25">
      <c r="A135" t="s">
        <v>146</v>
      </c>
      <c r="B135" t="s">
        <v>145</v>
      </c>
      <c r="C135">
        <f t="shared" si="8"/>
        <v>2023</v>
      </c>
      <c r="D135">
        <f t="shared" si="9"/>
        <v>10</v>
      </c>
      <c r="E135" t="str">
        <f t="shared" si="10"/>
        <v>2023-10</v>
      </c>
      <c r="H135" t="s">
        <v>299</v>
      </c>
      <c r="I135" t="s">
        <v>503</v>
      </c>
      <c r="K135" t="s">
        <v>146</v>
      </c>
      <c r="L135">
        <f t="shared" si="11"/>
        <v>6</v>
      </c>
    </row>
    <row r="136" spans="1:12" x14ac:dyDescent="0.25">
      <c r="A136" t="s">
        <v>48</v>
      </c>
      <c r="B136" t="s">
        <v>147</v>
      </c>
      <c r="C136">
        <f t="shared" si="8"/>
        <v>2023</v>
      </c>
      <c r="D136">
        <f t="shared" si="9"/>
        <v>10</v>
      </c>
      <c r="E136" t="str">
        <f t="shared" si="10"/>
        <v>2023-10</v>
      </c>
      <c r="H136" t="s">
        <v>299</v>
      </c>
      <c r="I136" t="s">
        <v>505</v>
      </c>
      <c r="K136" t="s">
        <v>68</v>
      </c>
      <c r="L136">
        <f t="shared" si="11"/>
        <v>9</v>
      </c>
    </row>
    <row r="137" spans="1:12" x14ac:dyDescent="0.25">
      <c r="A137" t="s">
        <v>141</v>
      </c>
      <c r="B137" t="s">
        <v>147</v>
      </c>
      <c r="C137">
        <f t="shared" si="8"/>
        <v>2023</v>
      </c>
      <c r="D137">
        <f t="shared" si="9"/>
        <v>10</v>
      </c>
      <c r="E137" t="str">
        <f t="shared" si="10"/>
        <v>2023-10</v>
      </c>
      <c r="H137" t="s">
        <v>190</v>
      </c>
      <c r="I137" t="s">
        <v>497</v>
      </c>
      <c r="K137" t="s">
        <v>217</v>
      </c>
      <c r="L137">
        <f t="shared" si="11"/>
        <v>5</v>
      </c>
    </row>
    <row r="138" spans="1:12" x14ac:dyDescent="0.25">
      <c r="A138" t="s">
        <v>148</v>
      </c>
      <c r="B138" t="s">
        <v>147</v>
      </c>
      <c r="C138">
        <f t="shared" si="8"/>
        <v>2023</v>
      </c>
      <c r="D138">
        <f t="shared" si="9"/>
        <v>10</v>
      </c>
      <c r="E138" t="str">
        <f t="shared" si="10"/>
        <v>2023-10</v>
      </c>
      <c r="H138" t="s">
        <v>190</v>
      </c>
      <c r="I138" t="s">
        <v>498</v>
      </c>
      <c r="K138" t="s">
        <v>35</v>
      </c>
      <c r="L138">
        <f t="shared" si="11"/>
        <v>8</v>
      </c>
    </row>
    <row r="139" spans="1:12" x14ac:dyDescent="0.25">
      <c r="A139" t="s">
        <v>136</v>
      </c>
      <c r="B139" t="s">
        <v>147</v>
      </c>
      <c r="C139">
        <f t="shared" si="8"/>
        <v>2023</v>
      </c>
      <c r="D139">
        <f t="shared" si="9"/>
        <v>10</v>
      </c>
      <c r="E139" t="str">
        <f t="shared" si="10"/>
        <v>2023-10</v>
      </c>
      <c r="H139" t="s">
        <v>190</v>
      </c>
      <c r="I139" t="s">
        <v>500</v>
      </c>
      <c r="K139" t="s">
        <v>298</v>
      </c>
      <c r="L139">
        <f t="shared" si="11"/>
        <v>3</v>
      </c>
    </row>
    <row r="140" spans="1:12" x14ac:dyDescent="0.25">
      <c r="A140" t="s">
        <v>61</v>
      </c>
      <c r="B140" t="s">
        <v>147</v>
      </c>
      <c r="C140">
        <f t="shared" si="8"/>
        <v>2023</v>
      </c>
      <c r="D140">
        <f t="shared" si="9"/>
        <v>10</v>
      </c>
      <c r="E140" t="str">
        <f t="shared" si="10"/>
        <v>2023-10</v>
      </c>
      <c r="H140" t="s">
        <v>190</v>
      </c>
      <c r="I140" t="s">
        <v>502</v>
      </c>
      <c r="K140" t="s">
        <v>215</v>
      </c>
      <c r="L140">
        <f t="shared" si="11"/>
        <v>6</v>
      </c>
    </row>
    <row r="141" spans="1:12" x14ac:dyDescent="0.25">
      <c r="A141" t="s">
        <v>149</v>
      </c>
      <c r="B141" t="s">
        <v>150</v>
      </c>
      <c r="C141">
        <f t="shared" si="8"/>
        <v>2023</v>
      </c>
      <c r="D141">
        <f t="shared" si="9"/>
        <v>10</v>
      </c>
      <c r="E141" t="str">
        <f t="shared" si="10"/>
        <v>2023-10</v>
      </c>
      <c r="H141" t="s">
        <v>325</v>
      </c>
      <c r="I141" t="s">
        <v>501</v>
      </c>
      <c r="K141" t="s">
        <v>105</v>
      </c>
      <c r="L141">
        <f t="shared" si="11"/>
        <v>4</v>
      </c>
    </row>
    <row r="142" spans="1:12" x14ac:dyDescent="0.25">
      <c r="A142" t="s">
        <v>151</v>
      </c>
      <c r="B142" t="s">
        <v>150</v>
      </c>
      <c r="C142">
        <f t="shared" si="8"/>
        <v>2023</v>
      </c>
      <c r="D142">
        <f t="shared" si="9"/>
        <v>10</v>
      </c>
      <c r="E142" t="str">
        <f t="shared" si="10"/>
        <v>2023-10</v>
      </c>
      <c r="H142" t="s">
        <v>325</v>
      </c>
      <c r="I142" t="s">
        <v>504</v>
      </c>
      <c r="K142" t="s">
        <v>84</v>
      </c>
      <c r="L142">
        <f t="shared" si="11"/>
        <v>5</v>
      </c>
    </row>
    <row r="143" spans="1:12" x14ac:dyDescent="0.25">
      <c r="A143" t="s">
        <v>152</v>
      </c>
      <c r="B143" t="s">
        <v>150</v>
      </c>
      <c r="C143">
        <f t="shared" si="8"/>
        <v>2023</v>
      </c>
      <c r="D143">
        <f t="shared" si="9"/>
        <v>10</v>
      </c>
      <c r="E143" t="str">
        <f t="shared" si="10"/>
        <v>2023-10</v>
      </c>
      <c r="H143" t="s">
        <v>91</v>
      </c>
      <c r="I143" t="s">
        <v>495</v>
      </c>
      <c r="K143" t="s">
        <v>188</v>
      </c>
      <c r="L143">
        <f t="shared" si="11"/>
        <v>5</v>
      </c>
    </row>
    <row r="144" spans="1:12" x14ac:dyDescent="0.25">
      <c r="A144" t="s">
        <v>153</v>
      </c>
      <c r="B144" t="s">
        <v>150</v>
      </c>
      <c r="C144">
        <f t="shared" si="8"/>
        <v>2023</v>
      </c>
      <c r="D144">
        <f t="shared" si="9"/>
        <v>10</v>
      </c>
      <c r="E144" t="str">
        <f t="shared" si="10"/>
        <v>2023-10</v>
      </c>
      <c r="H144" t="s">
        <v>91</v>
      </c>
      <c r="I144" t="s">
        <v>496</v>
      </c>
      <c r="K144" t="s">
        <v>169</v>
      </c>
      <c r="L144">
        <f t="shared" si="11"/>
        <v>3</v>
      </c>
    </row>
    <row r="145" spans="1:12" x14ac:dyDescent="0.25">
      <c r="A145" t="s">
        <v>77</v>
      </c>
      <c r="B145" t="s">
        <v>154</v>
      </c>
      <c r="C145">
        <f t="shared" si="8"/>
        <v>2023</v>
      </c>
      <c r="D145">
        <f t="shared" si="9"/>
        <v>10</v>
      </c>
      <c r="E145" t="str">
        <f t="shared" si="10"/>
        <v>2023-10</v>
      </c>
      <c r="H145" t="s">
        <v>91</v>
      </c>
      <c r="I145" t="s">
        <v>500</v>
      </c>
      <c r="K145" t="s">
        <v>128</v>
      </c>
      <c r="L145">
        <f t="shared" si="11"/>
        <v>5</v>
      </c>
    </row>
    <row r="146" spans="1:12" x14ac:dyDescent="0.25">
      <c r="A146" t="s">
        <v>155</v>
      </c>
      <c r="B146" t="s">
        <v>154</v>
      </c>
      <c r="C146">
        <f t="shared" si="8"/>
        <v>2023</v>
      </c>
      <c r="D146">
        <f t="shared" si="9"/>
        <v>10</v>
      </c>
      <c r="E146" t="str">
        <f t="shared" si="10"/>
        <v>2023-10</v>
      </c>
      <c r="H146" t="s">
        <v>91</v>
      </c>
      <c r="I146" t="s">
        <v>501</v>
      </c>
      <c r="K146" t="s">
        <v>196</v>
      </c>
      <c r="L146">
        <f t="shared" si="11"/>
        <v>7</v>
      </c>
    </row>
    <row r="147" spans="1:12" x14ac:dyDescent="0.25">
      <c r="A147" t="s">
        <v>35</v>
      </c>
      <c r="B147" t="s">
        <v>154</v>
      </c>
      <c r="C147">
        <f t="shared" si="8"/>
        <v>2023</v>
      </c>
      <c r="D147">
        <f t="shared" si="9"/>
        <v>10</v>
      </c>
      <c r="E147" t="str">
        <f t="shared" si="10"/>
        <v>2023-10</v>
      </c>
      <c r="H147" t="s">
        <v>91</v>
      </c>
      <c r="I147" t="s">
        <v>504</v>
      </c>
      <c r="K147" t="s">
        <v>346</v>
      </c>
      <c r="L147">
        <f t="shared" si="11"/>
        <v>2</v>
      </c>
    </row>
    <row r="148" spans="1:12" x14ac:dyDescent="0.25">
      <c r="A148" t="s">
        <v>101</v>
      </c>
      <c r="B148" t="s">
        <v>154</v>
      </c>
      <c r="C148">
        <f t="shared" si="8"/>
        <v>2023</v>
      </c>
      <c r="D148">
        <f t="shared" si="9"/>
        <v>10</v>
      </c>
      <c r="E148" t="str">
        <f t="shared" si="10"/>
        <v>2023-10</v>
      </c>
      <c r="H148" t="s">
        <v>91</v>
      </c>
      <c r="I148" t="s">
        <v>505</v>
      </c>
      <c r="K148" t="s">
        <v>249</v>
      </c>
      <c r="L148">
        <f t="shared" si="11"/>
        <v>6</v>
      </c>
    </row>
    <row r="149" spans="1:12" x14ac:dyDescent="0.25">
      <c r="A149" t="s">
        <v>141</v>
      </c>
      <c r="B149" t="s">
        <v>154</v>
      </c>
      <c r="C149">
        <f t="shared" si="8"/>
        <v>2023</v>
      </c>
      <c r="D149">
        <f t="shared" si="9"/>
        <v>10</v>
      </c>
      <c r="E149" t="str">
        <f t="shared" si="10"/>
        <v>2023-10</v>
      </c>
      <c r="H149" t="s">
        <v>111</v>
      </c>
      <c r="I149" t="s">
        <v>496</v>
      </c>
      <c r="K149" t="s">
        <v>41</v>
      </c>
      <c r="L149">
        <f t="shared" si="11"/>
        <v>6</v>
      </c>
    </row>
    <row r="150" spans="1:12" x14ac:dyDescent="0.25">
      <c r="A150" t="s">
        <v>156</v>
      </c>
      <c r="B150" t="s">
        <v>154</v>
      </c>
      <c r="C150">
        <f t="shared" si="8"/>
        <v>2023</v>
      </c>
      <c r="D150">
        <f t="shared" si="9"/>
        <v>10</v>
      </c>
      <c r="E150" t="str">
        <f t="shared" si="10"/>
        <v>2023-10</v>
      </c>
      <c r="H150" t="s">
        <v>111</v>
      </c>
      <c r="I150" t="s">
        <v>502</v>
      </c>
      <c r="K150" t="s">
        <v>32</v>
      </c>
      <c r="L150">
        <f t="shared" si="11"/>
        <v>4</v>
      </c>
    </row>
    <row r="151" spans="1:12" x14ac:dyDescent="0.25">
      <c r="A151" t="s">
        <v>90</v>
      </c>
      <c r="B151" t="s">
        <v>154</v>
      </c>
      <c r="C151">
        <f t="shared" si="8"/>
        <v>2023</v>
      </c>
      <c r="D151">
        <f t="shared" si="9"/>
        <v>10</v>
      </c>
      <c r="E151" t="str">
        <f t="shared" si="10"/>
        <v>2023-10</v>
      </c>
      <c r="H151" t="s">
        <v>111</v>
      </c>
      <c r="I151" t="s">
        <v>505</v>
      </c>
      <c r="K151" t="s">
        <v>155</v>
      </c>
      <c r="L151">
        <f t="shared" si="11"/>
        <v>5</v>
      </c>
    </row>
    <row r="152" spans="1:12" x14ac:dyDescent="0.25">
      <c r="A152" t="s">
        <v>157</v>
      </c>
      <c r="B152" t="s">
        <v>154</v>
      </c>
      <c r="C152">
        <f t="shared" si="8"/>
        <v>2023</v>
      </c>
      <c r="D152">
        <f t="shared" si="9"/>
        <v>10</v>
      </c>
      <c r="E152" t="str">
        <f t="shared" si="10"/>
        <v>2023-10</v>
      </c>
      <c r="H152" t="s">
        <v>96</v>
      </c>
      <c r="I152" t="s">
        <v>495</v>
      </c>
      <c r="K152" t="s">
        <v>153</v>
      </c>
      <c r="L152">
        <f t="shared" si="11"/>
        <v>4</v>
      </c>
    </row>
    <row r="153" spans="1:12" x14ac:dyDescent="0.25">
      <c r="A153" t="s">
        <v>158</v>
      </c>
      <c r="B153" t="s">
        <v>154</v>
      </c>
      <c r="C153">
        <f t="shared" si="8"/>
        <v>2023</v>
      </c>
      <c r="D153">
        <f t="shared" si="9"/>
        <v>10</v>
      </c>
      <c r="E153" t="str">
        <f t="shared" si="10"/>
        <v>2023-10</v>
      </c>
      <c r="H153" t="s">
        <v>96</v>
      </c>
      <c r="I153" t="s">
        <v>496</v>
      </c>
      <c r="K153" t="s">
        <v>187</v>
      </c>
      <c r="L153">
        <f t="shared" si="11"/>
        <v>7</v>
      </c>
    </row>
    <row r="154" spans="1:12" x14ac:dyDescent="0.25">
      <c r="A154" t="s">
        <v>52</v>
      </c>
      <c r="B154" t="s">
        <v>159</v>
      </c>
      <c r="C154">
        <f t="shared" si="8"/>
        <v>2023</v>
      </c>
      <c r="D154">
        <f t="shared" si="9"/>
        <v>10</v>
      </c>
      <c r="E154" t="str">
        <f t="shared" si="10"/>
        <v>2023-10</v>
      </c>
      <c r="H154" t="s">
        <v>96</v>
      </c>
      <c r="I154" t="s">
        <v>497</v>
      </c>
      <c r="K154" t="s">
        <v>121</v>
      </c>
      <c r="L154">
        <f t="shared" si="11"/>
        <v>6</v>
      </c>
    </row>
    <row r="155" spans="1:12" x14ac:dyDescent="0.25">
      <c r="A155" t="s">
        <v>101</v>
      </c>
      <c r="B155" t="s">
        <v>160</v>
      </c>
      <c r="C155">
        <f t="shared" si="8"/>
        <v>2023</v>
      </c>
      <c r="D155">
        <f t="shared" si="9"/>
        <v>10</v>
      </c>
      <c r="E155" t="str">
        <f t="shared" si="10"/>
        <v>2023-10</v>
      </c>
      <c r="H155" t="s">
        <v>96</v>
      </c>
      <c r="I155" t="s">
        <v>502</v>
      </c>
      <c r="K155" t="s">
        <v>329</v>
      </c>
      <c r="L155">
        <f t="shared" si="11"/>
        <v>1</v>
      </c>
    </row>
    <row r="156" spans="1:12" x14ac:dyDescent="0.25">
      <c r="A156" t="s">
        <v>68</v>
      </c>
      <c r="B156" t="s">
        <v>160</v>
      </c>
      <c r="C156">
        <f t="shared" si="8"/>
        <v>2023</v>
      </c>
      <c r="D156">
        <f t="shared" si="9"/>
        <v>10</v>
      </c>
      <c r="E156" t="str">
        <f t="shared" si="10"/>
        <v>2023-10</v>
      </c>
      <c r="H156" t="s">
        <v>96</v>
      </c>
      <c r="I156" t="s">
        <v>503</v>
      </c>
      <c r="K156" t="s">
        <v>52</v>
      </c>
      <c r="L156">
        <f t="shared" si="11"/>
        <v>3</v>
      </c>
    </row>
    <row r="157" spans="1:12" x14ac:dyDescent="0.25">
      <c r="A157" t="s">
        <v>161</v>
      </c>
      <c r="B157" t="s">
        <v>160</v>
      </c>
      <c r="C157">
        <f t="shared" si="8"/>
        <v>2023</v>
      </c>
      <c r="D157">
        <f t="shared" si="9"/>
        <v>10</v>
      </c>
      <c r="E157" t="str">
        <f t="shared" si="10"/>
        <v>2023-10</v>
      </c>
      <c r="H157" t="s">
        <v>96</v>
      </c>
      <c r="I157" t="s">
        <v>504</v>
      </c>
      <c r="K157" t="s">
        <v>106</v>
      </c>
      <c r="L157">
        <f t="shared" si="11"/>
        <v>4</v>
      </c>
    </row>
    <row r="158" spans="1:12" x14ac:dyDescent="0.25">
      <c r="A158" t="s">
        <v>91</v>
      </c>
      <c r="B158" t="s">
        <v>160</v>
      </c>
      <c r="C158">
        <f t="shared" si="8"/>
        <v>2023</v>
      </c>
      <c r="D158">
        <f t="shared" si="9"/>
        <v>10</v>
      </c>
      <c r="E158" t="str">
        <f t="shared" si="10"/>
        <v>2023-10</v>
      </c>
      <c r="H158" t="s">
        <v>148</v>
      </c>
      <c r="I158" t="s">
        <v>496</v>
      </c>
      <c r="K158" t="s">
        <v>85</v>
      </c>
      <c r="L158">
        <f t="shared" si="11"/>
        <v>3</v>
      </c>
    </row>
    <row r="159" spans="1:12" x14ac:dyDescent="0.25">
      <c r="A159" t="s">
        <v>162</v>
      </c>
      <c r="B159" t="s">
        <v>163</v>
      </c>
      <c r="C159">
        <f t="shared" si="8"/>
        <v>2023</v>
      </c>
      <c r="D159">
        <f t="shared" si="9"/>
        <v>10</v>
      </c>
      <c r="E159" t="str">
        <f t="shared" si="10"/>
        <v>2023-10</v>
      </c>
      <c r="H159" t="s">
        <v>148</v>
      </c>
      <c r="I159" t="s">
        <v>505</v>
      </c>
      <c r="K159" t="s">
        <v>295</v>
      </c>
      <c r="L159">
        <f t="shared" si="11"/>
        <v>2</v>
      </c>
    </row>
    <row r="160" spans="1:12" x14ac:dyDescent="0.25">
      <c r="A160" t="s">
        <v>33</v>
      </c>
      <c r="B160" t="s">
        <v>164</v>
      </c>
      <c r="C160">
        <f t="shared" si="8"/>
        <v>2023</v>
      </c>
      <c r="D160">
        <f t="shared" si="9"/>
        <v>10</v>
      </c>
      <c r="E160" t="str">
        <f t="shared" si="10"/>
        <v>2023-10</v>
      </c>
      <c r="H160" t="s">
        <v>148</v>
      </c>
      <c r="I160" t="s">
        <v>506</v>
      </c>
      <c r="K160" t="s">
        <v>114</v>
      </c>
      <c r="L160">
        <f t="shared" si="11"/>
        <v>7</v>
      </c>
    </row>
    <row r="161" spans="1:12" x14ac:dyDescent="0.25">
      <c r="A161" t="s">
        <v>85</v>
      </c>
      <c r="B161" t="s">
        <v>164</v>
      </c>
      <c r="C161">
        <f t="shared" si="8"/>
        <v>2023</v>
      </c>
      <c r="D161">
        <f t="shared" si="9"/>
        <v>10</v>
      </c>
      <c r="E161" t="str">
        <f t="shared" si="10"/>
        <v>2023-10</v>
      </c>
      <c r="H161" t="s">
        <v>14</v>
      </c>
      <c r="I161" t="s">
        <v>495</v>
      </c>
      <c r="K161" t="s">
        <v>26</v>
      </c>
      <c r="L161">
        <f t="shared" si="11"/>
        <v>6</v>
      </c>
    </row>
    <row r="162" spans="1:12" x14ac:dyDescent="0.25">
      <c r="A162" t="s">
        <v>165</v>
      </c>
      <c r="B162" t="s">
        <v>164</v>
      </c>
      <c r="C162">
        <f t="shared" si="8"/>
        <v>2023</v>
      </c>
      <c r="D162">
        <f t="shared" si="9"/>
        <v>10</v>
      </c>
      <c r="E162" t="str">
        <f t="shared" si="10"/>
        <v>2023-10</v>
      </c>
      <c r="H162" t="s">
        <v>14</v>
      </c>
      <c r="I162" t="s">
        <v>496</v>
      </c>
      <c r="K162" t="s">
        <v>37</v>
      </c>
      <c r="L162">
        <f t="shared" si="11"/>
        <v>3</v>
      </c>
    </row>
    <row r="163" spans="1:12" x14ac:dyDescent="0.25">
      <c r="A163" t="s">
        <v>146</v>
      </c>
      <c r="B163" t="s">
        <v>164</v>
      </c>
      <c r="C163">
        <f t="shared" si="8"/>
        <v>2023</v>
      </c>
      <c r="D163">
        <f t="shared" si="9"/>
        <v>10</v>
      </c>
      <c r="E163" t="str">
        <f t="shared" si="10"/>
        <v>2023-10</v>
      </c>
      <c r="H163" t="s">
        <v>14</v>
      </c>
      <c r="I163" t="s">
        <v>497</v>
      </c>
      <c r="K163" t="s">
        <v>49</v>
      </c>
      <c r="L163">
        <f t="shared" si="11"/>
        <v>8</v>
      </c>
    </row>
    <row r="164" spans="1:12" x14ac:dyDescent="0.25">
      <c r="A164" t="s">
        <v>166</v>
      </c>
      <c r="B164" t="s">
        <v>164</v>
      </c>
      <c r="C164">
        <f t="shared" si="8"/>
        <v>2023</v>
      </c>
      <c r="D164">
        <f t="shared" si="9"/>
        <v>10</v>
      </c>
      <c r="E164" t="str">
        <f t="shared" si="10"/>
        <v>2023-10</v>
      </c>
      <c r="H164" t="s">
        <v>14</v>
      </c>
      <c r="I164" t="s">
        <v>498</v>
      </c>
      <c r="K164" t="s">
        <v>229</v>
      </c>
      <c r="L164">
        <f t="shared" si="11"/>
        <v>3</v>
      </c>
    </row>
    <row r="165" spans="1:12" x14ac:dyDescent="0.25">
      <c r="A165" t="s">
        <v>167</v>
      </c>
      <c r="B165" t="s">
        <v>168</v>
      </c>
      <c r="C165">
        <f t="shared" si="8"/>
        <v>2023</v>
      </c>
      <c r="D165">
        <f t="shared" si="9"/>
        <v>10</v>
      </c>
      <c r="E165" t="str">
        <f t="shared" si="10"/>
        <v>2023-10</v>
      </c>
      <c r="H165" t="s">
        <v>14</v>
      </c>
      <c r="I165" t="s">
        <v>499</v>
      </c>
      <c r="K165" t="s">
        <v>205</v>
      </c>
      <c r="L165">
        <f t="shared" si="11"/>
        <v>5</v>
      </c>
    </row>
    <row r="166" spans="1:12" x14ac:dyDescent="0.25">
      <c r="A166" t="s">
        <v>106</v>
      </c>
      <c r="B166" t="s">
        <v>168</v>
      </c>
      <c r="C166">
        <f t="shared" si="8"/>
        <v>2023</v>
      </c>
      <c r="D166">
        <f t="shared" si="9"/>
        <v>10</v>
      </c>
      <c r="E166" t="str">
        <f t="shared" si="10"/>
        <v>2023-10</v>
      </c>
      <c r="H166" t="s">
        <v>14</v>
      </c>
      <c r="I166" t="s">
        <v>506</v>
      </c>
      <c r="K166" t="s">
        <v>66</v>
      </c>
      <c r="L166">
        <f t="shared" si="11"/>
        <v>6</v>
      </c>
    </row>
    <row r="167" spans="1:12" x14ac:dyDescent="0.25">
      <c r="A167" t="s">
        <v>169</v>
      </c>
      <c r="B167" t="s">
        <v>168</v>
      </c>
      <c r="C167">
        <f t="shared" si="8"/>
        <v>2023</v>
      </c>
      <c r="D167">
        <f t="shared" si="9"/>
        <v>10</v>
      </c>
      <c r="E167" t="str">
        <f t="shared" si="10"/>
        <v>2023-10</v>
      </c>
      <c r="H167" t="s">
        <v>178</v>
      </c>
      <c r="I167" t="s">
        <v>497</v>
      </c>
      <c r="K167" t="s">
        <v>180</v>
      </c>
      <c r="L167">
        <f t="shared" si="11"/>
        <v>3</v>
      </c>
    </row>
    <row r="168" spans="1:12" x14ac:dyDescent="0.25">
      <c r="A168" t="s">
        <v>52</v>
      </c>
      <c r="B168" t="s">
        <v>168</v>
      </c>
      <c r="C168">
        <f t="shared" si="8"/>
        <v>2023</v>
      </c>
      <c r="D168">
        <f t="shared" si="9"/>
        <v>10</v>
      </c>
      <c r="E168" t="str">
        <f t="shared" si="10"/>
        <v>2023-10</v>
      </c>
      <c r="H168" t="s">
        <v>178</v>
      </c>
      <c r="I168" t="s">
        <v>500</v>
      </c>
      <c r="K168" t="s">
        <v>393</v>
      </c>
      <c r="L168">
        <f t="shared" si="11"/>
        <v>3</v>
      </c>
    </row>
    <row r="169" spans="1:12" x14ac:dyDescent="0.25">
      <c r="A169" t="s">
        <v>141</v>
      </c>
      <c r="B169" t="s">
        <v>168</v>
      </c>
      <c r="C169">
        <f t="shared" si="8"/>
        <v>2023</v>
      </c>
      <c r="D169">
        <f t="shared" si="9"/>
        <v>10</v>
      </c>
      <c r="E169" t="str">
        <f t="shared" si="10"/>
        <v>2023-10</v>
      </c>
      <c r="H169" t="s">
        <v>88</v>
      </c>
      <c r="I169" t="s">
        <v>495</v>
      </c>
      <c r="K169" t="s">
        <v>39</v>
      </c>
      <c r="L169">
        <f t="shared" si="11"/>
        <v>6</v>
      </c>
    </row>
    <row r="170" spans="1:12" x14ac:dyDescent="0.25">
      <c r="A170" t="s">
        <v>124</v>
      </c>
      <c r="B170" t="s">
        <v>168</v>
      </c>
      <c r="C170">
        <f t="shared" si="8"/>
        <v>2023</v>
      </c>
      <c r="D170">
        <f t="shared" si="9"/>
        <v>10</v>
      </c>
      <c r="E170" t="str">
        <f t="shared" si="10"/>
        <v>2023-10</v>
      </c>
      <c r="H170" t="s">
        <v>88</v>
      </c>
      <c r="I170" t="s">
        <v>502</v>
      </c>
      <c r="K170" t="s">
        <v>214</v>
      </c>
      <c r="L170">
        <f t="shared" si="11"/>
        <v>4</v>
      </c>
    </row>
    <row r="171" spans="1:12" x14ac:dyDescent="0.25">
      <c r="A171" t="s">
        <v>170</v>
      </c>
      <c r="B171" t="s">
        <v>171</v>
      </c>
      <c r="C171">
        <f t="shared" si="8"/>
        <v>2023</v>
      </c>
      <c r="D171">
        <f t="shared" si="9"/>
        <v>10</v>
      </c>
      <c r="E171" t="str">
        <f t="shared" si="10"/>
        <v>2023-10</v>
      </c>
      <c r="H171" t="s">
        <v>88</v>
      </c>
      <c r="I171" t="s">
        <v>505</v>
      </c>
      <c r="K171" t="s">
        <v>149</v>
      </c>
      <c r="L171">
        <f t="shared" si="11"/>
        <v>6</v>
      </c>
    </row>
    <row r="172" spans="1:12" x14ac:dyDescent="0.25">
      <c r="A172" t="s">
        <v>50</v>
      </c>
      <c r="B172" t="s">
        <v>171</v>
      </c>
      <c r="C172">
        <f t="shared" si="8"/>
        <v>2023</v>
      </c>
      <c r="D172">
        <f t="shared" si="9"/>
        <v>10</v>
      </c>
      <c r="E172" t="str">
        <f t="shared" si="10"/>
        <v>2023-10</v>
      </c>
      <c r="H172" t="s">
        <v>156</v>
      </c>
      <c r="I172" t="s">
        <v>496</v>
      </c>
      <c r="K172" t="s">
        <v>132</v>
      </c>
      <c r="L172">
        <f t="shared" si="11"/>
        <v>5</v>
      </c>
    </row>
    <row r="173" spans="1:12" x14ac:dyDescent="0.25">
      <c r="A173" t="s">
        <v>144</v>
      </c>
      <c r="B173" t="s">
        <v>172</v>
      </c>
      <c r="C173">
        <f t="shared" si="8"/>
        <v>2023</v>
      </c>
      <c r="D173">
        <f t="shared" si="9"/>
        <v>11</v>
      </c>
      <c r="E173" t="str">
        <f t="shared" si="10"/>
        <v>2023-11</v>
      </c>
      <c r="H173" t="s">
        <v>156</v>
      </c>
      <c r="I173" t="s">
        <v>499</v>
      </c>
      <c r="K173" t="s">
        <v>69</v>
      </c>
      <c r="L173">
        <f t="shared" si="11"/>
        <v>5</v>
      </c>
    </row>
    <row r="174" spans="1:12" x14ac:dyDescent="0.25">
      <c r="A174" t="s">
        <v>96</v>
      </c>
      <c r="B174" t="s">
        <v>172</v>
      </c>
      <c r="C174">
        <f t="shared" si="8"/>
        <v>2023</v>
      </c>
      <c r="D174">
        <f t="shared" si="9"/>
        <v>11</v>
      </c>
      <c r="E174" t="str">
        <f t="shared" si="10"/>
        <v>2023-11</v>
      </c>
      <c r="H174" t="s">
        <v>156</v>
      </c>
      <c r="I174" t="s">
        <v>502</v>
      </c>
      <c r="K174" t="s">
        <v>119</v>
      </c>
      <c r="L174">
        <f t="shared" si="11"/>
        <v>4</v>
      </c>
    </row>
    <row r="175" spans="1:12" x14ac:dyDescent="0.25">
      <c r="A175" t="s">
        <v>46</v>
      </c>
      <c r="B175" t="s">
        <v>172</v>
      </c>
      <c r="C175">
        <f t="shared" si="8"/>
        <v>2023</v>
      </c>
      <c r="D175">
        <f t="shared" si="9"/>
        <v>11</v>
      </c>
      <c r="E175" t="str">
        <f t="shared" si="10"/>
        <v>2023-11</v>
      </c>
      <c r="H175" t="s">
        <v>124</v>
      </c>
      <c r="I175" t="s">
        <v>496</v>
      </c>
      <c r="K175" t="s">
        <v>184</v>
      </c>
      <c r="L175">
        <f t="shared" si="11"/>
        <v>3</v>
      </c>
    </row>
    <row r="176" spans="1:12" x14ac:dyDescent="0.25">
      <c r="A176" t="s">
        <v>57</v>
      </c>
      <c r="B176" t="s">
        <v>172</v>
      </c>
      <c r="C176">
        <f t="shared" si="8"/>
        <v>2023</v>
      </c>
      <c r="D176">
        <f t="shared" si="9"/>
        <v>11</v>
      </c>
      <c r="E176" t="str">
        <f t="shared" si="10"/>
        <v>2023-11</v>
      </c>
      <c r="H176" t="s">
        <v>124</v>
      </c>
      <c r="I176" t="s">
        <v>497</v>
      </c>
      <c r="K176" t="s">
        <v>221</v>
      </c>
      <c r="L176">
        <f t="shared" si="11"/>
        <v>4</v>
      </c>
    </row>
    <row r="177" spans="1:12" x14ac:dyDescent="0.25">
      <c r="A177" t="s">
        <v>170</v>
      </c>
      <c r="B177" t="s">
        <v>172</v>
      </c>
      <c r="C177">
        <f t="shared" si="8"/>
        <v>2023</v>
      </c>
      <c r="D177">
        <f t="shared" si="9"/>
        <v>11</v>
      </c>
      <c r="E177" t="str">
        <f t="shared" si="10"/>
        <v>2023-11</v>
      </c>
      <c r="H177" t="s">
        <v>124</v>
      </c>
      <c r="I177" t="s">
        <v>503</v>
      </c>
      <c r="K177" t="s">
        <v>110</v>
      </c>
      <c r="L177">
        <f t="shared" si="11"/>
        <v>5</v>
      </c>
    </row>
    <row r="178" spans="1:12" x14ac:dyDescent="0.25">
      <c r="A178" t="s">
        <v>173</v>
      </c>
      <c r="B178" t="s">
        <v>174</v>
      </c>
      <c r="C178">
        <f t="shared" si="8"/>
        <v>2023</v>
      </c>
      <c r="D178">
        <f t="shared" si="9"/>
        <v>11</v>
      </c>
      <c r="E178" t="str">
        <f t="shared" si="10"/>
        <v>2023-11</v>
      </c>
      <c r="H178" t="s">
        <v>124</v>
      </c>
      <c r="I178" t="s">
        <v>505</v>
      </c>
      <c r="K178" t="s">
        <v>307</v>
      </c>
      <c r="L178">
        <f t="shared" si="11"/>
        <v>6</v>
      </c>
    </row>
    <row r="179" spans="1:12" x14ac:dyDescent="0.25">
      <c r="A179" t="s">
        <v>101</v>
      </c>
      <c r="B179" t="s">
        <v>174</v>
      </c>
      <c r="C179">
        <f t="shared" si="8"/>
        <v>2023</v>
      </c>
      <c r="D179">
        <f t="shared" si="9"/>
        <v>11</v>
      </c>
      <c r="E179" t="str">
        <f t="shared" si="10"/>
        <v>2023-11</v>
      </c>
      <c r="H179" t="s">
        <v>80</v>
      </c>
      <c r="I179" t="s">
        <v>495</v>
      </c>
      <c r="K179" t="s">
        <v>50</v>
      </c>
      <c r="L179">
        <f t="shared" si="11"/>
        <v>6</v>
      </c>
    </row>
    <row r="180" spans="1:12" x14ac:dyDescent="0.25">
      <c r="A180" t="s">
        <v>170</v>
      </c>
      <c r="B180" t="s">
        <v>175</v>
      </c>
      <c r="C180">
        <f t="shared" si="8"/>
        <v>2023</v>
      </c>
      <c r="D180">
        <f t="shared" si="9"/>
        <v>11</v>
      </c>
      <c r="E180" t="str">
        <f t="shared" si="10"/>
        <v>2023-11</v>
      </c>
      <c r="H180" t="s">
        <v>80</v>
      </c>
      <c r="I180" t="s">
        <v>500</v>
      </c>
      <c r="K180" t="s">
        <v>77</v>
      </c>
      <c r="L180">
        <f t="shared" si="11"/>
        <v>8</v>
      </c>
    </row>
    <row r="181" spans="1:12" x14ac:dyDescent="0.25">
      <c r="A181" t="s">
        <v>176</v>
      </c>
      <c r="B181" t="s">
        <v>175</v>
      </c>
      <c r="C181">
        <f t="shared" si="8"/>
        <v>2023</v>
      </c>
      <c r="D181">
        <f t="shared" si="9"/>
        <v>11</v>
      </c>
      <c r="E181" t="str">
        <f t="shared" si="10"/>
        <v>2023-11</v>
      </c>
      <c r="H181" t="s">
        <v>80</v>
      </c>
      <c r="I181" t="s">
        <v>502</v>
      </c>
      <c r="K181" t="s">
        <v>64</v>
      </c>
      <c r="L181">
        <f t="shared" si="11"/>
        <v>7</v>
      </c>
    </row>
    <row r="182" spans="1:12" x14ac:dyDescent="0.25">
      <c r="A182" t="s">
        <v>155</v>
      </c>
      <c r="B182" t="s">
        <v>175</v>
      </c>
      <c r="C182">
        <f t="shared" si="8"/>
        <v>2023</v>
      </c>
      <c r="D182">
        <f t="shared" si="9"/>
        <v>11</v>
      </c>
      <c r="E182" t="str">
        <f t="shared" si="10"/>
        <v>2023-11</v>
      </c>
      <c r="H182" t="s">
        <v>80</v>
      </c>
      <c r="I182" t="s">
        <v>505</v>
      </c>
      <c r="K182" t="s">
        <v>309</v>
      </c>
      <c r="L182">
        <f t="shared" si="11"/>
        <v>3</v>
      </c>
    </row>
    <row r="183" spans="1:12" x14ac:dyDescent="0.25">
      <c r="A183" t="s">
        <v>177</v>
      </c>
      <c r="B183" t="s">
        <v>175</v>
      </c>
      <c r="C183">
        <f t="shared" si="8"/>
        <v>2023</v>
      </c>
      <c r="D183">
        <f t="shared" si="9"/>
        <v>11</v>
      </c>
      <c r="E183" t="str">
        <f t="shared" si="10"/>
        <v>2023-11</v>
      </c>
      <c r="H183" t="s">
        <v>58</v>
      </c>
      <c r="I183" t="s">
        <v>495</v>
      </c>
      <c r="K183" t="s">
        <v>63</v>
      </c>
      <c r="L183">
        <f t="shared" si="11"/>
        <v>4</v>
      </c>
    </row>
    <row r="184" spans="1:12" x14ac:dyDescent="0.25">
      <c r="A184" t="s">
        <v>178</v>
      </c>
      <c r="B184" t="s">
        <v>179</v>
      </c>
      <c r="C184">
        <f t="shared" si="8"/>
        <v>2023</v>
      </c>
      <c r="D184">
        <f t="shared" si="9"/>
        <v>11</v>
      </c>
      <c r="E184" t="str">
        <f t="shared" si="10"/>
        <v>2023-11</v>
      </c>
      <c r="H184" t="s">
        <v>58</v>
      </c>
      <c r="I184" t="s">
        <v>499</v>
      </c>
      <c r="K184" t="s">
        <v>296</v>
      </c>
      <c r="L184">
        <f t="shared" si="11"/>
        <v>3</v>
      </c>
    </row>
    <row r="185" spans="1:12" x14ac:dyDescent="0.25">
      <c r="A185" t="s">
        <v>180</v>
      </c>
      <c r="B185" t="s">
        <v>179</v>
      </c>
      <c r="C185">
        <f t="shared" si="8"/>
        <v>2023</v>
      </c>
      <c r="D185">
        <f t="shared" si="9"/>
        <v>11</v>
      </c>
      <c r="E185" t="str">
        <f t="shared" si="10"/>
        <v>2023-11</v>
      </c>
      <c r="H185" t="s">
        <v>58</v>
      </c>
      <c r="I185" t="s">
        <v>500</v>
      </c>
      <c r="K185" t="s">
        <v>170</v>
      </c>
      <c r="L185">
        <f t="shared" si="11"/>
        <v>4</v>
      </c>
    </row>
    <row r="186" spans="1:12" x14ac:dyDescent="0.25">
      <c r="A186" t="s">
        <v>181</v>
      </c>
      <c r="B186" t="s">
        <v>179</v>
      </c>
      <c r="C186">
        <f t="shared" si="8"/>
        <v>2023</v>
      </c>
      <c r="D186">
        <f t="shared" si="9"/>
        <v>11</v>
      </c>
      <c r="E186" t="str">
        <f t="shared" si="10"/>
        <v>2023-11</v>
      </c>
      <c r="H186" t="s">
        <v>58</v>
      </c>
      <c r="I186" t="s">
        <v>502</v>
      </c>
      <c r="K186" t="s">
        <v>252</v>
      </c>
      <c r="L186">
        <f t="shared" si="11"/>
        <v>3</v>
      </c>
    </row>
    <row r="187" spans="1:12" x14ac:dyDescent="0.25">
      <c r="A187" t="s">
        <v>182</v>
      </c>
      <c r="B187" t="s">
        <v>179</v>
      </c>
      <c r="C187">
        <f t="shared" si="8"/>
        <v>2023</v>
      </c>
      <c r="D187">
        <f t="shared" si="9"/>
        <v>11</v>
      </c>
      <c r="E187" t="str">
        <f t="shared" si="10"/>
        <v>2023-11</v>
      </c>
      <c r="H187" t="s">
        <v>58</v>
      </c>
      <c r="I187" t="s">
        <v>506</v>
      </c>
      <c r="K187" t="s">
        <v>287</v>
      </c>
      <c r="L187">
        <f t="shared" si="11"/>
        <v>4</v>
      </c>
    </row>
    <row r="188" spans="1:12" x14ac:dyDescent="0.25">
      <c r="A188" t="s">
        <v>108</v>
      </c>
      <c r="B188" t="s">
        <v>179</v>
      </c>
      <c r="C188">
        <f t="shared" si="8"/>
        <v>2023</v>
      </c>
      <c r="D188">
        <f t="shared" si="9"/>
        <v>11</v>
      </c>
      <c r="E188" t="str">
        <f t="shared" si="10"/>
        <v>2023-11</v>
      </c>
      <c r="H188" t="s">
        <v>173</v>
      </c>
      <c r="I188" t="s">
        <v>497</v>
      </c>
      <c r="K188" t="s">
        <v>395</v>
      </c>
      <c r="L188">
        <f t="shared" si="11"/>
        <v>2</v>
      </c>
    </row>
    <row r="189" spans="1:12" x14ac:dyDescent="0.25">
      <c r="A189" t="s">
        <v>119</v>
      </c>
      <c r="B189" t="s">
        <v>183</v>
      </c>
      <c r="C189">
        <f t="shared" si="8"/>
        <v>2023</v>
      </c>
      <c r="D189">
        <f t="shared" si="9"/>
        <v>11</v>
      </c>
      <c r="E189" t="str">
        <f t="shared" si="10"/>
        <v>2023-11</v>
      </c>
      <c r="H189" t="s">
        <v>173</v>
      </c>
      <c r="I189" t="s">
        <v>498</v>
      </c>
      <c r="K189" t="s">
        <v>231</v>
      </c>
      <c r="L189">
        <f t="shared" si="11"/>
        <v>4</v>
      </c>
    </row>
    <row r="190" spans="1:12" x14ac:dyDescent="0.25">
      <c r="A190" t="s">
        <v>68</v>
      </c>
      <c r="B190" t="s">
        <v>183</v>
      </c>
      <c r="C190">
        <f t="shared" si="8"/>
        <v>2023</v>
      </c>
      <c r="D190">
        <f t="shared" si="9"/>
        <v>11</v>
      </c>
      <c r="E190" t="str">
        <f t="shared" si="10"/>
        <v>2023-11</v>
      </c>
      <c r="H190" t="s">
        <v>173</v>
      </c>
      <c r="I190" t="s">
        <v>499</v>
      </c>
      <c r="K190" t="s">
        <v>264</v>
      </c>
      <c r="L190">
        <f t="shared" si="11"/>
        <v>4</v>
      </c>
    </row>
    <row r="191" spans="1:12" x14ac:dyDescent="0.25">
      <c r="A191" t="s">
        <v>68</v>
      </c>
      <c r="B191" t="s">
        <v>183</v>
      </c>
      <c r="C191">
        <f t="shared" si="8"/>
        <v>2023</v>
      </c>
      <c r="D191">
        <f t="shared" si="9"/>
        <v>11</v>
      </c>
      <c r="E191" t="str">
        <f t="shared" si="10"/>
        <v>2023-11</v>
      </c>
      <c r="H191" t="s">
        <v>173</v>
      </c>
      <c r="I191" t="s">
        <v>503</v>
      </c>
      <c r="K191" t="s">
        <v>195</v>
      </c>
      <c r="L191">
        <f t="shared" si="11"/>
        <v>5</v>
      </c>
    </row>
    <row r="192" spans="1:12" x14ac:dyDescent="0.25">
      <c r="A192" t="s">
        <v>184</v>
      </c>
      <c r="B192" t="s">
        <v>185</v>
      </c>
      <c r="C192">
        <f t="shared" si="8"/>
        <v>2023</v>
      </c>
      <c r="D192">
        <f t="shared" si="9"/>
        <v>11</v>
      </c>
      <c r="E192" t="str">
        <f t="shared" si="10"/>
        <v>2023-11</v>
      </c>
      <c r="H192" t="s">
        <v>363</v>
      </c>
      <c r="I192" t="s">
        <v>502</v>
      </c>
      <c r="K192" t="s">
        <v>43</v>
      </c>
      <c r="L192">
        <f t="shared" si="11"/>
        <v>4</v>
      </c>
    </row>
    <row r="193" spans="1:12" x14ac:dyDescent="0.25">
      <c r="A193" t="s">
        <v>75</v>
      </c>
      <c r="B193" t="s">
        <v>185</v>
      </c>
      <c r="C193">
        <f t="shared" si="8"/>
        <v>2023</v>
      </c>
      <c r="D193">
        <f t="shared" si="9"/>
        <v>11</v>
      </c>
      <c r="E193" t="str">
        <f t="shared" si="10"/>
        <v>2023-11</v>
      </c>
      <c r="H193" t="s">
        <v>363</v>
      </c>
      <c r="I193" t="s">
        <v>504</v>
      </c>
      <c r="K193" t="s">
        <v>167</v>
      </c>
      <c r="L193">
        <f t="shared" si="11"/>
        <v>4</v>
      </c>
    </row>
    <row r="194" spans="1:12" x14ac:dyDescent="0.25">
      <c r="A194" t="s">
        <v>186</v>
      </c>
      <c r="B194" t="s">
        <v>185</v>
      </c>
      <c r="C194">
        <f t="shared" si="8"/>
        <v>2023</v>
      </c>
      <c r="D194">
        <f t="shared" si="9"/>
        <v>11</v>
      </c>
      <c r="E194" t="str">
        <f t="shared" si="10"/>
        <v>2023-11</v>
      </c>
      <c r="H194" t="s">
        <v>363</v>
      </c>
      <c r="I194" t="s">
        <v>505</v>
      </c>
      <c r="K194" t="s">
        <v>182</v>
      </c>
      <c r="L194">
        <f t="shared" si="11"/>
        <v>2</v>
      </c>
    </row>
    <row r="195" spans="1:12" x14ac:dyDescent="0.25">
      <c r="A195" t="s">
        <v>187</v>
      </c>
      <c r="B195" t="s">
        <v>185</v>
      </c>
      <c r="C195">
        <f t="shared" ref="C195:C258" si="12">YEAR(B195)</f>
        <v>2023</v>
      </c>
      <c r="D195">
        <f t="shared" ref="D195:D258" si="13">MONTH(B195)</f>
        <v>11</v>
      </c>
      <c r="E195" t="str">
        <f t="shared" ref="E195:E258" si="14">C195&amp;"-"&amp;D195</f>
        <v>2023-11</v>
      </c>
      <c r="H195" t="s">
        <v>158</v>
      </c>
      <c r="I195" t="s">
        <v>496</v>
      </c>
    </row>
    <row r="196" spans="1:12" x14ac:dyDescent="0.25">
      <c r="A196" t="s">
        <v>188</v>
      </c>
      <c r="B196" t="s">
        <v>189</v>
      </c>
      <c r="C196">
        <f t="shared" si="12"/>
        <v>2023</v>
      </c>
      <c r="D196">
        <f t="shared" si="13"/>
        <v>11</v>
      </c>
      <c r="E196" t="str">
        <f t="shared" si="14"/>
        <v>2023-11</v>
      </c>
      <c r="H196" t="s">
        <v>158</v>
      </c>
      <c r="I196" t="s">
        <v>501</v>
      </c>
    </row>
    <row r="197" spans="1:12" x14ac:dyDescent="0.25">
      <c r="A197" t="s">
        <v>116</v>
      </c>
      <c r="B197" t="s">
        <v>189</v>
      </c>
      <c r="C197">
        <f t="shared" si="12"/>
        <v>2023</v>
      </c>
      <c r="D197">
        <f t="shared" si="13"/>
        <v>11</v>
      </c>
      <c r="E197" t="str">
        <f t="shared" si="14"/>
        <v>2023-11</v>
      </c>
      <c r="H197" t="s">
        <v>158</v>
      </c>
      <c r="I197" t="s">
        <v>502</v>
      </c>
    </row>
    <row r="198" spans="1:12" x14ac:dyDescent="0.25">
      <c r="A198" t="s">
        <v>94</v>
      </c>
      <c r="B198" t="s">
        <v>189</v>
      </c>
      <c r="C198">
        <f t="shared" si="12"/>
        <v>2023</v>
      </c>
      <c r="D198">
        <f t="shared" si="13"/>
        <v>11</v>
      </c>
      <c r="E198" t="str">
        <f t="shared" si="14"/>
        <v>2023-11</v>
      </c>
      <c r="H198" t="s">
        <v>158</v>
      </c>
      <c r="I198" t="s">
        <v>503</v>
      </c>
    </row>
    <row r="199" spans="1:12" x14ac:dyDescent="0.25">
      <c r="A199" t="s">
        <v>43</v>
      </c>
      <c r="B199" t="s">
        <v>189</v>
      </c>
      <c r="C199">
        <f t="shared" si="12"/>
        <v>2023</v>
      </c>
      <c r="D199">
        <f t="shared" si="13"/>
        <v>11</v>
      </c>
      <c r="E199" t="str">
        <f t="shared" si="14"/>
        <v>2023-11</v>
      </c>
      <c r="H199" t="s">
        <v>158</v>
      </c>
      <c r="I199" t="s">
        <v>504</v>
      </c>
    </row>
    <row r="200" spans="1:12" x14ac:dyDescent="0.25">
      <c r="A200" t="s">
        <v>6</v>
      </c>
      <c r="B200" t="s">
        <v>189</v>
      </c>
      <c r="C200">
        <f t="shared" si="12"/>
        <v>2023</v>
      </c>
      <c r="D200">
        <f t="shared" si="13"/>
        <v>11</v>
      </c>
      <c r="E200" t="str">
        <f t="shared" si="14"/>
        <v>2023-11</v>
      </c>
      <c r="H200" t="s">
        <v>17</v>
      </c>
      <c r="I200" t="s">
        <v>495</v>
      </c>
    </row>
    <row r="201" spans="1:12" x14ac:dyDescent="0.25">
      <c r="A201" t="s">
        <v>72</v>
      </c>
      <c r="B201" t="s">
        <v>189</v>
      </c>
      <c r="C201">
        <f t="shared" si="12"/>
        <v>2023</v>
      </c>
      <c r="D201">
        <f t="shared" si="13"/>
        <v>11</v>
      </c>
      <c r="E201" t="str">
        <f t="shared" si="14"/>
        <v>2023-11</v>
      </c>
      <c r="H201" t="s">
        <v>17</v>
      </c>
      <c r="I201" t="s">
        <v>496</v>
      </c>
    </row>
    <row r="202" spans="1:12" x14ac:dyDescent="0.25">
      <c r="A202" t="s">
        <v>105</v>
      </c>
      <c r="B202" t="s">
        <v>189</v>
      </c>
      <c r="C202">
        <f t="shared" si="12"/>
        <v>2023</v>
      </c>
      <c r="D202">
        <f t="shared" si="13"/>
        <v>11</v>
      </c>
      <c r="E202" t="str">
        <f t="shared" si="14"/>
        <v>2023-11</v>
      </c>
      <c r="H202" t="s">
        <v>17</v>
      </c>
      <c r="I202" t="s">
        <v>497</v>
      </c>
    </row>
    <row r="203" spans="1:12" x14ac:dyDescent="0.25">
      <c r="A203" t="s">
        <v>64</v>
      </c>
      <c r="B203" t="s">
        <v>189</v>
      </c>
      <c r="C203">
        <f t="shared" si="12"/>
        <v>2023</v>
      </c>
      <c r="D203">
        <f t="shared" si="13"/>
        <v>11</v>
      </c>
      <c r="E203" t="str">
        <f t="shared" si="14"/>
        <v>2023-11</v>
      </c>
      <c r="H203" t="s">
        <v>17</v>
      </c>
      <c r="I203" t="s">
        <v>499</v>
      </c>
    </row>
    <row r="204" spans="1:12" x14ac:dyDescent="0.25">
      <c r="A204" t="s">
        <v>190</v>
      </c>
      <c r="B204" t="s">
        <v>189</v>
      </c>
      <c r="C204">
        <f t="shared" si="12"/>
        <v>2023</v>
      </c>
      <c r="D204">
        <f t="shared" si="13"/>
        <v>11</v>
      </c>
      <c r="E204" t="str">
        <f t="shared" si="14"/>
        <v>2023-11</v>
      </c>
      <c r="H204" t="s">
        <v>17</v>
      </c>
      <c r="I204" t="s">
        <v>501</v>
      </c>
    </row>
    <row r="205" spans="1:12" x14ac:dyDescent="0.25">
      <c r="A205" t="s">
        <v>49</v>
      </c>
      <c r="B205" t="s">
        <v>189</v>
      </c>
      <c r="C205">
        <f t="shared" si="12"/>
        <v>2023</v>
      </c>
      <c r="D205">
        <f t="shared" si="13"/>
        <v>11</v>
      </c>
      <c r="E205" t="str">
        <f t="shared" si="14"/>
        <v>2023-11</v>
      </c>
      <c r="H205" t="s">
        <v>265</v>
      </c>
      <c r="I205" t="s">
        <v>499</v>
      </c>
    </row>
    <row r="206" spans="1:12" x14ac:dyDescent="0.25">
      <c r="A206" t="s">
        <v>96</v>
      </c>
      <c r="B206" t="s">
        <v>189</v>
      </c>
      <c r="C206">
        <f t="shared" si="12"/>
        <v>2023</v>
      </c>
      <c r="D206">
        <f t="shared" si="13"/>
        <v>11</v>
      </c>
      <c r="E206" t="str">
        <f t="shared" si="14"/>
        <v>2023-11</v>
      </c>
      <c r="H206" t="s">
        <v>265</v>
      </c>
      <c r="I206" t="s">
        <v>500</v>
      </c>
    </row>
    <row r="207" spans="1:12" x14ac:dyDescent="0.25">
      <c r="A207" t="s">
        <v>128</v>
      </c>
      <c r="B207" t="s">
        <v>191</v>
      </c>
      <c r="C207">
        <f t="shared" si="12"/>
        <v>2023</v>
      </c>
      <c r="D207">
        <f t="shared" si="13"/>
        <v>11</v>
      </c>
      <c r="E207" t="str">
        <f t="shared" si="14"/>
        <v>2023-11</v>
      </c>
      <c r="H207" t="s">
        <v>265</v>
      </c>
      <c r="I207" t="s">
        <v>501</v>
      </c>
    </row>
    <row r="208" spans="1:12" x14ac:dyDescent="0.25">
      <c r="A208" t="s">
        <v>93</v>
      </c>
      <c r="B208" t="s">
        <v>191</v>
      </c>
      <c r="C208">
        <f t="shared" si="12"/>
        <v>2023</v>
      </c>
      <c r="D208">
        <f t="shared" si="13"/>
        <v>11</v>
      </c>
      <c r="E208" t="str">
        <f t="shared" si="14"/>
        <v>2023-11</v>
      </c>
      <c r="H208" t="s">
        <v>28</v>
      </c>
      <c r="I208" t="s">
        <v>495</v>
      </c>
    </row>
    <row r="209" spans="1:9" x14ac:dyDescent="0.25">
      <c r="A209" t="s">
        <v>123</v>
      </c>
      <c r="B209" t="s">
        <v>192</v>
      </c>
      <c r="C209">
        <f t="shared" si="12"/>
        <v>2023</v>
      </c>
      <c r="D209">
        <f t="shared" si="13"/>
        <v>11</v>
      </c>
      <c r="E209" t="str">
        <f t="shared" si="14"/>
        <v>2023-11</v>
      </c>
      <c r="H209" t="s">
        <v>28</v>
      </c>
      <c r="I209" t="s">
        <v>497</v>
      </c>
    </row>
    <row r="210" spans="1:9" x14ac:dyDescent="0.25">
      <c r="A210" t="s">
        <v>17</v>
      </c>
      <c r="B210" t="s">
        <v>192</v>
      </c>
      <c r="C210">
        <f t="shared" si="12"/>
        <v>2023</v>
      </c>
      <c r="D210">
        <f t="shared" si="13"/>
        <v>11</v>
      </c>
      <c r="E210" t="str">
        <f t="shared" si="14"/>
        <v>2023-11</v>
      </c>
      <c r="H210" t="s">
        <v>28</v>
      </c>
      <c r="I210" t="s">
        <v>499</v>
      </c>
    </row>
    <row r="211" spans="1:9" x14ac:dyDescent="0.25">
      <c r="A211" t="s">
        <v>39</v>
      </c>
      <c r="B211" t="s">
        <v>193</v>
      </c>
      <c r="C211">
        <f t="shared" si="12"/>
        <v>2023</v>
      </c>
      <c r="D211">
        <f t="shared" si="13"/>
        <v>11</v>
      </c>
      <c r="E211" t="str">
        <f t="shared" si="14"/>
        <v>2023-11</v>
      </c>
      <c r="H211" t="s">
        <v>28</v>
      </c>
      <c r="I211" t="s">
        <v>502</v>
      </c>
    </row>
    <row r="212" spans="1:9" x14ac:dyDescent="0.25">
      <c r="A212" t="s">
        <v>194</v>
      </c>
      <c r="B212" t="s">
        <v>193</v>
      </c>
      <c r="C212">
        <f t="shared" si="12"/>
        <v>2023</v>
      </c>
      <c r="D212">
        <f t="shared" si="13"/>
        <v>11</v>
      </c>
      <c r="E212" t="str">
        <f t="shared" si="14"/>
        <v>2023-11</v>
      </c>
      <c r="H212" t="s">
        <v>28</v>
      </c>
      <c r="I212" t="s">
        <v>504</v>
      </c>
    </row>
    <row r="213" spans="1:9" x14ac:dyDescent="0.25">
      <c r="A213" t="s">
        <v>195</v>
      </c>
      <c r="B213" t="s">
        <v>193</v>
      </c>
      <c r="C213">
        <f t="shared" si="12"/>
        <v>2023</v>
      </c>
      <c r="D213">
        <f t="shared" si="13"/>
        <v>11</v>
      </c>
      <c r="E213" t="str">
        <f t="shared" si="14"/>
        <v>2023-11</v>
      </c>
      <c r="H213" t="s">
        <v>247</v>
      </c>
      <c r="I213" t="s">
        <v>498</v>
      </c>
    </row>
    <row r="214" spans="1:9" x14ac:dyDescent="0.25">
      <c r="A214" t="s">
        <v>196</v>
      </c>
      <c r="B214" t="s">
        <v>197</v>
      </c>
      <c r="C214">
        <f t="shared" si="12"/>
        <v>2023</v>
      </c>
      <c r="D214">
        <f t="shared" si="13"/>
        <v>11</v>
      </c>
      <c r="E214" t="str">
        <f t="shared" si="14"/>
        <v>2023-11</v>
      </c>
      <c r="H214" t="s">
        <v>247</v>
      </c>
      <c r="I214" t="s">
        <v>501</v>
      </c>
    </row>
    <row r="215" spans="1:9" x14ac:dyDescent="0.25">
      <c r="A215" t="s">
        <v>124</v>
      </c>
      <c r="B215" t="s">
        <v>197</v>
      </c>
      <c r="C215">
        <f t="shared" si="12"/>
        <v>2023</v>
      </c>
      <c r="D215">
        <f t="shared" si="13"/>
        <v>11</v>
      </c>
      <c r="E215" t="str">
        <f t="shared" si="14"/>
        <v>2023-11</v>
      </c>
      <c r="H215" t="s">
        <v>247</v>
      </c>
      <c r="I215" t="s">
        <v>502</v>
      </c>
    </row>
    <row r="216" spans="1:9" x14ac:dyDescent="0.25">
      <c r="A216" t="s">
        <v>90</v>
      </c>
      <c r="B216" t="s">
        <v>197</v>
      </c>
      <c r="C216">
        <f t="shared" si="12"/>
        <v>2023</v>
      </c>
      <c r="D216">
        <f t="shared" si="13"/>
        <v>11</v>
      </c>
      <c r="E216" t="str">
        <f t="shared" si="14"/>
        <v>2023-11</v>
      </c>
      <c r="H216" t="s">
        <v>247</v>
      </c>
      <c r="I216" t="s">
        <v>503</v>
      </c>
    </row>
    <row r="217" spans="1:9" x14ac:dyDescent="0.25">
      <c r="A217" t="s">
        <v>198</v>
      </c>
      <c r="B217" t="s">
        <v>199</v>
      </c>
      <c r="C217">
        <f t="shared" si="12"/>
        <v>2023</v>
      </c>
      <c r="D217">
        <f t="shared" si="13"/>
        <v>11</v>
      </c>
      <c r="E217" t="str">
        <f t="shared" si="14"/>
        <v>2023-11</v>
      </c>
      <c r="H217" t="s">
        <v>247</v>
      </c>
      <c r="I217" t="s">
        <v>504</v>
      </c>
    </row>
    <row r="218" spans="1:9" x14ac:dyDescent="0.25">
      <c r="A218" t="s">
        <v>200</v>
      </c>
      <c r="B218" t="s">
        <v>199</v>
      </c>
      <c r="C218">
        <f t="shared" si="12"/>
        <v>2023</v>
      </c>
      <c r="D218">
        <f t="shared" si="13"/>
        <v>11</v>
      </c>
      <c r="E218" t="str">
        <f t="shared" si="14"/>
        <v>2023-11</v>
      </c>
      <c r="H218" t="s">
        <v>53</v>
      </c>
      <c r="I218" t="s">
        <v>495</v>
      </c>
    </row>
    <row r="219" spans="1:9" x14ac:dyDescent="0.25">
      <c r="A219" t="s">
        <v>201</v>
      </c>
      <c r="B219" t="s">
        <v>199</v>
      </c>
      <c r="C219">
        <f t="shared" si="12"/>
        <v>2023</v>
      </c>
      <c r="D219">
        <f t="shared" si="13"/>
        <v>11</v>
      </c>
      <c r="E219" t="str">
        <f t="shared" si="14"/>
        <v>2023-11</v>
      </c>
      <c r="H219" t="s">
        <v>53</v>
      </c>
      <c r="I219" t="s">
        <v>496</v>
      </c>
    </row>
    <row r="220" spans="1:9" x14ac:dyDescent="0.25">
      <c r="A220" t="s">
        <v>128</v>
      </c>
      <c r="B220" t="s">
        <v>199</v>
      </c>
      <c r="C220">
        <f t="shared" si="12"/>
        <v>2023</v>
      </c>
      <c r="D220">
        <f t="shared" si="13"/>
        <v>11</v>
      </c>
      <c r="E220" t="str">
        <f t="shared" si="14"/>
        <v>2023-11</v>
      </c>
      <c r="H220" t="s">
        <v>53</v>
      </c>
      <c r="I220" t="s">
        <v>498</v>
      </c>
    </row>
    <row r="221" spans="1:9" x14ac:dyDescent="0.25">
      <c r="A221" t="s">
        <v>130</v>
      </c>
      <c r="B221" t="s">
        <v>199</v>
      </c>
      <c r="C221">
        <f t="shared" si="12"/>
        <v>2023</v>
      </c>
      <c r="D221">
        <f t="shared" si="13"/>
        <v>11</v>
      </c>
      <c r="E221" t="str">
        <f t="shared" si="14"/>
        <v>2023-11</v>
      </c>
      <c r="H221" t="s">
        <v>53</v>
      </c>
      <c r="I221" t="s">
        <v>500</v>
      </c>
    </row>
    <row r="222" spans="1:9" x14ac:dyDescent="0.25">
      <c r="A222" t="s">
        <v>202</v>
      </c>
      <c r="B222" t="s">
        <v>199</v>
      </c>
      <c r="C222">
        <f t="shared" si="12"/>
        <v>2023</v>
      </c>
      <c r="D222">
        <f t="shared" si="13"/>
        <v>11</v>
      </c>
      <c r="E222" t="str">
        <f t="shared" si="14"/>
        <v>2023-11</v>
      </c>
      <c r="H222" t="s">
        <v>53</v>
      </c>
      <c r="I222" t="s">
        <v>501</v>
      </c>
    </row>
    <row r="223" spans="1:9" x14ac:dyDescent="0.25">
      <c r="A223" t="s">
        <v>14</v>
      </c>
      <c r="B223" t="s">
        <v>199</v>
      </c>
      <c r="C223">
        <f t="shared" si="12"/>
        <v>2023</v>
      </c>
      <c r="D223">
        <f t="shared" si="13"/>
        <v>11</v>
      </c>
      <c r="E223" t="str">
        <f t="shared" si="14"/>
        <v>2023-11</v>
      </c>
      <c r="H223" t="s">
        <v>53</v>
      </c>
      <c r="I223" t="s">
        <v>504</v>
      </c>
    </row>
    <row r="224" spans="1:9" x14ac:dyDescent="0.25">
      <c r="A224" t="s">
        <v>67</v>
      </c>
      <c r="B224" t="s">
        <v>199</v>
      </c>
      <c r="C224">
        <f t="shared" si="12"/>
        <v>2023</v>
      </c>
      <c r="D224">
        <f t="shared" si="13"/>
        <v>11</v>
      </c>
      <c r="E224" t="str">
        <f t="shared" si="14"/>
        <v>2023-11</v>
      </c>
      <c r="H224" t="s">
        <v>53</v>
      </c>
      <c r="I224" t="s">
        <v>505</v>
      </c>
    </row>
    <row r="225" spans="1:9" x14ac:dyDescent="0.25">
      <c r="A225" t="s">
        <v>103</v>
      </c>
      <c r="B225" t="s">
        <v>203</v>
      </c>
      <c r="C225">
        <f t="shared" si="12"/>
        <v>2023</v>
      </c>
      <c r="D225">
        <f t="shared" si="13"/>
        <v>11</v>
      </c>
      <c r="E225" t="str">
        <f t="shared" si="14"/>
        <v>2023-11</v>
      </c>
      <c r="H225" t="s">
        <v>46</v>
      </c>
      <c r="I225" t="s">
        <v>495</v>
      </c>
    </row>
    <row r="226" spans="1:9" x14ac:dyDescent="0.25">
      <c r="A226" t="s">
        <v>65</v>
      </c>
      <c r="B226" t="s">
        <v>203</v>
      </c>
      <c r="C226">
        <f t="shared" si="12"/>
        <v>2023</v>
      </c>
      <c r="D226">
        <f t="shared" si="13"/>
        <v>11</v>
      </c>
      <c r="E226" t="str">
        <f t="shared" si="14"/>
        <v>2023-11</v>
      </c>
      <c r="H226" t="s">
        <v>46</v>
      </c>
      <c r="I226" t="s">
        <v>497</v>
      </c>
    </row>
    <row r="227" spans="1:9" x14ac:dyDescent="0.25">
      <c r="A227" t="s">
        <v>33</v>
      </c>
      <c r="B227" t="s">
        <v>203</v>
      </c>
      <c r="C227">
        <f t="shared" si="12"/>
        <v>2023</v>
      </c>
      <c r="D227">
        <f t="shared" si="13"/>
        <v>11</v>
      </c>
      <c r="E227" t="str">
        <f t="shared" si="14"/>
        <v>2023-11</v>
      </c>
      <c r="H227" t="s">
        <v>46</v>
      </c>
      <c r="I227" t="s">
        <v>502</v>
      </c>
    </row>
    <row r="228" spans="1:9" x14ac:dyDescent="0.25">
      <c r="A228" t="s">
        <v>66</v>
      </c>
      <c r="B228" t="s">
        <v>203</v>
      </c>
      <c r="C228">
        <f t="shared" si="12"/>
        <v>2023</v>
      </c>
      <c r="D228">
        <f t="shared" si="13"/>
        <v>11</v>
      </c>
      <c r="E228" t="str">
        <f t="shared" si="14"/>
        <v>2023-11</v>
      </c>
      <c r="H228" t="s">
        <v>46</v>
      </c>
      <c r="I228" t="s">
        <v>504</v>
      </c>
    </row>
    <row r="229" spans="1:9" x14ac:dyDescent="0.25">
      <c r="A229" t="s">
        <v>141</v>
      </c>
      <c r="B229" t="s">
        <v>204</v>
      </c>
      <c r="C229">
        <f t="shared" si="12"/>
        <v>2023</v>
      </c>
      <c r="D229">
        <f t="shared" si="13"/>
        <v>11</v>
      </c>
      <c r="E229" t="str">
        <f t="shared" si="14"/>
        <v>2023-11</v>
      </c>
      <c r="H229" t="s">
        <v>162</v>
      </c>
      <c r="I229" t="s">
        <v>496</v>
      </c>
    </row>
    <row r="230" spans="1:9" x14ac:dyDescent="0.25">
      <c r="A230" t="s">
        <v>205</v>
      </c>
      <c r="B230" t="s">
        <v>204</v>
      </c>
      <c r="C230">
        <f t="shared" si="12"/>
        <v>2023</v>
      </c>
      <c r="D230">
        <f t="shared" si="13"/>
        <v>11</v>
      </c>
      <c r="E230" t="str">
        <f t="shared" si="14"/>
        <v>2023-11</v>
      </c>
      <c r="H230" t="s">
        <v>162</v>
      </c>
      <c r="I230" t="s">
        <v>499</v>
      </c>
    </row>
    <row r="231" spans="1:9" x14ac:dyDescent="0.25">
      <c r="A231" t="s">
        <v>206</v>
      </c>
      <c r="B231" t="s">
        <v>204</v>
      </c>
      <c r="C231">
        <f t="shared" si="12"/>
        <v>2023</v>
      </c>
      <c r="D231">
        <f t="shared" si="13"/>
        <v>11</v>
      </c>
      <c r="E231" t="str">
        <f t="shared" si="14"/>
        <v>2023-11</v>
      </c>
      <c r="H231" t="s">
        <v>162</v>
      </c>
      <c r="I231" t="s">
        <v>506</v>
      </c>
    </row>
    <row r="232" spans="1:9" x14ac:dyDescent="0.25">
      <c r="A232" t="s">
        <v>122</v>
      </c>
      <c r="B232" t="s">
        <v>204</v>
      </c>
      <c r="C232">
        <f t="shared" si="12"/>
        <v>2023</v>
      </c>
      <c r="D232">
        <f t="shared" si="13"/>
        <v>11</v>
      </c>
      <c r="E232" t="str">
        <f t="shared" si="14"/>
        <v>2023-11</v>
      </c>
      <c r="H232" t="s">
        <v>223</v>
      </c>
      <c r="I232" t="s">
        <v>498</v>
      </c>
    </row>
    <row r="233" spans="1:9" x14ac:dyDescent="0.25">
      <c r="A233" t="s">
        <v>28</v>
      </c>
      <c r="B233" t="s">
        <v>207</v>
      </c>
      <c r="C233">
        <f t="shared" si="12"/>
        <v>2023</v>
      </c>
      <c r="D233">
        <f t="shared" si="13"/>
        <v>11</v>
      </c>
      <c r="E233" t="str">
        <f t="shared" si="14"/>
        <v>2023-11</v>
      </c>
      <c r="H233" t="s">
        <v>223</v>
      </c>
      <c r="I233" t="s">
        <v>499</v>
      </c>
    </row>
    <row r="234" spans="1:9" x14ac:dyDescent="0.25">
      <c r="A234" t="s">
        <v>110</v>
      </c>
      <c r="B234" t="s">
        <v>207</v>
      </c>
      <c r="C234">
        <f t="shared" si="12"/>
        <v>2023</v>
      </c>
      <c r="D234">
        <f t="shared" si="13"/>
        <v>11</v>
      </c>
      <c r="E234" t="str">
        <f t="shared" si="14"/>
        <v>2023-11</v>
      </c>
      <c r="H234" t="s">
        <v>223</v>
      </c>
      <c r="I234" t="s">
        <v>500</v>
      </c>
    </row>
    <row r="235" spans="1:9" x14ac:dyDescent="0.25">
      <c r="A235" t="s">
        <v>35</v>
      </c>
      <c r="B235" t="s">
        <v>207</v>
      </c>
      <c r="C235">
        <f t="shared" si="12"/>
        <v>2023</v>
      </c>
      <c r="D235">
        <f t="shared" si="13"/>
        <v>11</v>
      </c>
      <c r="E235" t="str">
        <f t="shared" si="14"/>
        <v>2023-11</v>
      </c>
      <c r="H235" t="s">
        <v>223</v>
      </c>
      <c r="I235" t="s">
        <v>506</v>
      </c>
    </row>
    <row r="236" spans="1:9" x14ac:dyDescent="0.25">
      <c r="A236" t="s">
        <v>124</v>
      </c>
      <c r="B236" t="s">
        <v>208</v>
      </c>
      <c r="C236">
        <f t="shared" si="12"/>
        <v>2023</v>
      </c>
      <c r="D236">
        <f t="shared" si="13"/>
        <v>11</v>
      </c>
      <c r="E236" t="str">
        <f t="shared" si="14"/>
        <v>2023-11</v>
      </c>
      <c r="H236" t="s">
        <v>42</v>
      </c>
      <c r="I236" t="s">
        <v>495</v>
      </c>
    </row>
    <row r="237" spans="1:9" x14ac:dyDescent="0.25">
      <c r="A237" t="s">
        <v>209</v>
      </c>
      <c r="B237" t="s">
        <v>208</v>
      </c>
      <c r="C237">
        <f t="shared" si="12"/>
        <v>2023</v>
      </c>
      <c r="D237">
        <f t="shared" si="13"/>
        <v>11</v>
      </c>
      <c r="E237" t="str">
        <f t="shared" si="14"/>
        <v>2023-11</v>
      </c>
      <c r="H237" t="s">
        <v>42</v>
      </c>
      <c r="I237" t="s">
        <v>500</v>
      </c>
    </row>
    <row r="238" spans="1:9" x14ac:dyDescent="0.25">
      <c r="A238" t="s">
        <v>107</v>
      </c>
      <c r="B238" t="s">
        <v>210</v>
      </c>
      <c r="C238">
        <f t="shared" si="12"/>
        <v>2023</v>
      </c>
      <c r="D238">
        <f t="shared" si="13"/>
        <v>11</v>
      </c>
      <c r="E238" t="str">
        <f t="shared" si="14"/>
        <v>2023-11</v>
      </c>
      <c r="H238" t="s">
        <v>42</v>
      </c>
      <c r="I238" t="s">
        <v>501</v>
      </c>
    </row>
    <row r="239" spans="1:9" x14ac:dyDescent="0.25">
      <c r="A239" t="s">
        <v>182</v>
      </c>
      <c r="B239" t="s">
        <v>210</v>
      </c>
      <c r="C239">
        <f t="shared" si="12"/>
        <v>2023</v>
      </c>
      <c r="D239">
        <f t="shared" si="13"/>
        <v>11</v>
      </c>
      <c r="E239" t="str">
        <f t="shared" si="14"/>
        <v>2023-11</v>
      </c>
      <c r="H239" t="s">
        <v>42</v>
      </c>
      <c r="I239" t="s">
        <v>502</v>
      </c>
    </row>
    <row r="240" spans="1:9" x14ac:dyDescent="0.25">
      <c r="A240" t="s">
        <v>211</v>
      </c>
      <c r="B240" t="s">
        <v>210</v>
      </c>
      <c r="C240">
        <f t="shared" si="12"/>
        <v>2023</v>
      </c>
      <c r="D240">
        <f t="shared" si="13"/>
        <v>11</v>
      </c>
      <c r="E240" t="str">
        <f t="shared" si="14"/>
        <v>2023-11</v>
      </c>
      <c r="H240" t="s">
        <v>42</v>
      </c>
      <c r="I240" t="s">
        <v>506</v>
      </c>
    </row>
    <row r="241" spans="1:9" x14ac:dyDescent="0.25">
      <c r="A241" t="s">
        <v>43</v>
      </c>
      <c r="B241" t="s">
        <v>210</v>
      </c>
      <c r="C241">
        <f t="shared" si="12"/>
        <v>2023</v>
      </c>
      <c r="D241">
        <f t="shared" si="13"/>
        <v>11</v>
      </c>
      <c r="E241" t="str">
        <f t="shared" si="14"/>
        <v>2023-11</v>
      </c>
      <c r="H241" t="s">
        <v>136</v>
      </c>
      <c r="I241" t="s">
        <v>496</v>
      </c>
    </row>
    <row r="242" spans="1:9" x14ac:dyDescent="0.25">
      <c r="A242" t="s">
        <v>82</v>
      </c>
      <c r="B242" t="s">
        <v>210</v>
      </c>
      <c r="C242">
        <f t="shared" si="12"/>
        <v>2023</v>
      </c>
      <c r="D242">
        <f t="shared" si="13"/>
        <v>11</v>
      </c>
      <c r="E242" t="str">
        <f t="shared" si="14"/>
        <v>2023-11</v>
      </c>
      <c r="H242" t="s">
        <v>136</v>
      </c>
      <c r="I242" t="s">
        <v>498</v>
      </c>
    </row>
    <row r="243" spans="1:9" x14ac:dyDescent="0.25">
      <c r="A243" t="s">
        <v>105</v>
      </c>
      <c r="B243" t="s">
        <v>210</v>
      </c>
      <c r="C243">
        <f t="shared" si="12"/>
        <v>2023</v>
      </c>
      <c r="D243">
        <f t="shared" si="13"/>
        <v>11</v>
      </c>
      <c r="E243" t="str">
        <f t="shared" si="14"/>
        <v>2023-11</v>
      </c>
      <c r="H243" t="s">
        <v>136</v>
      </c>
      <c r="I243" t="s">
        <v>505</v>
      </c>
    </row>
    <row r="244" spans="1:9" x14ac:dyDescent="0.25">
      <c r="A244" t="s">
        <v>212</v>
      </c>
      <c r="B244" t="s">
        <v>210</v>
      </c>
      <c r="C244">
        <f t="shared" si="12"/>
        <v>2023</v>
      </c>
      <c r="D244">
        <f t="shared" si="13"/>
        <v>11</v>
      </c>
      <c r="E244" t="str">
        <f t="shared" si="14"/>
        <v>2023-11</v>
      </c>
      <c r="H244" t="s">
        <v>136</v>
      </c>
      <c r="I244" t="s">
        <v>506</v>
      </c>
    </row>
    <row r="245" spans="1:9" x14ac:dyDescent="0.25">
      <c r="A245" t="s">
        <v>55</v>
      </c>
      <c r="B245" t="s">
        <v>210</v>
      </c>
      <c r="C245">
        <f t="shared" si="12"/>
        <v>2023</v>
      </c>
      <c r="D245">
        <f t="shared" si="13"/>
        <v>11</v>
      </c>
      <c r="E245" t="str">
        <f t="shared" si="14"/>
        <v>2023-11</v>
      </c>
      <c r="H245" t="s">
        <v>243</v>
      </c>
      <c r="I245" t="s">
        <v>498</v>
      </c>
    </row>
    <row r="246" spans="1:9" x14ac:dyDescent="0.25">
      <c r="A246" t="s">
        <v>35</v>
      </c>
      <c r="B246" t="s">
        <v>210</v>
      </c>
      <c r="C246">
        <f t="shared" si="12"/>
        <v>2023</v>
      </c>
      <c r="D246">
        <f t="shared" si="13"/>
        <v>11</v>
      </c>
      <c r="E246" t="str">
        <f t="shared" si="14"/>
        <v>2023-11</v>
      </c>
      <c r="H246" t="s">
        <v>243</v>
      </c>
      <c r="I246" t="s">
        <v>501</v>
      </c>
    </row>
    <row r="247" spans="1:9" x14ac:dyDescent="0.25">
      <c r="A247" t="s">
        <v>17</v>
      </c>
      <c r="B247" t="s">
        <v>213</v>
      </c>
      <c r="C247">
        <f t="shared" si="12"/>
        <v>2023</v>
      </c>
      <c r="D247">
        <f t="shared" si="13"/>
        <v>11</v>
      </c>
      <c r="E247" t="str">
        <f t="shared" si="14"/>
        <v>2023-11</v>
      </c>
      <c r="H247" t="s">
        <v>243</v>
      </c>
      <c r="I247" t="s">
        <v>504</v>
      </c>
    </row>
    <row r="248" spans="1:9" x14ac:dyDescent="0.25">
      <c r="A248" t="s">
        <v>214</v>
      </c>
      <c r="B248" t="s">
        <v>213</v>
      </c>
      <c r="C248">
        <f t="shared" si="12"/>
        <v>2023</v>
      </c>
      <c r="D248">
        <f t="shared" si="13"/>
        <v>11</v>
      </c>
      <c r="E248" t="str">
        <f t="shared" si="14"/>
        <v>2023-11</v>
      </c>
      <c r="H248" t="s">
        <v>243</v>
      </c>
      <c r="I248" t="s">
        <v>505</v>
      </c>
    </row>
    <row r="249" spans="1:9" x14ac:dyDescent="0.25">
      <c r="A249" t="s">
        <v>215</v>
      </c>
      <c r="B249" t="s">
        <v>213</v>
      </c>
      <c r="C249">
        <f t="shared" si="12"/>
        <v>2023</v>
      </c>
      <c r="D249">
        <f t="shared" si="13"/>
        <v>11</v>
      </c>
      <c r="E249" t="str">
        <f t="shared" si="14"/>
        <v>2023-11</v>
      </c>
      <c r="H249" t="s">
        <v>243</v>
      </c>
      <c r="I249" t="s">
        <v>506</v>
      </c>
    </row>
    <row r="250" spans="1:9" x14ac:dyDescent="0.25">
      <c r="A250" t="s">
        <v>129</v>
      </c>
      <c r="B250" t="s">
        <v>216</v>
      </c>
      <c r="C250">
        <f t="shared" si="12"/>
        <v>2023</v>
      </c>
      <c r="D250">
        <f t="shared" si="13"/>
        <v>12</v>
      </c>
      <c r="E250" t="str">
        <f t="shared" si="14"/>
        <v>2023-12</v>
      </c>
      <c r="H250" t="s">
        <v>93</v>
      </c>
      <c r="I250" t="s">
        <v>495</v>
      </c>
    </row>
    <row r="251" spans="1:9" x14ac:dyDescent="0.25">
      <c r="A251" t="s">
        <v>217</v>
      </c>
      <c r="B251" t="s">
        <v>218</v>
      </c>
      <c r="C251">
        <f t="shared" si="12"/>
        <v>2023</v>
      </c>
      <c r="D251">
        <f t="shared" si="13"/>
        <v>12</v>
      </c>
      <c r="E251" t="str">
        <f t="shared" si="14"/>
        <v>2023-12</v>
      </c>
      <c r="H251" t="s">
        <v>93</v>
      </c>
      <c r="I251" t="s">
        <v>497</v>
      </c>
    </row>
    <row r="252" spans="1:9" x14ac:dyDescent="0.25">
      <c r="A252" t="s">
        <v>200</v>
      </c>
      <c r="B252" t="s">
        <v>218</v>
      </c>
      <c r="C252">
        <f t="shared" si="12"/>
        <v>2023</v>
      </c>
      <c r="D252">
        <f t="shared" si="13"/>
        <v>12</v>
      </c>
      <c r="E252" t="str">
        <f t="shared" si="14"/>
        <v>2023-12</v>
      </c>
      <c r="H252" t="s">
        <v>93</v>
      </c>
      <c r="I252" t="s">
        <v>502</v>
      </c>
    </row>
    <row r="253" spans="1:9" x14ac:dyDescent="0.25">
      <c r="A253" t="s">
        <v>136</v>
      </c>
      <c r="B253" t="s">
        <v>218</v>
      </c>
      <c r="C253">
        <f t="shared" si="12"/>
        <v>2023</v>
      </c>
      <c r="D253">
        <f t="shared" si="13"/>
        <v>12</v>
      </c>
      <c r="E253" t="str">
        <f t="shared" si="14"/>
        <v>2023-12</v>
      </c>
      <c r="H253" t="s">
        <v>93</v>
      </c>
      <c r="I253" t="s">
        <v>506</v>
      </c>
    </row>
    <row r="254" spans="1:9" x14ac:dyDescent="0.25">
      <c r="A254" t="s">
        <v>75</v>
      </c>
      <c r="B254" t="s">
        <v>218</v>
      </c>
      <c r="C254">
        <f t="shared" si="12"/>
        <v>2023</v>
      </c>
      <c r="D254">
        <f t="shared" si="13"/>
        <v>12</v>
      </c>
      <c r="E254" t="str">
        <f t="shared" si="14"/>
        <v>2023-12</v>
      </c>
      <c r="H254" t="s">
        <v>99</v>
      </c>
      <c r="I254" t="s">
        <v>495</v>
      </c>
    </row>
    <row r="255" spans="1:9" x14ac:dyDescent="0.25">
      <c r="A255" t="s">
        <v>149</v>
      </c>
      <c r="B255" t="s">
        <v>218</v>
      </c>
      <c r="C255">
        <f t="shared" si="12"/>
        <v>2023</v>
      </c>
      <c r="D255">
        <f t="shared" si="13"/>
        <v>12</v>
      </c>
      <c r="E255" t="str">
        <f t="shared" si="14"/>
        <v>2023-12</v>
      </c>
      <c r="H255" t="s">
        <v>99</v>
      </c>
      <c r="I255" t="s">
        <v>496</v>
      </c>
    </row>
    <row r="256" spans="1:9" x14ac:dyDescent="0.25">
      <c r="A256" t="s">
        <v>170</v>
      </c>
      <c r="B256" t="s">
        <v>218</v>
      </c>
      <c r="C256">
        <f t="shared" si="12"/>
        <v>2023</v>
      </c>
      <c r="D256">
        <f t="shared" si="13"/>
        <v>12</v>
      </c>
      <c r="E256" t="str">
        <f t="shared" si="14"/>
        <v>2023-12</v>
      </c>
      <c r="H256" t="s">
        <v>99</v>
      </c>
      <c r="I256" t="s">
        <v>498</v>
      </c>
    </row>
    <row r="257" spans="1:9" x14ac:dyDescent="0.25">
      <c r="A257" t="s">
        <v>9</v>
      </c>
      <c r="B257" t="s">
        <v>218</v>
      </c>
      <c r="C257">
        <f t="shared" si="12"/>
        <v>2023</v>
      </c>
      <c r="D257">
        <f t="shared" si="13"/>
        <v>12</v>
      </c>
      <c r="E257" t="str">
        <f t="shared" si="14"/>
        <v>2023-12</v>
      </c>
      <c r="H257" t="s">
        <v>99</v>
      </c>
      <c r="I257" t="s">
        <v>500</v>
      </c>
    </row>
    <row r="258" spans="1:9" x14ac:dyDescent="0.25">
      <c r="A258" t="s">
        <v>219</v>
      </c>
      <c r="B258" t="s">
        <v>220</v>
      </c>
      <c r="C258">
        <f t="shared" si="12"/>
        <v>2023</v>
      </c>
      <c r="D258">
        <f t="shared" si="13"/>
        <v>12</v>
      </c>
      <c r="E258" t="str">
        <f t="shared" si="14"/>
        <v>2023-12</v>
      </c>
      <c r="H258" t="s">
        <v>99</v>
      </c>
      <c r="I258" t="s">
        <v>502</v>
      </c>
    </row>
    <row r="259" spans="1:9" x14ac:dyDescent="0.25">
      <c r="A259" t="s">
        <v>110</v>
      </c>
      <c r="B259" t="s">
        <v>220</v>
      </c>
      <c r="C259">
        <f t="shared" ref="C259:C322" si="15">YEAR(B259)</f>
        <v>2023</v>
      </c>
      <c r="D259">
        <f t="shared" ref="D259:D322" si="16">MONTH(B259)</f>
        <v>12</v>
      </c>
      <c r="E259" t="str">
        <f t="shared" ref="E259:E322" si="17">C259&amp;"-"&amp;D259</f>
        <v>2023-12</v>
      </c>
      <c r="H259" t="s">
        <v>99</v>
      </c>
      <c r="I259" t="s">
        <v>503</v>
      </c>
    </row>
    <row r="260" spans="1:9" x14ac:dyDescent="0.25">
      <c r="A260" t="s">
        <v>221</v>
      </c>
      <c r="B260" t="s">
        <v>222</v>
      </c>
      <c r="C260">
        <f t="shared" si="15"/>
        <v>2023</v>
      </c>
      <c r="D260">
        <f t="shared" si="16"/>
        <v>12</v>
      </c>
      <c r="E260" t="str">
        <f t="shared" si="17"/>
        <v>2023-12</v>
      </c>
      <c r="H260" t="s">
        <v>59</v>
      </c>
      <c r="I260" t="s">
        <v>495</v>
      </c>
    </row>
    <row r="261" spans="1:9" x14ac:dyDescent="0.25">
      <c r="A261" t="s">
        <v>223</v>
      </c>
      <c r="B261" t="s">
        <v>222</v>
      </c>
      <c r="C261">
        <f t="shared" si="15"/>
        <v>2023</v>
      </c>
      <c r="D261">
        <f t="shared" si="16"/>
        <v>12</v>
      </c>
      <c r="E261" t="str">
        <f t="shared" si="17"/>
        <v>2023-12</v>
      </c>
      <c r="H261" t="s">
        <v>59</v>
      </c>
      <c r="I261" t="s">
        <v>503</v>
      </c>
    </row>
    <row r="262" spans="1:9" x14ac:dyDescent="0.25">
      <c r="A262" t="s">
        <v>224</v>
      </c>
      <c r="B262" t="s">
        <v>222</v>
      </c>
      <c r="C262">
        <f t="shared" si="15"/>
        <v>2023</v>
      </c>
      <c r="D262">
        <f t="shared" si="16"/>
        <v>12</v>
      </c>
      <c r="E262" t="str">
        <f t="shared" si="17"/>
        <v>2023-12</v>
      </c>
      <c r="H262" t="s">
        <v>59</v>
      </c>
      <c r="I262" t="s">
        <v>504</v>
      </c>
    </row>
    <row r="263" spans="1:9" x14ac:dyDescent="0.25">
      <c r="A263" t="s">
        <v>20</v>
      </c>
      <c r="B263" t="s">
        <v>222</v>
      </c>
      <c r="C263">
        <f t="shared" si="15"/>
        <v>2023</v>
      </c>
      <c r="D263">
        <f t="shared" si="16"/>
        <v>12</v>
      </c>
      <c r="E263" t="str">
        <f t="shared" si="17"/>
        <v>2023-12</v>
      </c>
      <c r="H263" t="s">
        <v>59</v>
      </c>
      <c r="I263" t="s">
        <v>505</v>
      </c>
    </row>
    <row r="264" spans="1:9" x14ac:dyDescent="0.25">
      <c r="A264" t="s">
        <v>14</v>
      </c>
      <c r="B264" t="s">
        <v>225</v>
      </c>
      <c r="C264">
        <f t="shared" si="15"/>
        <v>2023</v>
      </c>
      <c r="D264">
        <f t="shared" si="16"/>
        <v>12</v>
      </c>
      <c r="E264" t="str">
        <f t="shared" si="17"/>
        <v>2023-12</v>
      </c>
      <c r="H264" t="s">
        <v>59</v>
      </c>
      <c r="I264" t="s">
        <v>506</v>
      </c>
    </row>
    <row r="265" spans="1:9" x14ac:dyDescent="0.25">
      <c r="A265" t="s">
        <v>48</v>
      </c>
      <c r="B265" t="s">
        <v>225</v>
      </c>
      <c r="C265">
        <f t="shared" si="15"/>
        <v>2023</v>
      </c>
      <c r="D265">
        <f t="shared" si="16"/>
        <v>12</v>
      </c>
      <c r="E265" t="str">
        <f t="shared" si="17"/>
        <v>2023-12</v>
      </c>
      <c r="H265" t="s">
        <v>20</v>
      </c>
      <c r="I265" t="s">
        <v>495</v>
      </c>
    </row>
    <row r="266" spans="1:9" x14ac:dyDescent="0.25">
      <c r="A266" t="s">
        <v>33</v>
      </c>
      <c r="B266" t="s">
        <v>225</v>
      </c>
      <c r="C266">
        <f t="shared" si="15"/>
        <v>2023</v>
      </c>
      <c r="D266">
        <f t="shared" si="16"/>
        <v>12</v>
      </c>
      <c r="E266" t="str">
        <f t="shared" si="17"/>
        <v>2023-12</v>
      </c>
      <c r="H266" t="s">
        <v>20</v>
      </c>
      <c r="I266" t="s">
        <v>498</v>
      </c>
    </row>
    <row r="267" spans="1:9" x14ac:dyDescent="0.25">
      <c r="A267" t="s">
        <v>226</v>
      </c>
      <c r="B267" t="s">
        <v>225</v>
      </c>
      <c r="C267">
        <f t="shared" si="15"/>
        <v>2023</v>
      </c>
      <c r="D267">
        <f t="shared" si="16"/>
        <v>12</v>
      </c>
      <c r="E267" t="str">
        <f t="shared" si="17"/>
        <v>2023-12</v>
      </c>
      <c r="H267" t="s">
        <v>20</v>
      </c>
      <c r="I267" t="s">
        <v>499</v>
      </c>
    </row>
    <row r="268" spans="1:9" x14ac:dyDescent="0.25">
      <c r="A268" t="s">
        <v>227</v>
      </c>
      <c r="B268" t="s">
        <v>228</v>
      </c>
      <c r="C268">
        <f t="shared" si="15"/>
        <v>2023</v>
      </c>
      <c r="D268">
        <f t="shared" si="16"/>
        <v>12</v>
      </c>
      <c r="E268" t="str">
        <f t="shared" si="17"/>
        <v>2023-12</v>
      </c>
      <c r="H268" t="s">
        <v>20</v>
      </c>
      <c r="I268" t="s">
        <v>500</v>
      </c>
    </row>
    <row r="269" spans="1:9" x14ac:dyDescent="0.25">
      <c r="A269" t="s">
        <v>184</v>
      </c>
      <c r="B269" t="s">
        <v>228</v>
      </c>
      <c r="C269">
        <f t="shared" si="15"/>
        <v>2023</v>
      </c>
      <c r="D269">
        <f t="shared" si="16"/>
        <v>12</v>
      </c>
      <c r="E269" t="str">
        <f t="shared" si="17"/>
        <v>2023-12</v>
      </c>
      <c r="H269" t="s">
        <v>20</v>
      </c>
      <c r="I269" t="s">
        <v>504</v>
      </c>
    </row>
    <row r="270" spans="1:9" x14ac:dyDescent="0.25">
      <c r="A270" t="s">
        <v>31</v>
      </c>
      <c r="B270" t="s">
        <v>228</v>
      </c>
      <c r="C270">
        <f t="shared" si="15"/>
        <v>2023</v>
      </c>
      <c r="D270">
        <f t="shared" si="16"/>
        <v>12</v>
      </c>
      <c r="E270" t="str">
        <f t="shared" si="17"/>
        <v>2023-12</v>
      </c>
      <c r="H270" t="s">
        <v>20</v>
      </c>
      <c r="I270" t="s">
        <v>506</v>
      </c>
    </row>
    <row r="271" spans="1:9" x14ac:dyDescent="0.25">
      <c r="A271" t="s">
        <v>229</v>
      </c>
      <c r="B271" t="s">
        <v>228</v>
      </c>
      <c r="C271">
        <f t="shared" si="15"/>
        <v>2023</v>
      </c>
      <c r="D271">
        <f t="shared" si="16"/>
        <v>12</v>
      </c>
      <c r="E271" t="str">
        <f t="shared" si="17"/>
        <v>2023-12</v>
      </c>
      <c r="H271" t="s">
        <v>269</v>
      </c>
      <c r="I271" t="s">
        <v>499</v>
      </c>
    </row>
    <row r="272" spans="1:9" x14ac:dyDescent="0.25">
      <c r="A272" t="s">
        <v>152</v>
      </c>
      <c r="B272" t="s">
        <v>228</v>
      </c>
      <c r="C272">
        <f t="shared" si="15"/>
        <v>2023</v>
      </c>
      <c r="D272">
        <f t="shared" si="16"/>
        <v>12</v>
      </c>
      <c r="E272" t="str">
        <f t="shared" si="17"/>
        <v>2023-12</v>
      </c>
      <c r="H272" t="s">
        <v>269</v>
      </c>
      <c r="I272" t="s">
        <v>501</v>
      </c>
    </row>
    <row r="273" spans="1:9" x14ac:dyDescent="0.25">
      <c r="A273" t="s">
        <v>33</v>
      </c>
      <c r="B273" t="s">
        <v>228</v>
      </c>
      <c r="C273">
        <f t="shared" si="15"/>
        <v>2023</v>
      </c>
      <c r="D273">
        <f t="shared" si="16"/>
        <v>12</v>
      </c>
      <c r="E273" t="str">
        <f t="shared" si="17"/>
        <v>2023-12</v>
      </c>
      <c r="H273" t="s">
        <v>242</v>
      </c>
      <c r="I273" t="s">
        <v>498</v>
      </c>
    </row>
    <row r="274" spans="1:9" x14ac:dyDescent="0.25">
      <c r="A274" t="s">
        <v>153</v>
      </c>
      <c r="B274" t="s">
        <v>230</v>
      </c>
      <c r="C274">
        <f t="shared" si="15"/>
        <v>2023</v>
      </c>
      <c r="D274">
        <f t="shared" si="16"/>
        <v>12</v>
      </c>
      <c r="E274" t="str">
        <f t="shared" si="17"/>
        <v>2023-12</v>
      </c>
      <c r="H274" t="s">
        <v>133</v>
      </c>
      <c r="I274" t="s">
        <v>496</v>
      </c>
    </row>
    <row r="275" spans="1:9" x14ac:dyDescent="0.25">
      <c r="A275" t="s">
        <v>231</v>
      </c>
      <c r="B275" t="s">
        <v>230</v>
      </c>
      <c r="C275">
        <f t="shared" si="15"/>
        <v>2023</v>
      </c>
      <c r="D275">
        <f t="shared" si="16"/>
        <v>12</v>
      </c>
      <c r="E275" t="str">
        <f t="shared" si="17"/>
        <v>2023-12</v>
      </c>
      <c r="H275" t="s">
        <v>133</v>
      </c>
      <c r="I275" t="s">
        <v>499</v>
      </c>
    </row>
    <row r="276" spans="1:9" x14ac:dyDescent="0.25">
      <c r="A276" t="s">
        <v>125</v>
      </c>
      <c r="B276" t="s">
        <v>230</v>
      </c>
      <c r="C276">
        <f t="shared" si="15"/>
        <v>2023</v>
      </c>
      <c r="D276">
        <f t="shared" si="16"/>
        <v>12</v>
      </c>
      <c r="E276" t="str">
        <f t="shared" si="17"/>
        <v>2023-12</v>
      </c>
      <c r="H276" t="s">
        <v>133</v>
      </c>
      <c r="I276" t="s">
        <v>505</v>
      </c>
    </row>
    <row r="277" spans="1:9" x14ac:dyDescent="0.25">
      <c r="A277" t="s">
        <v>68</v>
      </c>
      <c r="B277" t="s">
        <v>230</v>
      </c>
      <c r="C277">
        <f t="shared" si="15"/>
        <v>2023</v>
      </c>
      <c r="D277">
        <f t="shared" si="16"/>
        <v>12</v>
      </c>
      <c r="E277" t="str">
        <f t="shared" si="17"/>
        <v>2023-12</v>
      </c>
      <c r="H277" t="s">
        <v>209</v>
      </c>
      <c r="I277" t="s">
        <v>497</v>
      </c>
    </row>
    <row r="278" spans="1:9" x14ac:dyDescent="0.25">
      <c r="A278" t="s">
        <v>110</v>
      </c>
      <c r="B278" t="s">
        <v>230</v>
      </c>
      <c r="C278">
        <f t="shared" si="15"/>
        <v>2023</v>
      </c>
      <c r="D278">
        <f t="shared" si="16"/>
        <v>12</v>
      </c>
      <c r="E278" t="str">
        <f t="shared" si="17"/>
        <v>2023-12</v>
      </c>
      <c r="H278" t="s">
        <v>209</v>
      </c>
      <c r="I278" t="s">
        <v>502</v>
      </c>
    </row>
    <row r="279" spans="1:9" x14ac:dyDescent="0.25">
      <c r="A279" t="s">
        <v>217</v>
      </c>
      <c r="B279" t="s">
        <v>230</v>
      </c>
      <c r="C279">
        <f t="shared" si="15"/>
        <v>2023</v>
      </c>
      <c r="D279">
        <f t="shared" si="16"/>
        <v>12</v>
      </c>
      <c r="E279" t="str">
        <f t="shared" si="17"/>
        <v>2023-12</v>
      </c>
      <c r="H279" t="s">
        <v>209</v>
      </c>
      <c r="I279" t="s">
        <v>504</v>
      </c>
    </row>
    <row r="280" spans="1:9" x14ac:dyDescent="0.25">
      <c r="A280" t="s">
        <v>232</v>
      </c>
      <c r="B280" t="s">
        <v>230</v>
      </c>
      <c r="C280">
        <f t="shared" si="15"/>
        <v>2023</v>
      </c>
      <c r="D280">
        <f t="shared" si="16"/>
        <v>12</v>
      </c>
      <c r="E280" t="str">
        <f t="shared" si="17"/>
        <v>2023-12</v>
      </c>
      <c r="H280" t="s">
        <v>73</v>
      </c>
      <c r="I280" t="s">
        <v>495</v>
      </c>
    </row>
    <row r="281" spans="1:9" x14ac:dyDescent="0.25">
      <c r="A281" t="s">
        <v>134</v>
      </c>
      <c r="B281" t="s">
        <v>230</v>
      </c>
      <c r="C281">
        <f t="shared" si="15"/>
        <v>2023</v>
      </c>
      <c r="D281">
        <f t="shared" si="16"/>
        <v>12</v>
      </c>
      <c r="E281" t="str">
        <f t="shared" si="17"/>
        <v>2023-12</v>
      </c>
      <c r="H281" t="s">
        <v>73</v>
      </c>
      <c r="I281" t="s">
        <v>499</v>
      </c>
    </row>
    <row r="282" spans="1:9" x14ac:dyDescent="0.25">
      <c r="A282" t="s">
        <v>233</v>
      </c>
      <c r="B282" t="s">
        <v>230</v>
      </c>
      <c r="C282">
        <f t="shared" si="15"/>
        <v>2023</v>
      </c>
      <c r="D282">
        <f t="shared" si="16"/>
        <v>12</v>
      </c>
      <c r="E282" t="str">
        <f t="shared" si="17"/>
        <v>2023-12</v>
      </c>
      <c r="H282" t="s">
        <v>73</v>
      </c>
      <c r="I282" t="s">
        <v>500</v>
      </c>
    </row>
    <row r="283" spans="1:9" x14ac:dyDescent="0.25">
      <c r="A283" t="s">
        <v>194</v>
      </c>
      <c r="B283" t="s">
        <v>234</v>
      </c>
      <c r="C283">
        <f t="shared" si="15"/>
        <v>2023</v>
      </c>
      <c r="D283">
        <f t="shared" si="16"/>
        <v>12</v>
      </c>
      <c r="E283" t="str">
        <f t="shared" si="17"/>
        <v>2023-12</v>
      </c>
      <c r="H283" t="s">
        <v>73</v>
      </c>
      <c r="I283" t="s">
        <v>501</v>
      </c>
    </row>
    <row r="284" spans="1:9" x14ac:dyDescent="0.25">
      <c r="A284" t="s">
        <v>132</v>
      </c>
      <c r="B284" t="s">
        <v>235</v>
      </c>
      <c r="C284">
        <f t="shared" si="15"/>
        <v>2023</v>
      </c>
      <c r="D284">
        <f t="shared" si="16"/>
        <v>12</v>
      </c>
      <c r="E284" t="str">
        <f t="shared" si="17"/>
        <v>2023-12</v>
      </c>
      <c r="H284" t="s">
        <v>73</v>
      </c>
      <c r="I284" t="s">
        <v>502</v>
      </c>
    </row>
    <row r="285" spans="1:9" x14ac:dyDescent="0.25">
      <c r="A285" t="s">
        <v>55</v>
      </c>
      <c r="B285" t="s">
        <v>236</v>
      </c>
      <c r="C285">
        <f t="shared" si="15"/>
        <v>2023</v>
      </c>
      <c r="D285">
        <f t="shared" si="16"/>
        <v>12</v>
      </c>
      <c r="E285" t="str">
        <f t="shared" si="17"/>
        <v>2023-12</v>
      </c>
      <c r="H285" t="s">
        <v>73</v>
      </c>
      <c r="I285" t="s">
        <v>504</v>
      </c>
    </row>
    <row r="286" spans="1:9" x14ac:dyDescent="0.25">
      <c r="A286" t="s">
        <v>116</v>
      </c>
      <c r="B286" t="s">
        <v>236</v>
      </c>
      <c r="C286">
        <f t="shared" si="15"/>
        <v>2023</v>
      </c>
      <c r="D286">
        <f t="shared" si="16"/>
        <v>12</v>
      </c>
      <c r="E286" t="str">
        <f t="shared" si="17"/>
        <v>2023-12</v>
      </c>
      <c r="H286" t="s">
        <v>73</v>
      </c>
      <c r="I286" t="s">
        <v>505</v>
      </c>
    </row>
    <row r="287" spans="1:9" x14ac:dyDescent="0.25">
      <c r="A287" t="s">
        <v>53</v>
      </c>
      <c r="B287" t="s">
        <v>237</v>
      </c>
      <c r="C287">
        <f t="shared" si="15"/>
        <v>2023</v>
      </c>
      <c r="D287">
        <f t="shared" si="16"/>
        <v>12</v>
      </c>
      <c r="E287" t="str">
        <f t="shared" si="17"/>
        <v>2023-12</v>
      </c>
      <c r="H287" t="s">
        <v>186</v>
      </c>
      <c r="I287" t="s">
        <v>497</v>
      </c>
    </row>
    <row r="288" spans="1:9" x14ac:dyDescent="0.25">
      <c r="A288" t="s">
        <v>144</v>
      </c>
      <c r="B288" t="s">
        <v>237</v>
      </c>
      <c r="C288">
        <f t="shared" si="15"/>
        <v>2023</v>
      </c>
      <c r="D288">
        <f t="shared" si="16"/>
        <v>12</v>
      </c>
      <c r="E288" t="str">
        <f t="shared" si="17"/>
        <v>2023-12</v>
      </c>
      <c r="H288" t="s">
        <v>186</v>
      </c>
      <c r="I288" t="s">
        <v>499</v>
      </c>
    </row>
    <row r="289" spans="1:9" x14ac:dyDescent="0.25">
      <c r="A289" t="s">
        <v>53</v>
      </c>
      <c r="B289" t="s">
        <v>237</v>
      </c>
      <c r="C289">
        <f t="shared" si="15"/>
        <v>2023</v>
      </c>
      <c r="D289">
        <f t="shared" si="16"/>
        <v>12</v>
      </c>
      <c r="E289" t="str">
        <f t="shared" si="17"/>
        <v>2023-12</v>
      </c>
      <c r="H289" t="s">
        <v>186</v>
      </c>
      <c r="I289" t="s">
        <v>502</v>
      </c>
    </row>
    <row r="290" spans="1:9" x14ac:dyDescent="0.25">
      <c r="A290" t="s">
        <v>190</v>
      </c>
      <c r="B290" t="s">
        <v>237</v>
      </c>
      <c r="C290">
        <f t="shared" si="15"/>
        <v>2023</v>
      </c>
      <c r="D290">
        <f t="shared" si="16"/>
        <v>12</v>
      </c>
      <c r="E290" t="str">
        <f t="shared" si="17"/>
        <v>2023-12</v>
      </c>
      <c r="H290" t="s">
        <v>186</v>
      </c>
      <c r="I290" t="s">
        <v>504</v>
      </c>
    </row>
    <row r="291" spans="1:9" x14ac:dyDescent="0.25">
      <c r="A291" t="s">
        <v>41</v>
      </c>
      <c r="B291" t="s">
        <v>238</v>
      </c>
      <c r="C291">
        <f t="shared" si="15"/>
        <v>2023</v>
      </c>
      <c r="D291">
        <f t="shared" si="16"/>
        <v>12</v>
      </c>
      <c r="E291" t="str">
        <f t="shared" si="17"/>
        <v>2023-12</v>
      </c>
      <c r="H291" t="s">
        <v>186</v>
      </c>
      <c r="I291" t="s">
        <v>505</v>
      </c>
    </row>
    <row r="292" spans="1:9" x14ac:dyDescent="0.25">
      <c r="A292" t="s">
        <v>6</v>
      </c>
      <c r="B292" t="s">
        <v>238</v>
      </c>
      <c r="C292">
        <f t="shared" si="15"/>
        <v>2023</v>
      </c>
      <c r="D292">
        <f t="shared" si="16"/>
        <v>12</v>
      </c>
      <c r="E292" t="str">
        <f t="shared" si="17"/>
        <v>2023-12</v>
      </c>
      <c r="H292" t="s">
        <v>186</v>
      </c>
      <c r="I292" t="s">
        <v>506</v>
      </c>
    </row>
    <row r="293" spans="1:9" x14ac:dyDescent="0.25">
      <c r="A293" t="s">
        <v>194</v>
      </c>
      <c r="B293" t="s">
        <v>238</v>
      </c>
      <c r="C293">
        <f t="shared" si="15"/>
        <v>2023</v>
      </c>
      <c r="D293">
        <f t="shared" si="16"/>
        <v>12</v>
      </c>
      <c r="E293" t="str">
        <f t="shared" si="17"/>
        <v>2023-12</v>
      </c>
      <c r="H293" t="s">
        <v>9</v>
      </c>
      <c r="I293" t="s">
        <v>495</v>
      </c>
    </row>
    <row r="294" spans="1:9" x14ac:dyDescent="0.25">
      <c r="A294" t="s">
        <v>239</v>
      </c>
      <c r="B294" t="s">
        <v>238</v>
      </c>
      <c r="C294">
        <f t="shared" si="15"/>
        <v>2023</v>
      </c>
      <c r="D294">
        <f t="shared" si="16"/>
        <v>12</v>
      </c>
      <c r="E294" t="str">
        <f t="shared" si="17"/>
        <v>2023-12</v>
      </c>
      <c r="H294" t="s">
        <v>9</v>
      </c>
      <c r="I294" t="s">
        <v>498</v>
      </c>
    </row>
    <row r="295" spans="1:9" x14ac:dyDescent="0.25">
      <c r="A295" t="s">
        <v>65</v>
      </c>
      <c r="B295" t="s">
        <v>238</v>
      </c>
      <c r="C295">
        <f t="shared" si="15"/>
        <v>2023</v>
      </c>
      <c r="D295">
        <f t="shared" si="16"/>
        <v>12</v>
      </c>
      <c r="E295" t="str">
        <f t="shared" si="17"/>
        <v>2023-12</v>
      </c>
      <c r="H295" t="s">
        <v>9</v>
      </c>
      <c r="I295" t="s">
        <v>500</v>
      </c>
    </row>
    <row r="296" spans="1:9" x14ac:dyDescent="0.25">
      <c r="A296" t="s">
        <v>63</v>
      </c>
      <c r="B296" t="s">
        <v>238</v>
      </c>
      <c r="C296">
        <f t="shared" si="15"/>
        <v>2023</v>
      </c>
      <c r="D296">
        <f t="shared" si="16"/>
        <v>12</v>
      </c>
      <c r="E296" t="str">
        <f t="shared" si="17"/>
        <v>2023-12</v>
      </c>
      <c r="H296" t="s">
        <v>9</v>
      </c>
      <c r="I296" t="s">
        <v>501</v>
      </c>
    </row>
    <row r="297" spans="1:9" x14ac:dyDescent="0.25">
      <c r="A297" t="s">
        <v>31</v>
      </c>
      <c r="B297" t="s">
        <v>238</v>
      </c>
      <c r="C297">
        <f t="shared" si="15"/>
        <v>2023</v>
      </c>
      <c r="D297">
        <f t="shared" si="16"/>
        <v>12</v>
      </c>
      <c r="E297" t="str">
        <f t="shared" si="17"/>
        <v>2023-12</v>
      </c>
      <c r="H297" t="s">
        <v>9</v>
      </c>
      <c r="I297" t="s">
        <v>503</v>
      </c>
    </row>
    <row r="298" spans="1:9" x14ac:dyDescent="0.25">
      <c r="A298" t="s">
        <v>99</v>
      </c>
      <c r="B298" t="s">
        <v>238</v>
      </c>
      <c r="C298">
        <f t="shared" si="15"/>
        <v>2023</v>
      </c>
      <c r="D298">
        <f t="shared" si="16"/>
        <v>12</v>
      </c>
      <c r="E298" t="str">
        <f t="shared" si="17"/>
        <v>2023-12</v>
      </c>
      <c r="H298" t="s">
        <v>9</v>
      </c>
      <c r="I298" t="s">
        <v>504</v>
      </c>
    </row>
    <row r="299" spans="1:9" x14ac:dyDescent="0.25">
      <c r="A299" t="s">
        <v>214</v>
      </c>
      <c r="B299" t="s">
        <v>238</v>
      </c>
      <c r="C299">
        <f t="shared" si="15"/>
        <v>2023</v>
      </c>
      <c r="D299">
        <f t="shared" si="16"/>
        <v>12</v>
      </c>
      <c r="E299" t="str">
        <f t="shared" si="17"/>
        <v>2023-12</v>
      </c>
      <c r="H299" t="s">
        <v>9</v>
      </c>
      <c r="I299" t="s">
        <v>506</v>
      </c>
    </row>
    <row r="300" spans="1:9" x14ac:dyDescent="0.25">
      <c r="A300" t="s">
        <v>144</v>
      </c>
      <c r="B300" t="s">
        <v>240</v>
      </c>
      <c r="C300">
        <f t="shared" si="15"/>
        <v>2023</v>
      </c>
      <c r="D300">
        <f t="shared" si="16"/>
        <v>12</v>
      </c>
      <c r="E300" t="str">
        <f t="shared" si="17"/>
        <v>2023-12</v>
      </c>
      <c r="H300" t="s">
        <v>67</v>
      </c>
      <c r="I300" t="s">
        <v>495</v>
      </c>
    </row>
    <row r="301" spans="1:9" x14ac:dyDescent="0.25">
      <c r="A301" t="s">
        <v>144</v>
      </c>
      <c r="B301" t="s">
        <v>240</v>
      </c>
      <c r="C301">
        <f t="shared" si="15"/>
        <v>2023</v>
      </c>
      <c r="D301">
        <f t="shared" si="16"/>
        <v>12</v>
      </c>
      <c r="E301" t="str">
        <f t="shared" si="17"/>
        <v>2023-12</v>
      </c>
      <c r="H301" t="s">
        <v>67</v>
      </c>
      <c r="I301" t="s">
        <v>497</v>
      </c>
    </row>
    <row r="302" spans="1:9" x14ac:dyDescent="0.25">
      <c r="A302" t="s">
        <v>200</v>
      </c>
      <c r="B302" t="s">
        <v>241</v>
      </c>
      <c r="C302">
        <f t="shared" si="15"/>
        <v>2023</v>
      </c>
      <c r="D302">
        <f t="shared" si="16"/>
        <v>12</v>
      </c>
      <c r="E302" t="str">
        <f t="shared" si="17"/>
        <v>2023-12</v>
      </c>
      <c r="H302" t="s">
        <v>67</v>
      </c>
      <c r="I302" t="s">
        <v>498</v>
      </c>
    </row>
    <row r="303" spans="1:9" x14ac:dyDescent="0.25">
      <c r="A303" t="s">
        <v>63</v>
      </c>
      <c r="B303" t="s">
        <v>241</v>
      </c>
      <c r="C303">
        <f t="shared" si="15"/>
        <v>2023</v>
      </c>
      <c r="D303">
        <f t="shared" si="16"/>
        <v>12</v>
      </c>
      <c r="E303" t="str">
        <f t="shared" si="17"/>
        <v>2023-12</v>
      </c>
      <c r="H303" t="s">
        <v>67</v>
      </c>
      <c r="I303" t="s">
        <v>499</v>
      </c>
    </row>
    <row r="304" spans="1:9" x14ac:dyDescent="0.25">
      <c r="A304" t="s">
        <v>242</v>
      </c>
      <c r="B304" t="s">
        <v>241</v>
      </c>
      <c r="C304">
        <f t="shared" si="15"/>
        <v>2023</v>
      </c>
      <c r="D304">
        <f t="shared" si="16"/>
        <v>12</v>
      </c>
      <c r="E304" t="str">
        <f t="shared" si="17"/>
        <v>2023-12</v>
      </c>
      <c r="H304" t="s">
        <v>67</v>
      </c>
      <c r="I304" t="s">
        <v>503</v>
      </c>
    </row>
    <row r="305" spans="1:9" x14ac:dyDescent="0.25">
      <c r="A305" t="s">
        <v>177</v>
      </c>
      <c r="B305" t="s">
        <v>241</v>
      </c>
      <c r="C305">
        <f t="shared" si="15"/>
        <v>2023</v>
      </c>
      <c r="D305">
        <f t="shared" si="16"/>
        <v>12</v>
      </c>
      <c r="E305" t="str">
        <f t="shared" si="17"/>
        <v>2023-12</v>
      </c>
      <c r="H305" t="s">
        <v>67</v>
      </c>
      <c r="I305" t="s">
        <v>505</v>
      </c>
    </row>
    <row r="306" spans="1:9" x14ac:dyDescent="0.25">
      <c r="A306" t="s">
        <v>243</v>
      </c>
      <c r="B306" t="s">
        <v>241</v>
      </c>
      <c r="C306">
        <f t="shared" si="15"/>
        <v>2023</v>
      </c>
      <c r="D306">
        <f t="shared" si="16"/>
        <v>12</v>
      </c>
      <c r="E306" t="str">
        <f t="shared" si="17"/>
        <v>2023-12</v>
      </c>
      <c r="H306" t="s">
        <v>239</v>
      </c>
      <c r="I306" t="s">
        <v>498</v>
      </c>
    </row>
    <row r="307" spans="1:9" x14ac:dyDescent="0.25">
      <c r="A307" t="s">
        <v>92</v>
      </c>
      <c r="B307" t="s">
        <v>244</v>
      </c>
      <c r="C307">
        <f t="shared" si="15"/>
        <v>2023</v>
      </c>
      <c r="D307">
        <f t="shared" si="16"/>
        <v>12</v>
      </c>
      <c r="E307" t="str">
        <f t="shared" si="17"/>
        <v>2023-12</v>
      </c>
      <c r="H307" t="s">
        <v>239</v>
      </c>
      <c r="I307" t="s">
        <v>499</v>
      </c>
    </row>
    <row r="308" spans="1:9" x14ac:dyDescent="0.25">
      <c r="A308" t="s">
        <v>81</v>
      </c>
      <c r="B308" t="s">
        <v>244</v>
      </c>
      <c r="C308">
        <f t="shared" si="15"/>
        <v>2023</v>
      </c>
      <c r="D308">
        <f t="shared" si="16"/>
        <v>12</v>
      </c>
      <c r="E308" t="str">
        <f t="shared" si="17"/>
        <v>2023-12</v>
      </c>
      <c r="H308" t="s">
        <v>239</v>
      </c>
      <c r="I308" t="s">
        <v>500</v>
      </c>
    </row>
    <row r="309" spans="1:9" x14ac:dyDescent="0.25">
      <c r="A309" t="s">
        <v>173</v>
      </c>
      <c r="B309" t="s">
        <v>245</v>
      </c>
      <c r="C309">
        <f t="shared" si="15"/>
        <v>2023</v>
      </c>
      <c r="D309">
        <f t="shared" si="16"/>
        <v>12</v>
      </c>
      <c r="E309" t="str">
        <f t="shared" si="17"/>
        <v>2023-12</v>
      </c>
      <c r="H309" t="s">
        <v>239</v>
      </c>
      <c r="I309" t="s">
        <v>501</v>
      </c>
    </row>
    <row r="310" spans="1:9" x14ac:dyDescent="0.25">
      <c r="A310" t="s">
        <v>99</v>
      </c>
      <c r="B310" t="s">
        <v>245</v>
      </c>
      <c r="C310">
        <f t="shared" si="15"/>
        <v>2023</v>
      </c>
      <c r="D310">
        <f t="shared" si="16"/>
        <v>12</v>
      </c>
      <c r="E310" t="str">
        <f t="shared" si="17"/>
        <v>2023-12</v>
      </c>
      <c r="H310" t="s">
        <v>239</v>
      </c>
      <c r="I310" t="s">
        <v>502</v>
      </c>
    </row>
    <row r="311" spans="1:9" x14ac:dyDescent="0.25">
      <c r="A311" t="s">
        <v>77</v>
      </c>
      <c r="B311" t="s">
        <v>245</v>
      </c>
      <c r="C311">
        <f t="shared" si="15"/>
        <v>2023</v>
      </c>
      <c r="D311">
        <f t="shared" si="16"/>
        <v>12</v>
      </c>
      <c r="E311" t="str">
        <f t="shared" si="17"/>
        <v>2023-12</v>
      </c>
      <c r="H311" t="s">
        <v>239</v>
      </c>
      <c r="I311" t="s">
        <v>504</v>
      </c>
    </row>
    <row r="312" spans="1:9" x14ac:dyDescent="0.25">
      <c r="A312" t="s">
        <v>67</v>
      </c>
      <c r="B312" t="s">
        <v>246</v>
      </c>
      <c r="C312">
        <f t="shared" si="15"/>
        <v>2023</v>
      </c>
      <c r="D312">
        <f t="shared" si="16"/>
        <v>12</v>
      </c>
      <c r="E312" t="str">
        <f t="shared" si="17"/>
        <v>2023-12</v>
      </c>
      <c r="H312" t="s">
        <v>239</v>
      </c>
      <c r="I312" t="s">
        <v>505</v>
      </c>
    </row>
    <row r="313" spans="1:9" x14ac:dyDescent="0.25">
      <c r="A313" t="s">
        <v>247</v>
      </c>
      <c r="B313" t="s">
        <v>246</v>
      </c>
      <c r="C313">
        <f t="shared" si="15"/>
        <v>2023</v>
      </c>
      <c r="D313">
        <f t="shared" si="16"/>
        <v>12</v>
      </c>
      <c r="E313" t="str">
        <f t="shared" si="17"/>
        <v>2023-12</v>
      </c>
      <c r="H313" t="s">
        <v>239</v>
      </c>
      <c r="I313" t="s">
        <v>506</v>
      </c>
    </row>
    <row r="314" spans="1:9" x14ac:dyDescent="0.25">
      <c r="A314" t="s">
        <v>248</v>
      </c>
      <c r="B314" t="s">
        <v>246</v>
      </c>
      <c r="C314">
        <f t="shared" si="15"/>
        <v>2023</v>
      </c>
      <c r="D314">
        <f t="shared" si="16"/>
        <v>12</v>
      </c>
      <c r="E314" t="str">
        <f t="shared" si="17"/>
        <v>2023-12</v>
      </c>
      <c r="H314" t="s">
        <v>92</v>
      </c>
      <c r="I314" t="s">
        <v>495</v>
      </c>
    </row>
    <row r="315" spans="1:9" x14ac:dyDescent="0.25">
      <c r="A315" t="s">
        <v>89</v>
      </c>
      <c r="B315" t="s">
        <v>246</v>
      </c>
      <c r="C315">
        <f t="shared" si="15"/>
        <v>2023</v>
      </c>
      <c r="D315">
        <f t="shared" si="16"/>
        <v>12</v>
      </c>
      <c r="E315" t="str">
        <f t="shared" si="17"/>
        <v>2023-12</v>
      </c>
      <c r="H315" t="s">
        <v>92</v>
      </c>
      <c r="I315" t="s">
        <v>498</v>
      </c>
    </row>
    <row r="316" spans="1:9" x14ac:dyDescent="0.25">
      <c r="A316" t="s">
        <v>249</v>
      </c>
      <c r="B316" t="s">
        <v>246</v>
      </c>
      <c r="C316">
        <f t="shared" si="15"/>
        <v>2023</v>
      </c>
      <c r="D316">
        <f t="shared" si="16"/>
        <v>12</v>
      </c>
      <c r="E316" t="str">
        <f t="shared" si="17"/>
        <v>2023-12</v>
      </c>
      <c r="H316" t="s">
        <v>92</v>
      </c>
      <c r="I316" t="s">
        <v>499</v>
      </c>
    </row>
    <row r="317" spans="1:9" x14ac:dyDescent="0.25">
      <c r="A317" t="s">
        <v>61</v>
      </c>
      <c r="B317" t="s">
        <v>246</v>
      </c>
      <c r="C317">
        <f t="shared" si="15"/>
        <v>2023</v>
      </c>
      <c r="D317">
        <f t="shared" si="16"/>
        <v>12</v>
      </c>
      <c r="E317" t="str">
        <f t="shared" si="17"/>
        <v>2023-12</v>
      </c>
      <c r="H317" t="s">
        <v>92</v>
      </c>
      <c r="I317" t="s">
        <v>501</v>
      </c>
    </row>
    <row r="318" spans="1:9" x14ac:dyDescent="0.25">
      <c r="A318" t="s">
        <v>129</v>
      </c>
      <c r="B318" t="s">
        <v>246</v>
      </c>
      <c r="C318">
        <f t="shared" si="15"/>
        <v>2023</v>
      </c>
      <c r="D318">
        <f t="shared" si="16"/>
        <v>12</v>
      </c>
      <c r="E318" t="str">
        <f t="shared" si="17"/>
        <v>2023-12</v>
      </c>
      <c r="H318" t="s">
        <v>92</v>
      </c>
      <c r="I318" t="s">
        <v>505</v>
      </c>
    </row>
    <row r="319" spans="1:9" x14ac:dyDescent="0.25">
      <c r="A319" t="s">
        <v>130</v>
      </c>
      <c r="B319" t="s">
        <v>246</v>
      </c>
      <c r="C319">
        <f t="shared" si="15"/>
        <v>2023</v>
      </c>
      <c r="D319">
        <f t="shared" si="16"/>
        <v>12</v>
      </c>
      <c r="E319" t="str">
        <f t="shared" si="17"/>
        <v>2023-12</v>
      </c>
      <c r="H319" t="s">
        <v>92</v>
      </c>
      <c r="I319" t="s">
        <v>506</v>
      </c>
    </row>
    <row r="320" spans="1:9" x14ac:dyDescent="0.25">
      <c r="A320" t="s">
        <v>181</v>
      </c>
      <c r="B320" t="s">
        <v>246</v>
      </c>
      <c r="C320">
        <f t="shared" si="15"/>
        <v>2023</v>
      </c>
      <c r="D320">
        <f t="shared" si="16"/>
        <v>12</v>
      </c>
      <c r="E320" t="str">
        <f t="shared" si="17"/>
        <v>2023-12</v>
      </c>
      <c r="H320" t="s">
        <v>55</v>
      </c>
      <c r="I320" t="s">
        <v>495</v>
      </c>
    </row>
    <row r="321" spans="1:9" x14ac:dyDescent="0.25">
      <c r="A321" t="s">
        <v>101</v>
      </c>
      <c r="B321" t="s">
        <v>250</v>
      </c>
      <c r="C321">
        <f t="shared" si="15"/>
        <v>2023</v>
      </c>
      <c r="D321">
        <f t="shared" si="16"/>
        <v>12</v>
      </c>
      <c r="E321" t="str">
        <f t="shared" si="17"/>
        <v>2023-12</v>
      </c>
      <c r="H321" t="s">
        <v>55</v>
      </c>
      <c r="I321" t="s">
        <v>497</v>
      </c>
    </row>
    <row r="322" spans="1:9" x14ac:dyDescent="0.25">
      <c r="A322" t="s">
        <v>64</v>
      </c>
      <c r="B322" t="s">
        <v>250</v>
      </c>
      <c r="C322">
        <f t="shared" si="15"/>
        <v>2023</v>
      </c>
      <c r="D322">
        <f t="shared" si="16"/>
        <v>12</v>
      </c>
      <c r="E322" t="str">
        <f t="shared" si="17"/>
        <v>2023-12</v>
      </c>
      <c r="H322" t="s">
        <v>55</v>
      </c>
      <c r="I322" t="s">
        <v>498</v>
      </c>
    </row>
    <row r="323" spans="1:9" x14ac:dyDescent="0.25">
      <c r="A323" t="s">
        <v>49</v>
      </c>
      <c r="B323" t="s">
        <v>251</v>
      </c>
      <c r="C323">
        <f t="shared" ref="C323:C386" si="18">YEAR(B323)</f>
        <v>2023</v>
      </c>
      <c r="D323">
        <f t="shared" ref="D323:D386" si="19">MONTH(B323)</f>
        <v>12</v>
      </c>
      <c r="E323" t="str">
        <f t="shared" ref="E323:E386" si="20">C323&amp;"-"&amp;D323</f>
        <v>2023-12</v>
      </c>
      <c r="H323" t="s">
        <v>55</v>
      </c>
      <c r="I323" t="s">
        <v>499</v>
      </c>
    </row>
    <row r="324" spans="1:9" x14ac:dyDescent="0.25">
      <c r="A324" t="s">
        <v>217</v>
      </c>
      <c r="B324" t="s">
        <v>251</v>
      </c>
      <c r="C324">
        <f t="shared" si="18"/>
        <v>2023</v>
      </c>
      <c r="D324">
        <f t="shared" si="19"/>
        <v>12</v>
      </c>
      <c r="E324" t="str">
        <f t="shared" si="20"/>
        <v>2023-12</v>
      </c>
      <c r="H324" t="s">
        <v>55</v>
      </c>
      <c r="I324" t="s">
        <v>501</v>
      </c>
    </row>
    <row r="325" spans="1:9" x14ac:dyDescent="0.25">
      <c r="A325" t="s">
        <v>75</v>
      </c>
      <c r="B325" t="s">
        <v>251</v>
      </c>
      <c r="C325">
        <f t="shared" si="18"/>
        <v>2023</v>
      </c>
      <c r="D325">
        <f t="shared" si="19"/>
        <v>12</v>
      </c>
      <c r="E325" t="str">
        <f t="shared" si="20"/>
        <v>2023-12</v>
      </c>
      <c r="H325" t="s">
        <v>55</v>
      </c>
      <c r="I325" t="s">
        <v>504</v>
      </c>
    </row>
    <row r="326" spans="1:9" x14ac:dyDescent="0.25">
      <c r="A326" t="s">
        <v>217</v>
      </c>
      <c r="B326" t="s">
        <v>251</v>
      </c>
      <c r="C326">
        <f t="shared" si="18"/>
        <v>2023</v>
      </c>
      <c r="D326">
        <f t="shared" si="19"/>
        <v>12</v>
      </c>
      <c r="E326" t="str">
        <f t="shared" si="20"/>
        <v>2023-12</v>
      </c>
      <c r="H326" t="s">
        <v>166</v>
      </c>
      <c r="I326" t="s">
        <v>496</v>
      </c>
    </row>
    <row r="327" spans="1:9" x14ac:dyDescent="0.25">
      <c r="A327" t="s">
        <v>55</v>
      </c>
      <c r="B327" t="s">
        <v>251</v>
      </c>
      <c r="C327">
        <f t="shared" si="18"/>
        <v>2023</v>
      </c>
      <c r="D327">
        <f t="shared" si="19"/>
        <v>12</v>
      </c>
      <c r="E327" t="str">
        <f t="shared" si="20"/>
        <v>2023-12</v>
      </c>
      <c r="H327" t="s">
        <v>194</v>
      </c>
      <c r="I327" t="s">
        <v>497</v>
      </c>
    </row>
    <row r="328" spans="1:9" x14ac:dyDescent="0.25">
      <c r="A328" t="s">
        <v>136</v>
      </c>
      <c r="B328" t="s">
        <v>251</v>
      </c>
      <c r="C328">
        <f t="shared" si="18"/>
        <v>2023</v>
      </c>
      <c r="D328">
        <f t="shared" si="19"/>
        <v>12</v>
      </c>
      <c r="E328" t="str">
        <f t="shared" si="20"/>
        <v>2023-12</v>
      </c>
      <c r="H328" t="s">
        <v>194</v>
      </c>
      <c r="I328" t="s">
        <v>498</v>
      </c>
    </row>
    <row r="329" spans="1:9" x14ac:dyDescent="0.25">
      <c r="A329" t="s">
        <v>252</v>
      </c>
      <c r="B329" t="s">
        <v>253</v>
      </c>
      <c r="C329">
        <f t="shared" si="18"/>
        <v>2023</v>
      </c>
      <c r="D329">
        <f t="shared" si="19"/>
        <v>12</v>
      </c>
      <c r="E329" t="str">
        <f t="shared" si="20"/>
        <v>2023-12</v>
      </c>
      <c r="H329" t="s">
        <v>194</v>
      </c>
      <c r="I329" t="s">
        <v>503</v>
      </c>
    </row>
    <row r="330" spans="1:9" x14ac:dyDescent="0.25">
      <c r="A330" t="s">
        <v>196</v>
      </c>
      <c r="B330" t="s">
        <v>254</v>
      </c>
      <c r="C330">
        <f t="shared" si="18"/>
        <v>2023</v>
      </c>
      <c r="D330">
        <f t="shared" si="19"/>
        <v>12</v>
      </c>
      <c r="E330" t="str">
        <f t="shared" si="20"/>
        <v>2023-12</v>
      </c>
      <c r="H330" t="s">
        <v>194</v>
      </c>
      <c r="I330" t="s">
        <v>504</v>
      </c>
    </row>
    <row r="331" spans="1:9" x14ac:dyDescent="0.25">
      <c r="A331" t="s">
        <v>217</v>
      </c>
      <c r="B331" t="s">
        <v>255</v>
      </c>
      <c r="C331">
        <f t="shared" si="18"/>
        <v>2024</v>
      </c>
      <c r="D331">
        <f t="shared" si="19"/>
        <v>1</v>
      </c>
      <c r="E331" t="str">
        <f t="shared" si="20"/>
        <v>2024-1</v>
      </c>
      <c r="H331" t="s">
        <v>194</v>
      </c>
      <c r="I331" t="s">
        <v>505</v>
      </c>
    </row>
    <row r="332" spans="1:9" x14ac:dyDescent="0.25">
      <c r="A332" t="s">
        <v>55</v>
      </c>
      <c r="B332" t="s">
        <v>255</v>
      </c>
      <c r="C332">
        <f t="shared" si="18"/>
        <v>2024</v>
      </c>
      <c r="D332">
        <f t="shared" si="19"/>
        <v>1</v>
      </c>
      <c r="E332" t="str">
        <f t="shared" si="20"/>
        <v>2024-1</v>
      </c>
      <c r="H332" t="s">
        <v>94</v>
      </c>
      <c r="I332" t="s">
        <v>495</v>
      </c>
    </row>
    <row r="333" spans="1:9" x14ac:dyDescent="0.25">
      <c r="A333" t="s">
        <v>223</v>
      </c>
      <c r="B333" t="s">
        <v>255</v>
      </c>
      <c r="C333">
        <f t="shared" si="18"/>
        <v>2024</v>
      </c>
      <c r="D333">
        <f t="shared" si="19"/>
        <v>1</v>
      </c>
      <c r="E333" t="str">
        <f t="shared" si="20"/>
        <v>2024-1</v>
      </c>
      <c r="H333" t="s">
        <v>94</v>
      </c>
      <c r="I333" t="s">
        <v>497</v>
      </c>
    </row>
    <row r="334" spans="1:9" x14ac:dyDescent="0.25">
      <c r="A334" t="s">
        <v>256</v>
      </c>
      <c r="B334" t="s">
        <v>255</v>
      </c>
      <c r="C334">
        <f t="shared" si="18"/>
        <v>2024</v>
      </c>
      <c r="D334">
        <f t="shared" si="19"/>
        <v>1</v>
      </c>
      <c r="E334" t="str">
        <f t="shared" si="20"/>
        <v>2024-1</v>
      </c>
      <c r="H334" t="s">
        <v>94</v>
      </c>
      <c r="I334" t="s">
        <v>499</v>
      </c>
    </row>
    <row r="335" spans="1:9" x14ac:dyDescent="0.25">
      <c r="A335" t="s">
        <v>173</v>
      </c>
      <c r="B335" t="s">
        <v>255</v>
      </c>
      <c r="C335">
        <f t="shared" si="18"/>
        <v>2024</v>
      </c>
      <c r="D335">
        <f t="shared" si="19"/>
        <v>1</v>
      </c>
      <c r="E335" t="str">
        <f t="shared" si="20"/>
        <v>2024-1</v>
      </c>
      <c r="H335" t="s">
        <v>94</v>
      </c>
      <c r="I335" t="s">
        <v>500</v>
      </c>
    </row>
    <row r="336" spans="1:9" x14ac:dyDescent="0.25">
      <c r="A336" t="s">
        <v>177</v>
      </c>
      <c r="B336" t="s">
        <v>255</v>
      </c>
      <c r="C336">
        <f t="shared" si="18"/>
        <v>2024</v>
      </c>
      <c r="D336">
        <f t="shared" si="19"/>
        <v>1</v>
      </c>
      <c r="E336" t="str">
        <f t="shared" si="20"/>
        <v>2024-1</v>
      </c>
      <c r="H336" t="s">
        <v>94</v>
      </c>
      <c r="I336" t="s">
        <v>503</v>
      </c>
    </row>
    <row r="337" spans="1:9" x14ac:dyDescent="0.25">
      <c r="A337" t="s">
        <v>223</v>
      </c>
      <c r="B337" t="s">
        <v>257</v>
      </c>
      <c r="C337">
        <f t="shared" si="18"/>
        <v>2024</v>
      </c>
      <c r="D337">
        <f t="shared" si="19"/>
        <v>1</v>
      </c>
      <c r="E337" t="str">
        <f t="shared" si="20"/>
        <v>2024-1</v>
      </c>
      <c r="H337" t="s">
        <v>94</v>
      </c>
      <c r="I337" t="s">
        <v>504</v>
      </c>
    </row>
    <row r="338" spans="1:9" x14ac:dyDescent="0.25">
      <c r="A338" t="s">
        <v>66</v>
      </c>
      <c r="B338" t="s">
        <v>257</v>
      </c>
      <c r="C338">
        <f t="shared" si="18"/>
        <v>2024</v>
      </c>
      <c r="D338">
        <f t="shared" si="19"/>
        <v>1</v>
      </c>
      <c r="E338" t="str">
        <f t="shared" si="20"/>
        <v>2024-1</v>
      </c>
      <c r="H338" t="s">
        <v>94</v>
      </c>
      <c r="I338" t="s">
        <v>505</v>
      </c>
    </row>
    <row r="339" spans="1:9" x14ac:dyDescent="0.25">
      <c r="A339" t="s">
        <v>165</v>
      </c>
      <c r="B339" t="s">
        <v>257</v>
      </c>
      <c r="C339">
        <f t="shared" si="18"/>
        <v>2024</v>
      </c>
      <c r="D339">
        <f t="shared" si="19"/>
        <v>1</v>
      </c>
      <c r="E339" t="str">
        <f t="shared" si="20"/>
        <v>2024-1</v>
      </c>
      <c r="H339" t="s">
        <v>94</v>
      </c>
      <c r="I339" t="s">
        <v>506</v>
      </c>
    </row>
    <row r="340" spans="1:9" x14ac:dyDescent="0.25">
      <c r="A340" t="s">
        <v>14</v>
      </c>
      <c r="B340" t="s">
        <v>258</v>
      </c>
      <c r="C340">
        <f t="shared" si="18"/>
        <v>2024</v>
      </c>
      <c r="D340">
        <f t="shared" si="19"/>
        <v>1</v>
      </c>
      <c r="E340" t="str">
        <f t="shared" si="20"/>
        <v>2024-1</v>
      </c>
      <c r="H340" t="s">
        <v>338</v>
      </c>
      <c r="I340" t="s">
        <v>501</v>
      </c>
    </row>
    <row r="341" spans="1:9" x14ac:dyDescent="0.25">
      <c r="A341" t="s">
        <v>173</v>
      </c>
      <c r="B341" t="s">
        <v>258</v>
      </c>
      <c r="C341">
        <f t="shared" si="18"/>
        <v>2024</v>
      </c>
      <c r="D341">
        <f t="shared" si="19"/>
        <v>1</v>
      </c>
      <c r="E341" t="str">
        <f t="shared" si="20"/>
        <v>2024-1</v>
      </c>
      <c r="H341" t="s">
        <v>338</v>
      </c>
      <c r="I341" t="s">
        <v>505</v>
      </c>
    </row>
    <row r="342" spans="1:9" x14ac:dyDescent="0.25">
      <c r="A342" t="s">
        <v>31</v>
      </c>
      <c r="B342" t="s">
        <v>259</v>
      </c>
      <c r="C342">
        <f t="shared" si="18"/>
        <v>2024</v>
      </c>
      <c r="D342">
        <f t="shared" si="19"/>
        <v>1</v>
      </c>
      <c r="E342" t="str">
        <f t="shared" si="20"/>
        <v>2024-1</v>
      </c>
      <c r="H342" t="s">
        <v>15</v>
      </c>
      <c r="I342" t="s">
        <v>495</v>
      </c>
    </row>
    <row r="343" spans="1:9" x14ac:dyDescent="0.25">
      <c r="A343" t="s">
        <v>20</v>
      </c>
      <c r="B343" t="s">
        <v>260</v>
      </c>
      <c r="C343">
        <f t="shared" si="18"/>
        <v>2024</v>
      </c>
      <c r="D343">
        <f t="shared" si="19"/>
        <v>1</v>
      </c>
      <c r="E343" t="str">
        <f t="shared" si="20"/>
        <v>2024-1</v>
      </c>
      <c r="H343" t="s">
        <v>15</v>
      </c>
      <c r="I343" t="s">
        <v>501</v>
      </c>
    </row>
    <row r="344" spans="1:9" x14ac:dyDescent="0.25">
      <c r="A344" t="s">
        <v>94</v>
      </c>
      <c r="B344" t="s">
        <v>261</v>
      </c>
      <c r="C344">
        <f t="shared" si="18"/>
        <v>2024</v>
      </c>
      <c r="D344">
        <f t="shared" si="19"/>
        <v>1</v>
      </c>
      <c r="E344" t="str">
        <f t="shared" si="20"/>
        <v>2024-1</v>
      </c>
      <c r="H344" t="s">
        <v>15</v>
      </c>
      <c r="I344" t="s">
        <v>503</v>
      </c>
    </row>
    <row r="345" spans="1:9" x14ac:dyDescent="0.25">
      <c r="A345" t="s">
        <v>55</v>
      </c>
      <c r="B345" t="s">
        <v>261</v>
      </c>
      <c r="C345">
        <f t="shared" si="18"/>
        <v>2024</v>
      </c>
      <c r="D345">
        <f t="shared" si="19"/>
        <v>1</v>
      </c>
      <c r="E345" t="str">
        <f t="shared" si="20"/>
        <v>2024-1</v>
      </c>
      <c r="H345" t="s">
        <v>15</v>
      </c>
      <c r="I345" t="s">
        <v>506</v>
      </c>
    </row>
    <row r="346" spans="1:9" x14ac:dyDescent="0.25">
      <c r="A346" t="s">
        <v>69</v>
      </c>
      <c r="B346" t="s">
        <v>261</v>
      </c>
      <c r="C346">
        <f t="shared" si="18"/>
        <v>2024</v>
      </c>
      <c r="D346">
        <f t="shared" si="19"/>
        <v>1</v>
      </c>
      <c r="E346" t="str">
        <f t="shared" si="20"/>
        <v>2024-1</v>
      </c>
      <c r="H346" t="s">
        <v>256</v>
      </c>
      <c r="I346" t="s">
        <v>499</v>
      </c>
    </row>
    <row r="347" spans="1:9" x14ac:dyDescent="0.25">
      <c r="A347" t="s">
        <v>35</v>
      </c>
      <c r="B347" t="s">
        <v>261</v>
      </c>
      <c r="C347">
        <f t="shared" si="18"/>
        <v>2024</v>
      </c>
      <c r="D347">
        <f t="shared" si="19"/>
        <v>1</v>
      </c>
      <c r="E347" t="str">
        <f t="shared" si="20"/>
        <v>2024-1</v>
      </c>
      <c r="H347" t="s">
        <v>256</v>
      </c>
      <c r="I347" t="s">
        <v>505</v>
      </c>
    </row>
    <row r="348" spans="1:9" x14ac:dyDescent="0.25">
      <c r="A348" t="s">
        <v>67</v>
      </c>
      <c r="B348" t="s">
        <v>261</v>
      </c>
      <c r="C348">
        <f t="shared" si="18"/>
        <v>2024</v>
      </c>
      <c r="D348">
        <f t="shared" si="19"/>
        <v>1</v>
      </c>
      <c r="E348" t="str">
        <f t="shared" si="20"/>
        <v>2024-1</v>
      </c>
      <c r="H348" t="s">
        <v>256</v>
      </c>
      <c r="I348" t="s">
        <v>506</v>
      </c>
    </row>
    <row r="349" spans="1:9" x14ac:dyDescent="0.25">
      <c r="A349" t="s">
        <v>196</v>
      </c>
      <c r="B349" t="s">
        <v>261</v>
      </c>
      <c r="C349">
        <f t="shared" si="18"/>
        <v>2024</v>
      </c>
      <c r="D349">
        <f t="shared" si="19"/>
        <v>1</v>
      </c>
      <c r="E349" t="str">
        <f t="shared" si="20"/>
        <v>2024-1</v>
      </c>
      <c r="H349" t="s">
        <v>256</v>
      </c>
      <c r="I349" t="s">
        <v>507</v>
      </c>
    </row>
    <row r="350" spans="1:9" x14ac:dyDescent="0.25">
      <c r="A350" t="s">
        <v>51</v>
      </c>
      <c r="B350" t="s">
        <v>262</v>
      </c>
      <c r="C350">
        <f t="shared" si="18"/>
        <v>2024</v>
      </c>
      <c r="D350">
        <f t="shared" si="19"/>
        <v>1</v>
      </c>
      <c r="E350" t="str">
        <f t="shared" si="20"/>
        <v>2024-1</v>
      </c>
      <c r="H350" t="s">
        <v>176</v>
      </c>
      <c r="I350" t="s">
        <v>497</v>
      </c>
    </row>
    <row r="351" spans="1:9" x14ac:dyDescent="0.25">
      <c r="A351" t="s">
        <v>221</v>
      </c>
      <c r="B351" t="s">
        <v>262</v>
      </c>
      <c r="C351">
        <f t="shared" si="18"/>
        <v>2024</v>
      </c>
      <c r="D351">
        <f t="shared" si="19"/>
        <v>1</v>
      </c>
      <c r="E351" t="str">
        <f t="shared" si="20"/>
        <v>2024-1</v>
      </c>
      <c r="H351" t="s">
        <v>176</v>
      </c>
      <c r="I351" t="s">
        <v>499</v>
      </c>
    </row>
    <row r="352" spans="1:9" x14ac:dyDescent="0.25">
      <c r="A352" t="s">
        <v>70</v>
      </c>
      <c r="B352" t="s">
        <v>262</v>
      </c>
      <c r="C352">
        <f t="shared" si="18"/>
        <v>2024</v>
      </c>
      <c r="D352">
        <f t="shared" si="19"/>
        <v>1</v>
      </c>
      <c r="E352" t="str">
        <f t="shared" si="20"/>
        <v>2024-1</v>
      </c>
      <c r="H352" t="s">
        <v>176</v>
      </c>
      <c r="I352" t="s">
        <v>501</v>
      </c>
    </row>
    <row r="353" spans="1:9" x14ac:dyDescent="0.25">
      <c r="A353" t="s">
        <v>64</v>
      </c>
      <c r="B353" t="s">
        <v>263</v>
      </c>
      <c r="C353">
        <f t="shared" si="18"/>
        <v>2024</v>
      </c>
      <c r="D353">
        <f t="shared" si="19"/>
        <v>1</v>
      </c>
      <c r="E353" t="str">
        <f t="shared" si="20"/>
        <v>2024-1</v>
      </c>
      <c r="H353" t="s">
        <v>176</v>
      </c>
      <c r="I353" t="s">
        <v>506</v>
      </c>
    </row>
    <row r="354" spans="1:9" x14ac:dyDescent="0.25">
      <c r="A354" t="s">
        <v>264</v>
      </c>
      <c r="B354" t="s">
        <v>263</v>
      </c>
      <c r="C354">
        <f t="shared" si="18"/>
        <v>2024</v>
      </c>
      <c r="D354">
        <f t="shared" si="19"/>
        <v>1</v>
      </c>
      <c r="E354" t="str">
        <f t="shared" si="20"/>
        <v>2024-1</v>
      </c>
      <c r="H354" t="s">
        <v>86</v>
      </c>
      <c r="I354" t="s">
        <v>495</v>
      </c>
    </row>
    <row r="355" spans="1:9" x14ac:dyDescent="0.25">
      <c r="A355" t="s">
        <v>17</v>
      </c>
      <c r="B355" t="s">
        <v>263</v>
      </c>
      <c r="C355">
        <f t="shared" si="18"/>
        <v>2024</v>
      </c>
      <c r="D355">
        <f t="shared" si="19"/>
        <v>1</v>
      </c>
      <c r="E355" t="str">
        <f t="shared" si="20"/>
        <v>2024-1</v>
      </c>
      <c r="H355" t="s">
        <v>181</v>
      </c>
      <c r="I355" t="s">
        <v>497</v>
      </c>
    </row>
    <row r="356" spans="1:9" x14ac:dyDescent="0.25">
      <c r="A356" t="s">
        <v>265</v>
      </c>
      <c r="B356" t="s">
        <v>266</v>
      </c>
      <c r="C356">
        <f t="shared" si="18"/>
        <v>2024</v>
      </c>
      <c r="D356">
        <f t="shared" si="19"/>
        <v>1</v>
      </c>
      <c r="E356" t="str">
        <f t="shared" si="20"/>
        <v>2024-1</v>
      </c>
      <c r="H356" t="s">
        <v>181</v>
      </c>
      <c r="I356" t="s">
        <v>498</v>
      </c>
    </row>
    <row r="357" spans="1:9" x14ac:dyDescent="0.25">
      <c r="A357" t="s">
        <v>152</v>
      </c>
      <c r="B357" t="s">
        <v>266</v>
      </c>
      <c r="C357">
        <f t="shared" si="18"/>
        <v>2024</v>
      </c>
      <c r="D357">
        <f t="shared" si="19"/>
        <v>1</v>
      </c>
      <c r="E357" t="str">
        <f t="shared" si="20"/>
        <v>2024-1</v>
      </c>
      <c r="H357" t="s">
        <v>248</v>
      </c>
      <c r="I357" t="s">
        <v>498</v>
      </c>
    </row>
    <row r="358" spans="1:9" x14ac:dyDescent="0.25">
      <c r="A358" t="s">
        <v>176</v>
      </c>
      <c r="B358" t="s">
        <v>266</v>
      </c>
      <c r="C358">
        <f t="shared" si="18"/>
        <v>2024</v>
      </c>
      <c r="D358">
        <f t="shared" si="19"/>
        <v>1</v>
      </c>
      <c r="E358" t="str">
        <f t="shared" si="20"/>
        <v>2024-1</v>
      </c>
      <c r="H358" t="s">
        <v>248</v>
      </c>
      <c r="I358" t="s">
        <v>500</v>
      </c>
    </row>
    <row r="359" spans="1:9" x14ac:dyDescent="0.25">
      <c r="A359" t="s">
        <v>267</v>
      </c>
      <c r="B359" t="s">
        <v>268</v>
      </c>
      <c r="C359">
        <f t="shared" si="18"/>
        <v>2024</v>
      </c>
      <c r="D359">
        <f t="shared" si="19"/>
        <v>1</v>
      </c>
      <c r="E359" t="str">
        <f t="shared" si="20"/>
        <v>2024-1</v>
      </c>
      <c r="H359" t="s">
        <v>248</v>
      </c>
      <c r="I359" t="s">
        <v>501</v>
      </c>
    </row>
    <row r="360" spans="1:9" x14ac:dyDescent="0.25">
      <c r="A360" t="s">
        <v>269</v>
      </c>
      <c r="B360" t="s">
        <v>268</v>
      </c>
      <c r="C360">
        <f t="shared" si="18"/>
        <v>2024</v>
      </c>
      <c r="D360">
        <f t="shared" si="19"/>
        <v>1</v>
      </c>
      <c r="E360" t="str">
        <f t="shared" si="20"/>
        <v>2024-1</v>
      </c>
      <c r="H360" t="s">
        <v>248</v>
      </c>
      <c r="I360" t="s">
        <v>502</v>
      </c>
    </row>
    <row r="361" spans="1:9" x14ac:dyDescent="0.25">
      <c r="A361" t="s">
        <v>92</v>
      </c>
      <c r="B361" t="s">
        <v>268</v>
      </c>
      <c r="C361">
        <f t="shared" si="18"/>
        <v>2024</v>
      </c>
      <c r="D361">
        <f t="shared" si="19"/>
        <v>1</v>
      </c>
      <c r="E361" t="str">
        <f t="shared" si="20"/>
        <v>2024-1</v>
      </c>
      <c r="H361" t="s">
        <v>248</v>
      </c>
      <c r="I361" t="s">
        <v>504</v>
      </c>
    </row>
    <row r="362" spans="1:9" x14ac:dyDescent="0.25">
      <c r="A362" t="s">
        <v>270</v>
      </c>
      <c r="B362" t="s">
        <v>271</v>
      </c>
      <c r="C362">
        <f t="shared" si="18"/>
        <v>2024</v>
      </c>
      <c r="D362">
        <f t="shared" si="19"/>
        <v>1</v>
      </c>
      <c r="E362" t="str">
        <f t="shared" si="20"/>
        <v>2024-1</v>
      </c>
      <c r="H362" t="s">
        <v>33</v>
      </c>
      <c r="I362" t="s">
        <v>495</v>
      </c>
    </row>
    <row r="363" spans="1:9" x14ac:dyDescent="0.25">
      <c r="A363" t="s">
        <v>188</v>
      </c>
      <c r="B363" t="s">
        <v>271</v>
      </c>
      <c r="C363">
        <f t="shared" si="18"/>
        <v>2024</v>
      </c>
      <c r="D363">
        <f t="shared" si="19"/>
        <v>1</v>
      </c>
      <c r="E363" t="str">
        <f t="shared" si="20"/>
        <v>2024-1</v>
      </c>
      <c r="H363" t="s">
        <v>33</v>
      </c>
      <c r="I363" t="s">
        <v>496</v>
      </c>
    </row>
    <row r="364" spans="1:9" x14ac:dyDescent="0.25">
      <c r="A364" t="s">
        <v>231</v>
      </c>
      <c r="B364" t="s">
        <v>271</v>
      </c>
      <c r="C364">
        <f t="shared" si="18"/>
        <v>2024</v>
      </c>
      <c r="D364">
        <f t="shared" si="19"/>
        <v>1</v>
      </c>
      <c r="E364" t="str">
        <f t="shared" si="20"/>
        <v>2024-1</v>
      </c>
      <c r="H364" t="s">
        <v>33</v>
      </c>
      <c r="I364" t="s">
        <v>497</v>
      </c>
    </row>
    <row r="365" spans="1:9" x14ac:dyDescent="0.25">
      <c r="A365" t="s">
        <v>272</v>
      </c>
      <c r="B365" t="s">
        <v>271</v>
      </c>
      <c r="C365">
        <f t="shared" si="18"/>
        <v>2024</v>
      </c>
      <c r="D365">
        <f t="shared" si="19"/>
        <v>1</v>
      </c>
      <c r="E365" t="str">
        <f t="shared" si="20"/>
        <v>2024-1</v>
      </c>
      <c r="H365" t="s">
        <v>33</v>
      </c>
      <c r="I365" t="s">
        <v>498</v>
      </c>
    </row>
    <row r="366" spans="1:9" x14ac:dyDescent="0.25">
      <c r="A366" t="s">
        <v>227</v>
      </c>
      <c r="B366" t="s">
        <v>271</v>
      </c>
      <c r="C366">
        <f t="shared" si="18"/>
        <v>2024</v>
      </c>
      <c r="D366">
        <f t="shared" si="19"/>
        <v>1</v>
      </c>
      <c r="E366" t="str">
        <f t="shared" si="20"/>
        <v>2024-1</v>
      </c>
      <c r="H366" t="s">
        <v>33</v>
      </c>
      <c r="I366" t="s">
        <v>501</v>
      </c>
    </row>
    <row r="367" spans="1:9" x14ac:dyDescent="0.25">
      <c r="A367" t="s">
        <v>50</v>
      </c>
      <c r="B367" t="s">
        <v>271</v>
      </c>
      <c r="C367">
        <f t="shared" si="18"/>
        <v>2024</v>
      </c>
      <c r="D367">
        <f t="shared" si="19"/>
        <v>1</v>
      </c>
      <c r="E367" t="str">
        <f t="shared" si="20"/>
        <v>2024-1</v>
      </c>
      <c r="H367" t="s">
        <v>33</v>
      </c>
      <c r="I367" t="s">
        <v>504</v>
      </c>
    </row>
    <row r="368" spans="1:9" x14ac:dyDescent="0.25">
      <c r="A368" t="s">
        <v>39</v>
      </c>
      <c r="B368" t="s">
        <v>271</v>
      </c>
      <c r="C368">
        <f t="shared" si="18"/>
        <v>2024</v>
      </c>
      <c r="D368">
        <f t="shared" si="19"/>
        <v>1</v>
      </c>
      <c r="E368" t="str">
        <f t="shared" si="20"/>
        <v>2024-1</v>
      </c>
      <c r="H368" t="s">
        <v>33</v>
      </c>
      <c r="I368" t="s">
        <v>505</v>
      </c>
    </row>
    <row r="369" spans="1:9" x14ac:dyDescent="0.25">
      <c r="A369" t="s">
        <v>52</v>
      </c>
      <c r="B369" t="s">
        <v>273</v>
      </c>
      <c r="C369">
        <f t="shared" si="18"/>
        <v>2024</v>
      </c>
      <c r="D369">
        <f t="shared" si="19"/>
        <v>1</v>
      </c>
      <c r="E369" t="str">
        <f t="shared" si="20"/>
        <v>2024-1</v>
      </c>
      <c r="H369" t="s">
        <v>33</v>
      </c>
      <c r="I369" t="s">
        <v>506</v>
      </c>
    </row>
    <row r="370" spans="1:9" x14ac:dyDescent="0.25">
      <c r="A370" t="s">
        <v>188</v>
      </c>
      <c r="B370" t="s">
        <v>273</v>
      </c>
      <c r="C370">
        <f t="shared" si="18"/>
        <v>2024</v>
      </c>
      <c r="D370">
        <f t="shared" si="19"/>
        <v>1</v>
      </c>
      <c r="E370" t="str">
        <f t="shared" si="20"/>
        <v>2024-1</v>
      </c>
      <c r="H370" t="s">
        <v>331</v>
      </c>
      <c r="I370" t="s">
        <v>501</v>
      </c>
    </row>
    <row r="371" spans="1:9" x14ac:dyDescent="0.25">
      <c r="A371" t="s">
        <v>36</v>
      </c>
      <c r="B371" t="s">
        <v>273</v>
      </c>
      <c r="C371">
        <f t="shared" si="18"/>
        <v>2024</v>
      </c>
      <c r="D371">
        <f t="shared" si="19"/>
        <v>1</v>
      </c>
      <c r="E371" t="str">
        <f t="shared" si="20"/>
        <v>2024-1</v>
      </c>
      <c r="H371" t="s">
        <v>331</v>
      </c>
      <c r="I371" t="s">
        <v>502</v>
      </c>
    </row>
    <row r="372" spans="1:9" x14ac:dyDescent="0.25">
      <c r="A372" t="s">
        <v>133</v>
      </c>
      <c r="B372" t="s">
        <v>274</v>
      </c>
      <c r="C372">
        <f t="shared" si="18"/>
        <v>2024</v>
      </c>
      <c r="D372">
        <f t="shared" si="19"/>
        <v>1</v>
      </c>
      <c r="E372" t="str">
        <f t="shared" si="20"/>
        <v>2024-1</v>
      </c>
      <c r="H372" t="s">
        <v>226</v>
      </c>
      <c r="I372" t="s">
        <v>498</v>
      </c>
    </row>
    <row r="373" spans="1:9" x14ac:dyDescent="0.25">
      <c r="A373" t="s">
        <v>28</v>
      </c>
      <c r="B373" t="s">
        <v>275</v>
      </c>
      <c r="C373">
        <f t="shared" si="18"/>
        <v>2024</v>
      </c>
      <c r="D373">
        <f t="shared" si="19"/>
        <v>1</v>
      </c>
      <c r="E373" t="str">
        <f t="shared" si="20"/>
        <v>2024-1</v>
      </c>
      <c r="H373" t="s">
        <v>226</v>
      </c>
      <c r="I373" t="s">
        <v>500</v>
      </c>
    </row>
    <row r="374" spans="1:9" x14ac:dyDescent="0.25">
      <c r="A374" t="s">
        <v>217</v>
      </c>
      <c r="B374" t="s">
        <v>275</v>
      </c>
      <c r="C374">
        <f t="shared" si="18"/>
        <v>2024</v>
      </c>
      <c r="D374">
        <f t="shared" si="19"/>
        <v>1</v>
      </c>
      <c r="E374" t="str">
        <f t="shared" si="20"/>
        <v>2024-1</v>
      </c>
      <c r="H374" t="s">
        <v>226</v>
      </c>
      <c r="I374" t="s">
        <v>503</v>
      </c>
    </row>
    <row r="375" spans="1:9" x14ac:dyDescent="0.25">
      <c r="A375" t="s">
        <v>26</v>
      </c>
      <c r="B375" t="s">
        <v>276</v>
      </c>
      <c r="C375">
        <f t="shared" si="18"/>
        <v>2024</v>
      </c>
      <c r="D375">
        <f t="shared" si="19"/>
        <v>1</v>
      </c>
      <c r="E375" t="str">
        <f t="shared" si="20"/>
        <v>2024-1</v>
      </c>
      <c r="H375" t="s">
        <v>202</v>
      </c>
      <c r="I375" t="s">
        <v>497</v>
      </c>
    </row>
    <row r="376" spans="1:9" x14ac:dyDescent="0.25">
      <c r="A376" t="s">
        <v>162</v>
      </c>
      <c r="B376" t="s">
        <v>276</v>
      </c>
      <c r="C376">
        <f t="shared" si="18"/>
        <v>2024</v>
      </c>
      <c r="D376">
        <f t="shared" si="19"/>
        <v>1</v>
      </c>
      <c r="E376" t="str">
        <f t="shared" si="20"/>
        <v>2024-1</v>
      </c>
      <c r="H376" t="s">
        <v>202</v>
      </c>
      <c r="I376" t="s">
        <v>499</v>
      </c>
    </row>
    <row r="377" spans="1:9" x14ac:dyDescent="0.25">
      <c r="A377" t="s">
        <v>146</v>
      </c>
      <c r="B377" t="s">
        <v>276</v>
      </c>
      <c r="C377">
        <f t="shared" si="18"/>
        <v>2024</v>
      </c>
      <c r="D377">
        <f t="shared" si="19"/>
        <v>1</v>
      </c>
      <c r="E377" t="str">
        <f t="shared" si="20"/>
        <v>2024-1</v>
      </c>
      <c r="H377" t="s">
        <v>202</v>
      </c>
      <c r="I377" t="s">
        <v>503</v>
      </c>
    </row>
    <row r="378" spans="1:9" x14ac:dyDescent="0.25">
      <c r="A378" t="s">
        <v>215</v>
      </c>
      <c r="B378" t="s">
        <v>277</v>
      </c>
      <c r="C378">
        <f t="shared" si="18"/>
        <v>2024</v>
      </c>
      <c r="D378">
        <f t="shared" si="19"/>
        <v>1</v>
      </c>
      <c r="E378" t="str">
        <f t="shared" si="20"/>
        <v>2024-1</v>
      </c>
      <c r="H378" t="s">
        <v>211</v>
      </c>
      <c r="I378" t="s">
        <v>497</v>
      </c>
    </row>
    <row r="379" spans="1:9" x14ac:dyDescent="0.25">
      <c r="A379" t="s">
        <v>156</v>
      </c>
      <c r="B379" t="s">
        <v>277</v>
      </c>
      <c r="C379">
        <f t="shared" si="18"/>
        <v>2024</v>
      </c>
      <c r="D379">
        <f t="shared" si="19"/>
        <v>1</v>
      </c>
      <c r="E379" t="str">
        <f t="shared" si="20"/>
        <v>2024-1</v>
      </c>
      <c r="H379" t="s">
        <v>211</v>
      </c>
      <c r="I379" t="s">
        <v>502</v>
      </c>
    </row>
    <row r="380" spans="1:9" x14ac:dyDescent="0.25">
      <c r="A380" t="s">
        <v>49</v>
      </c>
      <c r="B380" t="s">
        <v>277</v>
      </c>
      <c r="C380">
        <f t="shared" si="18"/>
        <v>2024</v>
      </c>
      <c r="D380">
        <f t="shared" si="19"/>
        <v>1</v>
      </c>
      <c r="E380" t="str">
        <f t="shared" si="20"/>
        <v>2024-1</v>
      </c>
      <c r="H380" t="s">
        <v>211</v>
      </c>
      <c r="I380" t="s">
        <v>503</v>
      </c>
    </row>
    <row r="381" spans="1:9" x14ac:dyDescent="0.25">
      <c r="A381" t="s">
        <v>187</v>
      </c>
      <c r="B381" t="s">
        <v>277</v>
      </c>
      <c r="C381">
        <f t="shared" si="18"/>
        <v>2024</v>
      </c>
      <c r="D381">
        <f t="shared" si="19"/>
        <v>1</v>
      </c>
      <c r="E381" t="str">
        <f t="shared" si="20"/>
        <v>2024-1</v>
      </c>
      <c r="H381" t="s">
        <v>211</v>
      </c>
      <c r="I381" t="s">
        <v>506</v>
      </c>
    </row>
    <row r="382" spans="1:9" x14ac:dyDescent="0.25">
      <c r="A382" t="s">
        <v>186</v>
      </c>
      <c r="B382" t="s">
        <v>277</v>
      </c>
      <c r="C382">
        <f t="shared" si="18"/>
        <v>2024</v>
      </c>
      <c r="D382">
        <f t="shared" si="19"/>
        <v>1</v>
      </c>
      <c r="E382" t="str">
        <f t="shared" si="20"/>
        <v>2024-1</v>
      </c>
      <c r="H382" t="s">
        <v>101</v>
      </c>
      <c r="I382" t="s">
        <v>495</v>
      </c>
    </row>
    <row r="383" spans="1:9" x14ac:dyDescent="0.25">
      <c r="A383" t="s">
        <v>239</v>
      </c>
      <c r="B383" t="s">
        <v>277</v>
      </c>
      <c r="C383">
        <f t="shared" si="18"/>
        <v>2024</v>
      </c>
      <c r="D383">
        <f t="shared" si="19"/>
        <v>1</v>
      </c>
      <c r="E383" t="str">
        <f t="shared" si="20"/>
        <v>2024-1</v>
      </c>
      <c r="H383" t="s">
        <v>101</v>
      </c>
      <c r="I383" t="s">
        <v>496</v>
      </c>
    </row>
    <row r="384" spans="1:9" x14ac:dyDescent="0.25">
      <c r="A384" t="s">
        <v>73</v>
      </c>
      <c r="B384" t="s">
        <v>278</v>
      </c>
      <c r="C384">
        <f t="shared" si="18"/>
        <v>2024</v>
      </c>
      <c r="D384">
        <f t="shared" si="19"/>
        <v>1</v>
      </c>
      <c r="E384" t="str">
        <f t="shared" si="20"/>
        <v>2024-1</v>
      </c>
      <c r="H384" t="s">
        <v>101</v>
      </c>
      <c r="I384" t="s">
        <v>497</v>
      </c>
    </row>
    <row r="385" spans="1:9" x14ac:dyDescent="0.25">
      <c r="A385" t="s">
        <v>173</v>
      </c>
      <c r="B385" t="s">
        <v>278</v>
      </c>
      <c r="C385">
        <f t="shared" si="18"/>
        <v>2024</v>
      </c>
      <c r="D385">
        <f t="shared" si="19"/>
        <v>1</v>
      </c>
      <c r="E385" t="str">
        <f t="shared" si="20"/>
        <v>2024-1</v>
      </c>
      <c r="H385" t="s">
        <v>101</v>
      </c>
      <c r="I385" t="s">
        <v>498</v>
      </c>
    </row>
    <row r="386" spans="1:9" x14ac:dyDescent="0.25">
      <c r="A386" t="s">
        <v>126</v>
      </c>
      <c r="B386" t="s">
        <v>278</v>
      </c>
      <c r="C386">
        <f t="shared" si="18"/>
        <v>2024</v>
      </c>
      <c r="D386">
        <f t="shared" si="19"/>
        <v>1</v>
      </c>
      <c r="E386" t="str">
        <f t="shared" si="20"/>
        <v>2024-1</v>
      </c>
      <c r="H386" t="s">
        <v>101</v>
      </c>
      <c r="I386" t="s">
        <v>506</v>
      </c>
    </row>
    <row r="387" spans="1:9" x14ac:dyDescent="0.25">
      <c r="A387" t="s">
        <v>205</v>
      </c>
      <c r="B387" t="s">
        <v>278</v>
      </c>
      <c r="C387">
        <f t="shared" ref="C387:C450" si="21">YEAR(B387)</f>
        <v>2024</v>
      </c>
      <c r="D387">
        <f t="shared" ref="D387:D450" si="22">MONTH(B387)</f>
        <v>1</v>
      </c>
      <c r="E387" t="str">
        <f t="shared" ref="E387:E450" si="23">C387&amp;"-"&amp;D387</f>
        <v>2024-1</v>
      </c>
      <c r="H387" t="s">
        <v>103</v>
      </c>
      <c r="I387" t="s">
        <v>496</v>
      </c>
    </row>
    <row r="388" spans="1:9" x14ac:dyDescent="0.25">
      <c r="A388" t="s">
        <v>121</v>
      </c>
      <c r="B388" t="s">
        <v>278</v>
      </c>
      <c r="C388">
        <f t="shared" si="21"/>
        <v>2024</v>
      </c>
      <c r="D388">
        <f t="shared" si="22"/>
        <v>1</v>
      </c>
      <c r="E388" t="str">
        <f t="shared" si="23"/>
        <v>2024-1</v>
      </c>
      <c r="H388" t="s">
        <v>103</v>
      </c>
      <c r="I388" t="s">
        <v>497</v>
      </c>
    </row>
    <row r="389" spans="1:9" x14ac:dyDescent="0.25">
      <c r="A389" t="s">
        <v>279</v>
      </c>
      <c r="B389" t="s">
        <v>280</v>
      </c>
      <c r="C389">
        <f t="shared" si="21"/>
        <v>2024</v>
      </c>
      <c r="D389">
        <f t="shared" si="22"/>
        <v>1</v>
      </c>
      <c r="E389" t="str">
        <f t="shared" si="23"/>
        <v>2024-1</v>
      </c>
      <c r="H389" t="s">
        <v>103</v>
      </c>
      <c r="I389" t="s">
        <v>501</v>
      </c>
    </row>
    <row r="390" spans="1:9" x14ac:dyDescent="0.25">
      <c r="A390" t="s">
        <v>67</v>
      </c>
      <c r="B390" t="s">
        <v>281</v>
      </c>
      <c r="C390">
        <f t="shared" si="21"/>
        <v>2024</v>
      </c>
      <c r="D390">
        <f t="shared" si="22"/>
        <v>1</v>
      </c>
      <c r="E390" t="str">
        <f t="shared" si="23"/>
        <v>2024-1</v>
      </c>
      <c r="H390" t="s">
        <v>113</v>
      </c>
      <c r="I390" t="s">
        <v>496</v>
      </c>
    </row>
    <row r="391" spans="1:9" x14ac:dyDescent="0.25">
      <c r="A391" t="s">
        <v>196</v>
      </c>
      <c r="B391" t="s">
        <v>281</v>
      </c>
      <c r="C391">
        <f t="shared" si="21"/>
        <v>2024</v>
      </c>
      <c r="D391">
        <f t="shared" si="22"/>
        <v>1</v>
      </c>
      <c r="E391" t="str">
        <f t="shared" si="23"/>
        <v>2024-1</v>
      </c>
      <c r="H391" t="s">
        <v>113</v>
      </c>
      <c r="I391" t="s">
        <v>502</v>
      </c>
    </row>
    <row r="392" spans="1:9" x14ac:dyDescent="0.25">
      <c r="A392" t="s">
        <v>215</v>
      </c>
      <c r="B392" t="s">
        <v>282</v>
      </c>
      <c r="C392">
        <f t="shared" si="21"/>
        <v>2024</v>
      </c>
      <c r="D392">
        <f t="shared" si="22"/>
        <v>1</v>
      </c>
      <c r="E392" t="str">
        <f t="shared" si="23"/>
        <v>2024-1</v>
      </c>
      <c r="H392" t="s">
        <v>113</v>
      </c>
      <c r="I392" t="s">
        <v>505</v>
      </c>
    </row>
    <row r="393" spans="1:9" x14ac:dyDescent="0.25">
      <c r="A393" t="s">
        <v>55</v>
      </c>
      <c r="B393" t="s">
        <v>282</v>
      </c>
      <c r="C393">
        <f t="shared" si="21"/>
        <v>2024</v>
      </c>
      <c r="D393">
        <f t="shared" si="22"/>
        <v>1</v>
      </c>
      <c r="E393" t="str">
        <f t="shared" si="23"/>
        <v>2024-1</v>
      </c>
      <c r="H393" t="s">
        <v>306</v>
      </c>
      <c r="I393" t="s">
        <v>500</v>
      </c>
    </row>
    <row r="394" spans="1:9" x14ac:dyDescent="0.25">
      <c r="A394" t="s">
        <v>74</v>
      </c>
      <c r="B394" t="s">
        <v>282</v>
      </c>
      <c r="C394">
        <f t="shared" si="21"/>
        <v>2024</v>
      </c>
      <c r="D394">
        <f t="shared" si="22"/>
        <v>1</v>
      </c>
      <c r="E394" t="str">
        <f t="shared" si="23"/>
        <v>2024-1</v>
      </c>
      <c r="H394" t="s">
        <v>306</v>
      </c>
      <c r="I394" t="s">
        <v>502</v>
      </c>
    </row>
    <row r="395" spans="1:9" x14ac:dyDescent="0.25">
      <c r="A395" t="s">
        <v>139</v>
      </c>
      <c r="B395" t="s">
        <v>282</v>
      </c>
      <c r="C395">
        <f t="shared" si="21"/>
        <v>2024</v>
      </c>
      <c r="D395">
        <f t="shared" si="22"/>
        <v>1</v>
      </c>
      <c r="E395" t="str">
        <f t="shared" si="23"/>
        <v>2024-1</v>
      </c>
      <c r="H395" t="s">
        <v>200</v>
      </c>
      <c r="I395" t="s">
        <v>497</v>
      </c>
    </row>
    <row r="396" spans="1:9" x14ac:dyDescent="0.25">
      <c r="A396" t="s">
        <v>206</v>
      </c>
      <c r="B396" t="s">
        <v>282</v>
      </c>
      <c r="C396">
        <f t="shared" si="21"/>
        <v>2024</v>
      </c>
      <c r="D396">
        <f t="shared" si="22"/>
        <v>1</v>
      </c>
      <c r="E396" t="str">
        <f t="shared" si="23"/>
        <v>2024-1</v>
      </c>
      <c r="H396" t="s">
        <v>200</v>
      </c>
      <c r="I396" t="s">
        <v>498</v>
      </c>
    </row>
    <row r="397" spans="1:9" x14ac:dyDescent="0.25">
      <c r="A397" t="s">
        <v>187</v>
      </c>
      <c r="B397" t="s">
        <v>282</v>
      </c>
      <c r="C397">
        <f t="shared" si="21"/>
        <v>2024</v>
      </c>
      <c r="D397">
        <f t="shared" si="22"/>
        <v>1</v>
      </c>
      <c r="E397" t="str">
        <f t="shared" si="23"/>
        <v>2024-1</v>
      </c>
      <c r="H397" t="s">
        <v>142</v>
      </c>
      <c r="I397" t="s">
        <v>496</v>
      </c>
    </row>
    <row r="398" spans="1:9" x14ac:dyDescent="0.25">
      <c r="A398" t="s">
        <v>125</v>
      </c>
      <c r="B398" t="s">
        <v>282</v>
      </c>
      <c r="C398">
        <f t="shared" si="21"/>
        <v>2024</v>
      </c>
      <c r="D398">
        <f t="shared" si="22"/>
        <v>1</v>
      </c>
      <c r="E398" t="str">
        <f t="shared" si="23"/>
        <v>2024-1</v>
      </c>
      <c r="H398" t="s">
        <v>142</v>
      </c>
      <c r="I398" t="s">
        <v>500</v>
      </c>
    </row>
    <row r="399" spans="1:9" x14ac:dyDescent="0.25">
      <c r="A399" t="s">
        <v>73</v>
      </c>
      <c r="B399" t="s">
        <v>283</v>
      </c>
      <c r="C399">
        <f t="shared" si="21"/>
        <v>2024</v>
      </c>
      <c r="D399">
        <f t="shared" si="22"/>
        <v>1</v>
      </c>
      <c r="E399" t="str">
        <f t="shared" si="23"/>
        <v>2024-1</v>
      </c>
      <c r="H399" t="s">
        <v>142</v>
      </c>
      <c r="I399" t="s">
        <v>503</v>
      </c>
    </row>
    <row r="400" spans="1:9" x14ac:dyDescent="0.25">
      <c r="A400" t="s">
        <v>66</v>
      </c>
      <c r="B400" t="s">
        <v>283</v>
      </c>
      <c r="C400">
        <f t="shared" si="21"/>
        <v>2024</v>
      </c>
      <c r="D400">
        <f t="shared" si="22"/>
        <v>1</v>
      </c>
      <c r="E400" t="str">
        <f t="shared" si="23"/>
        <v>2024-1</v>
      </c>
      <c r="H400" t="s">
        <v>142</v>
      </c>
      <c r="I400" t="s">
        <v>504</v>
      </c>
    </row>
    <row r="401" spans="1:9" x14ac:dyDescent="0.25">
      <c r="A401" t="s">
        <v>141</v>
      </c>
      <c r="B401" t="s">
        <v>283</v>
      </c>
      <c r="C401">
        <f t="shared" si="21"/>
        <v>2024</v>
      </c>
      <c r="D401">
        <f t="shared" si="22"/>
        <v>1</v>
      </c>
      <c r="E401" t="str">
        <f t="shared" si="23"/>
        <v>2024-1</v>
      </c>
      <c r="H401" t="s">
        <v>142</v>
      </c>
      <c r="I401" t="s">
        <v>506</v>
      </c>
    </row>
    <row r="402" spans="1:9" x14ac:dyDescent="0.25">
      <c r="A402" t="s">
        <v>58</v>
      </c>
      <c r="B402" t="s">
        <v>283</v>
      </c>
      <c r="C402">
        <f t="shared" si="21"/>
        <v>2024</v>
      </c>
      <c r="D402">
        <f t="shared" si="22"/>
        <v>1</v>
      </c>
      <c r="E402" t="str">
        <f t="shared" si="23"/>
        <v>2024-1</v>
      </c>
      <c r="H402" t="s">
        <v>107</v>
      </c>
      <c r="I402" t="s">
        <v>496</v>
      </c>
    </row>
    <row r="403" spans="1:9" x14ac:dyDescent="0.25">
      <c r="A403" t="s">
        <v>202</v>
      </c>
      <c r="B403" t="s">
        <v>284</v>
      </c>
      <c r="C403">
        <f t="shared" si="21"/>
        <v>2024</v>
      </c>
      <c r="D403">
        <f t="shared" si="22"/>
        <v>1</v>
      </c>
      <c r="E403" t="str">
        <f t="shared" si="23"/>
        <v>2024-1</v>
      </c>
      <c r="H403" t="s">
        <v>107</v>
      </c>
      <c r="I403" t="s">
        <v>497</v>
      </c>
    </row>
    <row r="404" spans="1:9" x14ac:dyDescent="0.25">
      <c r="A404" t="s">
        <v>49</v>
      </c>
      <c r="B404" t="s">
        <v>285</v>
      </c>
      <c r="C404">
        <f t="shared" si="21"/>
        <v>2024</v>
      </c>
      <c r="D404">
        <f t="shared" si="22"/>
        <v>2</v>
      </c>
      <c r="E404" t="str">
        <f t="shared" si="23"/>
        <v>2024-2</v>
      </c>
      <c r="H404" t="s">
        <v>107</v>
      </c>
      <c r="I404" t="s">
        <v>501</v>
      </c>
    </row>
    <row r="405" spans="1:9" x14ac:dyDescent="0.25">
      <c r="A405" t="s">
        <v>226</v>
      </c>
      <c r="B405" t="s">
        <v>285</v>
      </c>
      <c r="C405">
        <f t="shared" si="21"/>
        <v>2024</v>
      </c>
      <c r="D405">
        <f t="shared" si="22"/>
        <v>2</v>
      </c>
      <c r="E405" t="str">
        <f t="shared" si="23"/>
        <v>2024-2</v>
      </c>
      <c r="H405" t="s">
        <v>107</v>
      </c>
      <c r="I405" t="s">
        <v>503</v>
      </c>
    </row>
    <row r="406" spans="1:9" x14ac:dyDescent="0.25">
      <c r="A406" t="s">
        <v>221</v>
      </c>
      <c r="B406" t="s">
        <v>285</v>
      </c>
      <c r="C406">
        <f t="shared" si="21"/>
        <v>2024</v>
      </c>
      <c r="D406">
        <f t="shared" si="22"/>
        <v>2</v>
      </c>
      <c r="E406" t="str">
        <f t="shared" si="23"/>
        <v>2024-2</v>
      </c>
      <c r="H406" t="s">
        <v>107</v>
      </c>
      <c r="I406" t="s">
        <v>504</v>
      </c>
    </row>
    <row r="407" spans="1:9" x14ac:dyDescent="0.25">
      <c r="A407" t="s">
        <v>265</v>
      </c>
      <c r="B407" t="s">
        <v>286</v>
      </c>
      <c r="C407">
        <f t="shared" si="21"/>
        <v>2024</v>
      </c>
      <c r="D407">
        <f t="shared" si="22"/>
        <v>2</v>
      </c>
      <c r="E407" t="str">
        <f t="shared" si="23"/>
        <v>2024-2</v>
      </c>
      <c r="H407" t="s">
        <v>375</v>
      </c>
      <c r="I407" t="s">
        <v>503</v>
      </c>
    </row>
    <row r="408" spans="1:9" x14ac:dyDescent="0.25">
      <c r="A408" t="s">
        <v>106</v>
      </c>
      <c r="B408" t="s">
        <v>286</v>
      </c>
      <c r="C408">
        <f t="shared" si="21"/>
        <v>2024</v>
      </c>
      <c r="D408">
        <f t="shared" si="22"/>
        <v>2</v>
      </c>
      <c r="E408" t="str">
        <f t="shared" si="23"/>
        <v>2024-2</v>
      </c>
      <c r="H408" t="s">
        <v>270</v>
      </c>
      <c r="I408" t="s">
        <v>499</v>
      </c>
    </row>
    <row r="409" spans="1:9" x14ac:dyDescent="0.25">
      <c r="A409" t="s">
        <v>287</v>
      </c>
      <c r="B409" t="s">
        <v>288</v>
      </c>
      <c r="C409">
        <f t="shared" si="21"/>
        <v>2024</v>
      </c>
      <c r="D409">
        <f t="shared" si="22"/>
        <v>2</v>
      </c>
      <c r="E409" t="str">
        <f t="shared" si="23"/>
        <v>2024-2</v>
      </c>
      <c r="H409" t="s">
        <v>270</v>
      </c>
      <c r="I409" t="s">
        <v>500</v>
      </c>
    </row>
    <row r="410" spans="1:9" x14ac:dyDescent="0.25">
      <c r="A410" t="s">
        <v>289</v>
      </c>
      <c r="B410" t="s">
        <v>288</v>
      </c>
      <c r="C410">
        <f t="shared" si="21"/>
        <v>2024</v>
      </c>
      <c r="D410">
        <f t="shared" si="22"/>
        <v>2</v>
      </c>
      <c r="E410" t="str">
        <f t="shared" si="23"/>
        <v>2024-2</v>
      </c>
      <c r="H410" t="s">
        <v>270</v>
      </c>
      <c r="I410" t="s">
        <v>503</v>
      </c>
    </row>
    <row r="411" spans="1:9" x14ac:dyDescent="0.25">
      <c r="A411" t="s">
        <v>20</v>
      </c>
      <c r="B411" t="s">
        <v>288</v>
      </c>
      <c r="C411">
        <f t="shared" si="21"/>
        <v>2024</v>
      </c>
      <c r="D411">
        <f t="shared" si="22"/>
        <v>2</v>
      </c>
      <c r="E411" t="str">
        <f t="shared" si="23"/>
        <v>2024-2</v>
      </c>
      <c r="H411" t="s">
        <v>270</v>
      </c>
      <c r="I411" t="s">
        <v>504</v>
      </c>
    </row>
    <row r="412" spans="1:9" x14ac:dyDescent="0.25">
      <c r="A412" t="s">
        <v>9</v>
      </c>
      <c r="B412" t="s">
        <v>288</v>
      </c>
      <c r="C412">
        <f t="shared" si="21"/>
        <v>2024</v>
      </c>
      <c r="D412">
        <f t="shared" si="22"/>
        <v>2</v>
      </c>
      <c r="E412" t="str">
        <f t="shared" si="23"/>
        <v>2024-2</v>
      </c>
      <c r="H412" t="s">
        <v>233</v>
      </c>
      <c r="I412" t="s">
        <v>498</v>
      </c>
    </row>
    <row r="413" spans="1:9" x14ac:dyDescent="0.25">
      <c r="A413" t="s">
        <v>20</v>
      </c>
      <c r="B413" t="s">
        <v>288</v>
      </c>
      <c r="C413">
        <f t="shared" si="21"/>
        <v>2024</v>
      </c>
      <c r="D413">
        <f t="shared" si="22"/>
        <v>2</v>
      </c>
      <c r="E413" t="str">
        <f t="shared" si="23"/>
        <v>2024-2</v>
      </c>
      <c r="H413" t="s">
        <v>233</v>
      </c>
      <c r="I413" t="s">
        <v>502</v>
      </c>
    </row>
    <row r="414" spans="1:9" x14ac:dyDescent="0.25">
      <c r="A414" t="s">
        <v>223</v>
      </c>
      <c r="B414" t="s">
        <v>288</v>
      </c>
      <c r="C414">
        <f t="shared" si="21"/>
        <v>2024</v>
      </c>
      <c r="D414">
        <f t="shared" si="22"/>
        <v>2</v>
      </c>
      <c r="E414" t="str">
        <f t="shared" si="23"/>
        <v>2024-2</v>
      </c>
      <c r="H414" t="s">
        <v>233</v>
      </c>
      <c r="I414" t="s">
        <v>505</v>
      </c>
    </row>
    <row r="415" spans="1:9" x14ac:dyDescent="0.25">
      <c r="A415" t="s">
        <v>196</v>
      </c>
      <c r="B415" t="s">
        <v>288</v>
      </c>
      <c r="C415">
        <f t="shared" si="21"/>
        <v>2024</v>
      </c>
      <c r="D415">
        <f t="shared" si="22"/>
        <v>2</v>
      </c>
      <c r="E415" t="str">
        <f t="shared" si="23"/>
        <v>2024-2</v>
      </c>
      <c r="H415" t="s">
        <v>11</v>
      </c>
      <c r="I415" t="s">
        <v>495</v>
      </c>
    </row>
    <row r="416" spans="1:9" x14ac:dyDescent="0.25">
      <c r="A416" t="s">
        <v>212</v>
      </c>
      <c r="B416" t="s">
        <v>288</v>
      </c>
      <c r="C416">
        <f t="shared" si="21"/>
        <v>2024</v>
      </c>
      <c r="D416">
        <f t="shared" si="22"/>
        <v>2</v>
      </c>
      <c r="E416" t="str">
        <f t="shared" si="23"/>
        <v>2024-2</v>
      </c>
      <c r="H416" t="s">
        <v>11</v>
      </c>
      <c r="I416" t="s">
        <v>500</v>
      </c>
    </row>
    <row r="417" spans="1:9" x14ac:dyDescent="0.25">
      <c r="A417" t="s">
        <v>144</v>
      </c>
      <c r="B417" t="s">
        <v>290</v>
      </c>
      <c r="C417">
        <f t="shared" si="21"/>
        <v>2024</v>
      </c>
      <c r="D417">
        <f t="shared" si="22"/>
        <v>2</v>
      </c>
      <c r="E417" t="str">
        <f t="shared" si="23"/>
        <v>2024-2</v>
      </c>
      <c r="H417" t="s">
        <v>11</v>
      </c>
      <c r="I417" t="s">
        <v>503</v>
      </c>
    </row>
    <row r="418" spans="1:9" x14ac:dyDescent="0.25">
      <c r="A418" t="s">
        <v>91</v>
      </c>
      <c r="B418" t="s">
        <v>290</v>
      </c>
      <c r="C418">
        <f t="shared" si="21"/>
        <v>2024</v>
      </c>
      <c r="D418">
        <f t="shared" si="22"/>
        <v>2</v>
      </c>
      <c r="E418" t="str">
        <f t="shared" si="23"/>
        <v>2024-2</v>
      </c>
      <c r="H418" t="s">
        <v>11</v>
      </c>
      <c r="I418" t="s">
        <v>506</v>
      </c>
    </row>
    <row r="419" spans="1:9" x14ac:dyDescent="0.25">
      <c r="A419" t="s">
        <v>142</v>
      </c>
      <c r="B419" t="s">
        <v>290</v>
      </c>
      <c r="C419">
        <f t="shared" si="21"/>
        <v>2024</v>
      </c>
      <c r="D419">
        <f t="shared" si="22"/>
        <v>2</v>
      </c>
      <c r="E419" t="str">
        <f t="shared" si="23"/>
        <v>2024-2</v>
      </c>
      <c r="H419" t="s">
        <v>227</v>
      </c>
      <c r="I419" t="s">
        <v>498</v>
      </c>
    </row>
    <row r="420" spans="1:9" x14ac:dyDescent="0.25">
      <c r="A420" t="s">
        <v>130</v>
      </c>
      <c r="B420" t="s">
        <v>291</v>
      </c>
      <c r="C420">
        <f t="shared" si="21"/>
        <v>2024</v>
      </c>
      <c r="D420">
        <f t="shared" si="22"/>
        <v>2</v>
      </c>
      <c r="E420" t="str">
        <f t="shared" si="23"/>
        <v>2024-2</v>
      </c>
      <c r="H420" t="s">
        <v>227</v>
      </c>
      <c r="I420" t="s">
        <v>499</v>
      </c>
    </row>
    <row r="421" spans="1:9" x14ac:dyDescent="0.25">
      <c r="A421" t="s">
        <v>121</v>
      </c>
      <c r="B421" t="s">
        <v>291</v>
      </c>
      <c r="C421">
        <f t="shared" si="21"/>
        <v>2024</v>
      </c>
      <c r="D421">
        <f t="shared" si="22"/>
        <v>2</v>
      </c>
      <c r="E421" t="str">
        <f t="shared" si="23"/>
        <v>2024-2</v>
      </c>
      <c r="H421" t="s">
        <v>227</v>
      </c>
      <c r="I421" t="s">
        <v>500</v>
      </c>
    </row>
    <row r="422" spans="1:9" x14ac:dyDescent="0.25">
      <c r="A422" t="s">
        <v>248</v>
      </c>
      <c r="B422" t="s">
        <v>291</v>
      </c>
      <c r="C422">
        <f t="shared" si="21"/>
        <v>2024</v>
      </c>
      <c r="D422">
        <f t="shared" si="22"/>
        <v>2</v>
      </c>
      <c r="E422" t="str">
        <f t="shared" si="23"/>
        <v>2024-2</v>
      </c>
      <c r="H422" t="s">
        <v>227</v>
      </c>
      <c r="I422" t="s">
        <v>501</v>
      </c>
    </row>
    <row r="423" spans="1:9" x14ac:dyDescent="0.25">
      <c r="A423" t="s">
        <v>217</v>
      </c>
      <c r="B423" t="s">
        <v>292</v>
      </c>
      <c r="C423">
        <f t="shared" si="21"/>
        <v>2024</v>
      </c>
      <c r="D423">
        <f t="shared" si="22"/>
        <v>2</v>
      </c>
      <c r="E423" t="str">
        <f t="shared" si="23"/>
        <v>2024-2</v>
      </c>
      <c r="H423" t="s">
        <v>227</v>
      </c>
      <c r="I423" t="s">
        <v>502</v>
      </c>
    </row>
    <row r="424" spans="1:9" x14ac:dyDescent="0.25">
      <c r="A424" t="s">
        <v>293</v>
      </c>
      <c r="B424" t="s">
        <v>292</v>
      </c>
      <c r="C424">
        <f t="shared" si="21"/>
        <v>2024</v>
      </c>
      <c r="D424">
        <f t="shared" si="22"/>
        <v>2</v>
      </c>
      <c r="E424" t="str">
        <f t="shared" si="23"/>
        <v>2024-2</v>
      </c>
      <c r="H424" t="s">
        <v>227</v>
      </c>
      <c r="I424" t="s">
        <v>506</v>
      </c>
    </row>
    <row r="425" spans="1:9" x14ac:dyDescent="0.25">
      <c r="A425" t="s">
        <v>122</v>
      </c>
      <c r="B425" t="s">
        <v>292</v>
      </c>
      <c r="C425">
        <f t="shared" si="21"/>
        <v>2024</v>
      </c>
      <c r="D425">
        <f t="shared" si="22"/>
        <v>2</v>
      </c>
      <c r="E425" t="str">
        <f t="shared" si="23"/>
        <v>2024-2</v>
      </c>
      <c r="H425" t="s">
        <v>72</v>
      </c>
      <c r="I425" t="s">
        <v>495</v>
      </c>
    </row>
    <row r="426" spans="1:9" x14ac:dyDescent="0.25">
      <c r="A426" t="s">
        <v>77</v>
      </c>
      <c r="B426" t="s">
        <v>292</v>
      </c>
      <c r="C426">
        <f t="shared" si="21"/>
        <v>2024</v>
      </c>
      <c r="D426">
        <f t="shared" si="22"/>
        <v>2</v>
      </c>
      <c r="E426" t="str">
        <f t="shared" si="23"/>
        <v>2024-2</v>
      </c>
      <c r="H426" t="s">
        <v>72</v>
      </c>
      <c r="I426" t="s">
        <v>497</v>
      </c>
    </row>
    <row r="427" spans="1:9" x14ac:dyDescent="0.25">
      <c r="A427" t="s">
        <v>227</v>
      </c>
      <c r="B427" t="s">
        <v>294</v>
      </c>
      <c r="C427">
        <f t="shared" si="21"/>
        <v>2024</v>
      </c>
      <c r="D427">
        <f t="shared" si="22"/>
        <v>2</v>
      </c>
      <c r="E427" t="str">
        <f t="shared" si="23"/>
        <v>2024-2</v>
      </c>
      <c r="H427" t="s">
        <v>72</v>
      </c>
      <c r="I427" t="s">
        <v>500</v>
      </c>
    </row>
    <row r="428" spans="1:9" x14ac:dyDescent="0.25">
      <c r="A428" t="s">
        <v>295</v>
      </c>
      <c r="B428" t="s">
        <v>294</v>
      </c>
      <c r="C428">
        <f t="shared" si="21"/>
        <v>2024</v>
      </c>
      <c r="D428">
        <f t="shared" si="22"/>
        <v>2</v>
      </c>
      <c r="E428" t="str">
        <f t="shared" si="23"/>
        <v>2024-2</v>
      </c>
      <c r="H428" t="s">
        <v>141</v>
      </c>
      <c r="I428" t="s">
        <v>496</v>
      </c>
    </row>
    <row r="429" spans="1:9" x14ac:dyDescent="0.25">
      <c r="A429" t="s">
        <v>134</v>
      </c>
      <c r="B429" t="s">
        <v>294</v>
      </c>
      <c r="C429">
        <f t="shared" si="21"/>
        <v>2024</v>
      </c>
      <c r="D429">
        <f t="shared" si="22"/>
        <v>2</v>
      </c>
      <c r="E429" t="str">
        <f t="shared" si="23"/>
        <v>2024-2</v>
      </c>
      <c r="H429" t="s">
        <v>141</v>
      </c>
      <c r="I429" t="s">
        <v>497</v>
      </c>
    </row>
    <row r="430" spans="1:9" x14ac:dyDescent="0.25">
      <c r="A430" t="s">
        <v>296</v>
      </c>
      <c r="B430" t="s">
        <v>294</v>
      </c>
      <c r="C430">
        <f t="shared" si="21"/>
        <v>2024</v>
      </c>
      <c r="D430">
        <f t="shared" si="22"/>
        <v>2</v>
      </c>
      <c r="E430" t="str">
        <f t="shared" si="23"/>
        <v>2024-2</v>
      </c>
      <c r="H430" t="s">
        <v>141</v>
      </c>
      <c r="I430" t="s">
        <v>499</v>
      </c>
    </row>
    <row r="431" spans="1:9" x14ac:dyDescent="0.25">
      <c r="A431" t="s">
        <v>165</v>
      </c>
      <c r="B431" t="s">
        <v>297</v>
      </c>
      <c r="C431">
        <f t="shared" si="21"/>
        <v>2024</v>
      </c>
      <c r="D431">
        <f t="shared" si="22"/>
        <v>2</v>
      </c>
      <c r="E431" t="str">
        <f t="shared" si="23"/>
        <v>2024-2</v>
      </c>
      <c r="H431" t="s">
        <v>141</v>
      </c>
      <c r="I431" t="s">
        <v>505</v>
      </c>
    </row>
    <row r="432" spans="1:9" x14ac:dyDescent="0.25">
      <c r="A432" t="s">
        <v>226</v>
      </c>
      <c r="B432" t="s">
        <v>297</v>
      </c>
      <c r="C432">
        <f t="shared" si="21"/>
        <v>2024</v>
      </c>
      <c r="D432">
        <f t="shared" si="22"/>
        <v>2</v>
      </c>
      <c r="E432" t="str">
        <f t="shared" si="23"/>
        <v>2024-2</v>
      </c>
      <c r="H432" t="s">
        <v>141</v>
      </c>
      <c r="I432" t="s">
        <v>506</v>
      </c>
    </row>
    <row r="433" spans="1:9" x14ac:dyDescent="0.25">
      <c r="A433" t="s">
        <v>149</v>
      </c>
      <c r="B433" t="s">
        <v>297</v>
      </c>
      <c r="C433">
        <f t="shared" si="21"/>
        <v>2024</v>
      </c>
      <c r="D433">
        <f t="shared" si="22"/>
        <v>2</v>
      </c>
      <c r="E433" t="str">
        <f t="shared" si="23"/>
        <v>2024-2</v>
      </c>
      <c r="H433" t="s">
        <v>19</v>
      </c>
      <c r="I433" t="s">
        <v>495</v>
      </c>
    </row>
    <row r="434" spans="1:9" x14ac:dyDescent="0.25">
      <c r="A434" t="s">
        <v>289</v>
      </c>
      <c r="B434" t="s">
        <v>297</v>
      </c>
      <c r="C434">
        <f t="shared" si="21"/>
        <v>2024</v>
      </c>
      <c r="D434">
        <f t="shared" si="22"/>
        <v>2</v>
      </c>
      <c r="E434" t="str">
        <f t="shared" si="23"/>
        <v>2024-2</v>
      </c>
      <c r="H434" t="s">
        <v>19</v>
      </c>
      <c r="I434" t="s">
        <v>496</v>
      </c>
    </row>
    <row r="435" spans="1:9" x14ac:dyDescent="0.25">
      <c r="A435" t="s">
        <v>298</v>
      </c>
      <c r="B435" t="s">
        <v>297</v>
      </c>
      <c r="C435">
        <f t="shared" si="21"/>
        <v>2024</v>
      </c>
      <c r="D435">
        <f t="shared" si="22"/>
        <v>2</v>
      </c>
      <c r="E435" t="str">
        <f t="shared" si="23"/>
        <v>2024-2</v>
      </c>
      <c r="H435" t="s">
        <v>19</v>
      </c>
      <c r="I435" t="s">
        <v>503</v>
      </c>
    </row>
    <row r="436" spans="1:9" x14ac:dyDescent="0.25">
      <c r="A436" t="s">
        <v>299</v>
      </c>
      <c r="B436" t="s">
        <v>297</v>
      </c>
      <c r="C436">
        <f t="shared" si="21"/>
        <v>2024</v>
      </c>
      <c r="D436">
        <f t="shared" si="22"/>
        <v>2</v>
      </c>
      <c r="E436" t="str">
        <f t="shared" si="23"/>
        <v>2024-2</v>
      </c>
      <c r="H436" t="s">
        <v>19</v>
      </c>
      <c r="I436" t="s">
        <v>504</v>
      </c>
    </row>
    <row r="437" spans="1:9" x14ac:dyDescent="0.25">
      <c r="A437" t="s">
        <v>20</v>
      </c>
      <c r="B437" t="s">
        <v>297</v>
      </c>
      <c r="C437">
        <f t="shared" si="21"/>
        <v>2024</v>
      </c>
      <c r="D437">
        <f t="shared" si="22"/>
        <v>2</v>
      </c>
      <c r="E437" t="str">
        <f t="shared" si="23"/>
        <v>2024-2</v>
      </c>
      <c r="H437" t="s">
        <v>19</v>
      </c>
      <c r="I437" t="s">
        <v>505</v>
      </c>
    </row>
    <row r="438" spans="1:9" x14ac:dyDescent="0.25">
      <c r="A438" t="s">
        <v>300</v>
      </c>
      <c r="B438" t="s">
        <v>297</v>
      </c>
      <c r="C438">
        <f t="shared" si="21"/>
        <v>2024</v>
      </c>
      <c r="D438">
        <f t="shared" si="22"/>
        <v>2</v>
      </c>
      <c r="E438" t="str">
        <f t="shared" si="23"/>
        <v>2024-2</v>
      </c>
      <c r="H438" t="s">
        <v>19</v>
      </c>
      <c r="I438" t="s">
        <v>506</v>
      </c>
    </row>
    <row r="439" spans="1:9" x14ac:dyDescent="0.25">
      <c r="A439" t="s">
        <v>190</v>
      </c>
      <c r="B439" t="s">
        <v>301</v>
      </c>
      <c r="C439">
        <f t="shared" si="21"/>
        <v>2024</v>
      </c>
      <c r="D439">
        <f t="shared" si="22"/>
        <v>2</v>
      </c>
      <c r="E439" t="str">
        <f t="shared" si="23"/>
        <v>2024-2</v>
      </c>
      <c r="H439" t="s">
        <v>61</v>
      </c>
      <c r="I439" t="s">
        <v>495</v>
      </c>
    </row>
    <row r="440" spans="1:9" x14ac:dyDescent="0.25">
      <c r="A440" t="s">
        <v>239</v>
      </c>
      <c r="B440" t="s">
        <v>301</v>
      </c>
      <c r="C440">
        <f t="shared" si="21"/>
        <v>2024</v>
      </c>
      <c r="D440">
        <f t="shared" si="22"/>
        <v>2</v>
      </c>
      <c r="E440" t="str">
        <f t="shared" si="23"/>
        <v>2024-2</v>
      </c>
      <c r="H440" t="s">
        <v>61</v>
      </c>
      <c r="I440" t="s">
        <v>496</v>
      </c>
    </row>
    <row r="441" spans="1:9" x14ac:dyDescent="0.25">
      <c r="A441" t="s">
        <v>195</v>
      </c>
      <c r="B441" t="s">
        <v>301</v>
      </c>
      <c r="C441">
        <f t="shared" si="21"/>
        <v>2024</v>
      </c>
      <c r="D441">
        <f t="shared" si="22"/>
        <v>2</v>
      </c>
      <c r="E441" t="str">
        <f t="shared" si="23"/>
        <v>2024-2</v>
      </c>
      <c r="H441" t="s">
        <v>61</v>
      </c>
      <c r="I441" t="s">
        <v>498</v>
      </c>
    </row>
    <row r="442" spans="1:9" x14ac:dyDescent="0.25">
      <c r="A442" t="s">
        <v>248</v>
      </c>
      <c r="B442" t="s">
        <v>302</v>
      </c>
      <c r="C442">
        <f t="shared" si="21"/>
        <v>2024</v>
      </c>
      <c r="D442">
        <f t="shared" si="22"/>
        <v>2</v>
      </c>
      <c r="E442" t="str">
        <f t="shared" si="23"/>
        <v>2024-2</v>
      </c>
      <c r="H442" t="s">
        <v>61</v>
      </c>
      <c r="I442" t="s">
        <v>500</v>
      </c>
    </row>
    <row r="443" spans="1:9" x14ac:dyDescent="0.25">
      <c r="A443" t="s">
        <v>128</v>
      </c>
      <c r="B443" t="s">
        <v>302</v>
      </c>
      <c r="C443">
        <f t="shared" si="21"/>
        <v>2024</v>
      </c>
      <c r="D443">
        <f t="shared" si="22"/>
        <v>2</v>
      </c>
      <c r="E443" t="str">
        <f t="shared" si="23"/>
        <v>2024-2</v>
      </c>
      <c r="H443" t="s">
        <v>82</v>
      </c>
      <c r="I443" t="s">
        <v>495</v>
      </c>
    </row>
    <row r="444" spans="1:9" x14ac:dyDescent="0.25">
      <c r="A444" t="s">
        <v>144</v>
      </c>
      <c r="B444" t="s">
        <v>302</v>
      </c>
      <c r="C444">
        <f t="shared" si="21"/>
        <v>2024</v>
      </c>
      <c r="D444">
        <f t="shared" si="22"/>
        <v>2</v>
      </c>
      <c r="E444" t="str">
        <f t="shared" si="23"/>
        <v>2024-2</v>
      </c>
      <c r="H444" t="s">
        <v>82</v>
      </c>
      <c r="I444" t="s">
        <v>497</v>
      </c>
    </row>
    <row r="445" spans="1:9" x14ac:dyDescent="0.25">
      <c r="A445" t="s">
        <v>58</v>
      </c>
      <c r="B445" t="s">
        <v>302</v>
      </c>
      <c r="C445">
        <f t="shared" si="21"/>
        <v>2024</v>
      </c>
      <c r="D445">
        <f t="shared" si="22"/>
        <v>2</v>
      </c>
      <c r="E445" t="str">
        <f t="shared" si="23"/>
        <v>2024-2</v>
      </c>
      <c r="H445" t="s">
        <v>82</v>
      </c>
      <c r="I445" t="s">
        <v>502</v>
      </c>
    </row>
    <row r="446" spans="1:9" x14ac:dyDescent="0.25">
      <c r="A446" t="s">
        <v>94</v>
      </c>
      <c r="B446" t="s">
        <v>303</v>
      </c>
      <c r="C446">
        <f t="shared" si="21"/>
        <v>2024</v>
      </c>
      <c r="D446">
        <f t="shared" si="22"/>
        <v>2</v>
      </c>
      <c r="E446" t="str">
        <f t="shared" si="23"/>
        <v>2024-2</v>
      </c>
      <c r="H446" t="s">
        <v>82</v>
      </c>
      <c r="I446" t="s">
        <v>503</v>
      </c>
    </row>
    <row r="447" spans="1:9" x14ac:dyDescent="0.25">
      <c r="A447" t="s">
        <v>178</v>
      </c>
      <c r="B447" t="s">
        <v>303</v>
      </c>
      <c r="C447">
        <f t="shared" si="21"/>
        <v>2024</v>
      </c>
      <c r="D447">
        <f t="shared" si="22"/>
        <v>2</v>
      </c>
      <c r="E447" t="str">
        <f t="shared" si="23"/>
        <v>2024-2</v>
      </c>
      <c r="H447" t="s">
        <v>82</v>
      </c>
      <c r="I447" t="s">
        <v>504</v>
      </c>
    </row>
    <row r="448" spans="1:9" x14ac:dyDescent="0.25">
      <c r="A448" t="s">
        <v>157</v>
      </c>
      <c r="B448" t="s">
        <v>304</v>
      </c>
      <c r="C448">
        <f t="shared" si="21"/>
        <v>2024</v>
      </c>
      <c r="D448">
        <f t="shared" si="22"/>
        <v>2</v>
      </c>
      <c r="E448" t="str">
        <f t="shared" si="23"/>
        <v>2024-2</v>
      </c>
      <c r="H448" t="s">
        <v>82</v>
      </c>
      <c r="I448" t="s">
        <v>505</v>
      </c>
    </row>
    <row r="449" spans="1:9" x14ac:dyDescent="0.25">
      <c r="A449" t="s">
        <v>114</v>
      </c>
      <c r="B449" t="s">
        <v>304</v>
      </c>
      <c r="C449">
        <f t="shared" si="21"/>
        <v>2024</v>
      </c>
      <c r="D449">
        <f t="shared" si="22"/>
        <v>2</v>
      </c>
      <c r="E449" t="str">
        <f t="shared" si="23"/>
        <v>2024-2</v>
      </c>
      <c r="H449" t="s">
        <v>82</v>
      </c>
      <c r="I449" t="s">
        <v>506</v>
      </c>
    </row>
    <row r="450" spans="1:9" x14ac:dyDescent="0.25">
      <c r="A450" t="s">
        <v>94</v>
      </c>
      <c r="B450" t="s">
        <v>304</v>
      </c>
      <c r="C450">
        <f t="shared" si="21"/>
        <v>2024</v>
      </c>
      <c r="D450">
        <f t="shared" si="22"/>
        <v>2</v>
      </c>
      <c r="E450" t="str">
        <f t="shared" si="23"/>
        <v>2024-2</v>
      </c>
      <c r="H450" t="s">
        <v>272</v>
      </c>
      <c r="I450" t="s">
        <v>499</v>
      </c>
    </row>
    <row r="451" spans="1:9" x14ac:dyDescent="0.25">
      <c r="A451" t="s">
        <v>187</v>
      </c>
      <c r="B451" t="s">
        <v>304</v>
      </c>
      <c r="C451">
        <f t="shared" ref="C451:C514" si="24">YEAR(B451)</f>
        <v>2024</v>
      </c>
      <c r="D451">
        <f t="shared" ref="D451:D514" si="25">MONTH(B451)</f>
        <v>2</v>
      </c>
      <c r="E451" t="str">
        <f t="shared" ref="E451:E514" si="26">C451&amp;"-"&amp;D451</f>
        <v>2024-2</v>
      </c>
      <c r="H451" t="s">
        <v>272</v>
      </c>
      <c r="I451" t="s">
        <v>501</v>
      </c>
    </row>
    <row r="452" spans="1:9" x14ac:dyDescent="0.25">
      <c r="A452" t="s">
        <v>152</v>
      </c>
      <c r="B452" t="s">
        <v>305</v>
      </c>
      <c r="C452">
        <f t="shared" si="24"/>
        <v>2024</v>
      </c>
      <c r="D452">
        <f t="shared" si="25"/>
        <v>2</v>
      </c>
      <c r="E452" t="str">
        <f t="shared" si="26"/>
        <v>2024-2</v>
      </c>
      <c r="H452" t="s">
        <v>272</v>
      </c>
      <c r="I452" t="s">
        <v>503</v>
      </c>
    </row>
    <row r="453" spans="1:9" x14ac:dyDescent="0.25">
      <c r="A453" t="s">
        <v>50</v>
      </c>
      <c r="B453" t="s">
        <v>305</v>
      </c>
      <c r="C453">
        <f t="shared" si="24"/>
        <v>2024</v>
      </c>
      <c r="D453">
        <f t="shared" si="25"/>
        <v>2</v>
      </c>
      <c r="E453" t="str">
        <f t="shared" si="26"/>
        <v>2024-2</v>
      </c>
      <c r="H453" t="s">
        <v>157</v>
      </c>
      <c r="I453" t="s">
        <v>496</v>
      </c>
    </row>
    <row r="454" spans="1:9" x14ac:dyDescent="0.25">
      <c r="A454" t="s">
        <v>217</v>
      </c>
      <c r="B454" t="s">
        <v>305</v>
      </c>
      <c r="C454">
        <f t="shared" si="24"/>
        <v>2024</v>
      </c>
      <c r="D454">
        <f t="shared" si="25"/>
        <v>2</v>
      </c>
      <c r="E454" t="str">
        <f t="shared" si="26"/>
        <v>2024-2</v>
      </c>
      <c r="H454" t="s">
        <v>157</v>
      </c>
      <c r="I454" t="s">
        <v>500</v>
      </c>
    </row>
    <row r="455" spans="1:9" x14ac:dyDescent="0.25">
      <c r="A455" t="s">
        <v>306</v>
      </c>
      <c r="B455" t="s">
        <v>305</v>
      </c>
      <c r="C455">
        <f t="shared" si="24"/>
        <v>2024</v>
      </c>
      <c r="D455">
        <f t="shared" si="25"/>
        <v>2</v>
      </c>
      <c r="E455" t="str">
        <f t="shared" si="26"/>
        <v>2024-2</v>
      </c>
      <c r="H455" t="s">
        <v>157</v>
      </c>
      <c r="I455" t="s">
        <v>503</v>
      </c>
    </row>
    <row r="456" spans="1:9" x14ac:dyDescent="0.25">
      <c r="A456" t="s">
        <v>72</v>
      </c>
      <c r="B456" t="s">
        <v>305</v>
      </c>
      <c r="C456">
        <f t="shared" si="24"/>
        <v>2024</v>
      </c>
      <c r="D456">
        <f t="shared" si="25"/>
        <v>2</v>
      </c>
      <c r="E456" t="str">
        <f t="shared" si="26"/>
        <v>2024-2</v>
      </c>
      <c r="H456" t="s">
        <v>157</v>
      </c>
      <c r="I456" t="s">
        <v>504</v>
      </c>
    </row>
    <row r="457" spans="1:9" x14ac:dyDescent="0.25">
      <c r="A457" t="s">
        <v>155</v>
      </c>
      <c r="B457" t="s">
        <v>305</v>
      </c>
      <c r="C457">
        <f t="shared" si="24"/>
        <v>2024</v>
      </c>
      <c r="D457">
        <f t="shared" si="25"/>
        <v>2</v>
      </c>
      <c r="E457" t="str">
        <f t="shared" si="26"/>
        <v>2024-2</v>
      </c>
      <c r="H457" t="s">
        <v>122</v>
      </c>
      <c r="I457" t="s">
        <v>496</v>
      </c>
    </row>
    <row r="458" spans="1:9" x14ac:dyDescent="0.25">
      <c r="A458" t="s">
        <v>68</v>
      </c>
      <c r="B458" t="s">
        <v>305</v>
      </c>
      <c r="C458">
        <f t="shared" si="24"/>
        <v>2024</v>
      </c>
      <c r="D458">
        <f t="shared" si="25"/>
        <v>2</v>
      </c>
      <c r="E458" t="str">
        <f t="shared" si="26"/>
        <v>2024-2</v>
      </c>
      <c r="H458" t="s">
        <v>122</v>
      </c>
      <c r="I458" t="s">
        <v>497</v>
      </c>
    </row>
    <row r="459" spans="1:9" x14ac:dyDescent="0.25">
      <c r="A459" t="s">
        <v>153</v>
      </c>
      <c r="B459" t="s">
        <v>305</v>
      </c>
      <c r="C459">
        <f t="shared" si="24"/>
        <v>2024</v>
      </c>
      <c r="D459">
        <f t="shared" si="25"/>
        <v>2</v>
      </c>
      <c r="E459" t="str">
        <f t="shared" si="26"/>
        <v>2024-2</v>
      </c>
      <c r="H459" t="s">
        <v>122</v>
      </c>
      <c r="I459" t="s">
        <v>500</v>
      </c>
    </row>
    <row r="460" spans="1:9" x14ac:dyDescent="0.25">
      <c r="A460" t="s">
        <v>205</v>
      </c>
      <c r="B460" t="s">
        <v>305</v>
      </c>
      <c r="C460">
        <f t="shared" si="24"/>
        <v>2024</v>
      </c>
      <c r="D460">
        <f t="shared" si="25"/>
        <v>2</v>
      </c>
      <c r="E460" t="str">
        <f t="shared" si="26"/>
        <v>2024-2</v>
      </c>
      <c r="H460" t="s">
        <v>152</v>
      </c>
      <c r="I460" t="s">
        <v>496</v>
      </c>
    </row>
    <row r="461" spans="1:9" x14ac:dyDescent="0.25">
      <c r="A461" t="s">
        <v>73</v>
      </c>
      <c r="B461" t="s">
        <v>305</v>
      </c>
      <c r="C461">
        <f t="shared" si="24"/>
        <v>2024</v>
      </c>
      <c r="D461">
        <f t="shared" si="25"/>
        <v>2</v>
      </c>
      <c r="E461" t="str">
        <f t="shared" si="26"/>
        <v>2024-2</v>
      </c>
      <c r="H461" t="s">
        <v>152</v>
      </c>
      <c r="I461" t="s">
        <v>498</v>
      </c>
    </row>
    <row r="462" spans="1:9" x14ac:dyDescent="0.25">
      <c r="A462" t="s">
        <v>307</v>
      </c>
      <c r="B462" t="s">
        <v>305</v>
      </c>
      <c r="C462">
        <f t="shared" si="24"/>
        <v>2024</v>
      </c>
      <c r="D462">
        <f t="shared" si="25"/>
        <v>2</v>
      </c>
      <c r="E462" t="str">
        <f t="shared" si="26"/>
        <v>2024-2</v>
      </c>
      <c r="H462" t="s">
        <v>152</v>
      </c>
      <c r="I462" t="s">
        <v>499</v>
      </c>
    </row>
    <row r="463" spans="1:9" x14ac:dyDescent="0.25">
      <c r="A463" t="s">
        <v>51</v>
      </c>
      <c r="B463" t="s">
        <v>305</v>
      </c>
      <c r="C463">
        <f t="shared" si="24"/>
        <v>2024</v>
      </c>
      <c r="D463">
        <f t="shared" si="25"/>
        <v>2</v>
      </c>
      <c r="E463" t="str">
        <f t="shared" si="26"/>
        <v>2024-2</v>
      </c>
      <c r="H463" t="s">
        <v>152</v>
      </c>
      <c r="I463" t="s">
        <v>500</v>
      </c>
    </row>
    <row r="464" spans="1:9" x14ac:dyDescent="0.25">
      <c r="A464" t="s">
        <v>142</v>
      </c>
      <c r="B464" t="s">
        <v>308</v>
      </c>
      <c r="C464">
        <f t="shared" si="24"/>
        <v>2024</v>
      </c>
      <c r="D464">
        <f t="shared" si="25"/>
        <v>2</v>
      </c>
      <c r="E464" t="str">
        <f t="shared" si="26"/>
        <v>2024-2</v>
      </c>
      <c r="H464" t="s">
        <v>152</v>
      </c>
      <c r="I464" t="s">
        <v>501</v>
      </c>
    </row>
    <row r="465" spans="1:9" x14ac:dyDescent="0.25">
      <c r="A465" t="s">
        <v>309</v>
      </c>
      <c r="B465" t="s">
        <v>308</v>
      </c>
      <c r="C465">
        <f t="shared" si="24"/>
        <v>2024</v>
      </c>
      <c r="D465">
        <f t="shared" si="25"/>
        <v>2</v>
      </c>
      <c r="E465" t="str">
        <f t="shared" si="26"/>
        <v>2024-2</v>
      </c>
      <c r="H465" t="s">
        <v>152</v>
      </c>
      <c r="I465" t="s">
        <v>504</v>
      </c>
    </row>
    <row r="466" spans="1:9" x14ac:dyDescent="0.25">
      <c r="A466" t="s">
        <v>42</v>
      </c>
      <c r="B466" t="s">
        <v>308</v>
      </c>
      <c r="C466">
        <f t="shared" si="24"/>
        <v>2024</v>
      </c>
      <c r="D466">
        <f t="shared" si="25"/>
        <v>2</v>
      </c>
      <c r="E466" t="str">
        <f t="shared" si="26"/>
        <v>2024-2</v>
      </c>
      <c r="H466" t="s">
        <v>130</v>
      </c>
      <c r="I466" t="s">
        <v>496</v>
      </c>
    </row>
    <row r="467" spans="1:9" x14ac:dyDescent="0.25">
      <c r="A467" t="s">
        <v>80</v>
      </c>
      <c r="B467" t="s">
        <v>308</v>
      </c>
      <c r="C467">
        <f t="shared" si="24"/>
        <v>2024</v>
      </c>
      <c r="D467">
        <f t="shared" si="25"/>
        <v>2</v>
      </c>
      <c r="E467" t="str">
        <f t="shared" si="26"/>
        <v>2024-2</v>
      </c>
      <c r="H467" t="s">
        <v>130</v>
      </c>
      <c r="I467" t="s">
        <v>497</v>
      </c>
    </row>
    <row r="468" spans="1:9" x14ac:dyDescent="0.25">
      <c r="A468" t="s">
        <v>61</v>
      </c>
      <c r="B468" t="s">
        <v>308</v>
      </c>
      <c r="C468">
        <f t="shared" si="24"/>
        <v>2024</v>
      </c>
      <c r="D468">
        <f t="shared" si="25"/>
        <v>2</v>
      </c>
      <c r="E468" t="str">
        <f t="shared" si="26"/>
        <v>2024-2</v>
      </c>
      <c r="H468" t="s">
        <v>130</v>
      </c>
      <c r="I468" t="s">
        <v>498</v>
      </c>
    </row>
    <row r="469" spans="1:9" x14ac:dyDescent="0.25">
      <c r="A469" t="s">
        <v>22</v>
      </c>
      <c r="B469" t="s">
        <v>310</v>
      </c>
      <c r="C469">
        <f t="shared" si="24"/>
        <v>2024</v>
      </c>
      <c r="D469">
        <f t="shared" si="25"/>
        <v>2</v>
      </c>
      <c r="E469" t="str">
        <f t="shared" si="26"/>
        <v>2024-2</v>
      </c>
      <c r="H469" t="s">
        <v>130</v>
      </c>
      <c r="I469" t="s">
        <v>500</v>
      </c>
    </row>
    <row r="470" spans="1:9" x14ac:dyDescent="0.25">
      <c r="A470" t="s">
        <v>89</v>
      </c>
      <c r="B470" t="s">
        <v>311</v>
      </c>
      <c r="C470">
        <f t="shared" si="24"/>
        <v>2024</v>
      </c>
      <c r="D470">
        <f t="shared" si="25"/>
        <v>2</v>
      </c>
      <c r="E470" t="str">
        <f t="shared" si="26"/>
        <v>2024-2</v>
      </c>
      <c r="H470" t="s">
        <v>130</v>
      </c>
      <c r="I470" t="s">
        <v>505</v>
      </c>
    </row>
    <row r="471" spans="1:9" x14ac:dyDescent="0.25">
      <c r="A471" t="s">
        <v>142</v>
      </c>
      <c r="B471" t="s">
        <v>311</v>
      </c>
      <c r="C471">
        <f t="shared" si="24"/>
        <v>2024</v>
      </c>
      <c r="D471">
        <f t="shared" si="25"/>
        <v>2</v>
      </c>
      <c r="E471" t="str">
        <f t="shared" si="26"/>
        <v>2024-2</v>
      </c>
      <c r="H471" t="s">
        <v>130</v>
      </c>
      <c r="I471" t="s">
        <v>506</v>
      </c>
    </row>
    <row r="472" spans="1:9" x14ac:dyDescent="0.25">
      <c r="A472" t="s">
        <v>188</v>
      </c>
      <c r="B472" t="s">
        <v>312</v>
      </c>
      <c r="C472">
        <f t="shared" si="24"/>
        <v>2024</v>
      </c>
      <c r="D472">
        <f t="shared" si="25"/>
        <v>2</v>
      </c>
      <c r="E472" t="str">
        <f t="shared" si="26"/>
        <v>2024-2</v>
      </c>
      <c r="H472" t="s">
        <v>36</v>
      </c>
      <c r="I472" t="s">
        <v>495</v>
      </c>
    </row>
    <row r="473" spans="1:9" x14ac:dyDescent="0.25">
      <c r="A473" t="s">
        <v>11</v>
      </c>
      <c r="B473" t="s">
        <v>312</v>
      </c>
      <c r="C473">
        <f t="shared" si="24"/>
        <v>2024</v>
      </c>
      <c r="D473">
        <f t="shared" si="25"/>
        <v>2</v>
      </c>
      <c r="E473" t="str">
        <f t="shared" si="26"/>
        <v>2024-2</v>
      </c>
      <c r="H473" t="s">
        <v>36</v>
      </c>
      <c r="I473" t="s">
        <v>499</v>
      </c>
    </row>
    <row r="474" spans="1:9" x14ac:dyDescent="0.25">
      <c r="A474" t="s">
        <v>151</v>
      </c>
      <c r="B474" t="s">
        <v>312</v>
      </c>
      <c r="C474">
        <f t="shared" si="24"/>
        <v>2024</v>
      </c>
      <c r="D474">
        <f t="shared" si="25"/>
        <v>2</v>
      </c>
      <c r="E474" t="str">
        <f t="shared" si="26"/>
        <v>2024-2</v>
      </c>
      <c r="H474" t="s">
        <v>36</v>
      </c>
      <c r="I474" t="s">
        <v>503</v>
      </c>
    </row>
    <row r="475" spans="1:9" x14ac:dyDescent="0.25">
      <c r="A475" t="s">
        <v>65</v>
      </c>
      <c r="B475" t="s">
        <v>312</v>
      </c>
      <c r="C475">
        <f t="shared" si="24"/>
        <v>2024</v>
      </c>
      <c r="D475">
        <f t="shared" si="25"/>
        <v>2</v>
      </c>
      <c r="E475" t="str">
        <f t="shared" si="26"/>
        <v>2024-2</v>
      </c>
      <c r="H475" t="s">
        <v>144</v>
      </c>
      <c r="I475" t="s">
        <v>496</v>
      </c>
    </row>
    <row r="476" spans="1:9" x14ac:dyDescent="0.25">
      <c r="A476" t="s">
        <v>80</v>
      </c>
      <c r="B476" t="s">
        <v>312</v>
      </c>
      <c r="C476">
        <f t="shared" si="24"/>
        <v>2024</v>
      </c>
      <c r="D476">
        <f t="shared" si="25"/>
        <v>2</v>
      </c>
      <c r="E476" t="str">
        <f t="shared" si="26"/>
        <v>2024-2</v>
      </c>
      <c r="H476" t="s">
        <v>144</v>
      </c>
      <c r="I476" t="s">
        <v>497</v>
      </c>
    </row>
    <row r="477" spans="1:9" x14ac:dyDescent="0.25">
      <c r="A477" t="s">
        <v>61</v>
      </c>
      <c r="B477" t="s">
        <v>312</v>
      </c>
      <c r="C477">
        <f t="shared" si="24"/>
        <v>2024</v>
      </c>
      <c r="D477">
        <f t="shared" si="25"/>
        <v>2</v>
      </c>
      <c r="E477" t="str">
        <f t="shared" si="26"/>
        <v>2024-2</v>
      </c>
      <c r="H477" t="s">
        <v>144</v>
      </c>
      <c r="I477" t="s">
        <v>498</v>
      </c>
    </row>
    <row r="478" spans="1:9" x14ac:dyDescent="0.25">
      <c r="A478" t="s">
        <v>313</v>
      </c>
      <c r="B478" t="s">
        <v>312</v>
      </c>
      <c r="C478">
        <f t="shared" si="24"/>
        <v>2024</v>
      </c>
      <c r="D478">
        <f t="shared" si="25"/>
        <v>2</v>
      </c>
      <c r="E478" t="str">
        <f t="shared" si="26"/>
        <v>2024-2</v>
      </c>
      <c r="H478" t="s">
        <v>144</v>
      </c>
      <c r="I478" t="s">
        <v>500</v>
      </c>
    </row>
    <row r="479" spans="1:9" x14ac:dyDescent="0.25">
      <c r="A479" t="s">
        <v>35</v>
      </c>
      <c r="B479" t="s">
        <v>312</v>
      </c>
      <c r="C479">
        <f t="shared" si="24"/>
        <v>2024</v>
      </c>
      <c r="D479">
        <f t="shared" si="25"/>
        <v>2</v>
      </c>
      <c r="E479" t="str">
        <f t="shared" si="26"/>
        <v>2024-2</v>
      </c>
      <c r="H479" t="s">
        <v>144</v>
      </c>
      <c r="I479" t="s">
        <v>501</v>
      </c>
    </row>
    <row r="480" spans="1:9" x14ac:dyDescent="0.25">
      <c r="A480" t="s">
        <v>293</v>
      </c>
      <c r="B480" t="s">
        <v>312</v>
      </c>
      <c r="C480">
        <f t="shared" si="24"/>
        <v>2024</v>
      </c>
      <c r="D480">
        <f t="shared" si="25"/>
        <v>2</v>
      </c>
      <c r="E480" t="str">
        <f t="shared" si="26"/>
        <v>2024-2</v>
      </c>
      <c r="H480" t="s">
        <v>144</v>
      </c>
      <c r="I480" t="s">
        <v>505</v>
      </c>
    </row>
    <row r="481" spans="1:9" x14ac:dyDescent="0.25">
      <c r="A481" t="s">
        <v>53</v>
      </c>
      <c r="B481" t="s">
        <v>312</v>
      </c>
      <c r="C481">
        <f t="shared" si="24"/>
        <v>2024</v>
      </c>
      <c r="D481">
        <f t="shared" si="25"/>
        <v>2</v>
      </c>
      <c r="E481" t="str">
        <f t="shared" si="26"/>
        <v>2024-2</v>
      </c>
      <c r="H481" t="s">
        <v>144</v>
      </c>
      <c r="I481" t="s">
        <v>506</v>
      </c>
    </row>
    <row r="482" spans="1:9" x14ac:dyDescent="0.25">
      <c r="A482" t="s">
        <v>232</v>
      </c>
      <c r="B482" t="s">
        <v>312</v>
      </c>
      <c r="C482">
        <f t="shared" si="24"/>
        <v>2024</v>
      </c>
      <c r="D482">
        <f t="shared" si="25"/>
        <v>2</v>
      </c>
      <c r="E482" t="str">
        <f t="shared" si="26"/>
        <v>2024-2</v>
      </c>
      <c r="H482" t="s">
        <v>198</v>
      </c>
      <c r="I482" t="s">
        <v>497</v>
      </c>
    </row>
    <row r="483" spans="1:9" x14ac:dyDescent="0.25">
      <c r="A483" t="s">
        <v>128</v>
      </c>
      <c r="B483" t="s">
        <v>312</v>
      </c>
      <c r="C483">
        <f t="shared" si="24"/>
        <v>2024</v>
      </c>
      <c r="D483">
        <f t="shared" si="25"/>
        <v>2</v>
      </c>
      <c r="E483" t="str">
        <f t="shared" si="26"/>
        <v>2024-2</v>
      </c>
      <c r="H483" t="s">
        <v>198</v>
      </c>
      <c r="I483" t="s">
        <v>505</v>
      </c>
    </row>
    <row r="484" spans="1:9" x14ac:dyDescent="0.25">
      <c r="A484" t="s">
        <v>196</v>
      </c>
      <c r="B484" t="s">
        <v>312</v>
      </c>
      <c r="C484">
        <f t="shared" si="24"/>
        <v>2024</v>
      </c>
      <c r="D484">
        <f t="shared" si="25"/>
        <v>2</v>
      </c>
      <c r="E484" t="str">
        <f t="shared" si="26"/>
        <v>2024-2</v>
      </c>
      <c r="H484" t="s">
        <v>51</v>
      </c>
      <c r="I484" t="s">
        <v>495</v>
      </c>
    </row>
    <row r="485" spans="1:9" x14ac:dyDescent="0.25">
      <c r="A485" t="s">
        <v>132</v>
      </c>
      <c r="B485" t="s">
        <v>314</v>
      </c>
      <c r="C485">
        <f t="shared" si="24"/>
        <v>2024</v>
      </c>
      <c r="D485">
        <f t="shared" si="25"/>
        <v>2</v>
      </c>
      <c r="E485" t="str">
        <f t="shared" si="26"/>
        <v>2024-2</v>
      </c>
      <c r="H485" t="s">
        <v>51</v>
      </c>
      <c r="I485" t="s">
        <v>499</v>
      </c>
    </row>
    <row r="486" spans="1:9" x14ac:dyDescent="0.25">
      <c r="A486" t="s">
        <v>84</v>
      </c>
      <c r="B486" t="s">
        <v>314</v>
      </c>
      <c r="C486">
        <f t="shared" si="24"/>
        <v>2024</v>
      </c>
      <c r="D486">
        <f t="shared" si="25"/>
        <v>2</v>
      </c>
      <c r="E486" t="str">
        <f t="shared" si="26"/>
        <v>2024-2</v>
      </c>
      <c r="H486" t="s">
        <v>51</v>
      </c>
      <c r="I486" t="s">
        <v>500</v>
      </c>
    </row>
    <row r="487" spans="1:9" x14ac:dyDescent="0.25">
      <c r="A487" t="s">
        <v>99</v>
      </c>
      <c r="B487" t="s">
        <v>314</v>
      </c>
      <c r="C487">
        <f t="shared" si="24"/>
        <v>2024</v>
      </c>
      <c r="D487">
        <f t="shared" si="25"/>
        <v>2</v>
      </c>
      <c r="E487" t="str">
        <f t="shared" si="26"/>
        <v>2024-2</v>
      </c>
      <c r="H487" t="s">
        <v>22</v>
      </c>
      <c r="I487" t="s">
        <v>495</v>
      </c>
    </row>
    <row r="488" spans="1:9" x14ac:dyDescent="0.25">
      <c r="A488" t="s">
        <v>57</v>
      </c>
      <c r="B488" t="s">
        <v>314</v>
      </c>
      <c r="C488">
        <f t="shared" si="24"/>
        <v>2024</v>
      </c>
      <c r="D488">
        <f t="shared" si="25"/>
        <v>2</v>
      </c>
      <c r="E488" t="str">
        <f t="shared" si="26"/>
        <v>2024-2</v>
      </c>
      <c r="H488" t="s">
        <v>22</v>
      </c>
      <c r="I488" t="s">
        <v>496</v>
      </c>
    </row>
    <row r="489" spans="1:9" x14ac:dyDescent="0.25">
      <c r="A489" t="s">
        <v>248</v>
      </c>
      <c r="B489" t="s">
        <v>314</v>
      </c>
      <c r="C489">
        <f t="shared" si="24"/>
        <v>2024</v>
      </c>
      <c r="D489">
        <f t="shared" si="25"/>
        <v>2</v>
      </c>
      <c r="E489" t="str">
        <f t="shared" si="26"/>
        <v>2024-2</v>
      </c>
      <c r="H489" t="s">
        <v>22</v>
      </c>
      <c r="I489" t="s">
        <v>500</v>
      </c>
    </row>
    <row r="490" spans="1:9" x14ac:dyDescent="0.25">
      <c r="A490" t="s">
        <v>41</v>
      </c>
      <c r="B490" t="s">
        <v>315</v>
      </c>
      <c r="C490">
        <f t="shared" si="24"/>
        <v>2024</v>
      </c>
      <c r="D490">
        <f t="shared" si="25"/>
        <v>2</v>
      </c>
      <c r="E490" t="str">
        <f t="shared" si="26"/>
        <v>2024-2</v>
      </c>
      <c r="H490" t="s">
        <v>22</v>
      </c>
      <c r="I490" t="s">
        <v>502</v>
      </c>
    </row>
    <row r="491" spans="1:9" x14ac:dyDescent="0.25">
      <c r="A491" t="s">
        <v>270</v>
      </c>
      <c r="B491" t="s">
        <v>316</v>
      </c>
      <c r="C491">
        <f t="shared" si="24"/>
        <v>2024</v>
      </c>
      <c r="D491">
        <f t="shared" si="25"/>
        <v>2</v>
      </c>
      <c r="E491" t="str">
        <f t="shared" si="26"/>
        <v>2024-2</v>
      </c>
      <c r="H491" t="s">
        <v>22</v>
      </c>
      <c r="I491" t="s">
        <v>503</v>
      </c>
    </row>
    <row r="492" spans="1:9" x14ac:dyDescent="0.25">
      <c r="A492" t="s">
        <v>55</v>
      </c>
      <c r="B492" t="s">
        <v>317</v>
      </c>
      <c r="C492">
        <f t="shared" si="24"/>
        <v>2024</v>
      </c>
      <c r="D492">
        <f t="shared" si="25"/>
        <v>3</v>
      </c>
      <c r="E492" t="str">
        <f t="shared" si="26"/>
        <v>2024-3</v>
      </c>
      <c r="H492" t="s">
        <v>22</v>
      </c>
      <c r="I492" t="s">
        <v>505</v>
      </c>
    </row>
    <row r="493" spans="1:9" x14ac:dyDescent="0.25">
      <c r="A493" t="s">
        <v>103</v>
      </c>
      <c r="B493" t="s">
        <v>318</v>
      </c>
      <c r="C493">
        <f t="shared" si="24"/>
        <v>2024</v>
      </c>
      <c r="D493">
        <f t="shared" si="25"/>
        <v>3</v>
      </c>
      <c r="E493" t="str">
        <f t="shared" si="26"/>
        <v>2024-3</v>
      </c>
      <c r="H493" t="s">
        <v>177</v>
      </c>
      <c r="I493" t="s">
        <v>497</v>
      </c>
    </row>
    <row r="494" spans="1:9" x14ac:dyDescent="0.25">
      <c r="A494" t="s">
        <v>144</v>
      </c>
      <c r="B494" t="s">
        <v>318</v>
      </c>
      <c r="C494">
        <f t="shared" si="24"/>
        <v>2024</v>
      </c>
      <c r="D494">
        <f t="shared" si="25"/>
        <v>3</v>
      </c>
      <c r="E494" t="str">
        <f t="shared" si="26"/>
        <v>2024-3</v>
      </c>
      <c r="H494" t="s">
        <v>177</v>
      </c>
      <c r="I494" t="s">
        <v>498</v>
      </c>
    </row>
    <row r="495" spans="1:9" x14ac:dyDescent="0.25">
      <c r="A495" t="s">
        <v>35</v>
      </c>
      <c r="B495" t="s">
        <v>318</v>
      </c>
      <c r="C495">
        <f t="shared" si="24"/>
        <v>2024</v>
      </c>
      <c r="D495">
        <f t="shared" si="25"/>
        <v>3</v>
      </c>
      <c r="E495" t="str">
        <f t="shared" si="26"/>
        <v>2024-3</v>
      </c>
      <c r="H495" t="s">
        <v>177</v>
      </c>
      <c r="I495" t="s">
        <v>499</v>
      </c>
    </row>
    <row r="496" spans="1:9" x14ac:dyDescent="0.25">
      <c r="A496" t="s">
        <v>248</v>
      </c>
      <c r="B496" t="s">
        <v>318</v>
      </c>
      <c r="C496">
        <f t="shared" si="24"/>
        <v>2024</v>
      </c>
      <c r="D496">
        <f t="shared" si="25"/>
        <v>3</v>
      </c>
      <c r="E496" t="str">
        <f t="shared" si="26"/>
        <v>2024-3</v>
      </c>
      <c r="H496" t="s">
        <v>177</v>
      </c>
      <c r="I496" t="s">
        <v>501</v>
      </c>
    </row>
    <row r="497" spans="1:9" x14ac:dyDescent="0.25">
      <c r="A497" t="s">
        <v>188</v>
      </c>
      <c r="B497" t="s">
        <v>318</v>
      </c>
      <c r="C497">
        <f t="shared" si="24"/>
        <v>2024</v>
      </c>
      <c r="D497">
        <f t="shared" si="25"/>
        <v>3</v>
      </c>
      <c r="E497" t="str">
        <f t="shared" si="26"/>
        <v>2024-3</v>
      </c>
      <c r="H497" t="s">
        <v>177</v>
      </c>
      <c r="I497" t="s">
        <v>503</v>
      </c>
    </row>
    <row r="498" spans="1:9" x14ac:dyDescent="0.25">
      <c r="A498" t="s">
        <v>92</v>
      </c>
      <c r="B498" t="s">
        <v>318</v>
      </c>
      <c r="C498">
        <f t="shared" si="24"/>
        <v>2024</v>
      </c>
      <c r="D498">
        <f t="shared" si="25"/>
        <v>3</v>
      </c>
      <c r="E498" t="str">
        <f t="shared" si="26"/>
        <v>2024-3</v>
      </c>
      <c r="H498" t="s">
        <v>78</v>
      </c>
      <c r="I498" t="s">
        <v>495</v>
      </c>
    </row>
    <row r="499" spans="1:9" x14ac:dyDescent="0.25">
      <c r="A499" t="s">
        <v>32</v>
      </c>
      <c r="B499" t="s">
        <v>318</v>
      </c>
      <c r="C499">
        <f t="shared" si="24"/>
        <v>2024</v>
      </c>
      <c r="D499">
        <f t="shared" si="25"/>
        <v>3</v>
      </c>
      <c r="E499" t="str">
        <f t="shared" si="26"/>
        <v>2024-3</v>
      </c>
      <c r="H499" t="s">
        <v>78</v>
      </c>
      <c r="I499" t="s">
        <v>496</v>
      </c>
    </row>
    <row r="500" spans="1:9" x14ac:dyDescent="0.25">
      <c r="A500" t="s">
        <v>107</v>
      </c>
      <c r="B500" t="s">
        <v>318</v>
      </c>
      <c r="C500">
        <f t="shared" si="24"/>
        <v>2024</v>
      </c>
      <c r="D500">
        <f t="shared" si="25"/>
        <v>3</v>
      </c>
      <c r="E500" t="str">
        <f t="shared" si="26"/>
        <v>2024-3</v>
      </c>
      <c r="H500" t="s">
        <v>78</v>
      </c>
      <c r="I500" t="s">
        <v>504</v>
      </c>
    </row>
    <row r="501" spans="1:9" x14ac:dyDescent="0.25">
      <c r="A501" t="s">
        <v>264</v>
      </c>
      <c r="B501" t="s">
        <v>318</v>
      </c>
      <c r="C501">
        <f t="shared" si="24"/>
        <v>2024</v>
      </c>
      <c r="D501">
        <f t="shared" si="25"/>
        <v>3</v>
      </c>
      <c r="E501" t="str">
        <f t="shared" si="26"/>
        <v>2024-3</v>
      </c>
      <c r="H501" t="s">
        <v>78</v>
      </c>
      <c r="I501" t="s">
        <v>506</v>
      </c>
    </row>
    <row r="502" spans="1:9" x14ac:dyDescent="0.25">
      <c r="A502" t="s">
        <v>15</v>
      </c>
      <c r="B502" t="s">
        <v>318</v>
      </c>
      <c r="C502">
        <f t="shared" si="24"/>
        <v>2024</v>
      </c>
      <c r="D502">
        <f t="shared" si="25"/>
        <v>3</v>
      </c>
      <c r="E502" t="str">
        <f t="shared" si="26"/>
        <v>2024-3</v>
      </c>
      <c r="H502" t="s">
        <v>75</v>
      </c>
      <c r="I502" t="s">
        <v>495</v>
      </c>
    </row>
    <row r="503" spans="1:9" x14ac:dyDescent="0.25">
      <c r="A503" t="s">
        <v>152</v>
      </c>
      <c r="B503" t="s">
        <v>319</v>
      </c>
      <c r="C503">
        <f t="shared" si="24"/>
        <v>2024</v>
      </c>
      <c r="D503">
        <f t="shared" si="25"/>
        <v>3</v>
      </c>
      <c r="E503" t="str">
        <f t="shared" si="26"/>
        <v>2024-3</v>
      </c>
      <c r="H503" t="s">
        <v>75</v>
      </c>
      <c r="I503" t="s">
        <v>496</v>
      </c>
    </row>
    <row r="504" spans="1:9" x14ac:dyDescent="0.25">
      <c r="A504" t="s">
        <v>217</v>
      </c>
      <c r="B504" t="s">
        <v>319</v>
      </c>
      <c r="C504">
        <f t="shared" si="24"/>
        <v>2024</v>
      </c>
      <c r="D504">
        <f t="shared" si="25"/>
        <v>3</v>
      </c>
      <c r="E504" t="str">
        <f t="shared" si="26"/>
        <v>2024-3</v>
      </c>
      <c r="H504" t="s">
        <v>75</v>
      </c>
      <c r="I504" t="s">
        <v>497</v>
      </c>
    </row>
    <row r="505" spans="1:9" x14ac:dyDescent="0.25">
      <c r="A505" t="s">
        <v>126</v>
      </c>
      <c r="B505" t="s">
        <v>319</v>
      </c>
      <c r="C505">
        <f t="shared" si="24"/>
        <v>2024</v>
      </c>
      <c r="D505">
        <f t="shared" si="25"/>
        <v>3</v>
      </c>
      <c r="E505" t="str">
        <f t="shared" si="26"/>
        <v>2024-3</v>
      </c>
      <c r="H505" t="s">
        <v>75</v>
      </c>
      <c r="I505" t="s">
        <v>498</v>
      </c>
    </row>
    <row r="506" spans="1:9" x14ac:dyDescent="0.25">
      <c r="A506" t="s">
        <v>42</v>
      </c>
      <c r="B506" t="s">
        <v>319</v>
      </c>
      <c r="C506">
        <f t="shared" si="24"/>
        <v>2024</v>
      </c>
      <c r="D506">
        <f t="shared" si="25"/>
        <v>3</v>
      </c>
      <c r="E506" t="str">
        <f t="shared" si="26"/>
        <v>2024-3</v>
      </c>
      <c r="H506" t="s">
        <v>75</v>
      </c>
      <c r="I506" t="s">
        <v>502</v>
      </c>
    </row>
    <row r="507" spans="1:9" x14ac:dyDescent="0.25">
      <c r="A507" t="s">
        <v>227</v>
      </c>
      <c r="B507" t="s">
        <v>319</v>
      </c>
      <c r="C507">
        <f t="shared" si="24"/>
        <v>2024</v>
      </c>
      <c r="D507">
        <f t="shared" si="25"/>
        <v>3</v>
      </c>
      <c r="E507" t="str">
        <f t="shared" si="26"/>
        <v>2024-3</v>
      </c>
      <c r="H507" t="s">
        <v>75</v>
      </c>
      <c r="I507" t="s">
        <v>506</v>
      </c>
    </row>
    <row r="508" spans="1:9" x14ac:dyDescent="0.25">
      <c r="A508" t="s">
        <v>247</v>
      </c>
      <c r="B508" t="s">
        <v>320</v>
      </c>
      <c r="C508">
        <f t="shared" si="24"/>
        <v>2024</v>
      </c>
      <c r="D508">
        <f t="shared" si="25"/>
        <v>3</v>
      </c>
      <c r="E508" t="str">
        <f t="shared" si="26"/>
        <v>2024-3</v>
      </c>
      <c r="H508" t="s">
        <v>344</v>
      </c>
      <c r="I508" t="s">
        <v>502</v>
      </c>
    </row>
    <row r="509" spans="1:9" x14ac:dyDescent="0.25">
      <c r="A509" t="s">
        <v>73</v>
      </c>
      <c r="B509" t="s">
        <v>320</v>
      </c>
      <c r="C509">
        <f t="shared" si="24"/>
        <v>2024</v>
      </c>
      <c r="D509">
        <f t="shared" si="25"/>
        <v>3</v>
      </c>
      <c r="E509" t="str">
        <f t="shared" si="26"/>
        <v>2024-3</v>
      </c>
      <c r="H509" t="s">
        <v>344</v>
      </c>
      <c r="I509" t="s">
        <v>503</v>
      </c>
    </row>
    <row r="510" spans="1:9" x14ac:dyDescent="0.25">
      <c r="A510" t="s">
        <v>32</v>
      </c>
      <c r="B510" t="s">
        <v>320</v>
      </c>
      <c r="C510">
        <f t="shared" si="24"/>
        <v>2024</v>
      </c>
      <c r="D510">
        <f t="shared" si="25"/>
        <v>3</v>
      </c>
      <c r="E510" t="str">
        <f t="shared" si="26"/>
        <v>2024-3</v>
      </c>
      <c r="H510" t="s">
        <v>344</v>
      </c>
      <c r="I510" t="s">
        <v>504</v>
      </c>
    </row>
    <row r="511" spans="1:9" x14ac:dyDescent="0.25">
      <c r="A511" t="s">
        <v>84</v>
      </c>
      <c r="B511" t="s">
        <v>320</v>
      </c>
      <c r="C511">
        <f t="shared" si="24"/>
        <v>2024</v>
      </c>
      <c r="D511">
        <f t="shared" si="25"/>
        <v>3</v>
      </c>
      <c r="E511" t="str">
        <f t="shared" si="26"/>
        <v>2024-3</v>
      </c>
      <c r="H511" t="s">
        <v>344</v>
      </c>
      <c r="I511" t="s">
        <v>506</v>
      </c>
    </row>
    <row r="512" spans="1:9" x14ac:dyDescent="0.25">
      <c r="A512" t="s">
        <v>81</v>
      </c>
      <c r="B512" t="s">
        <v>320</v>
      </c>
      <c r="C512">
        <f t="shared" si="24"/>
        <v>2024</v>
      </c>
      <c r="D512">
        <f t="shared" si="25"/>
        <v>3</v>
      </c>
      <c r="E512" t="str">
        <f t="shared" si="26"/>
        <v>2024-3</v>
      </c>
      <c r="H512" t="s">
        <v>139</v>
      </c>
      <c r="I512" t="s">
        <v>496</v>
      </c>
    </row>
    <row r="513" spans="1:9" x14ac:dyDescent="0.25">
      <c r="A513" t="s">
        <v>9</v>
      </c>
      <c r="B513" t="s">
        <v>321</v>
      </c>
      <c r="C513">
        <f t="shared" si="24"/>
        <v>2024</v>
      </c>
      <c r="D513">
        <f t="shared" si="25"/>
        <v>3</v>
      </c>
      <c r="E513" t="str">
        <f t="shared" si="26"/>
        <v>2024-3</v>
      </c>
      <c r="H513" t="s">
        <v>139</v>
      </c>
      <c r="I513" t="s">
        <v>499</v>
      </c>
    </row>
    <row r="514" spans="1:9" x14ac:dyDescent="0.25">
      <c r="A514" t="s">
        <v>114</v>
      </c>
      <c r="B514" t="s">
        <v>321</v>
      </c>
      <c r="C514">
        <f t="shared" si="24"/>
        <v>2024</v>
      </c>
      <c r="D514">
        <f t="shared" si="25"/>
        <v>3</v>
      </c>
      <c r="E514" t="str">
        <f t="shared" si="26"/>
        <v>2024-3</v>
      </c>
      <c r="H514" t="s">
        <v>139</v>
      </c>
      <c r="I514" t="s">
        <v>502</v>
      </c>
    </row>
    <row r="515" spans="1:9" x14ac:dyDescent="0.25">
      <c r="A515" t="s">
        <v>128</v>
      </c>
      <c r="B515" t="s">
        <v>321</v>
      </c>
      <c r="C515">
        <f t="shared" ref="C515:C578" si="27">YEAR(B515)</f>
        <v>2024</v>
      </c>
      <c r="D515">
        <f t="shared" ref="D515:D578" si="28">MONTH(B515)</f>
        <v>3</v>
      </c>
      <c r="E515" t="str">
        <f t="shared" ref="E515:E578" si="29">C515&amp;"-"&amp;D515</f>
        <v>2024-3</v>
      </c>
      <c r="H515" t="s">
        <v>139</v>
      </c>
      <c r="I515" t="s">
        <v>505</v>
      </c>
    </row>
    <row r="516" spans="1:9" x14ac:dyDescent="0.25">
      <c r="A516" t="s">
        <v>57</v>
      </c>
      <c r="B516" t="s">
        <v>322</v>
      </c>
      <c r="C516">
        <f t="shared" si="27"/>
        <v>2024</v>
      </c>
      <c r="D516">
        <f t="shared" si="28"/>
        <v>3</v>
      </c>
      <c r="E516" t="str">
        <f t="shared" si="29"/>
        <v>2024-3</v>
      </c>
      <c r="H516" t="s">
        <v>139</v>
      </c>
      <c r="I516" t="s">
        <v>506</v>
      </c>
    </row>
    <row r="517" spans="1:9" x14ac:dyDescent="0.25">
      <c r="A517" t="s">
        <v>269</v>
      </c>
      <c r="B517" t="s">
        <v>322</v>
      </c>
      <c r="C517">
        <f t="shared" si="27"/>
        <v>2024</v>
      </c>
      <c r="D517">
        <f t="shared" si="28"/>
        <v>3</v>
      </c>
      <c r="E517" t="str">
        <f t="shared" si="29"/>
        <v>2024-3</v>
      </c>
      <c r="H517" t="s">
        <v>380</v>
      </c>
      <c r="I517" t="s">
        <v>503</v>
      </c>
    </row>
    <row r="518" spans="1:9" x14ac:dyDescent="0.25">
      <c r="A518" t="s">
        <v>232</v>
      </c>
      <c r="B518" t="s">
        <v>323</v>
      </c>
      <c r="C518">
        <f t="shared" si="27"/>
        <v>2024</v>
      </c>
      <c r="D518">
        <f t="shared" si="28"/>
        <v>3</v>
      </c>
      <c r="E518" t="str">
        <f t="shared" si="29"/>
        <v>2024-3</v>
      </c>
      <c r="H518" t="s">
        <v>65</v>
      </c>
      <c r="I518" t="s">
        <v>495</v>
      </c>
    </row>
    <row r="519" spans="1:9" x14ac:dyDescent="0.25">
      <c r="A519" t="s">
        <v>89</v>
      </c>
      <c r="B519" t="s">
        <v>323</v>
      </c>
      <c r="C519">
        <f t="shared" si="27"/>
        <v>2024</v>
      </c>
      <c r="D519">
        <f t="shared" si="28"/>
        <v>3</v>
      </c>
      <c r="E519" t="str">
        <f t="shared" si="29"/>
        <v>2024-3</v>
      </c>
      <c r="H519" t="s">
        <v>65</v>
      </c>
      <c r="I519" t="s">
        <v>496</v>
      </c>
    </row>
    <row r="520" spans="1:9" x14ac:dyDescent="0.25">
      <c r="A520" t="s">
        <v>49</v>
      </c>
      <c r="B520" t="s">
        <v>323</v>
      </c>
      <c r="C520">
        <f t="shared" si="27"/>
        <v>2024</v>
      </c>
      <c r="D520">
        <f t="shared" si="28"/>
        <v>3</v>
      </c>
      <c r="E520" t="str">
        <f t="shared" si="29"/>
        <v>2024-3</v>
      </c>
      <c r="H520" t="s">
        <v>65</v>
      </c>
      <c r="I520" t="s">
        <v>497</v>
      </c>
    </row>
    <row r="521" spans="1:9" x14ac:dyDescent="0.25">
      <c r="A521" t="s">
        <v>195</v>
      </c>
      <c r="B521" t="s">
        <v>323</v>
      </c>
      <c r="C521">
        <f t="shared" si="27"/>
        <v>2024</v>
      </c>
      <c r="D521">
        <f t="shared" si="28"/>
        <v>3</v>
      </c>
      <c r="E521" t="str">
        <f t="shared" si="29"/>
        <v>2024-3</v>
      </c>
      <c r="H521" t="s">
        <v>65</v>
      </c>
      <c r="I521" t="s">
        <v>498</v>
      </c>
    </row>
    <row r="522" spans="1:9" x14ac:dyDescent="0.25">
      <c r="A522" t="s">
        <v>17</v>
      </c>
      <c r="B522" t="s">
        <v>324</v>
      </c>
      <c r="C522">
        <f t="shared" si="27"/>
        <v>2024</v>
      </c>
      <c r="D522">
        <f t="shared" si="28"/>
        <v>3</v>
      </c>
      <c r="E522" t="str">
        <f t="shared" si="29"/>
        <v>2024-3</v>
      </c>
      <c r="H522" t="s">
        <v>65</v>
      </c>
      <c r="I522" t="s">
        <v>500</v>
      </c>
    </row>
    <row r="523" spans="1:9" x14ac:dyDescent="0.25">
      <c r="A523" t="s">
        <v>158</v>
      </c>
      <c r="B523" t="s">
        <v>324</v>
      </c>
      <c r="C523">
        <f t="shared" si="27"/>
        <v>2024</v>
      </c>
      <c r="D523">
        <f t="shared" si="28"/>
        <v>3</v>
      </c>
      <c r="E523" t="str">
        <f t="shared" si="29"/>
        <v>2024-3</v>
      </c>
      <c r="H523" t="s">
        <v>65</v>
      </c>
      <c r="I523" t="s">
        <v>505</v>
      </c>
    </row>
    <row r="524" spans="1:9" x14ac:dyDescent="0.25">
      <c r="A524" t="s">
        <v>325</v>
      </c>
      <c r="B524" t="s">
        <v>324</v>
      </c>
      <c r="C524">
        <f t="shared" si="27"/>
        <v>2024</v>
      </c>
      <c r="D524">
        <f t="shared" si="28"/>
        <v>3</v>
      </c>
      <c r="E524" t="str">
        <f t="shared" si="29"/>
        <v>2024-3</v>
      </c>
      <c r="H524" t="s">
        <v>116</v>
      </c>
      <c r="I524" t="s">
        <v>496</v>
      </c>
    </row>
    <row r="525" spans="1:9" x14ac:dyDescent="0.25">
      <c r="A525" t="s">
        <v>43</v>
      </c>
      <c r="B525" t="s">
        <v>324</v>
      </c>
      <c r="C525">
        <f t="shared" si="27"/>
        <v>2024</v>
      </c>
      <c r="D525">
        <f t="shared" si="28"/>
        <v>3</v>
      </c>
      <c r="E525" t="str">
        <f t="shared" si="29"/>
        <v>2024-3</v>
      </c>
      <c r="H525" t="s">
        <v>116</v>
      </c>
      <c r="I525" t="s">
        <v>497</v>
      </c>
    </row>
    <row r="526" spans="1:9" x14ac:dyDescent="0.25">
      <c r="A526" t="s">
        <v>91</v>
      </c>
      <c r="B526" t="s">
        <v>326</v>
      </c>
      <c r="C526">
        <f t="shared" si="27"/>
        <v>2024</v>
      </c>
      <c r="D526">
        <f t="shared" si="28"/>
        <v>3</v>
      </c>
      <c r="E526" t="str">
        <f t="shared" si="29"/>
        <v>2024-3</v>
      </c>
      <c r="H526" t="s">
        <v>116</v>
      </c>
      <c r="I526" t="s">
        <v>498</v>
      </c>
    </row>
    <row r="527" spans="1:9" x14ac:dyDescent="0.25">
      <c r="A527" t="s">
        <v>49</v>
      </c>
      <c r="B527" t="s">
        <v>326</v>
      </c>
      <c r="C527">
        <f t="shared" si="27"/>
        <v>2024</v>
      </c>
      <c r="D527">
        <f t="shared" si="28"/>
        <v>3</v>
      </c>
      <c r="E527" t="str">
        <f t="shared" si="29"/>
        <v>2024-3</v>
      </c>
      <c r="H527" t="s">
        <v>116</v>
      </c>
      <c r="I527" t="s">
        <v>501</v>
      </c>
    </row>
    <row r="528" spans="1:9" x14ac:dyDescent="0.25">
      <c r="A528" t="s">
        <v>98</v>
      </c>
      <c r="B528" t="s">
        <v>327</v>
      </c>
      <c r="C528">
        <f t="shared" si="27"/>
        <v>2024</v>
      </c>
      <c r="D528">
        <f t="shared" si="28"/>
        <v>3</v>
      </c>
      <c r="E528" t="str">
        <f t="shared" si="29"/>
        <v>2024-3</v>
      </c>
      <c r="H528" t="s">
        <v>116</v>
      </c>
      <c r="I528" t="s">
        <v>504</v>
      </c>
    </row>
    <row r="529" spans="1:9" x14ac:dyDescent="0.25">
      <c r="A529" t="s">
        <v>272</v>
      </c>
      <c r="B529" t="s">
        <v>327</v>
      </c>
      <c r="C529">
        <f t="shared" si="27"/>
        <v>2024</v>
      </c>
      <c r="D529">
        <f t="shared" si="28"/>
        <v>3</v>
      </c>
      <c r="E529" t="str">
        <f t="shared" si="29"/>
        <v>2024-3</v>
      </c>
      <c r="H529" t="s">
        <v>116</v>
      </c>
      <c r="I529" t="s">
        <v>505</v>
      </c>
    </row>
    <row r="530" spans="1:9" x14ac:dyDescent="0.25">
      <c r="A530" t="s">
        <v>229</v>
      </c>
      <c r="B530" t="s">
        <v>328</v>
      </c>
      <c r="C530">
        <f t="shared" si="27"/>
        <v>2024</v>
      </c>
      <c r="D530">
        <f t="shared" si="28"/>
        <v>3</v>
      </c>
      <c r="E530" t="str">
        <f t="shared" si="29"/>
        <v>2024-3</v>
      </c>
      <c r="H530" t="s">
        <v>161</v>
      </c>
      <c r="I530" t="s">
        <v>496</v>
      </c>
    </row>
    <row r="531" spans="1:9" x14ac:dyDescent="0.25">
      <c r="A531" t="s">
        <v>152</v>
      </c>
      <c r="B531" t="s">
        <v>328</v>
      </c>
      <c r="C531">
        <f t="shared" si="27"/>
        <v>2024</v>
      </c>
      <c r="D531">
        <f t="shared" si="28"/>
        <v>3</v>
      </c>
      <c r="E531" t="str">
        <f t="shared" si="29"/>
        <v>2024-3</v>
      </c>
      <c r="H531" t="s">
        <v>161</v>
      </c>
      <c r="I531" t="s">
        <v>502</v>
      </c>
    </row>
    <row r="532" spans="1:9" x14ac:dyDescent="0.25">
      <c r="A532" t="s">
        <v>239</v>
      </c>
      <c r="B532" t="s">
        <v>328</v>
      </c>
      <c r="C532">
        <f t="shared" si="27"/>
        <v>2024</v>
      </c>
      <c r="D532">
        <f t="shared" si="28"/>
        <v>3</v>
      </c>
      <c r="E532" t="str">
        <f t="shared" si="29"/>
        <v>2024-3</v>
      </c>
      <c r="H532" t="s">
        <v>48</v>
      </c>
      <c r="I532" t="s">
        <v>495</v>
      </c>
    </row>
    <row r="533" spans="1:9" x14ac:dyDescent="0.25">
      <c r="A533" t="s">
        <v>329</v>
      </c>
      <c r="B533" t="s">
        <v>330</v>
      </c>
      <c r="C533">
        <f t="shared" si="27"/>
        <v>2024</v>
      </c>
      <c r="D533">
        <f t="shared" si="28"/>
        <v>3</v>
      </c>
      <c r="E533" t="str">
        <f t="shared" si="29"/>
        <v>2024-3</v>
      </c>
      <c r="H533" t="s">
        <v>48</v>
      </c>
      <c r="I533" t="s">
        <v>496</v>
      </c>
    </row>
    <row r="534" spans="1:9" x14ac:dyDescent="0.25">
      <c r="A534" t="s">
        <v>331</v>
      </c>
      <c r="B534" t="s">
        <v>330</v>
      </c>
      <c r="C534">
        <f t="shared" si="27"/>
        <v>2024</v>
      </c>
      <c r="D534">
        <f t="shared" si="28"/>
        <v>3</v>
      </c>
      <c r="E534" t="str">
        <f t="shared" si="29"/>
        <v>2024-3</v>
      </c>
      <c r="H534" t="s">
        <v>48</v>
      </c>
      <c r="I534" t="s">
        <v>498</v>
      </c>
    </row>
    <row r="535" spans="1:9" x14ac:dyDescent="0.25">
      <c r="A535" t="s">
        <v>248</v>
      </c>
      <c r="B535" t="s">
        <v>330</v>
      </c>
      <c r="C535">
        <f t="shared" si="27"/>
        <v>2024</v>
      </c>
      <c r="D535">
        <f t="shared" si="28"/>
        <v>3</v>
      </c>
      <c r="E535" t="str">
        <f t="shared" si="29"/>
        <v>2024-3</v>
      </c>
      <c r="H535" t="s">
        <v>232</v>
      </c>
      <c r="I535" t="s">
        <v>498</v>
      </c>
    </row>
    <row r="536" spans="1:9" x14ac:dyDescent="0.25">
      <c r="A536" t="s">
        <v>249</v>
      </c>
      <c r="B536" t="s">
        <v>330</v>
      </c>
      <c r="C536">
        <f t="shared" si="27"/>
        <v>2024</v>
      </c>
      <c r="D536">
        <f t="shared" si="28"/>
        <v>3</v>
      </c>
      <c r="E536" t="str">
        <f t="shared" si="29"/>
        <v>2024-3</v>
      </c>
      <c r="H536" t="s">
        <v>232</v>
      </c>
      <c r="I536" t="s">
        <v>500</v>
      </c>
    </row>
    <row r="537" spans="1:9" x14ac:dyDescent="0.25">
      <c r="A537" t="s">
        <v>265</v>
      </c>
      <c r="B537" t="s">
        <v>330</v>
      </c>
      <c r="C537">
        <f t="shared" si="27"/>
        <v>2024</v>
      </c>
      <c r="D537">
        <f t="shared" si="28"/>
        <v>3</v>
      </c>
      <c r="E537" t="str">
        <f t="shared" si="29"/>
        <v>2024-3</v>
      </c>
      <c r="H537" t="s">
        <v>232</v>
      </c>
      <c r="I537" t="s">
        <v>501</v>
      </c>
    </row>
    <row r="538" spans="1:9" x14ac:dyDescent="0.25">
      <c r="A538" t="s">
        <v>227</v>
      </c>
      <c r="B538" t="s">
        <v>330</v>
      </c>
      <c r="C538">
        <f t="shared" si="27"/>
        <v>2024</v>
      </c>
      <c r="D538">
        <f t="shared" si="28"/>
        <v>3</v>
      </c>
      <c r="E538" t="str">
        <f t="shared" si="29"/>
        <v>2024-3</v>
      </c>
      <c r="H538" t="s">
        <v>146</v>
      </c>
      <c r="I538" t="s">
        <v>496</v>
      </c>
    </row>
    <row r="539" spans="1:9" x14ac:dyDescent="0.25">
      <c r="A539" t="s">
        <v>53</v>
      </c>
      <c r="B539" t="s">
        <v>330</v>
      </c>
      <c r="C539">
        <f t="shared" si="27"/>
        <v>2024</v>
      </c>
      <c r="D539">
        <f t="shared" si="28"/>
        <v>3</v>
      </c>
      <c r="E539" t="str">
        <f t="shared" si="29"/>
        <v>2024-3</v>
      </c>
      <c r="H539" t="s">
        <v>146</v>
      </c>
      <c r="I539" t="s">
        <v>499</v>
      </c>
    </row>
    <row r="540" spans="1:9" x14ac:dyDescent="0.25">
      <c r="A540" t="s">
        <v>32</v>
      </c>
      <c r="B540" t="s">
        <v>330</v>
      </c>
      <c r="C540">
        <f t="shared" si="27"/>
        <v>2024</v>
      </c>
      <c r="D540">
        <f t="shared" si="28"/>
        <v>3</v>
      </c>
      <c r="E540" t="str">
        <f t="shared" si="29"/>
        <v>2024-3</v>
      </c>
      <c r="H540" t="s">
        <v>146</v>
      </c>
      <c r="I540" t="s">
        <v>502</v>
      </c>
    </row>
    <row r="541" spans="1:9" x14ac:dyDescent="0.25">
      <c r="A541" t="s">
        <v>176</v>
      </c>
      <c r="B541" t="s">
        <v>330</v>
      </c>
      <c r="C541">
        <f t="shared" si="27"/>
        <v>2024</v>
      </c>
      <c r="D541">
        <f t="shared" si="28"/>
        <v>3</v>
      </c>
      <c r="E541" t="str">
        <f t="shared" si="29"/>
        <v>2024-3</v>
      </c>
      <c r="H541" t="s">
        <v>146</v>
      </c>
      <c r="I541" t="s">
        <v>504</v>
      </c>
    </row>
    <row r="542" spans="1:9" x14ac:dyDescent="0.25">
      <c r="A542" t="s">
        <v>144</v>
      </c>
      <c r="B542" t="s">
        <v>330</v>
      </c>
      <c r="C542">
        <f t="shared" si="27"/>
        <v>2024</v>
      </c>
      <c r="D542">
        <f t="shared" si="28"/>
        <v>3</v>
      </c>
      <c r="E542" t="str">
        <f t="shared" si="29"/>
        <v>2024-3</v>
      </c>
      <c r="H542" t="s">
        <v>146</v>
      </c>
      <c r="I542" t="s">
        <v>505</v>
      </c>
    </row>
    <row r="543" spans="1:9" x14ac:dyDescent="0.25">
      <c r="A543" t="s">
        <v>332</v>
      </c>
      <c r="B543" t="s">
        <v>333</v>
      </c>
      <c r="C543">
        <f t="shared" si="27"/>
        <v>2024</v>
      </c>
      <c r="D543">
        <f t="shared" si="28"/>
        <v>3</v>
      </c>
      <c r="E543" t="str">
        <f t="shared" si="29"/>
        <v>2024-3</v>
      </c>
      <c r="H543" t="s">
        <v>146</v>
      </c>
      <c r="I543" t="s">
        <v>506</v>
      </c>
    </row>
    <row r="544" spans="1:9" x14ac:dyDescent="0.25">
      <c r="A544" t="s">
        <v>229</v>
      </c>
      <c r="B544" t="s">
        <v>334</v>
      </c>
      <c r="C544">
        <f t="shared" si="27"/>
        <v>2024</v>
      </c>
      <c r="D544">
        <f t="shared" si="28"/>
        <v>3</v>
      </c>
      <c r="E544" t="str">
        <f t="shared" si="29"/>
        <v>2024-3</v>
      </c>
      <c r="H544" t="s">
        <v>68</v>
      </c>
      <c r="I544" t="s">
        <v>495</v>
      </c>
    </row>
    <row r="545" spans="1:9" x14ac:dyDescent="0.25">
      <c r="A545" t="s">
        <v>177</v>
      </c>
      <c r="B545" t="s">
        <v>335</v>
      </c>
      <c r="C545">
        <f t="shared" si="27"/>
        <v>2024</v>
      </c>
      <c r="D545">
        <f t="shared" si="28"/>
        <v>3</v>
      </c>
      <c r="E545" t="str">
        <f t="shared" si="29"/>
        <v>2024-3</v>
      </c>
      <c r="H545" t="s">
        <v>68</v>
      </c>
      <c r="I545" t="s">
        <v>496</v>
      </c>
    </row>
    <row r="546" spans="1:9" x14ac:dyDescent="0.25">
      <c r="A546" t="s">
        <v>117</v>
      </c>
      <c r="B546" t="s">
        <v>335</v>
      </c>
      <c r="C546">
        <f t="shared" si="27"/>
        <v>2024</v>
      </c>
      <c r="D546">
        <f t="shared" si="28"/>
        <v>3</v>
      </c>
      <c r="E546" t="str">
        <f t="shared" si="29"/>
        <v>2024-3</v>
      </c>
      <c r="H546" t="s">
        <v>68</v>
      </c>
      <c r="I546" t="s">
        <v>497</v>
      </c>
    </row>
    <row r="547" spans="1:9" x14ac:dyDescent="0.25">
      <c r="A547" t="s">
        <v>57</v>
      </c>
      <c r="B547" t="s">
        <v>336</v>
      </c>
      <c r="C547">
        <f t="shared" si="27"/>
        <v>2024</v>
      </c>
      <c r="D547">
        <f t="shared" si="28"/>
        <v>3</v>
      </c>
      <c r="E547" t="str">
        <f t="shared" si="29"/>
        <v>2024-3</v>
      </c>
      <c r="H547" t="s">
        <v>68</v>
      </c>
      <c r="I547" t="s">
        <v>498</v>
      </c>
    </row>
    <row r="548" spans="1:9" x14ac:dyDescent="0.25">
      <c r="A548" t="s">
        <v>152</v>
      </c>
      <c r="B548" t="s">
        <v>336</v>
      </c>
      <c r="C548">
        <f t="shared" si="27"/>
        <v>2024</v>
      </c>
      <c r="D548">
        <f t="shared" si="28"/>
        <v>3</v>
      </c>
      <c r="E548" t="str">
        <f t="shared" si="29"/>
        <v>2024-3</v>
      </c>
      <c r="H548" t="s">
        <v>68</v>
      </c>
      <c r="I548" t="s">
        <v>500</v>
      </c>
    </row>
    <row r="549" spans="1:9" x14ac:dyDescent="0.25">
      <c r="A549" t="s">
        <v>33</v>
      </c>
      <c r="B549" t="s">
        <v>337</v>
      </c>
      <c r="C549">
        <f t="shared" si="27"/>
        <v>2024</v>
      </c>
      <c r="D549">
        <f t="shared" si="28"/>
        <v>3</v>
      </c>
      <c r="E549" t="str">
        <f t="shared" si="29"/>
        <v>2024-3</v>
      </c>
      <c r="H549" t="s">
        <v>68</v>
      </c>
      <c r="I549" t="s">
        <v>502</v>
      </c>
    </row>
    <row r="550" spans="1:9" x14ac:dyDescent="0.25">
      <c r="A550" t="s">
        <v>338</v>
      </c>
      <c r="B550" t="s">
        <v>337</v>
      </c>
      <c r="C550">
        <f t="shared" si="27"/>
        <v>2024</v>
      </c>
      <c r="D550">
        <f t="shared" si="28"/>
        <v>3</v>
      </c>
      <c r="E550" t="str">
        <f t="shared" si="29"/>
        <v>2024-3</v>
      </c>
      <c r="H550" t="s">
        <v>68</v>
      </c>
      <c r="I550" t="s">
        <v>503</v>
      </c>
    </row>
    <row r="551" spans="1:9" x14ac:dyDescent="0.25">
      <c r="A551" t="s">
        <v>243</v>
      </c>
      <c r="B551" t="s">
        <v>337</v>
      </c>
      <c r="C551">
        <f t="shared" si="27"/>
        <v>2024</v>
      </c>
      <c r="D551">
        <f t="shared" si="28"/>
        <v>3</v>
      </c>
      <c r="E551" t="str">
        <f t="shared" si="29"/>
        <v>2024-3</v>
      </c>
      <c r="H551" t="s">
        <v>68</v>
      </c>
      <c r="I551" t="s">
        <v>504</v>
      </c>
    </row>
    <row r="552" spans="1:9" x14ac:dyDescent="0.25">
      <c r="A552" t="s">
        <v>206</v>
      </c>
      <c r="B552" t="s">
        <v>339</v>
      </c>
      <c r="C552">
        <f t="shared" si="27"/>
        <v>2024</v>
      </c>
      <c r="D552">
        <f t="shared" si="28"/>
        <v>3</v>
      </c>
      <c r="E552" t="str">
        <f t="shared" si="29"/>
        <v>2024-3</v>
      </c>
      <c r="H552" t="s">
        <v>68</v>
      </c>
      <c r="I552" t="s">
        <v>506</v>
      </c>
    </row>
    <row r="553" spans="1:9" x14ac:dyDescent="0.25">
      <c r="A553" t="s">
        <v>224</v>
      </c>
      <c r="B553" t="s">
        <v>339</v>
      </c>
      <c r="C553">
        <f t="shared" si="27"/>
        <v>2024</v>
      </c>
      <c r="D553">
        <f t="shared" si="28"/>
        <v>3</v>
      </c>
      <c r="E553" t="str">
        <f t="shared" si="29"/>
        <v>2024-3</v>
      </c>
      <c r="H553" t="s">
        <v>217</v>
      </c>
      <c r="I553" t="s">
        <v>498</v>
      </c>
    </row>
    <row r="554" spans="1:9" x14ac:dyDescent="0.25">
      <c r="A554" t="s">
        <v>37</v>
      </c>
      <c r="B554" t="s">
        <v>339</v>
      </c>
      <c r="C554">
        <f t="shared" si="27"/>
        <v>2024</v>
      </c>
      <c r="D554">
        <f t="shared" si="28"/>
        <v>3</v>
      </c>
      <c r="E554" t="str">
        <f t="shared" si="29"/>
        <v>2024-3</v>
      </c>
      <c r="H554" t="s">
        <v>217</v>
      </c>
      <c r="I554" t="s">
        <v>499</v>
      </c>
    </row>
    <row r="555" spans="1:9" x14ac:dyDescent="0.25">
      <c r="A555" t="s">
        <v>116</v>
      </c>
      <c r="B555" t="s">
        <v>340</v>
      </c>
      <c r="C555">
        <f t="shared" si="27"/>
        <v>2024</v>
      </c>
      <c r="D555">
        <f t="shared" si="28"/>
        <v>3</v>
      </c>
      <c r="E555" t="str">
        <f t="shared" si="29"/>
        <v>2024-3</v>
      </c>
      <c r="H555" t="s">
        <v>217</v>
      </c>
      <c r="I555" t="s">
        <v>500</v>
      </c>
    </row>
    <row r="556" spans="1:9" x14ac:dyDescent="0.25">
      <c r="A556" t="s">
        <v>74</v>
      </c>
      <c r="B556" t="s">
        <v>340</v>
      </c>
      <c r="C556">
        <f t="shared" si="27"/>
        <v>2024</v>
      </c>
      <c r="D556">
        <f t="shared" si="28"/>
        <v>3</v>
      </c>
      <c r="E556" t="str">
        <f t="shared" si="29"/>
        <v>2024-3</v>
      </c>
      <c r="H556" t="s">
        <v>217</v>
      </c>
      <c r="I556" t="s">
        <v>501</v>
      </c>
    </row>
    <row r="557" spans="1:9" x14ac:dyDescent="0.25">
      <c r="A557" t="s">
        <v>32</v>
      </c>
      <c r="B557" t="s">
        <v>341</v>
      </c>
      <c r="C557">
        <f t="shared" si="27"/>
        <v>2024</v>
      </c>
      <c r="D557">
        <f t="shared" si="28"/>
        <v>3</v>
      </c>
      <c r="E557" t="str">
        <f t="shared" si="29"/>
        <v>2024-3</v>
      </c>
      <c r="H557" t="s">
        <v>217</v>
      </c>
      <c r="I557" t="s">
        <v>507</v>
      </c>
    </row>
    <row r="558" spans="1:9" x14ac:dyDescent="0.25">
      <c r="A558" t="s">
        <v>90</v>
      </c>
      <c r="B558" t="s">
        <v>341</v>
      </c>
      <c r="C558">
        <f t="shared" si="27"/>
        <v>2024</v>
      </c>
      <c r="D558">
        <f t="shared" si="28"/>
        <v>3</v>
      </c>
      <c r="E558" t="str">
        <f t="shared" si="29"/>
        <v>2024-3</v>
      </c>
      <c r="H558" t="s">
        <v>35</v>
      </c>
      <c r="I558" t="s">
        <v>495</v>
      </c>
    </row>
    <row r="559" spans="1:9" x14ac:dyDescent="0.25">
      <c r="A559" t="s">
        <v>215</v>
      </c>
      <c r="B559" t="s">
        <v>342</v>
      </c>
      <c r="C559">
        <f t="shared" si="27"/>
        <v>2024</v>
      </c>
      <c r="D559">
        <f t="shared" si="28"/>
        <v>3</v>
      </c>
      <c r="E559" t="str">
        <f t="shared" si="29"/>
        <v>2024-3</v>
      </c>
      <c r="H559" t="s">
        <v>35</v>
      </c>
      <c r="I559" t="s">
        <v>496</v>
      </c>
    </row>
    <row r="560" spans="1:9" x14ac:dyDescent="0.25">
      <c r="A560" t="s">
        <v>129</v>
      </c>
      <c r="B560" t="s">
        <v>342</v>
      </c>
      <c r="C560">
        <f t="shared" si="27"/>
        <v>2024</v>
      </c>
      <c r="D560">
        <f t="shared" si="28"/>
        <v>3</v>
      </c>
      <c r="E560" t="str">
        <f t="shared" si="29"/>
        <v>2024-3</v>
      </c>
      <c r="H560" t="s">
        <v>35</v>
      </c>
      <c r="I560" t="s">
        <v>497</v>
      </c>
    </row>
    <row r="561" spans="1:9" x14ac:dyDescent="0.25">
      <c r="A561" t="s">
        <v>227</v>
      </c>
      <c r="B561" t="s">
        <v>343</v>
      </c>
      <c r="C561">
        <f t="shared" si="27"/>
        <v>2024</v>
      </c>
      <c r="D561">
        <f t="shared" si="28"/>
        <v>4</v>
      </c>
      <c r="E561" t="str">
        <f t="shared" si="29"/>
        <v>2024-4</v>
      </c>
      <c r="H561" t="s">
        <v>35</v>
      </c>
      <c r="I561" t="s">
        <v>499</v>
      </c>
    </row>
    <row r="562" spans="1:9" x14ac:dyDescent="0.25">
      <c r="A562" t="s">
        <v>125</v>
      </c>
      <c r="B562" t="s">
        <v>343</v>
      </c>
      <c r="C562">
        <f t="shared" si="27"/>
        <v>2024</v>
      </c>
      <c r="D562">
        <f t="shared" si="28"/>
        <v>4</v>
      </c>
      <c r="E562" t="str">
        <f t="shared" si="29"/>
        <v>2024-4</v>
      </c>
      <c r="H562" t="s">
        <v>35</v>
      </c>
      <c r="I562" t="s">
        <v>500</v>
      </c>
    </row>
    <row r="563" spans="1:9" x14ac:dyDescent="0.25">
      <c r="A563" t="s">
        <v>96</v>
      </c>
      <c r="B563" t="s">
        <v>343</v>
      </c>
      <c r="C563">
        <f t="shared" si="27"/>
        <v>2024</v>
      </c>
      <c r="D563">
        <f t="shared" si="28"/>
        <v>4</v>
      </c>
      <c r="E563" t="str">
        <f t="shared" si="29"/>
        <v>2024-4</v>
      </c>
      <c r="H563" t="s">
        <v>35</v>
      </c>
      <c r="I563" t="s">
        <v>501</v>
      </c>
    </row>
    <row r="564" spans="1:9" x14ac:dyDescent="0.25">
      <c r="A564" t="s">
        <v>77</v>
      </c>
      <c r="B564" t="s">
        <v>343</v>
      </c>
      <c r="C564">
        <f t="shared" si="27"/>
        <v>2024</v>
      </c>
      <c r="D564">
        <f t="shared" si="28"/>
        <v>4</v>
      </c>
      <c r="E564" t="str">
        <f t="shared" si="29"/>
        <v>2024-4</v>
      </c>
      <c r="H564" t="s">
        <v>35</v>
      </c>
      <c r="I564" t="s">
        <v>505</v>
      </c>
    </row>
    <row r="565" spans="1:9" x14ac:dyDescent="0.25">
      <c r="A565" t="s">
        <v>42</v>
      </c>
      <c r="B565" t="s">
        <v>343</v>
      </c>
      <c r="C565">
        <f t="shared" si="27"/>
        <v>2024</v>
      </c>
      <c r="D565">
        <f t="shared" si="28"/>
        <v>4</v>
      </c>
      <c r="E565" t="str">
        <f t="shared" si="29"/>
        <v>2024-4</v>
      </c>
      <c r="H565" t="s">
        <v>35</v>
      </c>
      <c r="I565" t="s">
        <v>506</v>
      </c>
    </row>
    <row r="566" spans="1:9" x14ac:dyDescent="0.25">
      <c r="A566" t="s">
        <v>24</v>
      </c>
      <c r="B566" t="s">
        <v>343</v>
      </c>
      <c r="C566">
        <f t="shared" si="27"/>
        <v>2024</v>
      </c>
      <c r="D566">
        <f t="shared" si="28"/>
        <v>4</v>
      </c>
      <c r="E566" t="str">
        <f t="shared" si="29"/>
        <v>2024-4</v>
      </c>
      <c r="H566" t="s">
        <v>298</v>
      </c>
      <c r="I566" t="s">
        <v>500</v>
      </c>
    </row>
    <row r="567" spans="1:9" x14ac:dyDescent="0.25">
      <c r="A567" t="s">
        <v>187</v>
      </c>
      <c r="B567" t="s">
        <v>343</v>
      </c>
      <c r="C567">
        <f t="shared" si="27"/>
        <v>2024</v>
      </c>
      <c r="D567">
        <f t="shared" si="28"/>
        <v>4</v>
      </c>
      <c r="E567" t="str">
        <f t="shared" si="29"/>
        <v>2024-4</v>
      </c>
      <c r="H567" t="s">
        <v>298</v>
      </c>
      <c r="I567" t="s">
        <v>503</v>
      </c>
    </row>
    <row r="568" spans="1:9" x14ac:dyDescent="0.25">
      <c r="A568" t="s">
        <v>46</v>
      </c>
      <c r="B568" t="s">
        <v>343</v>
      </c>
      <c r="C568">
        <f t="shared" si="27"/>
        <v>2024</v>
      </c>
      <c r="D568">
        <f t="shared" si="28"/>
        <v>4</v>
      </c>
      <c r="E568" t="str">
        <f t="shared" si="29"/>
        <v>2024-4</v>
      </c>
      <c r="H568" t="s">
        <v>298</v>
      </c>
      <c r="I568" t="s">
        <v>504</v>
      </c>
    </row>
    <row r="569" spans="1:9" x14ac:dyDescent="0.25">
      <c r="A569" t="s">
        <v>156</v>
      </c>
      <c r="B569" t="s">
        <v>343</v>
      </c>
      <c r="C569">
        <f t="shared" si="27"/>
        <v>2024</v>
      </c>
      <c r="D569">
        <f t="shared" si="28"/>
        <v>4</v>
      </c>
      <c r="E569" t="str">
        <f t="shared" si="29"/>
        <v>2024-4</v>
      </c>
      <c r="H569" t="s">
        <v>215</v>
      </c>
      <c r="I569" t="s">
        <v>497</v>
      </c>
    </row>
    <row r="570" spans="1:9" x14ac:dyDescent="0.25">
      <c r="A570" t="s">
        <v>344</v>
      </c>
      <c r="B570" t="s">
        <v>345</v>
      </c>
      <c r="C570">
        <f t="shared" si="27"/>
        <v>2024</v>
      </c>
      <c r="D570">
        <f t="shared" si="28"/>
        <v>4</v>
      </c>
      <c r="E570" t="str">
        <f t="shared" si="29"/>
        <v>2024-4</v>
      </c>
      <c r="H570" t="s">
        <v>215</v>
      </c>
      <c r="I570" t="s">
        <v>499</v>
      </c>
    </row>
    <row r="571" spans="1:9" x14ac:dyDescent="0.25">
      <c r="A571" t="s">
        <v>296</v>
      </c>
      <c r="B571" t="s">
        <v>345</v>
      </c>
      <c r="C571">
        <f t="shared" si="27"/>
        <v>2024</v>
      </c>
      <c r="D571">
        <f t="shared" si="28"/>
        <v>4</v>
      </c>
      <c r="E571" t="str">
        <f t="shared" si="29"/>
        <v>2024-4</v>
      </c>
      <c r="H571" t="s">
        <v>215</v>
      </c>
      <c r="I571" t="s">
        <v>501</v>
      </c>
    </row>
    <row r="572" spans="1:9" x14ac:dyDescent="0.25">
      <c r="A572" t="s">
        <v>346</v>
      </c>
      <c r="B572" t="s">
        <v>345</v>
      </c>
      <c r="C572">
        <f t="shared" si="27"/>
        <v>2024</v>
      </c>
      <c r="D572">
        <f t="shared" si="28"/>
        <v>4</v>
      </c>
      <c r="E572" t="str">
        <f t="shared" si="29"/>
        <v>2024-4</v>
      </c>
      <c r="H572" t="s">
        <v>215</v>
      </c>
      <c r="I572" t="s">
        <v>502</v>
      </c>
    </row>
    <row r="573" spans="1:9" x14ac:dyDescent="0.25">
      <c r="A573" t="s">
        <v>110</v>
      </c>
      <c r="B573" t="s">
        <v>347</v>
      </c>
      <c r="C573">
        <f t="shared" si="27"/>
        <v>2024</v>
      </c>
      <c r="D573">
        <f t="shared" si="28"/>
        <v>4</v>
      </c>
      <c r="E573" t="str">
        <f t="shared" si="29"/>
        <v>2024-4</v>
      </c>
      <c r="H573" t="s">
        <v>215</v>
      </c>
      <c r="I573" t="s">
        <v>504</v>
      </c>
    </row>
    <row r="574" spans="1:9" x14ac:dyDescent="0.25">
      <c r="A574" t="s">
        <v>167</v>
      </c>
      <c r="B574" t="s">
        <v>347</v>
      </c>
      <c r="C574">
        <f t="shared" si="27"/>
        <v>2024</v>
      </c>
      <c r="D574">
        <f t="shared" si="28"/>
        <v>4</v>
      </c>
      <c r="E574" t="str">
        <f t="shared" si="29"/>
        <v>2024-4</v>
      </c>
      <c r="H574" t="s">
        <v>215</v>
      </c>
      <c r="I574" t="s">
        <v>506</v>
      </c>
    </row>
    <row r="575" spans="1:9" x14ac:dyDescent="0.25">
      <c r="A575" t="s">
        <v>68</v>
      </c>
      <c r="B575" t="s">
        <v>347</v>
      </c>
      <c r="C575">
        <f t="shared" si="27"/>
        <v>2024</v>
      </c>
      <c r="D575">
        <f t="shared" si="28"/>
        <v>4</v>
      </c>
      <c r="E575" t="str">
        <f t="shared" si="29"/>
        <v>2024-4</v>
      </c>
      <c r="H575" t="s">
        <v>105</v>
      </c>
      <c r="I575" t="s">
        <v>496</v>
      </c>
    </row>
    <row r="576" spans="1:9" x14ac:dyDescent="0.25">
      <c r="A576" t="s">
        <v>28</v>
      </c>
      <c r="B576" t="s">
        <v>348</v>
      </c>
      <c r="C576">
        <f t="shared" si="27"/>
        <v>2024</v>
      </c>
      <c r="D576">
        <f t="shared" si="28"/>
        <v>4</v>
      </c>
      <c r="E576" t="str">
        <f t="shared" si="29"/>
        <v>2024-4</v>
      </c>
      <c r="H576" t="s">
        <v>105</v>
      </c>
      <c r="I576" t="s">
        <v>497</v>
      </c>
    </row>
    <row r="577" spans="1:9" x14ac:dyDescent="0.25">
      <c r="A577" t="s">
        <v>247</v>
      </c>
      <c r="B577" t="s">
        <v>348</v>
      </c>
      <c r="C577">
        <f t="shared" si="27"/>
        <v>2024</v>
      </c>
      <c r="D577">
        <f t="shared" si="28"/>
        <v>4</v>
      </c>
      <c r="E577" t="str">
        <f t="shared" si="29"/>
        <v>2024-4</v>
      </c>
      <c r="H577" t="s">
        <v>105</v>
      </c>
      <c r="I577" t="s">
        <v>503</v>
      </c>
    </row>
    <row r="578" spans="1:9" x14ac:dyDescent="0.25">
      <c r="A578" t="s">
        <v>75</v>
      </c>
      <c r="B578" t="s">
        <v>349</v>
      </c>
      <c r="C578">
        <f t="shared" si="27"/>
        <v>2024</v>
      </c>
      <c r="D578">
        <f t="shared" si="28"/>
        <v>4</v>
      </c>
      <c r="E578" t="str">
        <f t="shared" si="29"/>
        <v>2024-4</v>
      </c>
      <c r="H578" t="s">
        <v>105</v>
      </c>
      <c r="I578" t="s">
        <v>505</v>
      </c>
    </row>
    <row r="579" spans="1:9" x14ac:dyDescent="0.25">
      <c r="A579" t="s">
        <v>186</v>
      </c>
      <c r="B579" t="s">
        <v>349</v>
      </c>
      <c r="C579">
        <f t="shared" ref="C579:C642" si="30">YEAR(B579)</f>
        <v>2024</v>
      </c>
      <c r="D579">
        <f t="shared" ref="D579:D642" si="31">MONTH(B579)</f>
        <v>4</v>
      </c>
      <c r="E579" t="str">
        <f t="shared" ref="E579:E642" si="32">C579&amp;"-"&amp;D579</f>
        <v>2024-4</v>
      </c>
      <c r="H579" t="s">
        <v>84</v>
      </c>
      <c r="I579" t="s">
        <v>495</v>
      </c>
    </row>
    <row r="580" spans="1:9" x14ac:dyDescent="0.25">
      <c r="A580" t="s">
        <v>66</v>
      </c>
      <c r="B580" t="s">
        <v>350</v>
      </c>
      <c r="C580">
        <f t="shared" si="30"/>
        <v>2024</v>
      </c>
      <c r="D580">
        <f t="shared" si="31"/>
        <v>4</v>
      </c>
      <c r="E580" t="str">
        <f t="shared" si="32"/>
        <v>2024-4</v>
      </c>
      <c r="H580" t="s">
        <v>84</v>
      </c>
      <c r="I580" t="s">
        <v>500</v>
      </c>
    </row>
    <row r="581" spans="1:9" x14ac:dyDescent="0.25">
      <c r="A581" t="s">
        <v>158</v>
      </c>
      <c r="B581" t="s">
        <v>350</v>
      </c>
      <c r="C581">
        <f t="shared" si="30"/>
        <v>2024</v>
      </c>
      <c r="D581">
        <f t="shared" si="31"/>
        <v>4</v>
      </c>
      <c r="E581" t="str">
        <f t="shared" si="32"/>
        <v>2024-4</v>
      </c>
      <c r="H581" t="s">
        <v>84</v>
      </c>
      <c r="I581" t="s">
        <v>501</v>
      </c>
    </row>
    <row r="582" spans="1:9" x14ac:dyDescent="0.25">
      <c r="A582" t="s">
        <v>201</v>
      </c>
      <c r="B582" t="s">
        <v>350</v>
      </c>
      <c r="C582">
        <f t="shared" si="30"/>
        <v>2024</v>
      </c>
      <c r="D582">
        <f t="shared" si="31"/>
        <v>4</v>
      </c>
      <c r="E582" t="str">
        <f t="shared" si="32"/>
        <v>2024-4</v>
      </c>
      <c r="H582" t="s">
        <v>84</v>
      </c>
      <c r="I582" t="s">
        <v>504</v>
      </c>
    </row>
    <row r="583" spans="1:9" x14ac:dyDescent="0.25">
      <c r="A583" t="s">
        <v>111</v>
      </c>
      <c r="B583" t="s">
        <v>350</v>
      </c>
      <c r="C583">
        <f t="shared" si="30"/>
        <v>2024</v>
      </c>
      <c r="D583">
        <f t="shared" si="31"/>
        <v>4</v>
      </c>
      <c r="E583" t="str">
        <f t="shared" si="32"/>
        <v>2024-4</v>
      </c>
      <c r="H583" t="s">
        <v>84</v>
      </c>
      <c r="I583" t="s">
        <v>506</v>
      </c>
    </row>
    <row r="584" spans="1:9" x14ac:dyDescent="0.25">
      <c r="A584" t="s">
        <v>99</v>
      </c>
      <c r="B584" t="s">
        <v>350</v>
      </c>
      <c r="C584">
        <f t="shared" si="30"/>
        <v>2024</v>
      </c>
      <c r="D584">
        <f t="shared" si="31"/>
        <v>4</v>
      </c>
      <c r="E584" t="str">
        <f t="shared" si="32"/>
        <v>2024-4</v>
      </c>
      <c r="H584" t="s">
        <v>188</v>
      </c>
      <c r="I584" t="s">
        <v>497</v>
      </c>
    </row>
    <row r="585" spans="1:9" x14ac:dyDescent="0.25">
      <c r="A585" t="s">
        <v>248</v>
      </c>
      <c r="B585" t="s">
        <v>350</v>
      </c>
      <c r="C585">
        <f t="shared" si="30"/>
        <v>2024</v>
      </c>
      <c r="D585">
        <f t="shared" si="31"/>
        <v>4</v>
      </c>
      <c r="E585" t="str">
        <f t="shared" si="32"/>
        <v>2024-4</v>
      </c>
      <c r="H585" t="s">
        <v>188</v>
      </c>
      <c r="I585" t="s">
        <v>499</v>
      </c>
    </row>
    <row r="586" spans="1:9" x14ac:dyDescent="0.25">
      <c r="A586" t="s">
        <v>332</v>
      </c>
      <c r="B586" t="s">
        <v>351</v>
      </c>
      <c r="C586">
        <f t="shared" si="30"/>
        <v>2024</v>
      </c>
      <c r="D586">
        <f t="shared" si="31"/>
        <v>4</v>
      </c>
      <c r="E586" t="str">
        <f t="shared" si="32"/>
        <v>2024-4</v>
      </c>
      <c r="H586" t="s">
        <v>188</v>
      </c>
      <c r="I586" t="s">
        <v>500</v>
      </c>
    </row>
    <row r="587" spans="1:9" x14ac:dyDescent="0.25">
      <c r="A587" t="s">
        <v>331</v>
      </c>
      <c r="B587" t="s">
        <v>352</v>
      </c>
      <c r="C587">
        <f t="shared" si="30"/>
        <v>2024</v>
      </c>
      <c r="D587">
        <f t="shared" si="31"/>
        <v>4</v>
      </c>
      <c r="E587" t="str">
        <f t="shared" si="32"/>
        <v>2024-4</v>
      </c>
      <c r="H587" t="s">
        <v>188</v>
      </c>
      <c r="I587" t="s">
        <v>501</v>
      </c>
    </row>
    <row r="588" spans="1:9" x14ac:dyDescent="0.25">
      <c r="A588" t="s">
        <v>209</v>
      </c>
      <c r="B588" t="s">
        <v>352</v>
      </c>
      <c r="C588">
        <f t="shared" si="30"/>
        <v>2024</v>
      </c>
      <c r="D588">
        <f t="shared" si="31"/>
        <v>4</v>
      </c>
      <c r="E588" t="str">
        <f t="shared" si="32"/>
        <v>2024-4</v>
      </c>
      <c r="H588" t="s">
        <v>188</v>
      </c>
      <c r="I588" t="s">
        <v>504</v>
      </c>
    </row>
    <row r="589" spans="1:9" x14ac:dyDescent="0.25">
      <c r="A589" t="s">
        <v>167</v>
      </c>
      <c r="B589" t="s">
        <v>352</v>
      </c>
      <c r="C589">
        <f t="shared" si="30"/>
        <v>2024</v>
      </c>
      <c r="D589">
        <f t="shared" si="31"/>
        <v>4</v>
      </c>
      <c r="E589" t="str">
        <f t="shared" si="32"/>
        <v>2024-4</v>
      </c>
      <c r="H589" t="s">
        <v>169</v>
      </c>
      <c r="I589" t="s">
        <v>496</v>
      </c>
    </row>
    <row r="590" spans="1:9" x14ac:dyDescent="0.25">
      <c r="A590" t="s">
        <v>73</v>
      </c>
      <c r="B590" t="s">
        <v>353</v>
      </c>
      <c r="C590">
        <f t="shared" si="30"/>
        <v>2024</v>
      </c>
      <c r="D590">
        <f t="shared" si="31"/>
        <v>4</v>
      </c>
      <c r="E590" t="str">
        <f t="shared" si="32"/>
        <v>2024-4</v>
      </c>
      <c r="H590" t="s">
        <v>169</v>
      </c>
      <c r="I590" t="s">
        <v>503</v>
      </c>
    </row>
    <row r="591" spans="1:9" x14ac:dyDescent="0.25">
      <c r="A591" t="s">
        <v>239</v>
      </c>
      <c r="B591" t="s">
        <v>353</v>
      </c>
      <c r="C591">
        <f t="shared" si="30"/>
        <v>2024</v>
      </c>
      <c r="D591">
        <f t="shared" si="31"/>
        <v>4</v>
      </c>
      <c r="E591" t="str">
        <f t="shared" si="32"/>
        <v>2024-4</v>
      </c>
      <c r="H591" t="s">
        <v>169</v>
      </c>
      <c r="I591" t="s">
        <v>505</v>
      </c>
    </row>
    <row r="592" spans="1:9" x14ac:dyDescent="0.25">
      <c r="A592" t="s">
        <v>93</v>
      </c>
      <c r="B592" t="s">
        <v>353</v>
      </c>
      <c r="C592">
        <f t="shared" si="30"/>
        <v>2024</v>
      </c>
      <c r="D592">
        <f t="shared" si="31"/>
        <v>4</v>
      </c>
      <c r="E592" t="str">
        <f t="shared" si="32"/>
        <v>2024-4</v>
      </c>
      <c r="H592" t="s">
        <v>128</v>
      </c>
      <c r="I592" t="s">
        <v>496</v>
      </c>
    </row>
    <row r="593" spans="1:9" x14ac:dyDescent="0.25">
      <c r="A593" t="s">
        <v>121</v>
      </c>
      <c r="B593" t="s">
        <v>354</v>
      </c>
      <c r="C593">
        <f t="shared" si="30"/>
        <v>2024</v>
      </c>
      <c r="D593">
        <f t="shared" si="31"/>
        <v>4</v>
      </c>
      <c r="E593" t="str">
        <f t="shared" si="32"/>
        <v>2024-4</v>
      </c>
      <c r="H593" t="s">
        <v>128</v>
      </c>
      <c r="I593" t="s">
        <v>497</v>
      </c>
    </row>
    <row r="594" spans="1:9" x14ac:dyDescent="0.25">
      <c r="A594" t="s">
        <v>346</v>
      </c>
      <c r="B594" t="s">
        <v>354</v>
      </c>
      <c r="C594">
        <f t="shared" si="30"/>
        <v>2024</v>
      </c>
      <c r="D594">
        <f t="shared" si="31"/>
        <v>4</v>
      </c>
      <c r="E594" t="str">
        <f t="shared" si="32"/>
        <v>2024-4</v>
      </c>
      <c r="H594" t="s">
        <v>128</v>
      </c>
      <c r="I594" t="s">
        <v>500</v>
      </c>
    </row>
    <row r="595" spans="1:9" x14ac:dyDescent="0.25">
      <c r="A595" t="s">
        <v>99</v>
      </c>
      <c r="B595" t="s">
        <v>355</v>
      </c>
      <c r="C595">
        <f t="shared" si="30"/>
        <v>2024</v>
      </c>
      <c r="D595">
        <f t="shared" si="31"/>
        <v>4</v>
      </c>
      <c r="E595" t="str">
        <f t="shared" si="32"/>
        <v>2024-4</v>
      </c>
      <c r="H595" t="s">
        <v>128</v>
      </c>
      <c r="I595" t="s">
        <v>501</v>
      </c>
    </row>
    <row r="596" spans="1:9" x14ac:dyDescent="0.25">
      <c r="A596" t="s">
        <v>89</v>
      </c>
      <c r="B596" t="s">
        <v>355</v>
      </c>
      <c r="C596">
        <f t="shared" si="30"/>
        <v>2024</v>
      </c>
      <c r="D596">
        <f t="shared" si="31"/>
        <v>4</v>
      </c>
      <c r="E596" t="str">
        <f t="shared" si="32"/>
        <v>2024-4</v>
      </c>
      <c r="H596" t="s">
        <v>128</v>
      </c>
      <c r="I596" t="s">
        <v>506</v>
      </c>
    </row>
    <row r="597" spans="1:9" x14ac:dyDescent="0.25">
      <c r="A597" t="s">
        <v>22</v>
      </c>
      <c r="B597" t="s">
        <v>355</v>
      </c>
      <c r="C597">
        <f t="shared" si="30"/>
        <v>2024</v>
      </c>
      <c r="D597">
        <f t="shared" si="31"/>
        <v>4</v>
      </c>
      <c r="E597" t="str">
        <f t="shared" si="32"/>
        <v>2024-4</v>
      </c>
      <c r="H597" t="s">
        <v>196</v>
      </c>
      <c r="I597" t="s">
        <v>497</v>
      </c>
    </row>
    <row r="598" spans="1:9" x14ac:dyDescent="0.25">
      <c r="A598" t="s">
        <v>43</v>
      </c>
      <c r="B598" t="s">
        <v>355</v>
      </c>
      <c r="C598">
        <f t="shared" si="30"/>
        <v>2024</v>
      </c>
      <c r="D598">
        <f t="shared" si="31"/>
        <v>4</v>
      </c>
      <c r="E598" t="str">
        <f t="shared" si="32"/>
        <v>2024-4</v>
      </c>
      <c r="H598" t="s">
        <v>196</v>
      </c>
      <c r="I598" t="s">
        <v>498</v>
      </c>
    </row>
    <row r="599" spans="1:9" x14ac:dyDescent="0.25">
      <c r="A599" t="s">
        <v>161</v>
      </c>
      <c r="B599" t="s">
        <v>355</v>
      </c>
      <c r="C599">
        <f t="shared" si="30"/>
        <v>2024</v>
      </c>
      <c r="D599">
        <f t="shared" si="31"/>
        <v>4</v>
      </c>
      <c r="E599" t="str">
        <f t="shared" si="32"/>
        <v>2024-4</v>
      </c>
      <c r="H599" t="s">
        <v>196</v>
      </c>
      <c r="I599" t="s">
        <v>499</v>
      </c>
    </row>
    <row r="600" spans="1:9" x14ac:dyDescent="0.25">
      <c r="A600" t="s">
        <v>137</v>
      </c>
      <c r="B600" t="s">
        <v>356</v>
      </c>
      <c r="C600">
        <f t="shared" si="30"/>
        <v>2024</v>
      </c>
      <c r="D600">
        <f t="shared" si="31"/>
        <v>4</v>
      </c>
      <c r="E600" t="str">
        <f t="shared" si="32"/>
        <v>2024-4</v>
      </c>
      <c r="H600" t="s">
        <v>196</v>
      </c>
      <c r="I600" t="s">
        <v>500</v>
      </c>
    </row>
    <row r="601" spans="1:9" x14ac:dyDescent="0.25">
      <c r="A601" t="s">
        <v>22</v>
      </c>
      <c r="B601" t="s">
        <v>356</v>
      </c>
      <c r="C601">
        <f t="shared" si="30"/>
        <v>2024</v>
      </c>
      <c r="D601">
        <f t="shared" si="31"/>
        <v>4</v>
      </c>
      <c r="E601" t="str">
        <f t="shared" si="32"/>
        <v>2024-4</v>
      </c>
      <c r="H601" t="s">
        <v>196</v>
      </c>
      <c r="I601" t="s">
        <v>502</v>
      </c>
    </row>
    <row r="602" spans="1:9" x14ac:dyDescent="0.25">
      <c r="A602" t="s">
        <v>249</v>
      </c>
      <c r="B602" t="s">
        <v>356</v>
      </c>
      <c r="C602">
        <f t="shared" si="30"/>
        <v>2024</v>
      </c>
      <c r="D602">
        <f t="shared" si="31"/>
        <v>4</v>
      </c>
      <c r="E602" t="str">
        <f t="shared" si="32"/>
        <v>2024-4</v>
      </c>
      <c r="H602" t="s">
        <v>196</v>
      </c>
      <c r="I602" t="s">
        <v>503</v>
      </c>
    </row>
    <row r="603" spans="1:9" x14ac:dyDescent="0.25">
      <c r="A603" t="s">
        <v>212</v>
      </c>
      <c r="B603" t="s">
        <v>357</v>
      </c>
      <c r="C603">
        <f t="shared" si="30"/>
        <v>2024</v>
      </c>
      <c r="D603">
        <f t="shared" si="31"/>
        <v>4</v>
      </c>
      <c r="E603" t="str">
        <f t="shared" si="32"/>
        <v>2024-4</v>
      </c>
      <c r="H603" t="s">
        <v>196</v>
      </c>
      <c r="I603" t="s">
        <v>506</v>
      </c>
    </row>
    <row r="604" spans="1:9" x14ac:dyDescent="0.25">
      <c r="A604" t="s">
        <v>139</v>
      </c>
      <c r="B604" t="s">
        <v>357</v>
      </c>
      <c r="C604">
        <f t="shared" si="30"/>
        <v>2024</v>
      </c>
      <c r="D604">
        <f t="shared" si="31"/>
        <v>4</v>
      </c>
      <c r="E604" t="str">
        <f t="shared" si="32"/>
        <v>2024-4</v>
      </c>
      <c r="H604" t="s">
        <v>346</v>
      </c>
      <c r="I604" t="s">
        <v>502</v>
      </c>
    </row>
    <row r="605" spans="1:9" x14ac:dyDescent="0.25">
      <c r="A605" t="s">
        <v>70</v>
      </c>
      <c r="B605" t="s">
        <v>358</v>
      </c>
      <c r="C605">
        <f t="shared" si="30"/>
        <v>2024</v>
      </c>
      <c r="D605">
        <f t="shared" si="31"/>
        <v>4</v>
      </c>
      <c r="E605" t="str">
        <f t="shared" si="32"/>
        <v>2024-4</v>
      </c>
      <c r="H605" t="s">
        <v>346</v>
      </c>
      <c r="I605" t="s">
        <v>503</v>
      </c>
    </row>
    <row r="606" spans="1:9" x14ac:dyDescent="0.25">
      <c r="A606" t="s">
        <v>331</v>
      </c>
      <c r="B606" t="s">
        <v>358</v>
      </c>
      <c r="C606">
        <f t="shared" si="30"/>
        <v>2024</v>
      </c>
      <c r="D606">
        <f t="shared" si="31"/>
        <v>4</v>
      </c>
      <c r="E606" t="str">
        <f t="shared" si="32"/>
        <v>2024-4</v>
      </c>
      <c r="H606" t="s">
        <v>249</v>
      </c>
      <c r="I606" t="s">
        <v>498</v>
      </c>
    </row>
    <row r="607" spans="1:9" x14ac:dyDescent="0.25">
      <c r="A607" t="s">
        <v>24</v>
      </c>
      <c r="B607" t="s">
        <v>358</v>
      </c>
      <c r="C607">
        <f t="shared" si="30"/>
        <v>2024</v>
      </c>
      <c r="D607">
        <f t="shared" si="31"/>
        <v>4</v>
      </c>
      <c r="E607" t="str">
        <f t="shared" si="32"/>
        <v>2024-4</v>
      </c>
      <c r="H607" t="s">
        <v>249</v>
      </c>
      <c r="I607" t="s">
        <v>501</v>
      </c>
    </row>
    <row r="608" spans="1:9" x14ac:dyDescent="0.25">
      <c r="A608" t="s">
        <v>196</v>
      </c>
      <c r="B608" t="s">
        <v>358</v>
      </c>
      <c r="C608">
        <f t="shared" si="30"/>
        <v>2024</v>
      </c>
      <c r="D608">
        <f t="shared" si="31"/>
        <v>4</v>
      </c>
      <c r="E608" t="str">
        <f t="shared" si="32"/>
        <v>2024-4</v>
      </c>
      <c r="H608" t="s">
        <v>249</v>
      </c>
      <c r="I608" t="s">
        <v>502</v>
      </c>
    </row>
    <row r="609" spans="1:9" x14ac:dyDescent="0.25">
      <c r="A609" t="s">
        <v>50</v>
      </c>
      <c r="B609" t="s">
        <v>359</v>
      </c>
      <c r="C609">
        <f t="shared" si="30"/>
        <v>2024</v>
      </c>
      <c r="D609">
        <f t="shared" si="31"/>
        <v>4</v>
      </c>
      <c r="E609" t="str">
        <f t="shared" si="32"/>
        <v>2024-4</v>
      </c>
      <c r="H609" t="s">
        <v>249</v>
      </c>
      <c r="I609" t="s">
        <v>503</v>
      </c>
    </row>
    <row r="610" spans="1:9" x14ac:dyDescent="0.25">
      <c r="A610" t="s">
        <v>80</v>
      </c>
      <c r="B610" t="s">
        <v>359</v>
      </c>
      <c r="C610">
        <f t="shared" si="30"/>
        <v>2024</v>
      </c>
      <c r="D610">
        <f t="shared" si="31"/>
        <v>4</v>
      </c>
      <c r="E610" t="str">
        <f t="shared" si="32"/>
        <v>2024-4</v>
      </c>
      <c r="H610" t="s">
        <v>249</v>
      </c>
      <c r="I610" t="s">
        <v>504</v>
      </c>
    </row>
    <row r="611" spans="1:9" x14ac:dyDescent="0.25">
      <c r="A611" t="s">
        <v>239</v>
      </c>
      <c r="B611" t="s">
        <v>359</v>
      </c>
      <c r="C611">
        <f t="shared" si="30"/>
        <v>2024</v>
      </c>
      <c r="D611">
        <f t="shared" si="31"/>
        <v>4</v>
      </c>
      <c r="E611" t="str">
        <f t="shared" si="32"/>
        <v>2024-4</v>
      </c>
      <c r="H611" t="s">
        <v>249</v>
      </c>
      <c r="I611" t="s">
        <v>505</v>
      </c>
    </row>
    <row r="612" spans="1:9" x14ac:dyDescent="0.25">
      <c r="A612" t="s">
        <v>108</v>
      </c>
      <c r="B612" t="s">
        <v>360</v>
      </c>
      <c r="C612">
        <f t="shared" si="30"/>
        <v>2024</v>
      </c>
      <c r="D612">
        <f t="shared" si="31"/>
        <v>4</v>
      </c>
      <c r="E612" t="str">
        <f t="shared" si="32"/>
        <v>2024-4</v>
      </c>
      <c r="H612" t="s">
        <v>41</v>
      </c>
      <c r="I612" t="s">
        <v>495</v>
      </c>
    </row>
    <row r="613" spans="1:9" x14ac:dyDescent="0.25">
      <c r="A613" t="s">
        <v>287</v>
      </c>
      <c r="B613" t="s">
        <v>360</v>
      </c>
      <c r="C613">
        <f t="shared" si="30"/>
        <v>2024</v>
      </c>
      <c r="D613">
        <f t="shared" si="31"/>
        <v>4</v>
      </c>
      <c r="E613" t="str">
        <f t="shared" si="32"/>
        <v>2024-4</v>
      </c>
      <c r="H613" t="s">
        <v>41</v>
      </c>
      <c r="I613" t="s">
        <v>498</v>
      </c>
    </row>
    <row r="614" spans="1:9" x14ac:dyDescent="0.25">
      <c r="A614" t="s">
        <v>211</v>
      </c>
      <c r="B614" t="s">
        <v>360</v>
      </c>
      <c r="C614">
        <f t="shared" si="30"/>
        <v>2024</v>
      </c>
      <c r="D614">
        <f t="shared" si="31"/>
        <v>4</v>
      </c>
      <c r="E614" t="str">
        <f t="shared" si="32"/>
        <v>2024-4</v>
      </c>
      <c r="H614" t="s">
        <v>41</v>
      </c>
      <c r="I614" t="s">
        <v>500</v>
      </c>
    </row>
    <row r="615" spans="1:9" x14ac:dyDescent="0.25">
      <c r="A615" t="s">
        <v>306</v>
      </c>
      <c r="B615" t="s">
        <v>360</v>
      </c>
      <c r="C615">
        <f t="shared" si="30"/>
        <v>2024</v>
      </c>
      <c r="D615">
        <f t="shared" si="31"/>
        <v>4</v>
      </c>
      <c r="E615" t="str">
        <f t="shared" si="32"/>
        <v>2024-4</v>
      </c>
      <c r="H615" t="s">
        <v>41</v>
      </c>
      <c r="I615" t="s">
        <v>504</v>
      </c>
    </row>
    <row r="616" spans="1:9" x14ac:dyDescent="0.25">
      <c r="A616" t="s">
        <v>64</v>
      </c>
      <c r="B616" t="s">
        <v>360</v>
      </c>
      <c r="C616">
        <f t="shared" si="30"/>
        <v>2024</v>
      </c>
      <c r="D616">
        <f t="shared" si="31"/>
        <v>4</v>
      </c>
      <c r="E616" t="str">
        <f t="shared" si="32"/>
        <v>2024-4</v>
      </c>
      <c r="H616" t="s">
        <v>41</v>
      </c>
      <c r="I616" t="s">
        <v>505</v>
      </c>
    </row>
    <row r="617" spans="1:9" x14ac:dyDescent="0.25">
      <c r="A617" t="s">
        <v>81</v>
      </c>
      <c r="B617" t="s">
        <v>360</v>
      </c>
      <c r="C617">
        <f t="shared" si="30"/>
        <v>2024</v>
      </c>
      <c r="D617">
        <f t="shared" si="31"/>
        <v>4</v>
      </c>
      <c r="E617" t="str">
        <f t="shared" si="32"/>
        <v>2024-4</v>
      </c>
      <c r="H617" t="s">
        <v>41</v>
      </c>
      <c r="I617" t="s">
        <v>506</v>
      </c>
    </row>
    <row r="618" spans="1:9" x14ac:dyDescent="0.25">
      <c r="A618" t="s">
        <v>134</v>
      </c>
      <c r="B618" t="s">
        <v>360</v>
      </c>
      <c r="C618">
        <f t="shared" si="30"/>
        <v>2024</v>
      </c>
      <c r="D618">
        <f t="shared" si="31"/>
        <v>4</v>
      </c>
      <c r="E618" t="str">
        <f t="shared" si="32"/>
        <v>2024-4</v>
      </c>
      <c r="H618" t="s">
        <v>32</v>
      </c>
      <c r="I618" t="s">
        <v>495</v>
      </c>
    </row>
    <row r="619" spans="1:9" x14ac:dyDescent="0.25">
      <c r="A619" t="s">
        <v>28</v>
      </c>
      <c r="B619" t="s">
        <v>361</v>
      </c>
      <c r="C619">
        <f t="shared" si="30"/>
        <v>2024</v>
      </c>
      <c r="D619">
        <f t="shared" si="31"/>
        <v>4</v>
      </c>
      <c r="E619" t="str">
        <f t="shared" si="32"/>
        <v>2024-4</v>
      </c>
      <c r="H619" t="s">
        <v>32</v>
      </c>
      <c r="I619" t="s">
        <v>501</v>
      </c>
    </row>
    <row r="620" spans="1:9" x14ac:dyDescent="0.25">
      <c r="A620" t="s">
        <v>88</v>
      </c>
      <c r="B620" t="s">
        <v>361</v>
      </c>
      <c r="C620">
        <f t="shared" si="30"/>
        <v>2024</v>
      </c>
      <c r="D620">
        <f t="shared" si="31"/>
        <v>4</v>
      </c>
      <c r="E620" t="str">
        <f t="shared" si="32"/>
        <v>2024-4</v>
      </c>
      <c r="H620" t="s">
        <v>32</v>
      </c>
      <c r="I620" t="s">
        <v>504</v>
      </c>
    </row>
    <row r="621" spans="1:9" x14ac:dyDescent="0.25">
      <c r="A621" t="s">
        <v>307</v>
      </c>
      <c r="B621" t="s">
        <v>362</v>
      </c>
      <c r="C621">
        <f t="shared" si="30"/>
        <v>2024</v>
      </c>
      <c r="D621">
        <f t="shared" si="31"/>
        <v>4</v>
      </c>
      <c r="E621" t="str">
        <f t="shared" si="32"/>
        <v>2024-4</v>
      </c>
      <c r="H621" t="s">
        <v>32</v>
      </c>
      <c r="I621" t="s">
        <v>505</v>
      </c>
    </row>
    <row r="622" spans="1:9" x14ac:dyDescent="0.25">
      <c r="A622" t="s">
        <v>306</v>
      </c>
      <c r="B622" t="s">
        <v>362</v>
      </c>
      <c r="C622">
        <f t="shared" si="30"/>
        <v>2024</v>
      </c>
      <c r="D622">
        <f t="shared" si="31"/>
        <v>4</v>
      </c>
      <c r="E622" t="str">
        <f t="shared" si="32"/>
        <v>2024-4</v>
      </c>
      <c r="H622" t="s">
        <v>155</v>
      </c>
      <c r="I622" t="s">
        <v>496</v>
      </c>
    </row>
    <row r="623" spans="1:9" x14ac:dyDescent="0.25">
      <c r="A623" t="s">
        <v>82</v>
      </c>
      <c r="B623" t="s">
        <v>362</v>
      </c>
      <c r="C623">
        <f t="shared" si="30"/>
        <v>2024</v>
      </c>
      <c r="D623">
        <f t="shared" si="31"/>
        <v>4</v>
      </c>
      <c r="E623" t="str">
        <f t="shared" si="32"/>
        <v>2024-4</v>
      </c>
      <c r="H623" t="s">
        <v>155</v>
      </c>
      <c r="I623" t="s">
        <v>497</v>
      </c>
    </row>
    <row r="624" spans="1:9" x14ac:dyDescent="0.25">
      <c r="A624" t="s">
        <v>58</v>
      </c>
      <c r="B624" t="s">
        <v>362</v>
      </c>
      <c r="C624">
        <f t="shared" si="30"/>
        <v>2024</v>
      </c>
      <c r="D624">
        <f t="shared" si="31"/>
        <v>4</v>
      </c>
      <c r="E624" t="str">
        <f t="shared" si="32"/>
        <v>2024-4</v>
      </c>
      <c r="H624" t="s">
        <v>155</v>
      </c>
      <c r="I624" t="s">
        <v>500</v>
      </c>
    </row>
    <row r="625" spans="1:9" x14ac:dyDescent="0.25">
      <c r="A625" t="s">
        <v>113</v>
      </c>
      <c r="B625" t="s">
        <v>362</v>
      </c>
      <c r="C625">
        <f t="shared" si="30"/>
        <v>2024</v>
      </c>
      <c r="D625">
        <f t="shared" si="31"/>
        <v>4</v>
      </c>
      <c r="E625" t="str">
        <f t="shared" si="32"/>
        <v>2024-4</v>
      </c>
      <c r="H625" t="s">
        <v>155</v>
      </c>
      <c r="I625" t="s">
        <v>503</v>
      </c>
    </row>
    <row r="626" spans="1:9" x14ac:dyDescent="0.25">
      <c r="A626" t="s">
        <v>146</v>
      </c>
      <c r="B626" t="s">
        <v>362</v>
      </c>
      <c r="C626">
        <f t="shared" si="30"/>
        <v>2024</v>
      </c>
      <c r="D626">
        <f t="shared" si="31"/>
        <v>4</v>
      </c>
      <c r="E626" t="str">
        <f t="shared" si="32"/>
        <v>2024-4</v>
      </c>
      <c r="H626" t="s">
        <v>155</v>
      </c>
      <c r="I626" t="s">
        <v>505</v>
      </c>
    </row>
    <row r="627" spans="1:9" x14ac:dyDescent="0.25">
      <c r="A627" t="s">
        <v>363</v>
      </c>
      <c r="B627" t="s">
        <v>364</v>
      </c>
      <c r="C627">
        <f t="shared" si="30"/>
        <v>2024</v>
      </c>
      <c r="D627">
        <f t="shared" si="31"/>
        <v>4</v>
      </c>
      <c r="E627" t="str">
        <f t="shared" si="32"/>
        <v>2024-4</v>
      </c>
      <c r="H627" t="s">
        <v>153</v>
      </c>
      <c r="I627" t="s">
        <v>496</v>
      </c>
    </row>
    <row r="628" spans="1:9" x14ac:dyDescent="0.25">
      <c r="A628" t="s">
        <v>81</v>
      </c>
      <c r="B628" t="s">
        <v>364</v>
      </c>
      <c r="C628">
        <f t="shared" si="30"/>
        <v>2024</v>
      </c>
      <c r="D628">
        <f t="shared" si="31"/>
        <v>4</v>
      </c>
      <c r="E628" t="str">
        <f t="shared" si="32"/>
        <v>2024-4</v>
      </c>
      <c r="H628" t="s">
        <v>153</v>
      </c>
      <c r="I628" t="s">
        <v>498</v>
      </c>
    </row>
    <row r="629" spans="1:9" x14ac:dyDescent="0.25">
      <c r="A629" t="s">
        <v>180</v>
      </c>
      <c r="B629" t="s">
        <v>364</v>
      </c>
      <c r="C629">
        <f t="shared" si="30"/>
        <v>2024</v>
      </c>
      <c r="D629">
        <f t="shared" si="31"/>
        <v>4</v>
      </c>
      <c r="E629" t="str">
        <f t="shared" si="32"/>
        <v>2024-4</v>
      </c>
      <c r="H629" t="s">
        <v>153</v>
      </c>
      <c r="I629" t="s">
        <v>500</v>
      </c>
    </row>
    <row r="630" spans="1:9" x14ac:dyDescent="0.25">
      <c r="A630" t="s">
        <v>63</v>
      </c>
      <c r="B630" t="s">
        <v>365</v>
      </c>
      <c r="C630">
        <f t="shared" si="30"/>
        <v>2024</v>
      </c>
      <c r="D630">
        <f t="shared" si="31"/>
        <v>4</v>
      </c>
      <c r="E630" t="str">
        <f t="shared" si="32"/>
        <v>2024-4</v>
      </c>
      <c r="H630" t="s">
        <v>153</v>
      </c>
      <c r="I630" t="s">
        <v>504</v>
      </c>
    </row>
    <row r="631" spans="1:9" x14ac:dyDescent="0.25">
      <c r="A631" t="s">
        <v>190</v>
      </c>
      <c r="B631" t="s">
        <v>365</v>
      </c>
      <c r="C631">
        <f t="shared" si="30"/>
        <v>2024</v>
      </c>
      <c r="D631">
        <f t="shared" si="31"/>
        <v>4</v>
      </c>
      <c r="E631" t="str">
        <f t="shared" si="32"/>
        <v>2024-4</v>
      </c>
      <c r="H631" t="s">
        <v>187</v>
      </c>
      <c r="I631" t="s">
        <v>497</v>
      </c>
    </row>
    <row r="632" spans="1:9" x14ac:dyDescent="0.25">
      <c r="A632" t="s">
        <v>233</v>
      </c>
      <c r="B632" t="s">
        <v>365</v>
      </c>
      <c r="C632">
        <f t="shared" si="30"/>
        <v>2024</v>
      </c>
      <c r="D632">
        <f t="shared" si="31"/>
        <v>4</v>
      </c>
      <c r="E632" t="str">
        <f t="shared" si="32"/>
        <v>2024-4</v>
      </c>
      <c r="H632" t="s">
        <v>187</v>
      </c>
      <c r="I632" t="s">
        <v>499</v>
      </c>
    </row>
    <row r="633" spans="1:9" x14ac:dyDescent="0.25">
      <c r="A633" t="s">
        <v>279</v>
      </c>
      <c r="B633" t="s">
        <v>365</v>
      </c>
      <c r="C633">
        <f t="shared" si="30"/>
        <v>2024</v>
      </c>
      <c r="D633">
        <f t="shared" si="31"/>
        <v>4</v>
      </c>
      <c r="E633" t="str">
        <f t="shared" si="32"/>
        <v>2024-4</v>
      </c>
      <c r="H633" t="s">
        <v>187</v>
      </c>
      <c r="I633" t="s">
        <v>500</v>
      </c>
    </row>
    <row r="634" spans="1:9" x14ac:dyDescent="0.25">
      <c r="A634" t="s">
        <v>137</v>
      </c>
      <c r="B634" t="s">
        <v>365</v>
      </c>
      <c r="C634">
        <f t="shared" si="30"/>
        <v>2024</v>
      </c>
      <c r="D634">
        <f t="shared" si="31"/>
        <v>4</v>
      </c>
      <c r="E634" t="str">
        <f t="shared" si="32"/>
        <v>2024-4</v>
      </c>
      <c r="H634" t="s">
        <v>187</v>
      </c>
      <c r="I634" t="s">
        <v>502</v>
      </c>
    </row>
    <row r="635" spans="1:9" x14ac:dyDescent="0.25">
      <c r="A635" t="s">
        <v>215</v>
      </c>
      <c r="B635" t="s">
        <v>366</v>
      </c>
      <c r="C635">
        <f t="shared" si="30"/>
        <v>2024</v>
      </c>
      <c r="D635">
        <f t="shared" si="31"/>
        <v>4</v>
      </c>
      <c r="E635" t="str">
        <f t="shared" si="32"/>
        <v>2024-4</v>
      </c>
      <c r="H635" t="s">
        <v>187</v>
      </c>
      <c r="I635" t="s">
        <v>503</v>
      </c>
    </row>
    <row r="636" spans="1:9" x14ac:dyDescent="0.25">
      <c r="A636" t="s">
        <v>77</v>
      </c>
      <c r="B636" t="s">
        <v>367</v>
      </c>
      <c r="C636">
        <f t="shared" si="30"/>
        <v>2024</v>
      </c>
      <c r="D636">
        <f t="shared" si="31"/>
        <v>5</v>
      </c>
      <c r="E636" t="str">
        <f t="shared" si="32"/>
        <v>2024-5</v>
      </c>
      <c r="H636" t="s">
        <v>187</v>
      </c>
      <c r="I636" t="s">
        <v>504</v>
      </c>
    </row>
    <row r="637" spans="1:9" x14ac:dyDescent="0.25">
      <c r="A637" t="s">
        <v>70</v>
      </c>
      <c r="B637" t="s">
        <v>367</v>
      </c>
      <c r="C637">
        <f t="shared" si="30"/>
        <v>2024</v>
      </c>
      <c r="D637">
        <f t="shared" si="31"/>
        <v>5</v>
      </c>
      <c r="E637" t="str">
        <f t="shared" si="32"/>
        <v>2024-5</v>
      </c>
      <c r="H637" t="s">
        <v>187</v>
      </c>
      <c r="I637" t="s">
        <v>506</v>
      </c>
    </row>
    <row r="638" spans="1:9" x14ac:dyDescent="0.25">
      <c r="A638" t="s">
        <v>126</v>
      </c>
      <c r="B638" t="s">
        <v>368</v>
      </c>
      <c r="C638">
        <f t="shared" si="30"/>
        <v>2024</v>
      </c>
      <c r="D638">
        <f t="shared" si="31"/>
        <v>5</v>
      </c>
      <c r="E638" t="str">
        <f t="shared" si="32"/>
        <v>2024-5</v>
      </c>
      <c r="H638" t="s">
        <v>121</v>
      </c>
      <c r="I638" t="s">
        <v>496</v>
      </c>
    </row>
    <row r="639" spans="1:9" x14ac:dyDescent="0.25">
      <c r="A639" t="s">
        <v>19</v>
      </c>
      <c r="B639" t="s">
        <v>368</v>
      </c>
      <c r="C639">
        <f t="shared" si="30"/>
        <v>2024</v>
      </c>
      <c r="D639">
        <f t="shared" si="31"/>
        <v>5</v>
      </c>
      <c r="E639" t="str">
        <f t="shared" si="32"/>
        <v>2024-5</v>
      </c>
      <c r="H639" t="s">
        <v>121</v>
      </c>
      <c r="I639" t="s">
        <v>499</v>
      </c>
    </row>
    <row r="640" spans="1:9" x14ac:dyDescent="0.25">
      <c r="A640" t="s">
        <v>346</v>
      </c>
      <c r="B640" t="s">
        <v>368</v>
      </c>
      <c r="C640">
        <f t="shared" si="30"/>
        <v>2024</v>
      </c>
      <c r="D640">
        <f t="shared" si="31"/>
        <v>5</v>
      </c>
      <c r="E640" t="str">
        <f t="shared" si="32"/>
        <v>2024-5</v>
      </c>
      <c r="H640" t="s">
        <v>121</v>
      </c>
      <c r="I640" t="s">
        <v>500</v>
      </c>
    </row>
    <row r="641" spans="1:9" x14ac:dyDescent="0.25">
      <c r="A641" t="s">
        <v>344</v>
      </c>
      <c r="B641" t="s">
        <v>369</v>
      </c>
      <c r="C641">
        <f t="shared" si="30"/>
        <v>2024</v>
      </c>
      <c r="D641">
        <f t="shared" si="31"/>
        <v>5</v>
      </c>
      <c r="E641" t="str">
        <f t="shared" si="32"/>
        <v>2024-5</v>
      </c>
      <c r="H641" t="s">
        <v>121</v>
      </c>
      <c r="I641" t="s">
        <v>502</v>
      </c>
    </row>
    <row r="642" spans="1:9" x14ac:dyDescent="0.25">
      <c r="A642" t="s">
        <v>270</v>
      </c>
      <c r="B642" t="s">
        <v>369</v>
      </c>
      <c r="C642">
        <f t="shared" si="30"/>
        <v>2024</v>
      </c>
      <c r="D642">
        <f t="shared" si="31"/>
        <v>5</v>
      </c>
      <c r="E642" t="str">
        <f t="shared" si="32"/>
        <v>2024-5</v>
      </c>
      <c r="H642" t="s">
        <v>121</v>
      </c>
      <c r="I642" t="s">
        <v>503</v>
      </c>
    </row>
    <row r="643" spans="1:9" x14ac:dyDescent="0.25">
      <c r="A643" t="s">
        <v>11</v>
      </c>
      <c r="B643" t="s">
        <v>370</v>
      </c>
      <c r="C643">
        <f t="shared" ref="C643:C706" si="33">YEAR(B643)</f>
        <v>2024</v>
      </c>
      <c r="D643">
        <f t="shared" ref="D643:D706" si="34">MONTH(B643)</f>
        <v>5</v>
      </c>
      <c r="E643" t="str">
        <f t="shared" ref="E643:E706" si="35">C643&amp;"-"&amp;D643</f>
        <v>2024-5</v>
      </c>
      <c r="H643" t="s">
        <v>121</v>
      </c>
      <c r="I643" t="s">
        <v>505</v>
      </c>
    </row>
    <row r="644" spans="1:9" x14ac:dyDescent="0.25">
      <c r="A644" t="s">
        <v>167</v>
      </c>
      <c r="B644" t="s">
        <v>370</v>
      </c>
      <c r="C644">
        <f t="shared" si="33"/>
        <v>2024</v>
      </c>
      <c r="D644">
        <f t="shared" si="34"/>
        <v>5</v>
      </c>
      <c r="E644" t="str">
        <f t="shared" si="35"/>
        <v>2024-5</v>
      </c>
      <c r="H644" t="s">
        <v>329</v>
      </c>
      <c r="I644" t="s">
        <v>501</v>
      </c>
    </row>
    <row r="645" spans="1:9" x14ac:dyDescent="0.25">
      <c r="A645" t="s">
        <v>21</v>
      </c>
      <c r="B645" t="s">
        <v>370</v>
      </c>
      <c r="C645">
        <f t="shared" si="33"/>
        <v>2024</v>
      </c>
      <c r="D645">
        <f t="shared" si="34"/>
        <v>5</v>
      </c>
      <c r="E645" t="str">
        <f t="shared" si="35"/>
        <v>2024-5</v>
      </c>
      <c r="H645" t="s">
        <v>52</v>
      </c>
      <c r="I645" t="s">
        <v>495</v>
      </c>
    </row>
    <row r="646" spans="1:9" x14ac:dyDescent="0.25">
      <c r="A646" t="s">
        <v>298</v>
      </c>
      <c r="B646" t="s">
        <v>370</v>
      </c>
      <c r="C646">
        <f t="shared" si="33"/>
        <v>2024</v>
      </c>
      <c r="D646">
        <f t="shared" si="34"/>
        <v>5</v>
      </c>
      <c r="E646" t="str">
        <f t="shared" si="35"/>
        <v>2024-5</v>
      </c>
      <c r="H646" t="s">
        <v>52</v>
      </c>
      <c r="I646" t="s">
        <v>496</v>
      </c>
    </row>
    <row r="647" spans="1:9" x14ac:dyDescent="0.25">
      <c r="A647" t="s">
        <v>221</v>
      </c>
      <c r="B647" t="s">
        <v>370</v>
      </c>
      <c r="C647">
        <f t="shared" si="33"/>
        <v>2024</v>
      </c>
      <c r="D647">
        <f t="shared" si="34"/>
        <v>5</v>
      </c>
      <c r="E647" t="str">
        <f t="shared" si="35"/>
        <v>2024-5</v>
      </c>
      <c r="H647" t="s">
        <v>52</v>
      </c>
      <c r="I647" t="s">
        <v>499</v>
      </c>
    </row>
    <row r="648" spans="1:9" x14ac:dyDescent="0.25">
      <c r="A648" t="s">
        <v>267</v>
      </c>
      <c r="B648" t="s">
        <v>370</v>
      </c>
      <c r="C648">
        <f t="shared" si="33"/>
        <v>2024</v>
      </c>
      <c r="D648">
        <f t="shared" si="34"/>
        <v>5</v>
      </c>
      <c r="E648" t="str">
        <f t="shared" si="35"/>
        <v>2024-5</v>
      </c>
      <c r="H648" t="s">
        <v>106</v>
      </c>
      <c r="I648" t="s">
        <v>496</v>
      </c>
    </row>
    <row r="649" spans="1:9" x14ac:dyDescent="0.25">
      <c r="A649" t="s">
        <v>77</v>
      </c>
      <c r="B649" t="s">
        <v>370</v>
      </c>
      <c r="C649">
        <f t="shared" si="33"/>
        <v>2024</v>
      </c>
      <c r="D649">
        <f t="shared" si="34"/>
        <v>5</v>
      </c>
      <c r="E649" t="str">
        <f t="shared" si="35"/>
        <v>2024-5</v>
      </c>
      <c r="H649" t="s">
        <v>106</v>
      </c>
      <c r="I649" t="s">
        <v>500</v>
      </c>
    </row>
    <row r="650" spans="1:9" x14ac:dyDescent="0.25">
      <c r="A650" t="s">
        <v>247</v>
      </c>
      <c r="B650" t="s">
        <v>371</v>
      </c>
      <c r="C650">
        <f t="shared" si="33"/>
        <v>2024</v>
      </c>
      <c r="D650">
        <f t="shared" si="34"/>
        <v>5</v>
      </c>
      <c r="E650" t="str">
        <f t="shared" si="35"/>
        <v>2024-5</v>
      </c>
      <c r="H650" t="s">
        <v>106</v>
      </c>
      <c r="I650" t="s">
        <v>505</v>
      </c>
    </row>
    <row r="651" spans="1:9" x14ac:dyDescent="0.25">
      <c r="A651" t="s">
        <v>15</v>
      </c>
      <c r="B651" t="s">
        <v>371</v>
      </c>
      <c r="C651">
        <f t="shared" si="33"/>
        <v>2024</v>
      </c>
      <c r="D651">
        <f t="shared" si="34"/>
        <v>5</v>
      </c>
      <c r="E651" t="str">
        <f t="shared" si="35"/>
        <v>2024-5</v>
      </c>
      <c r="H651" t="s">
        <v>106</v>
      </c>
      <c r="I651" t="s">
        <v>506</v>
      </c>
    </row>
    <row r="652" spans="1:9" x14ac:dyDescent="0.25">
      <c r="A652" t="s">
        <v>39</v>
      </c>
      <c r="B652" t="s">
        <v>372</v>
      </c>
      <c r="C652">
        <f t="shared" si="33"/>
        <v>2024</v>
      </c>
      <c r="D652">
        <f t="shared" si="34"/>
        <v>5</v>
      </c>
      <c r="E652" t="str">
        <f t="shared" si="35"/>
        <v>2024-5</v>
      </c>
      <c r="H652" t="s">
        <v>85</v>
      </c>
      <c r="I652" t="s">
        <v>495</v>
      </c>
    </row>
    <row r="653" spans="1:9" x14ac:dyDescent="0.25">
      <c r="A653" t="s">
        <v>36</v>
      </c>
      <c r="B653" t="s">
        <v>372</v>
      </c>
      <c r="C653">
        <f t="shared" si="33"/>
        <v>2024</v>
      </c>
      <c r="D653">
        <f t="shared" si="34"/>
        <v>5</v>
      </c>
      <c r="E653" t="str">
        <f t="shared" si="35"/>
        <v>2024-5</v>
      </c>
      <c r="H653" t="s">
        <v>85</v>
      </c>
      <c r="I653" t="s">
        <v>496</v>
      </c>
    </row>
    <row r="654" spans="1:9" x14ac:dyDescent="0.25">
      <c r="A654" t="s">
        <v>287</v>
      </c>
      <c r="B654" t="s">
        <v>373</v>
      </c>
      <c r="C654">
        <f t="shared" si="33"/>
        <v>2024</v>
      </c>
      <c r="D654">
        <f t="shared" si="34"/>
        <v>5</v>
      </c>
      <c r="E654" t="str">
        <f t="shared" si="35"/>
        <v>2024-5</v>
      </c>
      <c r="H654" t="s">
        <v>85</v>
      </c>
      <c r="I654" t="s">
        <v>504</v>
      </c>
    </row>
    <row r="655" spans="1:9" x14ac:dyDescent="0.25">
      <c r="A655" t="s">
        <v>264</v>
      </c>
      <c r="B655" t="s">
        <v>373</v>
      </c>
      <c r="C655">
        <f t="shared" si="33"/>
        <v>2024</v>
      </c>
      <c r="D655">
        <f t="shared" si="34"/>
        <v>5</v>
      </c>
      <c r="E655" t="str">
        <f t="shared" si="35"/>
        <v>2024-5</v>
      </c>
      <c r="H655" t="s">
        <v>295</v>
      </c>
      <c r="I655" t="s">
        <v>500</v>
      </c>
    </row>
    <row r="656" spans="1:9" x14ac:dyDescent="0.25">
      <c r="A656" t="s">
        <v>114</v>
      </c>
      <c r="B656" t="s">
        <v>374</v>
      </c>
      <c r="C656">
        <f t="shared" si="33"/>
        <v>2024</v>
      </c>
      <c r="D656">
        <f t="shared" si="34"/>
        <v>5</v>
      </c>
      <c r="E656" t="str">
        <f t="shared" si="35"/>
        <v>2024-5</v>
      </c>
      <c r="H656" t="s">
        <v>295</v>
      </c>
      <c r="I656" t="s">
        <v>506</v>
      </c>
    </row>
    <row r="657" spans="1:9" x14ac:dyDescent="0.25">
      <c r="A657" t="s">
        <v>375</v>
      </c>
      <c r="B657" t="s">
        <v>374</v>
      </c>
      <c r="C657">
        <f t="shared" si="33"/>
        <v>2024</v>
      </c>
      <c r="D657">
        <f t="shared" si="34"/>
        <v>5</v>
      </c>
      <c r="E657" t="str">
        <f t="shared" si="35"/>
        <v>2024-5</v>
      </c>
      <c r="H657" t="s">
        <v>114</v>
      </c>
      <c r="I657" t="s">
        <v>496</v>
      </c>
    </row>
    <row r="658" spans="1:9" x14ac:dyDescent="0.25">
      <c r="A658" t="s">
        <v>309</v>
      </c>
      <c r="B658" t="s">
        <v>376</v>
      </c>
      <c r="C658">
        <f t="shared" si="33"/>
        <v>2024</v>
      </c>
      <c r="D658">
        <f t="shared" si="34"/>
        <v>5</v>
      </c>
      <c r="E658" t="str">
        <f t="shared" si="35"/>
        <v>2024-5</v>
      </c>
      <c r="H658" t="s">
        <v>114</v>
      </c>
      <c r="I658" t="s">
        <v>500</v>
      </c>
    </row>
    <row r="659" spans="1:9" x14ac:dyDescent="0.25">
      <c r="A659" t="s">
        <v>124</v>
      </c>
      <c r="B659" t="s">
        <v>376</v>
      </c>
      <c r="C659">
        <f t="shared" si="33"/>
        <v>2024</v>
      </c>
      <c r="D659">
        <f t="shared" si="34"/>
        <v>5</v>
      </c>
      <c r="E659" t="str">
        <f t="shared" si="35"/>
        <v>2024-5</v>
      </c>
      <c r="H659" t="s">
        <v>114</v>
      </c>
      <c r="I659" t="s">
        <v>501</v>
      </c>
    </row>
    <row r="660" spans="1:9" x14ac:dyDescent="0.25">
      <c r="A660" t="s">
        <v>194</v>
      </c>
      <c r="B660" t="s">
        <v>376</v>
      </c>
      <c r="C660">
        <f t="shared" si="33"/>
        <v>2024</v>
      </c>
      <c r="D660">
        <f t="shared" si="34"/>
        <v>5</v>
      </c>
      <c r="E660" t="str">
        <f t="shared" si="35"/>
        <v>2024-5</v>
      </c>
      <c r="H660" t="s">
        <v>114</v>
      </c>
      <c r="I660" t="s">
        <v>503</v>
      </c>
    </row>
    <row r="661" spans="1:9" x14ac:dyDescent="0.25">
      <c r="A661" t="s">
        <v>187</v>
      </c>
      <c r="B661" t="s">
        <v>376</v>
      </c>
      <c r="C661">
        <f t="shared" si="33"/>
        <v>2024</v>
      </c>
      <c r="D661">
        <f t="shared" si="34"/>
        <v>5</v>
      </c>
      <c r="E661" t="str">
        <f t="shared" si="35"/>
        <v>2024-5</v>
      </c>
      <c r="H661" t="s">
        <v>114</v>
      </c>
      <c r="I661" t="s">
        <v>504</v>
      </c>
    </row>
    <row r="662" spans="1:9" x14ac:dyDescent="0.25">
      <c r="A662" t="s">
        <v>64</v>
      </c>
      <c r="B662" t="s">
        <v>376</v>
      </c>
      <c r="C662">
        <f t="shared" si="33"/>
        <v>2024</v>
      </c>
      <c r="D662">
        <f t="shared" si="34"/>
        <v>5</v>
      </c>
      <c r="E662" t="str">
        <f t="shared" si="35"/>
        <v>2024-5</v>
      </c>
      <c r="H662" t="s">
        <v>114</v>
      </c>
      <c r="I662" t="s">
        <v>505</v>
      </c>
    </row>
    <row r="663" spans="1:9" x14ac:dyDescent="0.25">
      <c r="A663" t="s">
        <v>300</v>
      </c>
      <c r="B663" t="s">
        <v>376</v>
      </c>
      <c r="C663">
        <f t="shared" si="33"/>
        <v>2024</v>
      </c>
      <c r="D663">
        <f t="shared" si="34"/>
        <v>5</v>
      </c>
      <c r="E663" t="str">
        <f t="shared" si="35"/>
        <v>2024-5</v>
      </c>
      <c r="H663" t="s">
        <v>114</v>
      </c>
      <c r="I663" t="s">
        <v>506</v>
      </c>
    </row>
    <row r="664" spans="1:9" x14ac:dyDescent="0.25">
      <c r="A664" t="s">
        <v>134</v>
      </c>
      <c r="B664" t="s">
        <v>376</v>
      </c>
      <c r="C664">
        <f t="shared" si="33"/>
        <v>2024</v>
      </c>
      <c r="D664">
        <f t="shared" si="34"/>
        <v>5</v>
      </c>
      <c r="E664" t="str">
        <f t="shared" si="35"/>
        <v>2024-5</v>
      </c>
      <c r="H664" t="s">
        <v>26</v>
      </c>
      <c r="I664" t="s">
        <v>495</v>
      </c>
    </row>
    <row r="665" spans="1:9" x14ac:dyDescent="0.25">
      <c r="A665" t="s">
        <v>332</v>
      </c>
      <c r="B665" t="s">
        <v>377</v>
      </c>
      <c r="C665">
        <f t="shared" si="33"/>
        <v>2024</v>
      </c>
      <c r="D665">
        <f t="shared" si="34"/>
        <v>5</v>
      </c>
      <c r="E665" t="str">
        <f t="shared" si="35"/>
        <v>2024-5</v>
      </c>
      <c r="H665" t="s">
        <v>26</v>
      </c>
      <c r="I665" t="s">
        <v>496</v>
      </c>
    </row>
    <row r="666" spans="1:9" x14ac:dyDescent="0.25">
      <c r="A666" t="s">
        <v>59</v>
      </c>
      <c r="B666" t="s">
        <v>377</v>
      </c>
      <c r="C666">
        <f t="shared" si="33"/>
        <v>2024</v>
      </c>
      <c r="D666">
        <f t="shared" si="34"/>
        <v>5</v>
      </c>
      <c r="E666" t="str">
        <f t="shared" si="35"/>
        <v>2024-5</v>
      </c>
      <c r="H666" t="s">
        <v>26</v>
      </c>
      <c r="I666" t="s">
        <v>499</v>
      </c>
    </row>
    <row r="667" spans="1:9" x14ac:dyDescent="0.25">
      <c r="A667" t="s">
        <v>137</v>
      </c>
      <c r="B667" t="s">
        <v>377</v>
      </c>
      <c r="C667">
        <f t="shared" si="33"/>
        <v>2024</v>
      </c>
      <c r="D667">
        <f t="shared" si="34"/>
        <v>5</v>
      </c>
      <c r="E667" t="str">
        <f t="shared" si="35"/>
        <v>2024-5</v>
      </c>
      <c r="H667" t="s">
        <v>26</v>
      </c>
      <c r="I667" t="s">
        <v>503</v>
      </c>
    </row>
    <row r="668" spans="1:9" x14ac:dyDescent="0.25">
      <c r="A668" t="s">
        <v>105</v>
      </c>
      <c r="B668" t="s">
        <v>378</v>
      </c>
      <c r="C668">
        <f t="shared" si="33"/>
        <v>2024</v>
      </c>
      <c r="D668">
        <f t="shared" si="34"/>
        <v>5</v>
      </c>
      <c r="E668" t="str">
        <f t="shared" si="35"/>
        <v>2024-5</v>
      </c>
      <c r="H668" t="s">
        <v>26</v>
      </c>
      <c r="I668" t="s">
        <v>504</v>
      </c>
    </row>
    <row r="669" spans="1:9" x14ac:dyDescent="0.25">
      <c r="A669" t="s">
        <v>69</v>
      </c>
      <c r="B669" t="s">
        <v>378</v>
      </c>
      <c r="C669">
        <f t="shared" si="33"/>
        <v>2024</v>
      </c>
      <c r="D669">
        <f t="shared" si="34"/>
        <v>5</v>
      </c>
      <c r="E669" t="str">
        <f t="shared" si="35"/>
        <v>2024-5</v>
      </c>
      <c r="H669" t="s">
        <v>26</v>
      </c>
      <c r="I669" t="s">
        <v>506</v>
      </c>
    </row>
    <row r="670" spans="1:9" x14ac:dyDescent="0.25">
      <c r="A670" t="s">
        <v>49</v>
      </c>
      <c r="B670" t="s">
        <v>379</v>
      </c>
      <c r="C670">
        <f t="shared" si="33"/>
        <v>2024</v>
      </c>
      <c r="D670">
        <f t="shared" si="34"/>
        <v>5</v>
      </c>
      <c r="E670" t="str">
        <f t="shared" si="35"/>
        <v>2024-5</v>
      </c>
      <c r="H670" t="s">
        <v>37</v>
      </c>
      <c r="I670" t="s">
        <v>495</v>
      </c>
    </row>
    <row r="671" spans="1:9" x14ac:dyDescent="0.25">
      <c r="A671" t="s">
        <v>313</v>
      </c>
      <c r="B671" t="s">
        <v>379</v>
      </c>
      <c r="C671">
        <f t="shared" si="33"/>
        <v>2024</v>
      </c>
      <c r="D671">
        <f t="shared" si="34"/>
        <v>5</v>
      </c>
      <c r="E671" t="str">
        <f t="shared" si="35"/>
        <v>2024-5</v>
      </c>
      <c r="H671" t="s">
        <v>37</v>
      </c>
      <c r="I671" t="s">
        <v>501</v>
      </c>
    </row>
    <row r="672" spans="1:9" x14ac:dyDescent="0.25">
      <c r="A672" t="s">
        <v>380</v>
      </c>
      <c r="B672" t="s">
        <v>379</v>
      </c>
      <c r="C672">
        <f t="shared" si="33"/>
        <v>2024</v>
      </c>
      <c r="D672">
        <f t="shared" si="34"/>
        <v>5</v>
      </c>
      <c r="E672" t="str">
        <f t="shared" si="35"/>
        <v>2024-5</v>
      </c>
      <c r="H672" t="s">
        <v>37</v>
      </c>
      <c r="I672" t="s">
        <v>504</v>
      </c>
    </row>
    <row r="673" spans="1:9" x14ac:dyDescent="0.25">
      <c r="A673" t="s">
        <v>132</v>
      </c>
      <c r="B673" t="s">
        <v>379</v>
      </c>
      <c r="C673">
        <f t="shared" si="33"/>
        <v>2024</v>
      </c>
      <c r="D673">
        <f t="shared" si="34"/>
        <v>5</v>
      </c>
      <c r="E673" t="str">
        <f t="shared" si="35"/>
        <v>2024-5</v>
      </c>
      <c r="H673" t="s">
        <v>49</v>
      </c>
      <c r="I673" t="s">
        <v>495</v>
      </c>
    </row>
    <row r="674" spans="1:9" x14ac:dyDescent="0.25">
      <c r="A674" t="s">
        <v>196</v>
      </c>
      <c r="B674" t="s">
        <v>379</v>
      </c>
      <c r="C674">
        <f t="shared" si="33"/>
        <v>2024</v>
      </c>
      <c r="D674">
        <f t="shared" si="34"/>
        <v>5</v>
      </c>
      <c r="E674" t="str">
        <f t="shared" si="35"/>
        <v>2024-5</v>
      </c>
      <c r="H674" t="s">
        <v>49</v>
      </c>
      <c r="I674" t="s">
        <v>497</v>
      </c>
    </row>
    <row r="675" spans="1:9" x14ac:dyDescent="0.25">
      <c r="A675" t="s">
        <v>105</v>
      </c>
      <c r="B675" t="s">
        <v>379</v>
      </c>
      <c r="C675">
        <f t="shared" si="33"/>
        <v>2024</v>
      </c>
      <c r="D675">
        <f t="shared" si="34"/>
        <v>5</v>
      </c>
      <c r="E675" t="str">
        <f t="shared" si="35"/>
        <v>2024-5</v>
      </c>
      <c r="H675" t="s">
        <v>49</v>
      </c>
      <c r="I675" t="s">
        <v>498</v>
      </c>
    </row>
    <row r="676" spans="1:9" x14ac:dyDescent="0.25">
      <c r="A676" t="s">
        <v>221</v>
      </c>
      <c r="B676" t="s">
        <v>379</v>
      </c>
      <c r="C676">
        <f t="shared" si="33"/>
        <v>2024</v>
      </c>
      <c r="D676">
        <f t="shared" si="34"/>
        <v>5</v>
      </c>
      <c r="E676" t="str">
        <f t="shared" si="35"/>
        <v>2024-5</v>
      </c>
      <c r="H676" t="s">
        <v>49</v>
      </c>
      <c r="I676" t="s">
        <v>499</v>
      </c>
    </row>
    <row r="677" spans="1:9" x14ac:dyDescent="0.25">
      <c r="A677" t="s">
        <v>202</v>
      </c>
      <c r="B677" t="s">
        <v>379</v>
      </c>
      <c r="C677">
        <f t="shared" si="33"/>
        <v>2024</v>
      </c>
      <c r="D677">
        <f t="shared" si="34"/>
        <v>5</v>
      </c>
      <c r="E677" t="str">
        <f t="shared" si="35"/>
        <v>2024-5</v>
      </c>
      <c r="H677" t="s">
        <v>49</v>
      </c>
      <c r="I677" t="s">
        <v>500</v>
      </c>
    </row>
    <row r="678" spans="1:9" x14ac:dyDescent="0.25">
      <c r="A678" t="s">
        <v>344</v>
      </c>
      <c r="B678" t="s">
        <v>381</v>
      </c>
      <c r="C678">
        <f t="shared" si="33"/>
        <v>2024</v>
      </c>
      <c r="D678">
        <f t="shared" si="34"/>
        <v>5</v>
      </c>
      <c r="E678" t="str">
        <f t="shared" si="35"/>
        <v>2024-5</v>
      </c>
      <c r="H678" t="s">
        <v>49</v>
      </c>
      <c r="I678" t="s">
        <v>501</v>
      </c>
    </row>
    <row r="679" spans="1:9" x14ac:dyDescent="0.25">
      <c r="A679" t="s">
        <v>307</v>
      </c>
      <c r="B679" t="s">
        <v>381</v>
      </c>
      <c r="C679">
        <f t="shared" si="33"/>
        <v>2024</v>
      </c>
      <c r="D679">
        <f t="shared" si="34"/>
        <v>5</v>
      </c>
      <c r="E679" t="str">
        <f t="shared" si="35"/>
        <v>2024-5</v>
      </c>
      <c r="H679" t="s">
        <v>49</v>
      </c>
      <c r="I679" t="s">
        <v>503</v>
      </c>
    </row>
    <row r="680" spans="1:9" x14ac:dyDescent="0.25">
      <c r="A680" t="s">
        <v>149</v>
      </c>
      <c r="B680" t="s">
        <v>381</v>
      </c>
      <c r="C680">
        <f t="shared" si="33"/>
        <v>2024</v>
      </c>
      <c r="D680">
        <f t="shared" si="34"/>
        <v>5</v>
      </c>
      <c r="E680" t="str">
        <f t="shared" si="35"/>
        <v>2024-5</v>
      </c>
      <c r="H680" t="s">
        <v>49</v>
      </c>
      <c r="I680" t="s">
        <v>505</v>
      </c>
    </row>
    <row r="681" spans="1:9" x14ac:dyDescent="0.25">
      <c r="A681" t="s">
        <v>158</v>
      </c>
      <c r="B681" t="s">
        <v>381</v>
      </c>
      <c r="C681">
        <f t="shared" si="33"/>
        <v>2024</v>
      </c>
      <c r="D681">
        <f t="shared" si="34"/>
        <v>5</v>
      </c>
      <c r="E681" t="str">
        <f t="shared" si="35"/>
        <v>2024-5</v>
      </c>
      <c r="H681" t="s">
        <v>229</v>
      </c>
      <c r="I681" t="s">
        <v>498</v>
      </c>
    </row>
    <row r="682" spans="1:9" x14ac:dyDescent="0.25">
      <c r="A682" t="s">
        <v>155</v>
      </c>
      <c r="B682" t="s">
        <v>381</v>
      </c>
      <c r="C682">
        <f t="shared" si="33"/>
        <v>2024</v>
      </c>
      <c r="D682">
        <f t="shared" si="34"/>
        <v>5</v>
      </c>
      <c r="E682" t="str">
        <f t="shared" si="35"/>
        <v>2024-5</v>
      </c>
      <c r="H682" t="s">
        <v>229</v>
      </c>
      <c r="I682" t="s">
        <v>501</v>
      </c>
    </row>
    <row r="683" spans="1:9" x14ac:dyDescent="0.25">
      <c r="A683" t="s">
        <v>382</v>
      </c>
      <c r="B683" t="s">
        <v>383</v>
      </c>
      <c r="C683">
        <f t="shared" si="33"/>
        <v>2024</v>
      </c>
      <c r="D683">
        <f t="shared" si="34"/>
        <v>5</v>
      </c>
      <c r="E683" t="str">
        <f t="shared" si="35"/>
        <v>2024-5</v>
      </c>
      <c r="H683" t="s">
        <v>229</v>
      </c>
      <c r="I683" t="s">
        <v>506</v>
      </c>
    </row>
    <row r="684" spans="1:9" x14ac:dyDescent="0.25">
      <c r="A684" t="s">
        <v>384</v>
      </c>
      <c r="B684" t="s">
        <v>383</v>
      </c>
      <c r="C684">
        <f t="shared" si="33"/>
        <v>2024</v>
      </c>
      <c r="D684">
        <f t="shared" si="34"/>
        <v>5</v>
      </c>
      <c r="E684" t="str">
        <f t="shared" si="35"/>
        <v>2024-5</v>
      </c>
      <c r="H684" t="s">
        <v>205</v>
      </c>
      <c r="I684" t="s">
        <v>497</v>
      </c>
    </row>
    <row r="685" spans="1:9" x14ac:dyDescent="0.25">
      <c r="A685" t="s">
        <v>142</v>
      </c>
      <c r="B685" t="s">
        <v>383</v>
      </c>
      <c r="C685">
        <f t="shared" si="33"/>
        <v>2024</v>
      </c>
      <c r="D685">
        <f t="shared" si="34"/>
        <v>5</v>
      </c>
      <c r="E685" t="str">
        <f t="shared" si="35"/>
        <v>2024-5</v>
      </c>
      <c r="H685" t="s">
        <v>205</v>
      </c>
      <c r="I685" t="s">
        <v>499</v>
      </c>
    </row>
    <row r="686" spans="1:9" x14ac:dyDescent="0.25">
      <c r="A686" t="s">
        <v>9</v>
      </c>
      <c r="B686" t="s">
        <v>383</v>
      </c>
      <c r="C686">
        <f t="shared" si="33"/>
        <v>2024</v>
      </c>
      <c r="D686">
        <f t="shared" si="34"/>
        <v>5</v>
      </c>
      <c r="E686" t="str">
        <f t="shared" si="35"/>
        <v>2024-5</v>
      </c>
      <c r="H686" t="s">
        <v>205</v>
      </c>
      <c r="I686" t="s">
        <v>500</v>
      </c>
    </row>
    <row r="687" spans="1:9" x14ac:dyDescent="0.25">
      <c r="A687" t="s">
        <v>26</v>
      </c>
      <c r="B687" t="s">
        <v>383</v>
      </c>
      <c r="C687">
        <f t="shared" si="33"/>
        <v>2024</v>
      </c>
      <c r="D687">
        <f t="shared" si="34"/>
        <v>5</v>
      </c>
      <c r="E687" t="str">
        <f t="shared" si="35"/>
        <v>2024-5</v>
      </c>
      <c r="H687" t="s">
        <v>205</v>
      </c>
      <c r="I687" t="s">
        <v>504</v>
      </c>
    </row>
    <row r="688" spans="1:9" x14ac:dyDescent="0.25">
      <c r="A688" t="s">
        <v>206</v>
      </c>
      <c r="B688" t="s">
        <v>383</v>
      </c>
      <c r="C688">
        <f t="shared" si="33"/>
        <v>2024</v>
      </c>
      <c r="D688">
        <f t="shared" si="34"/>
        <v>5</v>
      </c>
      <c r="E688" t="str">
        <f t="shared" si="35"/>
        <v>2024-5</v>
      </c>
      <c r="H688" t="s">
        <v>205</v>
      </c>
      <c r="I688" t="s">
        <v>505</v>
      </c>
    </row>
    <row r="689" spans="1:9" x14ac:dyDescent="0.25">
      <c r="A689" t="s">
        <v>67</v>
      </c>
      <c r="B689" t="s">
        <v>383</v>
      </c>
      <c r="C689">
        <f t="shared" si="33"/>
        <v>2024</v>
      </c>
      <c r="D689">
        <f t="shared" si="34"/>
        <v>5</v>
      </c>
      <c r="E689" t="str">
        <f t="shared" si="35"/>
        <v>2024-5</v>
      </c>
      <c r="H689" t="s">
        <v>66</v>
      </c>
      <c r="I689" t="s">
        <v>495</v>
      </c>
    </row>
    <row r="690" spans="1:9" x14ac:dyDescent="0.25">
      <c r="A690" t="s">
        <v>385</v>
      </c>
      <c r="B690" t="s">
        <v>383</v>
      </c>
      <c r="C690">
        <f t="shared" si="33"/>
        <v>2024</v>
      </c>
      <c r="D690">
        <f t="shared" si="34"/>
        <v>5</v>
      </c>
      <c r="E690" t="str">
        <f t="shared" si="35"/>
        <v>2024-5</v>
      </c>
      <c r="H690" t="s">
        <v>66</v>
      </c>
      <c r="I690" t="s">
        <v>497</v>
      </c>
    </row>
    <row r="691" spans="1:9" x14ac:dyDescent="0.25">
      <c r="A691" t="s">
        <v>68</v>
      </c>
      <c r="B691" t="s">
        <v>383</v>
      </c>
      <c r="C691">
        <f t="shared" si="33"/>
        <v>2024</v>
      </c>
      <c r="D691">
        <f t="shared" si="34"/>
        <v>5</v>
      </c>
      <c r="E691" t="str">
        <f t="shared" si="35"/>
        <v>2024-5</v>
      </c>
      <c r="H691" t="s">
        <v>66</v>
      </c>
      <c r="I691" t="s">
        <v>499</v>
      </c>
    </row>
    <row r="692" spans="1:9" x14ac:dyDescent="0.25">
      <c r="A692" t="s">
        <v>270</v>
      </c>
      <c r="B692" t="s">
        <v>383</v>
      </c>
      <c r="C692">
        <f t="shared" si="33"/>
        <v>2024</v>
      </c>
      <c r="D692">
        <f t="shared" si="34"/>
        <v>5</v>
      </c>
      <c r="E692" t="str">
        <f t="shared" si="35"/>
        <v>2024-5</v>
      </c>
      <c r="H692" t="s">
        <v>66</v>
      </c>
      <c r="I692" t="s">
        <v>502</v>
      </c>
    </row>
    <row r="693" spans="1:9" x14ac:dyDescent="0.25">
      <c r="A693" t="s">
        <v>125</v>
      </c>
      <c r="B693" t="s">
        <v>383</v>
      </c>
      <c r="C693">
        <f t="shared" si="33"/>
        <v>2024</v>
      </c>
      <c r="D693">
        <f t="shared" si="34"/>
        <v>5</v>
      </c>
      <c r="E693" t="str">
        <f t="shared" si="35"/>
        <v>2024-5</v>
      </c>
      <c r="H693" t="s">
        <v>66</v>
      </c>
      <c r="I693" t="s">
        <v>505</v>
      </c>
    </row>
    <row r="694" spans="1:9" x14ac:dyDescent="0.25">
      <c r="A694" t="s">
        <v>272</v>
      </c>
      <c r="B694" t="s">
        <v>383</v>
      </c>
      <c r="C694">
        <f t="shared" si="33"/>
        <v>2024</v>
      </c>
      <c r="D694">
        <f t="shared" si="34"/>
        <v>5</v>
      </c>
      <c r="E694" t="str">
        <f t="shared" si="35"/>
        <v>2024-5</v>
      </c>
      <c r="H694" t="s">
        <v>66</v>
      </c>
      <c r="I694" t="s">
        <v>506</v>
      </c>
    </row>
    <row r="695" spans="1:9" x14ac:dyDescent="0.25">
      <c r="A695" t="s">
        <v>110</v>
      </c>
      <c r="B695" t="s">
        <v>383</v>
      </c>
      <c r="C695">
        <f t="shared" si="33"/>
        <v>2024</v>
      </c>
      <c r="D695">
        <f t="shared" si="34"/>
        <v>5</v>
      </c>
      <c r="E695" t="str">
        <f t="shared" si="35"/>
        <v>2024-5</v>
      </c>
      <c r="H695" t="s">
        <v>180</v>
      </c>
      <c r="I695" t="s">
        <v>497</v>
      </c>
    </row>
    <row r="696" spans="1:9" x14ac:dyDescent="0.25">
      <c r="A696" t="s">
        <v>99</v>
      </c>
      <c r="B696" t="s">
        <v>386</v>
      </c>
      <c r="C696">
        <f t="shared" si="33"/>
        <v>2024</v>
      </c>
      <c r="D696">
        <f t="shared" si="34"/>
        <v>5</v>
      </c>
      <c r="E696" t="str">
        <f t="shared" si="35"/>
        <v>2024-5</v>
      </c>
      <c r="H696" t="s">
        <v>180</v>
      </c>
      <c r="I696" t="s">
        <v>502</v>
      </c>
    </row>
    <row r="697" spans="1:9" x14ac:dyDescent="0.25">
      <c r="A697" t="s">
        <v>96</v>
      </c>
      <c r="B697" t="s">
        <v>386</v>
      </c>
      <c r="C697">
        <f t="shared" si="33"/>
        <v>2024</v>
      </c>
      <c r="D697">
        <f t="shared" si="34"/>
        <v>5</v>
      </c>
      <c r="E697" t="str">
        <f t="shared" si="35"/>
        <v>2024-5</v>
      </c>
      <c r="H697" t="s">
        <v>180</v>
      </c>
      <c r="I697" t="s">
        <v>505</v>
      </c>
    </row>
    <row r="698" spans="1:9" x14ac:dyDescent="0.25">
      <c r="A698" t="s">
        <v>344</v>
      </c>
      <c r="B698" t="s">
        <v>386</v>
      </c>
      <c r="C698">
        <f t="shared" si="33"/>
        <v>2024</v>
      </c>
      <c r="D698">
        <f t="shared" si="34"/>
        <v>5</v>
      </c>
      <c r="E698" t="str">
        <f t="shared" si="35"/>
        <v>2024-5</v>
      </c>
      <c r="H698" t="s">
        <v>393</v>
      </c>
      <c r="I698" t="s">
        <v>503</v>
      </c>
    </row>
    <row r="699" spans="1:9" x14ac:dyDescent="0.25">
      <c r="A699" t="s">
        <v>299</v>
      </c>
      <c r="B699" t="s">
        <v>386</v>
      </c>
      <c r="C699">
        <f t="shared" si="33"/>
        <v>2024</v>
      </c>
      <c r="D699">
        <f t="shared" si="34"/>
        <v>5</v>
      </c>
      <c r="E699" t="str">
        <f t="shared" si="35"/>
        <v>2024-5</v>
      </c>
      <c r="H699" t="s">
        <v>393</v>
      </c>
      <c r="I699" t="s">
        <v>504</v>
      </c>
    </row>
    <row r="700" spans="1:9" x14ac:dyDescent="0.25">
      <c r="A700" t="s">
        <v>119</v>
      </c>
      <c r="B700" t="s">
        <v>387</v>
      </c>
      <c r="C700">
        <f t="shared" si="33"/>
        <v>2024</v>
      </c>
      <c r="D700">
        <f t="shared" si="34"/>
        <v>5</v>
      </c>
      <c r="E700" t="str">
        <f t="shared" si="35"/>
        <v>2024-5</v>
      </c>
      <c r="H700" t="s">
        <v>393</v>
      </c>
      <c r="I700" t="s">
        <v>505</v>
      </c>
    </row>
    <row r="701" spans="1:9" x14ac:dyDescent="0.25">
      <c r="A701" t="s">
        <v>107</v>
      </c>
      <c r="B701" t="s">
        <v>387</v>
      </c>
      <c r="C701">
        <f t="shared" si="33"/>
        <v>2024</v>
      </c>
      <c r="D701">
        <f t="shared" si="34"/>
        <v>5</v>
      </c>
      <c r="E701" t="str">
        <f t="shared" si="35"/>
        <v>2024-5</v>
      </c>
      <c r="H701" t="s">
        <v>39</v>
      </c>
      <c r="I701" t="s">
        <v>495</v>
      </c>
    </row>
    <row r="702" spans="1:9" x14ac:dyDescent="0.25">
      <c r="A702" t="s">
        <v>270</v>
      </c>
      <c r="B702" t="s">
        <v>387</v>
      </c>
      <c r="C702">
        <f t="shared" si="33"/>
        <v>2024</v>
      </c>
      <c r="D702">
        <f t="shared" si="34"/>
        <v>5</v>
      </c>
      <c r="E702" t="str">
        <f t="shared" si="35"/>
        <v>2024-5</v>
      </c>
      <c r="H702" t="s">
        <v>39</v>
      </c>
      <c r="I702" t="s">
        <v>496</v>
      </c>
    </row>
    <row r="703" spans="1:9" x14ac:dyDescent="0.25">
      <c r="A703" t="s">
        <v>94</v>
      </c>
      <c r="B703" t="s">
        <v>387</v>
      </c>
      <c r="C703">
        <f t="shared" si="33"/>
        <v>2024</v>
      </c>
      <c r="D703">
        <f t="shared" si="34"/>
        <v>5</v>
      </c>
      <c r="E703" t="str">
        <f t="shared" si="35"/>
        <v>2024-5</v>
      </c>
      <c r="H703" t="s">
        <v>39</v>
      </c>
      <c r="I703" t="s">
        <v>497</v>
      </c>
    </row>
    <row r="704" spans="1:9" x14ac:dyDescent="0.25">
      <c r="A704" t="s">
        <v>169</v>
      </c>
      <c r="B704" t="s">
        <v>388</v>
      </c>
      <c r="C704">
        <f t="shared" si="33"/>
        <v>2024</v>
      </c>
      <c r="D704">
        <f t="shared" si="34"/>
        <v>5</v>
      </c>
      <c r="E704" t="str">
        <f t="shared" si="35"/>
        <v>2024-5</v>
      </c>
      <c r="H704" t="s">
        <v>39</v>
      </c>
      <c r="I704" t="s">
        <v>499</v>
      </c>
    </row>
    <row r="705" spans="1:9" x14ac:dyDescent="0.25">
      <c r="A705" t="s">
        <v>177</v>
      </c>
      <c r="B705" t="s">
        <v>388</v>
      </c>
      <c r="C705">
        <f t="shared" si="33"/>
        <v>2024</v>
      </c>
      <c r="D705">
        <f t="shared" si="34"/>
        <v>5</v>
      </c>
      <c r="E705" t="str">
        <f t="shared" si="35"/>
        <v>2024-5</v>
      </c>
      <c r="H705" t="s">
        <v>39</v>
      </c>
      <c r="I705" t="s">
        <v>503</v>
      </c>
    </row>
    <row r="706" spans="1:9" x14ac:dyDescent="0.25">
      <c r="A706" t="s">
        <v>82</v>
      </c>
      <c r="B706" t="s">
        <v>388</v>
      </c>
      <c r="C706">
        <f t="shared" si="33"/>
        <v>2024</v>
      </c>
      <c r="D706">
        <f t="shared" si="34"/>
        <v>5</v>
      </c>
      <c r="E706" t="str">
        <f t="shared" si="35"/>
        <v>2024-5</v>
      </c>
      <c r="H706" t="s">
        <v>39</v>
      </c>
      <c r="I706" t="s">
        <v>506</v>
      </c>
    </row>
    <row r="707" spans="1:9" x14ac:dyDescent="0.25">
      <c r="A707" t="s">
        <v>157</v>
      </c>
      <c r="B707" t="s">
        <v>388</v>
      </c>
      <c r="C707">
        <f t="shared" ref="C707:C770" si="36">YEAR(B707)</f>
        <v>2024</v>
      </c>
      <c r="D707">
        <f t="shared" ref="D707:D770" si="37">MONTH(B707)</f>
        <v>5</v>
      </c>
      <c r="E707" t="str">
        <f t="shared" ref="E707:E770" si="38">C707&amp;"-"&amp;D707</f>
        <v>2024-5</v>
      </c>
      <c r="H707" t="s">
        <v>214</v>
      </c>
      <c r="I707" t="s">
        <v>497</v>
      </c>
    </row>
    <row r="708" spans="1:9" x14ac:dyDescent="0.25">
      <c r="A708" t="s">
        <v>249</v>
      </c>
      <c r="B708" t="s">
        <v>388</v>
      </c>
      <c r="C708">
        <f t="shared" si="36"/>
        <v>2024</v>
      </c>
      <c r="D708">
        <f t="shared" si="37"/>
        <v>5</v>
      </c>
      <c r="E708" t="str">
        <f t="shared" si="38"/>
        <v>2024-5</v>
      </c>
      <c r="H708" t="s">
        <v>214</v>
      </c>
      <c r="I708" t="s">
        <v>498</v>
      </c>
    </row>
    <row r="709" spans="1:9" x14ac:dyDescent="0.25">
      <c r="A709" t="s">
        <v>134</v>
      </c>
      <c r="B709" t="s">
        <v>388</v>
      </c>
      <c r="C709">
        <f t="shared" si="36"/>
        <v>2024</v>
      </c>
      <c r="D709">
        <f t="shared" si="37"/>
        <v>5</v>
      </c>
      <c r="E709" t="str">
        <f t="shared" si="38"/>
        <v>2024-5</v>
      </c>
      <c r="H709" t="s">
        <v>214</v>
      </c>
      <c r="I709" t="s">
        <v>504</v>
      </c>
    </row>
    <row r="710" spans="1:9" x14ac:dyDescent="0.25">
      <c r="A710" t="s">
        <v>57</v>
      </c>
      <c r="B710" t="s">
        <v>388</v>
      </c>
      <c r="C710">
        <f t="shared" si="36"/>
        <v>2024</v>
      </c>
      <c r="D710">
        <f t="shared" si="37"/>
        <v>5</v>
      </c>
      <c r="E710" t="str">
        <f t="shared" si="38"/>
        <v>2024-5</v>
      </c>
      <c r="H710" t="s">
        <v>214</v>
      </c>
      <c r="I710" t="s">
        <v>505</v>
      </c>
    </row>
    <row r="711" spans="1:9" x14ac:dyDescent="0.25">
      <c r="A711" t="s">
        <v>219</v>
      </c>
      <c r="B711" t="s">
        <v>388</v>
      </c>
      <c r="C711">
        <f t="shared" si="36"/>
        <v>2024</v>
      </c>
      <c r="D711">
        <f t="shared" si="37"/>
        <v>5</v>
      </c>
      <c r="E711" t="str">
        <f t="shared" si="38"/>
        <v>2024-5</v>
      </c>
      <c r="H711" t="s">
        <v>149</v>
      </c>
      <c r="I711" t="s">
        <v>496</v>
      </c>
    </row>
    <row r="712" spans="1:9" x14ac:dyDescent="0.25">
      <c r="A712" t="s">
        <v>155</v>
      </c>
      <c r="B712" t="s">
        <v>388</v>
      </c>
      <c r="C712">
        <f t="shared" si="36"/>
        <v>2024</v>
      </c>
      <c r="D712">
        <f t="shared" si="37"/>
        <v>5</v>
      </c>
      <c r="E712" t="str">
        <f t="shared" si="38"/>
        <v>2024-5</v>
      </c>
      <c r="H712" t="s">
        <v>149</v>
      </c>
      <c r="I712" t="s">
        <v>498</v>
      </c>
    </row>
    <row r="713" spans="1:9" x14ac:dyDescent="0.25">
      <c r="A713" t="s">
        <v>173</v>
      </c>
      <c r="B713" t="s">
        <v>388</v>
      </c>
      <c r="C713">
        <f t="shared" si="36"/>
        <v>2024</v>
      </c>
      <c r="D713">
        <f t="shared" si="37"/>
        <v>5</v>
      </c>
      <c r="E713" t="str">
        <f t="shared" si="38"/>
        <v>2024-5</v>
      </c>
      <c r="H713" t="s">
        <v>149</v>
      </c>
      <c r="I713" t="s">
        <v>500</v>
      </c>
    </row>
    <row r="714" spans="1:9" x14ac:dyDescent="0.25">
      <c r="A714" t="s">
        <v>224</v>
      </c>
      <c r="B714" t="s">
        <v>388</v>
      </c>
      <c r="C714">
        <f t="shared" si="36"/>
        <v>2024</v>
      </c>
      <c r="D714">
        <f t="shared" si="37"/>
        <v>5</v>
      </c>
      <c r="E714" t="str">
        <f t="shared" si="38"/>
        <v>2024-5</v>
      </c>
      <c r="H714" t="s">
        <v>149</v>
      </c>
      <c r="I714" t="s">
        <v>503</v>
      </c>
    </row>
    <row r="715" spans="1:9" x14ac:dyDescent="0.25">
      <c r="A715" t="s">
        <v>211</v>
      </c>
      <c r="B715" t="s">
        <v>389</v>
      </c>
      <c r="C715">
        <f t="shared" si="36"/>
        <v>2024</v>
      </c>
      <c r="D715">
        <f t="shared" si="37"/>
        <v>5</v>
      </c>
      <c r="E715" t="str">
        <f t="shared" si="38"/>
        <v>2024-5</v>
      </c>
      <c r="H715" t="s">
        <v>149</v>
      </c>
      <c r="I715" t="s">
        <v>504</v>
      </c>
    </row>
    <row r="716" spans="1:9" x14ac:dyDescent="0.25">
      <c r="A716" t="s">
        <v>26</v>
      </c>
      <c r="B716" t="s">
        <v>389</v>
      </c>
      <c r="C716">
        <f t="shared" si="36"/>
        <v>2024</v>
      </c>
      <c r="D716">
        <f t="shared" si="37"/>
        <v>5</v>
      </c>
      <c r="E716" t="str">
        <f t="shared" si="38"/>
        <v>2024-5</v>
      </c>
      <c r="H716" t="s">
        <v>149</v>
      </c>
      <c r="I716" t="s">
        <v>505</v>
      </c>
    </row>
    <row r="717" spans="1:9" x14ac:dyDescent="0.25">
      <c r="A717" t="s">
        <v>247</v>
      </c>
      <c r="B717" t="s">
        <v>389</v>
      </c>
      <c r="C717">
        <f t="shared" si="36"/>
        <v>2024</v>
      </c>
      <c r="D717">
        <f t="shared" si="37"/>
        <v>5</v>
      </c>
      <c r="E717" t="str">
        <f t="shared" si="38"/>
        <v>2024-5</v>
      </c>
      <c r="H717" t="s">
        <v>132</v>
      </c>
      <c r="I717" t="s">
        <v>496</v>
      </c>
    </row>
    <row r="718" spans="1:9" x14ac:dyDescent="0.25">
      <c r="A718" t="s">
        <v>121</v>
      </c>
      <c r="B718" t="s">
        <v>389</v>
      </c>
      <c r="C718">
        <f t="shared" si="36"/>
        <v>2024</v>
      </c>
      <c r="D718">
        <f t="shared" si="37"/>
        <v>5</v>
      </c>
      <c r="E718" t="str">
        <f t="shared" si="38"/>
        <v>2024-5</v>
      </c>
      <c r="H718" t="s">
        <v>132</v>
      </c>
      <c r="I718" t="s">
        <v>498</v>
      </c>
    </row>
    <row r="719" spans="1:9" x14ac:dyDescent="0.25">
      <c r="A719" t="s">
        <v>287</v>
      </c>
      <c r="B719" t="s">
        <v>390</v>
      </c>
      <c r="C719">
        <f t="shared" si="36"/>
        <v>2024</v>
      </c>
      <c r="D719">
        <f t="shared" si="37"/>
        <v>5</v>
      </c>
      <c r="E719" t="str">
        <f t="shared" si="38"/>
        <v>2024-5</v>
      </c>
      <c r="H719" t="s">
        <v>132</v>
      </c>
      <c r="I719" t="s">
        <v>500</v>
      </c>
    </row>
    <row r="720" spans="1:9" x14ac:dyDescent="0.25">
      <c r="A720" t="s">
        <v>77</v>
      </c>
      <c r="B720" t="s">
        <v>391</v>
      </c>
      <c r="C720">
        <f t="shared" si="36"/>
        <v>2024</v>
      </c>
      <c r="D720">
        <f t="shared" si="37"/>
        <v>5</v>
      </c>
      <c r="E720" t="str">
        <f t="shared" si="38"/>
        <v>2024-5</v>
      </c>
      <c r="H720" t="s">
        <v>132</v>
      </c>
      <c r="I720" t="s">
        <v>503</v>
      </c>
    </row>
    <row r="721" spans="1:9" x14ac:dyDescent="0.25">
      <c r="A721" t="s">
        <v>226</v>
      </c>
      <c r="B721" t="s">
        <v>392</v>
      </c>
      <c r="C721">
        <f t="shared" si="36"/>
        <v>2024</v>
      </c>
      <c r="D721">
        <f t="shared" si="37"/>
        <v>5</v>
      </c>
      <c r="E721" t="str">
        <f t="shared" si="38"/>
        <v>2024-5</v>
      </c>
      <c r="H721" t="s">
        <v>132</v>
      </c>
      <c r="I721" t="s">
        <v>506</v>
      </c>
    </row>
    <row r="722" spans="1:9" x14ac:dyDescent="0.25">
      <c r="A722" t="s">
        <v>393</v>
      </c>
      <c r="B722" t="s">
        <v>392</v>
      </c>
      <c r="C722">
        <f t="shared" si="36"/>
        <v>2024</v>
      </c>
      <c r="D722">
        <f t="shared" si="37"/>
        <v>5</v>
      </c>
      <c r="E722" t="str">
        <f t="shared" si="38"/>
        <v>2024-5</v>
      </c>
      <c r="H722" t="s">
        <v>69</v>
      </c>
      <c r="I722" t="s">
        <v>495</v>
      </c>
    </row>
    <row r="723" spans="1:9" x14ac:dyDescent="0.25">
      <c r="A723" t="s">
        <v>22</v>
      </c>
      <c r="B723" t="s">
        <v>392</v>
      </c>
      <c r="C723">
        <f t="shared" si="36"/>
        <v>2024</v>
      </c>
      <c r="D723">
        <f t="shared" si="37"/>
        <v>5</v>
      </c>
      <c r="E723" t="str">
        <f t="shared" si="38"/>
        <v>2024-5</v>
      </c>
      <c r="H723" t="s">
        <v>69</v>
      </c>
      <c r="I723" t="s">
        <v>499</v>
      </c>
    </row>
    <row r="724" spans="1:9" x14ac:dyDescent="0.25">
      <c r="A724" t="s">
        <v>212</v>
      </c>
      <c r="B724" t="s">
        <v>392</v>
      </c>
      <c r="C724">
        <f t="shared" si="36"/>
        <v>2024</v>
      </c>
      <c r="D724">
        <f t="shared" si="37"/>
        <v>5</v>
      </c>
      <c r="E724" t="str">
        <f t="shared" si="38"/>
        <v>2024-5</v>
      </c>
      <c r="H724" t="s">
        <v>69</v>
      </c>
      <c r="I724" t="s">
        <v>503</v>
      </c>
    </row>
    <row r="725" spans="1:9" x14ac:dyDescent="0.25">
      <c r="A725" t="s">
        <v>89</v>
      </c>
      <c r="B725" t="s">
        <v>392</v>
      </c>
      <c r="C725">
        <f t="shared" si="36"/>
        <v>2024</v>
      </c>
      <c r="D725">
        <f t="shared" si="37"/>
        <v>5</v>
      </c>
      <c r="E725" t="str">
        <f t="shared" si="38"/>
        <v>2024-5</v>
      </c>
      <c r="H725" t="s">
        <v>69</v>
      </c>
      <c r="I725" t="s">
        <v>505</v>
      </c>
    </row>
    <row r="726" spans="1:9" x14ac:dyDescent="0.25">
      <c r="A726" t="s">
        <v>94</v>
      </c>
      <c r="B726" t="s">
        <v>394</v>
      </c>
      <c r="C726">
        <f t="shared" si="36"/>
        <v>2024</v>
      </c>
      <c r="D726">
        <f t="shared" si="37"/>
        <v>6</v>
      </c>
      <c r="E726" t="str">
        <f t="shared" si="38"/>
        <v>2024-6</v>
      </c>
      <c r="H726" t="s">
        <v>69</v>
      </c>
      <c r="I726" t="s">
        <v>506</v>
      </c>
    </row>
    <row r="727" spans="1:9" x14ac:dyDescent="0.25">
      <c r="A727" t="s">
        <v>279</v>
      </c>
      <c r="B727" t="s">
        <v>394</v>
      </c>
      <c r="C727">
        <f t="shared" si="36"/>
        <v>2024</v>
      </c>
      <c r="D727">
        <f t="shared" si="37"/>
        <v>6</v>
      </c>
      <c r="E727" t="str">
        <f t="shared" si="38"/>
        <v>2024-6</v>
      </c>
      <c r="H727" t="s">
        <v>119</v>
      </c>
      <c r="I727" t="s">
        <v>496</v>
      </c>
    </row>
    <row r="728" spans="1:9" x14ac:dyDescent="0.25">
      <c r="A728" t="s">
        <v>309</v>
      </c>
      <c r="B728" t="s">
        <v>394</v>
      </c>
      <c r="C728">
        <f t="shared" si="36"/>
        <v>2024</v>
      </c>
      <c r="D728">
        <f t="shared" si="37"/>
        <v>6</v>
      </c>
      <c r="E728" t="str">
        <f t="shared" si="38"/>
        <v>2024-6</v>
      </c>
      <c r="H728" t="s">
        <v>119</v>
      </c>
      <c r="I728" t="s">
        <v>497</v>
      </c>
    </row>
    <row r="729" spans="1:9" x14ac:dyDescent="0.25">
      <c r="A729" t="s">
        <v>55</v>
      </c>
      <c r="B729" t="s">
        <v>394</v>
      </c>
      <c r="C729">
        <f t="shared" si="36"/>
        <v>2024</v>
      </c>
      <c r="D729">
        <f t="shared" si="37"/>
        <v>6</v>
      </c>
      <c r="E729" t="str">
        <f t="shared" si="38"/>
        <v>2024-6</v>
      </c>
      <c r="H729" t="s">
        <v>119</v>
      </c>
      <c r="I729" t="s">
        <v>503</v>
      </c>
    </row>
    <row r="730" spans="1:9" x14ac:dyDescent="0.25">
      <c r="A730" t="s">
        <v>41</v>
      </c>
      <c r="B730" t="s">
        <v>394</v>
      </c>
      <c r="C730">
        <f t="shared" si="36"/>
        <v>2024</v>
      </c>
      <c r="D730">
        <f t="shared" si="37"/>
        <v>6</v>
      </c>
      <c r="E730" t="str">
        <f t="shared" si="38"/>
        <v>2024-6</v>
      </c>
      <c r="H730" t="s">
        <v>119</v>
      </c>
      <c r="I730" t="s">
        <v>504</v>
      </c>
    </row>
    <row r="731" spans="1:9" x14ac:dyDescent="0.25">
      <c r="A731" t="s">
        <v>126</v>
      </c>
      <c r="B731" t="s">
        <v>394</v>
      </c>
      <c r="C731">
        <f t="shared" si="36"/>
        <v>2024</v>
      </c>
      <c r="D731">
        <f t="shared" si="37"/>
        <v>6</v>
      </c>
      <c r="E731" t="str">
        <f t="shared" si="38"/>
        <v>2024-6</v>
      </c>
      <c r="H731" t="s">
        <v>184</v>
      </c>
      <c r="I731" t="s">
        <v>497</v>
      </c>
    </row>
    <row r="732" spans="1:9" x14ac:dyDescent="0.25">
      <c r="A732" t="s">
        <v>209</v>
      </c>
      <c r="B732" t="s">
        <v>394</v>
      </c>
      <c r="C732">
        <f t="shared" si="36"/>
        <v>2024</v>
      </c>
      <c r="D732">
        <f t="shared" si="37"/>
        <v>6</v>
      </c>
      <c r="E732" t="str">
        <f t="shared" si="38"/>
        <v>2024-6</v>
      </c>
      <c r="H732" t="s">
        <v>184</v>
      </c>
      <c r="I732" t="s">
        <v>498</v>
      </c>
    </row>
    <row r="733" spans="1:9" x14ac:dyDescent="0.25">
      <c r="A733" t="s">
        <v>137</v>
      </c>
      <c r="B733" t="s">
        <v>394</v>
      </c>
      <c r="C733">
        <f t="shared" si="36"/>
        <v>2024</v>
      </c>
      <c r="D733">
        <f t="shared" si="37"/>
        <v>6</v>
      </c>
      <c r="E733" t="str">
        <f t="shared" si="38"/>
        <v>2024-6</v>
      </c>
      <c r="H733" t="s">
        <v>184</v>
      </c>
      <c r="I733" t="s">
        <v>504</v>
      </c>
    </row>
    <row r="734" spans="1:9" x14ac:dyDescent="0.25">
      <c r="A734" t="s">
        <v>33</v>
      </c>
      <c r="B734" t="s">
        <v>394</v>
      </c>
      <c r="C734">
        <f t="shared" si="36"/>
        <v>2024</v>
      </c>
      <c r="D734">
        <f t="shared" si="37"/>
        <v>6</v>
      </c>
      <c r="E734" t="str">
        <f t="shared" si="38"/>
        <v>2024-6</v>
      </c>
      <c r="H734" t="s">
        <v>221</v>
      </c>
      <c r="I734" t="s">
        <v>498</v>
      </c>
    </row>
    <row r="735" spans="1:9" x14ac:dyDescent="0.25">
      <c r="A735" t="s">
        <v>194</v>
      </c>
      <c r="B735" t="s">
        <v>394</v>
      </c>
      <c r="C735">
        <f t="shared" si="36"/>
        <v>2024</v>
      </c>
      <c r="D735">
        <f t="shared" si="37"/>
        <v>6</v>
      </c>
      <c r="E735" t="str">
        <f t="shared" si="38"/>
        <v>2024-6</v>
      </c>
      <c r="H735" t="s">
        <v>221</v>
      </c>
      <c r="I735" t="s">
        <v>499</v>
      </c>
    </row>
    <row r="736" spans="1:9" x14ac:dyDescent="0.25">
      <c r="A736" t="s">
        <v>395</v>
      </c>
      <c r="B736" t="s">
        <v>396</v>
      </c>
      <c r="C736">
        <f t="shared" si="36"/>
        <v>2024</v>
      </c>
      <c r="D736">
        <f t="shared" si="37"/>
        <v>6</v>
      </c>
      <c r="E736" t="str">
        <f t="shared" si="38"/>
        <v>2024-6</v>
      </c>
      <c r="H736" t="s">
        <v>221</v>
      </c>
      <c r="I736" t="s">
        <v>500</v>
      </c>
    </row>
    <row r="737" spans="1:9" x14ac:dyDescent="0.25">
      <c r="A737" t="s">
        <v>157</v>
      </c>
      <c r="B737" t="s">
        <v>396</v>
      </c>
      <c r="C737">
        <f t="shared" si="36"/>
        <v>2024</v>
      </c>
      <c r="D737">
        <f t="shared" si="37"/>
        <v>6</v>
      </c>
      <c r="E737" t="str">
        <f t="shared" si="38"/>
        <v>2024-6</v>
      </c>
      <c r="H737" t="s">
        <v>221</v>
      </c>
      <c r="I737" t="s">
        <v>503</v>
      </c>
    </row>
    <row r="738" spans="1:9" x14ac:dyDescent="0.25">
      <c r="A738" t="s">
        <v>157</v>
      </c>
      <c r="B738" t="s">
        <v>396</v>
      </c>
      <c r="C738">
        <f t="shared" si="36"/>
        <v>2024</v>
      </c>
      <c r="D738">
        <f t="shared" si="37"/>
        <v>6</v>
      </c>
      <c r="E738" t="str">
        <f t="shared" si="38"/>
        <v>2024-6</v>
      </c>
      <c r="H738" t="s">
        <v>110</v>
      </c>
      <c r="I738" t="s">
        <v>496</v>
      </c>
    </row>
    <row r="739" spans="1:9" x14ac:dyDescent="0.25">
      <c r="A739" t="s">
        <v>53</v>
      </c>
      <c r="B739" t="s">
        <v>396</v>
      </c>
      <c r="C739">
        <f t="shared" si="36"/>
        <v>2024</v>
      </c>
      <c r="D739">
        <f t="shared" si="37"/>
        <v>6</v>
      </c>
      <c r="E739" t="str">
        <f t="shared" si="38"/>
        <v>2024-6</v>
      </c>
      <c r="H739" t="s">
        <v>110</v>
      </c>
      <c r="I739" t="s">
        <v>497</v>
      </c>
    </row>
    <row r="740" spans="1:9" x14ac:dyDescent="0.25">
      <c r="A740" t="s">
        <v>107</v>
      </c>
      <c r="B740" t="s">
        <v>397</v>
      </c>
      <c r="C740">
        <f t="shared" si="36"/>
        <v>2024</v>
      </c>
      <c r="D740">
        <f t="shared" si="37"/>
        <v>6</v>
      </c>
      <c r="E740" t="str">
        <f t="shared" si="38"/>
        <v>2024-6</v>
      </c>
      <c r="H740" t="s">
        <v>110</v>
      </c>
      <c r="I740" t="s">
        <v>498</v>
      </c>
    </row>
    <row r="741" spans="1:9" x14ac:dyDescent="0.25">
      <c r="A741" t="s">
        <v>363</v>
      </c>
      <c r="B741" t="s">
        <v>397</v>
      </c>
      <c r="C741">
        <f t="shared" si="36"/>
        <v>2024</v>
      </c>
      <c r="D741">
        <f t="shared" si="37"/>
        <v>6</v>
      </c>
      <c r="E741" t="str">
        <f t="shared" si="38"/>
        <v>2024-6</v>
      </c>
      <c r="H741" t="s">
        <v>110</v>
      </c>
      <c r="I741" t="s">
        <v>502</v>
      </c>
    </row>
    <row r="742" spans="1:9" x14ac:dyDescent="0.25">
      <c r="A742" t="s">
        <v>142</v>
      </c>
      <c r="B742" t="s">
        <v>397</v>
      </c>
      <c r="C742">
        <f t="shared" si="36"/>
        <v>2024</v>
      </c>
      <c r="D742">
        <f t="shared" si="37"/>
        <v>6</v>
      </c>
      <c r="E742" t="str">
        <f t="shared" si="38"/>
        <v>2024-6</v>
      </c>
      <c r="H742" t="s">
        <v>110</v>
      </c>
      <c r="I742" t="s">
        <v>503</v>
      </c>
    </row>
    <row r="743" spans="1:9" x14ac:dyDescent="0.25">
      <c r="A743" t="s">
        <v>85</v>
      </c>
      <c r="B743" t="s">
        <v>397</v>
      </c>
      <c r="C743">
        <f t="shared" si="36"/>
        <v>2024</v>
      </c>
      <c r="D743">
        <f t="shared" si="37"/>
        <v>6</v>
      </c>
      <c r="E743" t="str">
        <f t="shared" si="38"/>
        <v>2024-6</v>
      </c>
      <c r="H743" t="s">
        <v>307</v>
      </c>
      <c r="I743" t="s">
        <v>500</v>
      </c>
    </row>
    <row r="744" spans="1:9" x14ac:dyDescent="0.25">
      <c r="A744" t="s">
        <v>89</v>
      </c>
      <c r="B744" t="s">
        <v>398</v>
      </c>
      <c r="C744">
        <f t="shared" si="36"/>
        <v>2024</v>
      </c>
      <c r="D744">
        <f t="shared" si="37"/>
        <v>6</v>
      </c>
      <c r="E744" t="str">
        <f t="shared" si="38"/>
        <v>2024-6</v>
      </c>
      <c r="H744" t="s">
        <v>307</v>
      </c>
      <c r="I744" t="s">
        <v>502</v>
      </c>
    </row>
    <row r="745" spans="1:9" x14ac:dyDescent="0.25">
      <c r="A745" t="s">
        <v>289</v>
      </c>
      <c r="B745" t="s">
        <v>398</v>
      </c>
      <c r="C745">
        <f t="shared" si="36"/>
        <v>2024</v>
      </c>
      <c r="D745">
        <f t="shared" si="37"/>
        <v>6</v>
      </c>
      <c r="E745" t="str">
        <f t="shared" si="38"/>
        <v>2024-6</v>
      </c>
      <c r="H745" t="s">
        <v>307</v>
      </c>
      <c r="I745" t="s">
        <v>503</v>
      </c>
    </row>
    <row r="746" spans="1:9" x14ac:dyDescent="0.25">
      <c r="A746" t="s">
        <v>289</v>
      </c>
      <c r="B746" t="s">
        <v>399</v>
      </c>
      <c r="C746">
        <f t="shared" si="36"/>
        <v>2024</v>
      </c>
      <c r="D746">
        <f t="shared" si="37"/>
        <v>6</v>
      </c>
      <c r="E746" t="str">
        <f t="shared" si="38"/>
        <v>2024-6</v>
      </c>
      <c r="H746" t="s">
        <v>307</v>
      </c>
      <c r="I746" t="s">
        <v>504</v>
      </c>
    </row>
    <row r="747" spans="1:9" x14ac:dyDescent="0.25">
      <c r="A747" t="s">
        <v>77</v>
      </c>
      <c r="B747" t="s">
        <v>399</v>
      </c>
      <c r="C747">
        <f t="shared" si="36"/>
        <v>2024</v>
      </c>
      <c r="D747">
        <f t="shared" si="37"/>
        <v>6</v>
      </c>
      <c r="E747" t="str">
        <f t="shared" si="38"/>
        <v>2024-6</v>
      </c>
      <c r="H747" t="s">
        <v>307</v>
      </c>
      <c r="I747" t="s">
        <v>505</v>
      </c>
    </row>
    <row r="748" spans="1:9" x14ac:dyDescent="0.25">
      <c r="A748" t="s">
        <v>20</v>
      </c>
      <c r="B748" t="s">
        <v>399</v>
      </c>
      <c r="C748">
        <f t="shared" si="36"/>
        <v>2024</v>
      </c>
      <c r="D748">
        <f t="shared" si="37"/>
        <v>6</v>
      </c>
      <c r="E748" t="str">
        <f t="shared" si="38"/>
        <v>2024-6</v>
      </c>
      <c r="H748" t="s">
        <v>307</v>
      </c>
      <c r="I748" t="s">
        <v>506</v>
      </c>
    </row>
    <row r="749" spans="1:9" x14ac:dyDescent="0.25">
      <c r="A749" t="s">
        <v>393</v>
      </c>
      <c r="B749" t="s">
        <v>399</v>
      </c>
      <c r="C749">
        <f t="shared" si="36"/>
        <v>2024</v>
      </c>
      <c r="D749">
        <f t="shared" si="37"/>
        <v>6</v>
      </c>
      <c r="E749" t="str">
        <f t="shared" si="38"/>
        <v>2024-6</v>
      </c>
      <c r="H749" t="s">
        <v>50</v>
      </c>
      <c r="I749" t="s">
        <v>495</v>
      </c>
    </row>
    <row r="750" spans="1:9" x14ac:dyDescent="0.25">
      <c r="A750" t="s">
        <v>94</v>
      </c>
      <c r="B750" t="s">
        <v>400</v>
      </c>
      <c r="C750">
        <f t="shared" si="36"/>
        <v>2024</v>
      </c>
      <c r="D750">
        <f t="shared" si="37"/>
        <v>6</v>
      </c>
      <c r="E750" t="str">
        <f t="shared" si="38"/>
        <v>2024-6</v>
      </c>
      <c r="H750" t="s">
        <v>50</v>
      </c>
      <c r="I750" t="s">
        <v>496</v>
      </c>
    </row>
    <row r="751" spans="1:9" x14ac:dyDescent="0.25">
      <c r="A751" t="s">
        <v>114</v>
      </c>
      <c r="B751" t="s">
        <v>400</v>
      </c>
      <c r="C751">
        <f t="shared" si="36"/>
        <v>2024</v>
      </c>
      <c r="D751">
        <f t="shared" si="37"/>
        <v>6</v>
      </c>
      <c r="E751" t="str">
        <f t="shared" si="38"/>
        <v>2024-6</v>
      </c>
      <c r="H751" t="s">
        <v>50</v>
      </c>
      <c r="I751" t="s">
        <v>499</v>
      </c>
    </row>
    <row r="752" spans="1:9" x14ac:dyDescent="0.25">
      <c r="A752" t="s">
        <v>194</v>
      </c>
      <c r="B752" t="s">
        <v>400</v>
      </c>
      <c r="C752">
        <f t="shared" si="36"/>
        <v>2024</v>
      </c>
      <c r="D752">
        <f t="shared" si="37"/>
        <v>6</v>
      </c>
      <c r="E752" t="str">
        <f t="shared" si="38"/>
        <v>2024-6</v>
      </c>
      <c r="H752" t="s">
        <v>50</v>
      </c>
      <c r="I752" t="s">
        <v>500</v>
      </c>
    </row>
    <row r="753" spans="1:9" x14ac:dyDescent="0.25">
      <c r="A753" t="s">
        <v>24</v>
      </c>
      <c r="B753" t="s">
        <v>400</v>
      </c>
      <c r="C753">
        <f t="shared" si="36"/>
        <v>2024</v>
      </c>
      <c r="D753">
        <f t="shared" si="37"/>
        <v>6</v>
      </c>
      <c r="E753" t="str">
        <f t="shared" si="38"/>
        <v>2024-6</v>
      </c>
      <c r="H753" t="s">
        <v>50</v>
      </c>
      <c r="I753" t="s">
        <v>502</v>
      </c>
    </row>
    <row r="754" spans="1:9" x14ac:dyDescent="0.25">
      <c r="A754" t="s">
        <v>270</v>
      </c>
      <c r="B754" t="s">
        <v>400</v>
      </c>
      <c r="C754">
        <f t="shared" si="36"/>
        <v>2024</v>
      </c>
      <c r="D754">
        <f t="shared" si="37"/>
        <v>6</v>
      </c>
      <c r="E754" t="str">
        <f t="shared" si="38"/>
        <v>2024-6</v>
      </c>
      <c r="H754" t="s">
        <v>50</v>
      </c>
      <c r="I754" t="s">
        <v>505</v>
      </c>
    </row>
    <row r="755" spans="1:9" x14ac:dyDescent="0.25">
      <c r="A755" t="s">
        <v>9</v>
      </c>
      <c r="B755" t="s">
        <v>400</v>
      </c>
      <c r="C755">
        <f t="shared" si="36"/>
        <v>2024</v>
      </c>
      <c r="D755">
        <f t="shared" si="37"/>
        <v>6</v>
      </c>
      <c r="E755" t="str">
        <f t="shared" si="38"/>
        <v>2024-6</v>
      </c>
      <c r="H755" t="s">
        <v>77</v>
      </c>
      <c r="I755" t="s">
        <v>495</v>
      </c>
    </row>
    <row r="756" spans="1:9" x14ac:dyDescent="0.25">
      <c r="A756" t="s">
        <v>46</v>
      </c>
      <c r="B756" t="s">
        <v>400</v>
      </c>
      <c r="C756">
        <f t="shared" si="36"/>
        <v>2024</v>
      </c>
      <c r="D756">
        <f t="shared" si="37"/>
        <v>6</v>
      </c>
      <c r="E756" t="str">
        <f t="shared" si="38"/>
        <v>2024-6</v>
      </c>
      <c r="H756" t="s">
        <v>77</v>
      </c>
      <c r="I756" t="s">
        <v>496</v>
      </c>
    </row>
    <row r="757" spans="1:9" x14ac:dyDescent="0.25">
      <c r="A757" t="s">
        <v>187</v>
      </c>
      <c r="B757" t="s">
        <v>401</v>
      </c>
      <c r="C757">
        <f t="shared" si="36"/>
        <v>2024</v>
      </c>
      <c r="D757">
        <f t="shared" si="37"/>
        <v>6</v>
      </c>
      <c r="E757" t="str">
        <f t="shared" si="38"/>
        <v>2024-6</v>
      </c>
      <c r="H757" t="s">
        <v>77</v>
      </c>
      <c r="I757" t="s">
        <v>498</v>
      </c>
    </row>
    <row r="758" spans="1:9" x14ac:dyDescent="0.25">
      <c r="A758" t="s">
        <v>116</v>
      </c>
      <c r="B758" t="s">
        <v>401</v>
      </c>
      <c r="C758">
        <f t="shared" si="36"/>
        <v>2024</v>
      </c>
      <c r="D758">
        <f t="shared" si="37"/>
        <v>6</v>
      </c>
      <c r="E758" t="str">
        <f t="shared" si="38"/>
        <v>2024-6</v>
      </c>
      <c r="H758" t="s">
        <v>77</v>
      </c>
      <c r="I758" t="s">
        <v>500</v>
      </c>
    </row>
    <row r="759" spans="1:9" x14ac:dyDescent="0.25">
      <c r="A759" t="s">
        <v>149</v>
      </c>
      <c r="B759" t="s">
        <v>401</v>
      </c>
      <c r="C759">
        <f t="shared" si="36"/>
        <v>2024</v>
      </c>
      <c r="D759">
        <f t="shared" si="37"/>
        <v>6</v>
      </c>
      <c r="E759" t="str">
        <f t="shared" si="38"/>
        <v>2024-6</v>
      </c>
      <c r="H759" t="s">
        <v>77</v>
      </c>
      <c r="I759" t="s">
        <v>502</v>
      </c>
    </row>
    <row r="760" spans="1:9" x14ac:dyDescent="0.25">
      <c r="A760" t="s">
        <v>59</v>
      </c>
      <c r="B760" t="s">
        <v>401</v>
      </c>
      <c r="C760">
        <f t="shared" si="36"/>
        <v>2024</v>
      </c>
      <c r="D760">
        <f t="shared" si="37"/>
        <v>6</v>
      </c>
      <c r="E760" t="str">
        <f t="shared" si="38"/>
        <v>2024-6</v>
      </c>
      <c r="H760" t="s">
        <v>77</v>
      </c>
      <c r="I760" t="s">
        <v>503</v>
      </c>
    </row>
    <row r="761" spans="1:9" x14ac:dyDescent="0.25">
      <c r="A761" t="s">
        <v>146</v>
      </c>
      <c r="B761" t="s">
        <v>401</v>
      </c>
      <c r="C761">
        <f t="shared" si="36"/>
        <v>2024</v>
      </c>
      <c r="D761">
        <f t="shared" si="37"/>
        <v>6</v>
      </c>
      <c r="E761" t="str">
        <f t="shared" si="38"/>
        <v>2024-6</v>
      </c>
      <c r="H761" t="s">
        <v>77</v>
      </c>
      <c r="I761" t="s">
        <v>504</v>
      </c>
    </row>
    <row r="762" spans="1:9" x14ac:dyDescent="0.25">
      <c r="A762" t="s">
        <v>186</v>
      </c>
      <c r="B762" t="s">
        <v>401</v>
      </c>
      <c r="C762">
        <f t="shared" si="36"/>
        <v>2024</v>
      </c>
      <c r="D762">
        <f t="shared" si="37"/>
        <v>6</v>
      </c>
      <c r="E762" t="str">
        <f t="shared" si="38"/>
        <v>2024-6</v>
      </c>
      <c r="H762" t="s">
        <v>77</v>
      </c>
      <c r="I762" t="s">
        <v>506</v>
      </c>
    </row>
    <row r="763" spans="1:9" x14ac:dyDescent="0.25">
      <c r="A763" t="s">
        <v>33</v>
      </c>
      <c r="B763" t="s">
        <v>402</v>
      </c>
      <c r="C763">
        <f t="shared" si="36"/>
        <v>2024</v>
      </c>
      <c r="D763">
        <f t="shared" si="37"/>
        <v>6</v>
      </c>
      <c r="E763" t="str">
        <f t="shared" si="38"/>
        <v>2024-6</v>
      </c>
      <c r="H763" t="s">
        <v>64</v>
      </c>
      <c r="I763" t="s">
        <v>495</v>
      </c>
    </row>
    <row r="764" spans="1:9" x14ac:dyDescent="0.25">
      <c r="A764" t="s">
        <v>247</v>
      </c>
      <c r="B764" t="s">
        <v>402</v>
      </c>
      <c r="C764">
        <f t="shared" si="36"/>
        <v>2024</v>
      </c>
      <c r="D764">
        <f t="shared" si="37"/>
        <v>6</v>
      </c>
      <c r="E764" t="str">
        <f t="shared" si="38"/>
        <v>2024-6</v>
      </c>
      <c r="H764" t="s">
        <v>64</v>
      </c>
      <c r="I764" t="s">
        <v>497</v>
      </c>
    </row>
    <row r="765" spans="1:9" x14ac:dyDescent="0.25">
      <c r="A765" t="s">
        <v>153</v>
      </c>
      <c r="B765" t="s">
        <v>402</v>
      </c>
      <c r="C765">
        <f t="shared" si="36"/>
        <v>2024</v>
      </c>
      <c r="D765">
        <f t="shared" si="37"/>
        <v>6</v>
      </c>
      <c r="E765" t="str">
        <f t="shared" si="38"/>
        <v>2024-6</v>
      </c>
      <c r="H765" t="s">
        <v>64</v>
      </c>
      <c r="I765" t="s">
        <v>498</v>
      </c>
    </row>
    <row r="766" spans="1:9" x14ac:dyDescent="0.25">
      <c r="A766" t="s">
        <v>215</v>
      </c>
      <c r="B766" t="s">
        <v>402</v>
      </c>
      <c r="C766">
        <f t="shared" si="36"/>
        <v>2024</v>
      </c>
      <c r="D766">
        <f t="shared" si="37"/>
        <v>6</v>
      </c>
      <c r="E766" t="str">
        <f t="shared" si="38"/>
        <v>2024-6</v>
      </c>
      <c r="H766" t="s">
        <v>64</v>
      </c>
      <c r="I766" t="s">
        <v>499</v>
      </c>
    </row>
    <row r="767" spans="1:9" x14ac:dyDescent="0.25">
      <c r="A767" t="s">
        <v>300</v>
      </c>
      <c r="B767" t="s">
        <v>403</v>
      </c>
      <c r="C767">
        <f t="shared" si="36"/>
        <v>2024</v>
      </c>
      <c r="D767">
        <f t="shared" si="37"/>
        <v>6</v>
      </c>
      <c r="E767" t="str">
        <f t="shared" si="38"/>
        <v>2024-6</v>
      </c>
      <c r="H767" t="s">
        <v>64</v>
      </c>
      <c r="I767" t="s">
        <v>502</v>
      </c>
    </row>
    <row r="768" spans="1:9" x14ac:dyDescent="0.25">
      <c r="A768" t="s">
        <v>32</v>
      </c>
      <c r="B768" t="s">
        <v>403</v>
      </c>
      <c r="C768">
        <f t="shared" si="36"/>
        <v>2024</v>
      </c>
      <c r="D768">
        <f t="shared" si="37"/>
        <v>6</v>
      </c>
      <c r="E768" t="str">
        <f t="shared" si="38"/>
        <v>2024-6</v>
      </c>
      <c r="H768" t="s">
        <v>64</v>
      </c>
      <c r="I768" t="s">
        <v>503</v>
      </c>
    </row>
    <row r="769" spans="1:9" x14ac:dyDescent="0.25">
      <c r="A769" t="s">
        <v>252</v>
      </c>
      <c r="B769" t="s">
        <v>403</v>
      </c>
      <c r="C769">
        <f t="shared" si="36"/>
        <v>2024</v>
      </c>
      <c r="D769">
        <f t="shared" si="37"/>
        <v>6</v>
      </c>
      <c r="E769" t="str">
        <f t="shared" si="38"/>
        <v>2024-6</v>
      </c>
      <c r="H769" t="s">
        <v>64</v>
      </c>
      <c r="I769" t="s">
        <v>504</v>
      </c>
    </row>
    <row r="770" spans="1:9" x14ac:dyDescent="0.25">
      <c r="A770" t="s">
        <v>73</v>
      </c>
      <c r="B770" t="s">
        <v>403</v>
      </c>
      <c r="C770">
        <f t="shared" si="36"/>
        <v>2024</v>
      </c>
      <c r="D770">
        <f t="shared" si="37"/>
        <v>6</v>
      </c>
      <c r="E770" t="str">
        <f t="shared" si="38"/>
        <v>2024-6</v>
      </c>
      <c r="H770" t="s">
        <v>309</v>
      </c>
      <c r="I770" t="s">
        <v>500</v>
      </c>
    </row>
    <row r="771" spans="1:9" x14ac:dyDescent="0.25">
      <c r="A771" t="s">
        <v>184</v>
      </c>
      <c r="B771" t="s">
        <v>404</v>
      </c>
      <c r="C771">
        <f t="shared" ref="C771:C834" si="39">YEAR(B771)</f>
        <v>2024</v>
      </c>
      <c r="D771">
        <f t="shared" ref="D771:D834" si="40">MONTH(B771)</f>
        <v>6</v>
      </c>
      <c r="E771" t="str">
        <f t="shared" ref="E771:E834" si="41">C771&amp;"-"&amp;D771</f>
        <v>2024-6</v>
      </c>
      <c r="H771" t="s">
        <v>309</v>
      </c>
      <c r="I771" t="s">
        <v>503</v>
      </c>
    </row>
    <row r="772" spans="1:9" x14ac:dyDescent="0.25">
      <c r="A772" t="s">
        <v>298</v>
      </c>
      <c r="B772" t="s">
        <v>404</v>
      </c>
      <c r="C772">
        <f t="shared" si="39"/>
        <v>2024</v>
      </c>
      <c r="D772">
        <f t="shared" si="40"/>
        <v>6</v>
      </c>
      <c r="E772" t="str">
        <f t="shared" si="41"/>
        <v>2024-6</v>
      </c>
      <c r="H772" t="s">
        <v>309</v>
      </c>
      <c r="I772" t="s">
        <v>504</v>
      </c>
    </row>
    <row r="773" spans="1:9" x14ac:dyDescent="0.25">
      <c r="A773" t="s">
        <v>243</v>
      </c>
      <c r="B773" t="s">
        <v>404</v>
      </c>
      <c r="C773">
        <f t="shared" si="39"/>
        <v>2024</v>
      </c>
      <c r="D773">
        <f t="shared" si="40"/>
        <v>6</v>
      </c>
      <c r="E773" t="str">
        <f t="shared" si="41"/>
        <v>2024-6</v>
      </c>
      <c r="H773" t="s">
        <v>63</v>
      </c>
      <c r="I773" t="s">
        <v>495</v>
      </c>
    </row>
    <row r="774" spans="1:9" x14ac:dyDescent="0.25">
      <c r="A774" t="s">
        <v>32</v>
      </c>
      <c r="B774" t="s">
        <v>404</v>
      </c>
      <c r="C774">
        <f t="shared" si="39"/>
        <v>2024</v>
      </c>
      <c r="D774">
        <f t="shared" si="40"/>
        <v>6</v>
      </c>
      <c r="E774" t="str">
        <f t="shared" si="41"/>
        <v>2024-6</v>
      </c>
      <c r="H774" t="s">
        <v>63</v>
      </c>
      <c r="I774" t="s">
        <v>498</v>
      </c>
    </row>
    <row r="775" spans="1:9" x14ac:dyDescent="0.25">
      <c r="A775" t="s">
        <v>68</v>
      </c>
      <c r="B775" t="s">
        <v>404</v>
      </c>
      <c r="C775">
        <f t="shared" si="39"/>
        <v>2024</v>
      </c>
      <c r="D775">
        <f t="shared" si="40"/>
        <v>6</v>
      </c>
      <c r="E775" t="str">
        <f t="shared" si="41"/>
        <v>2024-6</v>
      </c>
      <c r="H775" t="s">
        <v>63</v>
      </c>
      <c r="I775" t="s">
        <v>502</v>
      </c>
    </row>
    <row r="776" spans="1:9" x14ac:dyDescent="0.25">
      <c r="A776" t="s">
        <v>309</v>
      </c>
      <c r="B776" t="s">
        <v>405</v>
      </c>
      <c r="C776">
        <f t="shared" si="39"/>
        <v>2024</v>
      </c>
      <c r="D776">
        <f t="shared" si="40"/>
        <v>6</v>
      </c>
      <c r="E776" t="str">
        <f t="shared" si="41"/>
        <v>2024-6</v>
      </c>
      <c r="H776" t="s">
        <v>63</v>
      </c>
      <c r="I776" t="s">
        <v>506</v>
      </c>
    </row>
    <row r="777" spans="1:9" x14ac:dyDescent="0.25">
      <c r="A777" t="s">
        <v>152</v>
      </c>
      <c r="B777" t="s">
        <v>405</v>
      </c>
      <c r="C777">
        <f t="shared" si="39"/>
        <v>2024</v>
      </c>
      <c r="D777">
        <f t="shared" si="40"/>
        <v>6</v>
      </c>
      <c r="E777" t="str">
        <f t="shared" si="41"/>
        <v>2024-6</v>
      </c>
      <c r="H777" t="s">
        <v>296</v>
      </c>
      <c r="I777" t="s">
        <v>500</v>
      </c>
    </row>
    <row r="778" spans="1:9" x14ac:dyDescent="0.25">
      <c r="A778" t="s">
        <v>158</v>
      </c>
      <c r="B778" t="s">
        <v>405</v>
      </c>
      <c r="C778">
        <f t="shared" si="39"/>
        <v>2024</v>
      </c>
      <c r="D778">
        <f t="shared" si="40"/>
        <v>6</v>
      </c>
      <c r="E778" t="str">
        <f t="shared" si="41"/>
        <v>2024-6</v>
      </c>
      <c r="H778" t="s">
        <v>296</v>
      </c>
      <c r="I778" t="s">
        <v>502</v>
      </c>
    </row>
    <row r="779" spans="1:9" x14ac:dyDescent="0.25">
      <c r="A779" t="s">
        <v>26</v>
      </c>
      <c r="B779" t="s">
        <v>405</v>
      </c>
      <c r="C779">
        <f t="shared" si="39"/>
        <v>2024</v>
      </c>
      <c r="D779">
        <f t="shared" si="40"/>
        <v>6</v>
      </c>
      <c r="E779" t="str">
        <f t="shared" si="41"/>
        <v>2024-6</v>
      </c>
      <c r="H779" t="s">
        <v>296</v>
      </c>
      <c r="I779" t="s">
        <v>506</v>
      </c>
    </row>
    <row r="780" spans="1:9" x14ac:dyDescent="0.25">
      <c r="A780" t="s">
        <v>239</v>
      </c>
      <c r="B780" t="s">
        <v>405</v>
      </c>
      <c r="C780">
        <f t="shared" si="39"/>
        <v>2024</v>
      </c>
      <c r="D780">
        <f t="shared" si="40"/>
        <v>6</v>
      </c>
      <c r="E780" t="str">
        <f t="shared" si="41"/>
        <v>2024-6</v>
      </c>
      <c r="H780" t="s">
        <v>170</v>
      </c>
      <c r="I780" t="s">
        <v>496</v>
      </c>
    </row>
    <row r="781" spans="1:9" x14ac:dyDescent="0.25">
      <c r="A781" t="s">
        <v>252</v>
      </c>
      <c r="B781" t="s">
        <v>405</v>
      </c>
      <c r="C781">
        <f t="shared" si="39"/>
        <v>2024</v>
      </c>
      <c r="D781">
        <f t="shared" si="40"/>
        <v>6</v>
      </c>
      <c r="E781" t="str">
        <f t="shared" si="41"/>
        <v>2024-6</v>
      </c>
      <c r="H781" t="s">
        <v>170</v>
      </c>
      <c r="I781" t="s">
        <v>497</v>
      </c>
    </row>
    <row r="782" spans="1:9" x14ac:dyDescent="0.25">
      <c r="A782" t="s">
        <v>46</v>
      </c>
      <c r="B782" t="s">
        <v>405</v>
      </c>
      <c r="C782">
        <f t="shared" si="39"/>
        <v>2024</v>
      </c>
      <c r="D782">
        <f t="shared" si="40"/>
        <v>6</v>
      </c>
      <c r="E782" t="str">
        <f t="shared" si="41"/>
        <v>2024-6</v>
      </c>
      <c r="H782" t="s">
        <v>170</v>
      </c>
      <c r="I782" t="s">
        <v>498</v>
      </c>
    </row>
    <row r="783" spans="1:9" x14ac:dyDescent="0.25">
      <c r="A783" t="s">
        <v>90</v>
      </c>
      <c r="B783" t="s">
        <v>405</v>
      </c>
      <c r="C783">
        <f t="shared" si="39"/>
        <v>2024</v>
      </c>
      <c r="D783">
        <f t="shared" si="40"/>
        <v>6</v>
      </c>
      <c r="E783" t="str">
        <f t="shared" si="41"/>
        <v>2024-6</v>
      </c>
      <c r="H783" t="s">
        <v>170</v>
      </c>
      <c r="I783" t="s">
        <v>506</v>
      </c>
    </row>
    <row r="784" spans="1:9" x14ac:dyDescent="0.25">
      <c r="A784" t="s">
        <v>287</v>
      </c>
      <c r="B784" t="s">
        <v>405</v>
      </c>
      <c r="C784">
        <f t="shared" si="39"/>
        <v>2024</v>
      </c>
      <c r="D784">
        <f t="shared" si="40"/>
        <v>6</v>
      </c>
      <c r="E784" t="str">
        <f t="shared" si="41"/>
        <v>2024-6</v>
      </c>
      <c r="H784" t="s">
        <v>252</v>
      </c>
      <c r="I784" t="s">
        <v>498</v>
      </c>
    </row>
    <row r="785" spans="1:9" x14ac:dyDescent="0.25">
      <c r="A785" t="s">
        <v>19</v>
      </c>
      <c r="B785" t="s">
        <v>406</v>
      </c>
      <c r="C785">
        <f t="shared" si="39"/>
        <v>2024</v>
      </c>
      <c r="D785">
        <f t="shared" si="40"/>
        <v>6</v>
      </c>
      <c r="E785" t="str">
        <f t="shared" si="41"/>
        <v>2024-6</v>
      </c>
      <c r="H785" t="s">
        <v>252</v>
      </c>
      <c r="I785" t="s">
        <v>504</v>
      </c>
    </row>
    <row r="786" spans="1:9" x14ac:dyDescent="0.25">
      <c r="A786" t="s">
        <v>119</v>
      </c>
      <c r="B786" t="s">
        <v>406</v>
      </c>
      <c r="C786">
        <f t="shared" si="39"/>
        <v>2024</v>
      </c>
      <c r="D786">
        <f t="shared" si="40"/>
        <v>6</v>
      </c>
      <c r="E786" t="str">
        <f t="shared" si="41"/>
        <v>2024-6</v>
      </c>
      <c r="H786" t="s">
        <v>252</v>
      </c>
      <c r="I786" t="s">
        <v>506</v>
      </c>
    </row>
    <row r="787" spans="1:9" x14ac:dyDescent="0.25">
      <c r="A787" t="s">
        <v>248</v>
      </c>
      <c r="B787" t="s">
        <v>406</v>
      </c>
      <c r="C787">
        <f t="shared" si="39"/>
        <v>2024</v>
      </c>
      <c r="D787">
        <f t="shared" si="40"/>
        <v>6</v>
      </c>
      <c r="E787" t="str">
        <f t="shared" si="41"/>
        <v>2024-6</v>
      </c>
      <c r="H787" t="s">
        <v>287</v>
      </c>
      <c r="I787" t="s">
        <v>500</v>
      </c>
    </row>
    <row r="788" spans="1:9" x14ac:dyDescent="0.25">
      <c r="A788" t="s">
        <v>91</v>
      </c>
      <c r="B788" t="s">
        <v>407</v>
      </c>
      <c r="C788">
        <f t="shared" si="39"/>
        <v>2024</v>
      </c>
      <c r="D788">
        <f t="shared" si="40"/>
        <v>6</v>
      </c>
      <c r="E788" t="str">
        <f t="shared" si="41"/>
        <v>2024-6</v>
      </c>
      <c r="H788" t="s">
        <v>287</v>
      </c>
      <c r="I788" t="s">
        <v>502</v>
      </c>
    </row>
    <row r="789" spans="1:9" x14ac:dyDescent="0.25">
      <c r="A789" t="s">
        <v>214</v>
      </c>
      <c r="B789" t="s">
        <v>407</v>
      </c>
      <c r="C789">
        <f t="shared" si="39"/>
        <v>2024</v>
      </c>
      <c r="D789">
        <f t="shared" si="40"/>
        <v>6</v>
      </c>
      <c r="E789" t="str">
        <f t="shared" si="41"/>
        <v>2024-6</v>
      </c>
      <c r="H789" t="s">
        <v>287</v>
      </c>
      <c r="I789" t="s">
        <v>503</v>
      </c>
    </row>
    <row r="790" spans="1:9" x14ac:dyDescent="0.25">
      <c r="A790" t="s">
        <v>298</v>
      </c>
      <c r="B790" t="s">
        <v>407</v>
      </c>
      <c r="C790">
        <f t="shared" si="39"/>
        <v>2024</v>
      </c>
      <c r="D790">
        <f t="shared" si="40"/>
        <v>6</v>
      </c>
      <c r="E790" t="str">
        <f t="shared" si="41"/>
        <v>2024-6</v>
      </c>
      <c r="H790" t="s">
        <v>287</v>
      </c>
      <c r="I790" t="s">
        <v>504</v>
      </c>
    </row>
    <row r="791" spans="1:9" x14ac:dyDescent="0.25">
      <c r="A791" t="s">
        <v>152</v>
      </c>
      <c r="B791" t="s">
        <v>408</v>
      </c>
      <c r="C791">
        <f t="shared" si="39"/>
        <v>2024</v>
      </c>
      <c r="D791">
        <f t="shared" si="40"/>
        <v>6</v>
      </c>
      <c r="E791" t="str">
        <f t="shared" si="41"/>
        <v>2024-6</v>
      </c>
      <c r="H791" t="s">
        <v>395</v>
      </c>
      <c r="I791" t="s">
        <v>504</v>
      </c>
    </row>
    <row r="792" spans="1:9" x14ac:dyDescent="0.25">
      <c r="A792" t="s">
        <v>188</v>
      </c>
      <c r="B792" t="s">
        <v>408</v>
      </c>
      <c r="C792">
        <f t="shared" si="39"/>
        <v>2024</v>
      </c>
      <c r="D792">
        <f t="shared" si="40"/>
        <v>6</v>
      </c>
      <c r="E792" t="str">
        <f t="shared" si="41"/>
        <v>2024-6</v>
      </c>
      <c r="H792" t="s">
        <v>395</v>
      </c>
      <c r="I792" t="s">
        <v>505</v>
      </c>
    </row>
    <row r="793" spans="1:9" x14ac:dyDescent="0.25">
      <c r="A793" t="s">
        <v>64</v>
      </c>
      <c r="B793" t="s">
        <v>408</v>
      </c>
      <c r="C793">
        <f t="shared" si="39"/>
        <v>2024</v>
      </c>
      <c r="D793">
        <f t="shared" si="40"/>
        <v>6</v>
      </c>
      <c r="E793" t="str">
        <f t="shared" si="41"/>
        <v>2024-6</v>
      </c>
      <c r="H793" t="s">
        <v>231</v>
      </c>
      <c r="I793" t="s">
        <v>498</v>
      </c>
    </row>
    <row r="794" spans="1:9" x14ac:dyDescent="0.25">
      <c r="A794" t="s">
        <v>41</v>
      </c>
      <c r="B794" t="s">
        <v>408</v>
      </c>
      <c r="C794">
        <f t="shared" si="39"/>
        <v>2024</v>
      </c>
      <c r="D794">
        <f t="shared" si="40"/>
        <v>6</v>
      </c>
      <c r="E794" t="str">
        <f t="shared" si="41"/>
        <v>2024-6</v>
      </c>
      <c r="H794" t="s">
        <v>231</v>
      </c>
      <c r="I794" t="s">
        <v>499</v>
      </c>
    </row>
    <row r="795" spans="1:9" x14ac:dyDescent="0.25">
      <c r="A795" t="s">
        <v>37</v>
      </c>
      <c r="B795" t="s">
        <v>408</v>
      </c>
      <c r="C795">
        <f t="shared" si="39"/>
        <v>2024</v>
      </c>
      <c r="D795">
        <f t="shared" si="40"/>
        <v>6</v>
      </c>
      <c r="E795" t="str">
        <f t="shared" si="41"/>
        <v>2024-6</v>
      </c>
      <c r="H795" t="s">
        <v>231</v>
      </c>
      <c r="I795" t="s">
        <v>505</v>
      </c>
    </row>
    <row r="796" spans="1:9" x14ac:dyDescent="0.25">
      <c r="A796" t="s">
        <v>9</v>
      </c>
      <c r="B796" t="s">
        <v>408</v>
      </c>
      <c r="C796">
        <f t="shared" si="39"/>
        <v>2024</v>
      </c>
      <c r="D796">
        <f t="shared" si="40"/>
        <v>6</v>
      </c>
      <c r="E796" t="str">
        <f t="shared" si="41"/>
        <v>2024-6</v>
      </c>
      <c r="H796" t="s">
        <v>231</v>
      </c>
      <c r="I796" t="s">
        <v>506</v>
      </c>
    </row>
    <row r="797" spans="1:9" x14ac:dyDescent="0.25">
      <c r="A797" t="s">
        <v>28</v>
      </c>
      <c r="B797" t="s">
        <v>408</v>
      </c>
      <c r="C797">
        <f t="shared" si="39"/>
        <v>2024</v>
      </c>
      <c r="D797">
        <f t="shared" si="40"/>
        <v>6</v>
      </c>
      <c r="E797" t="str">
        <f t="shared" si="41"/>
        <v>2024-6</v>
      </c>
      <c r="H797" t="s">
        <v>264</v>
      </c>
      <c r="I797" t="s">
        <v>499</v>
      </c>
    </row>
    <row r="798" spans="1:9" x14ac:dyDescent="0.25">
      <c r="A798" t="s">
        <v>344</v>
      </c>
      <c r="B798" t="s">
        <v>409</v>
      </c>
      <c r="C798">
        <f t="shared" si="39"/>
        <v>2024</v>
      </c>
      <c r="D798">
        <f t="shared" si="40"/>
        <v>6</v>
      </c>
      <c r="E798" t="str">
        <f t="shared" si="41"/>
        <v>2024-6</v>
      </c>
      <c r="H798" t="s">
        <v>264</v>
      </c>
      <c r="I798" t="s">
        <v>501</v>
      </c>
    </row>
    <row r="799" spans="1:9" x14ac:dyDescent="0.25">
      <c r="A799" t="s">
        <v>96</v>
      </c>
      <c r="B799" t="s">
        <v>409</v>
      </c>
      <c r="C799">
        <f t="shared" si="39"/>
        <v>2024</v>
      </c>
      <c r="D799">
        <f t="shared" si="40"/>
        <v>6</v>
      </c>
      <c r="E799" t="str">
        <f t="shared" si="41"/>
        <v>2024-6</v>
      </c>
      <c r="H799" t="s">
        <v>264</v>
      </c>
      <c r="I799" t="s">
        <v>503</v>
      </c>
    </row>
    <row r="800" spans="1:9" x14ac:dyDescent="0.25">
      <c r="A800" t="s">
        <v>84</v>
      </c>
      <c r="B800" t="s">
        <v>409</v>
      </c>
      <c r="C800">
        <f t="shared" si="39"/>
        <v>2024</v>
      </c>
      <c r="D800">
        <f t="shared" si="40"/>
        <v>6</v>
      </c>
      <c r="E800" t="str">
        <f t="shared" si="41"/>
        <v>2024-6</v>
      </c>
      <c r="H800" t="s">
        <v>264</v>
      </c>
      <c r="I800" t="s">
        <v>505</v>
      </c>
    </row>
    <row r="801" spans="1:9" x14ac:dyDescent="0.25">
      <c r="A801" t="s">
        <v>82</v>
      </c>
      <c r="B801" t="s">
        <v>410</v>
      </c>
      <c r="C801">
        <f t="shared" si="39"/>
        <v>2024</v>
      </c>
      <c r="D801">
        <f t="shared" si="40"/>
        <v>6</v>
      </c>
      <c r="E801" t="str">
        <f t="shared" si="41"/>
        <v>2024-6</v>
      </c>
      <c r="H801" t="s">
        <v>195</v>
      </c>
      <c r="I801" t="s">
        <v>497</v>
      </c>
    </row>
    <row r="802" spans="1:9" x14ac:dyDescent="0.25">
      <c r="A802" t="s">
        <v>205</v>
      </c>
      <c r="B802" t="s">
        <v>410</v>
      </c>
      <c r="C802">
        <f t="shared" si="39"/>
        <v>2024</v>
      </c>
      <c r="D802">
        <f t="shared" si="40"/>
        <v>6</v>
      </c>
      <c r="E802" t="str">
        <f t="shared" si="41"/>
        <v>2024-6</v>
      </c>
      <c r="H802" t="s">
        <v>195</v>
      </c>
      <c r="I802" t="s">
        <v>500</v>
      </c>
    </row>
    <row r="803" spans="1:9" x14ac:dyDescent="0.25">
      <c r="A803" t="s">
        <v>53</v>
      </c>
      <c r="B803" t="s">
        <v>410</v>
      </c>
      <c r="C803">
        <f t="shared" si="39"/>
        <v>2024</v>
      </c>
      <c r="D803">
        <f t="shared" si="40"/>
        <v>6</v>
      </c>
      <c r="E803" t="str">
        <f t="shared" si="41"/>
        <v>2024-6</v>
      </c>
      <c r="H803" t="s">
        <v>195</v>
      </c>
      <c r="I803" t="s">
        <v>501</v>
      </c>
    </row>
    <row r="804" spans="1:9" x14ac:dyDescent="0.25">
      <c r="A804" t="s">
        <v>68</v>
      </c>
      <c r="B804" t="s">
        <v>411</v>
      </c>
      <c r="C804">
        <f t="shared" si="39"/>
        <v>2024</v>
      </c>
      <c r="D804">
        <f t="shared" si="40"/>
        <v>6</v>
      </c>
      <c r="E804" t="str">
        <f t="shared" si="41"/>
        <v>2024-6</v>
      </c>
      <c r="H804" t="s">
        <v>195</v>
      </c>
      <c r="I804" t="s">
        <v>505</v>
      </c>
    </row>
    <row r="805" spans="1:9" x14ac:dyDescent="0.25">
      <c r="A805" t="s">
        <v>325</v>
      </c>
      <c r="B805" t="s">
        <v>412</v>
      </c>
      <c r="C805">
        <f t="shared" si="39"/>
        <v>2024</v>
      </c>
      <c r="D805">
        <f t="shared" si="40"/>
        <v>6</v>
      </c>
      <c r="E805" t="str">
        <f t="shared" si="41"/>
        <v>2024-6</v>
      </c>
      <c r="H805" t="s">
        <v>195</v>
      </c>
      <c r="I805" t="s">
        <v>506</v>
      </c>
    </row>
    <row r="806" spans="1:9" x14ac:dyDescent="0.25">
      <c r="A806" t="s">
        <v>78</v>
      </c>
      <c r="B806" t="s">
        <v>412</v>
      </c>
      <c r="C806">
        <f t="shared" si="39"/>
        <v>2024</v>
      </c>
      <c r="D806">
        <f t="shared" si="40"/>
        <v>6</v>
      </c>
      <c r="E806" t="str">
        <f t="shared" si="41"/>
        <v>2024-6</v>
      </c>
      <c r="H806" t="s">
        <v>43</v>
      </c>
      <c r="I806" t="s">
        <v>495</v>
      </c>
    </row>
    <row r="807" spans="1:9" x14ac:dyDescent="0.25">
      <c r="A807" t="s">
        <v>395</v>
      </c>
      <c r="B807" t="s">
        <v>412</v>
      </c>
      <c r="C807">
        <f t="shared" si="39"/>
        <v>2024</v>
      </c>
      <c r="D807">
        <f t="shared" si="40"/>
        <v>6</v>
      </c>
      <c r="E807" t="str">
        <f t="shared" si="41"/>
        <v>2024-6</v>
      </c>
      <c r="H807" t="s">
        <v>43</v>
      </c>
      <c r="I807" t="s">
        <v>497</v>
      </c>
    </row>
    <row r="808" spans="1:9" x14ac:dyDescent="0.25">
      <c r="A808" t="s">
        <v>307</v>
      </c>
      <c r="B808" t="s">
        <v>413</v>
      </c>
      <c r="C808">
        <f t="shared" si="39"/>
        <v>2024</v>
      </c>
      <c r="D808">
        <f t="shared" si="40"/>
        <v>6</v>
      </c>
      <c r="E808" t="str">
        <f t="shared" si="41"/>
        <v>2024-6</v>
      </c>
      <c r="H808" t="s">
        <v>43</v>
      </c>
      <c r="I808" t="s">
        <v>501</v>
      </c>
    </row>
    <row r="809" spans="1:9" x14ac:dyDescent="0.25">
      <c r="A809" t="s">
        <v>126</v>
      </c>
      <c r="B809" t="s">
        <v>413</v>
      </c>
      <c r="C809">
        <f t="shared" si="39"/>
        <v>2024</v>
      </c>
      <c r="D809">
        <f t="shared" si="40"/>
        <v>6</v>
      </c>
      <c r="E809" t="str">
        <f t="shared" si="41"/>
        <v>2024-6</v>
      </c>
      <c r="H809" t="s">
        <v>43</v>
      </c>
      <c r="I809" t="s">
        <v>502</v>
      </c>
    </row>
    <row r="810" spans="1:9" x14ac:dyDescent="0.25">
      <c r="A810" t="s">
        <v>249</v>
      </c>
      <c r="B810" t="s">
        <v>413</v>
      </c>
      <c r="C810">
        <f t="shared" si="39"/>
        <v>2024</v>
      </c>
      <c r="D810">
        <f t="shared" si="40"/>
        <v>6</v>
      </c>
      <c r="E810" t="str">
        <f t="shared" si="41"/>
        <v>2024-6</v>
      </c>
      <c r="H810" t="s">
        <v>167</v>
      </c>
      <c r="I810" t="s">
        <v>496</v>
      </c>
    </row>
    <row r="811" spans="1:9" x14ac:dyDescent="0.25">
      <c r="A811" t="s">
        <v>142</v>
      </c>
      <c r="B811" t="s">
        <v>414</v>
      </c>
      <c r="C811">
        <f t="shared" si="39"/>
        <v>2024</v>
      </c>
      <c r="D811">
        <f t="shared" si="40"/>
        <v>6</v>
      </c>
      <c r="E811" t="str">
        <f t="shared" si="41"/>
        <v>2024-6</v>
      </c>
      <c r="H811" t="s">
        <v>167</v>
      </c>
      <c r="I811" t="s">
        <v>502</v>
      </c>
    </row>
    <row r="812" spans="1:9" x14ac:dyDescent="0.25">
      <c r="A812" t="s">
        <v>19</v>
      </c>
      <c r="B812" t="s">
        <v>414</v>
      </c>
      <c r="C812">
        <f t="shared" si="39"/>
        <v>2024</v>
      </c>
      <c r="D812">
        <f t="shared" si="40"/>
        <v>6</v>
      </c>
      <c r="E812" t="str">
        <f t="shared" si="41"/>
        <v>2024-6</v>
      </c>
      <c r="H812" t="s">
        <v>167</v>
      </c>
      <c r="I812" t="s">
        <v>503</v>
      </c>
    </row>
    <row r="813" spans="1:9" x14ac:dyDescent="0.25">
      <c r="A813" t="s">
        <v>184</v>
      </c>
      <c r="B813" t="s">
        <v>414</v>
      </c>
      <c r="C813">
        <f t="shared" si="39"/>
        <v>2024</v>
      </c>
      <c r="D813">
        <f t="shared" si="40"/>
        <v>6</v>
      </c>
      <c r="E813" t="str">
        <f t="shared" si="41"/>
        <v>2024-6</v>
      </c>
      <c r="H813" t="s">
        <v>167</v>
      </c>
      <c r="I813" t="s">
        <v>505</v>
      </c>
    </row>
    <row r="814" spans="1:9" x14ac:dyDescent="0.25">
      <c r="A814" t="s">
        <v>214</v>
      </c>
      <c r="B814" t="s">
        <v>415</v>
      </c>
      <c r="C814">
        <f t="shared" si="39"/>
        <v>2024</v>
      </c>
      <c r="D814">
        <f t="shared" si="40"/>
        <v>7</v>
      </c>
      <c r="E814" t="str">
        <f t="shared" si="41"/>
        <v>2024-7</v>
      </c>
      <c r="H814" t="s">
        <v>182</v>
      </c>
      <c r="I814" t="s">
        <v>497</v>
      </c>
    </row>
    <row r="815" spans="1:9" x14ac:dyDescent="0.25">
      <c r="A815" t="s">
        <v>151</v>
      </c>
      <c r="B815" t="s">
        <v>415</v>
      </c>
      <c r="C815">
        <f t="shared" si="39"/>
        <v>2024</v>
      </c>
      <c r="D815">
        <f t="shared" si="40"/>
        <v>7</v>
      </c>
      <c r="E815" t="str">
        <f t="shared" si="41"/>
        <v>2024-7</v>
      </c>
      <c r="H815" t="s">
        <v>182</v>
      </c>
      <c r="I815" t="s">
        <v>506</v>
      </c>
    </row>
    <row r="816" spans="1:9" x14ac:dyDescent="0.25">
      <c r="A816" t="s">
        <v>307</v>
      </c>
      <c r="B816" t="s">
        <v>415</v>
      </c>
      <c r="C816">
        <f t="shared" si="39"/>
        <v>2024</v>
      </c>
      <c r="D816">
        <f t="shared" si="40"/>
        <v>7</v>
      </c>
      <c r="E816" t="str">
        <f t="shared" si="41"/>
        <v>2024-7</v>
      </c>
    </row>
    <row r="817" spans="1:5" x14ac:dyDescent="0.25">
      <c r="A817" t="s">
        <v>332</v>
      </c>
      <c r="B817" t="s">
        <v>415</v>
      </c>
      <c r="C817">
        <f t="shared" si="39"/>
        <v>2024</v>
      </c>
      <c r="D817">
        <f t="shared" si="40"/>
        <v>7</v>
      </c>
      <c r="E817" t="str">
        <f t="shared" si="41"/>
        <v>2024-7</v>
      </c>
    </row>
    <row r="818" spans="1:5" x14ac:dyDescent="0.25">
      <c r="A818" t="s">
        <v>49</v>
      </c>
      <c r="B818" t="s">
        <v>415</v>
      </c>
      <c r="C818">
        <f t="shared" si="39"/>
        <v>2024</v>
      </c>
      <c r="D818">
        <f t="shared" si="40"/>
        <v>7</v>
      </c>
      <c r="E818" t="str">
        <f t="shared" si="41"/>
        <v>2024-7</v>
      </c>
    </row>
    <row r="819" spans="1:5" x14ac:dyDescent="0.25">
      <c r="A819" t="s">
        <v>106</v>
      </c>
      <c r="B819" t="s">
        <v>415</v>
      </c>
      <c r="C819">
        <f t="shared" si="39"/>
        <v>2024</v>
      </c>
      <c r="D819">
        <f t="shared" si="40"/>
        <v>7</v>
      </c>
      <c r="E819" t="str">
        <f t="shared" si="41"/>
        <v>2024-7</v>
      </c>
    </row>
    <row r="820" spans="1:5" x14ac:dyDescent="0.25">
      <c r="A820" t="s">
        <v>82</v>
      </c>
      <c r="B820" t="s">
        <v>415</v>
      </c>
      <c r="C820">
        <f t="shared" si="39"/>
        <v>2024</v>
      </c>
      <c r="D820">
        <f t="shared" si="40"/>
        <v>7</v>
      </c>
      <c r="E820" t="str">
        <f t="shared" si="41"/>
        <v>2024-7</v>
      </c>
    </row>
    <row r="821" spans="1:5" x14ac:dyDescent="0.25">
      <c r="A821" t="s">
        <v>105</v>
      </c>
      <c r="B821" t="s">
        <v>415</v>
      </c>
      <c r="C821">
        <f t="shared" si="39"/>
        <v>2024</v>
      </c>
      <c r="D821">
        <f t="shared" si="40"/>
        <v>7</v>
      </c>
      <c r="E821" t="str">
        <f t="shared" si="41"/>
        <v>2024-7</v>
      </c>
    </row>
    <row r="822" spans="1:5" x14ac:dyDescent="0.25">
      <c r="A822" t="s">
        <v>243</v>
      </c>
      <c r="B822" t="s">
        <v>415</v>
      </c>
      <c r="C822">
        <f t="shared" si="39"/>
        <v>2024</v>
      </c>
      <c r="D822">
        <f t="shared" si="40"/>
        <v>7</v>
      </c>
      <c r="E822" t="str">
        <f t="shared" si="41"/>
        <v>2024-7</v>
      </c>
    </row>
    <row r="823" spans="1:5" x14ac:dyDescent="0.25">
      <c r="A823" t="s">
        <v>231</v>
      </c>
      <c r="B823" t="s">
        <v>415</v>
      </c>
      <c r="C823">
        <f t="shared" si="39"/>
        <v>2024</v>
      </c>
      <c r="D823">
        <f t="shared" si="40"/>
        <v>7</v>
      </c>
      <c r="E823" t="str">
        <f t="shared" si="41"/>
        <v>2024-7</v>
      </c>
    </row>
    <row r="824" spans="1:5" x14ac:dyDescent="0.25">
      <c r="A824" t="s">
        <v>338</v>
      </c>
      <c r="B824" t="s">
        <v>416</v>
      </c>
      <c r="C824">
        <f t="shared" si="39"/>
        <v>2024</v>
      </c>
      <c r="D824">
        <f t="shared" si="40"/>
        <v>7</v>
      </c>
      <c r="E824" t="str">
        <f t="shared" si="41"/>
        <v>2024-7</v>
      </c>
    </row>
    <row r="825" spans="1:5" x14ac:dyDescent="0.25">
      <c r="A825" t="s">
        <v>50</v>
      </c>
      <c r="B825" t="s">
        <v>416</v>
      </c>
      <c r="C825">
        <f t="shared" si="39"/>
        <v>2024</v>
      </c>
      <c r="D825">
        <f t="shared" si="40"/>
        <v>7</v>
      </c>
      <c r="E825" t="str">
        <f t="shared" si="41"/>
        <v>2024-7</v>
      </c>
    </row>
    <row r="826" spans="1:5" x14ac:dyDescent="0.25">
      <c r="A826" t="s">
        <v>81</v>
      </c>
      <c r="B826" t="s">
        <v>416</v>
      </c>
      <c r="C826">
        <f t="shared" si="39"/>
        <v>2024</v>
      </c>
      <c r="D826">
        <f t="shared" si="40"/>
        <v>7</v>
      </c>
      <c r="E826" t="str">
        <f t="shared" si="41"/>
        <v>2024-7</v>
      </c>
    </row>
    <row r="827" spans="1:5" x14ac:dyDescent="0.25">
      <c r="A827" t="s">
        <v>139</v>
      </c>
      <c r="B827" t="s">
        <v>416</v>
      </c>
      <c r="C827">
        <f t="shared" si="39"/>
        <v>2024</v>
      </c>
      <c r="D827">
        <f t="shared" si="40"/>
        <v>7</v>
      </c>
      <c r="E827" t="str">
        <f t="shared" si="41"/>
        <v>2024-7</v>
      </c>
    </row>
    <row r="828" spans="1:5" x14ac:dyDescent="0.25">
      <c r="A828" t="s">
        <v>33</v>
      </c>
      <c r="B828" t="s">
        <v>416</v>
      </c>
      <c r="C828">
        <f t="shared" si="39"/>
        <v>2024</v>
      </c>
      <c r="D828">
        <f t="shared" si="40"/>
        <v>7</v>
      </c>
      <c r="E828" t="str">
        <f t="shared" si="41"/>
        <v>2024-7</v>
      </c>
    </row>
    <row r="829" spans="1:5" x14ac:dyDescent="0.25">
      <c r="A829" t="s">
        <v>114</v>
      </c>
      <c r="B829" t="s">
        <v>416</v>
      </c>
      <c r="C829">
        <f t="shared" si="39"/>
        <v>2024</v>
      </c>
      <c r="D829">
        <f t="shared" si="40"/>
        <v>7</v>
      </c>
      <c r="E829" t="str">
        <f t="shared" si="41"/>
        <v>2024-7</v>
      </c>
    </row>
    <row r="830" spans="1:5" x14ac:dyDescent="0.25">
      <c r="A830" t="s">
        <v>243</v>
      </c>
      <c r="B830" t="s">
        <v>417</v>
      </c>
      <c r="C830">
        <f t="shared" si="39"/>
        <v>2024</v>
      </c>
      <c r="D830">
        <f t="shared" si="40"/>
        <v>7</v>
      </c>
      <c r="E830" t="str">
        <f t="shared" si="41"/>
        <v>2024-7</v>
      </c>
    </row>
    <row r="831" spans="1:5" x14ac:dyDescent="0.25">
      <c r="A831" t="s">
        <v>57</v>
      </c>
      <c r="B831" t="s">
        <v>418</v>
      </c>
      <c r="C831">
        <f t="shared" si="39"/>
        <v>2024</v>
      </c>
      <c r="D831">
        <f t="shared" si="40"/>
        <v>7</v>
      </c>
      <c r="E831" t="str">
        <f t="shared" si="41"/>
        <v>2024-7</v>
      </c>
    </row>
    <row r="832" spans="1:5" x14ac:dyDescent="0.25">
      <c r="A832" t="s">
        <v>195</v>
      </c>
      <c r="B832" t="s">
        <v>418</v>
      </c>
      <c r="C832">
        <f t="shared" si="39"/>
        <v>2024</v>
      </c>
      <c r="D832">
        <f t="shared" si="40"/>
        <v>7</v>
      </c>
      <c r="E832" t="str">
        <f t="shared" si="41"/>
        <v>2024-7</v>
      </c>
    </row>
    <row r="833" spans="1:5" x14ac:dyDescent="0.25">
      <c r="A833" t="s">
        <v>141</v>
      </c>
      <c r="B833" t="s">
        <v>418</v>
      </c>
      <c r="C833">
        <f t="shared" si="39"/>
        <v>2024</v>
      </c>
      <c r="D833">
        <f t="shared" si="40"/>
        <v>7</v>
      </c>
      <c r="E833" t="str">
        <f t="shared" si="41"/>
        <v>2024-7</v>
      </c>
    </row>
    <row r="834" spans="1:5" x14ac:dyDescent="0.25">
      <c r="A834" t="s">
        <v>148</v>
      </c>
      <c r="B834" t="s">
        <v>419</v>
      </c>
      <c r="C834">
        <f t="shared" si="39"/>
        <v>2024</v>
      </c>
      <c r="D834">
        <f t="shared" si="40"/>
        <v>7</v>
      </c>
      <c r="E834" t="str">
        <f t="shared" si="41"/>
        <v>2024-7</v>
      </c>
    </row>
    <row r="835" spans="1:5" x14ac:dyDescent="0.25">
      <c r="A835" t="s">
        <v>22</v>
      </c>
      <c r="B835" t="s">
        <v>419</v>
      </c>
      <c r="C835">
        <f t="shared" ref="C835:C898" si="42">YEAR(B835)</f>
        <v>2024</v>
      </c>
      <c r="D835">
        <f t="shared" ref="D835:D898" si="43">MONTH(B835)</f>
        <v>7</v>
      </c>
      <c r="E835" t="str">
        <f t="shared" ref="E835:E898" si="44">C835&amp;"-"&amp;D835</f>
        <v>2024-7</v>
      </c>
    </row>
    <row r="836" spans="1:5" x14ac:dyDescent="0.25">
      <c r="A836" t="s">
        <v>6</v>
      </c>
      <c r="B836" t="s">
        <v>420</v>
      </c>
      <c r="C836">
        <f t="shared" si="42"/>
        <v>2024</v>
      </c>
      <c r="D836">
        <f t="shared" si="43"/>
        <v>7</v>
      </c>
      <c r="E836" t="str">
        <f t="shared" si="44"/>
        <v>2024-7</v>
      </c>
    </row>
    <row r="837" spans="1:5" x14ac:dyDescent="0.25">
      <c r="A837" t="s">
        <v>167</v>
      </c>
      <c r="B837" t="s">
        <v>420</v>
      </c>
      <c r="C837">
        <f t="shared" si="42"/>
        <v>2024</v>
      </c>
      <c r="D837">
        <f t="shared" si="43"/>
        <v>7</v>
      </c>
      <c r="E837" t="str">
        <f t="shared" si="44"/>
        <v>2024-7</v>
      </c>
    </row>
    <row r="838" spans="1:5" x14ac:dyDescent="0.25">
      <c r="A838" t="s">
        <v>113</v>
      </c>
      <c r="B838" t="s">
        <v>420</v>
      </c>
      <c r="C838">
        <f t="shared" si="42"/>
        <v>2024</v>
      </c>
      <c r="D838">
        <f t="shared" si="43"/>
        <v>7</v>
      </c>
      <c r="E838" t="str">
        <f t="shared" si="44"/>
        <v>2024-7</v>
      </c>
    </row>
    <row r="839" spans="1:5" x14ac:dyDescent="0.25">
      <c r="A839" t="s">
        <v>264</v>
      </c>
      <c r="B839" t="s">
        <v>420</v>
      </c>
      <c r="C839">
        <f t="shared" si="42"/>
        <v>2024</v>
      </c>
      <c r="D839">
        <f t="shared" si="43"/>
        <v>7</v>
      </c>
      <c r="E839" t="str">
        <f t="shared" si="44"/>
        <v>2024-7</v>
      </c>
    </row>
    <row r="840" spans="1:5" x14ac:dyDescent="0.25">
      <c r="A840" t="s">
        <v>146</v>
      </c>
      <c r="B840" t="s">
        <v>420</v>
      </c>
      <c r="C840">
        <f t="shared" si="42"/>
        <v>2024</v>
      </c>
      <c r="D840">
        <f t="shared" si="43"/>
        <v>7</v>
      </c>
      <c r="E840" t="str">
        <f t="shared" si="44"/>
        <v>2024-7</v>
      </c>
    </row>
    <row r="841" spans="1:5" x14ac:dyDescent="0.25">
      <c r="A841" t="s">
        <v>50</v>
      </c>
      <c r="B841" t="s">
        <v>420</v>
      </c>
      <c r="C841">
        <f t="shared" si="42"/>
        <v>2024</v>
      </c>
      <c r="D841">
        <f t="shared" si="43"/>
        <v>7</v>
      </c>
      <c r="E841" t="str">
        <f t="shared" si="44"/>
        <v>2024-7</v>
      </c>
    </row>
    <row r="842" spans="1:5" x14ac:dyDescent="0.25">
      <c r="A842" t="s">
        <v>125</v>
      </c>
      <c r="B842" t="s">
        <v>421</v>
      </c>
      <c r="C842">
        <f t="shared" si="42"/>
        <v>2024</v>
      </c>
      <c r="D842">
        <f t="shared" si="43"/>
        <v>7</v>
      </c>
      <c r="E842" t="str">
        <f t="shared" si="44"/>
        <v>2024-7</v>
      </c>
    </row>
    <row r="843" spans="1:5" x14ac:dyDescent="0.25">
      <c r="A843" t="s">
        <v>33</v>
      </c>
      <c r="B843" t="s">
        <v>421</v>
      </c>
      <c r="C843">
        <f t="shared" si="42"/>
        <v>2024</v>
      </c>
      <c r="D843">
        <f t="shared" si="43"/>
        <v>7</v>
      </c>
      <c r="E843" t="str">
        <f t="shared" si="44"/>
        <v>2024-7</v>
      </c>
    </row>
    <row r="844" spans="1:5" x14ac:dyDescent="0.25">
      <c r="A844" t="s">
        <v>180</v>
      </c>
      <c r="B844" t="s">
        <v>422</v>
      </c>
      <c r="C844">
        <f t="shared" si="42"/>
        <v>2024</v>
      </c>
      <c r="D844">
        <f t="shared" si="43"/>
        <v>7</v>
      </c>
      <c r="E844" t="str">
        <f t="shared" si="44"/>
        <v>2024-7</v>
      </c>
    </row>
    <row r="845" spans="1:5" x14ac:dyDescent="0.25">
      <c r="A845" t="s">
        <v>363</v>
      </c>
      <c r="B845" t="s">
        <v>422</v>
      </c>
      <c r="C845">
        <f t="shared" si="42"/>
        <v>2024</v>
      </c>
      <c r="D845">
        <f t="shared" si="43"/>
        <v>7</v>
      </c>
      <c r="E845" t="str">
        <f t="shared" si="44"/>
        <v>2024-7</v>
      </c>
    </row>
    <row r="846" spans="1:5" x14ac:dyDescent="0.25">
      <c r="A846" t="s">
        <v>395</v>
      </c>
      <c r="B846" t="s">
        <v>422</v>
      </c>
      <c r="C846">
        <f t="shared" si="42"/>
        <v>2024</v>
      </c>
      <c r="D846">
        <f t="shared" si="43"/>
        <v>7</v>
      </c>
      <c r="E846" t="str">
        <f t="shared" si="44"/>
        <v>2024-7</v>
      </c>
    </row>
    <row r="847" spans="1:5" x14ac:dyDescent="0.25">
      <c r="A847" t="s">
        <v>19</v>
      </c>
      <c r="B847" t="s">
        <v>422</v>
      </c>
      <c r="C847">
        <f t="shared" si="42"/>
        <v>2024</v>
      </c>
      <c r="D847">
        <f t="shared" si="43"/>
        <v>7</v>
      </c>
      <c r="E847" t="str">
        <f t="shared" si="44"/>
        <v>2024-7</v>
      </c>
    </row>
    <row r="848" spans="1:5" x14ac:dyDescent="0.25">
      <c r="A848" t="s">
        <v>124</v>
      </c>
      <c r="B848" t="s">
        <v>422</v>
      </c>
      <c r="C848">
        <f t="shared" si="42"/>
        <v>2024</v>
      </c>
      <c r="D848">
        <f t="shared" si="43"/>
        <v>7</v>
      </c>
      <c r="E848" t="str">
        <f t="shared" si="44"/>
        <v>2024-7</v>
      </c>
    </row>
    <row r="849" spans="1:5" x14ac:dyDescent="0.25">
      <c r="A849" t="s">
        <v>92</v>
      </c>
      <c r="B849" t="s">
        <v>423</v>
      </c>
      <c r="C849">
        <f t="shared" si="42"/>
        <v>2024</v>
      </c>
      <c r="D849">
        <f t="shared" si="43"/>
        <v>7</v>
      </c>
      <c r="E849" t="str">
        <f t="shared" si="44"/>
        <v>2024-7</v>
      </c>
    </row>
    <row r="850" spans="1:5" x14ac:dyDescent="0.25">
      <c r="A850" t="s">
        <v>53</v>
      </c>
      <c r="B850" t="s">
        <v>423</v>
      </c>
      <c r="C850">
        <f t="shared" si="42"/>
        <v>2024</v>
      </c>
      <c r="D850">
        <f t="shared" si="43"/>
        <v>7</v>
      </c>
      <c r="E850" t="str">
        <f t="shared" si="44"/>
        <v>2024-7</v>
      </c>
    </row>
    <row r="851" spans="1:5" x14ac:dyDescent="0.25">
      <c r="A851" t="s">
        <v>69</v>
      </c>
      <c r="B851" t="s">
        <v>423</v>
      </c>
      <c r="C851">
        <f t="shared" si="42"/>
        <v>2024</v>
      </c>
      <c r="D851">
        <f t="shared" si="43"/>
        <v>7</v>
      </c>
      <c r="E851" t="str">
        <f t="shared" si="44"/>
        <v>2024-7</v>
      </c>
    </row>
    <row r="852" spans="1:5" x14ac:dyDescent="0.25">
      <c r="A852" t="s">
        <v>149</v>
      </c>
      <c r="B852" t="s">
        <v>424</v>
      </c>
      <c r="C852">
        <f t="shared" si="42"/>
        <v>2024</v>
      </c>
      <c r="D852">
        <f t="shared" si="43"/>
        <v>7</v>
      </c>
      <c r="E852" t="str">
        <f t="shared" si="44"/>
        <v>2024-7</v>
      </c>
    </row>
    <row r="853" spans="1:5" x14ac:dyDescent="0.25">
      <c r="A853" t="s">
        <v>41</v>
      </c>
      <c r="B853" t="s">
        <v>424</v>
      </c>
      <c r="C853">
        <f t="shared" si="42"/>
        <v>2024</v>
      </c>
      <c r="D853">
        <f t="shared" si="43"/>
        <v>7</v>
      </c>
      <c r="E853" t="str">
        <f t="shared" si="44"/>
        <v>2024-7</v>
      </c>
    </row>
    <row r="854" spans="1:5" x14ac:dyDescent="0.25">
      <c r="A854" t="s">
        <v>73</v>
      </c>
      <c r="B854" t="s">
        <v>424</v>
      </c>
      <c r="C854">
        <f t="shared" si="42"/>
        <v>2024</v>
      </c>
      <c r="D854">
        <f t="shared" si="43"/>
        <v>7</v>
      </c>
      <c r="E854" t="str">
        <f t="shared" si="44"/>
        <v>2024-7</v>
      </c>
    </row>
    <row r="855" spans="1:5" x14ac:dyDescent="0.25">
      <c r="A855" t="s">
        <v>130</v>
      </c>
      <c r="B855" t="s">
        <v>424</v>
      </c>
      <c r="C855">
        <f t="shared" si="42"/>
        <v>2024</v>
      </c>
      <c r="D855">
        <f t="shared" si="43"/>
        <v>7</v>
      </c>
      <c r="E855" t="str">
        <f t="shared" si="44"/>
        <v>2024-7</v>
      </c>
    </row>
    <row r="856" spans="1:5" x14ac:dyDescent="0.25">
      <c r="A856" t="s">
        <v>249</v>
      </c>
      <c r="B856" t="s">
        <v>425</v>
      </c>
      <c r="C856">
        <f t="shared" si="42"/>
        <v>2024</v>
      </c>
      <c r="D856">
        <f t="shared" si="43"/>
        <v>7</v>
      </c>
      <c r="E856" t="str">
        <f t="shared" si="44"/>
        <v>2024-7</v>
      </c>
    </row>
    <row r="857" spans="1:5" x14ac:dyDescent="0.25">
      <c r="A857" t="s">
        <v>144</v>
      </c>
      <c r="B857" t="s">
        <v>425</v>
      </c>
      <c r="C857">
        <f t="shared" si="42"/>
        <v>2024</v>
      </c>
      <c r="D857">
        <f t="shared" si="43"/>
        <v>7</v>
      </c>
      <c r="E857" t="str">
        <f t="shared" si="44"/>
        <v>2024-7</v>
      </c>
    </row>
    <row r="858" spans="1:5" x14ac:dyDescent="0.25">
      <c r="A858" t="s">
        <v>35</v>
      </c>
      <c r="B858" t="s">
        <v>426</v>
      </c>
      <c r="C858">
        <f t="shared" si="42"/>
        <v>2024</v>
      </c>
      <c r="D858">
        <f t="shared" si="43"/>
        <v>7</v>
      </c>
      <c r="E858" t="str">
        <f t="shared" si="44"/>
        <v>2024-7</v>
      </c>
    </row>
    <row r="859" spans="1:5" x14ac:dyDescent="0.25">
      <c r="A859" t="s">
        <v>148</v>
      </c>
      <c r="B859" t="s">
        <v>426</v>
      </c>
      <c r="C859">
        <f t="shared" si="42"/>
        <v>2024</v>
      </c>
      <c r="D859">
        <f t="shared" si="43"/>
        <v>7</v>
      </c>
      <c r="E859" t="str">
        <f t="shared" si="44"/>
        <v>2024-7</v>
      </c>
    </row>
    <row r="860" spans="1:5" x14ac:dyDescent="0.25">
      <c r="A860" t="s">
        <v>24</v>
      </c>
      <c r="B860" t="s">
        <v>427</v>
      </c>
      <c r="C860">
        <f t="shared" si="42"/>
        <v>2024</v>
      </c>
      <c r="D860">
        <f t="shared" si="43"/>
        <v>7</v>
      </c>
      <c r="E860" t="str">
        <f t="shared" si="44"/>
        <v>2024-7</v>
      </c>
    </row>
    <row r="861" spans="1:5" x14ac:dyDescent="0.25">
      <c r="A861" t="s">
        <v>21</v>
      </c>
      <c r="B861" t="s">
        <v>427</v>
      </c>
      <c r="C861">
        <f t="shared" si="42"/>
        <v>2024</v>
      </c>
      <c r="D861">
        <f t="shared" si="43"/>
        <v>7</v>
      </c>
      <c r="E861" t="str">
        <f t="shared" si="44"/>
        <v>2024-7</v>
      </c>
    </row>
    <row r="862" spans="1:5" x14ac:dyDescent="0.25">
      <c r="A862" t="s">
        <v>393</v>
      </c>
      <c r="B862" t="s">
        <v>427</v>
      </c>
      <c r="C862">
        <f t="shared" si="42"/>
        <v>2024</v>
      </c>
      <c r="D862">
        <f t="shared" si="43"/>
        <v>7</v>
      </c>
      <c r="E862" t="str">
        <f t="shared" si="44"/>
        <v>2024-7</v>
      </c>
    </row>
    <row r="863" spans="1:5" x14ac:dyDescent="0.25">
      <c r="A863" t="s">
        <v>205</v>
      </c>
      <c r="B863" t="s">
        <v>427</v>
      </c>
      <c r="C863">
        <f t="shared" si="42"/>
        <v>2024</v>
      </c>
      <c r="D863">
        <f t="shared" si="43"/>
        <v>7</v>
      </c>
      <c r="E863" t="str">
        <f t="shared" si="44"/>
        <v>2024-7</v>
      </c>
    </row>
    <row r="864" spans="1:5" x14ac:dyDescent="0.25">
      <c r="A864" t="s">
        <v>91</v>
      </c>
      <c r="B864" t="s">
        <v>428</v>
      </c>
      <c r="C864">
        <f t="shared" si="42"/>
        <v>2024</v>
      </c>
      <c r="D864">
        <f t="shared" si="43"/>
        <v>7</v>
      </c>
      <c r="E864" t="str">
        <f t="shared" si="44"/>
        <v>2024-7</v>
      </c>
    </row>
    <row r="865" spans="1:5" x14ac:dyDescent="0.25">
      <c r="A865" t="s">
        <v>395</v>
      </c>
      <c r="B865" t="s">
        <v>428</v>
      </c>
      <c r="C865">
        <f t="shared" si="42"/>
        <v>2024</v>
      </c>
      <c r="D865">
        <f t="shared" si="43"/>
        <v>7</v>
      </c>
      <c r="E865" t="str">
        <f t="shared" si="44"/>
        <v>2024-7</v>
      </c>
    </row>
    <row r="866" spans="1:5" x14ac:dyDescent="0.25">
      <c r="A866" t="s">
        <v>92</v>
      </c>
      <c r="B866" t="s">
        <v>429</v>
      </c>
      <c r="C866">
        <f t="shared" si="42"/>
        <v>2024</v>
      </c>
      <c r="D866">
        <f t="shared" si="43"/>
        <v>7</v>
      </c>
      <c r="E866" t="str">
        <f t="shared" si="44"/>
        <v>2024-7</v>
      </c>
    </row>
    <row r="867" spans="1:5" x14ac:dyDescent="0.25">
      <c r="A867" t="s">
        <v>67</v>
      </c>
      <c r="B867" t="s">
        <v>429</v>
      </c>
      <c r="C867">
        <f t="shared" si="42"/>
        <v>2024</v>
      </c>
      <c r="D867">
        <f t="shared" si="43"/>
        <v>7</v>
      </c>
      <c r="E867" t="str">
        <f t="shared" si="44"/>
        <v>2024-7</v>
      </c>
    </row>
    <row r="868" spans="1:5" x14ac:dyDescent="0.25">
      <c r="A868" t="s">
        <v>59</v>
      </c>
      <c r="B868" t="s">
        <v>429</v>
      </c>
      <c r="C868">
        <f t="shared" si="42"/>
        <v>2024</v>
      </c>
      <c r="D868">
        <f t="shared" si="43"/>
        <v>7</v>
      </c>
      <c r="E868" t="str">
        <f t="shared" si="44"/>
        <v>2024-7</v>
      </c>
    </row>
    <row r="869" spans="1:5" x14ac:dyDescent="0.25">
      <c r="A869" t="s">
        <v>66</v>
      </c>
      <c r="B869" t="s">
        <v>430</v>
      </c>
      <c r="C869">
        <f t="shared" si="42"/>
        <v>2024</v>
      </c>
      <c r="D869">
        <f t="shared" si="43"/>
        <v>7</v>
      </c>
      <c r="E869" t="str">
        <f t="shared" si="44"/>
        <v>2024-7</v>
      </c>
    </row>
    <row r="870" spans="1:5" x14ac:dyDescent="0.25">
      <c r="A870" t="s">
        <v>233</v>
      </c>
      <c r="B870" t="s">
        <v>430</v>
      </c>
      <c r="C870">
        <f t="shared" si="42"/>
        <v>2024</v>
      </c>
      <c r="D870">
        <f t="shared" si="43"/>
        <v>7</v>
      </c>
      <c r="E870" t="str">
        <f t="shared" si="44"/>
        <v>2024-7</v>
      </c>
    </row>
    <row r="871" spans="1:5" x14ac:dyDescent="0.25">
      <c r="A871" t="s">
        <v>65</v>
      </c>
      <c r="B871" t="s">
        <v>430</v>
      </c>
      <c r="C871">
        <f t="shared" si="42"/>
        <v>2024</v>
      </c>
      <c r="D871">
        <f t="shared" si="43"/>
        <v>7</v>
      </c>
      <c r="E871" t="str">
        <f t="shared" si="44"/>
        <v>2024-7</v>
      </c>
    </row>
    <row r="872" spans="1:5" x14ac:dyDescent="0.25">
      <c r="A872" t="s">
        <v>80</v>
      </c>
      <c r="B872" t="s">
        <v>430</v>
      </c>
      <c r="C872">
        <f t="shared" si="42"/>
        <v>2024</v>
      </c>
      <c r="D872">
        <f t="shared" si="43"/>
        <v>7</v>
      </c>
      <c r="E872" t="str">
        <f t="shared" si="44"/>
        <v>2024-7</v>
      </c>
    </row>
    <row r="873" spans="1:5" x14ac:dyDescent="0.25">
      <c r="A873" t="s">
        <v>224</v>
      </c>
      <c r="B873" t="s">
        <v>430</v>
      </c>
      <c r="C873">
        <f t="shared" si="42"/>
        <v>2024</v>
      </c>
      <c r="D873">
        <f t="shared" si="43"/>
        <v>7</v>
      </c>
      <c r="E873" t="str">
        <f t="shared" si="44"/>
        <v>2024-7</v>
      </c>
    </row>
    <row r="874" spans="1:5" x14ac:dyDescent="0.25">
      <c r="A874" t="s">
        <v>194</v>
      </c>
      <c r="B874" t="s">
        <v>430</v>
      </c>
      <c r="C874">
        <f t="shared" si="42"/>
        <v>2024</v>
      </c>
      <c r="D874">
        <f t="shared" si="43"/>
        <v>7</v>
      </c>
      <c r="E874" t="str">
        <f t="shared" si="44"/>
        <v>2024-7</v>
      </c>
    </row>
    <row r="875" spans="1:5" x14ac:dyDescent="0.25">
      <c r="A875" t="s">
        <v>57</v>
      </c>
      <c r="B875" t="s">
        <v>430</v>
      </c>
      <c r="C875">
        <f t="shared" si="42"/>
        <v>2024</v>
      </c>
      <c r="D875">
        <f t="shared" si="43"/>
        <v>7</v>
      </c>
      <c r="E875" t="str">
        <f t="shared" si="44"/>
        <v>2024-7</v>
      </c>
    </row>
    <row r="876" spans="1:5" x14ac:dyDescent="0.25">
      <c r="A876" t="s">
        <v>256</v>
      </c>
      <c r="B876" t="s">
        <v>431</v>
      </c>
      <c r="C876">
        <f t="shared" si="42"/>
        <v>2024</v>
      </c>
      <c r="D876">
        <f t="shared" si="43"/>
        <v>7</v>
      </c>
      <c r="E876" t="str">
        <f t="shared" si="44"/>
        <v>2024-7</v>
      </c>
    </row>
    <row r="877" spans="1:5" x14ac:dyDescent="0.25">
      <c r="A877" t="s">
        <v>65</v>
      </c>
      <c r="B877" t="s">
        <v>432</v>
      </c>
      <c r="C877">
        <f t="shared" si="42"/>
        <v>2024</v>
      </c>
      <c r="D877">
        <f t="shared" si="43"/>
        <v>7</v>
      </c>
      <c r="E877" t="str">
        <f t="shared" si="44"/>
        <v>2024-7</v>
      </c>
    </row>
    <row r="878" spans="1:5" x14ac:dyDescent="0.25">
      <c r="A878" t="s">
        <v>90</v>
      </c>
      <c r="B878" t="s">
        <v>432</v>
      </c>
      <c r="C878">
        <f t="shared" si="42"/>
        <v>2024</v>
      </c>
      <c r="D878">
        <f t="shared" si="43"/>
        <v>7</v>
      </c>
      <c r="E878" t="str">
        <f t="shared" si="44"/>
        <v>2024-7</v>
      </c>
    </row>
    <row r="879" spans="1:5" x14ac:dyDescent="0.25">
      <c r="A879" t="s">
        <v>88</v>
      </c>
      <c r="B879" t="s">
        <v>432</v>
      </c>
      <c r="C879">
        <f t="shared" si="42"/>
        <v>2024</v>
      </c>
      <c r="D879">
        <f t="shared" si="43"/>
        <v>7</v>
      </c>
      <c r="E879" t="str">
        <f t="shared" si="44"/>
        <v>2024-7</v>
      </c>
    </row>
    <row r="880" spans="1:5" x14ac:dyDescent="0.25">
      <c r="A880" t="s">
        <v>249</v>
      </c>
      <c r="B880" t="s">
        <v>433</v>
      </c>
      <c r="C880">
        <f t="shared" si="42"/>
        <v>2024</v>
      </c>
      <c r="D880">
        <f t="shared" si="43"/>
        <v>7</v>
      </c>
      <c r="E880" t="str">
        <f t="shared" si="44"/>
        <v>2024-7</v>
      </c>
    </row>
    <row r="881" spans="1:5" x14ac:dyDescent="0.25">
      <c r="A881" t="s">
        <v>194</v>
      </c>
      <c r="B881" t="s">
        <v>433</v>
      </c>
      <c r="C881">
        <f t="shared" si="42"/>
        <v>2024</v>
      </c>
      <c r="D881">
        <f t="shared" si="43"/>
        <v>7</v>
      </c>
      <c r="E881" t="str">
        <f t="shared" si="44"/>
        <v>2024-7</v>
      </c>
    </row>
    <row r="882" spans="1:5" x14ac:dyDescent="0.25">
      <c r="A882" t="s">
        <v>94</v>
      </c>
      <c r="B882" t="s">
        <v>433</v>
      </c>
      <c r="C882">
        <f t="shared" si="42"/>
        <v>2024</v>
      </c>
      <c r="D882">
        <f t="shared" si="43"/>
        <v>7</v>
      </c>
      <c r="E882" t="str">
        <f t="shared" si="44"/>
        <v>2024-7</v>
      </c>
    </row>
    <row r="883" spans="1:5" x14ac:dyDescent="0.25">
      <c r="A883" t="s">
        <v>65</v>
      </c>
      <c r="B883" t="s">
        <v>434</v>
      </c>
      <c r="C883">
        <f t="shared" si="42"/>
        <v>2024</v>
      </c>
      <c r="D883">
        <f t="shared" si="43"/>
        <v>7</v>
      </c>
      <c r="E883" t="str">
        <f t="shared" si="44"/>
        <v>2024-7</v>
      </c>
    </row>
    <row r="884" spans="1:5" x14ac:dyDescent="0.25">
      <c r="A884" t="s">
        <v>299</v>
      </c>
      <c r="B884" t="s">
        <v>434</v>
      </c>
      <c r="C884">
        <f t="shared" si="42"/>
        <v>2024</v>
      </c>
      <c r="D884">
        <f t="shared" si="43"/>
        <v>7</v>
      </c>
      <c r="E884" t="str">
        <f t="shared" si="44"/>
        <v>2024-7</v>
      </c>
    </row>
    <row r="885" spans="1:5" x14ac:dyDescent="0.25">
      <c r="A885" t="s">
        <v>111</v>
      </c>
      <c r="B885" t="s">
        <v>434</v>
      </c>
      <c r="C885">
        <f t="shared" si="42"/>
        <v>2024</v>
      </c>
      <c r="D885">
        <f t="shared" si="43"/>
        <v>7</v>
      </c>
      <c r="E885" t="str">
        <f t="shared" si="44"/>
        <v>2024-7</v>
      </c>
    </row>
    <row r="886" spans="1:5" x14ac:dyDescent="0.25">
      <c r="A886" t="s">
        <v>116</v>
      </c>
      <c r="B886" t="s">
        <v>434</v>
      </c>
      <c r="C886">
        <f t="shared" si="42"/>
        <v>2024</v>
      </c>
      <c r="D886">
        <f t="shared" si="43"/>
        <v>7</v>
      </c>
      <c r="E886" t="str">
        <f t="shared" si="44"/>
        <v>2024-7</v>
      </c>
    </row>
    <row r="887" spans="1:5" x14ac:dyDescent="0.25">
      <c r="A887" t="s">
        <v>73</v>
      </c>
      <c r="B887" t="s">
        <v>435</v>
      </c>
      <c r="C887">
        <f t="shared" si="42"/>
        <v>2024</v>
      </c>
      <c r="D887">
        <f t="shared" si="43"/>
        <v>7</v>
      </c>
      <c r="E887" t="str">
        <f t="shared" si="44"/>
        <v>2024-7</v>
      </c>
    </row>
    <row r="888" spans="1:5" x14ac:dyDescent="0.25">
      <c r="A888" t="s">
        <v>134</v>
      </c>
      <c r="B888" t="s">
        <v>435</v>
      </c>
      <c r="C888">
        <f t="shared" si="42"/>
        <v>2024</v>
      </c>
      <c r="D888">
        <f t="shared" si="43"/>
        <v>7</v>
      </c>
      <c r="E888" t="str">
        <f t="shared" si="44"/>
        <v>2024-7</v>
      </c>
    </row>
    <row r="889" spans="1:5" x14ac:dyDescent="0.25">
      <c r="A889" t="s">
        <v>69</v>
      </c>
      <c r="B889" t="s">
        <v>435</v>
      </c>
      <c r="C889">
        <f t="shared" si="42"/>
        <v>2024</v>
      </c>
      <c r="D889">
        <f t="shared" si="43"/>
        <v>7</v>
      </c>
      <c r="E889" t="str">
        <f t="shared" si="44"/>
        <v>2024-7</v>
      </c>
    </row>
    <row r="890" spans="1:5" x14ac:dyDescent="0.25">
      <c r="A890" t="s">
        <v>186</v>
      </c>
      <c r="B890" t="s">
        <v>435</v>
      </c>
      <c r="C890">
        <f t="shared" si="42"/>
        <v>2024</v>
      </c>
      <c r="D890">
        <f t="shared" si="43"/>
        <v>7</v>
      </c>
      <c r="E890" t="str">
        <f t="shared" si="44"/>
        <v>2024-7</v>
      </c>
    </row>
    <row r="891" spans="1:5" x14ac:dyDescent="0.25">
      <c r="A891" t="s">
        <v>239</v>
      </c>
      <c r="B891" t="s">
        <v>435</v>
      </c>
      <c r="C891">
        <f t="shared" si="42"/>
        <v>2024</v>
      </c>
      <c r="D891">
        <f t="shared" si="43"/>
        <v>7</v>
      </c>
      <c r="E891" t="str">
        <f t="shared" si="44"/>
        <v>2024-7</v>
      </c>
    </row>
    <row r="892" spans="1:5" x14ac:dyDescent="0.25">
      <c r="A892" t="s">
        <v>113</v>
      </c>
      <c r="B892" t="s">
        <v>435</v>
      </c>
      <c r="C892">
        <f t="shared" si="42"/>
        <v>2024</v>
      </c>
      <c r="D892">
        <f t="shared" si="43"/>
        <v>7</v>
      </c>
      <c r="E892" t="str">
        <f t="shared" si="44"/>
        <v>2024-7</v>
      </c>
    </row>
    <row r="893" spans="1:5" x14ac:dyDescent="0.25">
      <c r="A893" t="s">
        <v>169</v>
      </c>
      <c r="B893" t="s">
        <v>435</v>
      </c>
      <c r="C893">
        <f t="shared" si="42"/>
        <v>2024</v>
      </c>
      <c r="D893">
        <f t="shared" si="43"/>
        <v>7</v>
      </c>
      <c r="E893" t="str">
        <f t="shared" si="44"/>
        <v>2024-7</v>
      </c>
    </row>
    <row r="894" spans="1:5" x14ac:dyDescent="0.25">
      <c r="A894" t="s">
        <v>32</v>
      </c>
      <c r="B894" t="s">
        <v>435</v>
      </c>
      <c r="C894">
        <f t="shared" si="42"/>
        <v>2024</v>
      </c>
      <c r="D894">
        <f t="shared" si="43"/>
        <v>7</v>
      </c>
      <c r="E894" t="str">
        <f t="shared" si="44"/>
        <v>2024-7</v>
      </c>
    </row>
    <row r="895" spans="1:5" x14ac:dyDescent="0.25">
      <c r="A895" t="s">
        <v>69</v>
      </c>
      <c r="B895" t="s">
        <v>435</v>
      </c>
      <c r="C895">
        <f t="shared" si="42"/>
        <v>2024</v>
      </c>
      <c r="D895">
        <f t="shared" si="43"/>
        <v>7</v>
      </c>
      <c r="E895" t="str">
        <f t="shared" si="44"/>
        <v>2024-7</v>
      </c>
    </row>
    <row r="896" spans="1:5" x14ac:dyDescent="0.25">
      <c r="A896" t="s">
        <v>136</v>
      </c>
      <c r="B896" t="s">
        <v>435</v>
      </c>
      <c r="C896">
        <f t="shared" si="42"/>
        <v>2024</v>
      </c>
      <c r="D896">
        <f t="shared" si="43"/>
        <v>7</v>
      </c>
      <c r="E896" t="str">
        <f t="shared" si="44"/>
        <v>2024-7</v>
      </c>
    </row>
    <row r="897" spans="1:5" x14ac:dyDescent="0.25">
      <c r="A897" t="s">
        <v>363</v>
      </c>
      <c r="B897" t="s">
        <v>436</v>
      </c>
      <c r="C897">
        <f t="shared" si="42"/>
        <v>2024</v>
      </c>
      <c r="D897">
        <f t="shared" si="43"/>
        <v>7</v>
      </c>
      <c r="E897" t="str">
        <f t="shared" si="44"/>
        <v>2024-7</v>
      </c>
    </row>
    <row r="898" spans="1:5" x14ac:dyDescent="0.25">
      <c r="A898" t="s">
        <v>59</v>
      </c>
      <c r="B898" t="s">
        <v>436</v>
      </c>
      <c r="C898">
        <f t="shared" si="42"/>
        <v>2024</v>
      </c>
      <c r="D898">
        <f t="shared" si="43"/>
        <v>7</v>
      </c>
      <c r="E898" t="str">
        <f t="shared" si="44"/>
        <v>2024-7</v>
      </c>
    </row>
    <row r="899" spans="1:5" x14ac:dyDescent="0.25">
      <c r="A899" t="s">
        <v>363</v>
      </c>
      <c r="B899" t="s">
        <v>436</v>
      </c>
      <c r="C899">
        <f t="shared" ref="C899:C962" si="45">YEAR(B899)</f>
        <v>2024</v>
      </c>
      <c r="D899">
        <f t="shared" ref="D899:D962" si="46">MONTH(B899)</f>
        <v>7</v>
      </c>
      <c r="E899" t="str">
        <f t="shared" ref="E899:E962" si="47">C899&amp;"-"&amp;D899</f>
        <v>2024-7</v>
      </c>
    </row>
    <row r="900" spans="1:5" x14ac:dyDescent="0.25">
      <c r="A900" t="s">
        <v>133</v>
      </c>
      <c r="B900" t="s">
        <v>436</v>
      </c>
      <c r="C900">
        <f t="shared" si="45"/>
        <v>2024</v>
      </c>
      <c r="D900">
        <f t="shared" si="46"/>
        <v>7</v>
      </c>
      <c r="E900" t="str">
        <f t="shared" si="47"/>
        <v>2024-7</v>
      </c>
    </row>
    <row r="901" spans="1:5" x14ac:dyDescent="0.25">
      <c r="A901" t="s">
        <v>155</v>
      </c>
      <c r="B901" t="s">
        <v>437</v>
      </c>
      <c r="C901">
        <f t="shared" si="45"/>
        <v>2024</v>
      </c>
      <c r="D901">
        <f t="shared" si="46"/>
        <v>7</v>
      </c>
      <c r="E901" t="str">
        <f t="shared" si="47"/>
        <v>2024-7</v>
      </c>
    </row>
    <row r="902" spans="1:5" x14ac:dyDescent="0.25">
      <c r="A902" t="s">
        <v>121</v>
      </c>
      <c r="B902" t="s">
        <v>437</v>
      </c>
      <c r="C902">
        <f t="shared" si="45"/>
        <v>2024</v>
      </c>
      <c r="D902">
        <f t="shared" si="46"/>
        <v>7</v>
      </c>
      <c r="E902" t="str">
        <f t="shared" si="47"/>
        <v>2024-7</v>
      </c>
    </row>
    <row r="903" spans="1:5" x14ac:dyDescent="0.25">
      <c r="A903" t="s">
        <v>198</v>
      </c>
      <c r="B903" t="s">
        <v>437</v>
      </c>
      <c r="C903">
        <f t="shared" si="45"/>
        <v>2024</v>
      </c>
      <c r="D903">
        <f t="shared" si="46"/>
        <v>7</v>
      </c>
      <c r="E903" t="str">
        <f t="shared" si="47"/>
        <v>2024-7</v>
      </c>
    </row>
    <row r="904" spans="1:5" x14ac:dyDescent="0.25">
      <c r="A904" t="s">
        <v>186</v>
      </c>
      <c r="B904" t="s">
        <v>438</v>
      </c>
      <c r="C904">
        <f t="shared" si="45"/>
        <v>2024</v>
      </c>
      <c r="D904">
        <f t="shared" si="46"/>
        <v>8</v>
      </c>
      <c r="E904" t="str">
        <f t="shared" si="47"/>
        <v>2024-8</v>
      </c>
    </row>
    <row r="905" spans="1:5" x14ac:dyDescent="0.25">
      <c r="A905" t="s">
        <v>132</v>
      </c>
      <c r="B905" t="s">
        <v>438</v>
      </c>
      <c r="C905">
        <f t="shared" si="45"/>
        <v>2024</v>
      </c>
      <c r="D905">
        <f t="shared" si="46"/>
        <v>8</v>
      </c>
      <c r="E905" t="str">
        <f t="shared" si="47"/>
        <v>2024-8</v>
      </c>
    </row>
    <row r="906" spans="1:5" x14ac:dyDescent="0.25">
      <c r="A906" t="s">
        <v>58</v>
      </c>
      <c r="B906" t="s">
        <v>438</v>
      </c>
      <c r="C906">
        <f t="shared" si="45"/>
        <v>2024</v>
      </c>
      <c r="D906">
        <f t="shared" si="46"/>
        <v>8</v>
      </c>
      <c r="E906" t="str">
        <f t="shared" si="47"/>
        <v>2024-8</v>
      </c>
    </row>
    <row r="907" spans="1:5" x14ac:dyDescent="0.25">
      <c r="A907" t="s">
        <v>170</v>
      </c>
      <c r="B907" t="s">
        <v>438</v>
      </c>
      <c r="C907">
        <f t="shared" si="45"/>
        <v>2024</v>
      </c>
      <c r="D907">
        <f t="shared" si="46"/>
        <v>8</v>
      </c>
      <c r="E907" t="str">
        <f t="shared" si="47"/>
        <v>2024-8</v>
      </c>
    </row>
    <row r="908" spans="1:5" x14ac:dyDescent="0.25">
      <c r="A908" t="s">
        <v>144</v>
      </c>
      <c r="B908" t="s">
        <v>439</v>
      </c>
      <c r="C908">
        <f t="shared" si="45"/>
        <v>2024</v>
      </c>
      <c r="D908">
        <f t="shared" si="46"/>
        <v>8</v>
      </c>
      <c r="E908" t="str">
        <f t="shared" si="47"/>
        <v>2024-8</v>
      </c>
    </row>
    <row r="909" spans="1:5" x14ac:dyDescent="0.25">
      <c r="A909" t="s">
        <v>68</v>
      </c>
      <c r="B909" t="s">
        <v>439</v>
      </c>
      <c r="C909">
        <f t="shared" si="45"/>
        <v>2024</v>
      </c>
      <c r="D909">
        <f t="shared" si="46"/>
        <v>8</v>
      </c>
      <c r="E909" t="str">
        <f t="shared" si="47"/>
        <v>2024-8</v>
      </c>
    </row>
    <row r="910" spans="1:5" x14ac:dyDescent="0.25">
      <c r="A910" t="s">
        <v>77</v>
      </c>
      <c r="B910" t="s">
        <v>440</v>
      </c>
      <c r="C910">
        <f t="shared" si="45"/>
        <v>2024</v>
      </c>
      <c r="D910">
        <f t="shared" si="46"/>
        <v>8</v>
      </c>
      <c r="E910" t="str">
        <f t="shared" si="47"/>
        <v>2024-8</v>
      </c>
    </row>
    <row r="911" spans="1:5" x14ac:dyDescent="0.25">
      <c r="A911" t="s">
        <v>42</v>
      </c>
      <c r="B911" t="s">
        <v>440</v>
      </c>
      <c r="C911">
        <f t="shared" si="45"/>
        <v>2024</v>
      </c>
      <c r="D911">
        <f t="shared" si="46"/>
        <v>8</v>
      </c>
      <c r="E911" t="str">
        <f t="shared" si="47"/>
        <v>2024-8</v>
      </c>
    </row>
    <row r="912" spans="1:5" x14ac:dyDescent="0.25">
      <c r="A912" t="s">
        <v>75</v>
      </c>
      <c r="B912" t="s">
        <v>440</v>
      </c>
      <c r="C912">
        <f t="shared" si="45"/>
        <v>2024</v>
      </c>
      <c r="D912">
        <f t="shared" si="46"/>
        <v>8</v>
      </c>
      <c r="E912" t="str">
        <f t="shared" si="47"/>
        <v>2024-8</v>
      </c>
    </row>
    <row r="913" spans="1:5" x14ac:dyDescent="0.25">
      <c r="A913" t="s">
        <v>58</v>
      </c>
      <c r="B913" t="s">
        <v>440</v>
      </c>
      <c r="C913">
        <f t="shared" si="45"/>
        <v>2024</v>
      </c>
      <c r="D913">
        <f t="shared" si="46"/>
        <v>8</v>
      </c>
      <c r="E913" t="str">
        <f t="shared" si="47"/>
        <v>2024-8</v>
      </c>
    </row>
    <row r="914" spans="1:5" x14ac:dyDescent="0.25">
      <c r="A914" t="s">
        <v>78</v>
      </c>
      <c r="B914" t="s">
        <v>440</v>
      </c>
      <c r="C914">
        <f t="shared" si="45"/>
        <v>2024</v>
      </c>
      <c r="D914">
        <f t="shared" si="46"/>
        <v>8</v>
      </c>
      <c r="E914" t="str">
        <f t="shared" si="47"/>
        <v>2024-8</v>
      </c>
    </row>
    <row r="915" spans="1:5" x14ac:dyDescent="0.25">
      <c r="A915" t="s">
        <v>90</v>
      </c>
      <c r="B915" t="s">
        <v>440</v>
      </c>
      <c r="C915">
        <f t="shared" si="45"/>
        <v>2024</v>
      </c>
      <c r="D915">
        <f t="shared" si="46"/>
        <v>8</v>
      </c>
      <c r="E915" t="str">
        <f t="shared" si="47"/>
        <v>2024-8</v>
      </c>
    </row>
    <row r="916" spans="1:5" x14ac:dyDescent="0.25">
      <c r="A916" t="s">
        <v>20</v>
      </c>
      <c r="B916" t="s">
        <v>440</v>
      </c>
      <c r="C916">
        <f t="shared" si="45"/>
        <v>2024</v>
      </c>
      <c r="D916">
        <f t="shared" si="46"/>
        <v>8</v>
      </c>
      <c r="E916" t="str">
        <f t="shared" si="47"/>
        <v>2024-8</v>
      </c>
    </row>
    <row r="917" spans="1:5" x14ac:dyDescent="0.25">
      <c r="A917" t="s">
        <v>9</v>
      </c>
      <c r="B917" t="s">
        <v>440</v>
      </c>
      <c r="C917">
        <f t="shared" si="45"/>
        <v>2024</v>
      </c>
      <c r="D917">
        <f t="shared" si="46"/>
        <v>8</v>
      </c>
      <c r="E917" t="str">
        <f t="shared" si="47"/>
        <v>2024-8</v>
      </c>
    </row>
    <row r="918" spans="1:5" x14ac:dyDescent="0.25">
      <c r="A918" t="s">
        <v>77</v>
      </c>
      <c r="B918" t="s">
        <v>440</v>
      </c>
      <c r="C918">
        <f t="shared" si="45"/>
        <v>2024</v>
      </c>
      <c r="D918">
        <f t="shared" si="46"/>
        <v>8</v>
      </c>
      <c r="E918" t="str">
        <f t="shared" si="47"/>
        <v>2024-8</v>
      </c>
    </row>
    <row r="919" spans="1:5" x14ac:dyDescent="0.25">
      <c r="A919" t="s">
        <v>148</v>
      </c>
      <c r="B919" t="s">
        <v>441</v>
      </c>
      <c r="C919">
        <f t="shared" si="45"/>
        <v>2024</v>
      </c>
      <c r="D919">
        <f t="shared" si="46"/>
        <v>8</v>
      </c>
      <c r="E919" t="str">
        <f t="shared" si="47"/>
        <v>2024-8</v>
      </c>
    </row>
    <row r="920" spans="1:5" x14ac:dyDescent="0.25">
      <c r="A920" t="s">
        <v>215</v>
      </c>
      <c r="B920" t="s">
        <v>441</v>
      </c>
      <c r="C920">
        <f t="shared" si="45"/>
        <v>2024</v>
      </c>
      <c r="D920">
        <f t="shared" si="46"/>
        <v>8</v>
      </c>
      <c r="E920" t="str">
        <f t="shared" si="47"/>
        <v>2024-8</v>
      </c>
    </row>
    <row r="921" spans="1:5" x14ac:dyDescent="0.25">
      <c r="A921" t="s">
        <v>77</v>
      </c>
      <c r="B921" t="s">
        <v>441</v>
      </c>
      <c r="C921">
        <f t="shared" si="45"/>
        <v>2024</v>
      </c>
      <c r="D921">
        <f t="shared" si="46"/>
        <v>8</v>
      </c>
      <c r="E921" t="str">
        <f t="shared" si="47"/>
        <v>2024-8</v>
      </c>
    </row>
    <row r="922" spans="1:5" x14ac:dyDescent="0.25">
      <c r="A922" t="s">
        <v>136</v>
      </c>
      <c r="B922" t="s">
        <v>442</v>
      </c>
      <c r="C922">
        <f t="shared" si="45"/>
        <v>2024</v>
      </c>
      <c r="D922">
        <f t="shared" si="46"/>
        <v>8</v>
      </c>
      <c r="E922" t="str">
        <f t="shared" si="47"/>
        <v>2024-8</v>
      </c>
    </row>
    <row r="923" spans="1:5" x14ac:dyDescent="0.25">
      <c r="A923" t="s">
        <v>243</v>
      </c>
      <c r="B923" t="s">
        <v>442</v>
      </c>
      <c r="C923">
        <f t="shared" si="45"/>
        <v>2024</v>
      </c>
      <c r="D923">
        <f t="shared" si="46"/>
        <v>8</v>
      </c>
      <c r="E923" t="str">
        <f t="shared" si="47"/>
        <v>2024-8</v>
      </c>
    </row>
    <row r="924" spans="1:5" x14ac:dyDescent="0.25">
      <c r="A924" t="s">
        <v>252</v>
      </c>
      <c r="B924" t="s">
        <v>442</v>
      </c>
      <c r="C924">
        <f t="shared" si="45"/>
        <v>2024</v>
      </c>
      <c r="D924">
        <f t="shared" si="46"/>
        <v>8</v>
      </c>
      <c r="E924" t="str">
        <f t="shared" si="47"/>
        <v>2024-8</v>
      </c>
    </row>
    <row r="925" spans="1:5" x14ac:dyDescent="0.25">
      <c r="A925" t="s">
        <v>93</v>
      </c>
      <c r="B925" t="s">
        <v>442</v>
      </c>
      <c r="C925">
        <f t="shared" si="45"/>
        <v>2024</v>
      </c>
      <c r="D925">
        <f t="shared" si="46"/>
        <v>8</v>
      </c>
      <c r="E925" t="str">
        <f t="shared" si="47"/>
        <v>2024-8</v>
      </c>
    </row>
    <row r="926" spans="1:5" x14ac:dyDescent="0.25">
      <c r="A926" t="s">
        <v>19</v>
      </c>
      <c r="B926" t="s">
        <v>442</v>
      </c>
      <c r="C926">
        <f t="shared" si="45"/>
        <v>2024</v>
      </c>
      <c r="D926">
        <f t="shared" si="46"/>
        <v>8</v>
      </c>
      <c r="E926" t="str">
        <f t="shared" si="47"/>
        <v>2024-8</v>
      </c>
    </row>
    <row r="927" spans="1:5" x14ac:dyDescent="0.25">
      <c r="A927" t="s">
        <v>128</v>
      </c>
      <c r="B927" t="s">
        <v>442</v>
      </c>
      <c r="C927">
        <f t="shared" si="45"/>
        <v>2024</v>
      </c>
      <c r="D927">
        <f t="shared" si="46"/>
        <v>8</v>
      </c>
      <c r="E927" t="str">
        <f t="shared" si="47"/>
        <v>2024-8</v>
      </c>
    </row>
    <row r="928" spans="1:5" x14ac:dyDescent="0.25">
      <c r="A928" t="s">
        <v>162</v>
      </c>
      <c r="B928" t="s">
        <v>442</v>
      </c>
      <c r="C928">
        <f t="shared" si="45"/>
        <v>2024</v>
      </c>
      <c r="D928">
        <f t="shared" si="46"/>
        <v>8</v>
      </c>
      <c r="E928" t="str">
        <f t="shared" si="47"/>
        <v>2024-8</v>
      </c>
    </row>
    <row r="929" spans="1:5" x14ac:dyDescent="0.25">
      <c r="A929" t="s">
        <v>106</v>
      </c>
      <c r="B929" t="s">
        <v>442</v>
      </c>
      <c r="C929">
        <f t="shared" si="45"/>
        <v>2024</v>
      </c>
      <c r="D929">
        <f t="shared" si="46"/>
        <v>8</v>
      </c>
      <c r="E929" t="str">
        <f t="shared" si="47"/>
        <v>2024-8</v>
      </c>
    </row>
    <row r="930" spans="1:5" x14ac:dyDescent="0.25">
      <c r="A930" t="s">
        <v>187</v>
      </c>
      <c r="B930" t="s">
        <v>443</v>
      </c>
      <c r="C930">
        <f t="shared" si="45"/>
        <v>2024</v>
      </c>
      <c r="D930">
        <f t="shared" si="46"/>
        <v>8</v>
      </c>
      <c r="E930" t="str">
        <f t="shared" si="47"/>
        <v>2024-8</v>
      </c>
    </row>
    <row r="931" spans="1:5" x14ac:dyDescent="0.25">
      <c r="A931" t="s">
        <v>444</v>
      </c>
      <c r="B931" t="s">
        <v>443</v>
      </c>
      <c r="C931">
        <f t="shared" si="45"/>
        <v>2024</v>
      </c>
      <c r="D931">
        <f t="shared" si="46"/>
        <v>8</v>
      </c>
      <c r="E931" t="str">
        <f t="shared" si="47"/>
        <v>2024-8</v>
      </c>
    </row>
    <row r="932" spans="1:5" x14ac:dyDescent="0.25">
      <c r="A932" t="s">
        <v>66</v>
      </c>
      <c r="B932" t="s">
        <v>445</v>
      </c>
      <c r="C932">
        <f t="shared" si="45"/>
        <v>2024</v>
      </c>
      <c r="D932">
        <f t="shared" si="46"/>
        <v>8</v>
      </c>
      <c r="E932" t="str">
        <f t="shared" si="47"/>
        <v>2024-8</v>
      </c>
    </row>
    <row r="933" spans="1:5" x14ac:dyDescent="0.25">
      <c r="A933" t="s">
        <v>19</v>
      </c>
      <c r="B933" t="s">
        <v>445</v>
      </c>
      <c r="C933">
        <f t="shared" si="45"/>
        <v>2024</v>
      </c>
      <c r="D933">
        <f t="shared" si="46"/>
        <v>8</v>
      </c>
      <c r="E933" t="str">
        <f t="shared" si="47"/>
        <v>2024-8</v>
      </c>
    </row>
    <row r="934" spans="1:5" x14ac:dyDescent="0.25">
      <c r="A934" t="s">
        <v>33</v>
      </c>
      <c r="B934" t="s">
        <v>446</v>
      </c>
      <c r="C934">
        <f t="shared" si="45"/>
        <v>2024</v>
      </c>
      <c r="D934">
        <f t="shared" si="46"/>
        <v>8</v>
      </c>
      <c r="E934" t="str">
        <f t="shared" si="47"/>
        <v>2024-8</v>
      </c>
    </row>
    <row r="935" spans="1:5" x14ac:dyDescent="0.25">
      <c r="A935" t="s">
        <v>196</v>
      </c>
      <c r="B935" t="s">
        <v>446</v>
      </c>
      <c r="C935">
        <f t="shared" si="45"/>
        <v>2024</v>
      </c>
      <c r="D935">
        <f t="shared" si="46"/>
        <v>8</v>
      </c>
      <c r="E935" t="str">
        <f t="shared" si="47"/>
        <v>2024-8</v>
      </c>
    </row>
    <row r="936" spans="1:5" x14ac:dyDescent="0.25">
      <c r="A936" t="s">
        <v>125</v>
      </c>
      <c r="B936" t="s">
        <v>446</v>
      </c>
      <c r="C936">
        <f t="shared" si="45"/>
        <v>2024</v>
      </c>
      <c r="D936">
        <f t="shared" si="46"/>
        <v>8</v>
      </c>
      <c r="E936" t="str">
        <f t="shared" si="47"/>
        <v>2024-8</v>
      </c>
    </row>
    <row r="937" spans="1:5" x14ac:dyDescent="0.25">
      <c r="A937" t="s">
        <v>11</v>
      </c>
      <c r="B937" t="s">
        <v>446</v>
      </c>
      <c r="C937">
        <f t="shared" si="45"/>
        <v>2024</v>
      </c>
      <c r="D937">
        <f t="shared" si="46"/>
        <v>8</v>
      </c>
      <c r="E937" t="str">
        <f t="shared" si="47"/>
        <v>2024-8</v>
      </c>
    </row>
    <row r="938" spans="1:5" x14ac:dyDescent="0.25">
      <c r="A938" t="s">
        <v>227</v>
      </c>
      <c r="B938" t="s">
        <v>446</v>
      </c>
      <c r="C938">
        <f t="shared" si="45"/>
        <v>2024</v>
      </c>
      <c r="D938">
        <f t="shared" si="46"/>
        <v>8</v>
      </c>
      <c r="E938" t="str">
        <f t="shared" si="47"/>
        <v>2024-8</v>
      </c>
    </row>
    <row r="939" spans="1:5" x14ac:dyDescent="0.25">
      <c r="A939" t="s">
        <v>92</v>
      </c>
      <c r="B939" t="s">
        <v>446</v>
      </c>
      <c r="C939">
        <f t="shared" si="45"/>
        <v>2024</v>
      </c>
      <c r="D939">
        <f t="shared" si="46"/>
        <v>8</v>
      </c>
      <c r="E939" t="str">
        <f t="shared" si="47"/>
        <v>2024-8</v>
      </c>
    </row>
    <row r="940" spans="1:5" x14ac:dyDescent="0.25">
      <c r="A940" t="s">
        <v>117</v>
      </c>
      <c r="B940" t="s">
        <v>446</v>
      </c>
      <c r="C940">
        <f t="shared" si="45"/>
        <v>2024</v>
      </c>
      <c r="D940">
        <f t="shared" si="46"/>
        <v>8</v>
      </c>
      <c r="E940" t="str">
        <f t="shared" si="47"/>
        <v>2024-8</v>
      </c>
    </row>
    <row r="941" spans="1:5" x14ac:dyDescent="0.25">
      <c r="A941" t="s">
        <v>101</v>
      </c>
      <c r="B941" t="s">
        <v>446</v>
      </c>
      <c r="C941">
        <f t="shared" si="45"/>
        <v>2024</v>
      </c>
      <c r="D941">
        <f t="shared" si="46"/>
        <v>8</v>
      </c>
      <c r="E941" t="str">
        <f t="shared" si="47"/>
        <v>2024-8</v>
      </c>
    </row>
    <row r="942" spans="1:5" x14ac:dyDescent="0.25">
      <c r="A942" t="s">
        <v>279</v>
      </c>
      <c r="B942" t="s">
        <v>446</v>
      </c>
      <c r="C942">
        <f t="shared" si="45"/>
        <v>2024</v>
      </c>
      <c r="D942">
        <f t="shared" si="46"/>
        <v>8</v>
      </c>
      <c r="E942" t="str">
        <f t="shared" si="47"/>
        <v>2024-8</v>
      </c>
    </row>
    <row r="943" spans="1:5" x14ac:dyDescent="0.25">
      <c r="A943" t="s">
        <v>229</v>
      </c>
      <c r="B943" t="s">
        <v>447</v>
      </c>
      <c r="C943">
        <f t="shared" si="45"/>
        <v>2024</v>
      </c>
      <c r="D943">
        <f t="shared" si="46"/>
        <v>8</v>
      </c>
      <c r="E943" t="str">
        <f t="shared" si="47"/>
        <v>2024-8</v>
      </c>
    </row>
    <row r="944" spans="1:5" x14ac:dyDescent="0.25">
      <c r="A944" t="s">
        <v>296</v>
      </c>
      <c r="B944" t="s">
        <v>448</v>
      </c>
      <c r="C944">
        <f t="shared" si="45"/>
        <v>2024</v>
      </c>
      <c r="D944">
        <f t="shared" si="46"/>
        <v>8</v>
      </c>
      <c r="E944" t="str">
        <f t="shared" si="47"/>
        <v>2024-8</v>
      </c>
    </row>
    <row r="945" spans="1:5" x14ac:dyDescent="0.25">
      <c r="A945" t="s">
        <v>20</v>
      </c>
      <c r="B945" t="s">
        <v>448</v>
      </c>
      <c r="C945">
        <f t="shared" si="45"/>
        <v>2024</v>
      </c>
      <c r="D945">
        <f t="shared" si="46"/>
        <v>8</v>
      </c>
      <c r="E945" t="str">
        <f t="shared" si="47"/>
        <v>2024-8</v>
      </c>
    </row>
    <row r="946" spans="1:5" x14ac:dyDescent="0.25">
      <c r="A946" t="s">
        <v>15</v>
      </c>
      <c r="B946" t="s">
        <v>448</v>
      </c>
      <c r="C946">
        <f t="shared" si="45"/>
        <v>2024</v>
      </c>
      <c r="D946">
        <f t="shared" si="46"/>
        <v>8</v>
      </c>
      <c r="E946" t="str">
        <f t="shared" si="47"/>
        <v>2024-8</v>
      </c>
    </row>
    <row r="947" spans="1:5" x14ac:dyDescent="0.25">
      <c r="A947" t="s">
        <v>69</v>
      </c>
      <c r="B947" t="s">
        <v>449</v>
      </c>
      <c r="C947">
        <f t="shared" si="45"/>
        <v>2024</v>
      </c>
      <c r="D947">
        <f t="shared" si="46"/>
        <v>8</v>
      </c>
      <c r="E947" t="str">
        <f t="shared" si="47"/>
        <v>2024-8</v>
      </c>
    </row>
    <row r="948" spans="1:5" x14ac:dyDescent="0.25">
      <c r="A948" t="s">
        <v>81</v>
      </c>
      <c r="B948" t="s">
        <v>449</v>
      </c>
      <c r="C948">
        <f t="shared" si="45"/>
        <v>2024</v>
      </c>
      <c r="D948">
        <f t="shared" si="46"/>
        <v>8</v>
      </c>
      <c r="E948" t="str">
        <f t="shared" si="47"/>
        <v>2024-8</v>
      </c>
    </row>
    <row r="949" spans="1:5" x14ac:dyDescent="0.25">
      <c r="A949" t="s">
        <v>300</v>
      </c>
      <c r="B949" t="s">
        <v>449</v>
      </c>
      <c r="C949">
        <f t="shared" si="45"/>
        <v>2024</v>
      </c>
      <c r="D949">
        <f t="shared" si="46"/>
        <v>8</v>
      </c>
      <c r="E949" t="str">
        <f t="shared" si="47"/>
        <v>2024-8</v>
      </c>
    </row>
    <row r="950" spans="1:5" x14ac:dyDescent="0.25">
      <c r="A950" t="s">
        <v>94</v>
      </c>
      <c r="B950" t="s">
        <v>449</v>
      </c>
      <c r="C950">
        <f t="shared" si="45"/>
        <v>2024</v>
      </c>
      <c r="D950">
        <f t="shared" si="46"/>
        <v>8</v>
      </c>
      <c r="E950" t="str">
        <f t="shared" si="47"/>
        <v>2024-8</v>
      </c>
    </row>
    <row r="951" spans="1:5" x14ac:dyDescent="0.25">
      <c r="A951" t="s">
        <v>26</v>
      </c>
      <c r="B951" t="s">
        <v>450</v>
      </c>
      <c r="C951">
        <f t="shared" si="45"/>
        <v>2024</v>
      </c>
      <c r="D951">
        <f t="shared" si="46"/>
        <v>8</v>
      </c>
      <c r="E951" t="str">
        <f t="shared" si="47"/>
        <v>2024-8</v>
      </c>
    </row>
    <row r="952" spans="1:5" x14ac:dyDescent="0.25">
      <c r="A952" t="s">
        <v>41</v>
      </c>
      <c r="B952" t="s">
        <v>450</v>
      </c>
      <c r="C952">
        <f t="shared" si="45"/>
        <v>2024</v>
      </c>
      <c r="D952">
        <f t="shared" si="46"/>
        <v>8</v>
      </c>
      <c r="E952" t="str">
        <f t="shared" si="47"/>
        <v>2024-8</v>
      </c>
    </row>
    <row r="953" spans="1:5" x14ac:dyDescent="0.25">
      <c r="A953" t="s">
        <v>239</v>
      </c>
      <c r="B953" t="s">
        <v>450</v>
      </c>
      <c r="C953">
        <f t="shared" si="45"/>
        <v>2024</v>
      </c>
      <c r="D953">
        <f t="shared" si="46"/>
        <v>8</v>
      </c>
      <c r="E953" t="str">
        <f t="shared" si="47"/>
        <v>2024-8</v>
      </c>
    </row>
    <row r="954" spans="1:5" x14ac:dyDescent="0.25">
      <c r="A954" t="s">
        <v>59</v>
      </c>
      <c r="B954" t="s">
        <v>450</v>
      </c>
      <c r="C954">
        <f t="shared" si="45"/>
        <v>2024</v>
      </c>
      <c r="D954">
        <f t="shared" si="46"/>
        <v>8</v>
      </c>
      <c r="E954" t="str">
        <f t="shared" si="47"/>
        <v>2024-8</v>
      </c>
    </row>
    <row r="955" spans="1:5" x14ac:dyDescent="0.25">
      <c r="A955" t="s">
        <v>101</v>
      </c>
      <c r="B955" t="s">
        <v>450</v>
      </c>
      <c r="C955">
        <f t="shared" si="45"/>
        <v>2024</v>
      </c>
      <c r="D955">
        <f t="shared" si="46"/>
        <v>8</v>
      </c>
      <c r="E955" t="str">
        <f t="shared" si="47"/>
        <v>2024-8</v>
      </c>
    </row>
    <row r="956" spans="1:5" x14ac:dyDescent="0.25">
      <c r="A956" t="s">
        <v>11</v>
      </c>
      <c r="B956" t="s">
        <v>451</v>
      </c>
      <c r="C956">
        <f t="shared" si="45"/>
        <v>2024</v>
      </c>
      <c r="D956">
        <f t="shared" si="46"/>
        <v>8</v>
      </c>
      <c r="E956" t="str">
        <f t="shared" si="47"/>
        <v>2024-8</v>
      </c>
    </row>
    <row r="957" spans="1:5" x14ac:dyDescent="0.25">
      <c r="A957" t="s">
        <v>176</v>
      </c>
      <c r="B957" t="s">
        <v>451</v>
      </c>
      <c r="C957">
        <f t="shared" si="45"/>
        <v>2024</v>
      </c>
      <c r="D957">
        <f t="shared" si="46"/>
        <v>8</v>
      </c>
      <c r="E957" t="str">
        <f t="shared" si="47"/>
        <v>2024-8</v>
      </c>
    </row>
    <row r="958" spans="1:5" x14ac:dyDescent="0.25">
      <c r="A958" t="s">
        <v>211</v>
      </c>
      <c r="B958" t="s">
        <v>451</v>
      </c>
      <c r="C958">
        <f t="shared" si="45"/>
        <v>2024</v>
      </c>
      <c r="D958">
        <f t="shared" si="46"/>
        <v>8</v>
      </c>
      <c r="E958" t="str">
        <f t="shared" si="47"/>
        <v>2024-8</v>
      </c>
    </row>
    <row r="959" spans="1:5" x14ac:dyDescent="0.25">
      <c r="A959" t="s">
        <v>182</v>
      </c>
      <c r="B959" t="s">
        <v>451</v>
      </c>
      <c r="C959">
        <f t="shared" si="45"/>
        <v>2024</v>
      </c>
      <c r="D959">
        <f t="shared" si="46"/>
        <v>8</v>
      </c>
      <c r="E959" t="str">
        <f t="shared" si="47"/>
        <v>2024-8</v>
      </c>
    </row>
    <row r="960" spans="1:5" x14ac:dyDescent="0.25">
      <c r="A960" t="s">
        <v>385</v>
      </c>
      <c r="B960" t="s">
        <v>451</v>
      </c>
      <c r="C960">
        <f t="shared" si="45"/>
        <v>2024</v>
      </c>
      <c r="D960">
        <f t="shared" si="46"/>
        <v>8</v>
      </c>
      <c r="E960" t="str">
        <f t="shared" si="47"/>
        <v>2024-8</v>
      </c>
    </row>
    <row r="961" spans="1:5" x14ac:dyDescent="0.25">
      <c r="A961" t="s">
        <v>35</v>
      </c>
      <c r="B961" t="s">
        <v>451</v>
      </c>
      <c r="C961">
        <f t="shared" si="45"/>
        <v>2024</v>
      </c>
      <c r="D961">
        <f t="shared" si="46"/>
        <v>8</v>
      </c>
      <c r="E961" t="str">
        <f t="shared" si="47"/>
        <v>2024-8</v>
      </c>
    </row>
    <row r="962" spans="1:5" x14ac:dyDescent="0.25">
      <c r="A962" t="s">
        <v>195</v>
      </c>
      <c r="B962" t="s">
        <v>452</v>
      </c>
      <c r="C962">
        <f t="shared" si="45"/>
        <v>2024</v>
      </c>
      <c r="D962">
        <f t="shared" si="46"/>
        <v>8</v>
      </c>
      <c r="E962" t="str">
        <f t="shared" si="47"/>
        <v>2024-8</v>
      </c>
    </row>
    <row r="963" spans="1:5" x14ac:dyDescent="0.25">
      <c r="A963" t="s">
        <v>75</v>
      </c>
      <c r="B963" t="s">
        <v>452</v>
      </c>
      <c r="C963">
        <f t="shared" ref="C963:C1001" si="48">YEAR(B963)</f>
        <v>2024</v>
      </c>
      <c r="D963">
        <f t="shared" ref="D963:D1001" si="49">MONTH(B963)</f>
        <v>8</v>
      </c>
      <c r="E963" t="str">
        <f t="shared" ref="E963:E1001" si="50">C963&amp;"-"&amp;D963</f>
        <v>2024-8</v>
      </c>
    </row>
    <row r="964" spans="1:5" x14ac:dyDescent="0.25">
      <c r="A964" t="s">
        <v>195</v>
      </c>
      <c r="B964" t="s">
        <v>452</v>
      </c>
      <c r="C964">
        <f t="shared" si="48"/>
        <v>2024</v>
      </c>
      <c r="D964">
        <f t="shared" si="49"/>
        <v>8</v>
      </c>
      <c r="E964" t="str">
        <f t="shared" si="50"/>
        <v>2024-8</v>
      </c>
    </row>
    <row r="965" spans="1:5" x14ac:dyDescent="0.25">
      <c r="A965" t="s">
        <v>215</v>
      </c>
      <c r="B965" t="s">
        <v>452</v>
      </c>
      <c r="C965">
        <f t="shared" si="48"/>
        <v>2024</v>
      </c>
      <c r="D965">
        <f t="shared" si="49"/>
        <v>8</v>
      </c>
      <c r="E965" t="str">
        <f t="shared" si="50"/>
        <v>2024-8</v>
      </c>
    </row>
    <row r="966" spans="1:5" x14ac:dyDescent="0.25">
      <c r="A966" t="s">
        <v>39</v>
      </c>
      <c r="B966" t="s">
        <v>453</v>
      </c>
      <c r="C966">
        <f t="shared" si="48"/>
        <v>2024</v>
      </c>
      <c r="D966">
        <f t="shared" si="49"/>
        <v>8</v>
      </c>
      <c r="E966" t="str">
        <f t="shared" si="50"/>
        <v>2024-8</v>
      </c>
    </row>
    <row r="967" spans="1:5" x14ac:dyDescent="0.25">
      <c r="A967" t="s">
        <v>82</v>
      </c>
      <c r="B967" t="s">
        <v>453</v>
      </c>
      <c r="C967">
        <f t="shared" si="48"/>
        <v>2024</v>
      </c>
      <c r="D967">
        <f t="shared" si="49"/>
        <v>8</v>
      </c>
      <c r="E967" t="str">
        <f t="shared" si="50"/>
        <v>2024-8</v>
      </c>
    </row>
    <row r="968" spans="1:5" x14ac:dyDescent="0.25">
      <c r="A968" t="s">
        <v>231</v>
      </c>
      <c r="B968" t="s">
        <v>454</v>
      </c>
      <c r="C968">
        <f t="shared" si="48"/>
        <v>2024</v>
      </c>
      <c r="D968">
        <f t="shared" si="49"/>
        <v>8</v>
      </c>
      <c r="E968" t="str">
        <f t="shared" si="50"/>
        <v>2024-8</v>
      </c>
    </row>
    <row r="969" spans="1:5" x14ac:dyDescent="0.25">
      <c r="A969" t="s">
        <v>114</v>
      </c>
      <c r="B969" t="s">
        <v>454</v>
      </c>
      <c r="C969">
        <f t="shared" si="48"/>
        <v>2024</v>
      </c>
      <c r="D969">
        <f t="shared" si="49"/>
        <v>8</v>
      </c>
      <c r="E969" t="str">
        <f t="shared" si="50"/>
        <v>2024-8</v>
      </c>
    </row>
    <row r="970" spans="1:5" x14ac:dyDescent="0.25">
      <c r="A970" t="s">
        <v>14</v>
      </c>
      <c r="B970" t="s">
        <v>454</v>
      </c>
      <c r="C970">
        <f t="shared" si="48"/>
        <v>2024</v>
      </c>
      <c r="D970">
        <f t="shared" si="49"/>
        <v>8</v>
      </c>
      <c r="E970" t="str">
        <f t="shared" si="50"/>
        <v>2024-8</v>
      </c>
    </row>
    <row r="971" spans="1:5" x14ac:dyDescent="0.25">
      <c r="A971" t="s">
        <v>84</v>
      </c>
      <c r="B971" t="s">
        <v>454</v>
      </c>
      <c r="C971">
        <f t="shared" si="48"/>
        <v>2024</v>
      </c>
      <c r="D971">
        <f t="shared" si="49"/>
        <v>8</v>
      </c>
      <c r="E971" t="str">
        <f t="shared" si="50"/>
        <v>2024-8</v>
      </c>
    </row>
    <row r="972" spans="1:5" x14ac:dyDescent="0.25">
      <c r="A972" t="s">
        <v>136</v>
      </c>
      <c r="B972" t="s">
        <v>454</v>
      </c>
      <c r="C972">
        <f t="shared" si="48"/>
        <v>2024</v>
      </c>
      <c r="D972">
        <f t="shared" si="49"/>
        <v>8</v>
      </c>
      <c r="E972" t="str">
        <f t="shared" si="50"/>
        <v>2024-8</v>
      </c>
    </row>
    <row r="973" spans="1:5" x14ac:dyDescent="0.25">
      <c r="A973" t="s">
        <v>307</v>
      </c>
      <c r="B973" t="s">
        <v>454</v>
      </c>
      <c r="C973">
        <f t="shared" si="48"/>
        <v>2024</v>
      </c>
      <c r="D973">
        <f t="shared" si="49"/>
        <v>8</v>
      </c>
      <c r="E973" t="str">
        <f t="shared" si="50"/>
        <v>2024-8</v>
      </c>
    </row>
    <row r="974" spans="1:5" x14ac:dyDescent="0.25">
      <c r="A974" t="s">
        <v>142</v>
      </c>
      <c r="B974" t="s">
        <v>454</v>
      </c>
      <c r="C974">
        <f t="shared" si="48"/>
        <v>2024</v>
      </c>
      <c r="D974">
        <f t="shared" si="49"/>
        <v>8</v>
      </c>
      <c r="E974" t="str">
        <f t="shared" si="50"/>
        <v>2024-8</v>
      </c>
    </row>
    <row r="975" spans="1:5" x14ac:dyDescent="0.25">
      <c r="A975" t="s">
        <v>9</v>
      </c>
      <c r="B975" t="s">
        <v>455</v>
      </c>
      <c r="C975">
        <f t="shared" si="48"/>
        <v>2024</v>
      </c>
      <c r="D975">
        <f t="shared" si="49"/>
        <v>8</v>
      </c>
      <c r="E975" t="str">
        <f t="shared" si="50"/>
        <v>2024-8</v>
      </c>
    </row>
    <row r="976" spans="1:5" x14ac:dyDescent="0.25">
      <c r="A976" t="s">
        <v>114</v>
      </c>
      <c r="B976" t="s">
        <v>455</v>
      </c>
      <c r="C976">
        <f t="shared" si="48"/>
        <v>2024</v>
      </c>
      <c r="D976">
        <f t="shared" si="49"/>
        <v>8</v>
      </c>
      <c r="E976" t="str">
        <f t="shared" si="50"/>
        <v>2024-8</v>
      </c>
    </row>
    <row r="977" spans="1:5" x14ac:dyDescent="0.25">
      <c r="A977" t="s">
        <v>130</v>
      </c>
      <c r="B977" t="s">
        <v>455</v>
      </c>
      <c r="C977">
        <f t="shared" si="48"/>
        <v>2024</v>
      </c>
      <c r="D977">
        <f t="shared" si="49"/>
        <v>8</v>
      </c>
      <c r="E977" t="str">
        <f t="shared" si="50"/>
        <v>2024-8</v>
      </c>
    </row>
    <row r="978" spans="1:5" x14ac:dyDescent="0.25">
      <c r="A978" t="s">
        <v>69</v>
      </c>
      <c r="B978" t="s">
        <v>455</v>
      </c>
      <c r="C978">
        <f t="shared" si="48"/>
        <v>2024</v>
      </c>
      <c r="D978">
        <f t="shared" si="49"/>
        <v>8</v>
      </c>
      <c r="E978" t="str">
        <f t="shared" si="50"/>
        <v>2024-8</v>
      </c>
    </row>
    <row r="979" spans="1:5" x14ac:dyDescent="0.25">
      <c r="A979" t="s">
        <v>344</v>
      </c>
      <c r="B979" t="s">
        <v>456</v>
      </c>
      <c r="C979">
        <f t="shared" si="48"/>
        <v>2024</v>
      </c>
      <c r="D979">
        <f t="shared" si="49"/>
        <v>8</v>
      </c>
      <c r="E979" t="str">
        <f t="shared" si="50"/>
        <v>2024-8</v>
      </c>
    </row>
    <row r="980" spans="1:5" x14ac:dyDescent="0.25">
      <c r="A980" t="s">
        <v>98</v>
      </c>
      <c r="B980" t="s">
        <v>456</v>
      </c>
      <c r="C980">
        <f t="shared" si="48"/>
        <v>2024</v>
      </c>
      <c r="D980">
        <f t="shared" si="49"/>
        <v>8</v>
      </c>
      <c r="E980" t="str">
        <f t="shared" si="50"/>
        <v>2024-8</v>
      </c>
    </row>
    <row r="981" spans="1:5" x14ac:dyDescent="0.25">
      <c r="A981" t="s">
        <v>33</v>
      </c>
      <c r="B981" t="s">
        <v>456</v>
      </c>
      <c r="C981">
        <f t="shared" si="48"/>
        <v>2024</v>
      </c>
      <c r="D981">
        <f t="shared" si="49"/>
        <v>8</v>
      </c>
      <c r="E981" t="str">
        <f t="shared" si="50"/>
        <v>2024-8</v>
      </c>
    </row>
    <row r="982" spans="1:5" x14ac:dyDescent="0.25">
      <c r="A982" t="s">
        <v>196</v>
      </c>
      <c r="B982" t="s">
        <v>456</v>
      </c>
      <c r="C982">
        <f t="shared" si="48"/>
        <v>2024</v>
      </c>
      <c r="D982">
        <f t="shared" si="49"/>
        <v>8</v>
      </c>
      <c r="E982" t="str">
        <f t="shared" si="50"/>
        <v>2024-8</v>
      </c>
    </row>
    <row r="983" spans="1:5" x14ac:dyDescent="0.25">
      <c r="A983" t="s">
        <v>146</v>
      </c>
      <c r="B983" t="s">
        <v>456</v>
      </c>
      <c r="C983">
        <f t="shared" si="48"/>
        <v>2024</v>
      </c>
      <c r="D983">
        <f t="shared" si="49"/>
        <v>8</v>
      </c>
      <c r="E983" t="str">
        <f t="shared" si="50"/>
        <v>2024-8</v>
      </c>
    </row>
    <row r="984" spans="1:5" x14ac:dyDescent="0.25">
      <c r="A984" t="s">
        <v>63</v>
      </c>
      <c r="B984" t="s">
        <v>456</v>
      </c>
      <c r="C984">
        <f t="shared" si="48"/>
        <v>2024</v>
      </c>
      <c r="D984">
        <f t="shared" si="49"/>
        <v>8</v>
      </c>
      <c r="E984" t="str">
        <f t="shared" si="50"/>
        <v>2024-8</v>
      </c>
    </row>
    <row r="985" spans="1:5" x14ac:dyDescent="0.25">
      <c r="A985" t="s">
        <v>33</v>
      </c>
      <c r="B985" t="s">
        <v>456</v>
      </c>
      <c r="C985">
        <f t="shared" si="48"/>
        <v>2024</v>
      </c>
      <c r="D985">
        <f t="shared" si="49"/>
        <v>8</v>
      </c>
      <c r="E985" t="str">
        <f t="shared" si="50"/>
        <v>2024-8</v>
      </c>
    </row>
    <row r="986" spans="1:5" x14ac:dyDescent="0.25">
      <c r="A986" t="s">
        <v>11</v>
      </c>
      <c r="B986" t="s">
        <v>456</v>
      </c>
      <c r="C986">
        <f t="shared" si="48"/>
        <v>2024</v>
      </c>
      <c r="D986">
        <f t="shared" si="49"/>
        <v>8</v>
      </c>
      <c r="E986" t="str">
        <f t="shared" si="50"/>
        <v>2024-8</v>
      </c>
    </row>
    <row r="987" spans="1:5" x14ac:dyDescent="0.25">
      <c r="A987" t="s">
        <v>295</v>
      </c>
      <c r="B987" t="s">
        <v>456</v>
      </c>
      <c r="C987">
        <f t="shared" si="48"/>
        <v>2024</v>
      </c>
      <c r="D987">
        <f t="shared" si="49"/>
        <v>8</v>
      </c>
      <c r="E987" t="str">
        <f t="shared" si="50"/>
        <v>2024-8</v>
      </c>
    </row>
    <row r="988" spans="1:5" x14ac:dyDescent="0.25">
      <c r="A988" t="s">
        <v>146</v>
      </c>
      <c r="B988" t="s">
        <v>456</v>
      </c>
      <c r="C988">
        <f t="shared" si="48"/>
        <v>2024</v>
      </c>
      <c r="D988">
        <f t="shared" si="49"/>
        <v>8</v>
      </c>
      <c r="E988" t="str">
        <f t="shared" si="50"/>
        <v>2024-8</v>
      </c>
    </row>
    <row r="989" spans="1:5" x14ac:dyDescent="0.25">
      <c r="A989" t="s">
        <v>195</v>
      </c>
      <c r="B989" t="s">
        <v>457</v>
      </c>
      <c r="C989">
        <f t="shared" si="48"/>
        <v>2024</v>
      </c>
      <c r="D989">
        <f t="shared" si="49"/>
        <v>8</v>
      </c>
      <c r="E989" t="str">
        <f t="shared" si="50"/>
        <v>2024-8</v>
      </c>
    </row>
    <row r="990" spans="1:5" x14ac:dyDescent="0.25">
      <c r="A990" t="s">
        <v>141</v>
      </c>
      <c r="B990" t="s">
        <v>457</v>
      </c>
      <c r="C990">
        <f t="shared" si="48"/>
        <v>2024</v>
      </c>
      <c r="D990">
        <f t="shared" si="49"/>
        <v>8</v>
      </c>
      <c r="E990" t="str">
        <f t="shared" si="50"/>
        <v>2024-8</v>
      </c>
    </row>
    <row r="991" spans="1:5" x14ac:dyDescent="0.25">
      <c r="A991" t="s">
        <v>176</v>
      </c>
      <c r="B991" t="s">
        <v>457</v>
      </c>
      <c r="C991">
        <f t="shared" si="48"/>
        <v>2024</v>
      </c>
      <c r="D991">
        <f t="shared" si="49"/>
        <v>8</v>
      </c>
      <c r="E991" t="str">
        <f t="shared" si="50"/>
        <v>2024-8</v>
      </c>
    </row>
    <row r="992" spans="1:5" x14ac:dyDescent="0.25">
      <c r="A992" t="s">
        <v>223</v>
      </c>
      <c r="B992" t="s">
        <v>458</v>
      </c>
      <c r="C992">
        <f t="shared" si="48"/>
        <v>2024</v>
      </c>
      <c r="D992">
        <f t="shared" si="49"/>
        <v>8</v>
      </c>
      <c r="E992" t="str">
        <f t="shared" si="50"/>
        <v>2024-8</v>
      </c>
    </row>
    <row r="993" spans="1:5" x14ac:dyDescent="0.25">
      <c r="A993" t="s">
        <v>256</v>
      </c>
      <c r="B993" t="s">
        <v>458</v>
      </c>
      <c r="C993">
        <f t="shared" si="48"/>
        <v>2024</v>
      </c>
      <c r="D993">
        <f t="shared" si="49"/>
        <v>8</v>
      </c>
      <c r="E993" t="str">
        <f t="shared" si="50"/>
        <v>2024-8</v>
      </c>
    </row>
    <row r="994" spans="1:5" x14ac:dyDescent="0.25">
      <c r="A994" t="s">
        <v>11</v>
      </c>
      <c r="B994" t="s">
        <v>459</v>
      </c>
      <c r="C994">
        <f t="shared" si="48"/>
        <v>2024</v>
      </c>
      <c r="D994">
        <f t="shared" si="49"/>
        <v>8</v>
      </c>
      <c r="E994" t="str">
        <f t="shared" si="50"/>
        <v>2024-8</v>
      </c>
    </row>
    <row r="995" spans="1:5" x14ac:dyDescent="0.25">
      <c r="A995" t="s">
        <v>344</v>
      </c>
      <c r="B995" t="s">
        <v>459</v>
      </c>
      <c r="C995">
        <f t="shared" si="48"/>
        <v>2024</v>
      </c>
      <c r="D995">
        <f t="shared" si="49"/>
        <v>8</v>
      </c>
      <c r="E995" t="str">
        <f t="shared" si="50"/>
        <v>2024-8</v>
      </c>
    </row>
    <row r="996" spans="1:5" x14ac:dyDescent="0.25">
      <c r="A996" t="s">
        <v>186</v>
      </c>
      <c r="B996" t="s">
        <v>459</v>
      </c>
      <c r="C996">
        <f t="shared" si="48"/>
        <v>2024</v>
      </c>
      <c r="D996">
        <f t="shared" si="49"/>
        <v>8</v>
      </c>
      <c r="E996" t="str">
        <f t="shared" si="50"/>
        <v>2024-8</v>
      </c>
    </row>
    <row r="997" spans="1:5" x14ac:dyDescent="0.25">
      <c r="A997" t="s">
        <v>69</v>
      </c>
      <c r="B997" t="s">
        <v>459</v>
      </c>
      <c r="C997">
        <f t="shared" si="48"/>
        <v>2024</v>
      </c>
      <c r="D997">
        <f t="shared" si="49"/>
        <v>8</v>
      </c>
      <c r="E997" t="str">
        <f t="shared" si="50"/>
        <v>2024-8</v>
      </c>
    </row>
    <row r="998" spans="1:5" x14ac:dyDescent="0.25">
      <c r="A998" t="s">
        <v>69</v>
      </c>
      <c r="B998" t="s">
        <v>460</v>
      </c>
      <c r="C998">
        <f t="shared" si="48"/>
        <v>2024</v>
      </c>
      <c r="D998">
        <f t="shared" si="49"/>
        <v>8</v>
      </c>
      <c r="E998" t="str">
        <f t="shared" si="50"/>
        <v>2024-8</v>
      </c>
    </row>
    <row r="999" spans="1:5" x14ac:dyDescent="0.25">
      <c r="A999" t="s">
        <v>139</v>
      </c>
      <c r="B999" t="s">
        <v>460</v>
      </c>
      <c r="C999">
        <f t="shared" si="48"/>
        <v>2024</v>
      </c>
      <c r="D999">
        <f t="shared" si="49"/>
        <v>8</v>
      </c>
      <c r="E999" t="str">
        <f t="shared" si="50"/>
        <v>2024-8</v>
      </c>
    </row>
    <row r="1000" spans="1:5" x14ac:dyDescent="0.25">
      <c r="A1000" t="s">
        <v>256</v>
      </c>
      <c r="B1000" t="s">
        <v>461</v>
      </c>
      <c r="C1000">
        <f t="shared" si="48"/>
        <v>2024</v>
      </c>
      <c r="D1000">
        <f t="shared" si="49"/>
        <v>9</v>
      </c>
      <c r="E1000" t="str">
        <f t="shared" si="50"/>
        <v>2024-9</v>
      </c>
    </row>
    <row r="1001" spans="1:5" x14ac:dyDescent="0.25">
      <c r="A1001" t="s">
        <v>217</v>
      </c>
      <c r="B1001" t="s">
        <v>461</v>
      </c>
      <c r="C1001">
        <f t="shared" si="48"/>
        <v>2024</v>
      </c>
      <c r="D1001">
        <f t="shared" si="49"/>
        <v>9</v>
      </c>
      <c r="E1001" t="str">
        <f t="shared" si="50"/>
        <v>2024-9</v>
      </c>
    </row>
  </sheetData>
  <sortState xmlns:xlrd2="http://schemas.microsoft.com/office/spreadsheetml/2017/richdata2" ref="H2:I1001">
    <sortCondition ref="H1:H1001"/>
  </sortState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4A5C93-F0DC-4C3A-9C44-EEAE27D1129F}">
  <dimension ref="A1:W1001"/>
  <sheetViews>
    <sheetView workbookViewId="0">
      <selection activeCell="P1" sqref="P1:P1048576"/>
    </sheetView>
  </sheetViews>
  <sheetFormatPr defaultRowHeight="15" x14ac:dyDescent="0.25"/>
  <cols>
    <col min="1" max="1" width="32.140625" customWidth="1"/>
    <col min="2" max="3" width="9.140625" customWidth="1"/>
    <col min="6" max="6" width="9.140625" customWidth="1"/>
    <col min="16" max="17" width="33" customWidth="1"/>
    <col min="18" max="18" width="12" hidden="1" customWidth="1"/>
    <col min="19" max="19" width="15" hidden="1" customWidth="1"/>
    <col min="20" max="20" width="8.140625" customWidth="1"/>
    <col min="21" max="21" width="9.140625" customWidth="1"/>
    <col min="22" max="22" width="8.42578125" customWidth="1"/>
  </cols>
  <sheetData>
    <row r="1" spans="1:23" x14ac:dyDescent="0.25">
      <c r="A1" s="1"/>
      <c r="B1" s="17" t="s">
        <v>495</v>
      </c>
      <c r="C1" s="17" t="s">
        <v>496</v>
      </c>
      <c r="D1" s="17" t="s">
        <v>497</v>
      </c>
      <c r="E1" s="17" t="s">
        <v>498</v>
      </c>
      <c r="F1" s="17" t="s">
        <v>499</v>
      </c>
      <c r="G1" s="17" t="s">
        <v>500</v>
      </c>
      <c r="H1" s="17" t="s">
        <v>501</v>
      </c>
      <c r="I1" s="17" t="s">
        <v>502</v>
      </c>
      <c r="J1" s="17" t="s">
        <v>503</v>
      </c>
      <c r="K1" s="17" t="s">
        <v>504</v>
      </c>
      <c r="L1" s="17" t="s">
        <v>505</v>
      </c>
      <c r="M1" s="17" t="s">
        <v>506</v>
      </c>
      <c r="N1" s="17" t="s">
        <v>507</v>
      </c>
      <c r="O1" s="29"/>
      <c r="P1" s="1" t="s">
        <v>0</v>
      </c>
      <c r="Q1" s="1" t="s">
        <v>1</v>
      </c>
      <c r="R1" s="1" t="s">
        <v>2</v>
      </c>
      <c r="S1" s="1" t="s">
        <v>3</v>
      </c>
      <c r="T1" s="1" t="s">
        <v>4</v>
      </c>
      <c r="U1" s="29" t="s">
        <v>526</v>
      </c>
      <c r="V1" s="29" t="s">
        <v>527</v>
      </c>
      <c r="W1" s="29" t="s">
        <v>525</v>
      </c>
    </row>
    <row r="2" spans="1:23" x14ac:dyDescent="0.25">
      <c r="A2" s="7" t="s">
        <v>25</v>
      </c>
      <c r="P2" t="s">
        <v>5</v>
      </c>
      <c r="Q2" t="s">
        <v>6</v>
      </c>
      <c r="R2" t="s">
        <v>7</v>
      </c>
      <c r="S2">
        <v>49585</v>
      </c>
      <c r="T2">
        <v>5</v>
      </c>
      <c r="U2">
        <f>MONTH(R2)</f>
        <v>9</v>
      </c>
      <c r="V2">
        <f>YEAR(R2)</f>
        <v>2023</v>
      </c>
      <c r="W2" t="str">
        <f>V2&amp;"-"&amp;U2</f>
        <v>2023-9</v>
      </c>
    </row>
    <row r="3" spans="1:23" x14ac:dyDescent="0.25">
      <c r="A3" s="7" t="s">
        <v>5</v>
      </c>
      <c r="P3" t="s">
        <v>8</v>
      </c>
      <c r="Q3" t="s">
        <v>9</v>
      </c>
      <c r="R3" t="s">
        <v>7</v>
      </c>
      <c r="S3">
        <v>70374</v>
      </c>
      <c r="T3">
        <v>1</v>
      </c>
      <c r="U3">
        <f t="shared" ref="U3:U66" si="0">MONTH(R3)</f>
        <v>9</v>
      </c>
      <c r="V3">
        <f t="shared" ref="V3:V66" si="1">YEAR(R3)</f>
        <v>2023</v>
      </c>
      <c r="W3" t="str">
        <f t="shared" ref="W3:W66" si="2">V3&amp;"-"&amp;U3</f>
        <v>2023-9</v>
      </c>
    </row>
    <row r="4" spans="1:23" x14ac:dyDescent="0.25">
      <c r="A4" s="7" t="s">
        <v>13</v>
      </c>
      <c r="P4" t="s">
        <v>10</v>
      </c>
      <c r="Q4" t="s">
        <v>11</v>
      </c>
      <c r="R4" t="s">
        <v>12</v>
      </c>
      <c r="S4">
        <v>17347</v>
      </c>
      <c r="T4">
        <v>8</v>
      </c>
      <c r="U4">
        <f t="shared" si="0"/>
        <v>9</v>
      </c>
      <c r="V4">
        <f t="shared" si="1"/>
        <v>2023</v>
      </c>
      <c r="W4" t="str">
        <f t="shared" si="2"/>
        <v>2023-9</v>
      </c>
    </row>
    <row r="5" spans="1:23" x14ac:dyDescent="0.25">
      <c r="A5" s="7" t="s">
        <v>38</v>
      </c>
      <c r="P5" t="s">
        <v>13</v>
      </c>
      <c r="Q5" t="s">
        <v>14</v>
      </c>
      <c r="R5" t="s">
        <v>12</v>
      </c>
      <c r="S5">
        <v>77152</v>
      </c>
      <c r="T5">
        <v>10</v>
      </c>
      <c r="U5">
        <f t="shared" si="0"/>
        <v>9</v>
      </c>
      <c r="V5">
        <f t="shared" si="1"/>
        <v>2023</v>
      </c>
      <c r="W5" t="str">
        <f t="shared" si="2"/>
        <v>2023-9</v>
      </c>
    </row>
    <row r="6" spans="1:23" x14ac:dyDescent="0.25">
      <c r="A6" s="7" t="s">
        <v>45</v>
      </c>
      <c r="P6" t="s">
        <v>5</v>
      </c>
      <c r="Q6" t="s">
        <v>15</v>
      </c>
      <c r="R6" t="s">
        <v>12</v>
      </c>
      <c r="S6">
        <v>25583</v>
      </c>
      <c r="T6">
        <v>7</v>
      </c>
      <c r="U6">
        <f t="shared" si="0"/>
        <v>9</v>
      </c>
      <c r="V6">
        <f t="shared" si="1"/>
        <v>2023</v>
      </c>
      <c r="W6" t="str">
        <f t="shared" si="2"/>
        <v>2023-9</v>
      </c>
    </row>
    <row r="7" spans="1:23" x14ac:dyDescent="0.25">
      <c r="A7" s="7" t="s">
        <v>47</v>
      </c>
      <c r="P7" t="s">
        <v>16</v>
      </c>
      <c r="Q7" t="s">
        <v>17</v>
      </c>
      <c r="R7" t="s">
        <v>12</v>
      </c>
      <c r="S7">
        <v>50424</v>
      </c>
      <c r="T7">
        <v>3</v>
      </c>
      <c r="U7">
        <f t="shared" si="0"/>
        <v>9</v>
      </c>
      <c r="V7">
        <f t="shared" si="1"/>
        <v>2023</v>
      </c>
      <c r="W7" t="str">
        <f t="shared" si="2"/>
        <v>2023-9</v>
      </c>
    </row>
    <row r="8" spans="1:23" x14ac:dyDescent="0.25">
      <c r="A8" s="7" t="s">
        <v>18</v>
      </c>
      <c r="P8" t="s">
        <v>18</v>
      </c>
      <c r="Q8" t="s">
        <v>19</v>
      </c>
      <c r="R8" t="s">
        <v>12</v>
      </c>
      <c r="S8">
        <v>27772</v>
      </c>
      <c r="T8">
        <v>1</v>
      </c>
      <c r="U8">
        <f t="shared" si="0"/>
        <v>9</v>
      </c>
      <c r="V8">
        <f t="shared" si="1"/>
        <v>2023</v>
      </c>
      <c r="W8" t="str">
        <f t="shared" si="2"/>
        <v>2023-9</v>
      </c>
    </row>
    <row r="9" spans="1:23" x14ac:dyDescent="0.25">
      <c r="A9" s="7" t="s">
        <v>10</v>
      </c>
      <c r="P9" t="s">
        <v>18</v>
      </c>
      <c r="Q9" t="s">
        <v>20</v>
      </c>
      <c r="R9" t="s">
        <v>12</v>
      </c>
      <c r="S9">
        <v>58246</v>
      </c>
      <c r="T9">
        <v>8</v>
      </c>
      <c r="U9">
        <f t="shared" si="0"/>
        <v>9</v>
      </c>
      <c r="V9">
        <f t="shared" si="1"/>
        <v>2023</v>
      </c>
      <c r="W9" t="str">
        <f t="shared" si="2"/>
        <v>2023-9</v>
      </c>
    </row>
    <row r="10" spans="1:23" x14ac:dyDescent="0.25">
      <c r="A10" s="7" t="s">
        <v>8</v>
      </c>
      <c r="P10" t="s">
        <v>13</v>
      </c>
      <c r="Q10" t="s">
        <v>21</v>
      </c>
      <c r="R10" t="s">
        <v>12</v>
      </c>
      <c r="S10">
        <v>30493</v>
      </c>
      <c r="T10">
        <v>4</v>
      </c>
      <c r="U10">
        <f t="shared" si="0"/>
        <v>9</v>
      </c>
      <c r="V10">
        <f t="shared" si="1"/>
        <v>2023</v>
      </c>
      <c r="W10" t="str">
        <f t="shared" si="2"/>
        <v>2023-9</v>
      </c>
    </row>
    <row r="11" spans="1:23" x14ac:dyDescent="0.25">
      <c r="A11" s="7" t="s">
        <v>27</v>
      </c>
      <c r="P11" t="s">
        <v>10</v>
      </c>
      <c r="Q11" t="s">
        <v>22</v>
      </c>
      <c r="R11" t="s">
        <v>23</v>
      </c>
      <c r="S11">
        <v>66366</v>
      </c>
      <c r="T11">
        <v>4</v>
      </c>
      <c r="U11">
        <f t="shared" si="0"/>
        <v>9</v>
      </c>
      <c r="V11">
        <f t="shared" si="1"/>
        <v>2023</v>
      </c>
      <c r="W11" t="str">
        <f t="shared" si="2"/>
        <v>2023-9</v>
      </c>
    </row>
    <row r="12" spans="1:23" x14ac:dyDescent="0.25">
      <c r="A12" s="7" t="s">
        <v>16</v>
      </c>
      <c r="P12" t="s">
        <v>18</v>
      </c>
      <c r="Q12" t="s">
        <v>24</v>
      </c>
      <c r="R12" t="s">
        <v>23</v>
      </c>
      <c r="S12">
        <v>25078</v>
      </c>
      <c r="T12">
        <v>6</v>
      </c>
      <c r="U12">
        <f t="shared" si="0"/>
        <v>9</v>
      </c>
      <c r="V12">
        <f t="shared" si="1"/>
        <v>2023</v>
      </c>
      <c r="W12" t="str">
        <f t="shared" si="2"/>
        <v>2023-9</v>
      </c>
    </row>
    <row r="13" spans="1:23" x14ac:dyDescent="0.25">
      <c r="A13" s="7" t="s">
        <v>30</v>
      </c>
      <c r="P13" t="s">
        <v>25</v>
      </c>
      <c r="Q13" t="s">
        <v>26</v>
      </c>
      <c r="R13" t="s">
        <v>23</v>
      </c>
      <c r="S13">
        <v>75327</v>
      </c>
      <c r="T13">
        <v>8</v>
      </c>
      <c r="U13">
        <f t="shared" si="0"/>
        <v>9</v>
      </c>
      <c r="V13">
        <f t="shared" si="1"/>
        <v>2023</v>
      </c>
      <c r="W13" t="str">
        <f t="shared" si="2"/>
        <v>2023-9</v>
      </c>
    </row>
    <row r="14" spans="1:23" x14ac:dyDescent="0.25">
      <c r="P14" t="s">
        <v>27</v>
      </c>
      <c r="Q14" t="s">
        <v>28</v>
      </c>
      <c r="R14" t="s">
        <v>29</v>
      </c>
      <c r="S14">
        <v>68907</v>
      </c>
      <c r="T14">
        <v>3</v>
      </c>
      <c r="U14">
        <f t="shared" si="0"/>
        <v>9</v>
      </c>
      <c r="V14">
        <f t="shared" si="1"/>
        <v>2023</v>
      </c>
      <c r="W14" t="str">
        <f t="shared" si="2"/>
        <v>2023-9</v>
      </c>
    </row>
    <row r="15" spans="1:23" x14ac:dyDescent="0.25">
      <c r="P15" t="s">
        <v>30</v>
      </c>
      <c r="Q15" t="s">
        <v>31</v>
      </c>
      <c r="R15" t="s">
        <v>29</v>
      </c>
      <c r="S15">
        <v>61980</v>
      </c>
      <c r="T15">
        <v>6</v>
      </c>
      <c r="U15">
        <f t="shared" si="0"/>
        <v>9</v>
      </c>
      <c r="V15">
        <f t="shared" si="1"/>
        <v>2023</v>
      </c>
      <c r="W15" t="str">
        <f t="shared" si="2"/>
        <v>2023-9</v>
      </c>
    </row>
    <row r="16" spans="1:23" x14ac:dyDescent="0.25">
      <c r="P16" t="s">
        <v>13</v>
      </c>
      <c r="Q16" t="s">
        <v>32</v>
      </c>
      <c r="R16" t="s">
        <v>29</v>
      </c>
      <c r="S16">
        <v>63884</v>
      </c>
      <c r="T16">
        <v>7</v>
      </c>
      <c r="U16">
        <f t="shared" si="0"/>
        <v>9</v>
      </c>
      <c r="V16">
        <f t="shared" si="1"/>
        <v>2023</v>
      </c>
      <c r="W16" t="str">
        <f t="shared" si="2"/>
        <v>2023-9</v>
      </c>
    </row>
    <row r="17" spans="16:23" x14ac:dyDescent="0.25">
      <c r="P17" t="s">
        <v>25</v>
      </c>
      <c r="Q17" t="s">
        <v>33</v>
      </c>
      <c r="R17" t="s">
        <v>34</v>
      </c>
      <c r="S17">
        <v>35787</v>
      </c>
      <c r="T17">
        <v>1</v>
      </c>
      <c r="U17">
        <f t="shared" si="0"/>
        <v>9</v>
      </c>
      <c r="V17">
        <f t="shared" si="1"/>
        <v>2023</v>
      </c>
      <c r="W17" t="str">
        <f t="shared" si="2"/>
        <v>2023-9</v>
      </c>
    </row>
    <row r="18" spans="16:23" x14ac:dyDescent="0.25">
      <c r="P18" t="s">
        <v>16</v>
      </c>
      <c r="Q18" t="s">
        <v>20</v>
      </c>
      <c r="R18" t="s">
        <v>34</v>
      </c>
      <c r="S18">
        <v>28370</v>
      </c>
      <c r="T18">
        <v>9</v>
      </c>
      <c r="U18">
        <f t="shared" si="0"/>
        <v>9</v>
      </c>
      <c r="V18">
        <f t="shared" si="1"/>
        <v>2023</v>
      </c>
      <c r="W18" t="str">
        <f t="shared" si="2"/>
        <v>2023-9</v>
      </c>
    </row>
    <row r="19" spans="16:23" x14ac:dyDescent="0.25">
      <c r="P19" t="s">
        <v>16</v>
      </c>
      <c r="Q19" t="s">
        <v>35</v>
      </c>
      <c r="R19" t="s">
        <v>34</v>
      </c>
      <c r="S19">
        <v>37951</v>
      </c>
      <c r="T19">
        <v>0</v>
      </c>
      <c r="U19">
        <f t="shared" si="0"/>
        <v>9</v>
      </c>
      <c r="V19">
        <f t="shared" si="1"/>
        <v>2023</v>
      </c>
      <c r="W19" t="str">
        <f t="shared" si="2"/>
        <v>2023-9</v>
      </c>
    </row>
    <row r="20" spans="16:23" x14ac:dyDescent="0.25">
      <c r="P20" t="s">
        <v>8</v>
      </c>
      <c r="Q20" t="s">
        <v>36</v>
      </c>
      <c r="R20" t="s">
        <v>34</v>
      </c>
      <c r="S20">
        <v>39832</v>
      </c>
      <c r="T20">
        <v>7</v>
      </c>
      <c r="U20">
        <f t="shared" si="0"/>
        <v>9</v>
      </c>
      <c r="V20">
        <f t="shared" si="1"/>
        <v>2023</v>
      </c>
      <c r="W20" t="str">
        <f t="shared" si="2"/>
        <v>2023-9</v>
      </c>
    </row>
    <row r="21" spans="16:23" x14ac:dyDescent="0.25">
      <c r="P21" t="s">
        <v>8</v>
      </c>
      <c r="Q21" t="s">
        <v>37</v>
      </c>
      <c r="R21" t="s">
        <v>34</v>
      </c>
      <c r="S21">
        <v>18687</v>
      </c>
      <c r="T21">
        <v>7</v>
      </c>
      <c r="U21">
        <f t="shared" si="0"/>
        <v>9</v>
      </c>
      <c r="V21">
        <f t="shared" si="1"/>
        <v>2023</v>
      </c>
      <c r="W21" t="str">
        <f t="shared" si="2"/>
        <v>2023-9</v>
      </c>
    </row>
    <row r="22" spans="16:23" x14ac:dyDescent="0.25">
      <c r="P22" t="s">
        <v>38</v>
      </c>
      <c r="Q22" t="s">
        <v>39</v>
      </c>
      <c r="R22" t="s">
        <v>40</v>
      </c>
      <c r="S22">
        <v>69529</v>
      </c>
      <c r="T22">
        <v>8</v>
      </c>
      <c r="U22">
        <f t="shared" si="0"/>
        <v>9</v>
      </c>
      <c r="V22">
        <f t="shared" si="1"/>
        <v>2023</v>
      </c>
      <c r="W22" t="str">
        <f t="shared" si="2"/>
        <v>2023-9</v>
      </c>
    </row>
    <row r="23" spans="16:23" x14ac:dyDescent="0.25">
      <c r="P23" t="s">
        <v>16</v>
      </c>
      <c r="Q23" t="s">
        <v>41</v>
      </c>
      <c r="R23" t="s">
        <v>40</v>
      </c>
      <c r="S23">
        <v>59076</v>
      </c>
      <c r="T23">
        <v>6</v>
      </c>
      <c r="U23">
        <f t="shared" si="0"/>
        <v>9</v>
      </c>
      <c r="V23">
        <f t="shared" si="1"/>
        <v>2023</v>
      </c>
      <c r="W23" t="str">
        <f t="shared" si="2"/>
        <v>2023-9</v>
      </c>
    </row>
    <row r="24" spans="16:23" x14ac:dyDescent="0.25">
      <c r="P24" t="s">
        <v>18</v>
      </c>
      <c r="Q24" t="s">
        <v>42</v>
      </c>
      <c r="R24" t="s">
        <v>40</v>
      </c>
      <c r="S24">
        <v>87820</v>
      </c>
      <c r="T24">
        <v>6</v>
      </c>
      <c r="U24">
        <f t="shared" si="0"/>
        <v>9</v>
      </c>
      <c r="V24">
        <f t="shared" si="1"/>
        <v>2023</v>
      </c>
      <c r="W24" t="str">
        <f t="shared" si="2"/>
        <v>2023-9</v>
      </c>
    </row>
    <row r="25" spans="16:23" x14ac:dyDescent="0.25">
      <c r="P25" t="s">
        <v>18</v>
      </c>
      <c r="Q25" t="s">
        <v>43</v>
      </c>
      <c r="R25" t="s">
        <v>44</v>
      </c>
      <c r="S25">
        <v>30927</v>
      </c>
      <c r="T25">
        <v>6</v>
      </c>
      <c r="U25">
        <f t="shared" si="0"/>
        <v>9</v>
      </c>
      <c r="V25">
        <f t="shared" si="1"/>
        <v>2023</v>
      </c>
      <c r="W25" t="str">
        <f t="shared" si="2"/>
        <v>2023-9</v>
      </c>
    </row>
    <row r="26" spans="16:23" x14ac:dyDescent="0.25">
      <c r="P26" t="s">
        <v>45</v>
      </c>
      <c r="Q26" t="s">
        <v>46</v>
      </c>
      <c r="R26" t="s">
        <v>44</v>
      </c>
      <c r="S26">
        <v>27016</v>
      </c>
      <c r="T26">
        <v>8</v>
      </c>
      <c r="U26">
        <f t="shared" si="0"/>
        <v>9</v>
      </c>
      <c r="V26">
        <f t="shared" si="1"/>
        <v>2023</v>
      </c>
      <c r="W26" t="str">
        <f t="shared" si="2"/>
        <v>2023-9</v>
      </c>
    </row>
    <row r="27" spans="16:23" x14ac:dyDescent="0.25">
      <c r="P27" t="s">
        <v>47</v>
      </c>
      <c r="Q27" t="s">
        <v>48</v>
      </c>
      <c r="R27" t="s">
        <v>44</v>
      </c>
      <c r="S27">
        <v>44279</v>
      </c>
      <c r="T27">
        <v>6</v>
      </c>
      <c r="U27">
        <f t="shared" si="0"/>
        <v>9</v>
      </c>
      <c r="V27">
        <f t="shared" si="1"/>
        <v>2023</v>
      </c>
      <c r="W27" t="str">
        <f t="shared" si="2"/>
        <v>2023-9</v>
      </c>
    </row>
    <row r="28" spans="16:23" x14ac:dyDescent="0.25">
      <c r="P28" t="s">
        <v>38</v>
      </c>
      <c r="Q28" t="s">
        <v>19</v>
      </c>
      <c r="R28" t="s">
        <v>44</v>
      </c>
      <c r="S28">
        <v>35608</v>
      </c>
      <c r="T28">
        <v>10</v>
      </c>
      <c r="U28">
        <f t="shared" si="0"/>
        <v>9</v>
      </c>
      <c r="V28">
        <f t="shared" si="1"/>
        <v>2023</v>
      </c>
      <c r="W28" t="str">
        <f t="shared" si="2"/>
        <v>2023-9</v>
      </c>
    </row>
    <row r="29" spans="16:23" x14ac:dyDescent="0.25">
      <c r="P29" t="s">
        <v>30</v>
      </c>
      <c r="Q29" t="s">
        <v>49</v>
      </c>
      <c r="R29" t="s">
        <v>44</v>
      </c>
      <c r="S29">
        <v>25430</v>
      </c>
      <c r="T29">
        <v>8</v>
      </c>
      <c r="U29">
        <f t="shared" si="0"/>
        <v>9</v>
      </c>
      <c r="V29">
        <f t="shared" si="1"/>
        <v>2023</v>
      </c>
      <c r="W29" t="str">
        <f t="shared" si="2"/>
        <v>2023-9</v>
      </c>
    </row>
    <row r="30" spans="16:23" x14ac:dyDescent="0.25">
      <c r="P30" t="s">
        <v>38</v>
      </c>
      <c r="Q30" t="s">
        <v>17</v>
      </c>
      <c r="R30" t="s">
        <v>44</v>
      </c>
      <c r="S30">
        <v>20221</v>
      </c>
      <c r="T30">
        <v>6</v>
      </c>
      <c r="U30">
        <f t="shared" si="0"/>
        <v>9</v>
      </c>
      <c r="V30">
        <f t="shared" si="1"/>
        <v>2023</v>
      </c>
      <c r="W30" t="str">
        <f t="shared" si="2"/>
        <v>2023-9</v>
      </c>
    </row>
    <row r="31" spans="16:23" x14ac:dyDescent="0.25">
      <c r="P31" t="s">
        <v>27</v>
      </c>
      <c r="Q31" t="s">
        <v>31</v>
      </c>
      <c r="R31" t="s">
        <v>44</v>
      </c>
      <c r="S31">
        <v>24172</v>
      </c>
      <c r="T31">
        <v>5</v>
      </c>
      <c r="U31">
        <f t="shared" si="0"/>
        <v>9</v>
      </c>
      <c r="V31">
        <f t="shared" si="1"/>
        <v>2023</v>
      </c>
      <c r="W31" t="str">
        <f t="shared" si="2"/>
        <v>2023-9</v>
      </c>
    </row>
    <row r="32" spans="16:23" x14ac:dyDescent="0.25">
      <c r="P32" t="s">
        <v>27</v>
      </c>
      <c r="Q32" t="s">
        <v>50</v>
      </c>
      <c r="R32" t="s">
        <v>44</v>
      </c>
      <c r="S32">
        <v>62593</v>
      </c>
      <c r="T32">
        <v>8</v>
      </c>
      <c r="U32">
        <f t="shared" si="0"/>
        <v>9</v>
      </c>
      <c r="V32">
        <f t="shared" si="1"/>
        <v>2023</v>
      </c>
      <c r="W32" t="str">
        <f t="shared" si="2"/>
        <v>2023-9</v>
      </c>
    </row>
    <row r="33" spans="16:23" x14ac:dyDescent="0.25">
      <c r="P33" t="s">
        <v>30</v>
      </c>
      <c r="Q33" t="s">
        <v>51</v>
      </c>
      <c r="R33" t="s">
        <v>44</v>
      </c>
      <c r="S33">
        <v>45798</v>
      </c>
      <c r="T33">
        <v>3</v>
      </c>
      <c r="U33">
        <f t="shared" si="0"/>
        <v>9</v>
      </c>
      <c r="V33">
        <f t="shared" si="1"/>
        <v>2023</v>
      </c>
      <c r="W33" t="str">
        <f t="shared" si="2"/>
        <v>2023-9</v>
      </c>
    </row>
    <row r="34" spans="16:23" x14ac:dyDescent="0.25">
      <c r="P34" t="s">
        <v>27</v>
      </c>
      <c r="Q34" t="s">
        <v>52</v>
      </c>
      <c r="R34" t="s">
        <v>44</v>
      </c>
      <c r="S34">
        <v>44430</v>
      </c>
      <c r="T34">
        <v>2</v>
      </c>
      <c r="U34">
        <f t="shared" si="0"/>
        <v>9</v>
      </c>
      <c r="V34">
        <f t="shared" si="1"/>
        <v>2023</v>
      </c>
      <c r="W34" t="str">
        <f t="shared" si="2"/>
        <v>2023-9</v>
      </c>
    </row>
    <row r="35" spans="16:23" x14ac:dyDescent="0.25">
      <c r="P35" t="s">
        <v>13</v>
      </c>
      <c r="Q35" t="s">
        <v>53</v>
      </c>
      <c r="R35" t="s">
        <v>54</v>
      </c>
      <c r="S35">
        <v>16523</v>
      </c>
      <c r="T35">
        <v>9</v>
      </c>
      <c r="U35">
        <f t="shared" si="0"/>
        <v>9</v>
      </c>
      <c r="V35">
        <f t="shared" si="1"/>
        <v>2023</v>
      </c>
      <c r="W35" t="str">
        <f t="shared" si="2"/>
        <v>2023-9</v>
      </c>
    </row>
    <row r="36" spans="16:23" x14ac:dyDescent="0.25">
      <c r="P36" t="s">
        <v>16</v>
      </c>
      <c r="Q36" t="s">
        <v>41</v>
      </c>
      <c r="R36" t="s">
        <v>54</v>
      </c>
      <c r="S36">
        <v>26957</v>
      </c>
      <c r="T36">
        <v>4</v>
      </c>
      <c r="U36">
        <f t="shared" si="0"/>
        <v>9</v>
      </c>
      <c r="V36">
        <f t="shared" si="1"/>
        <v>2023</v>
      </c>
      <c r="W36" t="str">
        <f t="shared" si="2"/>
        <v>2023-9</v>
      </c>
    </row>
    <row r="37" spans="16:23" x14ac:dyDescent="0.25">
      <c r="P37" t="s">
        <v>30</v>
      </c>
      <c r="Q37" t="s">
        <v>55</v>
      </c>
      <c r="R37" t="s">
        <v>56</v>
      </c>
      <c r="S37">
        <v>15896</v>
      </c>
      <c r="T37">
        <v>7</v>
      </c>
      <c r="U37">
        <f t="shared" si="0"/>
        <v>9</v>
      </c>
      <c r="V37">
        <f t="shared" si="1"/>
        <v>2023</v>
      </c>
      <c r="W37" t="str">
        <f t="shared" si="2"/>
        <v>2023-9</v>
      </c>
    </row>
    <row r="38" spans="16:23" x14ac:dyDescent="0.25">
      <c r="P38" t="s">
        <v>25</v>
      </c>
      <c r="Q38" t="s">
        <v>57</v>
      </c>
      <c r="R38" t="s">
        <v>56</v>
      </c>
      <c r="S38">
        <v>48097</v>
      </c>
      <c r="T38">
        <v>9</v>
      </c>
      <c r="U38">
        <f t="shared" si="0"/>
        <v>9</v>
      </c>
      <c r="V38">
        <f t="shared" si="1"/>
        <v>2023</v>
      </c>
      <c r="W38" t="str">
        <f t="shared" si="2"/>
        <v>2023-9</v>
      </c>
    </row>
    <row r="39" spans="16:23" x14ac:dyDescent="0.25">
      <c r="P39" t="s">
        <v>8</v>
      </c>
      <c r="Q39" t="s">
        <v>32</v>
      </c>
      <c r="R39" t="s">
        <v>56</v>
      </c>
      <c r="S39">
        <v>38597</v>
      </c>
      <c r="T39">
        <v>9</v>
      </c>
      <c r="U39">
        <f t="shared" si="0"/>
        <v>9</v>
      </c>
      <c r="V39">
        <f t="shared" si="1"/>
        <v>2023</v>
      </c>
      <c r="W39" t="str">
        <f t="shared" si="2"/>
        <v>2023-9</v>
      </c>
    </row>
    <row r="40" spans="16:23" x14ac:dyDescent="0.25">
      <c r="P40" t="s">
        <v>5</v>
      </c>
      <c r="Q40" t="s">
        <v>58</v>
      </c>
      <c r="R40" t="s">
        <v>56</v>
      </c>
      <c r="S40">
        <v>74405</v>
      </c>
      <c r="T40">
        <v>9</v>
      </c>
      <c r="U40">
        <f t="shared" si="0"/>
        <v>9</v>
      </c>
      <c r="V40">
        <f t="shared" si="1"/>
        <v>2023</v>
      </c>
      <c r="W40" t="str">
        <f t="shared" si="2"/>
        <v>2023-9</v>
      </c>
    </row>
    <row r="41" spans="16:23" x14ac:dyDescent="0.25">
      <c r="P41" t="s">
        <v>5</v>
      </c>
      <c r="Q41" t="s">
        <v>59</v>
      </c>
      <c r="R41" t="s">
        <v>60</v>
      </c>
      <c r="S41">
        <v>37910</v>
      </c>
      <c r="T41">
        <v>9</v>
      </c>
      <c r="U41">
        <f t="shared" si="0"/>
        <v>9</v>
      </c>
      <c r="V41">
        <f t="shared" si="1"/>
        <v>2023</v>
      </c>
      <c r="W41" t="str">
        <f t="shared" si="2"/>
        <v>2023-9</v>
      </c>
    </row>
    <row r="42" spans="16:23" x14ac:dyDescent="0.25">
      <c r="P42" t="s">
        <v>5</v>
      </c>
      <c r="Q42" t="s">
        <v>61</v>
      </c>
      <c r="R42" t="s">
        <v>62</v>
      </c>
      <c r="S42">
        <v>78611</v>
      </c>
      <c r="T42">
        <v>2</v>
      </c>
      <c r="U42">
        <f t="shared" si="0"/>
        <v>9</v>
      </c>
      <c r="V42">
        <f t="shared" si="1"/>
        <v>2023</v>
      </c>
      <c r="W42" t="str">
        <f t="shared" si="2"/>
        <v>2023-9</v>
      </c>
    </row>
    <row r="43" spans="16:23" x14ac:dyDescent="0.25">
      <c r="P43" t="s">
        <v>30</v>
      </c>
      <c r="Q43" t="s">
        <v>63</v>
      </c>
      <c r="R43" t="s">
        <v>62</v>
      </c>
      <c r="S43">
        <v>65076</v>
      </c>
      <c r="T43">
        <v>6</v>
      </c>
      <c r="U43">
        <f t="shared" si="0"/>
        <v>9</v>
      </c>
      <c r="V43">
        <f t="shared" si="1"/>
        <v>2023</v>
      </c>
      <c r="W43" t="str">
        <f t="shared" si="2"/>
        <v>2023-9</v>
      </c>
    </row>
    <row r="44" spans="16:23" x14ac:dyDescent="0.25">
      <c r="P44" t="s">
        <v>30</v>
      </c>
      <c r="Q44" t="s">
        <v>64</v>
      </c>
      <c r="R44" t="s">
        <v>62</v>
      </c>
      <c r="S44">
        <v>46536</v>
      </c>
      <c r="T44">
        <v>7</v>
      </c>
      <c r="U44">
        <f t="shared" si="0"/>
        <v>9</v>
      </c>
      <c r="V44">
        <f t="shared" si="1"/>
        <v>2023</v>
      </c>
      <c r="W44" t="str">
        <f t="shared" si="2"/>
        <v>2023-9</v>
      </c>
    </row>
    <row r="45" spans="16:23" x14ac:dyDescent="0.25">
      <c r="P45" t="s">
        <v>10</v>
      </c>
      <c r="Q45" t="s">
        <v>65</v>
      </c>
      <c r="R45" t="s">
        <v>62</v>
      </c>
      <c r="S45">
        <v>70195</v>
      </c>
      <c r="T45">
        <v>4</v>
      </c>
      <c r="U45">
        <f t="shared" si="0"/>
        <v>9</v>
      </c>
      <c r="V45">
        <f t="shared" si="1"/>
        <v>2023</v>
      </c>
      <c r="W45" t="str">
        <f t="shared" si="2"/>
        <v>2023-9</v>
      </c>
    </row>
    <row r="46" spans="16:23" x14ac:dyDescent="0.25">
      <c r="P46" t="s">
        <v>45</v>
      </c>
      <c r="Q46" t="s">
        <v>66</v>
      </c>
      <c r="R46" t="s">
        <v>62</v>
      </c>
      <c r="S46">
        <v>18447</v>
      </c>
      <c r="T46">
        <v>9</v>
      </c>
      <c r="U46">
        <f t="shared" si="0"/>
        <v>9</v>
      </c>
      <c r="V46">
        <f t="shared" si="1"/>
        <v>2023</v>
      </c>
      <c r="W46" t="str">
        <f t="shared" si="2"/>
        <v>2023-9</v>
      </c>
    </row>
    <row r="47" spans="16:23" x14ac:dyDescent="0.25">
      <c r="P47" t="s">
        <v>27</v>
      </c>
      <c r="Q47" t="s">
        <v>37</v>
      </c>
      <c r="R47" t="s">
        <v>62</v>
      </c>
      <c r="S47">
        <v>89242</v>
      </c>
      <c r="T47">
        <v>6</v>
      </c>
      <c r="U47">
        <f t="shared" si="0"/>
        <v>9</v>
      </c>
      <c r="V47">
        <f t="shared" si="1"/>
        <v>2023</v>
      </c>
      <c r="W47" t="str">
        <f t="shared" si="2"/>
        <v>2023-9</v>
      </c>
    </row>
    <row r="48" spans="16:23" x14ac:dyDescent="0.25">
      <c r="P48" t="s">
        <v>38</v>
      </c>
      <c r="Q48" t="s">
        <v>67</v>
      </c>
      <c r="R48" t="s">
        <v>62</v>
      </c>
      <c r="S48">
        <v>34383</v>
      </c>
      <c r="T48">
        <v>8</v>
      </c>
      <c r="U48">
        <f t="shared" si="0"/>
        <v>9</v>
      </c>
      <c r="V48">
        <f t="shared" si="1"/>
        <v>2023</v>
      </c>
      <c r="W48" t="str">
        <f t="shared" si="2"/>
        <v>2023-9</v>
      </c>
    </row>
    <row r="49" spans="16:23" x14ac:dyDescent="0.25">
      <c r="P49" t="s">
        <v>27</v>
      </c>
      <c r="Q49" t="s">
        <v>68</v>
      </c>
      <c r="R49" t="s">
        <v>62</v>
      </c>
      <c r="S49">
        <v>11300</v>
      </c>
      <c r="T49">
        <v>5</v>
      </c>
      <c r="U49">
        <f t="shared" si="0"/>
        <v>9</v>
      </c>
      <c r="V49">
        <f t="shared" si="1"/>
        <v>2023</v>
      </c>
      <c r="W49" t="str">
        <f t="shared" si="2"/>
        <v>2023-9</v>
      </c>
    </row>
    <row r="50" spans="16:23" x14ac:dyDescent="0.25">
      <c r="P50" t="s">
        <v>16</v>
      </c>
      <c r="Q50" t="s">
        <v>69</v>
      </c>
      <c r="R50" t="s">
        <v>62</v>
      </c>
      <c r="S50">
        <v>64611</v>
      </c>
      <c r="T50">
        <v>6</v>
      </c>
      <c r="U50">
        <f t="shared" si="0"/>
        <v>9</v>
      </c>
      <c r="V50">
        <f t="shared" si="1"/>
        <v>2023</v>
      </c>
      <c r="W50" t="str">
        <f t="shared" si="2"/>
        <v>2023-9</v>
      </c>
    </row>
    <row r="51" spans="16:23" x14ac:dyDescent="0.25">
      <c r="P51" t="s">
        <v>16</v>
      </c>
      <c r="Q51" t="s">
        <v>70</v>
      </c>
      <c r="R51" t="s">
        <v>62</v>
      </c>
      <c r="S51">
        <v>37502</v>
      </c>
      <c r="T51">
        <v>4</v>
      </c>
      <c r="U51">
        <f t="shared" si="0"/>
        <v>9</v>
      </c>
      <c r="V51">
        <f t="shared" si="1"/>
        <v>2023</v>
      </c>
      <c r="W51" t="str">
        <f t="shared" si="2"/>
        <v>2023-9</v>
      </c>
    </row>
    <row r="52" spans="16:23" x14ac:dyDescent="0.25">
      <c r="P52" t="s">
        <v>47</v>
      </c>
      <c r="Q52" t="s">
        <v>69</v>
      </c>
      <c r="R52" t="s">
        <v>62</v>
      </c>
      <c r="S52">
        <v>51661</v>
      </c>
      <c r="T52">
        <v>0</v>
      </c>
      <c r="U52">
        <f t="shared" si="0"/>
        <v>9</v>
      </c>
      <c r="V52">
        <f t="shared" si="1"/>
        <v>2023</v>
      </c>
      <c r="W52" t="str">
        <f t="shared" si="2"/>
        <v>2023-9</v>
      </c>
    </row>
    <row r="53" spans="16:23" x14ac:dyDescent="0.25">
      <c r="P53" t="s">
        <v>13</v>
      </c>
      <c r="Q53" t="s">
        <v>36</v>
      </c>
      <c r="R53" t="s">
        <v>71</v>
      </c>
      <c r="S53">
        <v>64562</v>
      </c>
      <c r="T53">
        <v>10</v>
      </c>
      <c r="U53">
        <f t="shared" si="0"/>
        <v>9</v>
      </c>
      <c r="V53">
        <f t="shared" si="1"/>
        <v>2023</v>
      </c>
      <c r="W53" t="str">
        <f t="shared" si="2"/>
        <v>2023-9</v>
      </c>
    </row>
    <row r="54" spans="16:23" x14ac:dyDescent="0.25">
      <c r="P54" t="s">
        <v>47</v>
      </c>
      <c r="Q54" t="s">
        <v>72</v>
      </c>
      <c r="R54" t="s">
        <v>71</v>
      </c>
      <c r="S54">
        <v>52590</v>
      </c>
      <c r="T54">
        <v>7</v>
      </c>
      <c r="U54">
        <f t="shared" si="0"/>
        <v>9</v>
      </c>
      <c r="V54">
        <f t="shared" si="1"/>
        <v>2023</v>
      </c>
      <c r="W54" t="str">
        <f t="shared" si="2"/>
        <v>2023-9</v>
      </c>
    </row>
    <row r="55" spans="16:23" x14ac:dyDescent="0.25">
      <c r="P55" t="s">
        <v>45</v>
      </c>
      <c r="Q55" t="s">
        <v>22</v>
      </c>
      <c r="R55" t="s">
        <v>71</v>
      </c>
      <c r="S55">
        <v>85722</v>
      </c>
      <c r="T55">
        <v>7</v>
      </c>
      <c r="U55">
        <f t="shared" si="0"/>
        <v>9</v>
      </c>
      <c r="V55">
        <f t="shared" si="1"/>
        <v>2023</v>
      </c>
      <c r="W55" t="str">
        <f t="shared" si="2"/>
        <v>2023-9</v>
      </c>
    </row>
    <row r="56" spans="16:23" x14ac:dyDescent="0.25">
      <c r="P56" t="s">
        <v>5</v>
      </c>
      <c r="Q56" t="s">
        <v>73</v>
      </c>
      <c r="R56" t="s">
        <v>71</v>
      </c>
      <c r="S56">
        <v>57693</v>
      </c>
      <c r="T56">
        <v>1</v>
      </c>
      <c r="U56">
        <f t="shared" si="0"/>
        <v>9</v>
      </c>
      <c r="V56">
        <f t="shared" si="1"/>
        <v>2023</v>
      </c>
      <c r="W56" t="str">
        <f t="shared" si="2"/>
        <v>2023-9</v>
      </c>
    </row>
    <row r="57" spans="16:23" x14ac:dyDescent="0.25">
      <c r="P57" t="s">
        <v>16</v>
      </c>
      <c r="Q57" t="s">
        <v>74</v>
      </c>
      <c r="R57" t="s">
        <v>71</v>
      </c>
      <c r="S57">
        <v>49341</v>
      </c>
      <c r="T57">
        <v>4</v>
      </c>
      <c r="U57">
        <f t="shared" si="0"/>
        <v>9</v>
      </c>
      <c r="V57">
        <f t="shared" si="1"/>
        <v>2023</v>
      </c>
      <c r="W57" t="str">
        <f t="shared" si="2"/>
        <v>2023-9</v>
      </c>
    </row>
    <row r="58" spans="16:23" x14ac:dyDescent="0.25">
      <c r="P58" t="s">
        <v>30</v>
      </c>
      <c r="Q58" t="s">
        <v>75</v>
      </c>
      <c r="R58" t="s">
        <v>76</v>
      </c>
      <c r="S58">
        <v>87309</v>
      </c>
      <c r="T58">
        <v>9</v>
      </c>
      <c r="U58">
        <f t="shared" si="0"/>
        <v>9</v>
      </c>
      <c r="V58">
        <f t="shared" si="1"/>
        <v>2023</v>
      </c>
      <c r="W58" t="str">
        <f t="shared" si="2"/>
        <v>2023-9</v>
      </c>
    </row>
    <row r="59" spans="16:23" x14ac:dyDescent="0.25">
      <c r="P59" t="s">
        <v>10</v>
      </c>
      <c r="Q59" t="s">
        <v>58</v>
      </c>
      <c r="R59" t="s">
        <v>76</v>
      </c>
      <c r="S59">
        <v>93210</v>
      </c>
      <c r="T59">
        <v>9</v>
      </c>
      <c r="U59">
        <f t="shared" si="0"/>
        <v>9</v>
      </c>
      <c r="V59">
        <f t="shared" si="1"/>
        <v>2023</v>
      </c>
      <c r="W59" t="str">
        <f t="shared" si="2"/>
        <v>2023-9</v>
      </c>
    </row>
    <row r="60" spans="16:23" x14ac:dyDescent="0.25">
      <c r="P60" t="s">
        <v>16</v>
      </c>
      <c r="Q60" t="s">
        <v>77</v>
      </c>
      <c r="R60" t="s">
        <v>76</v>
      </c>
      <c r="S60">
        <v>71076</v>
      </c>
      <c r="T60">
        <v>7</v>
      </c>
      <c r="U60">
        <f t="shared" si="0"/>
        <v>9</v>
      </c>
      <c r="V60">
        <f t="shared" si="1"/>
        <v>2023</v>
      </c>
      <c r="W60" t="str">
        <f t="shared" si="2"/>
        <v>2023-9</v>
      </c>
    </row>
    <row r="61" spans="16:23" x14ac:dyDescent="0.25">
      <c r="P61" t="s">
        <v>8</v>
      </c>
      <c r="Q61" t="s">
        <v>78</v>
      </c>
      <c r="R61" t="s">
        <v>79</v>
      </c>
      <c r="S61">
        <v>88998</v>
      </c>
      <c r="T61">
        <v>6</v>
      </c>
      <c r="U61">
        <f t="shared" si="0"/>
        <v>9</v>
      </c>
      <c r="V61">
        <f t="shared" si="1"/>
        <v>2023</v>
      </c>
      <c r="W61" t="str">
        <f t="shared" si="2"/>
        <v>2023-9</v>
      </c>
    </row>
    <row r="62" spans="16:23" x14ac:dyDescent="0.25">
      <c r="P62" t="s">
        <v>10</v>
      </c>
      <c r="Q62" t="s">
        <v>80</v>
      </c>
      <c r="R62" t="s">
        <v>79</v>
      </c>
      <c r="S62">
        <v>57146</v>
      </c>
      <c r="T62">
        <v>7</v>
      </c>
      <c r="U62">
        <f t="shared" si="0"/>
        <v>9</v>
      </c>
      <c r="V62">
        <f t="shared" si="1"/>
        <v>2023</v>
      </c>
      <c r="W62" t="str">
        <f t="shared" si="2"/>
        <v>2023-9</v>
      </c>
    </row>
    <row r="63" spans="16:23" x14ac:dyDescent="0.25">
      <c r="P63" t="s">
        <v>18</v>
      </c>
      <c r="Q63" t="s">
        <v>81</v>
      </c>
      <c r="R63" t="s">
        <v>79</v>
      </c>
      <c r="S63">
        <v>95212</v>
      </c>
      <c r="T63">
        <v>5</v>
      </c>
      <c r="U63">
        <f t="shared" si="0"/>
        <v>9</v>
      </c>
      <c r="V63">
        <f t="shared" si="1"/>
        <v>2023</v>
      </c>
      <c r="W63" t="str">
        <f t="shared" si="2"/>
        <v>2023-9</v>
      </c>
    </row>
    <row r="64" spans="16:23" x14ac:dyDescent="0.25">
      <c r="P64" t="s">
        <v>18</v>
      </c>
      <c r="Q64" t="s">
        <v>82</v>
      </c>
      <c r="R64" t="s">
        <v>83</v>
      </c>
      <c r="S64">
        <v>57103</v>
      </c>
      <c r="T64">
        <v>8</v>
      </c>
      <c r="U64">
        <f t="shared" si="0"/>
        <v>9</v>
      </c>
      <c r="V64">
        <f t="shared" si="1"/>
        <v>2023</v>
      </c>
      <c r="W64" t="str">
        <f t="shared" si="2"/>
        <v>2023-9</v>
      </c>
    </row>
    <row r="65" spans="16:23" x14ac:dyDescent="0.25">
      <c r="P65" t="s">
        <v>10</v>
      </c>
      <c r="Q65" t="s">
        <v>84</v>
      </c>
      <c r="R65" t="s">
        <v>83</v>
      </c>
      <c r="S65">
        <v>96611</v>
      </c>
      <c r="T65">
        <v>10</v>
      </c>
      <c r="U65">
        <f t="shared" si="0"/>
        <v>9</v>
      </c>
      <c r="V65">
        <f t="shared" si="1"/>
        <v>2023</v>
      </c>
      <c r="W65" t="str">
        <f t="shared" si="2"/>
        <v>2023-9</v>
      </c>
    </row>
    <row r="66" spans="16:23" x14ac:dyDescent="0.25">
      <c r="P66" t="s">
        <v>10</v>
      </c>
      <c r="Q66" t="s">
        <v>85</v>
      </c>
      <c r="R66" t="s">
        <v>83</v>
      </c>
      <c r="S66">
        <v>15126</v>
      </c>
      <c r="T66">
        <v>7</v>
      </c>
      <c r="U66">
        <f t="shared" si="0"/>
        <v>9</v>
      </c>
      <c r="V66">
        <f t="shared" si="1"/>
        <v>2023</v>
      </c>
      <c r="W66" t="str">
        <f t="shared" si="2"/>
        <v>2023-9</v>
      </c>
    </row>
    <row r="67" spans="16:23" x14ac:dyDescent="0.25">
      <c r="P67" t="s">
        <v>27</v>
      </c>
      <c r="Q67" t="s">
        <v>86</v>
      </c>
      <c r="R67" t="s">
        <v>87</v>
      </c>
      <c r="S67">
        <v>99945</v>
      </c>
      <c r="T67">
        <v>6</v>
      </c>
      <c r="U67">
        <f t="shared" ref="U67:U130" si="3">MONTH(R67)</f>
        <v>9</v>
      </c>
      <c r="V67">
        <f t="shared" ref="V67:V130" si="4">YEAR(R67)</f>
        <v>2023</v>
      </c>
      <c r="W67" t="str">
        <f t="shared" ref="W67:W130" si="5">V67&amp;"-"&amp;U67</f>
        <v>2023-9</v>
      </c>
    </row>
    <row r="68" spans="16:23" x14ac:dyDescent="0.25">
      <c r="P68" t="s">
        <v>8</v>
      </c>
      <c r="Q68" t="s">
        <v>88</v>
      </c>
      <c r="R68" t="s">
        <v>87</v>
      </c>
      <c r="S68">
        <v>82853</v>
      </c>
      <c r="T68">
        <v>5</v>
      </c>
      <c r="U68">
        <f t="shared" si="3"/>
        <v>9</v>
      </c>
      <c r="V68">
        <f t="shared" si="4"/>
        <v>2023</v>
      </c>
      <c r="W68" t="str">
        <f t="shared" si="5"/>
        <v>2023-9</v>
      </c>
    </row>
    <row r="69" spans="16:23" x14ac:dyDescent="0.25">
      <c r="P69" t="s">
        <v>25</v>
      </c>
      <c r="Q69" t="s">
        <v>89</v>
      </c>
      <c r="R69" t="s">
        <v>87</v>
      </c>
      <c r="S69">
        <v>92084</v>
      </c>
      <c r="T69">
        <v>4</v>
      </c>
      <c r="U69">
        <f t="shared" si="3"/>
        <v>9</v>
      </c>
      <c r="V69">
        <f t="shared" si="4"/>
        <v>2023</v>
      </c>
      <c r="W69" t="str">
        <f t="shared" si="5"/>
        <v>2023-9</v>
      </c>
    </row>
    <row r="70" spans="16:23" x14ac:dyDescent="0.25">
      <c r="P70" t="s">
        <v>8</v>
      </c>
      <c r="Q70" t="s">
        <v>90</v>
      </c>
      <c r="R70" t="s">
        <v>87</v>
      </c>
      <c r="S70">
        <v>81247</v>
      </c>
      <c r="T70">
        <v>4</v>
      </c>
      <c r="U70">
        <f t="shared" si="3"/>
        <v>9</v>
      </c>
      <c r="V70">
        <f t="shared" si="4"/>
        <v>2023</v>
      </c>
      <c r="W70" t="str">
        <f t="shared" si="5"/>
        <v>2023-9</v>
      </c>
    </row>
    <row r="71" spans="16:23" x14ac:dyDescent="0.25">
      <c r="P71" t="s">
        <v>25</v>
      </c>
      <c r="Q71" t="s">
        <v>91</v>
      </c>
      <c r="R71" t="s">
        <v>87</v>
      </c>
      <c r="S71">
        <v>53861</v>
      </c>
      <c r="T71">
        <v>8</v>
      </c>
      <c r="U71">
        <f t="shared" si="3"/>
        <v>9</v>
      </c>
      <c r="V71">
        <f t="shared" si="4"/>
        <v>2023</v>
      </c>
      <c r="W71" t="str">
        <f t="shared" si="5"/>
        <v>2023-9</v>
      </c>
    </row>
    <row r="72" spans="16:23" x14ac:dyDescent="0.25">
      <c r="P72" t="s">
        <v>10</v>
      </c>
      <c r="Q72" t="s">
        <v>92</v>
      </c>
      <c r="R72" t="s">
        <v>87</v>
      </c>
      <c r="S72">
        <v>61384</v>
      </c>
      <c r="T72">
        <v>9</v>
      </c>
      <c r="U72">
        <f t="shared" si="3"/>
        <v>9</v>
      </c>
      <c r="V72">
        <f t="shared" si="4"/>
        <v>2023</v>
      </c>
      <c r="W72" t="str">
        <f t="shared" si="5"/>
        <v>2023-9</v>
      </c>
    </row>
    <row r="73" spans="16:23" x14ac:dyDescent="0.25">
      <c r="P73" t="s">
        <v>5</v>
      </c>
      <c r="Q73" t="s">
        <v>93</v>
      </c>
      <c r="R73" t="s">
        <v>87</v>
      </c>
      <c r="S73">
        <v>43484</v>
      </c>
      <c r="T73">
        <v>8</v>
      </c>
      <c r="U73">
        <f t="shared" si="3"/>
        <v>9</v>
      </c>
      <c r="V73">
        <f t="shared" si="4"/>
        <v>2023</v>
      </c>
      <c r="W73" t="str">
        <f t="shared" si="5"/>
        <v>2023-9</v>
      </c>
    </row>
    <row r="74" spans="16:23" x14ac:dyDescent="0.25">
      <c r="P74" t="s">
        <v>18</v>
      </c>
      <c r="Q74" t="s">
        <v>94</v>
      </c>
      <c r="R74" t="s">
        <v>87</v>
      </c>
      <c r="S74">
        <v>10779</v>
      </c>
      <c r="T74">
        <v>6</v>
      </c>
      <c r="U74">
        <f t="shared" si="3"/>
        <v>9</v>
      </c>
      <c r="V74">
        <f t="shared" si="4"/>
        <v>2023</v>
      </c>
      <c r="W74" t="str">
        <f t="shared" si="5"/>
        <v>2023-9</v>
      </c>
    </row>
    <row r="75" spans="16:23" x14ac:dyDescent="0.25">
      <c r="P75" t="s">
        <v>30</v>
      </c>
      <c r="Q75" t="s">
        <v>42</v>
      </c>
      <c r="R75" t="s">
        <v>87</v>
      </c>
      <c r="S75">
        <v>47237</v>
      </c>
      <c r="T75">
        <v>8</v>
      </c>
      <c r="U75">
        <f t="shared" si="3"/>
        <v>9</v>
      </c>
      <c r="V75">
        <f t="shared" si="4"/>
        <v>2023</v>
      </c>
      <c r="W75" t="str">
        <f t="shared" si="5"/>
        <v>2023-9</v>
      </c>
    </row>
    <row r="76" spans="16:23" x14ac:dyDescent="0.25">
      <c r="P76" t="s">
        <v>13</v>
      </c>
      <c r="Q76" t="s">
        <v>43</v>
      </c>
      <c r="R76" t="s">
        <v>95</v>
      </c>
      <c r="S76">
        <v>23337</v>
      </c>
      <c r="T76">
        <v>5</v>
      </c>
      <c r="U76">
        <f t="shared" si="3"/>
        <v>9</v>
      </c>
      <c r="V76">
        <f t="shared" si="4"/>
        <v>2023</v>
      </c>
      <c r="W76" t="str">
        <f t="shared" si="5"/>
        <v>2023-9</v>
      </c>
    </row>
    <row r="77" spans="16:23" x14ac:dyDescent="0.25">
      <c r="P77" t="s">
        <v>27</v>
      </c>
      <c r="Q77" t="s">
        <v>96</v>
      </c>
      <c r="R77" t="s">
        <v>97</v>
      </c>
      <c r="S77">
        <v>97783</v>
      </c>
      <c r="T77">
        <v>8</v>
      </c>
      <c r="U77">
        <f t="shared" si="3"/>
        <v>9</v>
      </c>
      <c r="V77">
        <f t="shared" si="4"/>
        <v>2023</v>
      </c>
      <c r="W77" t="str">
        <f t="shared" si="5"/>
        <v>2023-9</v>
      </c>
    </row>
    <row r="78" spans="16:23" x14ac:dyDescent="0.25">
      <c r="P78" t="s">
        <v>47</v>
      </c>
      <c r="Q78" t="s">
        <v>98</v>
      </c>
      <c r="R78" t="s">
        <v>97</v>
      </c>
      <c r="S78">
        <v>83123</v>
      </c>
      <c r="T78">
        <v>5</v>
      </c>
      <c r="U78">
        <f t="shared" si="3"/>
        <v>9</v>
      </c>
      <c r="V78">
        <f t="shared" si="4"/>
        <v>2023</v>
      </c>
      <c r="W78" t="str">
        <f t="shared" si="5"/>
        <v>2023-9</v>
      </c>
    </row>
    <row r="79" spans="16:23" x14ac:dyDescent="0.25">
      <c r="P79" t="s">
        <v>10</v>
      </c>
      <c r="Q79" t="s">
        <v>99</v>
      </c>
      <c r="R79" t="s">
        <v>100</v>
      </c>
      <c r="S79">
        <v>95408</v>
      </c>
      <c r="T79">
        <v>5</v>
      </c>
      <c r="U79">
        <f t="shared" si="3"/>
        <v>9</v>
      </c>
      <c r="V79">
        <f t="shared" si="4"/>
        <v>2023</v>
      </c>
      <c r="W79" t="str">
        <f t="shared" si="5"/>
        <v>2023-9</v>
      </c>
    </row>
    <row r="80" spans="16:23" x14ac:dyDescent="0.25">
      <c r="P80" t="s">
        <v>10</v>
      </c>
      <c r="Q80" t="s">
        <v>101</v>
      </c>
      <c r="R80" t="s">
        <v>102</v>
      </c>
      <c r="S80">
        <v>52724</v>
      </c>
      <c r="T80">
        <v>1</v>
      </c>
      <c r="U80">
        <f t="shared" si="3"/>
        <v>9</v>
      </c>
      <c r="V80">
        <f t="shared" si="4"/>
        <v>2023</v>
      </c>
      <c r="W80" t="str">
        <f t="shared" si="5"/>
        <v>2023-9</v>
      </c>
    </row>
    <row r="81" spans="16:23" x14ac:dyDescent="0.25">
      <c r="P81" t="s">
        <v>45</v>
      </c>
      <c r="Q81" t="s">
        <v>36</v>
      </c>
      <c r="R81" t="s">
        <v>102</v>
      </c>
      <c r="S81">
        <v>80990</v>
      </c>
      <c r="T81">
        <v>2</v>
      </c>
      <c r="U81">
        <f t="shared" si="3"/>
        <v>9</v>
      </c>
      <c r="V81">
        <f t="shared" si="4"/>
        <v>2023</v>
      </c>
      <c r="W81" t="str">
        <f t="shared" si="5"/>
        <v>2023-9</v>
      </c>
    </row>
    <row r="82" spans="16:23" x14ac:dyDescent="0.25">
      <c r="P82" t="s">
        <v>30</v>
      </c>
      <c r="Q82" t="s">
        <v>103</v>
      </c>
      <c r="R82" t="s">
        <v>104</v>
      </c>
      <c r="S82">
        <v>58839</v>
      </c>
      <c r="T82">
        <v>9</v>
      </c>
      <c r="U82">
        <f t="shared" si="3"/>
        <v>10</v>
      </c>
      <c r="V82">
        <f t="shared" si="4"/>
        <v>2023</v>
      </c>
      <c r="W82" t="str">
        <f t="shared" si="5"/>
        <v>2023-10</v>
      </c>
    </row>
    <row r="83" spans="16:23" x14ac:dyDescent="0.25">
      <c r="P83" t="s">
        <v>8</v>
      </c>
      <c r="Q83" t="s">
        <v>105</v>
      </c>
      <c r="R83" t="s">
        <v>104</v>
      </c>
      <c r="S83">
        <v>75815</v>
      </c>
      <c r="T83">
        <v>8</v>
      </c>
      <c r="U83">
        <f t="shared" si="3"/>
        <v>10</v>
      </c>
      <c r="V83">
        <f t="shared" si="4"/>
        <v>2023</v>
      </c>
      <c r="W83" t="str">
        <f t="shared" si="5"/>
        <v>2023-10</v>
      </c>
    </row>
    <row r="84" spans="16:23" x14ac:dyDescent="0.25">
      <c r="P84" t="s">
        <v>8</v>
      </c>
      <c r="Q84" t="s">
        <v>6</v>
      </c>
      <c r="R84" t="s">
        <v>104</v>
      </c>
      <c r="S84">
        <v>30299</v>
      </c>
      <c r="T84">
        <v>3</v>
      </c>
      <c r="U84">
        <f t="shared" si="3"/>
        <v>10</v>
      </c>
      <c r="V84">
        <f t="shared" si="4"/>
        <v>2023</v>
      </c>
      <c r="W84" t="str">
        <f t="shared" si="5"/>
        <v>2023-10</v>
      </c>
    </row>
    <row r="85" spans="16:23" x14ac:dyDescent="0.25">
      <c r="P85" t="s">
        <v>5</v>
      </c>
      <c r="Q85" t="s">
        <v>106</v>
      </c>
      <c r="R85" t="s">
        <v>104</v>
      </c>
      <c r="S85">
        <v>76029</v>
      </c>
      <c r="T85">
        <v>7</v>
      </c>
      <c r="U85">
        <f t="shared" si="3"/>
        <v>10</v>
      </c>
      <c r="V85">
        <f t="shared" si="4"/>
        <v>2023</v>
      </c>
      <c r="W85" t="str">
        <f t="shared" si="5"/>
        <v>2023-10</v>
      </c>
    </row>
    <row r="86" spans="16:23" x14ac:dyDescent="0.25">
      <c r="P86" t="s">
        <v>13</v>
      </c>
      <c r="Q86" t="s">
        <v>107</v>
      </c>
      <c r="R86" t="s">
        <v>104</v>
      </c>
      <c r="S86">
        <v>42572</v>
      </c>
      <c r="T86">
        <v>8</v>
      </c>
      <c r="U86">
        <f t="shared" si="3"/>
        <v>10</v>
      </c>
      <c r="V86">
        <f t="shared" si="4"/>
        <v>2023</v>
      </c>
      <c r="W86" t="str">
        <f t="shared" si="5"/>
        <v>2023-10</v>
      </c>
    </row>
    <row r="87" spans="16:23" x14ac:dyDescent="0.25">
      <c r="P87" t="s">
        <v>13</v>
      </c>
      <c r="Q87" t="s">
        <v>108</v>
      </c>
      <c r="R87" t="s">
        <v>104</v>
      </c>
      <c r="S87">
        <v>11217</v>
      </c>
      <c r="T87">
        <v>2</v>
      </c>
      <c r="U87">
        <f t="shared" si="3"/>
        <v>10</v>
      </c>
      <c r="V87">
        <f t="shared" si="4"/>
        <v>2023</v>
      </c>
      <c r="W87" t="str">
        <f t="shared" si="5"/>
        <v>2023-10</v>
      </c>
    </row>
    <row r="88" spans="16:23" x14ac:dyDescent="0.25">
      <c r="P88" t="s">
        <v>16</v>
      </c>
      <c r="Q88" t="s">
        <v>75</v>
      </c>
      <c r="R88" t="s">
        <v>104</v>
      </c>
      <c r="S88">
        <v>61547</v>
      </c>
      <c r="T88">
        <v>8</v>
      </c>
      <c r="U88">
        <f t="shared" si="3"/>
        <v>10</v>
      </c>
      <c r="V88">
        <f t="shared" si="4"/>
        <v>2023</v>
      </c>
      <c r="W88" t="str">
        <f t="shared" si="5"/>
        <v>2023-10</v>
      </c>
    </row>
    <row r="89" spans="16:23" x14ac:dyDescent="0.25">
      <c r="P89" t="s">
        <v>5</v>
      </c>
      <c r="Q89" t="s">
        <v>39</v>
      </c>
      <c r="R89" t="s">
        <v>109</v>
      </c>
      <c r="S89">
        <v>94646</v>
      </c>
      <c r="T89">
        <v>8</v>
      </c>
      <c r="U89">
        <f t="shared" si="3"/>
        <v>10</v>
      </c>
      <c r="V89">
        <f t="shared" si="4"/>
        <v>2023</v>
      </c>
      <c r="W89" t="str">
        <f t="shared" si="5"/>
        <v>2023-10</v>
      </c>
    </row>
    <row r="90" spans="16:23" x14ac:dyDescent="0.25">
      <c r="P90" t="s">
        <v>27</v>
      </c>
      <c r="Q90" t="s">
        <v>90</v>
      </c>
      <c r="R90" t="s">
        <v>109</v>
      </c>
      <c r="S90">
        <v>69358</v>
      </c>
      <c r="T90">
        <v>7</v>
      </c>
      <c r="U90">
        <f t="shared" si="3"/>
        <v>10</v>
      </c>
      <c r="V90">
        <f t="shared" si="4"/>
        <v>2023</v>
      </c>
      <c r="W90" t="str">
        <f t="shared" si="5"/>
        <v>2023-10</v>
      </c>
    </row>
    <row r="91" spans="16:23" x14ac:dyDescent="0.25">
      <c r="P91" t="s">
        <v>38</v>
      </c>
      <c r="Q91" t="s">
        <v>110</v>
      </c>
      <c r="R91" t="s">
        <v>109</v>
      </c>
      <c r="S91">
        <v>63177</v>
      </c>
      <c r="T91">
        <v>7</v>
      </c>
      <c r="U91">
        <f t="shared" si="3"/>
        <v>10</v>
      </c>
      <c r="V91">
        <f t="shared" si="4"/>
        <v>2023</v>
      </c>
      <c r="W91" t="str">
        <f t="shared" si="5"/>
        <v>2023-10</v>
      </c>
    </row>
    <row r="92" spans="16:23" x14ac:dyDescent="0.25">
      <c r="P92" t="s">
        <v>27</v>
      </c>
      <c r="Q92" t="s">
        <v>75</v>
      </c>
      <c r="R92" t="s">
        <v>109</v>
      </c>
      <c r="S92">
        <v>19847</v>
      </c>
      <c r="T92">
        <v>7</v>
      </c>
      <c r="U92">
        <f t="shared" si="3"/>
        <v>10</v>
      </c>
      <c r="V92">
        <f t="shared" si="4"/>
        <v>2023</v>
      </c>
      <c r="W92" t="str">
        <f t="shared" si="5"/>
        <v>2023-10</v>
      </c>
    </row>
    <row r="93" spans="16:23" x14ac:dyDescent="0.25">
      <c r="P93" t="s">
        <v>30</v>
      </c>
      <c r="Q93" t="s">
        <v>111</v>
      </c>
      <c r="R93" t="s">
        <v>112</v>
      </c>
      <c r="S93">
        <v>56381</v>
      </c>
      <c r="T93">
        <v>5</v>
      </c>
      <c r="U93">
        <f t="shared" si="3"/>
        <v>10</v>
      </c>
      <c r="V93">
        <f t="shared" si="4"/>
        <v>2023</v>
      </c>
      <c r="W93" t="str">
        <f t="shared" si="5"/>
        <v>2023-10</v>
      </c>
    </row>
    <row r="94" spans="16:23" x14ac:dyDescent="0.25">
      <c r="P94" t="s">
        <v>30</v>
      </c>
      <c r="Q94" t="s">
        <v>65</v>
      </c>
      <c r="R94" t="s">
        <v>112</v>
      </c>
      <c r="S94">
        <v>95364</v>
      </c>
      <c r="T94">
        <v>6</v>
      </c>
      <c r="U94">
        <f t="shared" si="3"/>
        <v>10</v>
      </c>
      <c r="V94">
        <f t="shared" si="4"/>
        <v>2023</v>
      </c>
      <c r="W94" t="str">
        <f t="shared" si="5"/>
        <v>2023-10</v>
      </c>
    </row>
    <row r="95" spans="16:23" x14ac:dyDescent="0.25">
      <c r="P95" t="s">
        <v>5</v>
      </c>
      <c r="Q95" t="s">
        <v>113</v>
      </c>
      <c r="R95" t="s">
        <v>112</v>
      </c>
      <c r="S95">
        <v>68928</v>
      </c>
      <c r="T95">
        <v>3</v>
      </c>
      <c r="U95">
        <f t="shared" si="3"/>
        <v>10</v>
      </c>
      <c r="V95">
        <f t="shared" si="4"/>
        <v>2023</v>
      </c>
      <c r="W95" t="str">
        <f t="shared" si="5"/>
        <v>2023-10</v>
      </c>
    </row>
    <row r="96" spans="16:23" x14ac:dyDescent="0.25">
      <c r="P96" t="s">
        <v>18</v>
      </c>
      <c r="Q96" t="s">
        <v>114</v>
      </c>
      <c r="R96" t="s">
        <v>115</v>
      </c>
      <c r="S96">
        <v>56713</v>
      </c>
      <c r="T96">
        <v>8</v>
      </c>
      <c r="U96">
        <f t="shared" si="3"/>
        <v>10</v>
      </c>
      <c r="V96">
        <f t="shared" si="4"/>
        <v>2023</v>
      </c>
      <c r="W96" t="str">
        <f t="shared" si="5"/>
        <v>2023-10</v>
      </c>
    </row>
    <row r="97" spans="16:23" x14ac:dyDescent="0.25">
      <c r="P97" t="s">
        <v>27</v>
      </c>
      <c r="Q97" t="s">
        <v>116</v>
      </c>
      <c r="R97" t="s">
        <v>115</v>
      </c>
      <c r="S97">
        <v>67191</v>
      </c>
      <c r="T97">
        <v>3</v>
      </c>
      <c r="U97">
        <f t="shared" si="3"/>
        <v>10</v>
      </c>
      <c r="V97">
        <f t="shared" si="4"/>
        <v>2023</v>
      </c>
      <c r="W97" t="str">
        <f t="shared" si="5"/>
        <v>2023-10</v>
      </c>
    </row>
    <row r="98" spans="16:23" x14ac:dyDescent="0.25">
      <c r="P98" t="s">
        <v>25</v>
      </c>
      <c r="Q98" t="s">
        <v>117</v>
      </c>
      <c r="R98" t="s">
        <v>115</v>
      </c>
      <c r="S98">
        <v>92723</v>
      </c>
      <c r="T98">
        <v>9</v>
      </c>
      <c r="U98">
        <f t="shared" si="3"/>
        <v>10</v>
      </c>
      <c r="V98">
        <f t="shared" si="4"/>
        <v>2023</v>
      </c>
      <c r="W98" t="str">
        <f t="shared" si="5"/>
        <v>2023-10</v>
      </c>
    </row>
    <row r="99" spans="16:23" x14ac:dyDescent="0.25">
      <c r="P99" t="s">
        <v>5</v>
      </c>
      <c r="Q99" t="s">
        <v>111</v>
      </c>
      <c r="R99" t="s">
        <v>118</v>
      </c>
      <c r="S99">
        <v>28834</v>
      </c>
      <c r="T99">
        <v>6</v>
      </c>
      <c r="U99">
        <f t="shared" si="3"/>
        <v>10</v>
      </c>
      <c r="V99">
        <f t="shared" si="4"/>
        <v>2023</v>
      </c>
      <c r="W99" t="str">
        <f t="shared" si="5"/>
        <v>2023-10</v>
      </c>
    </row>
    <row r="100" spans="16:23" x14ac:dyDescent="0.25">
      <c r="P100" t="s">
        <v>5</v>
      </c>
      <c r="Q100" t="s">
        <v>119</v>
      </c>
      <c r="R100" t="s">
        <v>118</v>
      </c>
      <c r="S100">
        <v>28347</v>
      </c>
      <c r="T100">
        <v>6</v>
      </c>
      <c r="U100">
        <f t="shared" si="3"/>
        <v>10</v>
      </c>
      <c r="V100">
        <f t="shared" si="4"/>
        <v>2023</v>
      </c>
      <c r="W100" t="str">
        <f t="shared" si="5"/>
        <v>2023-10</v>
      </c>
    </row>
    <row r="101" spans="16:23" x14ac:dyDescent="0.25">
      <c r="P101" t="s">
        <v>47</v>
      </c>
      <c r="Q101" t="s">
        <v>33</v>
      </c>
      <c r="R101" t="s">
        <v>120</v>
      </c>
      <c r="S101">
        <v>53115</v>
      </c>
      <c r="T101">
        <v>5</v>
      </c>
      <c r="U101">
        <f t="shared" si="3"/>
        <v>10</v>
      </c>
      <c r="V101">
        <f t="shared" si="4"/>
        <v>2023</v>
      </c>
      <c r="W101" t="str">
        <f t="shared" si="5"/>
        <v>2023-10</v>
      </c>
    </row>
    <row r="102" spans="16:23" x14ac:dyDescent="0.25">
      <c r="P102" t="s">
        <v>5</v>
      </c>
      <c r="Q102" t="s">
        <v>121</v>
      </c>
      <c r="R102" t="s">
        <v>120</v>
      </c>
      <c r="S102">
        <v>15194</v>
      </c>
      <c r="T102">
        <v>7</v>
      </c>
      <c r="U102">
        <f t="shared" si="3"/>
        <v>10</v>
      </c>
      <c r="V102">
        <f t="shared" si="4"/>
        <v>2023</v>
      </c>
      <c r="W102" t="str">
        <f t="shared" si="5"/>
        <v>2023-10</v>
      </c>
    </row>
    <row r="103" spans="16:23" x14ac:dyDescent="0.25">
      <c r="P103" t="s">
        <v>8</v>
      </c>
      <c r="Q103" t="s">
        <v>99</v>
      </c>
      <c r="R103" t="s">
        <v>120</v>
      </c>
      <c r="S103">
        <v>89735</v>
      </c>
      <c r="T103">
        <v>7</v>
      </c>
      <c r="U103">
        <f t="shared" si="3"/>
        <v>10</v>
      </c>
      <c r="V103">
        <f t="shared" si="4"/>
        <v>2023</v>
      </c>
      <c r="W103" t="str">
        <f t="shared" si="5"/>
        <v>2023-10</v>
      </c>
    </row>
    <row r="104" spans="16:23" x14ac:dyDescent="0.25">
      <c r="P104" t="s">
        <v>16</v>
      </c>
      <c r="Q104" t="s">
        <v>26</v>
      </c>
      <c r="R104" t="s">
        <v>120</v>
      </c>
      <c r="S104">
        <v>69956</v>
      </c>
      <c r="T104">
        <v>6</v>
      </c>
      <c r="U104">
        <f t="shared" si="3"/>
        <v>10</v>
      </c>
      <c r="V104">
        <f t="shared" si="4"/>
        <v>2023</v>
      </c>
      <c r="W104" t="str">
        <f t="shared" si="5"/>
        <v>2023-10</v>
      </c>
    </row>
    <row r="105" spans="16:23" x14ac:dyDescent="0.25">
      <c r="P105" t="s">
        <v>47</v>
      </c>
      <c r="Q105" t="s">
        <v>122</v>
      </c>
      <c r="R105" t="s">
        <v>120</v>
      </c>
      <c r="S105">
        <v>66929</v>
      </c>
      <c r="T105">
        <v>0</v>
      </c>
      <c r="U105">
        <f t="shared" si="3"/>
        <v>10</v>
      </c>
      <c r="V105">
        <f t="shared" si="4"/>
        <v>2023</v>
      </c>
      <c r="W105" t="str">
        <f t="shared" si="5"/>
        <v>2023-10</v>
      </c>
    </row>
    <row r="106" spans="16:23" x14ac:dyDescent="0.25">
      <c r="P106" t="s">
        <v>38</v>
      </c>
      <c r="Q106" t="s">
        <v>123</v>
      </c>
      <c r="R106" t="s">
        <v>120</v>
      </c>
      <c r="S106">
        <v>54092</v>
      </c>
      <c r="T106">
        <v>1</v>
      </c>
      <c r="U106">
        <f t="shared" si="3"/>
        <v>10</v>
      </c>
      <c r="V106">
        <f t="shared" si="4"/>
        <v>2023</v>
      </c>
      <c r="W106" t="str">
        <f t="shared" si="5"/>
        <v>2023-10</v>
      </c>
    </row>
    <row r="107" spans="16:23" x14ac:dyDescent="0.25">
      <c r="P107" t="s">
        <v>45</v>
      </c>
      <c r="Q107" t="s">
        <v>124</v>
      </c>
      <c r="R107" t="s">
        <v>120</v>
      </c>
      <c r="S107">
        <v>64890</v>
      </c>
      <c r="T107">
        <v>9</v>
      </c>
      <c r="U107">
        <f t="shared" si="3"/>
        <v>10</v>
      </c>
      <c r="V107">
        <f t="shared" si="4"/>
        <v>2023</v>
      </c>
      <c r="W107" t="str">
        <f t="shared" si="5"/>
        <v>2023-10</v>
      </c>
    </row>
    <row r="108" spans="16:23" x14ac:dyDescent="0.25">
      <c r="P108" t="s">
        <v>8</v>
      </c>
      <c r="Q108" t="s">
        <v>19</v>
      </c>
      <c r="R108" t="s">
        <v>120</v>
      </c>
      <c r="S108">
        <v>83867</v>
      </c>
      <c r="T108">
        <v>4</v>
      </c>
      <c r="U108">
        <f t="shared" si="3"/>
        <v>10</v>
      </c>
      <c r="V108">
        <f t="shared" si="4"/>
        <v>2023</v>
      </c>
      <c r="W108" t="str">
        <f t="shared" si="5"/>
        <v>2023-10</v>
      </c>
    </row>
    <row r="109" spans="16:23" x14ac:dyDescent="0.25">
      <c r="P109" t="s">
        <v>13</v>
      </c>
      <c r="Q109" t="s">
        <v>125</v>
      </c>
      <c r="R109" t="s">
        <v>120</v>
      </c>
      <c r="S109">
        <v>70255</v>
      </c>
      <c r="T109">
        <v>5</v>
      </c>
      <c r="U109">
        <f t="shared" si="3"/>
        <v>10</v>
      </c>
      <c r="V109">
        <f t="shared" si="4"/>
        <v>2023</v>
      </c>
      <c r="W109" t="str">
        <f t="shared" si="5"/>
        <v>2023-10</v>
      </c>
    </row>
    <row r="110" spans="16:23" x14ac:dyDescent="0.25">
      <c r="P110" t="s">
        <v>25</v>
      </c>
      <c r="Q110" t="s">
        <v>126</v>
      </c>
      <c r="R110" t="s">
        <v>120</v>
      </c>
      <c r="S110">
        <v>30795</v>
      </c>
      <c r="T110">
        <v>7</v>
      </c>
      <c r="U110">
        <f t="shared" si="3"/>
        <v>10</v>
      </c>
      <c r="V110">
        <f t="shared" si="4"/>
        <v>2023</v>
      </c>
      <c r="W110" t="str">
        <f t="shared" si="5"/>
        <v>2023-10</v>
      </c>
    </row>
    <row r="111" spans="16:23" x14ac:dyDescent="0.25">
      <c r="P111" t="s">
        <v>16</v>
      </c>
      <c r="Q111" t="s">
        <v>78</v>
      </c>
      <c r="R111" t="s">
        <v>120</v>
      </c>
      <c r="S111">
        <v>15652</v>
      </c>
      <c r="T111">
        <v>8</v>
      </c>
      <c r="U111">
        <f t="shared" si="3"/>
        <v>10</v>
      </c>
      <c r="V111">
        <f t="shared" si="4"/>
        <v>2023</v>
      </c>
      <c r="W111" t="str">
        <f t="shared" si="5"/>
        <v>2023-10</v>
      </c>
    </row>
    <row r="112" spans="16:23" x14ac:dyDescent="0.25">
      <c r="P112" t="s">
        <v>27</v>
      </c>
      <c r="Q112" t="s">
        <v>96</v>
      </c>
      <c r="R112" t="s">
        <v>127</v>
      </c>
      <c r="S112">
        <v>34353</v>
      </c>
      <c r="T112">
        <v>7</v>
      </c>
      <c r="U112">
        <f t="shared" si="3"/>
        <v>10</v>
      </c>
      <c r="V112">
        <f t="shared" si="4"/>
        <v>2023</v>
      </c>
      <c r="W112" t="str">
        <f t="shared" si="5"/>
        <v>2023-10</v>
      </c>
    </row>
    <row r="113" spans="16:23" x14ac:dyDescent="0.25">
      <c r="P113" t="s">
        <v>27</v>
      </c>
      <c r="Q113" t="s">
        <v>128</v>
      </c>
      <c r="R113" t="s">
        <v>127</v>
      </c>
      <c r="S113">
        <v>48993</v>
      </c>
      <c r="T113">
        <v>7</v>
      </c>
      <c r="U113">
        <f t="shared" si="3"/>
        <v>10</v>
      </c>
      <c r="V113">
        <f t="shared" si="4"/>
        <v>2023</v>
      </c>
      <c r="W113" t="str">
        <f t="shared" si="5"/>
        <v>2023-10</v>
      </c>
    </row>
    <row r="114" spans="16:23" x14ac:dyDescent="0.25">
      <c r="P114" t="s">
        <v>5</v>
      </c>
      <c r="Q114" t="s">
        <v>53</v>
      </c>
      <c r="R114" t="s">
        <v>127</v>
      </c>
      <c r="S114">
        <v>22398</v>
      </c>
      <c r="T114">
        <v>5</v>
      </c>
      <c r="U114">
        <f t="shared" si="3"/>
        <v>10</v>
      </c>
      <c r="V114">
        <f t="shared" si="4"/>
        <v>2023</v>
      </c>
      <c r="W114" t="str">
        <f t="shared" si="5"/>
        <v>2023-10</v>
      </c>
    </row>
    <row r="115" spans="16:23" x14ac:dyDescent="0.25">
      <c r="P115" t="s">
        <v>25</v>
      </c>
      <c r="Q115" t="s">
        <v>129</v>
      </c>
      <c r="R115" t="s">
        <v>127</v>
      </c>
      <c r="S115">
        <v>24227</v>
      </c>
      <c r="T115">
        <v>2</v>
      </c>
      <c r="U115">
        <f t="shared" si="3"/>
        <v>10</v>
      </c>
      <c r="V115">
        <f t="shared" si="4"/>
        <v>2023</v>
      </c>
      <c r="W115" t="str">
        <f t="shared" si="5"/>
        <v>2023-10</v>
      </c>
    </row>
    <row r="116" spans="16:23" x14ac:dyDescent="0.25">
      <c r="P116" t="s">
        <v>13</v>
      </c>
      <c r="Q116" t="s">
        <v>130</v>
      </c>
      <c r="R116" t="s">
        <v>127</v>
      </c>
      <c r="S116">
        <v>75831</v>
      </c>
      <c r="T116">
        <v>7</v>
      </c>
      <c r="U116">
        <f t="shared" si="3"/>
        <v>10</v>
      </c>
      <c r="V116">
        <f t="shared" si="4"/>
        <v>2023</v>
      </c>
      <c r="W116" t="str">
        <f t="shared" si="5"/>
        <v>2023-10</v>
      </c>
    </row>
    <row r="117" spans="16:23" x14ac:dyDescent="0.25">
      <c r="P117" t="s">
        <v>16</v>
      </c>
      <c r="Q117" t="s">
        <v>119</v>
      </c>
      <c r="R117" t="s">
        <v>131</v>
      </c>
      <c r="S117">
        <v>91993</v>
      </c>
      <c r="T117">
        <v>0</v>
      </c>
      <c r="U117">
        <f t="shared" si="3"/>
        <v>10</v>
      </c>
      <c r="V117">
        <f t="shared" si="4"/>
        <v>2023</v>
      </c>
      <c r="W117" t="str">
        <f t="shared" si="5"/>
        <v>2023-10</v>
      </c>
    </row>
    <row r="118" spans="16:23" x14ac:dyDescent="0.25">
      <c r="P118" t="s">
        <v>10</v>
      </c>
      <c r="Q118" t="s">
        <v>132</v>
      </c>
      <c r="R118" t="s">
        <v>131</v>
      </c>
      <c r="S118">
        <v>50577</v>
      </c>
      <c r="T118">
        <v>3</v>
      </c>
      <c r="U118">
        <f t="shared" si="3"/>
        <v>10</v>
      </c>
      <c r="V118">
        <f t="shared" si="4"/>
        <v>2023</v>
      </c>
      <c r="W118" t="str">
        <f t="shared" si="5"/>
        <v>2023-10</v>
      </c>
    </row>
    <row r="119" spans="16:23" x14ac:dyDescent="0.25">
      <c r="P119" t="s">
        <v>18</v>
      </c>
      <c r="Q119" t="s">
        <v>133</v>
      </c>
      <c r="R119" t="s">
        <v>131</v>
      </c>
      <c r="S119">
        <v>60025</v>
      </c>
      <c r="T119">
        <v>6</v>
      </c>
      <c r="U119">
        <f t="shared" si="3"/>
        <v>10</v>
      </c>
      <c r="V119">
        <f t="shared" si="4"/>
        <v>2023</v>
      </c>
      <c r="W119" t="str">
        <f t="shared" si="5"/>
        <v>2023-10</v>
      </c>
    </row>
    <row r="120" spans="16:23" x14ac:dyDescent="0.25">
      <c r="P120" t="s">
        <v>13</v>
      </c>
      <c r="Q120" t="s">
        <v>134</v>
      </c>
      <c r="R120" t="s">
        <v>131</v>
      </c>
      <c r="S120">
        <v>17020</v>
      </c>
      <c r="T120">
        <v>8</v>
      </c>
      <c r="U120">
        <f t="shared" si="3"/>
        <v>10</v>
      </c>
      <c r="V120">
        <f t="shared" si="4"/>
        <v>2023</v>
      </c>
      <c r="W120" t="str">
        <f t="shared" si="5"/>
        <v>2023-10</v>
      </c>
    </row>
    <row r="121" spans="16:23" x14ac:dyDescent="0.25">
      <c r="P121" t="s">
        <v>18</v>
      </c>
      <c r="Q121" t="s">
        <v>125</v>
      </c>
      <c r="R121" t="s">
        <v>135</v>
      </c>
      <c r="S121">
        <v>65885</v>
      </c>
      <c r="T121">
        <v>6</v>
      </c>
      <c r="U121">
        <f t="shared" si="3"/>
        <v>10</v>
      </c>
      <c r="V121">
        <f t="shared" si="4"/>
        <v>2023</v>
      </c>
      <c r="W121" t="str">
        <f t="shared" si="5"/>
        <v>2023-10</v>
      </c>
    </row>
    <row r="122" spans="16:23" x14ac:dyDescent="0.25">
      <c r="P122" t="s">
        <v>13</v>
      </c>
      <c r="Q122" t="s">
        <v>136</v>
      </c>
      <c r="R122" t="s">
        <v>135</v>
      </c>
      <c r="S122">
        <v>70793</v>
      </c>
      <c r="T122">
        <v>8</v>
      </c>
      <c r="U122">
        <f t="shared" si="3"/>
        <v>10</v>
      </c>
      <c r="V122">
        <f t="shared" si="4"/>
        <v>2023</v>
      </c>
      <c r="W122" t="str">
        <f t="shared" si="5"/>
        <v>2023-10</v>
      </c>
    </row>
    <row r="123" spans="16:23" x14ac:dyDescent="0.25">
      <c r="P123" t="s">
        <v>45</v>
      </c>
      <c r="Q123" t="s">
        <v>14</v>
      </c>
      <c r="R123" t="s">
        <v>135</v>
      </c>
      <c r="S123">
        <v>16372</v>
      </c>
      <c r="T123">
        <v>3</v>
      </c>
      <c r="U123">
        <f t="shared" si="3"/>
        <v>10</v>
      </c>
      <c r="V123">
        <f t="shared" si="4"/>
        <v>2023</v>
      </c>
      <c r="W123" t="str">
        <f t="shared" si="5"/>
        <v>2023-10</v>
      </c>
    </row>
    <row r="124" spans="16:23" x14ac:dyDescent="0.25">
      <c r="P124" t="s">
        <v>47</v>
      </c>
      <c r="Q124" t="s">
        <v>137</v>
      </c>
      <c r="R124" t="s">
        <v>138</v>
      </c>
      <c r="S124">
        <v>41243</v>
      </c>
      <c r="T124">
        <v>8</v>
      </c>
      <c r="U124">
        <f t="shared" si="3"/>
        <v>10</v>
      </c>
      <c r="V124">
        <f t="shared" si="4"/>
        <v>2023</v>
      </c>
      <c r="W124" t="str">
        <f t="shared" si="5"/>
        <v>2023-10</v>
      </c>
    </row>
    <row r="125" spans="16:23" x14ac:dyDescent="0.25">
      <c r="P125" t="s">
        <v>27</v>
      </c>
      <c r="Q125" t="s">
        <v>139</v>
      </c>
      <c r="R125" t="s">
        <v>138</v>
      </c>
      <c r="S125">
        <v>16846</v>
      </c>
      <c r="T125">
        <v>1</v>
      </c>
      <c r="U125">
        <f t="shared" si="3"/>
        <v>10</v>
      </c>
      <c r="V125">
        <f t="shared" si="4"/>
        <v>2023</v>
      </c>
      <c r="W125" t="str">
        <f t="shared" si="5"/>
        <v>2023-10</v>
      </c>
    </row>
    <row r="126" spans="16:23" x14ac:dyDescent="0.25">
      <c r="P126" t="s">
        <v>18</v>
      </c>
      <c r="Q126" t="s">
        <v>137</v>
      </c>
      <c r="R126" t="s">
        <v>140</v>
      </c>
      <c r="S126">
        <v>87118</v>
      </c>
      <c r="T126">
        <v>1</v>
      </c>
      <c r="U126">
        <f t="shared" si="3"/>
        <v>10</v>
      </c>
      <c r="V126">
        <f t="shared" si="4"/>
        <v>2023</v>
      </c>
      <c r="W126" t="str">
        <f t="shared" si="5"/>
        <v>2023-10</v>
      </c>
    </row>
    <row r="127" spans="16:23" x14ac:dyDescent="0.25">
      <c r="P127" t="s">
        <v>45</v>
      </c>
      <c r="Q127" t="s">
        <v>96</v>
      </c>
      <c r="R127" t="s">
        <v>140</v>
      </c>
      <c r="S127">
        <v>80799</v>
      </c>
      <c r="T127">
        <v>2</v>
      </c>
      <c r="U127">
        <f t="shared" si="3"/>
        <v>10</v>
      </c>
      <c r="V127">
        <f t="shared" si="4"/>
        <v>2023</v>
      </c>
      <c r="W127" t="str">
        <f t="shared" si="5"/>
        <v>2023-10</v>
      </c>
    </row>
    <row r="128" spans="16:23" x14ac:dyDescent="0.25">
      <c r="P128" t="s">
        <v>45</v>
      </c>
      <c r="Q128" t="s">
        <v>89</v>
      </c>
      <c r="R128" t="s">
        <v>140</v>
      </c>
      <c r="S128">
        <v>54320</v>
      </c>
      <c r="T128">
        <v>6</v>
      </c>
      <c r="U128">
        <f t="shared" si="3"/>
        <v>10</v>
      </c>
      <c r="V128">
        <f t="shared" si="4"/>
        <v>2023</v>
      </c>
      <c r="W128" t="str">
        <f t="shared" si="5"/>
        <v>2023-10</v>
      </c>
    </row>
    <row r="129" spans="16:23" x14ac:dyDescent="0.25">
      <c r="P129" t="s">
        <v>38</v>
      </c>
      <c r="Q129" t="s">
        <v>141</v>
      </c>
      <c r="R129" t="s">
        <v>140</v>
      </c>
      <c r="S129">
        <v>47478</v>
      </c>
      <c r="T129">
        <v>7</v>
      </c>
      <c r="U129">
        <f t="shared" si="3"/>
        <v>10</v>
      </c>
      <c r="V129">
        <f t="shared" si="4"/>
        <v>2023</v>
      </c>
      <c r="W129" t="str">
        <f t="shared" si="5"/>
        <v>2023-10</v>
      </c>
    </row>
    <row r="130" spans="16:23" x14ac:dyDescent="0.25">
      <c r="P130" t="s">
        <v>13</v>
      </c>
      <c r="Q130" t="s">
        <v>142</v>
      </c>
      <c r="R130" t="s">
        <v>143</v>
      </c>
      <c r="S130">
        <v>81042</v>
      </c>
      <c r="T130">
        <v>9</v>
      </c>
      <c r="U130">
        <f t="shared" si="3"/>
        <v>10</v>
      </c>
      <c r="V130">
        <f t="shared" si="4"/>
        <v>2023</v>
      </c>
      <c r="W130" t="str">
        <f t="shared" si="5"/>
        <v>2023-10</v>
      </c>
    </row>
    <row r="131" spans="16:23" x14ac:dyDescent="0.25">
      <c r="P131" t="s">
        <v>30</v>
      </c>
      <c r="Q131" t="s">
        <v>144</v>
      </c>
      <c r="R131" t="s">
        <v>143</v>
      </c>
      <c r="S131">
        <v>56779</v>
      </c>
      <c r="T131">
        <v>7</v>
      </c>
      <c r="U131">
        <f t="shared" ref="U131:U194" si="6">MONTH(R131)</f>
        <v>10</v>
      </c>
      <c r="V131">
        <f t="shared" ref="V131:V194" si="7">YEAR(R131)</f>
        <v>2023</v>
      </c>
      <c r="W131" t="str">
        <f t="shared" ref="W131:W194" si="8">V131&amp;"-"&amp;U131</f>
        <v>2023-10</v>
      </c>
    </row>
    <row r="132" spans="16:23" x14ac:dyDescent="0.25">
      <c r="P132" t="s">
        <v>27</v>
      </c>
      <c r="Q132" t="s">
        <v>24</v>
      </c>
      <c r="R132" t="s">
        <v>143</v>
      </c>
      <c r="S132">
        <v>58768</v>
      </c>
      <c r="T132">
        <v>7</v>
      </c>
      <c r="U132">
        <f t="shared" si="6"/>
        <v>10</v>
      </c>
      <c r="V132">
        <f t="shared" si="7"/>
        <v>2023</v>
      </c>
      <c r="W132" t="str">
        <f t="shared" si="8"/>
        <v>2023-10</v>
      </c>
    </row>
    <row r="133" spans="16:23" x14ac:dyDescent="0.25">
      <c r="P133" t="s">
        <v>47</v>
      </c>
      <c r="Q133" t="s">
        <v>17</v>
      </c>
      <c r="R133" t="s">
        <v>145</v>
      </c>
      <c r="S133">
        <v>26509</v>
      </c>
      <c r="T133">
        <v>8</v>
      </c>
      <c r="U133">
        <f t="shared" si="6"/>
        <v>10</v>
      </c>
      <c r="V133">
        <f t="shared" si="7"/>
        <v>2023</v>
      </c>
      <c r="W133" t="str">
        <f t="shared" si="8"/>
        <v>2023-10</v>
      </c>
    </row>
    <row r="134" spans="16:23" x14ac:dyDescent="0.25">
      <c r="P134" t="s">
        <v>25</v>
      </c>
      <c r="Q134" t="s">
        <v>22</v>
      </c>
      <c r="R134" t="s">
        <v>145</v>
      </c>
      <c r="S134">
        <v>97346</v>
      </c>
      <c r="T134">
        <v>7</v>
      </c>
      <c r="U134">
        <f t="shared" si="6"/>
        <v>10</v>
      </c>
      <c r="V134">
        <f t="shared" si="7"/>
        <v>2023</v>
      </c>
      <c r="W134" t="str">
        <f t="shared" si="8"/>
        <v>2023-10</v>
      </c>
    </row>
    <row r="135" spans="16:23" x14ac:dyDescent="0.25">
      <c r="P135" t="s">
        <v>8</v>
      </c>
      <c r="Q135" t="s">
        <v>146</v>
      </c>
      <c r="R135" t="s">
        <v>145</v>
      </c>
      <c r="S135">
        <v>80268</v>
      </c>
      <c r="T135">
        <v>6</v>
      </c>
      <c r="U135">
        <f t="shared" si="6"/>
        <v>10</v>
      </c>
      <c r="V135">
        <f t="shared" si="7"/>
        <v>2023</v>
      </c>
      <c r="W135" t="str">
        <f t="shared" si="8"/>
        <v>2023-10</v>
      </c>
    </row>
    <row r="136" spans="16:23" x14ac:dyDescent="0.25">
      <c r="P136" t="s">
        <v>13</v>
      </c>
      <c r="Q136" t="s">
        <v>48</v>
      </c>
      <c r="R136" t="s">
        <v>147</v>
      </c>
      <c r="S136">
        <v>64703</v>
      </c>
      <c r="T136">
        <v>4</v>
      </c>
      <c r="U136">
        <f t="shared" si="6"/>
        <v>10</v>
      </c>
      <c r="V136">
        <f t="shared" si="7"/>
        <v>2023</v>
      </c>
      <c r="W136" t="str">
        <f t="shared" si="8"/>
        <v>2023-10</v>
      </c>
    </row>
    <row r="137" spans="16:23" x14ac:dyDescent="0.25">
      <c r="P137" t="s">
        <v>47</v>
      </c>
      <c r="Q137" t="s">
        <v>141</v>
      </c>
      <c r="R137" t="s">
        <v>147</v>
      </c>
      <c r="S137">
        <v>70043</v>
      </c>
      <c r="T137">
        <v>4</v>
      </c>
      <c r="U137">
        <f t="shared" si="6"/>
        <v>10</v>
      </c>
      <c r="V137">
        <f t="shared" si="7"/>
        <v>2023</v>
      </c>
      <c r="W137" t="str">
        <f t="shared" si="8"/>
        <v>2023-10</v>
      </c>
    </row>
    <row r="138" spans="16:23" x14ac:dyDescent="0.25">
      <c r="P138" t="s">
        <v>30</v>
      </c>
      <c r="Q138" t="s">
        <v>148</v>
      </c>
      <c r="R138" t="s">
        <v>147</v>
      </c>
      <c r="S138">
        <v>76470</v>
      </c>
      <c r="T138">
        <v>7</v>
      </c>
      <c r="U138">
        <f t="shared" si="6"/>
        <v>10</v>
      </c>
      <c r="V138">
        <f t="shared" si="7"/>
        <v>2023</v>
      </c>
      <c r="W138" t="str">
        <f t="shared" si="8"/>
        <v>2023-10</v>
      </c>
    </row>
    <row r="139" spans="16:23" x14ac:dyDescent="0.25">
      <c r="P139" t="s">
        <v>30</v>
      </c>
      <c r="Q139" t="s">
        <v>136</v>
      </c>
      <c r="R139" t="s">
        <v>147</v>
      </c>
      <c r="S139">
        <v>52412</v>
      </c>
      <c r="T139">
        <v>8</v>
      </c>
      <c r="U139">
        <f t="shared" si="6"/>
        <v>10</v>
      </c>
      <c r="V139">
        <f t="shared" si="7"/>
        <v>2023</v>
      </c>
      <c r="W139" t="str">
        <f t="shared" si="8"/>
        <v>2023-10</v>
      </c>
    </row>
    <row r="140" spans="16:23" x14ac:dyDescent="0.25">
      <c r="P140" t="s">
        <v>47</v>
      </c>
      <c r="Q140" t="s">
        <v>61</v>
      </c>
      <c r="R140" t="s">
        <v>147</v>
      </c>
      <c r="S140">
        <v>33287</v>
      </c>
      <c r="T140">
        <v>8</v>
      </c>
      <c r="U140">
        <f t="shared" si="6"/>
        <v>10</v>
      </c>
      <c r="V140">
        <f t="shared" si="7"/>
        <v>2023</v>
      </c>
      <c r="W140" t="str">
        <f t="shared" si="8"/>
        <v>2023-10</v>
      </c>
    </row>
    <row r="141" spans="16:23" x14ac:dyDescent="0.25">
      <c r="P141" t="s">
        <v>8</v>
      </c>
      <c r="Q141" t="s">
        <v>149</v>
      </c>
      <c r="R141" t="s">
        <v>150</v>
      </c>
      <c r="S141">
        <v>43824</v>
      </c>
      <c r="T141">
        <v>9</v>
      </c>
      <c r="U141">
        <f t="shared" si="6"/>
        <v>10</v>
      </c>
      <c r="V141">
        <f t="shared" si="7"/>
        <v>2023</v>
      </c>
      <c r="W141" t="str">
        <f t="shared" si="8"/>
        <v>2023-10</v>
      </c>
    </row>
    <row r="142" spans="16:23" x14ac:dyDescent="0.25">
      <c r="P142" t="s">
        <v>47</v>
      </c>
      <c r="Q142" t="s">
        <v>151</v>
      </c>
      <c r="R142" t="s">
        <v>150</v>
      </c>
      <c r="S142">
        <v>59277</v>
      </c>
      <c r="T142">
        <v>8</v>
      </c>
      <c r="U142">
        <f t="shared" si="6"/>
        <v>10</v>
      </c>
      <c r="V142">
        <f t="shared" si="7"/>
        <v>2023</v>
      </c>
      <c r="W142" t="str">
        <f t="shared" si="8"/>
        <v>2023-10</v>
      </c>
    </row>
    <row r="143" spans="16:23" x14ac:dyDescent="0.25">
      <c r="P143" t="s">
        <v>13</v>
      </c>
      <c r="Q143" t="s">
        <v>152</v>
      </c>
      <c r="R143" t="s">
        <v>150</v>
      </c>
      <c r="S143">
        <v>28832</v>
      </c>
      <c r="T143">
        <v>9</v>
      </c>
      <c r="U143">
        <f t="shared" si="6"/>
        <v>10</v>
      </c>
      <c r="V143">
        <f t="shared" si="7"/>
        <v>2023</v>
      </c>
      <c r="W143" t="str">
        <f t="shared" si="8"/>
        <v>2023-10</v>
      </c>
    </row>
    <row r="144" spans="16:23" x14ac:dyDescent="0.25">
      <c r="P144" t="s">
        <v>18</v>
      </c>
      <c r="Q144" t="s">
        <v>153</v>
      </c>
      <c r="R144" t="s">
        <v>150</v>
      </c>
      <c r="S144">
        <v>51355</v>
      </c>
      <c r="T144">
        <v>7</v>
      </c>
      <c r="U144">
        <f t="shared" si="6"/>
        <v>10</v>
      </c>
      <c r="V144">
        <f t="shared" si="7"/>
        <v>2023</v>
      </c>
      <c r="W144" t="str">
        <f t="shared" si="8"/>
        <v>2023-10</v>
      </c>
    </row>
    <row r="145" spans="16:23" x14ac:dyDescent="0.25">
      <c r="P145" t="s">
        <v>30</v>
      </c>
      <c r="Q145" t="s">
        <v>77</v>
      </c>
      <c r="R145" t="s">
        <v>154</v>
      </c>
      <c r="S145">
        <v>90888</v>
      </c>
      <c r="T145">
        <v>4</v>
      </c>
      <c r="U145">
        <f t="shared" si="6"/>
        <v>10</v>
      </c>
      <c r="V145">
        <f t="shared" si="7"/>
        <v>2023</v>
      </c>
      <c r="W145" t="str">
        <f t="shared" si="8"/>
        <v>2023-10</v>
      </c>
    </row>
    <row r="146" spans="16:23" x14ac:dyDescent="0.25">
      <c r="P146" t="s">
        <v>8</v>
      </c>
      <c r="Q146" t="s">
        <v>155</v>
      </c>
      <c r="R146" t="s">
        <v>154</v>
      </c>
      <c r="S146">
        <v>52369</v>
      </c>
      <c r="T146">
        <v>7</v>
      </c>
      <c r="U146">
        <f t="shared" si="6"/>
        <v>10</v>
      </c>
      <c r="V146">
        <f t="shared" si="7"/>
        <v>2023</v>
      </c>
      <c r="W146" t="str">
        <f t="shared" si="8"/>
        <v>2023-10</v>
      </c>
    </row>
    <row r="147" spans="16:23" x14ac:dyDescent="0.25">
      <c r="P147" t="s">
        <v>38</v>
      </c>
      <c r="Q147" t="s">
        <v>35</v>
      </c>
      <c r="R147" t="s">
        <v>154</v>
      </c>
      <c r="S147">
        <v>30813</v>
      </c>
      <c r="T147">
        <v>4</v>
      </c>
      <c r="U147">
        <f t="shared" si="6"/>
        <v>10</v>
      </c>
      <c r="V147">
        <f t="shared" si="7"/>
        <v>2023</v>
      </c>
      <c r="W147" t="str">
        <f t="shared" si="8"/>
        <v>2023-10</v>
      </c>
    </row>
    <row r="148" spans="16:23" x14ac:dyDescent="0.25">
      <c r="P148" t="s">
        <v>13</v>
      </c>
      <c r="Q148" t="s">
        <v>101</v>
      </c>
      <c r="R148" t="s">
        <v>154</v>
      </c>
      <c r="S148">
        <v>93610</v>
      </c>
      <c r="T148">
        <v>6</v>
      </c>
      <c r="U148">
        <f t="shared" si="6"/>
        <v>10</v>
      </c>
      <c r="V148">
        <f t="shared" si="7"/>
        <v>2023</v>
      </c>
      <c r="W148" t="str">
        <f t="shared" si="8"/>
        <v>2023-10</v>
      </c>
    </row>
    <row r="149" spans="16:23" x14ac:dyDescent="0.25">
      <c r="P149" t="s">
        <v>25</v>
      </c>
      <c r="Q149" t="s">
        <v>141</v>
      </c>
      <c r="R149" t="s">
        <v>154</v>
      </c>
      <c r="S149">
        <v>72935</v>
      </c>
      <c r="T149">
        <v>10</v>
      </c>
      <c r="U149">
        <f t="shared" si="6"/>
        <v>10</v>
      </c>
      <c r="V149">
        <f t="shared" si="7"/>
        <v>2023</v>
      </c>
      <c r="W149" t="str">
        <f t="shared" si="8"/>
        <v>2023-10</v>
      </c>
    </row>
    <row r="150" spans="16:23" x14ac:dyDescent="0.25">
      <c r="P150" t="s">
        <v>30</v>
      </c>
      <c r="Q150" t="s">
        <v>156</v>
      </c>
      <c r="R150" t="s">
        <v>154</v>
      </c>
      <c r="S150">
        <v>99505</v>
      </c>
      <c r="T150">
        <v>2</v>
      </c>
      <c r="U150">
        <f t="shared" si="6"/>
        <v>10</v>
      </c>
      <c r="V150">
        <f t="shared" si="7"/>
        <v>2023</v>
      </c>
      <c r="W150" t="str">
        <f t="shared" si="8"/>
        <v>2023-10</v>
      </c>
    </row>
    <row r="151" spans="16:23" x14ac:dyDescent="0.25">
      <c r="P151" t="s">
        <v>47</v>
      </c>
      <c r="Q151" t="s">
        <v>90</v>
      </c>
      <c r="R151" t="s">
        <v>154</v>
      </c>
      <c r="S151">
        <v>22343</v>
      </c>
      <c r="T151">
        <v>7</v>
      </c>
      <c r="U151">
        <f t="shared" si="6"/>
        <v>10</v>
      </c>
      <c r="V151">
        <f t="shared" si="7"/>
        <v>2023</v>
      </c>
      <c r="W151" t="str">
        <f t="shared" si="8"/>
        <v>2023-10</v>
      </c>
    </row>
    <row r="152" spans="16:23" x14ac:dyDescent="0.25">
      <c r="P152" t="s">
        <v>47</v>
      </c>
      <c r="Q152" t="s">
        <v>157</v>
      </c>
      <c r="R152" t="s">
        <v>154</v>
      </c>
      <c r="S152">
        <v>53176</v>
      </c>
      <c r="T152">
        <v>4</v>
      </c>
      <c r="U152">
        <f t="shared" si="6"/>
        <v>10</v>
      </c>
      <c r="V152">
        <f t="shared" si="7"/>
        <v>2023</v>
      </c>
      <c r="W152" t="str">
        <f t="shared" si="8"/>
        <v>2023-10</v>
      </c>
    </row>
    <row r="153" spans="16:23" x14ac:dyDescent="0.25">
      <c r="P153" t="s">
        <v>27</v>
      </c>
      <c r="Q153" t="s">
        <v>158</v>
      </c>
      <c r="R153" t="s">
        <v>154</v>
      </c>
      <c r="S153">
        <v>84891</v>
      </c>
      <c r="T153">
        <v>5</v>
      </c>
      <c r="U153">
        <f t="shared" si="6"/>
        <v>10</v>
      </c>
      <c r="V153">
        <f t="shared" si="7"/>
        <v>2023</v>
      </c>
      <c r="W153" t="str">
        <f t="shared" si="8"/>
        <v>2023-10</v>
      </c>
    </row>
    <row r="154" spans="16:23" x14ac:dyDescent="0.25">
      <c r="P154" t="s">
        <v>8</v>
      </c>
      <c r="Q154" t="s">
        <v>52</v>
      </c>
      <c r="R154" t="s">
        <v>159</v>
      </c>
      <c r="S154">
        <v>50779</v>
      </c>
      <c r="T154">
        <v>2</v>
      </c>
      <c r="U154">
        <f t="shared" si="6"/>
        <v>10</v>
      </c>
      <c r="V154">
        <f t="shared" si="7"/>
        <v>2023</v>
      </c>
      <c r="W154" t="str">
        <f t="shared" si="8"/>
        <v>2023-10</v>
      </c>
    </row>
    <row r="155" spans="16:23" x14ac:dyDescent="0.25">
      <c r="P155" t="s">
        <v>8</v>
      </c>
      <c r="Q155" t="s">
        <v>101</v>
      </c>
      <c r="R155" t="s">
        <v>160</v>
      </c>
      <c r="S155">
        <v>92490</v>
      </c>
      <c r="T155">
        <v>7</v>
      </c>
      <c r="U155">
        <f t="shared" si="6"/>
        <v>10</v>
      </c>
      <c r="V155">
        <f t="shared" si="7"/>
        <v>2023</v>
      </c>
      <c r="W155" t="str">
        <f t="shared" si="8"/>
        <v>2023-10</v>
      </c>
    </row>
    <row r="156" spans="16:23" x14ac:dyDescent="0.25">
      <c r="P156" t="s">
        <v>16</v>
      </c>
      <c r="Q156" t="s">
        <v>68</v>
      </c>
      <c r="R156" t="s">
        <v>160</v>
      </c>
      <c r="S156">
        <v>54355</v>
      </c>
      <c r="T156">
        <v>9</v>
      </c>
      <c r="U156">
        <f t="shared" si="6"/>
        <v>10</v>
      </c>
      <c r="V156">
        <f t="shared" si="7"/>
        <v>2023</v>
      </c>
      <c r="W156" t="str">
        <f t="shared" si="8"/>
        <v>2023-10</v>
      </c>
    </row>
    <row r="157" spans="16:23" x14ac:dyDescent="0.25">
      <c r="P157" t="s">
        <v>5</v>
      </c>
      <c r="Q157" t="s">
        <v>161</v>
      </c>
      <c r="R157" t="s">
        <v>160</v>
      </c>
      <c r="S157">
        <v>50289</v>
      </c>
      <c r="T157">
        <v>2</v>
      </c>
      <c r="U157">
        <f t="shared" si="6"/>
        <v>10</v>
      </c>
      <c r="V157">
        <f t="shared" si="7"/>
        <v>2023</v>
      </c>
      <c r="W157" t="str">
        <f t="shared" si="8"/>
        <v>2023-10</v>
      </c>
    </row>
    <row r="158" spans="16:23" x14ac:dyDescent="0.25">
      <c r="P158" t="s">
        <v>10</v>
      </c>
      <c r="Q158" t="s">
        <v>91</v>
      </c>
      <c r="R158" t="s">
        <v>160</v>
      </c>
      <c r="S158">
        <v>60062</v>
      </c>
      <c r="T158">
        <v>5</v>
      </c>
      <c r="U158">
        <f t="shared" si="6"/>
        <v>10</v>
      </c>
      <c r="V158">
        <f t="shared" si="7"/>
        <v>2023</v>
      </c>
      <c r="W158" t="str">
        <f t="shared" si="8"/>
        <v>2023-10</v>
      </c>
    </row>
    <row r="159" spans="16:23" x14ac:dyDescent="0.25">
      <c r="P159" t="s">
        <v>5</v>
      </c>
      <c r="Q159" t="s">
        <v>162</v>
      </c>
      <c r="R159" t="s">
        <v>163</v>
      </c>
      <c r="S159">
        <v>34917</v>
      </c>
      <c r="T159">
        <v>8</v>
      </c>
      <c r="U159">
        <f t="shared" si="6"/>
        <v>10</v>
      </c>
      <c r="V159">
        <f t="shared" si="7"/>
        <v>2023</v>
      </c>
      <c r="W159" t="str">
        <f t="shared" si="8"/>
        <v>2023-10</v>
      </c>
    </row>
    <row r="160" spans="16:23" x14ac:dyDescent="0.25">
      <c r="P160" t="s">
        <v>45</v>
      </c>
      <c r="Q160" t="s">
        <v>33</v>
      </c>
      <c r="R160" t="s">
        <v>164</v>
      </c>
      <c r="S160">
        <v>67985</v>
      </c>
      <c r="T160">
        <v>4</v>
      </c>
      <c r="U160">
        <f t="shared" si="6"/>
        <v>10</v>
      </c>
      <c r="V160">
        <f t="shared" si="7"/>
        <v>2023</v>
      </c>
      <c r="W160" t="str">
        <f t="shared" si="8"/>
        <v>2023-10</v>
      </c>
    </row>
    <row r="161" spans="16:23" x14ac:dyDescent="0.25">
      <c r="P161" t="s">
        <v>8</v>
      </c>
      <c r="Q161" t="s">
        <v>85</v>
      </c>
      <c r="R161" t="s">
        <v>164</v>
      </c>
      <c r="S161">
        <v>38926</v>
      </c>
      <c r="T161">
        <v>3</v>
      </c>
      <c r="U161">
        <f t="shared" si="6"/>
        <v>10</v>
      </c>
      <c r="V161">
        <f t="shared" si="7"/>
        <v>2023</v>
      </c>
      <c r="W161" t="str">
        <f t="shared" si="8"/>
        <v>2023-10</v>
      </c>
    </row>
    <row r="162" spans="16:23" x14ac:dyDescent="0.25">
      <c r="P162" t="s">
        <v>16</v>
      </c>
      <c r="Q162" t="s">
        <v>165</v>
      </c>
      <c r="R162" t="s">
        <v>164</v>
      </c>
      <c r="S162">
        <v>65958</v>
      </c>
      <c r="T162">
        <v>3</v>
      </c>
      <c r="U162">
        <f t="shared" si="6"/>
        <v>10</v>
      </c>
      <c r="V162">
        <f t="shared" si="7"/>
        <v>2023</v>
      </c>
      <c r="W162" t="str">
        <f t="shared" si="8"/>
        <v>2023-10</v>
      </c>
    </row>
    <row r="163" spans="16:23" x14ac:dyDescent="0.25">
      <c r="P163" t="s">
        <v>10</v>
      </c>
      <c r="Q163" t="s">
        <v>146</v>
      </c>
      <c r="R163" t="s">
        <v>164</v>
      </c>
      <c r="S163">
        <v>80304</v>
      </c>
      <c r="T163">
        <v>5</v>
      </c>
      <c r="U163">
        <f t="shared" si="6"/>
        <v>10</v>
      </c>
      <c r="V163">
        <f t="shared" si="7"/>
        <v>2023</v>
      </c>
      <c r="W163" t="str">
        <f t="shared" si="8"/>
        <v>2023-10</v>
      </c>
    </row>
    <row r="164" spans="16:23" x14ac:dyDescent="0.25">
      <c r="P164" t="s">
        <v>18</v>
      </c>
      <c r="Q164" t="s">
        <v>166</v>
      </c>
      <c r="R164" t="s">
        <v>164</v>
      </c>
      <c r="S164">
        <v>18426</v>
      </c>
      <c r="T164">
        <v>10</v>
      </c>
      <c r="U164">
        <f t="shared" si="6"/>
        <v>10</v>
      </c>
      <c r="V164">
        <f t="shared" si="7"/>
        <v>2023</v>
      </c>
      <c r="W164" t="str">
        <f t="shared" si="8"/>
        <v>2023-10</v>
      </c>
    </row>
    <row r="165" spans="16:23" x14ac:dyDescent="0.25">
      <c r="P165" t="s">
        <v>13</v>
      </c>
      <c r="Q165" t="s">
        <v>167</v>
      </c>
      <c r="R165" t="s">
        <v>168</v>
      </c>
      <c r="S165">
        <v>34690</v>
      </c>
      <c r="T165">
        <v>9</v>
      </c>
      <c r="U165">
        <f t="shared" si="6"/>
        <v>10</v>
      </c>
      <c r="V165">
        <f t="shared" si="7"/>
        <v>2023</v>
      </c>
      <c r="W165" t="str">
        <f t="shared" si="8"/>
        <v>2023-10</v>
      </c>
    </row>
    <row r="166" spans="16:23" x14ac:dyDescent="0.25">
      <c r="P166" t="s">
        <v>13</v>
      </c>
      <c r="Q166" t="s">
        <v>106</v>
      </c>
      <c r="R166" t="s">
        <v>168</v>
      </c>
      <c r="S166">
        <v>63212</v>
      </c>
      <c r="T166">
        <v>0</v>
      </c>
      <c r="U166">
        <f t="shared" si="6"/>
        <v>10</v>
      </c>
      <c r="V166">
        <f t="shared" si="7"/>
        <v>2023</v>
      </c>
      <c r="W166" t="str">
        <f t="shared" si="8"/>
        <v>2023-10</v>
      </c>
    </row>
    <row r="167" spans="16:23" x14ac:dyDescent="0.25">
      <c r="P167" t="s">
        <v>45</v>
      </c>
      <c r="Q167" t="s">
        <v>169</v>
      </c>
      <c r="R167" t="s">
        <v>168</v>
      </c>
      <c r="S167">
        <v>39689</v>
      </c>
      <c r="T167">
        <v>1</v>
      </c>
      <c r="U167">
        <f t="shared" si="6"/>
        <v>10</v>
      </c>
      <c r="V167">
        <f t="shared" si="7"/>
        <v>2023</v>
      </c>
      <c r="W167" t="str">
        <f t="shared" si="8"/>
        <v>2023-10</v>
      </c>
    </row>
    <row r="168" spans="16:23" x14ac:dyDescent="0.25">
      <c r="P168" t="s">
        <v>30</v>
      </c>
      <c r="Q168" t="s">
        <v>52</v>
      </c>
      <c r="R168" t="s">
        <v>168</v>
      </c>
      <c r="S168">
        <v>70276</v>
      </c>
      <c r="T168">
        <v>8</v>
      </c>
      <c r="U168">
        <f t="shared" si="6"/>
        <v>10</v>
      </c>
      <c r="V168">
        <f t="shared" si="7"/>
        <v>2023</v>
      </c>
      <c r="W168" t="str">
        <f t="shared" si="8"/>
        <v>2023-10</v>
      </c>
    </row>
    <row r="169" spans="16:23" x14ac:dyDescent="0.25">
      <c r="P169" t="s">
        <v>8</v>
      </c>
      <c r="Q169" t="s">
        <v>141</v>
      </c>
      <c r="R169" t="s">
        <v>168</v>
      </c>
      <c r="S169">
        <v>98011</v>
      </c>
      <c r="T169">
        <v>8</v>
      </c>
      <c r="U169">
        <f t="shared" si="6"/>
        <v>10</v>
      </c>
      <c r="V169">
        <f t="shared" si="7"/>
        <v>2023</v>
      </c>
      <c r="W169" t="str">
        <f t="shared" si="8"/>
        <v>2023-10</v>
      </c>
    </row>
    <row r="170" spans="16:23" x14ac:dyDescent="0.25">
      <c r="P170" t="s">
        <v>47</v>
      </c>
      <c r="Q170" t="s">
        <v>124</v>
      </c>
      <c r="R170" t="s">
        <v>168</v>
      </c>
      <c r="S170">
        <v>34428</v>
      </c>
      <c r="T170">
        <v>9</v>
      </c>
      <c r="U170">
        <f t="shared" si="6"/>
        <v>10</v>
      </c>
      <c r="V170">
        <f t="shared" si="7"/>
        <v>2023</v>
      </c>
      <c r="W170" t="str">
        <f t="shared" si="8"/>
        <v>2023-10</v>
      </c>
    </row>
    <row r="171" spans="16:23" x14ac:dyDescent="0.25">
      <c r="P171" t="s">
        <v>45</v>
      </c>
      <c r="Q171" t="s">
        <v>170</v>
      </c>
      <c r="R171" t="s">
        <v>171</v>
      </c>
      <c r="S171">
        <v>15354</v>
      </c>
      <c r="T171">
        <v>6</v>
      </c>
      <c r="U171">
        <f t="shared" si="6"/>
        <v>10</v>
      </c>
      <c r="V171">
        <f t="shared" si="7"/>
        <v>2023</v>
      </c>
      <c r="W171" t="str">
        <f t="shared" si="8"/>
        <v>2023-10</v>
      </c>
    </row>
    <row r="172" spans="16:23" x14ac:dyDescent="0.25">
      <c r="P172" t="s">
        <v>25</v>
      </c>
      <c r="Q172" t="s">
        <v>50</v>
      </c>
      <c r="R172" t="s">
        <v>171</v>
      </c>
      <c r="S172">
        <v>71716</v>
      </c>
      <c r="T172">
        <v>7</v>
      </c>
      <c r="U172">
        <f t="shared" si="6"/>
        <v>10</v>
      </c>
      <c r="V172">
        <f t="shared" si="7"/>
        <v>2023</v>
      </c>
      <c r="W172" t="str">
        <f t="shared" si="8"/>
        <v>2023-10</v>
      </c>
    </row>
    <row r="173" spans="16:23" x14ac:dyDescent="0.25">
      <c r="P173" t="s">
        <v>13</v>
      </c>
      <c r="Q173" t="s">
        <v>144</v>
      </c>
      <c r="R173" t="s">
        <v>172</v>
      </c>
      <c r="S173">
        <v>96587</v>
      </c>
      <c r="T173">
        <v>5</v>
      </c>
      <c r="U173">
        <f t="shared" si="6"/>
        <v>11</v>
      </c>
      <c r="V173">
        <f t="shared" si="7"/>
        <v>2023</v>
      </c>
      <c r="W173" t="str">
        <f t="shared" si="8"/>
        <v>2023-11</v>
      </c>
    </row>
    <row r="174" spans="16:23" x14ac:dyDescent="0.25">
      <c r="P174" t="s">
        <v>10</v>
      </c>
      <c r="Q174" t="s">
        <v>96</v>
      </c>
      <c r="R174" t="s">
        <v>172</v>
      </c>
      <c r="S174">
        <v>18712</v>
      </c>
      <c r="T174">
        <v>8</v>
      </c>
      <c r="U174">
        <f t="shared" si="6"/>
        <v>11</v>
      </c>
      <c r="V174">
        <f t="shared" si="7"/>
        <v>2023</v>
      </c>
      <c r="W174" t="str">
        <f t="shared" si="8"/>
        <v>2023-11</v>
      </c>
    </row>
    <row r="175" spans="16:23" x14ac:dyDescent="0.25">
      <c r="P175" t="s">
        <v>25</v>
      </c>
      <c r="Q175" t="s">
        <v>46</v>
      </c>
      <c r="R175" t="s">
        <v>172</v>
      </c>
      <c r="S175">
        <v>60383</v>
      </c>
      <c r="T175">
        <v>5</v>
      </c>
      <c r="U175">
        <f t="shared" si="6"/>
        <v>11</v>
      </c>
      <c r="V175">
        <f t="shared" si="7"/>
        <v>2023</v>
      </c>
      <c r="W175" t="str">
        <f t="shared" si="8"/>
        <v>2023-11</v>
      </c>
    </row>
    <row r="176" spans="16:23" x14ac:dyDescent="0.25">
      <c r="P176" t="s">
        <v>45</v>
      </c>
      <c r="Q176" t="s">
        <v>57</v>
      </c>
      <c r="R176" t="s">
        <v>172</v>
      </c>
      <c r="S176">
        <v>71495</v>
      </c>
      <c r="T176">
        <v>4</v>
      </c>
      <c r="U176">
        <f t="shared" si="6"/>
        <v>11</v>
      </c>
      <c r="V176">
        <f t="shared" si="7"/>
        <v>2023</v>
      </c>
      <c r="W176" t="str">
        <f t="shared" si="8"/>
        <v>2023-11</v>
      </c>
    </row>
    <row r="177" spans="16:23" x14ac:dyDescent="0.25">
      <c r="P177" t="s">
        <v>38</v>
      </c>
      <c r="Q177" t="s">
        <v>170</v>
      </c>
      <c r="R177" t="s">
        <v>172</v>
      </c>
      <c r="S177">
        <v>78814</v>
      </c>
      <c r="T177">
        <v>1</v>
      </c>
      <c r="U177">
        <f t="shared" si="6"/>
        <v>11</v>
      </c>
      <c r="V177">
        <f t="shared" si="7"/>
        <v>2023</v>
      </c>
      <c r="W177" t="str">
        <f t="shared" si="8"/>
        <v>2023-11</v>
      </c>
    </row>
    <row r="178" spans="16:23" x14ac:dyDescent="0.25">
      <c r="P178" t="s">
        <v>13</v>
      </c>
      <c r="Q178" t="s">
        <v>173</v>
      </c>
      <c r="R178" t="s">
        <v>174</v>
      </c>
      <c r="S178">
        <v>32327</v>
      </c>
      <c r="T178">
        <v>9</v>
      </c>
      <c r="U178">
        <f t="shared" si="6"/>
        <v>11</v>
      </c>
      <c r="V178">
        <f t="shared" si="7"/>
        <v>2023</v>
      </c>
      <c r="W178" t="str">
        <f t="shared" si="8"/>
        <v>2023-11</v>
      </c>
    </row>
    <row r="179" spans="16:23" x14ac:dyDescent="0.25">
      <c r="P179" t="s">
        <v>5</v>
      </c>
      <c r="Q179" t="s">
        <v>101</v>
      </c>
      <c r="R179" t="s">
        <v>174</v>
      </c>
      <c r="S179">
        <v>90834</v>
      </c>
      <c r="T179">
        <v>5</v>
      </c>
      <c r="U179">
        <f t="shared" si="6"/>
        <v>11</v>
      </c>
      <c r="V179">
        <f t="shared" si="7"/>
        <v>2023</v>
      </c>
      <c r="W179" t="str">
        <f t="shared" si="8"/>
        <v>2023-11</v>
      </c>
    </row>
    <row r="180" spans="16:23" x14ac:dyDescent="0.25">
      <c r="P180" t="s">
        <v>8</v>
      </c>
      <c r="Q180" t="s">
        <v>170</v>
      </c>
      <c r="R180" t="s">
        <v>175</v>
      </c>
      <c r="S180">
        <v>25079</v>
      </c>
      <c r="T180">
        <v>3</v>
      </c>
      <c r="U180">
        <f t="shared" si="6"/>
        <v>11</v>
      </c>
      <c r="V180">
        <f t="shared" si="7"/>
        <v>2023</v>
      </c>
      <c r="W180" t="str">
        <f t="shared" si="8"/>
        <v>2023-11</v>
      </c>
    </row>
    <row r="181" spans="16:23" x14ac:dyDescent="0.25">
      <c r="P181" t="s">
        <v>47</v>
      </c>
      <c r="Q181" t="s">
        <v>176</v>
      </c>
      <c r="R181" t="s">
        <v>175</v>
      </c>
      <c r="S181">
        <v>79297</v>
      </c>
      <c r="T181">
        <v>8</v>
      </c>
      <c r="U181">
        <f t="shared" si="6"/>
        <v>11</v>
      </c>
      <c r="V181">
        <f t="shared" si="7"/>
        <v>2023</v>
      </c>
      <c r="W181" t="str">
        <f t="shared" si="8"/>
        <v>2023-11</v>
      </c>
    </row>
    <row r="182" spans="16:23" x14ac:dyDescent="0.25">
      <c r="P182" t="s">
        <v>30</v>
      </c>
      <c r="Q182" t="s">
        <v>155</v>
      </c>
      <c r="R182" t="s">
        <v>175</v>
      </c>
      <c r="S182">
        <v>88112</v>
      </c>
      <c r="T182">
        <v>7</v>
      </c>
      <c r="U182">
        <f t="shared" si="6"/>
        <v>11</v>
      </c>
      <c r="V182">
        <f t="shared" si="7"/>
        <v>2023</v>
      </c>
      <c r="W182" t="str">
        <f t="shared" si="8"/>
        <v>2023-11</v>
      </c>
    </row>
    <row r="183" spans="16:23" x14ac:dyDescent="0.25">
      <c r="P183" t="s">
        <v>10</v>
      </c>
      <c r="Q183" t="s">
        <v>177</v>
      </c>
      <c r="R183" t="s">
        <v>175</v>
      </c>
      <c r="S183">
        <v>52488</v>
      </c>
      <c r="T183">
        <v>2</v>
      </c>
      <c r="U183">
        <f t="shared" si="6"/>
        <v>11</v>
      </c>
      <c r="V183">
        <f t="shared" si="7"/>
        <v>2023</v>
      </c>
      <c r="W183" t="str">
        <f t="shared" si="8"/>
        <v>2023-11</v>
      </c>
    </row>
    <row r="184" spans="16:23" x14ac:dyDescent="0.25">
      <c r="P184" t="s">
        <v>27</v>
      </c>
      <c r="Q184" t="s">
        <v>178</v>
      </c>
      <c r="R184" t="s">
        <v>179</v>
      </c>
      <c r="S184">
        <v>90276</v>
      </c>
      <c r="T184">
        <v>2</v>
      </c>
      <c r="U184">
        <f t="shared" si="6"/>
        <v>11</v>
      </c>
      <c r="V184">
        <f t="shared" si="7"/>
        <v>2023</v>
      </c>
      <c r="W184" t="str">
        <f t="shared" si="8"/>
        <v>2023-11</v>
      </c>
    </row>
    <row r="185" spans="16:23" x14ac:dyDescent="0.25">
      <c r="P185" t="s">
        <v>47</v>
      </c>
      <c r="Q185" t="s">
        <v>180</v>
      </c>
      <c r="R185" t="s">
        <v>179</v>
      </c>
      <c r="S185">
        <v>35741</v>
      </c>
      <c r="T185">
        <v>6</v>
      </c>
      <c r="U185">
        <f t="shared" si="6"/>
        <v>11</v>
      </c>
      <c r="V185">
        <f t="shared" si="7"/>
        <v>2023</v>
      </c>
      <c r="W185" t="str">
        <f t="shared" si="8"/>
        <v>2023-11</v>
      </c>
    </row>
    <row r="186" spans="16:23" x14ac:dyDescent="0.25">
      <c r="P186" t="s">
        <v>8</v>
      </c>
      <c r="Q186" t="s">
        <v>181</v>
      </c>
      <c r="R186" t="s">
        <v>179</v>
      </c>
      <c r="S186">
        <v>13188</v>
      </c>
      <c r="T186">
        <v>6</v>
      </c>
      <c r="U186">
        <f t="shared" si="6"/>
        <v>11</v>
      </c>
      <c r="V186">
        <f t="shared" si="7"/>
        <v>2023</v>
      </c>
      <c r="W186" t="str">
        <f t="shared" si="8"/>
        <v>2023-11</v>
      </c>
    </row>
    <row r="187" spans="16:23" x14ac:dyDescent="0.25">
      <c r="P187" t="s">
        <v>38</v>
      </c>
      <c r="Q187" t="s">
        <v>182</v>
      </c>
      <c r="R187" t="s">
        <v>179</v>
      </c>
      <c r="S187">
        <v>37209</v>
      </c>
      <c r="T187">
        <v>8</v>
      </c>
      <c r="U187">
        <f t="shared" si="6"/>
        <v>11</v>
      </c>
      <c r="V187">
        <f t="shared" si="7"/>
        <v>2023</v>
      </c>
      <c r="W187" t="str">
        <f t="shared" si="8"/>
        <v>2023-11</v>
      </c>
    </row>
    <row r="188" spans="16:23" x14ac:dyDescent="0.25">
      <c r="P188" t="s">
        <v>45</v>
      </c>
      <c r="Q188" t="s">
        <v>108</v>
      </c>
      <c r="R188" t="s">
        <v>179</v>
      </c>
      <c r="S188">
        <v>58805</v>
      </c>
      <c r="T188">
        <v>7</v>
      </c>
      <c r="U188">
        <f t="shared" si="6"/>
        <v>11</v>
      </c>
      <c r="V188">
        <f t="shared" si="7"/>
        <v>2023</v>
      </c>
      <c r="W188" t="str">
        <f t="shared" si="8"/>
        <v>2023-11</v>
      </c>
    </row>
    <row r="189" spans="16:23" x14ac:dyDescent="0.25">
      <c r="P189" t="s">
        <v>10</v>
      </c>
      <c r="Q189" t="s">
        <v>119</v>
      </c>
      <c r="R189" t="s">
        <v>183</v>
      </c>
      <c r="S189">
        <v>70113</v>
      </c>
      <c r="T189">
        <v>8</v>
      </c>
      <c r="U189">
        <f t="shared" si="6"/>
        <v>11</v>
      </c>
      <c r="V189">
        <f t="shared" si="7"/>
        <v>2023</v>
      </c>
      <c r="W189" t="str">
        <f t="shared" si="8"/>
        <v>2023-11</v>
      </c>
    </row>
    <row r="190" spans="16:23" x14ac:dyDescent="0.25">
      <c r="P190" t="s">
        <v>30</v>
      </c>
      <c r="Q190" t="s">
        <v>68</v>
      </c>
      <c r="R190" t="s">
        <v>183</v>
      </c>
      <c r="S190">
        <v>68300</v>
      </c>
      <c r="T190">
        <v>7</v>
      </c>
      <c r="U190">
        <f t="shared" si="6"/>
        <v>11</v>
      </c>
      <c r="V190">
        <f t="shared" si="7"/>
        <v>2023</v>
      </c>
      <c r="W190" t="str">
        <f t="shared" si="8"/>
        <v>2023-11</v>
      </c>
    </row>
    <row r="191" spans="16:23" x14ac:dyDescent="0.25">
      <c r="P191" t="s">
        <v>16</v>
      </c>
      <c r="Q191" t="s">
        <v>68</v>
      </c>
      <c r="R191" t="s">
        <v>183</v>
      </c>
      <c r="S191">
        <v>44354</v>
      </c>
      <c r="T191">
        <v>9</v>
      </c>
      <c r="U191">
        <f t="shared" si="6"/>
        <v>11</v>
      </c>
      <c r="V191">
        <f t="shared" si="7"/>
        <v>2023</v>
      </c>
      <c r="W191" t="str">
        <f t="shared" si="8"/>
        <v>2023-11</v>
      </c>
    </row>
    <row r="192" spans="16:23" x14ac:dyDescent="0.25">
      <c r="P192" t="s">
        <v>30</v>
      </c>
      <c r="Q192" t="s">
        <v>184</v>
      </c>
      <c r="R192" t="s">
        <v>185</v>
      </c>
      <c r="S192">
        <v>27219</v>
      </c>
      <c r="T192">
        <v>7</v>
      </c>
      <c r="U192">
        <f t="shared" si="6"/>
        <v>11</v>
      </c>
      <c r="V192">
        <f t="shared" si="7"/>
        <v>2023</v>
      </c>
      <c r="W192" t="str">
        <f t="shared" si="8"/>
        <v>2023-11</v>
      </c>
    </row>
    <row r="193" spans="16:23" x14ac:dyDescent="0.25">
      <c r="P193" t="s">
        <v>16</v>
      </c>
      <c r="Q193" t="s">
        <v>75</v>
      </c>
      <c r="R193" t="s">
        <v>185</v>
      </c>
      <c r="S193">
        <v>24852</v>
      </c>
      <c r="T193">
        <v>2</v>
      </c>
      <c r="U193">
        <f t="shared" si="6"/>
        <v>11</v>
      </c>
      <c r="V193">
        <f t="shared" si="7"/>
        <v>2023</v>
      </c>
      <c r="W193" t="str">
        <f t="shared" si="8"/>
        <v>2023-11</v>
      </c>
    </row>
    <row r="194" spans="16:23" x14ac:dyDescent="0.25">
      <c r="P194" t="s">
        <v>10</v>
      </c>
      <c r="Q194" t="s">
        <v>186</v>
      </c>
      <c r="R194" t="s">
        <v>185</v>
      </c>
      <c r="S194">
        <v>60472</v>
      </c>
      <c r="T194">
        <v>5</v>
      </c>
      <c r="U194">
        <f t="shared" si="6"/>
        <v>11</v>
      </c>
      <c r="V194">
        <f t="shared" si="7"/>
        <v>2023</v>
      </c>
      <c r="W194" t="str">
        <f t="shared" si="8"/>
        <v>2023-11</v>
      </c>
    </row>
    <row r="195" spans="16:23" x14ac:dyDescent="0.25">
      <c r="P195" t="s">
        <v>45</v>
      </c>
      <c r="Q195" t="s">
        <v>187</v>
      </c>
      <c r="R195" t="s">
        <v>185</v>
      </c>
      <c r="S195">
        <v>39575</v>
      </c>
      <c r="T195">
        <v>7</v>
      </c>
      <c r="U195">
        <f t="shared" ref="U195:U258" si="9">MONTH(R195)</f>
        <v>11</v>
      </c>
      <c r="V195">
        <f t="shared" ref="V195:V258" si="10">YEAR(R195)</f>
        <v>2023</v>
      </c>
      <c r="W195" t="str">
        <f t="shared" ref="W195:W258" si="11">V195&amp;"-"&amp;U195</f>
        <v>2023-11</v>
      </c>
    </row>
    <row r="196" spans="16:23" x14ac:dyDescent="0.25">
      <c r="P196" t="s">
        <v>45</v>
      </c>
      <c r="Q196" t="s">
        <v>188</v>
      </c>
      <c r="R196" t="s">
        <v>189</v>
      </c>
      <c r="S196">
        <v>29570</v>
      </c>
      <c r="T196">
        <v>7</v>
      </c>
      <c r="U196">
        <f t="shared" si="9"/>
        <v>11</v>
      </c>
      <c r="V196">
        <f t="shared" si="10"/>
        <v>2023</v>
      </c>
      <c r="W196" t="str">
        <f t="shared" si="11"/>
        <v>2023-11</v>
      </c>
    </row>
    <row r="197" spans="16:23" x14ac:dyDescent="0.25">
      <c r="P197" t="s">
        <v>10</v>
      </c>
      <c r="Q197" t="s">
        <v>116</v>
      </c>
      <c r="R197" t="s">
        <v>189</v>
      </c>
      <c r="S197">
        <v>63399</v>
      </c>
      <c r="T197">
        <v>7</v>
      </c>
      <c r="U197">
        <f t="shared" si="9"/>
        <v>11</v>
      </c>
      <c r="V197">
        <f t="shared" si="10"/>
        <v>2023</v>
      </c>
      <c r="W197" t="str">
        <f t="shared" si="11"/>
        <v>2023-11</v>
      </c>
    </row>
    <row r="198" spans="16:23" x14ac:dyDescent="0.25">
      <c r="P198" t="s">
        <v>30</v>
      </c>
      <c r="Q198" t="s">
        <v>94</v>
      </c>
      <c r="R198" t="s">
        <v>189</v>
      </c>
      <c r="S198">
        <v>17188</v>
      </c>
      <c r="T198">
        <v>4</v>
      </c>
      <c r="U198">
        <f t="shared" si="9"/>
        <v>11</v>
      </c>
      <c r="V198">
        <f t="shared" si="10"/>
        <v>2023</v>
      </c>
      <c r="W198" t="str">
        <f t="shared" si="11"/>
        <v>2023-11</v>
      </c>
    </row>
    <row r="199" spans="16:23" x14ac:dyDescent="0.25">
      <c r="P199" t="s">
        <v>45</v>
      </c>
      <c r="Q199" t="s">
        <v>43</v>
      </c>
      <c r="R199" t="s">
        <v>189</v>
      </c>
      <c r="S199">
        <v>89878</v>
      </c>
      <c r="T199">
        <v>4</v>
      </c>
      <c r="U199">
        <f t="shared" si="9"/>
        <v>11</v>
      </c>
      <c r="V199">
        <f t="shared" si="10"/>
        <v>2023</v>
      </c>
      <c r="W199" t="str">
        <f t="shared" si="11"/>
        <v>2023-11</v>
      </c>
    </row>
    <row r="200" spans="16:23" x14ac:dyDescent="0.25">
      <c r="P200" t="s">
        <v>13</v>
      </c>
      <c r="Q200" t="s">
        <v>6</v>
      </c>
      <c r="R200" t="s">
        <v>189</v>
      </c>
      <c r="S200">
        <v>50829</v>
      </c>
      <c r="T200">
        <v>5</v>
      </c>
      <c r="U200">
        <f t="shared" si="9"/>
        <v>11</v>
      </c>
      <c r="V200">
        <f t="shared" si="10"/>
        <v>2023</v>
      </c>
      <c r="W200" t="str">
        <f t="shared" si="11"/>
        <v>2023-11</v>
      </c>
    </row>
    <row r="201" spans="16:23" x14ac:dyDescent="0.25">
      <c r="P201" t="s">
        <v>16</v>
      </c>
      <c r="Q201" t="s">
        <v>72</v>
      </c>
      <c r="R201" t="s">
        <v>189</v>
      </c>
      <c r="S201">
        <v>35346</v>
      </c>
      <c r="T201">
        <v>8</v>
      </c>
      <c r="U201">
        <f t="shared" si="9"/>
        <v>11</v>
      </c>
      <c r="V201">
        <f t="shared" si="10"/>
        <v>2023</v>
      </c>
      <c r="W201" t="str">
        <f t="shared" si="11"/>
        <v>2023-11</v>
      </c>
    </row>
    <row r="202" spans="16:23" x14ac:dyDescent="0.25">
      <c r="P202" t="s">
        <v>30</v>
      </c>
      <c r="Q202" t="s">
        <v>105</v>
      </c>
      <c r="R202" t="s">
        <v>189</v>
      </c>
      <c r="S202">
        <v>92124</v>
      </c>
      <c r="T202">
        <v>7</v>
      </c>
      <c r="U202">
        <f t="shared" si="9"/>
        <v>11</v>
      </c>
      <c r="V202">
        <f t="shared" si="10"/>
        <v>2023</v>
      </c>
      <c r="W202" t="str">
        <f t="shared" si="11"/>
        <v>2023-11</v>
      </c>
    </row>
    <row r="203" spans="16:23" x14ac:dyDescent="0.25">
      <c r="P203" t="s">
        <v>27</v>
      </c>
      <c r="Q203" t="s">
        <v>64</v>
      </c>
      <c r="R203" t="s">
        <v>189</v>
      </c>
      <c r="S203">
        <v>45549</v>
      </c>
      <c r="T203">
        <v>10</v>
      </c>
      <c r="U203">
        <f t="shared" si="9"/>
        <v>11</v>
      </c>
      <c r="V203">
        <f t="shared" si="10"/>
        <v>2023</v>
      </c>
      <c r="W203" t="str">
        <f t="shared" si="11"/>
        <v>2023-11</v>
      </c>
    </row>
    <row r="204" spans="16:23" x14ac:dyDescent="0.25">
      <c r="P204" t="s">
        <v>5</v>
      </c>
      <c r="Q204" t="s">
        <v>190</v>
      </c>
      <c r="R204" t="s">
        <v>189</v>
      </c>
      <c r="S204">
        <v>30967</v>
      </c>
      <c r="T204">
        <v>8</v>
      </c>
      <c r="U204">
        <f t="shared" si="9"/>
        <v>11</v>
      </c>
      <c r="V204">
        <f t="shared" si="10"/>
        <v>2023</v>
      </c>
      <c r="W204" t="str">
        <f t="shared" si="11"/>
        <v>2023-11</v>
      </c>
    </row>
    <row r="205" spans="16:23" x14ac:dyDescent="0.25">
      <c r="P205" t="s">
        <v>27</v>
      </c>
      <c r="Q205" t="s">
        <v>49</v>
      </c>
      <c r="R205" t="s">
        <v>189</v>
      </c>
      <c r="S205">
        <v>82432</v>
      </c>
      <c r="T205">
        <v>5</v>
      </c>
      <c r="U205">
        <f t="shared" si="9"/>
        <v>11</v>
      </c>
      <c r="V205">
        <f t="shared" si="10"/>
        <v>2023</v>
      </c>
      <c r="W205" t="str">
        <f t="shared" si="11"/>
        <v>2023-11</v>
      </c>
    </row>
    <row r="206" spans="16:23" x14ac:dyDescent="0.25">
      <c r="P206" t="s">
        <v>30</v>
      </c>
      <c r="Q206" t="s">
        <v>96</v>
      </c>
      <c r="R206" t="s">
        <v>189</v>
      </c>
      <c r="S206">
        <v>12352</v>
      </c>
      <c r="T206">
        <v>7</v>
      </c>
      <c r="U206">
        <f t="shared" si="9"/>
        <v>11</v>
      </c>
      <c r="V206">
        <f t="shared" si="10"/>
        <v>2023</v>
      </c>
      <c r="W206" t="str">
        <f t="shared" si="11"/>
        <v>2023-11</v>
      </c>
    </row>
    <row r="207" spans="16:23" x14ac:dyDescent="0.25">
      <c r="P207" t="s">
        <v>25</v>
      </c>
      <c r="Q207" t="s">
        <v>128</v>
      </c>
      <c r="R207" t="s">
        <v>191</v>
      </c>
      <c r="S207">
        <v>78781</v>
      </c>
      <c r="T207">
        <v>5</v>
      </c>
      <c r="U207">
        <f t="shared" si="9"/>
        <v>11</v>
      </c>
      <c r="V207">
        <f t="shared" si="10"/>
        <v>2023</v>
      </c>
      <c r="W207" t="str">
        <f t="shared" si="11"/>
        <v>2023-11</v>
      </c>
    </row>
    <row r="208" spans="16:23" x14ac:dyDescent="0.25">
      <c r="P208" t="s">
        <v>5</v>
      </c>
      <c r="Q208" t="s">
        <v>93</v>
      </c>
      <c r="R208" t="s">
        <v>191</v>
      </c>
      <c r="S208">
        <v>63400</v>
      </c>
      <c r="T208">
        <v>1</v>
      </c>
      <c r="U208">
        <f t="shared" si="9"/>
        <v>11</v>
      </c>
      <c r="V208">
        <f t="shared" si="10"/>
        <v>2023</v>
      </c>
      <c r="W208" t="str">
        <f t="shared" si="11"/>
        <v>2023-11</v>
      </c>
    </row>
    <row r="209" spans="16:23" x14ac:dyDescent="0.25">
      <c r="P209" t="s">
        <v>8</v>
      </c>
      <c r="Q209" t="s">
        <v>123</v>
      </c>
      <c r="R209" t="s">
        <v>192</v>
      </c>
      <c r="S209">
        <v>23673</v>
      </c>
      <c r="T209">
        <v>5</v>
      </c>
      <c r="U209">
        <f t="shared" si="9"/>
        <v>11</v>
      </c>
      <c r="V209">
        <f t="shared" si="10"/>
        <v>2023</v>
      </c>
      <c r="W209" t="str">
        <f t="shared" si="11"/>
        <v>2023-11</v>
      </c>
    </row>
    <row r="210" spans="16:23" x14ac:dyDescent="0.25">
      <c r="P210" t="s">
        <v>16</v>
      </c>
      <c r="Q210" t="s">
        <v>17</v>
      </c>
      <c r="R210" t="s">
        <v>192</v>
      </c>
      <c r="S210">
        <v>46519</v>
      </c>
      <c r="T210">
        <v>0</v>
      </c>
      <c r="U210">
        <f t="shared" si="9"/>
        <v>11</v>
      </c>
      <c r="V210">
        <f t="shared" si="10"/>
        <v>2023</v>
      </c>
      <c r="W210" t="str">
        <f t="shared" si="11"/>
        <v>2023-11</v>
      </c>
    </row>
    <row r="211" spans="16:23" x14ac:dyDescent="0.25">
      <c r="P211" t="s">
        <v>13</v>
      </c>
      <c r="Q211" t="s">
        <v>39</v>
      </c>
      <c r="R211" t="s">
        <v>193</v>
      </c>
      <c r="S211">
        <v>59560</v>
      </c>
      <c r="T211">
        <v>7</v>
      </c>
      <c r="U211">
        <f t="shared" si="9"/>
        <v>11</v>
      </c>
      <c r="V211">
        <f t="shared" si="10"/>
        <v>2023</v>
      </c>
      <c r="W211" t="str">
        <f t="shared" si="11"/>
        <v>2023-11</v>
      </c>
    </row>
    <row r="212" spans="16:23" x14ac:dyDescent="0.25">
      <c r="P212" t="s">
        <v>5</v>
      </c>
      <c r="Q212" t="s">
        <v>194</v>
      </c>
      <c r="R212" t="s">
        <v>193</v>
      </c>
      <c r="S212">
        <v>34120</v>
      </c>
      <c r="T212">
        <v>7</v>
      </c>
      <c r="U212">
        <f t="shared" si="9"/>
        <v>11</v>
      </c>
      <c r="V212">
        <f t="shared" si="10"/>
        <v>2023</v>
      </c>
      <c r="W212" t="str">
        <f t="shared" si="11"/>
        <v>2023-11</v>
      </c>
    </row>
    <row r="213" spans="16:23" x14ac:dyDescent="0.25">
      <c r="P213" t="s">
        <v>45</v>
      </c>
      <c r="Q213" t="s">
        <v>195</v>
      </c>
      <c r="R213" t="s">
        <v>193</v>
      </c>
      <c r="S213">
        <v>67299</v>
      </c>
      <c r="T213">
        <v>7</v>
      </c>
      <c r="U213">
        <f t="shared" si="9"/>
        <v>11</v>
      </c>
      <c r="V213">
        <f t="shared" si="10"/>
        <v>2023</v>
      </c>
      <c r="W213" t="str">
        <f t="shared" si="11"/>
        <v>2023-11</v>
      </c>
    </row>
    <row r="214" spans="16:23" x14ac:dyDescent="0.25">
      <c r="P214" t="s">
        <v>5</v>
      </c>
      <c r="Q214" t="s">
        <v>196</v>
      </c>
      <c r="R214" t="s">
        <v>197</v>
      </c>
      <c r="S214">
        <v>32589</v>
      </c>
      <c r="T214">
        <v>6</v>
      </c>
      <c r="U214">
        <f t="shared" si="9"/>
        <v>11</v>
      </c>
      <c r="V214">
        <f t="shared" si="10"/>
        <v>2023</v>
      </c>
      <c r="W214" t="str">
        <f t="shared" si="11"/>
        <v>2023-11</v>
      </c>
    </row>
    <row r="215" spans="16:23" x14ac:dyDescent="0.25">
      <c r="P215" t="s">
        <v>16</v>
      </c>
      <c r="Q215" t="s">
        <v>124</v>
      </c>
      <c r="R215" t="s">
        <v>197</v>
      </c>
      <c r="S215">
        <v>50780</v>
      </c>
      <c r="T215">
        <v>2</v>
      </c>
      <c r="U215">
        <f t="shared" si="9"/>
        <v>11</v>
      </c>
      <c r="V215">
        <f t="shared" si="10"/>
        <v>2023</v>
      </c>
      <c r="W215" t="str">
        <f t="shared" si="11"/>
        <v>2023-11</v>
      </c>
    </row>
    <row r="216" spans="16:23" x14ac:dyDescent="0.25">
      <c r="P216" t="s">
        <v>25</v>
      </c>
      <c r="Q216" t="s">
        <v>90</v>
      </c>
      <c r="R216" t="s">
        <v>197</v>
      </c>
      <c r="S216">
        <v>46426</v>
      </c>
      <c r="T216">
        <v>8</v>
      </c>
      <c r="U216">
        <f t="shared" si="9"/>
        <v>11</v>
      </c>
      <c r="V216">
        <f t="shared" si="10"/>
        <v>2023</v>
      </c>
      <c r="W216" t="str">
        <f t="shared" si="11"/>
        <v>2023-11</v>
      </c>
    </row>
    <row r="217" spans="16:23" x14ac:dyDescent="0.25">
      <c r="P217" t="s">
        <v>13</v>
      </c>
      <c r="Q217" t="s">
        <v>198</v>
      </c>
      <c r="R217" t="s">
        <v>199</v>
      </c>
      <c r="S217">
        <v>39448</v>
      </c>
      <c r="T217">
        <v>7</v>
      </c>
      <c r="U217">
        <f t="shared" si="9"/>
        <v>11</v>
      </c>
      <c r="V217">
        <f t="shared" si="10"/>
        <v>2023</v>
      </c>
      <c r="W217" t="str">
        <f t="shared" si="11"/>
        <v>2023-11</v>
      </c>
    </row>
    <row r="218" spans="16:23" x14ac:dyDescent="0.25">
      <c r="P218" t="s">
        <v>5</v>
      </c>
      <c r="Q218" t="s">
        <v>200</v>
      </c>
      <c r="R218" t="s">
        <v>199</v>
      </c>
      <c r="S218">
        <v>93791</v>
      </c>
      <c r="T218">
        <v>4</v>
      </c>
      <c r="U218">
        <f t="shared" si="9"/>
        <v>11</v>
      </c>
      <c r="V218">
        <f t="shared" si="10"/>
        <v>2023</v>
      </c>
      <c r="W218" t="str">
        <f t="shared" si="11"/>
        <v>2023-11</v>
      </c>
    </row>
    <row r="219" spans="16:23" x14ac:dyDescent="0.25">
      <c r="P219" t="s">
        <v>5</v>
      </c>
      <c r="Q219" t="s">
        <v>201</v>
      </c>
      <c r="R219" t="s">
        <v>199</v>
      </c>
      <c r="S219">
        <v>15164</v>
      </c>
      <c r="T219">
        <v>7</v>
      </c>
      <c r="U219">
        <f t="shared" si="9"/>
        <v>11</v>
      </c>
      <c r="V219">
        <f t="shared" si="10"/>
        <v>2023</v>
      </c>
      <c r="W219" t="str">
        <f t="shared" si="11"/>
        <v>2023-11</v>
      </c>
    </row>
    <row r="220" spans="16:23" x14ac:dyDescent="0.25">
      <c r="P220" t="s">
        <v>38</v>
      </c>
      <c r="Q220" t="s">
        <v>128</v>
      </c>
      <c r="R220" t="s">
        <v>199</v>
      </c>
      <c r="S220">
        <v>84651</v>
      </c>
      <c r="T220">
        <v>3</v>
      </c>
      <c r="U220">
        <f t="shared" si="9"/>
        <v>11</v>
      </c>
      <c r="V220">
        <f t="shared" si="10"/>
        <v>2023</v>
      </c>
      <c r="W220" t="str">
        <f t="shared" si="11"/>
        <v>2023-11</v>
      </c>
    </row>
    <row r="221" spans="16:23" x14ac:dyDescent="0.25">
      <c r="P221" t="s">
        <v>18</v>
      </c>
      <c r="Q221" t="s">
        <v>130</v>
      </c>
      <c r="R221" t="s">
        <v>199</v>
      </c>
      <c r="S221">
        <v>76729</v>
      </c>
      <c r="T221">
        <v>7</v>
      </c>
      <c r="U221">
        <f t="shared" si="9"/>
        <v>11</v>
      </c>
      <c r="V221">
        <f t="shared" si="10"/>
        <v>2023</v>
      </c>
      <c r="W221" t="str">
        <f t="shared" si="11"/>
        <v>2023-11</v>
      </c>
    </row>
    <row r="222" spans="16:23" x14ac:dyDescent="0.25">
      <c r="P222" t="s">
        <v>45</v>
      </c>
      <c r="Q222" t="s">
        <v>202</v>
      </c>
      <c r="R222" t="s">
        <v>199</v>
      </c>
      <c r="S222">
        <v>47274</v>
      </c>
      <c r="T222">
        <v>1</v>
      </c>
      <c r="U222">
        <f t="shared" si="9"/>
        <v>11</v>
      </c>
      <c r="V222">
        <f t="shared" si="10"/>
        <v>2023</v>
      </c>
      <c r="W222" t="str">
        <f t="shared" si="11"/>
        <v>2023-11</v>
      </c>
    </row>
    <row r="223" spans="16:23" x14ac:dyDescent="0.25">
      <c r="P223" t="s">
        <v>38</v>
      </c>
      <c r="Q223" t="s">
        <v>14</v>
      </c>
      <c r="R223" t="s">
        <v>199</v>
      </c>
      <c r="S223">
        <v>66606</v>
      </c>
      <c r="T223">
        <v>7</v>
      </c>
      <c r="U223">
        <f t="shared" si="9"/>
        <v>11</v>
      </c>
      <c r="V223">
        <f t="shared" si="10"/>
        <v>2023</v>
      </c>
      <c r="W223" t="str">
        <f t="shared" si="11"/>
        <v>2023-11</v>
      </c>
    </row>
    <row r="224" spans="16:23" x14ac:dyDescent="0.25">
      <c r="P224" t="s">
        <v>47</v>
      </c>
      <c r="Q224" t="s">
        <v>67</v>
      </c>
      <c r="R224" t="s">
        <v>199</v>
      </c>
      <c r="S224">
        <v>87171</v>
      </c>
      <c r="T224">
        <v>3</v>
      </c>
      <c r="U224">
        <f t="shared" si="9"/>
        <v>11</v>
      </c>
      <c r="V224">
        <f t="shared" si="10"/>
        <v>2023</v>
      </c>
      <c r="W224" t="str">
        <f t="shared" si="11"/>
        <v>2023-11</v>
      </c>
    </row>
    <row r="225" spans="16:23" x14ac:dyDescent="0.25">
      <c r="P225" t="s">
        <v>18</v>
      </c>
      <c r="Q225" t="s">
        <v>103</v>
      </c>
      <c r="R225" t="s">
        <v>203</v>
      </c>
      <c r="S225">
        <v>33857</v>
      </c>
      <c r="T225">
        <v>1</v>
      </c>
      <c r="U225">
        <f t="shared" si="9"/>
        <v>11</v>
      </c>
      <c r="V225">
        <f t="shared" si="10"/>
        <v>2023</v>
      </c>
      <c r="W225" t="str">
        <f t="shared" si="11"/>
        <v>2023-11</v>
      </c>
    </row>
    <row r="226" spans="16:23" x14ac:dyDescent="0.25">
      <c r="P226" t="s">
        <v>25</v>
      </c>
      <c r="Q226" t="s">
        <v>65</v>
      </c>
      <c r="R226" t="s">
        <v>203</v>
      </c>
      <c r="S226">
        <v>82836</v>
      </c>
      <c r="T226">
        <v>8</v>
      </c>
      <c r="U226">
        <f t="shared" si="9"/>
        <v>11</v>
      </c>
      <c r="V226">
        <f t="shared" si="10"/>
        <v>2023</v>
      </c>
      <c r="W226" t="str">
        <f t="shared" si="11"/>
        <v>2023-11</v>
      </c>
    </row>
    <row r="227" spans="16:23" x14ac:dyDescent="0.25">
      <c r="P227" t="s">
        <v>27</v>
      </c>
      <c r="Q227" t="s">
        <v>33</v>
      </c>
      <c r="R227" t="s">
        <v>203</v>
      </c>
      <c r="S227">
        <v>38423</v>
      </c>
      <c r="T227">
        <v>6</v>
      </c>
      <c r="U227">
        <f t="shared" si="9"/>
        <v>11</v>
      </c>
      <c r="V227">
        <f t="shared" si="10"/>
        <v>2023</v>
      </c>
      <c r="W227" t="str">
        <f t="shared" si="11"/>
        <v>2023-11</v>
      </c>
    </row>
    <row r="228" spans="16:23" x14ac:dyDescent="0.25">
      <c r="P228" t="s">
        <v>25</v>
      </c>
      <c r="Q228" t="s">
        <v>66</v>
      </c>
      <c r="R228" t="s">
        <v>203</v>
      </c>
      <c r="S228">
        <v>38711</v>
      </c>
      <c r="T228">
        <v>7</v>
      </c>
      <c r="U228">
        <f t="shared" si="9"/>
        <v>11</v>
      </c>
      <c r="V228">
        <f t="shared" si="10"/>
        <v>2023</v>
      </c>
      <c r="W228" t="str">
        <f t="shared" si="11"/>
        <v>2023-11</v>
      </c>
    </row>
    <row r="229" spans="16:23" x14ac:dyDescent="0.25">
      <c r="P229" t="s">
        <v>5</v>
      </c>
      <c r="Q229" t="s">
        <v>141</v>
      </c>
      <c r="R229" t="s">
        <v>204</v>
      </c>
      <c r="S229">
        <v>79661</v>
      </c>
      <c r="T229">
        <v>7</v>
      </c>
      <c r="U229">
        <f t="shared" si="9"/>
        <v>11</v>
      </c>
      <c r="V229">
        <f t="shared" si="10"/>
        <v>2023</v>
      </c>
      <c r="W229" t="str">
        <f t="shared" si="11"/>
        <v>2023-11</v>
      </c>
    </row>
    <row r="230" spans="16:23" x14ac:dyDescent="0.25">
      <c r="P230" t="s">
        <v>27</v>
      </c>
      <c r="Q230" t="s">
        <v>205</v>
      </c>
      <c r="R230" t="s">
        <v>204</v>
      </c>
      <c r="S230">
        <v>31304</v>
      </c>
      <c r="T230">
        <v>4</v>
      </c>
      <c r="U230">
        <f t="shared" si="9"/>
        <v>11</v>
      </c>
      <c r="V230">
        <f t="shared" si="10"/>
        <v>2023</v>
      </c>
      <c r="W230" t="str">
        <f t="shared" si="11"/>
        <v>2023-11</v>
      </c>
    </row>
    <row r="231" spans="16:23" x14ac:dyDescent="0.25">
      <c r="P231" t="s">
        <v>25</v>
      </c>
      <c r="Q231" t="s">
        <v>206</v>
      </c>
      <c r="R231" t="s">
        <v>204</v>
      </c>
      <c r="S231">
        <v>41213</v>
      </c>
      <c r="T231">
        <v>4</v>
      </c>
      <c r="U231">
        <f t="shared" si="9"/>
        <v>11</v>
      </c>
      <c r="V231">
        <f t="shared" si="10"/>
        <v>2023</v>
      </c>
      <c r="W231" t="str">
        <f t="shared" si="11"/>
        <v>2023-11</v>
      </c>
    </row>
    <row r="232" spans="16:23" x14ac:dyDescent="0.25">
      <c r="P232" t="s">
        <v>8</v>
      </c>
      <c r="Q232" t="s">
        <v>122</v>
      </c>
      <c r="R232" t="s">
        <v>204</v>
      </c>
      <c r="S232">
        <v>53543</v>
      </c>
      <c r="T232">
        <v>3</v>
      </c>
      <c r="U232">
        <f t="shared" si="9"/>
        <v>11</v>
      </c>
      <c r="V232">
        <f t="shared" si="10"/>
        <v>2023</v>
      </c>
      <c r="W232" t="str">
        <f t="shared" si="11"/>
        <v>2023-11</v>
      </c>
    </row>
    <row r="233" spans="16:23" x14ac:dyDescent="0.25">
      <c r="P233" t="s">
        <v>27</v>
      </c>
      <c r="Q233" t="s">
        <v>28</v>
      </c>
      <c r="R233" t="s">
        <v>207</v>
      </c>
      <c r="S233">
        <v>43479</v>
      </c>
      <c r="T233">
        <v>9</v>
      </c>
      <c r="U233">
        <f t="shared" si="9"/>
        <v>11</v>
      </c>
      <c r="V233">
        <f t="shared" si="10"/>
        <v>2023</v>
      </c>
      <c r="W233" t="str">
        <f t="shared" si="11"/>
        <v>2023-11</v>
      </c>
    </row>
    <row r="234" spans="16:23" x14ac:dyDescent="0.25">
      <c r="P234" t="s">
        <v>38</v>
      </c>
      <c r="Q234" t="s">
        <v>110</v>
      </c>
      <c r="R234" t="s">
        <v>207</v>
      </c>
      <c r="S234">
        <v>27815</v>
      </c>
      <c r="T234">
        <v>4</v>
      </c>
      <c r="U234">
        <f t="shared" si="9"/>
        <v>11</v>
      </c>
      <c r="V234">
        <f t="shared" si="10"/>
        <v>2023</v>
      </c>
      <c r="W234" t="str">
        <f t="shared" si="11"/>
        <v>2023-11</v>
      </c>
    </row>
    <row r="235" spans="16:23" x14ac:dyDescent="0.25">
      <c r="P235" t="s">
        <v>8</v>
      </c>
      <c r="Q235" t="s">
        <v>35</v>
      </c>
      <c r="R235" t="s">
        <v>207</v>
      </c>
      <c r="S235">
        <v>18655</v>
      </c>
      <c r="T235">
        <v>5</v>
      </c>
      <c r="U235">
        <f t="shared" si="9"/>
        <v>11</v>
      </c>
      <c r="V235">
        <f t="shared" si="10"/>
        <v>2023</v>
      </c>
      <c r="W235" t="str">
        <f t="shared" si="11"/>
        <v>2023-11</v>
      </c>
    </row>
    <row r="236" spans="16:23" x14ac:dyDescent="0.25">
      <c r="P236" t="s">
        <v>47</v>
      </c>
      <c r="Q236" t="s">
        <v>124</v>
      </c>
      <c r="R236" t="s">
        <v>208</v>
      </c>
      <c r="S236">
        <v>58212</v>
      </c>
      <c r="T236">
        <v>7</v>
      </c>
      <c r="U236">
        <f t="shared" si="9"/>
        <v>11</v>
      </c>
      <c r="V236">
        <f t="shared" si="10"/>
        <v>2023</v>
      </c>
      <c r="W236" t="str">
        <f t="shared" si="11"/>
        <v>2023-11</v>
      </c>
    </row>
    <row r="237" spans="16:23" x14ac:dyDescent="0.25">
      <c r="P237" t="s">
        <v>8</v>
      </c>
      <c r="Q237" t="s">
        <v>209</v>
      </c>
      <c r="R237" t="s">
        <v>208</v>
      </c>
      <c r="S237">
        <v>32980</v>
      </c>
      <c r="T237">
        <v>8</v>
      </c>
      <c r="U237">
        <f t="shared" si="9"/>
        <v>11</v>
      </c>
      <c r="V237">
        <f t="shared" si="10"/>
        <v>2023</v>
      </c>
      <c r="W237" t="str">
        <f t="shared" si="11"/>
        <v>2023-11</v>
      </c>
    </row>
    <row r="238" spans="16:23" x14ac:dyDescent="0.25">
      <c r="P238" t="s">
        <v>45</v>
      </c>
      <c r="Q238" t="s">
        <v>107</v>
      </c>
      <c r="R238" t="s">
        <v>210</v>
      </c>
      <c r="S238">
        <v>76344</v>
      </c>
      <c r="T238">
        <v>2</v>
      </c>
      <c r="U238">
        <f t="shared" si="9"/>
        <v>11</v>
      </c>
      <c r="V238">
        <f t="shared" si="10"/>
        <v>2023</v>
      </c>
      <c r="W238" t="str">
        <f t="shared" si="11"/>
        <v>2023-11</v>
      </c>
    </row>
    <row r="239" spans="16:23" x14ac:dyDescent="0.25">
      <c r="P239" t="s">
        <v>25</v>
      </c>
      <c r="Q239" t="s">
        <v>182</v>
      </c>
      <c r="R239" t="s">
        <v>210</v>
      </c>
      <c r="S239">
        <v>17775</v>
      </c>
      <c r="T239">
        <v>7</v>
      </c>
      <c r="U239">
        <f t="shared" si="9"/>
        <v>11</v>
      </c>
      <c r="V239">
        <f t="shared" si="10"/>
        <v>2023</v>
      </c>
      <c r="W239" t="str">
        <f t="shared" si="11"/>
        <v>2023-11</v>
      </c>
    </row>
    <row r="240" spans="16:23" x14ac:dyDescent="0.25">
      <c r="P240" t="s">
        <v>16</v>
      </c>
      <c r="Q240" t="s">
        <v>211</v>
      </c>
      <c r="R240" t="s">
        <v>210</v>
      </c>
      <c r="S240">
        <v>25041</v>
      </c>
      <c r="T240">
        <v>7</v>
      </c>
      <c r="U240">
        <f t="shared" si="9"/>
        <v>11</v>
      </c>
      <c r="V240">
        <f t="shared" si="10"/>
        <v>2023</v>
      </c>
      <c r="W240" t="str">
        <f t="shared" si="11"/>
        <v>2023-11</v>
      </c>
    </row>
    <row r="241" spans="16:23" x14ac:dyDescent="0.25">
      <c r="P241" t="s">
        <v>27</v>
      </c>
      <c r="Q241" t="s">
        <v>43</v>
      </c>
      <c r="R241" t="s">
        <v>210</v>
      </c>
      <c r="S241">
        <v>79954</v>
      </c>
      <c r="T241">
        <v>3</v>
      </c>
      <c r="U241">
        <f t="shared" si="9"/>
        <v>11</v>
      </c>
      <c r="V241">
        <f t="shared" si="10"/>
        <v>2023</v>
      </c>
      <c r="W241" t="str">
        <f t="shared" si="11"/>
        <v>2023-11</v>
      </c>
    </row>
    <row r="242" spans="16:23" x14ac:dyDescent="0.25">
      <c r="P242" t="s">
        <v>25</v>
      </c>
      <c r="Q242" t="s">
        <v>82</v>
      </c>
      <c r="R242" t="s">
        <v>210</v>
      </c>
      <c r="S242">
        <v>53102</v>
      </c>
      <c r="T242">
        <v>8</v>
      </c>
      <c r="U242">
        <f t="shared" si="9"/>
        <v>11</v>
      </c>
      <c r="V242">
        <f t="shared" si="10"/>
        <v>2023</v>
      </c>
      <c r="W242" t="str">
        <f t="shared" si="11"/>
        <v>2023-11</v>
      </c>
    </row>
    <row r="243" spans="16:23" x14ac:dyDescent="0.25">
      <c r="P243" t="s">
        <v>25</v>
      </c>
      <c r="Q243" t="s">
        <v>105</v>
      </c>
      <c r="R243" t="s">
        <v>210</v>
      </c>
      <c r="S243">
        <v>89020</v>
      </c>
      <c r="T243">
        <v>10</v>
      </c>
      <c r="U243">
        <f t="shared" si="9"/>
        <v>11</v>
      </c>
      <c r="V243">
        <f t="shared" si="10"/>
        <v>2023</v>
      </c>
      <c r="W243" t="str">
        <f t="shared" si="11"/>
        <v>2023-11</v>
      </c>
    </row>
    <row r="244" spans="16:23" x14ac:dyDescent="0.25">
      <c r="P244" t="s">
        <v>16</v>
      </c>
      <c r="Q244" t="s">
        <v>212</v>
      </c>
      <c r="R244" t="s">
        <v>210</v>
      </c>
      <c r="S244">
        <v>85290</v>
      </c>
      <c r="T244">
        <v>9</v>
      </c>
      <c r="U244">
        <f t="shared" si="9"/>
        <v>11</v>
      </c>
      <c r="V244">
        <f t="shared" si="10"/>
        <v>2023</v>
      </c>
      <c r="W244" t="str">
        <f t="shared" si="11"/>
        <v>2023-11</v>
      </c>
    </row>
    <row r="245" spans="16:23" x14ac:dyDescent="0.25">
      <c r="P245" t="s">
        <v>25</v>
      </c>
      <c r="Q245" t="s">
        <v>55</v>
      </c>
      <c r="R245" t="s">
        <v>210</v>
      </c>
      <c r="S245">
        <v>44757</v>
      </c>
      <c r="T245">
        <v>0</v>
      </c>
      <c r="U245">
        <f t="shared" si="9"/>
        <v>11</v>
      </c>
      <c r="V245">
        <f t="shared" si="10"/>
        <v>2023</v>
      </c>
      <c r="W245" t="str">
        <f t="shared" si="11"/>
        <v>2023-11</v>
      </c>
    </row>
    <row r="246" spans="16:23" x14ac:dyDescent="0.25">
      <c r="P246" t="s">
        <v>10</v>
      </c>
      <c r="Q246" t="s">
        <v>35</v>
      </c>
      <c r="R246" t="s">
        <v>210</v>
      </c>
      <c r="S246">
        <v>96835</v>
      </c>
      <c r="T246">
        <v>6</v>
      </c>
      <c r="U246">
        <f t="shared" si="9"/>
        <v>11</v>
      </c>
      <c r="V246">
        <f t="shared" si="10"/>
        <v>2023</v>
      </c>
      <c r="W246" t="str">
        <f t="shared" si="11"/>
        <v>2023-11</v>
      </c>
    </row>
    <row r="247" spans="16:23" x14ac:dyDescent="0.25">
      <c r="P247" t="s">
        <v>8</v>
      </c>
      <c r="Q247" t="s">
        <v>17</v>
      </c>
      <c r="R247" t="s">
        <v>213</v>
      </c>
      <c r="S247">
        <v>97747</v>
      </c>
      <c r="T247">
        <v>7</v>
      </c>
      <c r="U247">
        <f t="shared" si="9"/>
        <v>11</v>
      </c>
      <c r="V247">
        <f t="shared" si="10"/>
        <v>2023</v>
      </c>
      <c r="W247" t="str">
        <f t="shared" si="11"/>
        <v>2023-11</v>
      </c>
    </row>
    <row r="248" spans="16:23" x14ac:dyDescent="0.25">
      <c r="P248" t="s">
        <v>30</v>
      </c>
      <c r="Q248" t="s">
        <v>214</v>
      </c>
      <c r="R248" t="s">
        <v>213</v>
      </c>
      <c r="S248">
        <v>14266</v>
      </c>
      <c r="T248">
        <v>5</v>
      </c>
      <c r="U248">
        <f t="shared" si="9"/>
        <v>11</v>
      </c>
      <c r="V248">
        <f t="shared" si="10"/>
        <v>2023</v>
      </c>
      <c r="W248" t="str">
        <f t="shared" si="11"/>
        <v>2023-11</v>
      </c>
    </row>
    <row r="249" spans="16:23" x14ac:dyDescent="0.25">
      <c r="P249" t="s">
        <v>38</v>
      </c>
      <c r="Q249" t="s">
        <v>215</v>
      </c>
      <c r="R249" t="s">
        <v>213</v>
      </c>
      <c r="S249">
        <v>30811</v>
      </c>
      <c r="T249">
        <v>7</v>
      </c>
      <c r="U249">
        <f t="shared" si="9"/>
        <v>11</v>
      </c>
      <c r="V249">
        <f t="shared" si="10"/>
        <v>2023</v>
      </c>
      <c r="W249" t="str">
        <f t="shared" si="11"/>
        <v>2023-11</v>
      </c>
    </row>
    <row r="250" spans="16:23" x14ac:dyDescent="0.25">
      <c r="P250" t="s">
        <v>27</v>
      </c>
      <c r="Q250" t="s">
        <v>129</v>
      </c>
      <c r="R250" t="s">
        <v>216</v>
      </c>
      <c r="S250">
        <v>80839</v>
      </c>
      <c r="T250">
        <v>5</v>
      </c>
      <c r="U250">
        <f t="shared" si="9"/>
        <v>12</v>
      </c>
      <c r="V250">
        <f t="shared" si="10"/>
        <v>2023</v>
      </c>
      <c r="W250" t="str">
        <f t="shared" si="11"/>
        <v>2023-12</v>
      </c>
    </row>
    <row r="251" spans="16:23" x14ac:dyDescent="0.25">
      <c r="P251" t="s">
        <v>38</v>
      </c>
      <c r="Q251" t="s">
        <v>217</v>
      </c>
      <c r="R251" t="s">
        <v>218</v>
      </c>
      <c r="S251">
        <v>14275</v>
      </c>
      <c r="T251">
        <v>6</v>
      </c>
      <c r="U251">
        <f t="shared" si="9"/>
        <v>12</v>
      </c>
      <c r="V251">
        <f t="shared" si="10"/>
        <v>2023</v>
      </c>
      <c r="W251" t="str">
        <f t="shared" si="11"/>
        <v>2023-12</v>
      </c>
    </row>
    <row r="252" spans="16:23" x14ac:dyDescent="0.25">
      <c r="P252" t="s">
        <v>8</v>
      </c>
      <c r="Q252" t="s">
        <v>200</v>
      </c>
      <c r="R252" t="s">
        <v>218</v>
      </c>
      <c r="S252">
        <v>97245</v>
      </c>
      <c r="T252">
        <v>6</v>
      </c>
      <c r="U252">
        <f t="shared" si="9"/>
        <v>12</v>
      </c>
      <c r="V252">
        <f t="shared" si="10"/>
        <v>2023</v>
      </c>
      <c r="W252" t="str">
        <f t="shared" si="11"/>
        <v>2023-12</v>
      </c>
    </row>
    <row r="253" spans="16:23" x14ac:dyDescent="0.25">
      <c r="P253" t="s">
        <v>16</v>
      </c>
      <c r="Q253" t="s">
        <v>136</v>
      </c>
      <c r="R253" t="s">
        <v>218</v>
      </c>
      <c r="S253">
        <v>89825</v>
      </c>
      <c r="T253">
        <v>5</v>
      </c>
      <c r="U253">
        <f t="shared" si="9"/>
        <v>12</v>
      </c>
      <c r="V253">
        <f t="shared" si="10"/>
        <v>2023</v>
      </c>
      <c r="W253" t="str">
        <f t="shared" si="11"/>
        <v>2023-12</v>
      </c>
    </row>
    <row r="254" spans="16:23" x14ac:dyDescent="0.25">
      <c r="P254" t="s">
        <v>18</v>
      </c>
      <c r="Q254" t="s">
        <v>75</v>
      </c>
      <c r="R254" t="s">
        <v>218</v>
      </c>
      <c r="S254">
        <v>50851</v>
      </c>
      <c r="T254">
        <v>9</v>
      </c>
      <c r="U254">
        <f t="shared" si="9"/>
        <v>12</v>
      </c>
      <c r="V254">
        <f t="shared" si="10"/>
        <v>2023</v>
      </c>
      <c r="W254" t="str">
        <f t="shared" si="11"/>
        <v>2023-12</v>
      </c>
    </row>
    <row r="255" spans="16:23" x14ac:dyDescent="0.25">
      <c r="P255" t="s">
        <v>25</v>
      </c>
      <c r="Q255" t="s">
        <v>149</v>
      </c>
      <c r="R255" t="s">
        <v>218</v>
      </c>
      <c r="S255">
        <v>27704</v>
      </c>
      <c r="T255">
        <v>6</v>
      </c>
      <c r="U255">
        <f t="shared" si="9"/>
        <v>12</v>
      </c>
      <c r="V255">
        <f t="shared" si="10"/>
        <v>2023</v>
      </c>
      <c r="W255" t="str">
        <f t="shared" si="11"/>
        <v>2023-12</v>
      </c>
    </row>
    <row r="256" spans="16:23" x14ac:dyDescent="0.25">
      <c r="P256" t="s">
        <v>8</v>
      </c>
      <c r="Q256" t="s">
        <v>170</v>
      </c>
      <c r="R256" t="s">
        <v>218</v>
      </c>
      <c r="S256">
        <v>11019</v>
      </c>
      <c r="T256">
        <v>7</v>
      </c>
      <c r="U256">
        <f t="shared" si="9"/>
        <v>12</v>
      </c>
      <c r="V256">
        <f t="shared" si="10"/>
        <v>2023</v>
      </c>
      <c r="W256" t="str">
        <f t="shared" si="11"/>
        <v>2023-12</v>
      </c>
    </row>
    <row r="257" spans="16:23" x14ac:dyDescent="0.25">
      <c r="P257" t="s">
        <v>16</v>
      </c>
      <c r="Q257" t="s">
        <v>9</v>
      </c>
      <c r="R257" t="s">
        <v>218</v>
      </c>
      <c r="S257">
        <v>45509</v>
      </c>
      <c r="T257">
        <v>7</v>
      </c>
      <c r="U257">
        <f t="shared" si="9"/>
        <v>12</v>
      </c>
      <c r="V257">
        <f t="shared" si="10"/>
        <v>2023</v>
      </c>
      <c r="W257" t="str">
        <f t="shared" si="11"/>
        <v>2023-12</v>
      </c>
    </row>
    <row r="258" spans="16:23" x14ac:dyDescent="0.25">
      <c r="P258" t="s">
        <v>18</v>
      </c>
      <c r="Q258" t="s">
        <v>219</v>
      </c>
      <c r="R258" t="s">
        <v>220</v>
      </c>
      <c r="S258">
        <v>12192</v>
      </c>
      <c r="T258">
        <v>2</v>
      </c>
      <c r="U258">
        <f t="shared" si="9"/>
        <v>12</v>
      </c>
      <c r="V258">
        <f t="shared" si="10"/>
        <v>2023</v>
      </c>
      <c r="W258" t="str">
        <f t="shared" si="11"/>
        <v>2023-12</v>
      </c>
    </row>
    <row r="259" spans="16:23" x14ac:dyDescent="0.25">
      <c r="P259" t="s">
        <v>27</v>
      </c>
      <c r="Q259" t="s">
        <v>110</v>
      </c>
      <c r="R259" t="s">
        <v>220</v>
      </c>
      <c r="S259">
        <v>49743</v>
      </c>
      <c r="T259">
        <v>4</v>
      </c>
      <c r="U259">
        <f t="shared" ref="U259:U322" si="12">MONTH(R259)</f>
        <v>12</v>
      </c>
      <c r="V259">
        <f t="shared" ref="V259:V322" si="13">YEAR(R259)</f>
        <v>2023</v>
      </c>
      <c r="W259" t="str">
        <f t="shared" ref="W259:W322" si="14">V259&amp;"-"&amp;U259</f>
        <v>2023-12</v>
      </c>
    </row>
    <row r="260" spans="16:23" x14ac:dyDescent="0.25">
      <c r="P260" t="s">
        <v>47</v>
      </c>
      <c r="Q260" t="s">
        <v>221</v>
      </c>
      <c r="R260" t="s">
        <v>222</v>
      </c>
      <c r="S260">
        <v>26654</v>
      </c>
      <c r="T260">
        <v>2</v>
      </c>
      <c r="U260">
        <f t="shared" si="12"/>
        <v>12</v>
      </c>
      <c r="V260">
        <f t="shared" si="13"/>
        <v>2023</v>
      </c>
      <c r="W260" t="str">
        <f t="shared" si="14"/>
        <v>2023-12</v>
      </c>
    </row>
    <row r="261" spans="16:23" x14ac:dyDescent="0.25">
      <c r="P261" t="s">
        <v>16</v>
      </c>
      <c r="Q261" t="s">
        <v>223</v>
      </c>
      <c r="R261" t="s">
        <v>222</v>
      </c>
      <c r="S261">
        <v>46257</v>
      </c>
      <c r="T261">
        <v>6</v>
      </c>
      <c r="U261">
        <f t="shared" si="12"/>
        <v>12</v>
      </c>
      <c r="V261">
        <f t="shared" si="13"/>
        <v>2023</v>
      </c>
      <c r="W261" t="str">
        <f t="shared" si="14"/>
        <v>2023-12</v>
      </c>
    </row>
    <row r="262" spans="16:23" x14ac:dyDescent="0.25">
      <c r="P262" t="s">
        <v>13</v>
      </c>
      <c r="Q262" t="s">
        <v>224</v>
      </c>
      <c r="R262" t="s">
        <v>222</v>
      </c>
      <c r="S262">
        <v>64807</v>
      </c>
      <c r="T262">
        <v>8</v>
      </c>
      <c r="U262">
        <f t="shared" si="12"/>
        <v>12</v>
      </c>
      <c r="V262">
        <f t="shared" si="13"/>
        <v>2023</v>
      </c>
      <c r="W262" t="str">
        <f t="shared" si="14"/>
        <v>2023-12</v>
      </c>
    </row>
    <row r="263" spans="16:23" x14ac:dyDescent="0.25">
      <c r="P263" t="s">
        <v>30</v>
      </c>
      <c r="Q263" t="s">
        <v>20</v>
      </c>
      <c r="R263" t="s">
        <v>222</v>
      </c>
      <c r="S263">
        <v>89185</v>
      </c>
      <c r="T263">
        <v>5</v>
      </c>
      <c r="U263">
        <f t="shared" si="12"/>
        <v>12</v>
      </c>
      <c r="V263">
        <f t="shared" si="13"/>
        <v>2023</v>
      </c>
      <c r="W263" t="str">
        <f t="shared" si="14"/>
        <v>2023-12</v>
      </c>
    </row>
    <row r="264" spans="16:23" x14ac:dyDescent="0.25">
      <c r="P264" t="s">
        <v>5</v>
      </c>
      <c r="Q264" t="s">
        <v>14</v>
      </c>
      <c r="R264" t="s">
        <v>225</v>
      </c>
      <c r="S264">
        <v>68267</v>
      </c>
      <c r="T264">
        <v>5</v>
      </c>
      <c r="U264">
        <f t="shared" si="12"/>
        <v>12</v>
      </c>
      <c r="V264">
        <f t="shared" si="13"/>
        <v>2023</v>
      </c>
      <c r="W264" t="str">
        <f t="shared" si="14"/>
        <v>2023-12</v>
      </c>
    </row>
    <row r="265" spans="16:23" x14ac:dyDescent="0.25">
      <c r="P265" t="s">
        <v>8</v>
      </c>
      <c r="Q265" t="s">
        <v>48</v>
      </c>
      <c r="R265" t="s">
        <v>225</v>
      </c>
      <c r="S265">
        <v>84032</v>
      </c>
      <c r="T265">
        <v>7</v>
      </c>
      <c r="U265">
        <f t="shared" si="12"/>
        <v>12</v>
      </c>
      <c r="V265">
        <f t="shared" si="13"/>
        <v>2023</v>
      </c>
      <c r="W265" t="str">
        <f t="shared" si="14"/>
        <v>2023-12</v>
      </c>
    </row>
    <row r="266" spans="16:23" x14ac:dyDescent="0.25">
      <c r="P266" t="s">
        <v>30</v>
      </c>
      <c r="Q266" t="s">
        <v>33</v>
      </c>
      <c r="R266" t="s">
        <v>225</v>
      </c>
      <c r="S266">
        <v>77540</v>
      </c>
      <c r="T266">
        <v>1</v>
      </c>
      <c r="U266">
        <f t="shared" si="12"/>
        <v>12</v>
      </c>
      <c r="V266">
        <f t="shared" si="13"/>
        <v>2023</v>
      </c>
      <c r="W266" t="str">
        <f t="shared" si="14"/>
        <v>2023-12</v>
      </c>
    </row>
    <row r="267" spans="16:23" x14ac:dyDescent="0.25">
      <c r="P267" t="s">
        <v>30</v>
      </c>
      <c r="Q267" t="s">
        <v>226</v>
      </c>
      <c r="R267" t="s">
        <v>225</v>
      </c>
      <c r="S267">
        <v>57201</v>
      </c>
      <c r="T267">
        <v>8</v>
      </c>
      <c r="U267">
        <f t="shared" si="12"/>
        <v>12</v>
      </c>
      <c r="V267">
        <f t="shared" si="13"/>
        <v>2023</v>
      </c>
      <c r="W267" t="str">
        <f t="shared" si="14"/>
        <v>2023-12</v>
      </c>
    </row>
    <row r="268" spans="16:23" x14ac:dyDescent="0.25">
      <c r="P268" t="s">
        <v>8</v>
      </c>
      <c r="Q268" t="s">
        <v>227</v>
      </c>
      <c r="R268" t="s">
        <v>228</v>
      </c>
      <c r="S268">
        <v>92651</v>
      </c>
      <c r="T268">
        <v>6</v>
      </c>
      <c r="U268">
        <f t="shared" si="12"/>
        <v>12</v>
      </c>
      <c r="V268">
        <f t="shared" si="13"/>
        <v>2023</v>
      </c>
      <c r="W268" t="str">
        <f t="shared" si="14"/>
        <v>2023-12</v>
      </c>
    </row>
    <row r="269" spans="16:23" x14ac:dyDescent="0.25">
      <c r="P269" t="s">
        <v>30</v>
      </c>
      <c r="Q269" t="s">
        <v>184</v>
      </c>
      <c r="R269" t="s">
        <v>228</v>
      </c>
      <c r="S269">
        <v>76774</v>
      </c>
      <c r="T269">
        <v>8</v>
      </c>
      <c r="U269">
        <f t="shared" si="12"/>
        <v>12</v>
      </c>
      <c r="V269">
        <f t="shared" si="13"/>
        <v>2023</v>
      </c>
      <c r="W269" t="str">
        <f t="shared" si="14"/>
        <v>2023-12</v>
      </c>
    </row>
    <row r="270" spans="16:23" x14ac:dyDescent="0.25">
      <c r="P270" t="s">
        <v>30</v>
      </c>
      <c r="Q270" t="s">
        <v>31</v>
      </c>
      <c r="R270" t="s">
        <v>228</v>
      </c>
      <c r="S270">
        <v>55109</v>
      </c>
      <c r="T270">
        <v>7</v>
      </c>
      <c r="U270">
        <f t="shared" si="12"/>
        <v>12</v>
      </c>
      <c r="V270">
        <f t="shared" si="13"/>
        <v>2023</v>
      </c>
      <c r="W270" t="str">
        <f t="shared" si="14"/>
        <v>2023-12</v>
      </c>
    </row>
    <row r="271" spans="16:23" x14ac:dyDescent="0.25">
      <c r="P271" t="s">
        <v>13</v>
      </c>
      <c r="Q271" t="s">
        <v>229</v>
      </c>
      <c r="R271" t="s">
        <v>228</v>
      </c>
      <c r="S271">
        <v>63398</v>
      </c>
      <c r="T271">
        <v>3</v>
      </c>
      <c r="U271">
        <f t="shared" si="12"/>
        <v>12</v>
      </c>
      <c r="V271">
        <f t="shared" si="13"/>
        <v>2023</v>
      </c>
      <c r="W271" t="str">
        <f t="shared" si="14"/>
        <v>2023-12</v>
      </c>
    </row>
    <row r="272" spans="16:23" x14ac:dyDescent="0.25">
      <c r="P272" t="s">
        <v>10</v>
      </c>
      <c r="Q272" t="s">
        <v>152</v>
      </c>
      <c r="R272" t="s">
        <v>228</v>
      </c>
      <c r="S272">
        <v>91099</v>
      </c>
      <c r="T272">
        <v>7</v>
      </c>
      <c r="U272">
        <f t="shared" si="12"/>
        <v>12</v>
      </c>
      <c r="V272">
        <f t="shared" si="13"/>
        <v>2023</v>
      </c>
      <c r="W272" t="str">
        <f t="shared" si="14"/>
        <v>2023-12</v>
      </c>
    </row>
    <row r="273" spans="16:23" x14ac:dyDescent="0.25">
      <c r="P273" t="s">
        <v>30</v>
      </c>
      <c r="Q273" t="s">
        <v>33</v>
      </c>
      <c r="R273" t="s">
        <v>228</v>
      </c>
      <c r="S273">
        <v>92124</v>
      </c>
      <c r="T273">
        <v>7</v>
      </c>
      <c r="U273">
        <f t="shared" si="12"/>
        <v>12</v>
      </c>
      <c r="V273">
        <f t="shared" si="13"/>
        <v>2023</v>
      </c>
      <c r="W273" t="str">
        <f t="shared" si="14"/>
        <v>2023-12</v>
      </c>
    </row>
    <row r="274" spans="16:23" x14ac:dyDescent="0.25">
      <c r="P274" t="s">
        <v>30</v>
      </c>
      <c r="Q274" t="s">
        <v>153</v>
      </c>
      <c r="R274" t="s">
        <v>230</v>
      </c>
      <c r="S274">
        <v>13092</v>
      </c>
      <c r="T274">
        <v>2</v>
      </c>
      <c r="U274">
        <f t="shared" si="12"/>
        <v>12</v>
      </c>
      <c r="V274">
        <f t="shared" si="13"/>
        <v>2023</v>
      </c>
      <c r="W274" t="str">
        <f t="shared" si="14"/>
        <v>2023-12</v>
      </c>
    </row>
    <row r="275" spans="16:23" x14ac:dyDescent="0.25">
      <c r="P275" t="s">
        <v>10</v>
      </c>
      <c r="Q275" t="s">
        <v>231</v>
      </c>
      <c r="R275" t="s">
        <v>230</v>
      </c>
      <c r="S275">
        <v>87469</v>
      </c>
      <c r="T275">
        <v>8</v>
      </c>
      <c r="U275">
        <f t="shared" si="12"/>
        <v>12</v>
      </c>
      <c r="V275">
        <f t="shared" si="13"/>
        <v>2023</v>
      </c>
      <c r="W275" t="str">
        <f t="shared" si="14"/>
        <v>2023-12</v>
      </c>
    </row>
    <row r="276" spans="16:23" x14ac:dyDescent="0.25">
      <c r="P276" t="s">
        <v>5</v>
      </c>
      <c r="Q276" t="s">
        <v>125</v>
      </c>
      <c r="R276" t="s">
        <v>230</v>
      </c>
      <c r="S276">
        <v>28052</v>
      </c>
      <c r="T276">
        <v>7</v>
      </c>
      <c r="U276">
        <f t="shared" si="12"/>
        <v>12</v>
      </c>
      <c r="V276">
        <f t="shared" si="13"/>
        <v>2023</v>
      </c>
      <c r="W276" t="str">
        <f t="shared" si="14"/>
        <v>2023-12</v>
      </c>
    </row>
    <row r="277" spans="16:23" x14ac:dyDescent="0.25">
      <c r="P277" t="s">
        <v>5</v>
      </c>
      <c r="Q277" t="s">
        <v>68</v>
      </c>
      <c r="R277" t="s">
        <v>230</v>
      </c>
      <c r="S277">
        <v>13620</v>
      </c>
      <c r="T277">
        <v>9</v>
      </c>
      <c r="U277">
        <f t="shared" si="12"/>
        <v>12</v>
      </c>
      <c r="V277">
        <f t="shared" si="13"/>
        <v>2023</v>
      </c>
      <c r="W277" t="str">
        <f t="shared" si="14"/>
        <v>2023-12</v>
      </c>
    </row>
    <row r="278" spans="16:23" x14ac:dyDescent="0.25">
      <c r="P278" t="s">
        <v>27</v>
      </c>
      <c r="Q278" t="s">
        <v>110</v>
      </c>
      <c r="R278" t="s">
        <v>230</v>
      </c>
      <c r="S278">
        <v>15374</v>
      </c>
      <c r="T278">
        <v>6</v>
      </c>
      <c r="U278">
        <f t="shared" si="12"/>
        <v>12</v>
      </c>
      <c r="V278">
        <f t="shared" si="13"/>
        <v>2023</v>
      </c>
      <c r="W278" t="str">
        <f t="shared" si="14"/>
        <v>2023-12</v>
      </c>
    </row>
    <row r="279" spans="16:23" x14ac:dyDescent="0.25">
      <c r="P279" t="s">
        <v>8</v>
      </c>
      <c r="Q279" t="s">
        <v>217</v>
      </c>
      <c r="R279" t="s">
        <v>230</v>
      </c>
      <c r="S279">
        <v>51433</v>
      </c>
      <c r="T279">
        <v>7</v>
      </c>
      <c r="U279">
        <f t="shared" si="12"/>
        <v>12</v>
      </c>
      <c r="V279">
        <f t="shared" si="13"/>
        <v>2023</v>
      </c>
      <c r="W279" t="str">
        <f t="shared" si="14"/>
        <v>2023-12</v>
      </c>
    </row>
    <row r="280" spans="16:23" x14ac:dyDescent="0.25">
      <c r="P280" t="s">
        <v>27</v>
      </c>
      <c r="Q280" t="s">
        <v>232</v>
      </c>
      <c r="R280" t="s">
        <v>230</v>
      </c>
      <c r="S280">
        <v>46765</v>
      </c>
      <c r="T280">
        <v>2</v>
      </c>
      <c r="U280">
        <f t="shared" si="12"/>
        <v>12</v>
      </c>
      <c r="V280">
        <f t="shared" si="13"/>
        <v>2023</v>
      </c>
      <c r="W280" t="str">
        <f t="shared" si="14"/>
        <v>2023-12</v>
      </c>
    </row>
    <row r="281" spans="16:23" x14ac:dyDescent="0.25">
      <c r="P281" t="s">
        <v>27</v>
      </c>
      <c r="Q281" t="s">
        <v>134</v>
      </c>
      <c r="R281" t="s">
        <v>230</v>
      </c>
      <c r="S281">
        <v>51565</v>
      </c>
      <c r="T281">
        <v>2</v>
      </c>
      <c r="U281">
        <f t="shared" si="12"/>
        <v>12</v>
      </c>
      <c r="V281">
        <f t="shared" si="13"/>
        <v>2023</v>
      </c>
      <c r="W281" t="str">
        <f t="shared" si="14"/>
        <v>2023-12</v>
      </c>
    </row>
    <row r="282" spans="16:23" x14ac:dyDescent="0.25">
      <c r="P282" t="s">
        <v>45</v>
      </c>
      <c r="Q282" t="s">
        <v>233</v>
      </c>
      <c r="R282" t="s">
        <v>230</v>
      </c>
      <c r="S282">
        <v>41034</v>
      </c>
      <c r="T282">
        <v>3</v>
      </c>
      <c r="U282">
        <f t="shared" si="12"/>
        <v>12</v>
      </c>
      <c r="V282">
        <f t="shared" si="13"/>
        <v>2023</v>
      </c>
      <c r="W282" t="str">
        <f t="shared" si="14"/>
        <v>2023-12</v>
      </c>
    </row>
    <row r="283" spans="16:23" x14ac:dyDescent="0.25">
      <c r="P283" t="s">
        <v>38</v>
      </c>
      <c r="Q283" t="s">
        <v>194</v>
      </c>
      <c r="R283" t="s">
        <v>234</v>
      </c>
      <c r="S283">
        <v>18859</v>
      </c>
      <c r="T283">
        <v>7</v>
      </c>
      <c r="U283">
        <f t="shared" si="12"/>
        <v>12</v>
      </c>
      <c r="V283">
        <f t="shared" si="13"/>
        <v>2023</v>
      </c>
      <c r="W283" t="str">
        <f t="shared" si="14"/>
        <v>2023-12</v>
      </c>
    </row>
    <row r="284" spans="16:23" x14ac:dyDescent="0.25">
      <c r="P284" t="s">
        <v>13</v>
      </c>
      <c r="Q284" t="s">
        <v>132</v>
      </c>
      <c r="R284" t="s">
        <v>235</v>
      </c>
      <c r="S284">
        <v>83825</v>
      </c>
      <c r="T284">
        <v>5</v>
      </c>
      <c r="U284">
        <f t="shared" si="12"/>
        <v>12</v>
      </c>
      <c r="V284">
        <f t="shared" si="13"/>
        <v>2023</v>
      </c>
      <c r="W284" t="str">
        <f t="shared" si="14"/>
        <v>2023-12</v>
      </c>
    </row>
    <row r="285" spans="16:23" x14ac:dyDescent="0.25">
      <c r="P285" t="s">
        <v>38</v>
      </c>
      <c r="Q285" t="s">
        <v>55</v>
      </c>
      <c r="R285" t="s">
        <v>236</v>
      </c>
      <c r="S285">
        <v>46249</v>
      </c>
      <c r="T285">
        <v>5</v>
      </c>
      <c r="U285">
        <f t="shared" si="12"/>
        <v>12</v>
      </c>
      <c r="V285">
        <f t="shared" si="13"/>
        <v>2023</v>
      </c>
      <c r="W285" t="str">
        <f t="shared" si="14"/>
        <v>2023-12</v>
      </c>
    </row>
    <row r="286" spans="16:23" x14ac:dyDescent="0.25">
      <c r="P286" t="s">
        <v>13</v>
      </c>
      <c r="Q286" t="s">
        <v>116</v>
      </c>
      <c r="R286" t="s">
        <v>236</v>
      </c>
      <c r="S286">
        <v>33097</v>
      </c>
      <c r="T286">
        <v>0</v>
      </c>
      <c r="U286">
        <f t="shared" si="12"/>
        <v>12</v>
      </c>
      <c r="V286">
        <f t="shared" si="13"/>
        <v>2023</v>
      </c>
      <c r="W286" t="str">
        <f t="shared" si="14"/>
        <v>2023-12</v>
      </c>
    </row>
    <row r="287" spans="16:23" x14ac:dyDescent="0.25">
      <c r="P287" t="s">
        <v>38</v>
      </c>
      <c r="Q287" t="s">
        <v>53</v>
      </c>
      <c r="R287" t="s">
        <v>237</v>
      </c>
      <c r="S287">
        <v>64711</v>
      </c>
      <c r="T287">
        <v>10</v>
      </c>
      <c r="U287">
        <f t="shared" si="12"/>
        <v>12</v>
      </c>
      <c r="V287">
        <f t="shared" si="13"/>
        <v>2023</v>
      </c>
      <c r="W287" t="str">
        <f t="shared" si="14"/>
        <v>2023-12</v>
      </c>
    </row>
    <row r="288" spans="16:23" x14ac:dyDescent="0.25">
      <c r="P288" t="s">
        <v>13</v>
      </c>
      <c r="Q288" t="s">
        <v>144</v>
      </c>
      <c r="R288" t="s">
        <v>237</v>
      </c>
      <c r="S288">
        <v>15898</v>
      </c>
      <c r="T288">
        <v>6</v>
      </c>
      <c r="U288">
        <f t="shared" si="12"/>
        <v>12</v>
      </c>
      <c r="V288">
        <f t="shared" si="13"/>
        <v>2023</v>
      </c>
      <c r="W288" t="str">
        <f t="shared" si="14"/>
        <v>2023-12</v>
      </c>
    </row>
    <row r="289" spans="16:23" x14ac:dyDescent="0.25">
      <c r="P289" t="s">
        <v>25</v>
      </c>
      <c r="Q289" t="s">
        <v>53</v>
      </c>
      <c r="R289" t="s">
        <v>237</v>
      </c>
      <c r="S289">
        <v>69938</v>
      </c>
      <c r="T289">
        <v>7</v>
      </c>
      <c r="U289">
        <f t="shared" si="12"/>
        <v>12</v>
      </c>
      <c r="V289">
        <f t="shared" si="13"/>
        <v>2023</v>
      </c>
      <c r="W289" t="str">
        <f t="shared" si="14"/>
        <v>2023-12</v>
      </c>
    </row>
    <row r="290" spans="16:23" x14ac:dyDescent="0.25">
      <c r="P290" t="s">
        <v>5</v>
      </c>
      <c r="Q290" t="s">
        <v>190</v>
      </c>
      <c r="R290" t="s">
        <v>237</v>
      </c>
      <c r="S290">
        <v>15330</v>
      </c>
      <c r="T290">
        <v>6</v>
      </c>
      <c r="U290">
        <f t="shared" si="12"/>
        <v>12</v>
      </c>
      <c r="V290">
        <f t="shared" si="13"/>
        <v>2023</v>
      </c>
      <c r="W290" t="str">
        <f t="shared" si="14"/>
        <v>2023-12</v>
      </c>
    </row>
    <row r="291" spans="16:23" x14ac:dyDescent="0.25">
      <c r="P291" t="s">
        <v>10</v>
      </c>
      <c r="Q291" t="s">
        <v>41</v>
      </c>
      <c r="R291" t="s">
        <v>238</v>
      </c>
      <c r="S291">
        <v>48416</v>
      </c>
      <c r="T291">
        <v>2</v>
      </c>
      <c r="U291">
        <f t="shared" si="12"/>
        <v>12</v>
      </c>
      <c r="V291">
        <f t="shared" si="13"/>
        <v>2023</v>
      </c>
      <c r="W291" t="str">
        <f t="shared" si="14"/>
        <v>2023-12</v>
      </c>
    </row>
    <row r="292" spans="16:23" x14ac:dyDescent="0.25">
      <c r="P292" t="s">
        <v>30</v>
      </c>
      <c r="Q292" t="s">
        <v>6</v>
      </c>
      <c r="R292" t="s">
        <v>238</v>
      </c>
      <c r="S292">
        <v>82934</v>
      </c>
      <c r="T292">
        <v>6</v>
      </c>
      <c r="U292">
        <f t="shared" si="12"/>
        <v>12</v>
      </c>
      <c r="V292">
        <f t="shared" si="13"/>
        <v>2023</v>
      </c>
      <c r="W292" t="str">
        <f t="shared" si="14"/>
        <v>2023-12</v>
      </c>
    </row>
    <row r="293" spans="16:23" x14ac:dyDescent="0.25">
      <c r="P293" t="s">
        <v>45</v>
      </c>
      <c r="Q293" t="s">
        <v>194</v>
      </c>
      <c r="R293" t="s">
        <v>238</v>
      </c>
      <c r="S293">
        <v>11769</v>
      </c>
      <c r="T293">
        <v>8</v>
      </c>
      <c r="U293">
        <f t="shared" si="12"/>
        <v>12</v>
      </c>
      <c r="V293">
        <f t="shared" si="13"/>
        <v>2023</v>
      </c>
      <c r="W293" t="str">
        <f t="shared" si="14"/>
        <v>2023-12</v>
      </c>
    </row>
    <row r="294" spans="16:23" x14ac:dyDescent="0.25">
      <c r="P294" t="s">
        <v>8</v>
      </c>
      <c r="Q294" t="s">
        <v>239</v>
      </c>
      <c r="R294" t="s">
        <v>238</v>
      </c>
      <c r="S294">
        <v>11184</v>
      </c>
      <c r="T294">
        <v>7</v>
      </c>
      <c r="U294">
        <f t="shared" si="12"/>
        <v>12</v>
      </c>
      <c r="V294">
        <f t="shared" si="13"/>
        <v>2023</v>
      </c>
      <c r="W294" t="str">
        <f t="shared" si="14"/>
        <v>2023-12</v>
      </c>
    </row>
    <row r="295" spans="16:23" x14ac:dyDescent="0.25">
      <c r="P295" t="s">
        <v>27</v>
      </c>
      <c r="Q295" t="s">
        <v>65</v>
      </c>
      <c r="R295" t="s">
        <v>238</v>
      </c>
      <c r="S295">
        <v>80485</v>
      </c>
      <c r="T295">
        <v>4</v>
      </c>
      <c r="U295">
        <f t="shared" si="12"/>
        <v>12</v>
      </c>
      <c r="V295">
        <f t="shared" si="13"/>
        <v>2023</v>
      </c>
      <c r="W295" t="str">
        <f t="shared" si="14"/>
        <v>2023-12</v>
      </c>
    </row>
    <row r="296" spans="16:23" x14ac:dyDescent="0.25">
      <c r="P296" t="s">
        <v>25</v>
      </c>
      <c r="Q296" t="s">
        <v>63</v>
      </c>
      <c r="R296" t="s">
        <v>238</v>
      </c>
      <c r="S296">
        <v>84960</v>
      </c>
      <c r="T296">
        <v>4</v>
      </c>
      <c r="U296">
        <f t="shared" si="12"/>
        <v>12</v>
      </c>
      <c r="V296">
        <f t="shared" si="13"/>
        <v>2023</v>
      </c>
      <c r="W296" t="str">
        <f t="shared" si="14"/>
        <v>2023-12</v>
      </c>
    </row>
    <row r="297" spans="16:23" x14ac:dyDescent="0.25">
      <c r="P297" t="s">
        <v>38</v>
      </c>
      <c r="Q297" t="s">
        <v>31</v>
      </c>
      <c r="R297" t="s">
        <v>238</v>
      </c>
      <c r="S297">
        <v>97611</v>
      </c>
      <c r="T297">
        <v>6</v>
      </c>
      <c r="U297">
        <f t="shared" si="12"/>
        <v>12</v>
      </c>
      <c r="V297">
        <f t="shared" si="13"/>
        <v>2023</v>
      </c>
      <c r="W297" t="str">
        <f t="shared" si="14"/>
        <v>2023-12</v>
      </c>
    </row>
    <row r="298" spans="16:23" x14ac:dyDescent="0.25">
      <c r="P298" t="s">
        <v>38</v>
      </c>
      <c r="Q298" t="s">
        <v>99</v>
      </c>
      <c r="R298" t="s">
        <v>238</v>
      </c>
      <c r="S298">
        <v>45898</v>
      </c>
      <c r="T298">
        <v>6</v>
      </c>
      <c r="U298">
        <f t="shared" si="12"/>
        <v>12</v>
      </c>
      <c r="V298">
        <f t="shared" si="13"/>
        <v>2023</v>
      </c>
      <c r="W298" t="str">
        <f t="shared" si="14"/>
        <v>2023-12</v>
      </c>
    </row>
    <row r="299" spans="16:23" x14ac:dyDescent="0.25">
      <c r="P299" t="s">
        <v>25</v>
      </c>
      <c r="Q299" t="s">
        <v>214</v>
      </c>
      <c r="R299" t="s">
        <v>238</v>
      </c>
      <c r="S299">
        <v>52218</v>
      </c>
      <c r="T299">
        <v>5</v>
      </c>
      <c r="U299">
        <f t="shared" si="12"/>
        <v>12</v>
      </c>
      <c r="V299">
        <f t="shared" si="13"/>
        <v>2023</v>
      </c>
      <c r="W299" t="str">
        <f t="shared" si="14"/>
        <v>2023-12</v>
      </c>
    </row>
    <row r="300" spans="16:23" x14ac:dyDescent="0.25">
      <c r="P300" t="s">
        <v>45</v>
      </c>
      <c r="Q300" t="s">
        <v>144</v>
      </c>
      <c r="R300" t="s">
        <v>240</v>
      </c>
      <c r="S300">
        <v>15585</v>
      </c>
      <c r="T300">
        <v>7</v>
      </c>
      <c r="U300">
        <f t="shared" si="12"/>
        <v>12</v>
      </c>
      <c r="V300">
        <f t="shared" si="13"/>
        <v>2023</v>
      </c>
      <c r="W300" t="str">
        <f t="shared" si="14"/>
        <v>2023-12</v>
      </c>
    </row>
    <row r="301" spans="16:23" x14ac:dyDescent="0.25">
      <c r="P301" t="s">
        <v>10</v>
      </c>
      <c r="Q301" t="s">
        <v>144</v>
      </c>
      <c r="R301" t="s">
        <v>240</v>
      </c>
      <c r="S301">
        <v>39107</v>
      </c>
      <c r="T301">
        <v>9</v>
      </c>
      <c r="U301">
        <f t="shared" si="12"/>
        <v>12</v>
      </c>
      <c r="V301">
        <f t="shared" si="13"/>
        <v>2023</v>
      </c>
      <c r="W301" t="str">
        <f t="shared" si="14"/>
        <v>2023-12</v>
      </c>
    </row>
    <row r="302" spans="16:23" x14ac:dyDescent="0.25">
      <c r="P302" t="s">
        <v>10</v>
      </c>
      <c r="Q302" t="s">
        <v>200</v>
      </c>
      <c r="R302" t="s">
        <v>241</v>
      </c>
      <c r="S302">
        <v>24943</v>
      </c>
      <c r="T302">
        <v>0</v>
      </c>
      <c r="U302">
        <f t="shared" si="12"/>
        <v>12</v>
      </c>
      <c r="V302">
        <f t="shared" si="13"/>
        <v>2023</v>
      </c>
      <c r="W302" t="str">
        <f t="shared" si="14"/>
        <v>2023-12</v>
      </c>
    </row>
    <row r="303" spans="16:23" x14ac:dyDescent="0.25">
      <c r="P303" t="s">
        <v>5</v>
      </c>
      <c r="Q303" t="s">
        <v>63</v>
      </c>
      <c r="R303" t="s">
        <v>241</v>
      </c>
      <c r="S303">
        <v>23120</v>
      </c>
      <c r="T303">
        <v>6</v>
      </c>
      <c r="U303">
        <f t="shared" si="12"/>
        <v>12</v>
      </c>
      <c r="V303">
        <f t="shared" si="13"/>
        <v>2023</v>
      </c>
      <c r="W303" t="str">
        <f t="shared" si="14"/>
        <v>2023-12</v>
      </c>
    </row>
    <row r="304" spans="16:23" x14ac:dyDescent="0.25">
      <c r="P304" t="s">
        <v>47</v>
      </c>
      <c r="Q304" t="s">
        <v>242</v>
      </c>
      <c r="R304" t="s">
        <v>241</v>
      </c>
      <c r="S304">
        <v>52464</v>
      </c>
      <c r="T304">
        <v>10</v>
      </c>
      <c r="U304">
        <f t="shared" si="12"/>
        <v>12</v>
      </c>
      <c r="V304">
        <f t="shared" si="13"/>
        <v>2023</v>
      </c>
      <c r="W304" t="str">
        <f t="shared" si="14"/>
        <v>2023-12</v>
      </c>
    </row>
    <row r="305" spans="16:23" x14ac:dyDescent="0.25">
      <c r="P305" t="s">
        <v>25</v>
      </c>
      <c r="Q305" t="s">
        <v>177</v>
      </c>
      <c r="R305" t="s">
        <v>241</v>
      </c>
      <c r="S305">
        <v>26942</v>
      </c>
      <c r="T305">
        <v>10</v>
      </c>
      <c r="U305">
        <f t="shared" si="12"/>
        <v>12</v>
      </c>
      <c r="V305">
        <f t="shared" si="13"/>
        <v>2023</v>
      </c>
      <c r="W305" t="str">
        <f t="shared" si="14"/>
        <v>2023-12</v>
      </c>
    </row>
    <row r="306" spans="16:23" x14ac:dyDescent="0.25">
      <c r="P306" t="s">
        <v>25</v>
      </c>
      <c r="Q306" t="s">
        <v>243</v>
      </c>
      <c r="R306" t="s">
        <v>241</v>
      </c>
      <c r="S306">
        <v>30186</v>
      </c>
      <c r="T306">
        <v>3</v>
      </c>
      <c r="U306">
        <f t="shared" si="12"/>
        <v>12</v>
      </c>
      <c r="V306">
        <f t="shared" si="13"/>
        <v>2023</v>
      </c>
      <c r="W306" t="str">
        <f t="shared" si="14"/>
        <v>2023-12</v>
      </c>
    </row>
    <row r="307" spans="16:23" x14ac:dyDescent="0.25">
      <c r="P307" t="s">
        <v>13</v>
      </c>
      <c r="Q307" t="s">
        <v>92</v>
      </c>
      <c r="R307" t="s">
        <v>244</v>
      </c>
      <c r="S307">
        <v>64619</v>
      </c>
      <c r="T307">
        <v>10</v>
      </c>
      <c r="U307">
        <f t="shared" si="12"/>
        <v>12</v>
      </c>
      <c r="V307">
        <f t="shared" si="13"/>
        <v>2023</v>
      </c>
      <c r="W307" t="str">
        <f t="shared" si="14"/>
        <v>2023-12</v>
      </c>
    </row>
    <row r="308" spans="16:23" x14ac:dyDescent="0.25">
      <c r="P308" t="s">
        <v>8</v>
      </c>
      <c r="Q308" t="s">
        <v>81</v>
      </c>
      <c r="R308" t="s">
        <v>244</v>
      </c>
      <c r="S308">
        <v>28331</v>
      </c>
      <c r="T308">
        <v>6</v>
      </c>
      <c r="U308">
        <f t="shared" si="12"/>
        <v>12</v>
      </c>
      <c r="V308">
        <f t="shared" si="13"/>
        <v>2023</v>
      </c>
      <c r="W308" t="str">
        <f t="shared" si="14"/>
        <v>2023-12</v>
      </c>
    </row>
    <row r="309" spans="16:23" x14ac:dyDescent="0.25">
      <c r="P309" t="s">
        <v>47</v>
      </c>
      <c r="Q309" t="s">
        <v>173</v>
      </c>
      <c r="R309" t="s">
        <v>245</v>
      </c>
      <c r="S309">
        <v>45691</v>
      </c>
      <c r="T309">
        <v>4</v>
      </c>
      <c r="U309">
        <f t="shared" si="12"/>
        <v>12</v>
      </c>
      <c r="V309">
        <f t="shared" si="13"/>
        <v>2023</v>
      </c>
      <c r="W309" t="str">
        <f t="shared" si="14"/>
        <v>2023-12</v>
      </c>
    </row>
    <row r="310" spans="16:23" x14ac:dyDescent="0.25">
      <c r="P310" t="s">
        <v>25</v>
      </c>
      <c r="Q310" t="s">
        <v>99</v>
      </c>
      <c r="R310" t="s">
        <v>245</v>
      </c>
      <c r="S310">
        <v>33573</v>
      </c>
      <c r="T310">
        <v>9</v>
      </c>
      <c r="U310">
        <f t="shared" si="12"/>
        <v>12</v>
      </c>
      <c r="V310">
        <f t="shared" si="13"/>
        <v>2023</v>
      </c>
      <c r="W310" t="str">
        <f t="shared" si="14"/>
        <v>2023-12</v>
      </c>
    </row>
    <row r="311" spans="16:23" x14ac:dyDescent="0.25">
      <c r="P311" t="s">
        <v>45</v>
      </c>
      <c r="Q311" t="s">
        <v>77</v>
      </c>
      <c r="R311" t="s">
        <v>245</v>
      </c>
      <c r="S311">
        <v>36661</v>
      </c>
      <c r="T311">
        <v>5</v>
      </c>
      <c r="U311">
        <f t="shared" si="12"/>
        <v>12</v>
      </c>
      <c r="V311">
        <f t="shared" si="13"/>
        <v>2023</v>
      </c>
      <c r="W311" t="str">
        <f t="shared" si="14"/>
        <v>2023-12</v>
      </c>
    </row>
    <row r="312" spans="16:23" x14ac:dyDescent="0.25">
      <c r="P312" t="s">
        <v>16</v>
      </c>
      <c r="Q312" t="s">
        <v>67</v>
      </c>
      <c r="R312" t="s">
        <v>246</v>
      </c>
      <c r="S312">
        <v>75582</v>
      </c>
      <c r="T312">
        <v>5</v>
      </c>
      <c r="U312">
        <f t="shared" si="12"/>
        <v>12</v>
      </c>
      <c r="V312">
        <f t="shared" si="13"/>
        <v>2023</v>
      </c>
      <c r="W312" t="str">
        <f t="shared" si="14"/>
        <v>2023-12</v>
      </c>
    </row>
    <row r="313" spans="16:23" x14ac:dyDescent="0.25">
      <c r="P313" t="s">
        <v>30</v>
      </c>
      <c r="Q313" t="s">
        <v>247</v>
      </c>
      <c r="R313" t="s">
        <v>246</v>
      </c>
      <c r="S313">
        <v>62255</v>
      </c>
      <c r="T313">
        <v>0</v>
      </c>
      <c r="U313">
        <f t="shared" si="12"/>
        <v>12</v>
      </c>
      <c r="V313">
        <f t="shared" si="13"/>
        <v>2023</v>
      </c>
      <c r="W313" t="str">
        <f t="shared" si="14"/>
        <v>2023-12</v>
      </c>
    </row>
    <row r="314" spans="16:23" x14ac:dyDescent="0.25">
      <c r="P314" t="s">
        <v>30</v>
      </c>
      <c r="Q314" t="s">
        <v>248</v>
      </c>
      <c r="R314" t="s">
        <v>246</v>
      </c>
      <c r="S314">
        <v>15528</v>
      </c>
      <c r="T314">
        <v>3</v>
      </c>
      <c r="U314">
        <f t="shared" si="12"/>
        <v>12</v>
      </c>
      <c r="V314">
        <f t="shared" si="13"/>
        <v>2023</v>
      </c>
      <c r="W314" t="str">
        <f t="shared" si="14"/>
        <v>2023-12</v>
      </c>
    </row>
    <row r="315" spans="16:23" x14ac:dyDescent="0.25">
      <c r="P315" t="s">
        <v>13</v>
      </c>
      <c r="Q315" t="s">
        <v>89</v>
      </c>
      <c r="R315" t="s">
        <v>246</v>
      </c>
      <c r="S315">
        <v>22812</v>
      </c>
      <c r="T315">
        <v>8</v>
      </c>
      <c r="U315">
        <f t="shared" si="12"/>
        <v>12</v>
      </c>
      <c r="V315">
        <f t="shared" si="13"/>
        <v>2023</v>
      </c>
      <c r="W315" t="str">
        <f t="shared" si="14"/>
        <v>2023-12</v>
      </c>
    </row>
    <row r="316" spans="16:23" x14ac:dyDescent="0.25">
      <c r="P316" t="s">
        <v>18</v>
      </c>
      <c r="Q316" t="s">
        <v>249</v>
      </c>
      <c r="R316" t="s">
        <v>246</v>
      </c>
      <c r="S316">
        <v>70908</v>
      </c>
      <c r="T316">
        <v>9</v>
      </c>
      <c r="U316">
        <f t="shared" si="12"/>
        <v>12</v>
      </c>
      <c r="V316">
        <f t="shared" si="13"/>
        <v>2023</v>
      </c>
      <c r="W316" t="str">
        <f t="shared" si="14"/>
        <v>2023-12</v>
      </c>
    </row>
    <row r="317" spans="16:23" x14ac:dyDescent="0.25">
      <c r="P317" t="s">
        <v>45</v>
      </c>
      <c r="Q317" t="s">
        <v>61</v>
      </c>
      <c r="R317" t="s">
        <v>246</v>
      </c>
      <c r="S317">
        <v>53168</v>
      </c>
      <c r="T317">
        <v>8</v>
      </c>
      <c r="U317">
        <f t="shared" si="12"/>
        <v>12</v>
      </c>
      <c r="V317">
        <f t="shared" si="13"/>
        <v>2023</v>
      </c>
      <c r="W317" t="str">
        <f t="shared" si="14"/>
        <v>2023-12</v>
      </c>
    </row>
    <row r="318" spans="16:23" x14ac:dyDescent="0.25">
      <c r="P318" t="s">
        <v>10</v>
      </c>
      <c r="Q318" t="s">
        <v>129</v>
      </c>
      <c r="R318" t="s">
        <v>246</v>
      </c>
      <c r="S318">
        <v>25383</v>
      </c>
      <c r="T318">
        <v>7</v>
      </c>
      <c r="U318">
        <f t="shared" si="12"/>
        <v>12</v>
      </c>
      <c r="V318">
        <f t="shared" si="13"/>
        <v>2023</v>
      </c>
      <c r="W318" t="str">
        <f t="shared" si="14"/>
        <v>2023-12</v>
      </c>
    </row>
    <row r="319" spans="16:23" x14ac:dyDescent="0.25">
      <c r="P319" t="s">
        <v>16</v>
      </c>
      <c r="Q319" t="s">
        <v>130</v>
      </c>
      <c r="R319" t="s">
        <v>246</v>
      </c>
      <c r="S319">
        <v>99879</v>
      </c>
      <c r="T319">
        <v>8</v>
      </c>
      <c r="U319">
        <f t="shared" si="12"/>
        <v>12</v>
      </c>
      <c r="V319">
        <f t="shared" si="13"/>
        <v>2023</v>
      </c>
      <c r="W319" t="str">
        <f t="shared" si="14"/>
        <v>2023-12</v>
      </c>
    </row>
    <row r="320" spans="16:23" x14ac:dyDescent="0.25">
      <c r="P320" t="s">
        <v>25</v>
      </c>
      <c r="Q320" t="s">
        <v>181</v>
      </c>
      <c r="R320" t="s">
        <v>246</v>
      </c>
      <c r="S320">
        <v>65904</v>
      </c>
      <c r="T320">
        <v>9</v>
      </c>
      <c r="U320">
        <f t="shared" si="12"/>
        <v>12</v>
      </c>
      <c r="V320">
        <f t="shared" si="13"/>
        <v>2023</v>
      </c>
      <c r="W320" t="str">
        <f t="shared" si="14"/>
        <v>2023-12</v>
      </c>
    </row>
    <row r="321" spans="16:23" x14ac:dyDescent="0.25">
      <c r="P321" t="s">
        <v>45</v>
      </c>
      <c r="Q321" t="s">
        <v>101</v>
      </c>
      <c r="R321" t="s">
        <v>250</v>
      </c>
      <c r="S321">
        <v>26143</v>
      </c>
      <c r="T321">
        <v>2</v>
      </c>
      <c r="U321">
        <f t="shared" si="12"/>
        <v>12</v>
      </c>
      <c r="V321">
        <f t="shared" si="13"/>
        <v>2023</v>
      </c>
      <c r="W321" t="str">
        <f t="shared" si="14"/>
        <v>2023-12</v>
      </c>
    </row>
    <row r="322" spans="16:23" x14ac:dyDescent="0.25">
      <c r="P322" t="s">
        <v>38</v>
      </c>
      <c r="Q322" t="s">
        <v>64</v>
      </c>
      <c r="R322" t="s">
        <v>250</v>
      </c>
      <c r="S322">
        <v>69386</v>
      </c>
      <c r="T322">
        <v>7</v>
      </c>
      <c r="U322">
        <f t="shared" si="12"/>
        <v>12</v>
      </c>
      <c r="V322">
        <f t="shared" si="13"/>
        <v>2023</v>
      </c>
      <c r="W322" t="str">
        <f t="shared" si="14"/>
        <v>2023-12</v>
      </c>
    </row>
    <row r="323" spans="16:23" x14ac:dyDescent="0.25">
      <c r="P323" t="s">
        <v>47</v>
      </c>
      <c r="Q323" t="s">
        <v>49</v>
      </c>
      <c r="R323" t="s">
        <v>251</v>
      </c>
      <c r="S323">
        <v>34564</v>
      </c>
      <c r="T323">
        <v>5</v>
      </c>
      <c r="U323">
        <f t="shared" ref="U323:U386" si="15">MONTH(R323)</f>
        <v>12</v>
      </c>
      <c r="V323">
        <f t="shared" ref="V323:V386" si="16">YEAR(R323)</f>
        <v>2023</v>
      </c>
      <c r="W323" t="str">
        <f t="shared" ref="W323:W386" si="17">V323&amp;"-"&amp;U323</f>
        <v>2023-12</v>
      </c>
    </row>
    <row r="324" spans="16:23" x14ac:dyDescent="0.25">
      <c r="P324" t="s">
        <v>38</v>
      </c>
      <c r="Q324" t="s">
        <v>217</v>
      </c>
      <c r="R324" t="s">
        <v>251</v>
      </c>
      <c r="S324">
        <v>14897</v>
      </c>
      <c r="T324">
        <v>6</v>
      </c>
      <c r="U324">
        <f t="shared" si="15"/>
        <v>12</v>
      </c>
      <c r="V324">
        <f t="shared" si="16"/>
        <v>2023</v>
      </c>
      <c r="W324" t="str">
        <f t="shared" si="17"/>
        <v>2023-12</v>
      </c>
    </row>
    <row r="325" spans="16:23" x14ac:dyDescent="0.25">
      <c r="P325" t="s">
        <v>10</v>
      </c>
      <c r="Q325" t="s">
        <v>75</v>
      </c>
      <c r="R325" t="s">
        <v>251</v>
      </c>
      <c r="S325">
        <v>23872</v>
      </c>
      <c r="T325">
        <v>7</v>
      </c>
      <c r="U325">
        <f t="shared" si="15"/>
        <v>12</v>
      </c>
      <c r="V325">
        <f t="shared" si="16"/>
        <v>2023</v>
      </c>
      <c r="W325" t="str">
        <f t="shared" si="17"/>
        <v>2023-12</v>
      </c>
    </row>
    <row r="326" spans="16:23" x14ac:dyDescent="0.25">
      <c r="P326" t="s">
        <v>30</v>
      </c>
      <c r="Q326" t="s">
        <v>217</v>
      </c>
      <c r="R326" t="s">
        <v>251</v>
      </c>
      <c r="S326">
        <v>20727</v>
      </c>
      <c r="T326">
        <v>6</v>
      </c>
      <c r="U326">
        <f t="shared" si="15"/>
        <v>12</v>
      </c>
      <c r="V326">
        <f t="shared" si="16"/>
        <v>2023</v>
      </c>
      <c r="W326" t="str">
        <f t="shared" si="17"/>
        <v>2023-12</v>
      </c>
    </row>
    <row r="327" spans="16:23" x14ac:dyDescent="0.25">
      <c r="P327" t="s">
        <v>25</v>
      </c>
      <c r="Q327" t="s">
        <v>55</v>
      </c>
      <c r="R327" t="s">
        <v>251</v>
      </c>
      <c r="S327">
        <v>66005</v>
      </c>
      <c r="T327">
        <v>8</v>
      </c>
      <c r="U327">
        <f t="shared" si="15"/>
        <v>12</v>
      </c>
      <c r="V327">
        <f t="shared" si="16"/>
        <v>2023</v>
      </c>
      <c r="W327" t="str">
        <f t="shared" si="17"/>
        <v>2023-12</v>
      </c>
    </row>
    <row r="328" spans="16:23" x14ac:dyDescent="0.25">
      <c r="P328" t="s">
        <v>10</v>
      </c>
      <c r="Q328" t="s">
        <v>136</v>
      </c>
      <c r="R328" t="s">
        <v>251</v>
      </c>
      <c r="S328">
        <v>68993</v>
      </c>
      <c r="T328">
        <v>9</v>
      </c>
      <c r="U328">
        <f t="shared" si="15"/>
        <v>12</v>
      </c>
      <c r="V328">
        <f t="shared" si="16"/>
        <v>2023</v>
      </c>
      <c r="W328" t="str">
        <f t="shared" si="17"/>
        <v>2023-12</v>
      </c>
    </row>
    <row r="329" spans="16:23" x14ac:dyDescent="0.25">
      <c r="P329" t="s">
        <v>30</v>
      </c>
      <c r="Q329" t="s">
        <v>252</v>
      </c>
      <c r="R329" t="s">
        <v>253</v>
      </c>
      <c r="S329">
        <v>55569</v>
      </c>
      <c r="T329">
        <v>3</v>
      </c>
      <c r="U329">
        <f t="shared" si="15"/>
        <v>12</v>
      </c>
      <c r="V329">
        <f t="shared" si="16"/>
        <v>2023</v>
      </c>
      <c r="W329" t="str">
        <f t="shared" si="17"/>
        <v>2023-12</v>
      </c>
    </row>
    <row r="330" spans="16:23" x14ac:dyDescent="0.25">
      <c r="P330" t="s">
        <v>47</v>
      </c>
      <c r="Q330" t="s">
        <v>196</v>
      </c>
      <c r="R330" t="s">
        <v>254</v>
      </c>
      <c r="S330">
        <v>68591</v>
      </c>
      <c r="T330">
        <v>2</v>
      </c>
      <c r="U330">
        <f t="shared" si="15"/>
        <v>12</v>
      </c>
      <c r="V330">
        <f t="shared" si="16"/>
        <v>2023</v>
      </c>
      <c r="W330" t="str">
        <f t="shared" si="17"/>
        <v>2023-12</v>
      </c>
    </row>
    <row r="331" spans="16:23" x14ac:dyDescent="0.25">
      <c r="P331" t="s">
        <v>8</v>
      </c>
      <c r="Q331" t="s">
        <v>217</v>
      </c>
      <c r="R331" t="s">
        <v>255</v>
      </c>
      <c r="S331">
        <v>52197</v>
      </c>
      <c r="T331">
        <v>7</v>
      </c>
      <c r="U331">
        <f t="shared" si="15"/>
        <v>1</v>
      </c>
      <c r="V331">
        <f t="shared" si="16"/>
        <v>2024</v>
      </c>
      <c r="W331" t="str">
        <f t="shared" si="17"/>
        <v>2024-1</v>
      </c>
    </row>
    <row r="332" spans="16:23" x14ac:dyDescent="0.25">
      <c r="P332" t="s">
        <v>38</v>
      </c>
      <c r="Q332" t="s">
        <v>55</v>
      </c>
      <c r="R332" t="s">
        <v>255</v>
      </c>
      <c r="S332">
        <v>38286</v>
      </c>
      <c r="T332">
        <v>7</v>
      </c>
      <c r="U332">
        <f t="shared" si="15"/>
        <v>1</v>
      </c>
      <c r="V332">
        <f t="shared" si="16"/>
        <v>2024</v>
      </c>
      <c r="W332" t="str">
        <f t="shared" si="17"/>
        <v>2024-1</v>
      </c>
    </row>
    <row r="333" spans="16:23" x14ac:dyDescent="0.25">
      <c r="P333" t="s">
        <v>27</v>
      </c>
      <c r="Q333" t="s">
        <v>223</v>
      </c>
      <c r="R333" t="s">
        <v>255</v>
      </c>
      <c r="S333">
        <v>88188</v>
      </c>
      <c r="T333">
        <v>7</v>
      </c>
      <c r="U333">
        <f t="shared" si="15"/>
        <v>1</v>
      </c>
      <c r="V333">
        <f t="shared" si="16"/>
        <v>2024</v>
      </c>
      <c r="W333" t="str">
        <f t="shared" si="17"/>
        <v>2024-1</v>
      </c>
    </row>
    <row r="334" spans="16:23" x14ac:dyDescent="0.25">
      <c r="P334" t="s">
        <v>25</v>
      </c>
      <c r="Q334" t="s">
        <v>256</v>
      </c>
      <c r="R334" t="s">
        <v>255</v>
      </c>
      <c r="S334">
        <v>43631</v>
      </c>
      <c r="T334">
        <v>3</v>
      </c>
      <c r="U334">
        <f t="shared" si="15"/>
        <v>1</v>
      </c>
      <c r="V334">
        <f t="shared" si="16"/>
        <v>2024</v>
      </c>
      <c r="W334" t="str">
        <f t="shared" si="17"/>
        <v>2024-1</v>
      </c>
    </row>
    <row r="335" spans="16:23" x14ac:dyDescent="0.25">
      <c r="P335" t="s">
        <v>18</v>
      </c>
      <c r="Q335" t="s">
        <v>173</v>
      </c>
      <c r="R335" t="s">
        <v>255</v>
      </c>
      <c r="S335">
        <v>80570</v>
      </c>
      <c r="T335">
        <v>7</v>
      </c>
      <c r="U335">
        <f t="shared" si="15"/>
        <v>1</v>
      </c>
      <c r="V335">
        <f t="shared" si="16"/>
        <v>2024</v>
      </c>
      <c r="W335" t="str">
        <f t="shared" si="17"/>
        <v>2024-1</v>
      </c>
    </row>
    <row r="336" spans="16:23" x14ac:dyDescent="0.25">
      <c r="P336" t="s">
        <v>25</v>
      </c>
      <c r="Q336" t="s">
        <v>177</v>
      </c>
      <c r="R336" t="s">
        <v>255</v>
      </c>
      <c r="S336">
        <v>13042</v>
      </c>
      <c r="T336">
        <v>6</v>
      </c>
      <c r="U336">
        <f t="shared" si="15"/>
        <v>1</v>
      </c>
      <c r="V336">
        <f t="shared" si="16"/>
        <v>2024</v>
      </c>
      <c r="W336" t="str">
        <f t="shared" si="17"/>
        <v>2024-1</v>
      </c>
    </row>
    <row r="337" spans="16:23" x14ac:dyDescent="0.25">
      <c r="P337" t="s">
        <v>30</v>
      </c>
      <c r="Q337" t="s">
        <v>223</v>
      </c>
      <c r="R337" t="s">
        <v>257</v>
      </c>
      <c r="S337">
        <v>65230</v>
      </c>
      <c r="T337">
        <v>5</v>
      </c>
      <c r="U337">
        <f t="shared" si="15"/>
        <v>1</v>
      </c>
      <c r="V337">
        <f t="shared" si="16"/>
        <v>2024</v>
      </c>
      <c r="W337" t="str">
        <f t="shared" si="17"/>
        <v>2024-1</v>
      </c>
    </row>
    <row r="338" spans="16:23" x14ac:dyDescent="0.25">
      <c r="P338" t="s">
        <v>38</v>
      </c>
      <c r="Q338" t="s">
        <v>66</v>
      </c>
      <c r="R338" t="s">
        <v>257</v>
      </c>
      <c r="S338">
        <v>17286</v>
      </c>
      <c r="T338">
        <v>3</v>
      </c>
      <c r="U338">
        <f t="shared" si="15"/>
        <v>1</v>
      </c>
      <c r="V338">
        <f t="shared" si="16"/>
        <v>2024</v>
      </c>
      <c r="W338" t="str">
        <f t="shared" si="17"/>
        <v>2024-1</v>
      </c>
    </row>
    <row r="339" spans="16:23" x14ac:dyDescent="0.25">
      <c r="P339" t="s">
        <v>47</v>
      </c>
      <c r="Q339" t="s">
        <v>165</v>
      </c>
      <c r="R339" t="s">
        <v>257</v>
      </c>
      <c r="S339">
        <v>58872</v>
      </c>
      <c r="T339">
        <v>4</v>
      </c>
      <c r="U339">
        <f t="shared" si="15"/>
        <v>1</v>
      </c>
      <c r="V339">
        <f t="shared" si="16"/>
        <v>2024</v>
      </c>
      <c r="W339" t="str">
        <f t="shared" si="17"/>
        <v>2024-1</v>
      </c>
    </row>
    <row r="340" spans="16:23" x14ac:dyDescent="0.25">
      <c r="P340" t="s">
        <v>5</v>
      </c>
      <c r="Q340" t="s">
        <v>14</v>
      </c>
      <c r="R340" t="s">
        <v>258</v>
      </c>
      <c r="S340">
        <v>68332</v>
      </c>
      <c r="T340">
        <v>7</v>
      </c>
      <c r="U340">
        <f t="shared" si="15"/>
        <v>1</v>
      </c>
      <c r="V340">
        <f t="shared" si="16"/>
        <v>2024</v>
      </c>
      <c r="W340" t="str">
        <f t="shared" si="17"/>
        <v>2024-1</v>
      </c>
    </row>
    <row r="341" spans="16:23" x14ac:dyDescent="0.25">
      <c r="P341" t="s">
        <v>18</v>
      </c>
      <c r="Q341" t="s">
        <v>173</v>
      </c>
      <c r="R341" t="s">
        <v>258</v>
      </c>
      <c r="S341">
        <v>43984</v>
      </c>
      <c r="T341">
        <v>7</v>
      </c>
      <c r="U341">
        <f t="shared" si="15"/>
        <v>1</v>
      </c>
      <c r="V341">
        <f t="shared" si="16"/>
        <v>2024</v>
      </c>
      <c r="W341" t="str">
        <f t="shared" si="17"/>
        <v>2024-1</v>
      </c>
    </row>
    <row r="342" spans="16:23" x14ac:dyDescent="0.25">
      <c r="P342" t="s">
        <v>5</v>
      </c>
      <c r="Q342" t="s">
        <v>31</v>
      </c>
      <c r="R342" t="s">
        <v>259</v>
      </c>
      <c r="S342">
        <v>27979</v>
      </c>
      <c r="T342">
        <v>7</v>
      </c>
      <c r="U342">
        <f t="shared" si="15"/>
        <v>1</v>
      </c>
      <c r="V342">
        <f t="shared" si="16"/>
        <v>2024</v>
      </c>
      <c r="W342" t="str">
        <f t="shared" si="17"/>
        <v>2024-1</v>
      </c>
    </row>
    <row r="343" spans="16:23" x14ac:dyDescent="0.25">
      <c r="P343" t="s">
        <v>27</v>
      </c>
      <c r="Q343" t="s">
        <v>20</v>
      </c>
      <c r="R343" t="s">
        <v>260</v>
      </c>
      <c r="S343">
        <v>10843</v>
      </c>
      <c r="T343">
        <v>4</v>
      </c>
      <c r="U343">
        <f t="shared" si="15"/>
        <v>1</v>
      </c>
      <c r="V343">
        <f t="shared" si="16"/>
        <v>2024</v>
      </c>
      <c r="W343" t="str">
        <f t="shared" si="17"/>
        <v>2024-1</v>
      </c>
    </row>
    <row r="344" spans="16:23" x14ac:dyDescent="0.25">
      <c r="P344" t="s">
        <v>30</v>
      </c>
      <c r="Q344" t="s">
        <v>94</v>
      </c>
      <c r="R344" t="s">
        <v>261</v>
      </c>
      <c r="S344">
        <v>97321</v>
      </c>
      <c r="T344">
        <v>7</v>
      </c>
      <c r="U344">
        <f t="shared" si="15"/>
        <v>1</v>
      </c>
      <c r="V344">
        <f t="shared" si="16"/>
        <v>2024</v>
      </c>
      <c r="W344" t="str">
        <f t="shared" si="17"/>
        <v>2024-1</v>
      </c>
    </row>
    <row r="345" spans="16:23" x14ac:dyDescent="0.25">
      <c r="P345" t="s">
        <v>47</v>
      </c>
      <c r="Q345" t="s">
        <v>55</v>
      </c>
      <c r="R345" t="s">
        <v>261</v>
      </c>
      <c r="S345">
        <v>10386</v>
      </c>
      <c r="T345">
        <v>2</v>
      </c>
      <c r="U345">
        <f t="shared" si="15"/>
        <v>1</v>
      </c>
      <c r="V345">
        <f t="shared" si="16"/>
        <v>2024</v>
      </c>
      <c r="W345" t="str">
        <f t="shared" si="17"/>
        <v>2024-1</v>
      </c>
    </row>
    <row r="346" spans="16:23" x14ac:dyDescent="0.25">
      <c r="P346" t="s">
        <v>5</v>
      </c>
      <c r="Q346" t="s">
        <v>69</v>
      </c>
      <c r="R346" t="s">
        <v>261</v>
      </c>
      <c r="S346">
        <v>73600</v>
      </c>
      <c r="T346">
        <v>9</v>
      </c>
      <c r="U346">
        <f t="shared" si="15"/>
        <v>1</v>
      </c>
      <c r="V346">
        <f t="shared" si="16"/>
        <v>2024</v>
      </c>
      <c r="W346" t="str">
        <f t="shared" si="17"/>
        <v>2024-1</v>
      </c>
    </row>
    <row r="347" spans="16:23" x14ac:dyDescent="0.25">
      <c r="P347" t="s">
        <v>47</v>
      </c>
      <c r="Q347" t="s">
        <v>35</v>
      </c>
      <c r="R347" t="s">
        <v>261</v>
      </c>
      <c r="S347">
        <v>28776</v>
      </c>
      <c r="T347">
        <v>5</v>
      </c>
      <c r="U347">
        <f t="shared" si="15"/>
        <v>1</v>
      </c>
      <c r="V347">
        <f t="shared" si="16"/>
        <v>2024</v>
      </c>
      <c r="W347" t="str">
        <f t="shared" si="17"/>
        <v>2024-1</v>
      </c>
    </row>
    <row r="348" spans="16:23" x14ac:dyDescent="0.25">
      <c r="P348" t="s">
        <v>8</v>
      </c>
      <c r="Q348" t="s">
        <v>67</v>
      </c>
      <c r="R348" t="s">
        <v>261</v>
      </c>
      <c r="S348">
        <v>36433</v>
      </c>
      <c r="T348">
        <v>5</v>
      </c>
      <c r="U348">
        <f t="shared" si="15"/>
        <v>1</v>
      </c>
      <c r="V348">
        <f t="shared" si="16"/>
        <v>2024</v>
      </c>
      <c r="W348" t="str">
        <f t="shared" si="17"/>
        <v>2024-1</v>
      </c>
    </row>
    <row r="349" spans="16:23" x14ac:dyDescent="0.25">
      <c r="P349" t="s">
        <v>8</v>
      </c>
      <c r="Q349" t="s">
        <v>196</v>
      </c>
      <c r="R349" t="s">
        <v>261</v>
      </c>
      <c r="S349">
        <v>11283</v>
      </c>
      <c r="T349">
        <v>1</v>
      </c>
      <c r="U349">
        <f t="shared" si="15"/>
        <v>1</v>
      </c>
      <c r="V349">
        <f t="shared" si="16"/>
        <v>2024</v>
      </c>
      <c r="W349" t="str">
        <f t="shared" si="17"/>
        <v>2024-1</v>
      </c>
    </row>
    <row r="350" spans="16:23" x14ac:dyDescent="0.25">
      <c r="P350" t="s">
        <v>45</v>
      </c>
      <c r="Q350" t="s">
        <v>51</v>
      </c>
      <c r="R350" t="s">
        <v>262</v>
      </c>
      <c r="S350">
        <v>67795</v>
      </c>
      <c r="T350">
        <v>8</v>
      </c>
      <c r="U350">
        <f t="shared" si="15"/>
        <v>1</v>
      </c>
      <c r="V350">
        <f t="shared" si="16"/>
        <v>2024</v>
      </c>
      <c r="W350" t="str">
        <f t="shared" si="17"/>
        <v>2024-1</v>
      </c>
    </row>
    <row r="351" spans="16:23" x14ac:dyDescent="0.25">
      <c r="P351" t="s">
        <v>47</v>
      </c>
      <c r="Q351" t="s">
        <v>221</v>
      </c>
      <c r="R351" t="s">
        <v>262</v>
      </c>
      <c r="S351">
        <v>80684</v>
      </c>
      <c r="T351">
        <v>1</v>
      </c>
      <c r="U351">
        <f t="shared" si="15"/>
        <v>1</v>
      </c>
      <c r="V351">
        <f t="shared" si="16"/>
        <v>2024</v>
      </c>
      <c r="W351" t="str">
        <f t="shared" si="17"/>
        <v>2024-1</v>
      </c>
    </row>
    <row r="352" spans="16:23" x14ac:dyDescent="0.25">
      <c r="P352" t="s">
        <v>16</v>
      </c>
      <c r="Q352" t="s">
        <v>70</v>
      </c>
      <c r="R352" t="s">
        <v>262</v>
      </c>
      <c r="S352">
        <v>31639</v>
      </c>
      <c r="T352">
        <v>10</v>
      </c>
      <c r="U352">
        <f t="shared" si="15"/>
        <v>1</v>
      </c>
      <c r="V352">
        <f t="shared" si="16"/>
        <v>2024</v>
      </c>
      <c r="W352" t="str">
        <f t="shared" si="17"/>
        <v>2024-1</v>
      </c>
    </row>
    <row r="353" spans="16:23" x14ac:dyDescent="0.25">
      <c r="P353" t="s">
        <v>25</v>
      </c>
      <c r="Q353" t="s">
        <v>64</v>
      </c>
      <c r="R353" t="s">
        <v>263</v>
      </c>
      <c r="S353">
        <v>41998</v>
      </c>
      <c r="T353">
        <v>4</v>
      </c>
      <c r="U353">
        <f t="shared" si="15"/>
        <v>1</v>
      </c>
      <c r="V353">
        <f t="shared" si="16"/>
        <v>2024</v>
      </c>
      <c r="W353" t="str">
        <f t="shared" si="17"/>
        <v>2024-1</v>
      </c>
    </row>
    <row r="354" spans="16:23" x14ac:dyDescent="0.25">
      <c r="P354" t="s">
        <v>45</v>
      </c>
      <c r="Q354" t="s">
        <v>264</v>
      </c>
      <c r="R354" t="s">
        <v>263</v>
      </c>
      <c r="S354">
        <v>46841</v>
      </c>
      <c r="T354">
        <v>9</v>
      </c>
      <c r="U354">
        <f t="shared" si="15"/>
        <v>1</v>
      </c>
      <c r="V354">
        <f t="shared" si="16"/>
        <v>2024</v>
      </c>
      <c r="W354" t="str">
        <f t="shared" si="17"/>
        <v>2024-1</v>
      </c>
    </row>
    <row r="355" spans="16:23" x14ac:dyDescent="0.25">
      <c r="P355" t="s">
        <v>8</v>
      </c>
      <c r="Q355" t="s">
        <v>17</v>
      </c>
      <c r="R355" t="s">
        <v>263</v>
      </c>
      <c r="S355">
        <v>86922</v>
      </c>
      <c r="T355">
        <v>8</v>
      </c>
      <c r="U355">
        <f t="shared" si="15"/>
        <v>1</v>
      </c>
      <c r="V355">
        <f t="shared" si="16"/>
        <v>2024</v>
      </c>
      <c r="W355" t="str">
        <f t="shared" si="17"/>
        <v>2024-1</v>
      </c>
    </row>
    <row r="356" spans="16:23" x14ac:dyDescent="0.25">
      <c r="P356" t="s">
        <v>45</v>
      </c>
      <c r="Q356" t="s">
        <v>265</v>
      </c>
      <c r="R356" t="s">
        <v>266</v>
      </c>
      <c r="S356">
        <v>78582</v>
      </c>
      <c r="T356">
        <v>9</v>
      </c>
      <c r="U356">
        <f t="shared" si="15"/>
        <v>1</v>
      </c>
      <c r="V356">
        <f t="shared" si="16"/>
        <v>2024</v>
      </c>
      <c r="W356" t="str">
        <f t="shared" si="17"/>
        <v>2024-1</v>
      </c>
    </row>
    <row r="357" spans="16:23" x14ac:dyDescent="0.25">
      <c r="P357" t="s">
        <v>30</v>
      </c>
      <c r="Q357" t="s">
        <v>152</v>
      </c>
      <c r="R357" t="s">
        <v>266</v>
      </c>
      <c r="S357">
        <v>52380</v>
      </c>
      <c r="T357">
        <v>4</v>
      </c>
      <c r="U357">
        <f t="shared" si="15"/>
        <v>1</v>
      </c>
      <c r="V357">
        <f t="shared" si="16"/>
        <v>2024</v>
      </c>
      <c r="W357" t="str">
        <f t="shared" si="17"/>
        <v>2024-1</v>
      </c>
    </row>
    <row r="358" spans="16:23" x14ac:dyDescent="0.25">
      <c r="P358" t="s">
        <v>18</v>
      </c>
      <c r="Q358" t="s">
        <v>176</v>
      </c>
      <c r="R358" t="s">
        <v>266</v>
      </c>
      <c r="S358">
        <v>80655</v>
      </c>
      <c r="T358">
        <v>6</v>
      </c>
      <c r="U358">
        <f t="shared" si="15"/>
        <v>1</v>
      </c>
      <c r="V358">
        <f t="shared" si="16"/>
        <v>2024</v>
      </c>
      <c r="W358" t="str">
        <f t="shared" si="17"/>
        <v>2024-1</v>
      </c>
    </row>
    <row r="359" spans="16:23" x14ac:dyDescent="0.25">
      <c r="P359" t="s">
        <v>47</v>
      </c>
      <c r="Q359" t="s">
        <v>267</v>
      </c>
      <c r="R359" t="s">
        <v>268</v>
      </c>
      <c r="S359">
        <v>89270</v>
      </c>
      <c r="T359">
        <v>6</v>
      </c>
      <c r="U359">
        <f t="shared" si="15"/>
        <v>1</v>
      </c>
      <c r="V359">
        <f t="shared" si="16"/>
        <v>2024</v>
      </c>
      <c r="W359" t="str">
        <f t="shared" si="17"/>
        <v>2024-1</v>
      </c>
    </row>
    <row r="360" spans="16:23" x14ac:dyDescent="0.25">
      <c r="P360" t="s">
        <v>8</v>
      </c>
      <c r="Q360" t="s">
        <v>269</v>
      </c>
      <c r="R360" t="s">
        <v>268</v>
      </c>
      <c r="S360">
        <v>44923</v>
      </c>
      <c r="T360">
        <v>1</v>
      </c>
      <c r="U360">
        <f t="shared" si="15"/>
        <v>1</v>
      </c>
      <c r="V360">
        <f t="shared" si="16"/>
        <v>2024</v>
      </c>
      <c r="W360" t="str">
        <f t="shared" si="17"/>
        <v>2024-1</v>
      </c>
    </row>
    <row r="361" spans="16:23" x14ac:dyDescent="0.25">
      <c r="P361" t="s">
        <v>27</v>
      </c>
      <c r="Q361" t="s">
        <v>92</v>
      </c>
      <c r="R361" t="s">
        <v>268</v>
      </c>
      <c r="S361">
        <v>85312</v>
      </c>
      <c r="T361">
        <v>7</v>
      </c>
      <c r="U361">
        <f t="shared" si="15"/>
        <v>1</v>
      </c>
      <c r="V361">
        <f t="shared" si="16"/>
        <v>2024</v>
      </c>
      <c r="W361" t="str">
        <f t="shared" si="17"/>
        <v>2024-1</v>
      </c>
    </row>
    <row r="362" spans="16:23" x14ac:dyDescent="0.25">
      <c r="P362" t="s">
        <v>30</v>
      </c>
      <c r="Q362" t="s">
        <v>270</v>
      </c>
      <c r="R362" t="s">
        <v>271</v>
      </c>
      <c r="S362">
        <v>19804</v>
      </c>
      <c r="T362">
        <v>6</v>
      </c>
      <c r="U362">
        <f t="shared" si="15"/>
        <v>1</v>
      </c>
      <c r="V362">
        <f t="shared" si="16"/>
        <v>2024</v>
      </c>
      <c r="W362" t="str">
        <f t="shared" si="17"/>
        <v>2024-1</v>
      </c>
    </row>
    <row r="363" spans="16:23" x14ac:dyDescent="0.25">
      <c r="P363" t="s">
        <v>16</v>
      </c>
      <c r="Q363" t="s">
        <v>188</v>
      </c>
      <c r="R363" t="s">
        <v>271</v>
      </c>
      <c r="S363">
        <v>91311</v>
      </c>
      <c r="T363">
        <v>9</v>
      </c>
      <c r="U363">
        <f t="shared" si="15"/>
        <v>1</v>
      </c>
      <c r="V363">
        <f t="shared" si="16"/>
        <v>2024</v>
      </c>
      <c r="W363" t="str">
        <f t="shared" si="17"/>
        <v>2024-1</v>
      </c>
    </row>
    <row r="364" spans="16:23" x14ac:dyDescent="0.25">
      <c r="P364" t="s">
        <v>47</v>
      </c>
      <c r="Q364" t="s">
        <v>231</v>
      </c>
      <c r="R364" t="s">
        <v>271</v>
      </c>
      <c r="S364">
        <v>72214</v>
      </c>
      <c r="T364">
        <v>7</v>
      </c>
      <c r="U364">
        <f t="shared" si="15"/>
        <v>1</v>
      </c>
      <c r="V364">
        <f t="shared" si="16"/>
        <v>2024</v>
      </c>
      <c r="W364" t="str">
        <f t="shared" si="17"/>
        <v>2024-1</v>
      </c>
    </row>
    <row r="365" spans="16:23" x14ac:dyDescent="0.25">
      <c r="P365" t="s">
        <v>18</v>
      </c>
      <c r="Q365" t="s">
        <v>272</v>
      </c>
      <c r="R365" t="s">
        <v>271</v>
      </c>
      <c r="S365">
        <v>43381</v>
      </c>
      <c r="T365">
        <v>7</v>
      </c>
      <c r="U365">
        <f t="shared" si="15"/>
        <v>1</v>
      </c>
      <c r="V365">
        <f t="shared" si="16"/>
        <v>2024</v>
      </c>
      <c r="W365" t="str">
        <f t="shared" si="17"/>
        <v>2024-1</v>
      </c>
    </row>
    <row r="366" spans="16:23" x14ac:dyDescent="0.25">
      <c r="P366" t="s">
        <v>30</v>
      </c>
      <c r="Q366" t="s">
        <v>227</v>
      </c>
      <c r="R366" t="s">
        <v>271</v>
      </c>
      <c r="S366">
        <v>28460</v>
      </c>
      <c r="T366">
        <v>8</v>
      </c>
      <c r="U366">
        <f t="shared" si="15"/>
        <v>1</v>
      </c>
      <c r="V366">
        <f t="shared" si="16"/>
        <v>2024</v>
      </c>
      <c r="W366" t="str">
        <f t="shared" si="17"/>
        <v>2024-1</v>
      </c>
    </row>
    <row r="367" spans="16:23" x14ac:dyDescent="0.25">
      <c r="P367" t="s">
        <v>38</v>
      </c>
      <c r="Q367" t="s">
        <v>50</v>
      </c>
      <c r="R367" t="s">
        <v>271</v>
      </c>
      <c r="S367">
        <v>59274</v>
      </c>
      <c r="T367">
        <v>5</v>
      </c>
      <c r="U367">
        <f t="shared" si="15"/>
        <v>1</v>
      </c>
      <c r="V367">
        <f t="shared" si="16"/>
        <v>2024</v>
      </c>
      <c r="W367" t="str">
        <f t="shared" si="17"/>
        <v>2024-1</v>
      </c>
    </row>
    <row r="368" spans="16:23" x14ac:dyDescent="0.25">
      <c r="P368" t="s">
        <v>47</v>
      </c>
      <c r="Q368" t="s">
        <v>39</v>
      </c>
      <c r="R368" t="s">
        <v>271</v>
      </c>
      <c r="S368">
        <v>31258</v>
      </c>
      <c r="T368">
        <v>6</v>
      </c>
      <c r="U368">
        <f t="shared" si="15"/>
        <v>1</v>
      </c>
      <c r="V368">
        <f t="shared" si="16"/>
        <v>2024</v>
      </c>
      <c r="W368" t="str">
        <f t="shared" si="17"/>
        <v>2024-1</v>
      </c>
    </row>
    <row r="369" spans="16:23" x14ac:dyDescent="0.25">
      <c r="P369" t="s">
        <v>5</v>
      </c>
      <c r="Q369" t="s">
        <v>52</v>
      </c>
      <c r="R369" t="s">
        <v>273</v>
      </c>
      <c r="S369">
        <v>44012</v>
      </c>
      <c r="T369">
        <v>5</v>
      </c>
      <c r="U369">
        <f t="shared" si="15"/>
        <v>1</v>
      </c>
      <c r="V369">
        <f t="shared" si="16"/>
        <v>2024</v>
      </c>
      <c r="W369" t="str">
        <f t="shared" si="17"/>
        <v>2024-1</v>
      </c>
    </row>
    <row r="370" spans="16:23" x14ac:dyDescent="0.25">
      <c r="P370" t="s">
        <v>47</v>
      </c>
      <c r="Q370" t="s">
        <v>188</v>
      </c>
      <c r="R370" t="s">
        <v>273</v>
      </c>
      <c r="S370">
        <v>48980</v>
      </c>
      <c r="T370">
        <v>4</v>
      </c>
      <c r="U370">
        <f t="shared" si="15"/>
        <v>1</v>
      </c>
      <c r="V370">
        <f t="shared" si="16"/>
        <v>2024</v>
      </c>
      <c r="W370" t="str">
        <f t="shared" si="17"/>
        <v>2024-1</v>
      </c>
    </row>
    <row r="371" spans="16:23" x14ac:dyDescent="0.25">
      <c r="P371" t="s">
        <v>45</v>
      </c>
      <c r="Q371" t="s">
        <v>36</v>
      </c>
      <c r="R371" t="s">
        <v>273</v>
      </c>
      <c r="S371">
        <v>40464</v>
      </c>
      <c r="T371">
        <v>9</v>
      </c>
      <c r="U371">
        <f t="shared" si="15"/>
        <v>1</v>
      </c>
      <c r="V371">
        <f t="shared" si="16"/>
        <v>2024</v>
      </c>
      <c r="W371" t="str">
        <f t="shared" si="17"/>
        <v>2024-1</v>
      </c>
    </row>
    <row r="372" spans="16:23" x14ac:dyDescent="0.25">
      <c r="P372" t="s">
        <v>13</v>
      </c>
      <c r="Q372" t="s">
        <v>133</v>
      </c>
      <c r="R372" t="s">
        <v>274</v>
      </c>
      <c r="S372">
        <v>58781</v>
      </c>
      <c r="T372">
        <v>10</v>
      </c>
      <c r="U372">
        <f t="shared" si="15"/>
        <v>1</v>
      </c>
      <c r="V372">
        <f t="shared" si="16"/>
        <v>2024</v>
      </c>
      <c r="W372" t="str">
        <f t="shared" si="17"/>
        <v>2024-1</v>
      </c>
    </row>
    <row r="373" spans="16:23" x14ac:dyDescent="0.25">
      <c r="P373" t="s">
        <v>25</v>
      </c>
      <c r="Q373" t="s">
        <v>28</v>
      </c>
      <c r="R373" t="s">
        <v>275</v>
      </c>
      <c r="S373">
        <v>99629</v>
      </c>
      <c r="T373">
        <v>5</v>
      </c>
      <c r="U373">
        <f t="shared" si="15"/>
        <v>1</v>
      </c>
      <c r="V373">
        <f t="shared" si="16"/>
        <v>2024</v>
      </c>
      <c r="W373" t="str">
        <f t="shared" si="17"/>
        <v>2024-1</v>
      </c>
    </row>
    <row r="374" spans="16:23" x14ac:dyDescent="0.25">
      <c r="P374" t="s">
        <v>25</v>
      </c>
      <c r="Q374" t="s">
        <v>217</v>
      </c>
      <c r="R374" t="s">
        <v>275</v>
      </c>
      <c r="S374">
        <v>12636</v>
      </c>
      <c r="T374">
        <v>7</v>
      </c>
      <c r="U374">
        <f t="shared" si="15"/>
        <v>1</v>
      </c>
      <c r="V374">
        <f t="shared" si="16"/>
        <v>2024</v>
      </c>
      <c r="W374" t="str">
        <f t="shared" si="17"/>
        <v>2024-1</v>
      </c>
    </row>
    <row r="375" spans="16:23" x14ac:dyDescent="0.25">
      <c r="P375" t="s">
        <v>18</v>
      </c>
      <c r="Q375" t="s">
        <v>26</v>
      </c>
      <c r="R375" t="s">
        <v>276</v>
      </c>
      <c r="S375">
        <v>13733</v>
      </c>
      <c r="T375">
        <v>9</v>
      </c>
      <c r="U375">
        <f t="shared" si="15"/>
        <v>1</v>
      </c>
      <c r="V375">
        <f t="shared" si="16"/>
        <v>2024</v>
      </c>
      <c r="W375" t="str">
        <f t="shared" si="17"/>
        <v>2024-1</v>
      </c>
    </row>
    <row r="376" spans="16:23" x14ac:dyDescent="0.25">
      <c r="P376" t="s">
        <v>10</v>
      </c>
      <c r="Q376" t="s">
        <v>162</v>
      </c>
      <c r="R376" t="s">
        <v>276</v>
      </c>
      <c r="S376">
        <v>72293</v>
      </c>
      <c r="T376">
        <v>3</v>
      </c>
      <c r="U376">
        <f t="shared" si="15"/>
        <v>1</v>
      </c>
      <c r="V376">
        <f t="shared" si="16"/>
        <v>2024</v>
      </c>
      <c r="W376" t="str">
        <f t="shared" si="17"/>
        <v>2024-1</v>
      </c>
    </row>
    <row r="377" spans="16:23" x14ac:dyDescent="0.25">
      <c r="P377" t="s">
        <v>13</v>
      </c>
      <c r="Q377" t="s">
        <v>146</v>
      </c>
      <c r="R377" t="s">
        <v>276</v>
      </c>
      <c r="S377">
        <v>16736</v>
      </c>
      <c r="T377">
        <v>3</v>
      </c>
      <c r="U377">
        <f t="shared" si="15"/>
        <v>1</v>
      </c>
      <c r="V377">
        <f t="shared" si="16"/>
        <v>2024</v>
      </c>
      <c r="W377" t="str">
        <f t="shared" si="17"/>
        <v>2024-1</v>
      </c>
    </row>
    <row r="378" spans="16:23" x14ac:dyDescent="0.25">
      <c r="P378" t="s">
        <v>16</v>
      </c>
      <c r="Q378" t="s">
        <v>215</v>
      </c>
      <c r="R378" t="s">
        <v>277</v>
      </c>
      <c r="S378">
        <v>57909</v>
      </c>
      <c r="T378">
        <v>6</v>
      </c>
      <c r="U378">
        <f t="shared" si="15"/>
        <v>1</v>
      </c>
      <c r="V378">
        <f t="shared" si="16"/>
        <v>2024</v>
      </c>
      <c r="W378" t="str">
        <f t="shared" si="17"/>
        <v>2024-1</v>
      </c>
    </row>
    <row r="379" spans="16:23" x14ac:dyDescent="0.25">
      <c r="P379" t="s">
        <v>13</v>
      </c>
      <c r="Q379" t="s">
        <v>156</v>
      </c>
      <c r="R379" t="s">
        <v>277</v>
      </c>
      <c r="S379">
        <v>80196</v>
      </c>
      <c r="T379">
        <v>7</v>
      </c>
      <c r="U379">
        <f t="shared" si="15"/>
        <v>1</v>
      </c>
      <c r="V379">
        <f t="shared" si="16"/>
        <v>2024</v>
      </c>
      <c r="W379" t="str">
        <f t="shared" si="17"/>
        <v>2024-1</v>
      </c>
    </row>
    <row r="380" spans="16:23" x14ac:dyDescent="0.25">
      <c r="P380" t="s">
        <v>45</v>
      </c>
      <c r="Q380" t="s">
        <v>49</v>
      </c>
      <c r="R380" t="s">
        <v>277</v>
      </c>
      <c r="S380">
        <v>81618</v>
      </c>
      <c r="T380">
        <v>6</v>
      </c>
      <c r="U380">
        <f t="shared" si="15"/>
        <v>1</v>
      </c>
      <c r="V380">
        <f t="shared" si="16"/>
        <v>2024</v>
      </c>
      <c r="W380" t="str">
        <f t="shared" si="17"/>
        <v>2024-1</v>
      </c>
    </row>
    <row r="381" spans="16:23" x14ac:dyDescent="0.25">
      <c r="P381" t="s">
        <v>30</v>
      </c>
      <c r="Q381" t="s">
        <v>187</v>
      </c>
      <c r="R381" t="s">
        <v>277</v>
      </c>
      <c r="S381">
        <v>16195</v>
      </c>
      <c r="T381">
        <v>3</v>
      </c>
      <c r="U381">
        <f t="shared" si="15"/>
        <v>1</v>
      </c>
      <c r="V381">
        <f t="shared" si="16"/>
        <v>2024</v>
      </c>
      <c r="W381" t="str">
        <f t="shared" si="17"/>
        <v>2024-1</v>
      </c>
    </row>
    <row r="382" spans="16:23" x14ac:dyDescent="0.25">
      <c r="P382" t="s">
        <v>13</v>
      </c>
      <c r="Q382" t="s">
        <v>186</v>
      </c>
      <c r="R382" t="s">
        <v>277</v>
      </c>
      <c r="S382">
        <v>22749</v>
      </c>
      <c r="T382">
        <v>5</v>
      </c>
      <c r="U382">
        <f t="shared" si="15"/>
        <v>1</v>
      </c>
      <c r="V382">
        <f t="shared" si="16"/>
        <v>2024</v>
      </c>
      <c r="W382" t="str">
        <f t="shared" si="17"/>
        <v>2024-1</v>
      </c>
    </row>
    <row r="383" spans="16:23" x14ac:dyDescent="0.25">
      <c r="P383" t="s">
        <v>10</v>
      </c>
      <c r="Q383" t="s">
        <v>239</v>
      </c>
      <c r="R383" t="s">
        <v>277</v>
      </c>
      <c r="S383">
        <v>68430</v>
      </c>
      <c r="T383">
        <v>6</v>
      </c>
      <c r="U383">
        <f t="shared" si="15"/>
        <v>1</v>
      </c>
      <c r="V383">
        <f t="shared" si="16"/>
        <v>2024</v>
      </c>
      <c r="W383" t="str">
        <f t="shared" si="17"/>
        <v>2024-1</v>
      </c>
    </row>
    <row r="384" spans="16:23" x14ac:dyDescent="0.25">
      <c r="P384" t="s">
        <v>18</v>
      </c>
      <c r="Q384" t="s">
        <v>73</v>
      </c>
      <c r="R384" t="s">
        <v>278</v>
      </c>
      <c r="S384">
        <v>82814</v>
      </c>
      <c r="T384">
        <v>7</v>
      </c>
      <c r="U384">
        <f t="shared" si="15"/>
        <v>1</v>
      </c>
      <c r="V384">
        <f t="shared" si="16"/>
        <v>2024</v>
      </c>
      <c r="W384" t="str">
        <f t="shared" si="17"/>
        <v>2024-1</v>
      </c>
    </row>
    <row r="385" spans="16:23" x14ac:dyDescent="0.25">
      <c r="P385" t="s">
        <v>10</v>
      </c>
      <c r="Q385" t="s">
        <v>173</v>
      </c>
      <c r="R385" t="s">
        <v>278</v>
      </c>
      <c r="S385">
        <v>73072</v>
      </c>
      <c r="T385">
        <v>1</v>
      </c>
      <c r="U385">
        <f t="shared" si="15"/>
        <v>1</v>
      </c>
      <c r="V385">
        <f t="shared" si="16"/>
        <v>2024</v>
      </c>
      <c r="W385" t="str">
        <f t="shared" si="17"/>
        <v>2024-1</v>
      </c>
    </row>
    <row r="386" spans="16:23" x14ac:dyDescent="0.25">
      <c r="P386" t="s">
        <v>10</v>
      </c>
      <c r="Q386" t="s">
        <v>126</v>
      </c>
      <c r="R386" t="s">
        <v>278</v>
      </c>
      <c r="S386">
        <v>39083</v>
      </c>
      <c r="T386">
        <v>3</v>
      </c>
      <c r="U386">
        <f t="shared" si="15"/>
        <v>1</v>
      </c>
      <c r="V386">
        <f t="shared" si="16"/>
        <v>2024</v>
      </c>
      <c r="W386" t="str">
        <f t="shared" si="17"/>
        <v>2024-1</v>
      </c>
    </row>
    <row r="387" spans="16:23" x14ac:dyDescent="0.25">
      <c r="P387" t="s">
        <v>16</v>
      </c>
      <c r="Q387" t="s">
        <v>205</v>
      </c>
      <c r="R387" t="s">
        <v>278</v>
      </c>
      <c r="S387">
        <v>19290</v>
      </c>
      <c r="T387">
        <v>9</v>
      </c>
      <c r="U387">
        <f t="shared" ref="U387:U450" si="18">MONTH(R387)</f>
        <v>1</v>
      </c>
      <c r="V387">
        <f t="shared" ref="V387:V450" si="19">YEAR(R387)</f>
        <v>2024</v>
      </c>
      <c r="W387" t="str">
        <f t="shared" ref="W387:W450" si="20">V387&amp;"-"&amp;U387</f>
        <v>2024-1</v>
      </c>
    </row>
    <row r="388" spans="16:23" x14ac:dyDescent="0.25">
      <c r="P388" t="s">
        <v>47</v>
      </c>
      <c r="Q388" t="s">
        <v>121</v>
      </c>
      <c r="R388" t="s">
        <v>278</v>
      </c>
      <c r="S388">
        <v>92039</v>
      </c>
      <c r="T388">
        <v>1</v>
      </c>
      <c r="U388">
        <f t="shared" si="18"/>
        <v>1</v>
      </c>
      <c r="V388">
        <f t="shared" si="19"/>
        <v>2024</v>
      </c>
      <c r="W388" t="str">
        <f t="shared" si="20"/>
        <v>2024-1</v>
      </c>
    </row>
    <row r="389" spans="16:23" x14ac:dyDescent="0.25">
      <c r="P389" t="s">
        <v>45</v>
      </c>
      <c r="Q389" t="s">
        <v>279</v>
      </c>
      <c r="R389" t="s">
        <v>280</v>
      </c>
      <c r="S389">
        <v>18445</v>
      </c>
      <c r="T389">
        <v>6</v>
      </c>
      <c r="U389">
        <f t="shared" si="18"/>
        <v>1</v>
      </c>
      <c r="V389">
        <f t="shared" si="19"/>
        <v>2024</v>
      </c>
      <c r="W389" t="str">
        <f t="shared" si="20"/>
        <v>2024-1</v>
      </c>
    </row>
    <row r="390" spans="16:23" x14ac:dyDescent="0.25">
      <c r="P390" t="s">
        <v>10</v>
      </c>
      <c r="Q390" t="s">
        <v>67</v>
      </c>
      <c r="R390" t="s">
        <v>281</v>
      </c>
      <c r="S390">
        <v>20763</v>
      </c>
      <c r="T390">
        <v>7</v>
      </c>
      <c r="U390">
        <f t="shared" si="18"/>
        <v>1</v>
      </c>
      <c r="V390">
        <f t="shared" si="19"/>
        <v>2024</v>
      </c>
      <c r="W390" t="str">
        <f t="shared" si="20"/>
        <v>2024-1</v>
      </c>
    </row>
    <row r="391" spans="16:23" x14ac:dyDescent="0.25">
      <c r="P391" t="s">
        <v>45</v>
      </c>
      <c r="Q391" t="s">
        <v>196</v>
      </c>
      <c r="R391" t="s">
        <v>281</v>
      </c>
      <c r="S391">
        <v>44762</v>
      </c>
      <c r="T391">
        <v>9</v>
      </c>
      <c r="U391">
        <f t="shared" si="18"/>
        <v>1</v>
      </c>
      <c r="V391">
        <f t="shared" si="19"/>
        <v>2024</v>
      </c>
      <c r="W391" t="str">
        <f t="shared" si="20"/>
        <v>2024-1</v>
      </c>
    </row>
    <row r="392" spans="16:23" x14ac:dyDescent="0.25">
      <c r="P392" t="s">
        <v>25</v>
      </c>
      <c r="Q392" t="s">
        <v>215</v>
      </c>
      <c r="R392" t="s">
        <v>282</v>
      </c>
      <c r="S392">
        <v>25454</v>
      </c>
      <c r="T392">
        <v>8</v>
      </c>
      <c r="U392">
        <f t="shared" si="18"/>
        <v>1</v>
      </c>
      <c r="V392">
        <f t="shared" si="19"/>
        <v>2024</v>
      </c>
      <c r="W392" t="str">
        <f t="shared" si="20"/>
        <v>2024-1</v>
      </c>
    </row>
    <row r="393" spans="16:23" x14ac:dyDescent="0.25">
      <c r="P393" t="s">
        <v>38</v>
      </c>
      <c r="Q393" t="s">
        <v>55</v>
      </c>
      <c r="R393" t="s">
        <v>282</v>
      </c>
      <c r="S393">
        <v>53245</v>
      </c>
      <c r="T393">
        <v>6</v>
      </c>
      <c r="U393">
        <f t="shared" si="18"/>
        <v>1</v>
      </c>
      <c r="V393">
        <f t="shared" si="19"/>
        <v>2024</v>
      </c>
      <c r="W393" t="str">
        <f t="shared" si="20"/>
        <v>2024-1</v>
      </c>
    </row>
    <row r="394" spans="16:23" x14ac:dyDescent="0.25">
      <c r="P394" t="s">
        <v>10</v>
      </c>
      <c r="Q394" t="s">
        <v>74</v>
      </c>
      <c r="R394" t="s">
        <v>282</v>
      </c>
      <c r="S394">
        <v>40123</v>
      </c>
      <c r="T394">
        <v>8</v>
      </c>
      <c r="U394">
        <f t="shared" si="18"/>
        <v>1</v>
      </c>
      <c r="V394">
        <f t="shared" si="19"/>
        <v>2024</v>
      </c>
      <c r="W394" t="str">
        <f t="shared" si="20"/>
        <v>2024-1</v>
      </c>
    </row>
    <row r="395" spans="16:23" x14ac:dyDescent="0.25">
      <c r="P395" t="s">
        <v>10</v>
      </c>
      <c r="Q395" t="s">
        <v>139</v>
      </c>
      <c r="R395" t="s">
        <v>282</v>
      </c>
      <c r="S395">
        <v>65035</v>
      </c>
      <c r="T395">
        <v>5</v>
      </c>
      <c r="U395">
        <f t="shared" si="18"/>
        <v>1</v>
      </c>
      <c r="V395">
        <f t="shared" si="19"/>
        <v>2024</v>
      </c>
      <c r="W395" t="str">
        <f t="shared" si="20"/>
        <v>2024-1</v>
      </c>
    </row>
    <row r="396" spans="16:23" x14ac:dyDescent="0.25">
      <c r="P396" t="s">
        <v>5</v>
      </c>
      <c r="Q396" t="s">
        <v>206</v>
      </c>
      <c r="R396" t="s">
        <v>282</v>
      </c>
      <c r="S396">
        <v>50796</v>
      </c>
      <c r="T396">
        <v>8</v>
      </c>
      <c r="U396">
        <f t="shared" si="18"/>
        <v>1</v>
      </c>
      <c r="V396">
        <f t="shared" si="19"/>
        <v>2024</v>
      </c>
      <c r="W396" t="str">
        <f t="shared" si="20"/>
        <v>2024-1</v>
      </c>
    </row>
    <row r="397" spans="16:23" x14ac:dyDescent="0.25">
      <c r="P397" t="s">
        <v>45</v>
      </c>
      <c r="Q397" t="s">
        <v>187</v>
      </c>
      <c r="R397" t="s">
        <v>282</v>
      </c>
      <c r="S397">
        <v>27458</v>
      </c>
      <c r="T397">
        <v>6</v>
      </c>
      <c r="U397">
        <f t="shared" si="18"/>
        <v>1</v>
      </c>
      <c r="V397">
        <f t="shared" si="19"/>
        <v>2024</v>
      </c>
      <c r="W397" t="str">
        <f t="shared" si="20"/>
        <v>2024-1</v>
      </c>
    </row>
    <row r="398" spans="16:23" x14ac:dyDescent="0.25">
      <c r="P398" t="s">
        <v>38</v>
      </c>
      <c r="Q398" t="s">
        <v>125</v>
      </c>
      <c r="R398" t="s">
        <v>282</v>
      </c>
      <c r="S398">
        <v>25877</v>
      </c>
      <c r="T398">
        <v>7</v>
      </c>
      <c r="U398">
        <f t="shared" si="18"/>
        <v>1</v>
      </c>
      <c r="V398">
        <f t="shared" si="19"/>
        <v>2024</v>
      </c>
      <c r="W398" t="str">
        <f t="shared" si="20"/>
        <v>2024-1</v>
      </c>
    </row>
    <row r="399" spans="16:23" x14ac:dyDescent="0.25">
      <c r="P399" t="s">
        <v>38</v>
      </c>
      <c r="Q399" t="s">
        <v>73</v>
      </c>
      <c r="R399" t="s">
        <v>283</v>
      </c>
      <c r="S399">
        <v>59044</v>
      </c>
      <c r="T399">
        <v>0</v>
      </c>
      <c r="U399">
        <f t="shared" si="18"/>
        <v>1</v>
      </c>
      <c r="V399">
        <f t="shared" si="19"/>
        <v>2024</v>
      </c>
      <c r="W399" t="str">
        <f t="shared" si="20"/>
        <v>2024-1</v>
      </c>
    </row>
    <row r="400" spans="16:23" x14ac:dyDescent="0.25">
      <c r="P400" t="s">
        <v>8</v>
      </c>
      <c r="Q400" t="s">
        <v>66</v>
      </c>
      <c r="R400" t="s">
        <v>283</v>
      </c>
      <c r="S400">
        <v>11613</v>
      </c>
      <c r="T400">
        <v>3</v>
      </c>
      <c r="U400">
        <f t="shared" si="18"/>
        <v>1</v>
      </c>
      <c r="V400">
        <f t="shared" si="19"/>
        <v>2024</v>
      </c>
      <c r="W400" t="str">
        <f t="shared" si="20"/>
        <v>2024-1</v>
      </c>
    </row>
    <row r="401" spans="16:23" x14ac:dyDescent="0.25">
      <c r="P401" t="s">
        <v>13</v>
      </c>
      <c r="Q401" t="s">
        <v>141</v>
      </c>
      <c r="R401" t="s">
        <v>283</v>
      </c>
      <c r="S401">
        <v>44702</v>
      </c>
      <c r="T401">
        <v>0</v>
      </c>
      <c r="U401">
        <f t="shared" si="18"/>
        <v>1</v>
      </c>
      <c r="V401">
        <f t="shared" si="19"/>
        <v>2024</v>
      </c>
      <c r="W401" t="str">
        <f t="shared" si="20"/>
        <v>2024-1</v>
      </c>
    </row>
    <row r="402" spans="16:23" x14ac:dyDescent="0.25">
      <c r="P402" t="s">
        <v>30</v>
      </c>
      <c r="Q402" t="s">
        <v>58</v>
      </c>
      <c r="R402" t="s">
        <v>283</v>
      </c>
      <c r="S402">
        <v>44485</v>
      </c>
      <c r="T402">
        <v>6</v>
      </c>
      <c r="U402">
        <f t="shared" si="18"/>
        <v>1</v>
      </c>
      <c r="V402">
        <f t="shared" si="19"/>
        <v>2024</v>
      </c>
      <c r="W402" t="str">
        <f t="shared" si="20"/>
        <v>2024-1</v>
      </c>
    </row>
    <row r="403" spans="16:23" x14ac:dyDescent="0.25">
      <c r="P403" t="s">
        <v>25</v>
      </c>
      <c r="Q403" t="s">
        <v>202</v>
      </c>
      <c r="R403" t="s">
        <v>284</v>
      </c>
      <c r="S403">
        <v>12882</v>
      </c>
      <c r="T403">
        <v>10</v>
      </c>
      <c r="U403">
        <f t="shared" si="18"/>
        <v>1</v>
      </c>
      <c r="V403">
        <f t="shared" si="19"/>
        <v>2024</v>
      </c>
      <c r="W403" t="str">
        <f t="shared" si="20"/>
        <v>2024-1</v>
      </c>
    </row>
    <row r="404" spans="16:23" x14ac:dyDescent="0.25">
      <c r="P404" t="s">
        <v>8</v>
      </c>
      <c r="Q404" t="s">
        <v>49</v>
      </c>
      <c r="R404" t="s">
        <v>285</v>
      </c>
      <c r="S404">
        <v>11789</v>
      </c>
      <c r="T404">
        <v>8</v>
      </c>
      <c r="U404">
        <f t="shared" si="18"/>
        <v>2</v>
      </c>
      <c r="V404">
        <f t="shared" si="19"/>
        <v>2024</v>
      </c>
      <c r="W404" t="str">
        <f t="shared" si="20"/>
        <v>2024-2</v>
      </c>
    </row>
    <row r="405" spans="16:23" x14ac:dyDescent="0.25">
      <c r="P405" t="s">
        <v>5</v>
      </c>
      <c r="Q405" t="s">
        <v>226</v>
      </c>
      <c r="R405" t="s">
        <v>285</v>
      </c>
      <c r="S405">
        <v>72540</v>
      </c>
      <c r="T405">
        <v>7</v>
      </c>
      <c r="U405">
        <f t="shared" si="18"/>
        <v>2</v>
      </c>
      <c r="V405">
        <f t="shared" si="19"/>
        <v>2024</v>
      </c>
      <c r="W405" t="str">
        <f t="shared" si="20"/>
        <v>2024-2</v>
      </c>
    </row>
    <row r="406" spans="16:23" x14ac:dyDescent="0.25">
      <c r="P406" t="s">
        <v>30</v>
      </c>
      <c r="Q406" t="s">
        <v>221</v>
      </c>
      <c r="R406" t="s">
        <v>285</v>
      </c>
      <c r="S406">
        <v>34658</v>
      </c>
      <c r="T406">
        <v>6</v>
      </c>
      <c r="U406">
        <f t="shared" si="18"/>
        <v>2</v>
      </c>
      <c r="V406">
        <f t="shared" si="19"/>
        <v>2024</v>
      </c>
      <c r="W406" t="str">
        <f t="shared" si="20"/>
        <v>2024-2</v>
      </c>
    </row>
    <row r="407" spans="16:23" x14ac:dyDescent="0.25">
      <c r="P407" t="s">
        <v>18</v>
      </c>
      <c r="Q407" t="s">
        <v>265</v>
      </c>
      <c r="R407" t="s">
        <v>286</v>
      </c>
      <c r="S407">
        <v>51321</v>
      </c>
      <c r="T407">
        <v>7</v>
      </c>
      <c r="U407">
        <f t="shared" si="18"/>
        <v>2</v>
      </c>
      <c r="V407">
        <f t="shared" si="19"/>
        <v>2024</v>
      </c>
      <c r="W407" t="str">
        <f t="shared" si="20"/>
        <v>2024-2</v>
      </c>
    </row>
    <row r="408" spans="16:23" x14ac:dyDescent="0.25">
      <c r="P408" t="s">
        <v>10</v>
      </c>
      <c r="Q408" t="s">
        <v>106</v>
      </c>
      <c r="R408" t="s">
        <v>286</v>
      </c>
      <c r="S408">
        <v>58634</v>
      </c>
      <c r="T408">
        <v>0</v>
      </c>
      <c r="U408">
        <f t="shared" si="18"/>
        <v>2</v>
      </c>
      <c r="V408">
        <f t="shared" si="19"/>
        <v>2024</v>
      </c>
      <c r="W408" t="str">
        <f t="shared" si="20"/>
        <v>2024-2</v>
      </c>
    </row>
    <row r="409" spans="16:23" x14ac:dyDescent="0.25">
      <c r="P409" t="s">
        <v>25</v>
      </c>
      <c r="Q409" t="s">
        <v>287</v>
      </c>
      <c r="R409" t="s">
        <v>288</v>
      </c>
      <c r="S409">
        <v>84092</v>
      </c>
      <c r="T409">
        <v>6</v>
      </c>
      <c r="U409">
        <f t="shared" si="18"/>
        <v>2</v>
      </c>
      <c r="V409">
        <f t="shared" si="19"/>
        <v>2024</v>
      </c>
      <c r="W409" t="str">
        <f t="shared" si="20"/>
        <v>2024-2</v>
      </c>
    </row>
    <row r="410" spans="16:23" x14ac:dyDescent="0.25">
      <c r="P410" t="s">
        <v>18</v>
      </c>
      <c r="Q410" t="s">
        <v>289</v>
      </c>
      <c r="R410" t="s">
        <v>288</v>
      </c>
      <c r="S410">
        <v>25816</v>
      </c>
      <c r="T410">
        <v>5</v>
      </c>
      <c r="U410">
        <f t="shared" si="18"/>
        <v>2</v>
      </c>
      <c r="V410">
        <f t="shared" si="19"/>
        <v>2024</v>
      </c>
      <c r="W410" t="str">
        <f t="shared" si="20"/>
        <v>2024-2</v>
      </c>
    </row>
    <row r="411" spans="16:23" x14ac:dyDescent="0.25">
      <c r="P411" t="s">
        <v>30</v>
      </c>
      <c r="Q411" t="s">
        <v>20</v>
      </c>
      <c r="R411" t="s">
        <v>288</v>
      </c>
      <c r="S411">
        <v>29630</v>
      </c>
      <c r="T411">
        <v>6</v>
      </c>
      <c r="U411">
        <f t="shared" si="18"/>
        <v>2</v>
      </c>
      <c r="V411">
        <f t="shared" si="19"/>
        <v>2024</v>
      </c>
      <c r="W411" t="str">
        <f t="shared" si="20"/>
        <v>2024-2</v>
      </c>
    </row>
    <row r="412" spans="16:23" x14ac:dyDescent="0.25">
      <c r="P412" t="s">
        <v>16</v>
      </c>
      <c r="Q412" t="s">
        <v>9</v>
      </c>
      <c r="R412" t="s">
        <v>288</v>
      </c>
      <c r="S412">
        <v>11739</v>
      </c>
      <c r="T412">
        <v>7</v>
      </c>
      <c r="U412">
        <f t="shared" si="18"/>
        <v>2</v>
      </c>
      <c r="V412">
        <f t="shared" si="19"/>
        <v>2024</v>
      </c>
      <c r="W412" t="str">
        <f t="shared" si="20"/>
        <v>2024-2</v>
      </c>
    </row>
    <row r="413" spans="16:23" x14ac:dyDescent="0.25">
      <c r="P413" t="s">
        <v>8</v>
      </c>
      <c r="Q413" t="s">
        <v>20</v>
      </c>
      <c r="R413" t="s">
        <v>288</v>
      </c>
      <c r="S413">
        <v>87129</v>
      </c>
      <c r="T413">
        <v>3</v>
      </c>
      <c r="U413">
        <f t="shared" si="18"/>
        <v>2</v>
      </c>
      <c r="V413">
        <f t="shared" si="19"/>
        <v>2024</v>
      </c>
      <c r="W413" t="str">
        <f t="shared" si="20"/>
        <v>2024-2</v>
      </c>
    </row>
    <row r="414" spans="16:23" x14ac:dyDescent="0.25">
      <c r="P414" t="s">
        <v>16</v>
      </c>
      <c r="Q414" t="s">
        <v>223</v>
      </c>
      <c r="R414" t="s">
        <v>288</v>
      </c>
      <c r="S414">
        <v>29234</v>
      </c>
      <c r="T414">
        <v>7</v>
      </c>
      <c r="U414">
        <f t="shared" si="18"/>
        <v>2</v>
      </c>
      <c r="V414">
        <f t="shared" si="19"/>
        <v>2024</v>
      </c>
      <c r="W414" t="str">
        <f t="shared" si="20"/>
        <v>2024-2</v>
      </c>
    </row>
    <row r="415" spans="16:23" x14ac:dyDescent="0.25">
      <c r="P415" t="s">
        <v>47</v>
      </c>
      <c r="Q415" t="s">
        <v>196</v>
      </c>
      <c r="R415" t="s">
        <v>288</v>
      </c>
      <c r="S415">
        <v>67921</v>
      </c>
      <c r="T415">
        <v>1</v>
      </c>
      <c r="U415">
        <f t="shared" si="18"/>
        <v>2</v>
      </c>
      <c r="V415">
        <f t="shared" si="19"/>
        <v>2024</v>
      </c>
      <c r="W415" t="str">
        <f t="shared" si="20"/>
        <v>2024-2</v>
      </c>
    </row>
    <row r="416" spans="16:23" x14ac:dyDescent="0.25">
      <c r="P416" t="s">
        <v>47</v>
      </c>
      <c r="Q416" t="s">
        <v>212</v>
      </c>
      <c r="R416" t="s">
        <v>288</v>
      </c>
      <c r="S416">
        <v>16657</v>
      </c>
      <c r="T416">
        <v>0</v>
      </c>
      <c r="U416">
        <f t="shared" si="18"/>
        <v>2</v>
      </c>
      <c r="V416">
        <f t="shared" si="19"/>
        <v>2024</v>
      </c>
      <c r="W416" t="str">
        <f t="shared" si="20"/>
        <v>2024-2</v>
      </c>
    </row>
    <row r="417" spans="16:23" x14ac:dyDescent="0.25">
      <c r="P417" t="s">
        <v>8</v>
      </c>
      <c r="Q417" t="s">
        <v>144</v>
      </c>
      <c r="R417" t="s">
        <v>290</v>
      </c>
      <c r="S417">
        <v>12252</v>
      </c>
      <c r="T417">
        <v>9</v>
      </c>
      <c r="U417">
        <f t="shared" si="18"/>
        <v>2</v>
      </c>
      <c r="V417">
        <f t="shared" si="19"/>
        <v>2024</v>
      </c>
      <c r="W417" t="str">
        <f t="shared" si="20"/>
        <v>2024-2</v>
      </c>
    </row>
    <row r="418" spans="16:23" x14ac:dyDescent="0.25">
      <c r="P418" t="s">
        <v>47</v>
      </c>
      <c r="Q418" t="s">
        <v>91</v>
      </c>
      <c r="R418" t="s">
        <v>290</v>
      </c>
      <c r="S418">
        <v>81580</v>
      </c>
      <c r="T418">
        <v>10</v>
      </c>
      <c r="U418">
        <f t="shared" si="18"/>
        <v>2</v>
      </c>
      <c r="V418">
        <f t="shared" si="19"/>
        <v>2024</v>
      </c>
      <c r="W418" t="str">
        <f t="shared" si="20"/>
        <v>2024-2</v>
      </c>
    </row>
    <row r="419" spans="16:23" x14ac:dyDescent="0.25">
      <c r="P419" t="s">
        <v>10</v>
      </c>
      <c r="Q419" t="s">
        <v>142</v>
      </c>
      <c r="R419" t="s">
        <v>290</v>
      </c>
      <c r="S419">
        <v>26476</v>
      </c>
      <c r="T419">
        <v>0</v>
      </c>
      <c r="U419">
        <f t="shared" si="18"/>
        <v>2</v>
      </c>
      <c r="V419">
        <f t="shared" si="19"/>
        <v>2024</v>
      </c>
      <c r="W419" t="str">
        <f t="shared" si="20"/>
        <v>2024-2</v>
      </c>
    </row>
    <row r="420" spans="16:23" x14ac:dyDescent="0.25">
      <c r="P420" t="s">
        <v>27</v>
      </c>
      <c r="Q420" t="s">
        <v>130</v>
      </c>
      <c r="R420" t="s">
        <v>291</v>
      </c>
      <c r="S420">
        <v>53498</v>
      </c>
      <c r="T420">
        <v>8</v>
      </c>
      <c r="U420">
        <f t="shared" si="18"/>
        <v>2</v>
      </c>
      <c r="V420">
        <f t="shared" si="19"/>
        <v>2024</v>
      </c>
      <c r="W420" t="str">
        <f t="shared" si="20"/>
        <v>2024-2</v>
      </c>
    </row>
    <row r="421" spans="16:23" x14ac:dyDescent="0.25">
      <c r="P421" t="s">
        <v>8</v>
      </c>
      <c r="Q421" t="s">
        <v>121</v>
      </c>
      <c r="R421" t="s">
        <v>291</v>
      </c>
      <c r="S421">
        <v>38481</v>
      </c>
      <c r="T421">
        <v>8</v>
      </c>
      <c r="U421">
        <f t="shared" si="18"/>
        <v>2</v>
      </c>
      <c r="V421">
        <f t="shared" si="19"/>
        <v>2024</v>
      </c>
      <c r="W421" t="str">
        <f t="shared" si="20"/>
        <v>2024-2</v>
      </c>
    </row>
    <row r="422" spans="16:23" x14ac:dyDescent="0.25">
      <c r="P422" t="s">
        <v>38</v>
      </c>
      <c r="Q422" t="s">
        <v>248</v>
      </c>
      <c r="R422" t="s">
        <v>291</v>
      </c>
      <c r="S422">
        <v>24642</v>
      </c>
      <c r="T422">
        <v>6</v>
      </c>
      <c r="U422">
        <f t="shared" si="18"/>
        <v>2</v>
      </c>
      <c r="V422">
        <f t="shared" si="19"/>
        <v>2024</v>
      </c>
      <c r="W422" t="str">
        <f t="shared" si="20"/>
        <v>2024-2</v>
      </c>
    </row>
    <row r="423" spans="16:23" x14ac:dyDescent="0.25">
      <c r="P423" t="s">
        <v>10</v>
      </c>
      <c r="Q423" t="s">
        <v>217</v>
      </c>
      <c r="R423" t="s">
        <v>292</v>
      </c>
      <c r="S423">
        <v>69956</v>
      </c>
      <c r="T423">
        <v>3</v>
      </c>
      <c r="U423">
        <f t="shared" si="18"/>
        <v>2</v>
      </c>
      <c r="V423">
        <f t="shared" si="19"/>
        <v>2024</v>
      </c>
      <c r="W423" t="str">
        <f t="shared" si="20"/>
        <v>2024-2</v>
      </c>
    </row>
    <row r="424" spans="16:23" x14ac:dyDescent="0.25">
      <c r="P424" t="s">
        <v>45</v>
      </c>
      <c r="Q424" t="s">
        <v>293</v>
      </c>
      <c r="R424" t="s">
        <v>292</v>
      </c>
      <c r="S424">
        <v>34583</v>
      </c>
      <c r="T424">
        <v>4</v>
      </c>
      <c r="U424">
        <f t="shared" si="18"/>
        <v>2</v>
      </c>
      <c r="V424">
        <f t="shared" si="19"/>
        <v>2024</v>
      </c>
      <c r="W424" t="str">
        <f t="shared" si="20"/>
        <v>2024-2</v>
      </c>
    </row>
    <row r="425" spans="16:23" x14ac:dyDescent="0.25">
      <c r="P425" t="s">
        <v>16</v>
      </c>
      <c r="Q425" t="s">
        <v>122</v>
      </c>
      <c r="R425" t="s">
        <v>292</v>
      </c>
      <c r="S425">
        <v>81554</v>
      </c>
      <c r="T425">
        <v>9</v>
      </c>
      <c r="U425">
        <f t="shared" si="18"/>
        <v>2</v>
      </c>
      <c r="V425">
        <f t="shared" si="19"/>
        <v>2024</v>
      </c>
      <c r="W425" t="str">
        <f t="shared" si="20"/>
        <v>2024-2</v>
      </c>
    </row>
    <row r="426" spans="16:23" x14ac:dyDescent="0.25">
      <c r="P426" t="s">
        <v>45</v>
      </c>
      <c r="Q426" t="s">
        <v>77</v>
      </c>
      <c r="R426" t="s">
        <v>292</v>
      </c>
      <c r="S426">
        <v>47962</v>
      </c>
      <c r="T426">
        <v>6</v>
      </c>
      <c r="U426">
        <f t="shared" si="18"/>
        <v>2</v>
      </c>
      <c r="V426">
        <f t="shared" si="19"/>
        <v>2024</v>
      </c>
      <c r="W426" t="str">
        <f t="shared" si="20"/>
        <v>2024-2</v>
      </c>
    </row>
    <row r="427" spans="16:23" x14ac:dyDescent="0.25">
      <c r="P427" t="s">
        <v>47</v>
      </c>
      <c r="Q427" t="s">
        <v>227</v>
      </c>
      <c r="R427" t="s">
        <v>294</v>
      </c>
      <c r="S427">
        <v>91164</v>
      </c>
      <c r="T427">
        <v>2</v>
      </c>
      <c r="U427">
        <f t="shared" si="18"/>
        <v>2</v>
      </c>
      <c r="V427">
        <f t="shared" si="19"/>
        <v>2024</v>
      </c>
      <c r="W427" t="str">
        <f t="shared" si="20"/>
        <v>2024-2</v>
      </c>
    </row>
    <row r="428" spans="16:23" x14ac:dyDescent="0.25">
      <c r="P428" t="s">
        <v>10</v>
      </c>
      <c r="Q428" t="s">
        <v>295</v>
      </c>
      <c r="R428" t="s">
        <v>294</v>
      </c>
      <c r="S428">
        <v>85979</v>
      </c>
      <c r="T428">
        <v>6</v>
      </c>
      <c r="U428">
        <f t="shared" si="18"/>
        <v>2</v>
      </c>
      <c r="V428">
        <f t="shared" si="19"/>
        <v>2024</v>
      </c>
      <c r="W428" t="str">
        <f t="shared" si="20"/>
        <v>2024-2</v>
      </c>
    </row>
    <row r="429" spans="16:23" x14ac:dyDescent="0.25">
      <c r="P429" t="s">
        <v>30</v>
      </c>
      <c r="Q429" t="s">
        <v>134</v>
      </c>
      <c r="R429" t="s">
        <v>294</v>
      </c>
      <c r="S429">
        <v>51610</v>
      </c>
      <c r="T429">
        <v>4</v>
      </c>
      <c r="U429">
        <f t="shared" si="18"/>
        <v>2</v>
      </c>
      <c r="V429">
        <f t="shared" si="19"/>
        <v>2024</v>
      </c>
      <c r="W429" t="str">
        <f t="shared" si="20"/>
        <v>2024-2</v>
      </c>
    </row>
    <row r="430" spans="16:23" x14ac:dyDescent="0.25">
      <c r="P430" t="s">
        <v>18</v>
      </c>
      <c r="Q430" t="s">
        <v>296</v>
      </c>
      <c r="R430" t="s">
        <v>294</v>
      </c>
      <c r="S430">
        <v>90805</v>
      </c>
      <c r="T430">
        <v>8</v>
      </c>
      <c r="U430">
        <f t="shared" si="18"/>
        <v>2</v>
      </c>
      <c r="V430">
        <f t="shared" si="19"/>
        <v>2024</v>
      </c>
      <c r="W430" t="str">
        <f t="shared" si="20"/>
        <v>2024-2</v>
      </c>
    </row>
    <row r="431" spans="16:23" x14ac:dyDescent="0.25">
      <c r="P431" t="s">
        <v>47</v>
      </c>
      <c r="Q431" t="s">
        <v>165</v>
      </c>
      <c r="R431" t="s">
        <v>297</v>
      </c>
      <c r="S431">
        <v>16533</v>
      </c>
      <c r="T431">
        <v>7</v>
      </c>
      <c r="U431">
        <f t="shared" si="18"/>
        <v>2</v>
      </c>
      <c r="V431">
        <f t="shared" si="19"/>
        <v>2024</v>
      </c>
      <c r="W431" t="str">
        <f t="shared" si="20"/>
        <v>2024-2</v>
      </c>
    </row>
    <row r="432" spans="16:23" x14ac:dyDescent="0.25">
      <c r="P432" t="s">
        <v>8</v>
      </c>
      <c r="Q432" t="s">
        <v>226</v>
      </c>
      <c r="R432" t="s">
        <v>297</v>
      </c>
      <c r="S432">
        <v>71070</v>
      </c>
      <c r="T432">
        <v>7</v>
      </c>
      <c r="U432">
        <f t="shared" si="18"/>
        <v>2</v>
      </c>
      <c r="V432">
        <f t="shared" si="19"/>
        <v>2024</v>
      </c>
      <c r="W432" t="str">
        <f t="shared" si="20"/>
        <v>2024-2</v>
      </c>
    </row>
    <row r="433" spans="16:23" x14ac:dyDescent="0.25">
      <c r="P433" t="s">
        <v>10</v>
      </c>
      <c r="Q433" t="s">
        <v>149</v>
      </c>
      <c r="R433" t="s">
        <v>297</v>
      </c>
      <c r="S433">
        <v>64084</v>
      </c>
      <c r="T433">
        <v>5</v>
      </c>
      <c r="U433">
        <f t="shared" si="18"/>
        <v>2</v>
      </c>
      <c r="V433">
        <f t="shared" si="19"/>
        <v>2024</v>
      </c>
      <c r="W433" t="str">
        <f t="shared" si="20"/>
        <v>2024-2</v>
      </c>
    </row>
    <row r="434" spans="16:23" x14ac:dyDescent="0.25">
      <c r="P434" t="s">
        <v>30</v>
      </c>
      <c r="Q434" t="s">
        <v>289</v>
      </c>
      <c r="R434" t="s">
        <v>297</v>
      </c>
      <c r="S434">
        <v>81103</v>
      </c>
      <c r="T434">
        <v>7</v>
      </c>
      <c r="U434">
        <f t="shared" si="18"/>
        <v>2</v>
      </c>
      <c r="V434">
        <f t="shared" si="19"/>
        <v>2024</v>
      </c>
      <c r="W434" t="str">
        <f t="shared" si="20"/>
        <v>2024-2</v>
      </c>
    </row>
    <row r="435" spans="16:23" x14ac:dyDescent="0.25">
      <c r="P435" t="s">
        <v>10</v>
      </c>
      <c r="Q435" t="s">
        <v>298</v>
      </c>
      <c r="R435" t="s">
        <v>297</v>
      </c>
      <c r="S435">
        <v>90026</v>
      </c>
      <c r="T435">
        <v>9</v>
      </c>
      <c r="U435">
        <f t="shared" si="18"/>
        <v>2</v>
      </c>
      <c r="V435">
        <f t="shared" si="19"/>
        <v>2024</v>
      </c>
      <c r="W435" t="str">
        <f t="shared" si="20"/>
        <v>2024-2</v>
      </c>
    </row>
    <row r="436" spans="16:23" x14ac:dyDescent="0.25">
      <c r="P436" t="s">
        <v>18</v>
      </c>
      <c r="Q436" t="s">
        <v>299</v>
      </c>
      <c r="R436" t="s">
        <v>297</v>
      </c>
      <c r="S436">
        <v>69833</v>
      </c>
      <c r="T436">
        <v>9</v>
      </c>
      <c r="U436">
        <f t="shared" si="18"/>
        <v>2</v>
      </c>
      <c r="V436">
        <f t="shared" si="19"/>
        <v>2024</v>
      </c>
      <c r="W436" t="str">
        <f t="shared" si="20"/>
        <v>2024-2</v>
      </c>
    </row>
    <row r="437" spans="16:23" x14ac:dyDescent="0.25">
      <c r="P437" t="s">
        <v>30</v>
      </c>
      <c r="Q437" t="s">
        <v>20</v>
      </c>
      <c r="R437" t="s">
        <v>297</v>
      </c>
      <c r="S437">
        <v>33788</v>
      </c>
      <c r="T437">
        <v>8</v>
      </c>
      <c r="U437">
        <f t="shared" si="18"/>
        <v>2</v>
      </c>
      <c r="V437">
        <f t="shared" si="19"/>
        <v>2024</v>
      </c>
      <c r="W437" t="str">
        <f t="shared" si="20"/>
        <v>2024-2</v>
      </c>
    </row>
    <row r="438" spans="16:23" x14ac:dyDescent="0.25">
      <c r="P438" t="s">
        <v>16</v>
      </c>
      <c r="Q438" t="s">
        <v>300</v>
      </c>
      <c r="R438" t="s">
        <v>297</v>
      </c>
      <c r="S438">
        <v>94410</v>
      </c>
      <c r="T438">
        <v>7</v>
      </c>
      <c r="U438">
        <f t="shared" si="18"/>
        <v>2</v>
      </c>
      <c r="V438">
        <f t="shared" si="19"/>
        <v>2024</v>
      </c>
      <c r="W438" t="str">
        <f t="shared" si="20"/>
        <v>2024-2</v>
      </c>
    </row>
    <row r="439" spans="16:23" x14ac:dyDescent="0.25">
      <c r="P439" t="s">
        <v>30</v>
      </c>
      <c r="Q439" t="s">
        <v>190</v>
      </c>
      <c r="R439" t="s">
        <v>301</v>
      </c>
      <c r="S439">
        <v>43547</v>
      </c>
      <c r="T439">
        <v>6</v>
      </c>
      <c r="U439">
        <f t="shared" si="18"/>
        <v>2</v>
      </c>
      <c r="V439">
        <f t="shared" si="19"/>
        <v>2024</v>
      </c>
      <c r="W439" t="str">
        <f t="shared" si="20"/>
        <v>2024-2</v>
      </c>
    </row>
    <row r="440" spans="16:23" x14ac:dyDescent="0.25">
      <c r="P440" t="s">
        <v>16</v>
      </c>
      <c r="Q440" t="s">
        <v>239</v>
      </c>
      <c r="R440" t="s">
        <v>301</v>
      </c>
      <c r="S440">
        <v>80046</v>
      </c>
      <c r="T440">
        <v>8</v>
      </c>
      <c r="U440">
        <f t="shared" si="18"/>
        <v>2</v>
      </c>
      <c r="V440">
        <f t="shared" si="19"/>
        <v>2024</v>
      </c>
      <c r="W440" t="str">
        <f t="shared" si="20"/>
        <v>2024-2</v>
      </c>
    </row>
    <row r="441" spans="16:23" x14ac:dyDescent="0.25">
      <c r="P441" t="s">
        <v>38</v>
      </c>
      <c r="Q441" t="s">
        <v>195</v>
      </c>
      <c r="R441" t="s">
        <v>301</v>
      </c>
      <c r="S441">
        <v>73166</v>
      </c>
      <c r="T441">
        <v>5</v>
      </c>
      <c r="U441">
        <f t="shared" si="18"/>
        <v>2</v>
      </c>
      <c r="V441">
        <f t="shared" si="19"/>
        <v>2024</v>
      </c>
      <c r="W441" t="str">
        <f t="shared" si="20"/>
        <v>2024-2</v>
      </c>
    </row>
    <row r="442" spans="16:23" x14ac:dyDescent="0.25">
      <c r="P442" t="s">
        <v>10</v>
      </c>
      <c r="Q442" t="s">
        <v>248</v>
      </c>
      <c r="R442" t="s">
        <v>302</v>
      </c>
      <c r="S442">
        <v>23412</v>
      </c>
      <c r="T442">
        <v>9</v>
      </c>
      <c r="U442">
        <f t="shared" si="18"/>
        <v>2</v>
      </c>
      <c r="V442">
        <f t="shared" si="19"/>
        <v>2024</v>
      </c>
      <c r="W442" t="str">
        <f t="shared" si="20"/>
        <v>2024-2</v>
      </c>
    </row>
    <row r="443" spans="16:23" x14ac:dyDescent="0.25">
      <c r="P443" t="s">
        <v>45</v>
      </c>
      <c r="Q443" t="s">
        <v>128</v>
      </c>
      <c r="R443" t="s">
        <v>302</v>
      </c>
      <c r="S443">
        <v>55251</v>
      </c>
      <c r="T443">
        <v>5</v>
      </c>
      <c r="U443">
        <f t="shared" si="18"/>
        <v>2</v>
      </c>
      <c r="V443">
        <f t="shared" si="19"/>
        <v>2024</v>
      </c>
      <c r="W443" t="str">
        <f t="shared" si="20"/>
        <v>2024-2</v>
      </c>
    </row>
    <row r="444" spans="16:23" x14ac:dyDescent="0.25">
      <c r="P444" t="s">
        <v>47</v>
      </c>
      <c r="Q444" t="s">
        <v>144</v>
      </c>
      <c r="R444" t="s">
        <v>302</v>
      </c>
      <c r="S444">
        <v>67868</v>
      </c>
      <c r="T444">
        <v>10</v>
      </c>
      <c r="U444">
        <f t="shared" si="18"/>
        <v>2</v>
      </c>
      <c r="V444">
        <f t="shared" si="19"/>
        <v>2024</v>
      </c>
      <c r="W444" t="str">
        <f t="shared" si="20"/>
        <v>2024-2</v>
      </c>
    </row>
    <row r="445" spans="16:23" x14ac:dyDescent="0.25">
      <c r="P445" t="s">
        <v>8</v>
      </c>
      <c r="Q445" t="s">
        <v>58</v>
      </c>
      <c r="R445" t="s">
        <v>302</v>
      </c>
      <c r="S445">
        <v>48556</v>
      </c>
      <c r="T445">
        <v>6</v>
      </c>
      <c r="U445">
        <f t="shared" si="18"/>
        <v>2</v>
      </c>
      <c r="V445">
        <f t="shared" si="19"/>
        <v>2024</v>
      </c>
      <c r="W445" t="str">
        <f t="shared" si="20"/>
        <v>2024-2</v>
      </c>
    </row>
    <row r="446" spans="16:23" x14ac:dyDescent="0.25">
      <c r="P446" t="s">
        <v>30</v>
      </c>
      <c r="Q446" t="s">
        <v>94</v>
      </c>
      <c r="R446" t="s">
        <v>303</v>
      </c>
      <c r="S446">
        <v>22123</v>
      </c>
      <c r="T446">
        <v>5</v>
      </c>
      <c r="U446">
        <f t="shared" si="18"/>
        <v>2</v>
      </c>
      <c r="V446">
        <f t="shared" si="19"/>
        <v>2024</v>
      </c>
      <c r="W446" t="str">
        <f t="shared" si="20"/>
        <v>2024-2</v>
      </c>
    </row>
    <row r="447" spans="16:23" x14ac:dyDescent="0.25">
      <c r="P447" t="s">
        <v>27</v>
      </c>
      <c r="Q447" t="s">
        <v>178</v>
      </c>
      <c r="R447" t="s">
        <v>303</v>
      </c>
      <c r="S447">
        <v>81408</v>
      </c>
      <c r="T447">
        <v>6</v>
      </c>
      <c r="U447">
        <f t="shared" si="18"/>
        <v>2</v>
      </c>
      <c r="V447">
        <f t="shared" si="19"/>
        <v>2024</v>
      </c>
      <c r="W447" t="str">
        <f t="shared" si="20"/>
        <v>2024-2</v>
      </c>
    </row>
    <row r="448" spans="16:23" x14ac:dyDescent="0.25">
      <c r="P448" t="s">
        <v>45</v>
      </c>
      <c r="Q448" t="s">
        <v>157</v>
      </c>
      <c r="R448" t="s">
        <v>304</v>
      </c>
      <c r="S448">
        <v>77306</v>
      </c>
      <c r="T448">
        <v>7</v>
      </c>
      <c r="U448">
        <f t="shared" si="18"/>
        <v>2</v>
      </c>
      <c r="V448">
        <f t="shared" si="19"/>
        <v>2024</v>
      </c>
      <c r="W448" t="str">
        <f t="shared" si="20"/>
        <v>2024-2</v>
      </c>
    </row>
    <row r="449" spans="16:23" x14ac:dyDescent="0.25">
      <c r="P449" t="s">
        <v>18</v>
      </c>
      <c r="Q449" t="s">
        <v>114</v>
      </c>
      <c r="R449" t="s">
        <v>304</v>
      </c>
      <c r="S449">
        <v>15184</v>
      </c>
      <c r="T449">
        <v>8</v>
      </c>
      <c r="U449">
        <f t="shared" si="18"/>
        <v>2</v>
      </c>
      <c r="V449">
        <f t="shared" si="19"/>
        <v>2024</v>
      </c>
      <c r="W449" t="str">
        <f t="shared" si="20"/>
        <v>2024-2</v>
      </c>
    </row>
    <row r="450" spans="16:23" x14ac:dyDescent="0.25">
      <c r="P450" t="s">
        <v>25</v>
      </c>
      <c r="Q450" t="s">
        <v>94</v>
      </c>
      <c r="R450" t="s">
        <v>304</v>
      </c>
      <c r="S450">
        <v>26572</v>
      </c>
      <c r="T450">
        <v>4</v>
      </c>
      <c r="U450">
        <f t="shared" si="18"/>
        <v>2</v>
      </c>
      <c r="V450">
        <f t="shared" si="19"/>
        <v>2024</v>
      </c>
      <c r="W450" t="str">
        <f t="shared" si="20"/>
        <v>2024-2</v>
      </c>
    </row>
    <row r="451" spans="16:23" x14ac:dyDescent="0.25">
      <c r="P451" t="s">
        <v>13</v>
      </c>
      <c r="Q451" t="s">
        <v>187</v>
      </c>
      <c r="R451" t="s">
        <v>304</v>
      </c>
      <c r="S451">
        <v>95294</v>
      </c>
      <c r="T451">
        <v>6</v>
      </c>
      <c r="U451">
        <f t="shared" ref="U451:U514" si="21">MONTH(R451)</f>
        <v>2</v>
      </c>
      <c r="V451">
        <f t="shared" ref="V451:V514" si="22">YEAR(R451)</f>
        <v>2024</v>
      </c>
      <c r="W451" t="str">
        <f t="shared" ref="W451:W514" si="23">V451&amp;"-"&amp;U451</f>
        <v>2024-2</v>
      </c>
    </row>
    <row r="452" spans="16:23" x14ac:dyDescent="0.25">
      <c r="P452" t="s">
        <v>5</v>
      </c>
      <c r="Q452" t="s">
        <v>152</v>
      </c>
      <c r="R452" t="s">
        <v>305</v>
      </c>
      <c r="S452">
        <v>64723</v>
      </c>
      <c r="T452">
        <v>7</v>
      </c>
      <c r="U452">
        <f t="shared" si="21"/>
        <v>2</v>
      </c>
      <c r="V452">
        <f t="shared" si="22"/>
        <v>2024</v>
      </c>
      <c r="W452" t="str">
        <f t="shared" si="23"/>
        <v>2024-2</v>
      </c>
    </row>
    <row r="453" spans="16:23" x14ac:dyDescent="0.25">
      <c r="P453" t="s">
        <v>10</v>
      </c>
      <c r="Q453" t="s">
        <v>50</v>
      </c>
      <c r="R453" t="s">
        <v>305</v>
      </c>
      <c r="S453">
        <v>57303</v>
      </c>
      <c r="T453">
        <v>6</v>
      </c>
      <c r="U453">
        <f t="shared" si="21"/>
        <v>2</v>
      </c>
      <c r="V453">
        <f t="shared" si="22"/>
        <v>2024</v>
      </c>
      <c r="W453" t="str">
        <f t="shared" si="23"/>
        <v>2024-2</v>
      </c>
    </row>
    <row r="454" spans="16:23" x14ac:dyDescent="0.25">
      <c r="P454" t="s">
        <v>30</v>
      </c>
      <c r="Q454" t="s">
        <v>217</v>
      </c>
      <c r="R454" t="s">
        <v>305</v>
      </c>
      <c r="S454">
        <v>31469</v>
      </c>
      <c r="T454">
        <v>8</v>
      </c>
      <c r="U454">
        <f t="shared" si="21"/>
        <v>2</v>
      </c>
      <c r="V454">
        <f t="shared" si="22"/>
        <v>2024</v>
      </c>
      <c r="W454" t="str">
        <f t="shared" si="23"/>
        <v>2024-2</v>
      </c>
    </row>
    <row r="455" spans="16:23" x14ac:dyDescent="0.25">
      <c r="P455" t="s">
        <v>30</v>
      </c>
      <c r="Q455" t="s">
        <v>306</v>
      </c>
      <c r="R455" t="s">
        <v>305</v>
      </c>
      <c r="S455">
        <v>40473</v>
      </c>
      <c r="T455">
        <v>5</v>
      </c>
      <c r="U455">
        <f t="shared" si="21"/>
        <v>2</v>
      </c>
      <c r="V455">
        <f t="shared" si="22"/>
        <v>2024</v>
      </c>
      <c r="W455" t="str">
        <f t="shared" si="23"/>
        <v>2024-2</v>
      </c>
    </row>
    <row r="456" spans="16:23" x14ac:dyDescent="0.25">
      <c r="P456" t="s">
        <v>30</v>
      </c>
      <c r="Q456" t="s">
        <v>72</v>
      </c>
      <c r="R456" t="s">
        <v>305</v>
      </c>
      <c r="S456">
        <v>49564</v>
      </c>
      <c r="T456">
        <v>5</v>
      </c>
      <c r="U456">
        <f t="shared" si="21"/>
        <v>2</v>
      </c>
      <c r="V456">
        <f t="shared" si="22"/>
        <v>2024</v>
      </c>
      <c r="W456" t="str">
        <f t="shared" si="23"/>
        <v>2024-2</v>
      </c>
    </row>
    <row r="457" spans="16:23" x14ac:dyDescent="0.25">
      <c r="P457" t="s">
        <v>8</v>
      </c>
      <c r="Q457" t="s">
        <v>155</v>
      </c>
      <c r="R457" t="s">
        <v>305</v>
      </c>
      <c r="S457">
        <v>60252</v>
      </c>
      <c r="T457">
        <v>4</v>
      </c>
      <c r="U457">
        <f t="shared" si="21"/>
        <v>2</v>
      </c>
      <c r="V457">
        <f t="shared" si="22"/>
        <v>2024</v>
      </c>
      <c r="W457" t="str">
        <f t="shared" si="23"/>
        <v>2024-2</v>
      </c>
    </row>
    <row r="458" spans="16:23" x14ac:dyDescent="0.25">
      <c r="P458" t="s">
        <v>16</v>
      </c>
      <c r="Q458" t="s">
        <v>68</v>
      </c>
      <c r="R458" t="s">
        <v>305</v>
      </c>
      <c r="S458">
        <v>98743</v>
      </c>
      <c r="T458">
        <v>1</v>
      </c>
      <c r="U458">
        <f t="shared" si="21"/>
        <v>2</v>
      </c>
      <c r="V458">
        <f t="shared" si="22"/>
        <v>2024</v>
      </c>
      <c r="W458" t="str">
        <f t="shared" si="23"/>
        <v>2024-2</v>
      </c>
    </row>
    <row r="459" spans="16:23" x14ac:dyDescent="0.25">
      <c r="P459" t="s">
        <v>45</v>
      </c>
      <c r="Q459" t="s">
        <v>153</v>
      </c>
      <c r="R459" t="s">
        <v>305</v>
      </c>
      <c r="S459">
        <v>22814</v>
      </c>
      <c r="T459">
        <v>7</v>
      </c>
      <c r="U459">
        <f t="shared" si="21"/>
        <v>2</v>
      </c>
      <c r="V459">
        <f t="shared" si="22"/>
        <v>2024</v>
      </c>
      <c r="W459" t="str">
        <f t="shared" si="23"/>
        <v>2024-2</v>
      </c>
    </row>
    <row r="460" spans="16:23" x14ac:dyDescent="0.25">
      <c r="P460" t="s">
        <v>47</v>
      </c>
      <c r="Q460" t="s">
        <v>205</v>
      </c>
      <c r="R460" t="s">
        <v>305</v>
      </c>
      <c r="S460">
        <v>82369</v>
      </c>
      <c r="T460">
        <v>4</v>
      </c>
      <c r="U460">
        <f t="shared" si="21"/>
        <v>2</v>
      </c>
      <c r="V460">
        <f t="shared" si="22"/>
        <v>2024</v>
      </c>
      <c r="W460" t="str">
        <f t="shared" si="23"/>
        <v>2024-2</v>
      </c>
    </row>
    <row r="461" spans="16:23" x14ac:dyDescent="0.25">
      <c r="P461" t="s">
        <v>8</v>
      </c>
      <c r="Q461" t="s">
        <v>73</v>
      </c>
      <c r="R461" t="s">
        <v>305</v>
      </c>
      <c r="S461">
        <v>69179</v>
      </c>
      <c r="T461">
        <v>3</v>
      </c>
      <c r="U461">
        <f t="shared" si="21"/>
        <v>2</v>
      </c>
      <c r="V461">
        <f t="shared" si="22"/>
        <v>2024</v>
      </c>
      <c r="W461" t="str">
        <f t="shared" si="23"/>
        <v>2024-2</v>
      </c>
    </row>
    <row r="462" spans="16:23" x14ac:dyDescent="0.25">
      <c r="P462" t="s">
        <v>5</v>
      </c>
      <c r="Q462" t="s">
        <v>307</v>
      </c>
      <c r="R462" t="s">
        <v>305</v>
      </c>
      <c r="S462">
        <v>43982</v>
      </c>
      <c r="T462">
        <v>6</v>
      </c>
      <c r="U462">
        <f t="shared" si="21"/>
        <v>2</v>
      </c>
      <c r="V462">
        <f t="shared" si="22"/>
        <v>2024</v>
      </c>
      <c r="W462" t="str">
        <f t="shared" si="23"/>
        <v>2024-2</v>
      </c>
    </row>
    <row r="463" spans="16:23" x14ac:dyDescent="0.25">
      <c r="P463" t="s">
        <v>47</v>
      </c>
      <c r="Q463" t="s">
        <v>51</v>
      </c>
      <c r="R463" t="s">
        <v>305</v>
      </c>
      <c r="S463">
        <v>31744</v>
      </c>
      <c r="T463">
        <v>5</v>
      </c>
      <c r="U463">
        <f t="shared" si="21"/>
        <v>2</v>
      </c>
      <c r="V463">
        <f t="shared" si="22"/>
        <v>2024</v>
      </c>
      <c r="W463" t="str">
        <f t="shared" si="23"/>
        <v>2024-2</v>
      </c>
    </row>
    <row r="464" spans="16:23" x14ac:dyDescent="0.25">
      <c r="P464" t="s">
        <v>25</v>
      </c>
      <c r="Q464" t="s">
        <v>142</v>
      </c>
      <c r="R464" t="s">
        <v>308</v>
      </c>
      <c r="S464">
        <v>78749</v>
      </c>
      <c r="T464">
        <v>3</v>
      </c>
      <c r="U464">
        <f t="shared" si="21"/>
        <v>2</v>
      </c>
      <c r="V464">
        <f t="shared" si="22"/>
        <v>2024</v>
      </c>
      <c r="W464" t="str">
        <f t="shared" si="23"/>
        <v>2024-2</v>
      </c>
    </row>
    <row r="465" spans="16:23" x14ac:dyDescent="0.25">
      <c r="P465" t="s">
        <v>18</v>
      </c>
      <c r="Q465" t="s">
        <v>309</v>
      </c>
      <c r="R465" t="s">
        <v>308</v>
      </c>
      <c r="S465">
        <v>10817</v>
      </c>
      <c r="T465">
        <v>6</v>
      </c>
      <c r="U465">
        <f t="shared" si="21"/>
        <v>2</v>
      </c>
      <c r="V465">
        <f t="shared" si="22"/>
        <v>2024</v>
      </c>
      <c r="W465" t="str">
        <f t="shared" si="23"/>
        <v>2024-2</v>
      </c>
    </row>
    <row r="466" spans="16:23" x14ac:dyDescent="0.25">
      <c r="P466" t="s">
        <v>8</v>
      </c>
      <c r="Q466" t="s">
        <v>42</v>
      </c>
      <c r="R466" t="s">
        <v>308</v>
      </c>
      <c r="S466">
        <v>79846</v>
      </c>
      <c r="T466">
        <v>7</v>
      </c>
      <c r="U466">
        <f t="shared" si="21"/>
        <v>2</v>
      </c>
      <c r="V466">
        <f t="shared" si="22"/>
        <v>2024</v>
      </c>
      <c r="W466" t="str">
        <f t="shared" si="23"/>
        <v>2024-2</v>
      </c>
    </row>
    <row r="467" spans="16:23" x14ac:dyDescent="0.25">
      <c r="P467" t="s">
        <v>8</v>
      </c>
      <c r="Q467" t="s">
        <v>80</v>
      </c>
      <c r="R467" t="s">
        <v>308</v>
      </c>
      <c r="S467">
        <v>87603</v>
      </c>
      <c r="T467">
        <v>2</v>
      </c>
      <c r="U467">
        <f t="shared" si="21"/>
        <v>2</v>
      </c>
      <c r="V467">
        <f t="shared" si="22"/>
        <v>2024</v>
      </c>
      <c r="W467" t="str">
        <f t="shared" si="23"/>
        <v>2024-2</v>
      </c>
    </row>
    <row r="468" spans="16:23" x14ac:dyDescent="0.25">
      <c r="P468" t="s">
        <v>13</v>
      </c>
      <c r="Q468" t="s">
        <v>61</v>
      </c>
      <c r="R468" t="s">
        <v>308</v>
      </c>
      <c r="S468">
        <v>86275</v>
      </c>
      <c r="T468">
        <v>5</v>
      </c>
      <c r="U468">
        <f t="shared" si="21"/>
        <v>2</v>
      </c>
      <c r="V468">
        <f t="shared" si="22"/>
        <v>2024</v>
      </c>
      <c r="W468" t="str">
        <f t="shared" si="23"/>
        <v>2024-2</v>
      </c>
    </row>
    <row r="469" spans="16:23" x14ac:dyDescent="0.25">
      <c r="P469" t="s">
        <v>45</v>
      </c>
      <c r="Q469" t="s">
        <v>22</v>
      </c>
      <c r="R469" t="s">
        <v>310</v>
      </c>
      <c r="S469">
        <v>83444</v>
      </c>
      <c r="T469">
        <v>7</v>
      </c>
      <c r="U469">
        <f t="shared" si="21"/>
        <v>2</v>
      </c>
      <c r="V469">
        <f t="shared" si="22"/>
        <v>2024</v>
      </c>
      <c r="W469" t="str">
        <f t="shared" si="23"/>
        <v>2024-2</v>
      </c>
    </row>
    <row r="470" spans="16:23" x14ac:dyDescent="0.25">
      <c r="P470" t="s">
        <v>45</v>
      </c>
      <c r="Q470" t="s">
        <v>89</v>
      </c>
      <c r="R470" t="s">
        <v>311</v>
      </c>
      <c r="S470">
        <v>59269</v>
      </c>
      <c r="T470">
        <v>3</v>
      </c>
      <c r="U470">
        <f t="shared" si="21"/>
        <v>2</v>
      </c>
      <c r="V470">
        <f t="shared" si="22"/>
        <v>2024</v>
      </c>
      <c r="W470" t="str">
        <f t="shared" si="23"/>
        <v>2024-2</v>
      </c>
    </row>
    <row r="471" spans="16:23" x14ac:dyDescent="0.25">
      <c r="P471" t="s">
        <v>47</v>
      </c>
      <c r="Q471" t="s">
        <v>142</v>
      </c>
      <c r="R471" t="s">
        <v>311</v>
      </c>
      <c r="S471">
        <v>44459</v>
      </c>
      <c r="T471">
        <v>7</v>
      </c>
      <c r="U471">
        <f t="shared" si="21"/>
        <v>2</v>
      </c>
      <c r="V471">
        <f t="shared" si="22"/>
        <v>2024</v>
      </c>
      <c r="W471" t="str">
        <f t="shared" si="23"/>
        <v>2024-2</v>
      </c>
    </row>
    <row r="472" spans="16:23" x14ac:dyDescent="0.25">
      <c r="P472" t="s">
        <v>16</v>
      </c>
      <c r="Q472" t="s">
        <v>188</v>
      </c>
      <c r="R472" t="s">
        <v>312</v>
      </c>
      <c r="S472">
        <v>54781</v>
      </c>
      <c r="T472">
        <v>6</v>
      </c>
      <c r="U472">
        <f t="shared" si="21"/>
        <v>2</v>
      </c>
      <c r="V472">
        <f t="shared" si="22"/>
        <v>2024</v>
      </c>
      <c r="W472" t="str">
        <f t="shared" si="23"/>
        <v>2024-2</v>
      </c>
    </row>
    <row r="473" spans="16:23" x14ac:dyDescent="0.25">
      <c r="P473" t="s">
        <v>5</v>
      </c>
      <c r="Q473" t="s">
        <v>11</v>
      </c>
      <c r="R473" t="s">
        <v>312</v>
      </c>
      <c r="S473">
        <v>23686</v>
      </c>
      <c r="T473">
        <v>5</v>
      </c>
      <c r="U473">
        <f t="shared" si="21"/>
        <v>2</v>
      </c>
      <c r="V473">
        <f t="shared" si="22"/>
        <v>2024</v>
      </c>
      <c r="W473" t="str">
        <f t="shared" si="23"/>
        <v>2024-2</v>
      </c>
    </row>
    <row r="474" spans="16:23" x14ac:dyDescent="0.25">
      <c r="P474" t="s">
        <v>45</v>
      </c>
      <c r="Q474" t="s">
        <v>151</v>
      </c>
      <c r="R474" t="s">
        <v>312</v>
      </c>
      <c r="S474">
        <v>31226</v>
      </c>
      <c r="T474">
        <v>10</v>
      </c>
      <c r="U474">
        <f t="shared" si="21"/>
        <v>2</v>
      </c>
      <c r="V474">
        <f t="shared" si="22"/>
        <v>2024</v>
      </c>
      <c r="W474" t="str">
        <f t="shared" si="23"/>
        <v>2024-2</v>
      </c>
    </row>
    <row r="475" spans="16:23" x14ac:dyDescent="0.25">
      <c r="P475" t="s">
        <v>38</v>
      </c>
      <c r="Q475" t="s">
        <v>65</v>
      </c>
      <c r="R475" t="s">
        <v>312</v>
      </c>
      <c r="S475">
        <v>98700</v>
      </c>
      <c r="T475">
        <v>2</v>
      </c>
      <c r="U475">
        <f t="shared" si="21"/>
        <v>2</v>
      </c>
      <c r="V475">
        <f t="shared" si="22"/>
        <v>2024</v>
      </c>
      <c r="W475" t="str">
        <f t="shared" si="23"/>
        <v>2024-2</v>
      </c>
    </row>
    <row r="476" spans="16:23" x14ac:dyDescent="0.25">
      <c r="P476" t="s">
        <v>45</v>
      </c>
      <c r="Q476" t="s">
        <v>80</v>
      </c>
      <c r="R476" t="s">
        <v>312</v>
      </c>
      <c r="S476">
        <v>53059</v>
      </c>
      <c r="T476">
        <v>7</v>
      </c>
      <c r="U476">
        <f t="shared" si="21"/>
        <v>2</v>
      </c>
      <c r="V476">
        <f t="shared" si="22"/>
        <v>2024</v>
      </c>
      <c r="W476" t="str">
        <f t="shared" si="23"/>
        <v>2024-2</v>
      </c>
    </row>
    <row r="477" spans="16:23" x14ac:dyDescent="0.25">
      <c r="P477" t="s">
        <v>30</v>
      </c>
      <c r="Q477" t="s">
        <v>61</v>
      </c>
      <c r="R477" t="s">
        <v>312</v>
      </c>
      <c r="S477">
        <v>86161</v>
      </c>
      <c r="T477">
        <v>7</v>
      </c>
      <c r="U477">
        <f t="shared" si="21"/>
        <v>2</v>
      </c>
      <c r="V477">
        <f t="shared" si="22"/>
        <v>2024</v>
      </c>
      <c r="W477" t="str">
        <f t="shared" si="23"/>
        <v>2024-2</v>
      </c>
    </row>
    <row r="478" spans="16:23" x14ac:dyDescent="0.25">
      <c r="P478" t="s">
        <v>13</v>
      </c>
      <c r="Q478" t="s">
        <v>313</v>
      </c>
      <c r="R478" t="s">
        <v>312</v>
      </c>
      <c r="S478">
        <v>24798</v>
      </c>
      <c r="T478">
        <v>9</v>
      </c>
      <c r="U478">
        <f t="shared" si="21"/>
        <v>2</v>
      </c>
      <c r="V478">
        <f t="shared" si="22"/>
        <v>2024</v>
      </c>
      <c r="W478" t="str">
        <f t="shared" si="23"/>
        <v>2024-2</v>
      </c>
    </row>
    <row r="479" spans="16:23" x14ac:dyDescent="0.25">
      <c r="P479" t="s">
        <v>13</v>
      </c>
      <c r="Q479" t="s">
        <v>35</v>
      </c>
      <c r="R479" t="s">
        <v>312</v>
      </c>
      <c r="S479">
        <v>55120</v>
      </c>
      <c r="T479">
        <v>4</v>
      </c>
      <c r="U479">
        <f t="shared" si="21"/>
        <v>2</v>
      </c>
      <c r="V479">
        <f t="shared" si="22"/>
        <v>2024</v>
      </c>
      <c r="W479" t="str">
        <f t="shared" si="23"/>
        <v>2024-2</v>
      </c>
    </row>
    <row r="480" spans="16:23" x14ac:dyDescent="0.25">
      <c r="P480" t="s">
        <v>38</v>
      </c>
      <c r="Q480" t="s">
        <v>293</v>
      </c>
      <c r="R480" t="s">
        <v>312</v>
      </c>
      <c r="S480">
        <v>48520</v>
      </c>
      <c r="T480">
        <v>5</v>
      </c>
      <c r="U480">
        <f t="shared" si="21"/>
        <v>2</v>
      </c>
      <c r="V480">
        <f t="shared" si="22"/>
        <v>2024</v>
      </c>
      <c r="W480" t="str">
        <f t="shared" si="23"/>
        <v>2024-2</v>
      </c>
    </row>
    <row r="481" spans="16:23" x14ac:dyDescent="0.25">
      <c r="P481" t="s">
        <v>45</v>
      </c>
      <c r="Q481" t="s">
        <v>53</v>
      </c>
      <c r="R481" t="s">
        <v>312</v>
      </c>
      <c r="S481">
        <v>25910</v>
      </c>
      <c r="T481">
        <v>3</v>
      </c>
      <c r="U481">
        <f t="shared" si="21"/>
        <v>2</v>
      </c>
      <c r="V481">
        <f t="shared" si="22"/>
        <v>2024</v>
      </c>
      <c r="W481" t="str">
        <f t="shared" si="23"/>
        <v>2024-2</v>
      </c>
    </row>
    <row r="482" spans="16:23" x14ac:dyDescent="0.25">
      <c r="P482" t="s">
        <v>45</v>
      </c>
      <c r="Q482" t="s">
        <v>232</v>
      </c>
      <c r="R482" t="s">
        <v>312</v>
      </c>
      <c r="S482">
        <v>62556</v>
      </c>
      <c r="T482">
        <v>4</v>
      </c>
      <c r="U482">
        <f t="shared" si="21"/>
        <v>2</v>
      </c>
      <c r="V482">
        <f t="shared" si="22"/>
        <v>2024</v>
      </c>
      <c r="W482" t="str">
        <f t="shared" si="23"/>
        <v>2024-2</v>
      </c>
    </row>
    <row r="483" spans="16:23" x14ac:dyDescent="0.25">
      <c r="P483" t="s">
        <v>38</v>
      </c>
      <c r="Q483" t="s">
        <v>128</v>
      </c>
      <c r="R483" t="s">
        <v>312</v>
      </c>
      <c r="S483">
        <v>99529</v>
      </c>
      <c r="T483">
        <v>6</v>
      </c>
      <c r="U483">
        <f t="shared" si="21"/>
        <v>2</v>
      </c>
      <c r="V483">
        <f t="shared" si="22"/>
        <v>2024</v>
      </c>
      <c r="W483" t="str">
        <f t="shared" si="23"/>
        <v>2024-2</v>
      </c>
    </row>
    <row r="484" spans="16:23" x14ac:dyDescent="0.25">
      <c r="P484" t="s">
        <v>8</v>
      </c>
      <c r="Q484" t="s">
        <v>196</v>
      </c>
      <c r="R484" t="s">
        <v>312</v>
      </c>
      <c r="S484">
        <v>25124</v>
      </c>
      <c r="T484">
        <v>5</v>
      </c>
      <c r="U484">
        <f t="shared" si="21"/>
        <v>2</v>
      </c>
      <c r="V484">
        <f t="shared" si="22"/>
        <v>2024</v>
      </c>
      <c r="W484" t="str">
        <f t="shared" si="23"/>
        <v>2024-2</v>
      </c>
    </row>
    <row r="485" spans="16:23" x14ac:dyDescent="0.25">
      <c r="P485" t="s">
        <v>10</v>
      </c>
      <c r="Q485" t="s">
        <v>132</v>
      </c>
      <c r="R485" t="s">
        <v>314</v>
      </c>
      <c r="S485">
        <v>92363</v>
      </c>
      <c r="T485">
        <v>2</v>
      </c>
      <c r="U485">
        <f t="shared" si="21"/>
        <v>2</v>
      </c>
      <c r="V485">
        <f t="shared" si="22"/>
        <v>2024</v>
      </c>
      <c r="W485" t="str">
        <f t="shared" si="23"/>
        <v>2024-2</v>
      </c>
    </row>
    <row r="486" spans="16:23" x14ac:dyDescent="0.25">
      <c r="P486" t="s">
        <v>8</v>
      </c>
      <c r="Q486" t="s">
        <v>84</v>
      </c>
      <c r="R486" t="s">
        <v>314</v>
      </c>
      <c r="S486">
        <v>36285</v>
      </c>
      <c r="T486">
        <v>4</v>
      </c>
      <c r="U486">
        <f t="shared" si="21"/>
        <v>2</v>
      </c>
      <c r="V486">
        <f t="shared" si="22"/>
        <v>2024</v>
      </c>
      <c r="W486" t="str">
        <f t="shared" si="23"/>
        <v>2024-2</v>
      </c>
    </row>
    <row r="487" spans="16:23" x14ac:dyDescent="0.25">
      <c r="P487" t="s">
        <v>10</v>
      </c>
      <c r="Q487" t="s">
        <v>99</v>
      </c>
      <c r="R487" t="s">
        <v>314</v>
      </c>
      <c r="S487">
        <v>97000</v>
      </c>
      <c r="T487">
        <v>8</v>
      </c>
      <c r="U487">
        <f t="shared" si="21"/>
        <v>2</v>
      </c>
      <c r="V487">
        <f t="shared" si="22"/>
        <v>2024</v>
      </c>
      <c r="W487" t="str">
        <f t="shared" si="23"/>
        <v>2024-2</v>
      </c>
    </row>
    <row r="488" spans="16:23" x14ac:dyDescent="0.25">
      <c r="P488" t="s">
        <v>27</v>
      </c>
      <c r="Q488" t="s">
        <v>57</v>
      </c>
      <c r="R488" t="s">
        <v>314</v>
      </c>
      <c r="S488">
        <v>52124</v>
      </c>
      <c r="T488">
        <v>5</v>
      </c>
      <c r="U488">
        <f t="shared" si="21"/>
        <v>2</v>
      </c>
      <c r="V488">
        <f t="shared" si="22"/>
        <v>2024</v>
      </c>
      <c r="W488" t="str">
        <f t="shared" si="23"/>
        <v>2024-2</v>
      </c>
    </row>
    <row r="489" spans="16:23" x14ac:dyDescent="0.25">
      <c r="P489" t="s">
        <v>10</v>
      </c>
      <c r="Q489" t="s">
        <v>248</v>
      </c>
      <c r="R489" t="s">
        <v>314</v>
      </c>
      <c r="S489">
        <v>17782</v>
      </c>
      <c r="T489">
        <v>6</v>
      </c>
      <c r="U489">
        <f t="shared" si="21"/>
        <v>2</v>
      </c>
      <c r="V489">
        <f t="shared" si="22"/>
        <v>2024</v>
      </c>
      <c r="W489" t="str">
        <f t="shared" si="23"/>
        <v>2024-2</v>
      </c>
    </row>
    <row r="490" spans="16:23" x14ac:dyDescent="0.25">
      <c r="P490" t="s">
        <v>5</v>
      </c>
      <c r="Q490" t="s">
        <v>41</v>
      </c>
      <c r="R490" t="s">
        <v>315</v>
      </c>
      <c r="S490">
        <v>56939</v>
      </c>
      <c r="T490">
        <v>7</v>
      </c>
      <c r="U490">
        <f t="shared" si="21"/>
        <v>2</v>
      </c>
      <c r="V490">
        <f t="shared" si="22"/>
        <v>2024</v>
      </c>
      <c r="W490" t="str">
        <f t="shared" si="23"/>
        <v>2024-2</v>
      </c>
    </row>
    <row r="491" spans="16:23" x14ac:dyDescent="0.25">
      <c r="P491" t="s">
        <v>25</v>
      </c>
      <c r="Q491" t="s">
        <v>270</v>
      </c>
      <c r="R491" t="s">
        <v>316</v>
      </c>
      <c r="S491">
        <v>71638</v>
      </c>
      <c r="T491">
        <v>7</v>
      </c>
      <c r="U491">
        <f t="shared" si="21"/>
        <v>2</v>
      </c>
      <c r="V491">
        <f t="shared" si="22"/>
        <v>2024</v>
      </c>
      <c r="W491" t="str">
        <f t="shared" si="23"/>
        <v>2024-2</v>
      </c>
    </row>
    <row r="492" spans="16:23" x14ac:dyDescent="0.25">
      <c r="P492" t="s">
        <v>30</v>
      </c>
      <c r="Q492" t="s">
        <v>55</v>
      </c>
      <c r="R492" t="s">
        <v>317</v>
      </c>
      <c r="S492">
        <v>83603</v>
      </c>
      <c r="T492">
        <v>8</v>
      </c>
      <c r="U492">
        <f t="shared" si="21"/>
        <v>3</v>
      </c>
      <c r="V492">
        <f t="shared" si="22"/>
        <v>2024</v>
      </c>
      <c r="W492" t="str">
        <f t="shared" si="23"/>
        <v>2024-3</v>
      </c>
    </row>
    <row r="493" spans="16:23" x14ac:dyDescent="0.25">
      <c r="P493" t="s">
        <v>30</v>
      </c>
      <c r="Q493" t="s">
        <v>103</v>
      </c>
      <c r="R493" t="s">
        <v>318</v>
      </c>
      <c r="S493">
        <v>18286</v>
      </c>
      <c r="T493">
        <v>10</v>
      </c>
      <c r="U493">
        <f t="shared" si="21"/>
        <v>3</v>
      </c>
      <c r="V493">
        <f t="shared" si="22"/>
        <v>2024</v>
      </c>
      <c r="W493" t="str">
        <f t="shared" si="23"/>
        <v>2024-3</v>
      </c>
    </row>
    <row r="494" spans="16:23" x14ac:dyDescent="0.25">
      <c r="P494" t="s">
        <v>5</v>
      </c>
      <c r="Q494" t="s">
        <v>144</v>
      </c>
      <c r="R494" t="s">
        <v>318</v>
      </c>
      <c r="S494">
        <v>22804</v>
      </c>
      <c r="T494">
        <v>10</v>
      </c>
      <c r="U494">
        <f t="shared" si="21"/>
        <v>3</v>
      </c>
      <c r="V494">
        <f t="shared" si="22"/>
        <v>2024</v>
      </c>
      <c r="W494" t="str">
        <f t="shared" si="23"/>
        <v>2024-3</v>
      </c>
    </row>
    <row r="495" spans="16:23" x14ac:dyDescent="0.25">
      <c r="P495" t="s">
        <v>25</v>
      </c>
      <c r="Q495" t="s">
        <v>35</v>
      </c>
      <c r="R495" t="s">
        <v>318</v>
      </c>
      <c r="S495">
        <v>53185</v>
      </c>
      <c r="T495">
        <v>5</v>
      </c>
      <c r="U495">
        <f t="shared" si="21"/>
        <v>3</v>
      </c>
      <c r="V495">
        <f t="shared" si="22"/>
        <v>2024</v>
      </c>
      <c r="W495" t="str">
        <f t="shared" si="23"/>
        <v>2024-3</v>
      </c>
    </row>
    <row r="496" spans="16:23" x14ac:dyDescent="0.25">
      <c r="P496" t="s">
        <v>47</v>
      </c>
      <c r="Q496" t="s">
        <v>248</v>
      </c>
      <c r="R496" t="s">
        <v>318</v>
      </c>
      <c r="S496">
        <v>69122</v>
      </c>
      <c r="T496">
        <v>6</v>
      </c>
      <c r="U496">
        <f t="shared" si="21"/>
        <v>3</v>
      </c>
      <c r="V496">
        <f t="shared" si="22"/>
        <v>2024</v>
      </c>
      <c r="W496" t="str">
        <f t="shared" si="23"/>
        <v>2024-3</v>
      </c>
    </row>
    <row r="497" spans="16:23" x14ac:dyDescent="0.25">
      <c r="P497" t="s">
        <v>27</v>
      </c>
      <c r="Q497" t="s">
        <v>188</v>
      </c>
      <c r="R497" t="s">
        <v>318</v>
      </c>
      <c r="S497">
        <v>65545</v>
      </c>
      <c r="T497">
        <v>2</v>
      </c>
      <c r="U497">
        <f t="shared" si="21"/>
        <v>3</v>
      </c>
      <c r="V497">
        <f t="shared" si="22"/>
        <v>2024</v>
      </c>
      <c r="W497" t="str">
        <f t="shared" si="23"/>
        <v>2024-3</v>
      </c>
    </row>
    <row r="498" spans="16:23" x14ac:dyDescent="0.25">
      <c r="P498" t="s">
        <v>47</v>
      </c>
      <c r="Q498" t="s">
        <v>92</v>
      </c>
      <c r="R498" t="s">
        <v>318</v>
      </c>
      <c r="S498">
        <v>36924</v>
      </c>
      <c r="T498">
        <v>6</v>
      </c>
      <c r="U498">
        <f t="shared" si="21"/>
        <v>3</v>
      </c>
      <c r="V498">
        <f t="shared" si="22"/>
        <v>2024</v>
      </c>
      <c r="W498" t="str">
        <f t="shared" si="23"/>
        <v>2024-3</v>
      </c>
    </row>
    <row r="499" spans="16:23" x14ac:dyDescent="0.25">
      <c r="P499" t="s">
        <v>38</v>
      </c>
      <c r="Q499" t="s">
        <v>32</v>
      </c>
      <c r="R499" t="s">
        <v>318</v>
      </c>
      <c r="S499">
        <v>69841</v>
      </c>
      <c r="T499">
        <v>4</v>
      </c>
      <c r="U499">
        <f t="shared" si="21"/>
        <v>3</v>
      </c>
      <c r="V499">
        <f t="shared" si="22"/>
        <v>2024</v>
      </c>
      <c r="W499" t="str">
        <f t="shared" si="23"/>
        <v>2024-3</v>
      </c>
    </row>
    <row r="500" spans="16:23" x14ac:dyDescent="0.25">
      <c r="P500" t="s">
        <v>8</v>
      </c>
      <c r="Q500" t="s">
        <v>107</v>
      </c>
      <c r="R500" t="s">
        <v>318</v>
      </c>
      <c r="S500">
        <v>21669</v>
      </c>
      <c r="T500">
        <v>4</v>
      </c>
      <c r="U500">
        <f t="shared" si="21"/>
        <v>3</v>
      </c>
      <c r="V500">
        <f t="shared" si="22"/>
        <v>2024</v>
      </c>
      <c r="W500" t="str">
        <f t="shared" si="23"/>
        <v>2024-3</v>
      </c>
    </row>
    <row r="501" spans="16:23" x14ac:dyDescent="0.25">
      <c r="P501" t="s">
        <v>30</v>
      </c>
      <c r="Q501" t="s">
        <v>264</v>
      </c>
      <c r="R501" t="s">
        <v>318</v>
      </c>
      <c r="S501">
        <v>80270</v>
      </c>
      <c r="T501">
        <v>4</v>
      </c>
      <c r="U501">
        <f t="shared" si="21"/>
        <v>3</v>
      </c>
      <c r="V501">
        <f t="shared" si="22"/>
        <v>2024</v>
      </c>
      <c r="W501" t="str">
        <f t="shared" si="23"/>
        <v>2024-3</v>
      </c>
    </row>
    <row r="502" spans="16:23" x14ac:dyDescent="0.25">
      <c r="P502" t="s">
        <v>27</v>
      </c>
      <c r="Q502" t="s">
        <v>15</v>
      </c>
      <c r="R502" t="s">
        <v>318</v>
      </c>
      <c r="S502">
        <v>59839</v>
      </c>
      <c r="T502">
        <v>8</v>
      </c>
      <c r="U502">
        <f t="shared" si="21"/>
        <v>3</v>
      </c>
      <c r="V502">
        <f t="shared" si="22"/>
        <v>2024</v>
      </c>
      <c r="W502" t="str">
        <f t="shared" si="23"/>
        <v>2024-3</v>
      </c>
    </row>
    <row r="503" spans="16:23" x14ac:dyDescent="0.25">
      <c r="P503" t="s">
        <v>30</v>
      </c>
      <c r="Q503" t="s">
        <v>152</v>
      </c>
      <c r="R503" t="s">
        <v>319</v>
      </c>
      <c r="S503">
        <v>86460</v>
      </c>
      <c r="T503">
        <v>3</v>
      </c>
      <c r="U503">
        <f t="shared" si="21"/>
        <v>3</v>
      </c>
      <c r="V503">
        <f t="shared" si="22"/>
        <v>2024</v>
      </c>
      <c r="W503" t="str">
        <f t="shared" si="23"/>
        <v>2024-3</v>
      </c>
    </row>
    <row r="504" spans="16:23" x14ac:dyDescent="0.25">
      <c r="P504" t="s">
        <v>5</v>
      </c>
      <c r="Q504" t="s">
        <v>217</v>
      </c>
      <c r="R504" t="s">
        <v>319</v>
      </c>
      <c r="S504">
        <v>27287</v>
      </c>
      <c r="T504">
        <v>9</v>
      </c>
      <c r="U504">
        <f t="shared" si="21"/>
        <v>3</v>
      </c>
      <c r="V504">
        <f t="shared" si="22"/>
        <v>2024</v>
      </c>
      <c r="W504" t="str">
        <f t="shared" si="23"/>
        <v>2024-3</v>
      </c>
    </row>
    <row r="505" spans="16:23" x14ac:dyDescent="0.25">
      <c r="P505" t="s">
        <v>5</v>
      </c>
      <c r="Q505" t="s">
        <v>126</v>
      </c>
      <c r="R505" t="s">
        <v>319</v>
      </c>
      <c r="S505">
        <v>43551</v>
      </c>
      <c r="T505">
        <v>8</v>
      </c>
      <c r="U505">
        <f t="shared" si="21"/>
        <v>3</v>
      </c>
      <c r="V505">
        <f t="shared" si="22"/>
        <v>2024</v>
      </c>
      <c r="W505" t="str">
        <f t="shared" si="23"/>
        <v>2024-3</v>
      </c>
    </row>
    <row r="506" spans="16:23" x14ac:dyDescent="0.25">
      <c r="P506" t="s">
        <v>45</v>
      </c>
      <c r="Q506" t="s">
        <v>42</v>
      </c>
      <c r="R506" t="s">
        <v>319</v>
      </c>
      <c r="S506">
        <v>81850</v>
      </c>
      <c r="T506">
        <v>8</v>
      </c>
      <c r="U506">
        <f t="shared" si="21"/>
        <v>3</v>
      </c>
      <c r="V506">
        <f t="shared" si="22"/>
        <v>2024</v>
      </c>
      <c r="W506" t="str">
        <f t="shared" si="23"/>
        <v>2024-3</v>
      </c>
    </row>
    <row r="507" spans="16:23" x14ac:dyDescent="0.25">
      <c r="P507" t="s">
        <v>13</v>
      </c>
      <c r="Q507" t="s">
        <v>227</v>
      </c>
      <c r="R507" t="s">
        <v>319</v>
      </c>
      <c r="S507">
        <v>67649</v>
      </c>
      <c r="T507">
        <v>6</v>
      </c>
      <c r="U507">
        <f t="shared" si="21"/>
        <v>3</v>
      </c>
      <c r="V507">
        <f t="shared" si="22"/>
        <v>2024</v>
      </c>
      <c r="W507" t="str">
        <f t="shared" si="23"/>
        <v>2024-3</v>
      </c>
    </row>
    <row r="508" spans="16:23" x14ac:dyDescent="0.25">
      <c r="P508" t="s">
        <v>10</v>
      </c>
      <c r="Q508" t="s">
        <v>247</v>
      </c>
      <c r="R508" t="s">
        <v>320</v>
      </c>
      <c r="S508">
        <v>97658</v>
      </c>
      <c r="T508">
        <v>7</v>
      </c>
      <c r="U508">
        <f t="shared" si="21"/>
        <v>3</v>
      </c>
      <c r="V508">
        <f t="shared" si="22"/>
        <v>2024</v>
      </c>
      <c r="W508" t="str">
        <f t="shared" si="23"/>
        <v>2024-3</v>
      </c>
    </row>
    <row r="509" spans="16:23" x14ac:dyDescent="0.25">
      <c r="P509" t="s">
        <v>5</v>
      </c>
      <c r="Q509" t="s">
        <v>73</v>
      </c>
      <c r="R509" t="s">
        <v>320</v>
      </c>
      <c r="S509">
        <v>67671</v>
      </c>
      <c r="T509">
        <v>3</v>
      </c>
      <c r="U509">
        <f t="shared" si="21"/>
        <v>3</v>
      </c>
      <c r="V509">
        <f t="shared" si="22"/>
        <v>2024</v>
      </c>
      <c r="W509" t="str">
        <f t="shared" si="23"/>
        <v>2024-3</v>
      </c>
    </row>
    <row r="510" spans="16:23" x14ac:dyDescent="0.25">
      <c r="P510" t="s">
        <v>47</v>
      </c>
      <c r="Q510" t="s">
        <v>32</v>
      </c>
      <c r="R510" t="s">
        <v>320</v>
      </c>
      <c r="S510">
        <v>92782</v>
      </c>
      <c r="T510">
        <v>10</v>
      </c>
      <c r="U510">
        <f t="shared" si="21"/>
        <v>3</v>
      </c>
      <c r="V510">
        <f t="shared" si="22"/>
        <v>2024</v>
      </c>
      <c r="W510" t="str">
        <f t="shared" si="23"/>
        <v>2024-3</v>
      </c>
    </row>
    <row r="511" spans="16:23" x14ac:dyDescent="0.25">
      <c r="P511" t="s">
        <v>13</v>
      </c>
      <c r="Q511" t="s">
        <v>84</v>
      </c>
      <c r="R511" t="s">
        <v>320</v>
      </c>
      <c r="S511">
        <v>26632</v>
      </c>
      <c r="T511">
        <v>1</v>
      </c>
      <c r="U511">
        <f t="shared" si="21"/>
        <v>3</v>
      </c>
      <c r="V511">
        <f t="shared" si="22"/>
        <v>2024</v>
      </c>
      <c r="W511" t="str">
        <f t="shared" si="23"/>
        <v>2024-3</v>
      </c>
    </row>
    <row r="512" spans="16:23" x14ac:dyDescent="0.25">
      <c r="P512" t="s">
        <v>18</v>
      </c>
      <c r="Q512" t="s">
        <v>81</v>
      </c>
      <c r="R512" t="s">
        <v>320</v>
      </c>
      <c r="S512">
        <v>11041</v>
      </c>
      <c r="T512">
        <v>3</v>
      </c>
      <c r="U512">
        <f t="shared" si="21"/>
        <v>3</v>
      </c>
      <c r="V512">
        <f t="shared" si="22"/>
        <v>2024</v>
      </c>
      <c r="W512" t="str">
        <f t="shared" si="23"/>
        <v>2024-3</v>
      </c>
    </row>
    <row r="513" spans="16:23" x14ac:dyDescent="0.25">
      <c r="P513" t="s">
        <v>30</v>
      </c>
      <c r="Q513" t="s">
        <v>9</v>
      </c>
      <c r="R513" t="s">
        <v>321</v>
      </c>
      <c r="S513">
        <v>82823</v>
      </c>
      <c r="T513">
        <v>9</v>
      </c>
      <c r="U513">
        <f t="shared" si="21"/>
        <v>3</v>
      </c>
      <c r="V513">
        <f t="shared" si="22"/>
        <v>2024</v>
      </c>
      <c r="W513" t="str">
        <f t="shared" si="23"/>
        <v>2024-3</v>
      </c>
    </row>
    <row r="514" spans="16:23" x14ac:dyDescent="0.25">
      <c r="P514" t="s">
        <v>25</v>
      </c>
      <c r="Q514" t="s">
        <v>114</v>
      </c>
      <c r="R514" t="s">
        <v>321</v>
      </c>
      <c r="S514">
        <v>45226</v>
      </c>
      <c r="T514">
        <v>8</v>
      </c>
      <c r="U514">
        <f t="shared" si="21"/>
        <v>3</v>
      </c>
      <c r="V514">
        <f t="shared" si="22"/>
        <v>2024</v>
      </c>
      <c r="W514" t="str">
        <f t="shared" si="23"/>
        <v>2024-3</v>
      </c>
    </row>
    <row r="515" spans="16:23" x14ac:dyDescent="0.25">
      <c r="P515" t="s">
        <v>45</v>
      </c>
      <c r="Q515" t="s">
        <v>128</v>
      </c>
      <c r="R515" t="s">
        <v>321</v>
      </c>
      <c r="S515">
        <v>76038</v>
      </c>
      <c r="T515">
        <v>6</v>
      </c>
      <c r="U515">
        <f t="shared" ref="U515:U578" si="24">MONTH(R515)</f>
        <v>3</v>
      </c>
      <c r="V515">
        <f t="shared" ref="V515:V578" si="25">YEAR(R515)</f>
        <v>2024</v>
      </c>
      <c r="W515" t="str">
        <f t="shared" ref="W515:W578" si="26">V515&amp;"-"&amp;U515</f>
        <v>2024-3</v>
      </c>
    </row>
    <row r="516" spans="16:23" x14ac:dyDescent="0.25">
      <c r="P516" t="s">
        <v>27</v>
      </c>
      <c r="Q516" t="s">
        <v>57</v>
      </c>
      <c r="R516" t="s">
        <v>322</v>
      </c>
      <c r="S516">
        <v>15686</v>
      </c>
      <c r="T516">
        <v>0</v>
      </c>
      <c r="U516">
        <f t="shared" si="24"/>
        <v>3</v>
      </c>
      <c r="V516">
        <f t="shared" si="25"/>
        <v>2024</v>
      </c>
      <c r="W516" t="str">
        <f t="shared" si="26"/>
        <v>2024-3</v>
      </c>
    </row>
    <row r="517" spans="16:23" x14ac:dyDescent="0.25">
      <c r="P517" t="s">
        <v>30</v>
      </c>
      <c r="Q517" t="s">
        <v>269</v>
      </c>
      <c r="R517" t="s">
        <v>322</v>
      </c>
      <c r="S517">
        <v>75735</v>
      </c>
      <c r="T517">
        <v>10</v>
      </c>
      <c r="U517">
        <f t="shared" si="24"/>
        <v>3</v>
      </c>
      <c r="V517">
        <f t="shared" si="25"/>
        <v>2024</v>
      </c>
      <c r="W517" t="str">
        <f t="shared" si="26"/>
        <v>2024-3</v>
      </c>
    </row>
    <row r="518" spans="16:23" x14ac:dyDescent="0.25">
      <c r="P518" t="s">
        <v>5</v>
      </c>
      <c r="Q518" t="s">
        <v>232</v>
      </c>
      <c r="R518" t="s">
        <v>323</v>
      </c>
      <c r="S518">
        <v>20910</v>
      </c>
      <c r="T518">
        <v>5</v>
      </c>
      <c r="U518">
        <f t="shared" si="24"/>
        <v>3</v>
      </c>
      <c r="V518">
        <f t="shared" si="25"/>
        <v>2024</v>
      </c>
      <c r="W518" t="str">
        <f t="shared" si="26"/>
        <v>2024-3</v>
      </c>
    </row>
    <row r="519" spans="16:23" x14ac:dyDescent="0.25">
      <c r="P519" t="s">
        <v>18</v>
      </c>
      <c r="Q519" t="s">
        <v>89</v>
      </c>
      <c r="R519" t="s">
        <v>323</v>
      </c>
      <c r="S519">
        <v>23685</v>
      </c>
      <c r="T519">
        <v>9</v>
      </c>
      <c r="U519">
        <f t="shared" si="24"/>
        <v>3</v>
      </c>
      <c r="V519">
        <f t="shared" si="25"/>
        <v>2024</v>
      </c>
      <c r="W519" t="str">
        <f t="shared" si="26"/>
        <v>2024-3</v>
      </c>
    </row>
    <row r="520" spans="16:23" x14ac:dyDescent="0.25">
      <c r="P520" t="s">
        <v>45</v>
      </c>
      <c r="Q520" t="s">
        <v>49</v>
      </c>
      <c r="R520" t="s">
        <v>323</v>
      </c>
      <c r="S520">
        <v>55772</v>
      </c>
      <c r="T520">
        <v>5</v>
      </c>
      <c r="U520">
        <f t="shared" si="24"/>
        <v>3</v>
      </c>
      <c r="V520">
        <f t="shared" si="25"/>
        <v>2024</v>
      </c>
      <c r="W520" t="str">
        <f t="shared" si="26"/>
        <v>2024-3</v>
      </c>
    </row>
    <row r="521" spans="16:23" x14ac:dyDescent="0.25">
      <c r="P521" t="s">
        <v>5</v>
      </c>
      <c r="Q521" t="s">
        <v>195</v>
      </c>
      <c r="R521" t="s">
        <v>323</v>
      </c>
      <c r="S521">
        <v>25238</v>
      </c>
      <c r="T521">
        <v>7</v>
      </c>
      <c r="U521">
        <f t="shared" si="24"/>
        <v>3</v>
      </c>
      <c r="V521">
        <f t="shared" si="25"/>
        <v>2024</v>
      </c>
      <c r="W521" t="str">
        <f t="shared" si="26"/>
        <v>2024-3</v>
      </c>
    </row>
    <row r="522" spans="16:23" x14ac:dyDescent="0.25">
      <c r="P522" t="s">
        <v>8</v>
      </c>
      <c r="Q522" t="s">
        <v>17</v>
      </c>
      <c r="R522" t="s">
        <v>324</v>
      </c>
      <c r="S522">
        <v>90662</v>
      </c>
      <c r="T522">
        <v>6</v>
      </c>
      <c r="U522">
        <f t="shared" si="24"/>
        <v>3</v>
      </c>
      <c r="V522">
        <f t="shared" si="25"/>
        <v>2024</v>
      </c>
      <c r="W522" t="str">
        <f t="shared" si="26"/>
        <v>2024-3</v>
      </c>
    </row>
    <row r="523" spans="16:23" x14ac:dyDescent="0.25">
      <c r="P523" t="s">
        <v>18</v>
      </c>
      <c r="Q523" t="s">
        <v>158</v>
      </c>
      <c r="R523" t="s">
        <v>324</v>
      </c>
      <c r="S523">
        <v>40110</v>
      </c>
      <c r="T523">
        <v>7</v>
      </c>
      <c r="U523">
        <f t="shared" si="24"/>
        <v>3</v>
      </c>
      <c r="V523">
        <f t="shared" si="25"/>
        <v>2024</v>
      </c>
      <c r="W523" t="str">
        <f t="shared" si="26"/>
        <v>2024-3</v>
      </c>
    </row>
    <row r="524" spans="16:23" x14ac:dyDescent="0.25">
      <c r="P524" t="s">
        <v>18</v>
      </c>
      <c r="Q524" t="s">
        <v>325</v>
      </c>
      <c r="R524" t="s">
        <v>324</v>
      </c>
      <c r="S524">
        <v>10902</v>
      </c>
      <c r="T524">
        <v>5</v>
      </c>
      <c r="U524">
        <f t="shared" si="24"/>
        <v>3</v>
      </c>
      <c r="V524">
        <f t="shared" si="25"/>
        <v>2024</v>
      </c>
      <c r="W524" t="str">
        <f t="shared" si="26"/>
        <v>2024-3</v>
      </c>
    </row>
    <row r="525" spans="16:23" x14ac:dyDescent="0.25">
      <c r="P525" t="s">
        <v>38</v>
      </c>
      <c r="Q525" t="s">
        <v>43</v>
      </c>
      <c r="R525" t="s">
        <v>324</v>
      </c>
      <c r="S525">
        <v>77174</v>
      </c>
      <c r="T525">
        <v>8</v>
      </c>
      <c r="U525">
        <f t="shared" si="24"/>
        <v>3</v>
      </c>
      <c r="V525">
        <f t="shared" si="25"/>
        <v>2024</v>
      </c>
      <c r="W525" t="str">
        <f t="shared" si="26"/>
        <v>2024-3</v>
      </c>
    </row>
    <row r="526" spans="16:23" x14ac:dyDescent="0.25">
      <c r="P526" t="s">
        <v>45</v>
      </c>
      <c r="Q526" t="s">
        <v>91</v>
      </c>
      <c r="R526" t="s">
        <v>326</v>
      </c>
      <c r="S526">
        <v>45398</v>
      </c>
      <c r="T526">
        <v>6</v>
      </c>
      <c r="U526">
        <f t="shared" si="24"/>
        <v>3</v>
      </c>
      <c r="V526">
        <f t="shared" si="25"/>
        <v>2024</v>
      </c>
      <c r="W526" t="str">
        <f t="shared" si="26"/>
        <v>2024-3</v>
      </c>
    </row>
    <row r="527" spans="16:23" x14ac:dyDescent="0.25">
      <c r="P527" t="s">
        <v>47</v>
      </c>
      <c r="Q527" t="s">
        <v>49</v>
      </c>
      <c r="R527" t="s">
        <v>326</v>
      </c>
      <c r="S527">
        <v>16470</v>
      </c>
      <c r="T527">
        <v>6</v>
      </c>
      <c r="U527">
        <f t="shared" si="24"/>
        <v>3</v>
      </c>
      <c r="V527">
        <f t="shared" si="25"/>
        <v>2024</v>
      </c>
      <c r="W527" t="str">
        <f t="shared" si="26"/>
        <v>2024-3</v>
      </c>
    </row>
    <row r="528" spans="16:23" x14ac:dyDescent="0.25">
      <c r="P528" t="s">
        <v>18</v>
      </c>
      <c r="Q528" t="s">
        <v>98</v>
      </c>
      <c r="R528" t="s">
        <v>327</v>
      </c>
      <c r="S528">
        <v>80556</v>
      </c>
      <c r="T528">
        <v>6</v>
      </c>
      <c r="U528">
        <f t="shared" si="24"/>
        <v>3</v>
      </c>
      <c r="V528">
        <f t="shared" si="25"/>
        <v>2024</v>
      </c>
      <c r="W528" t="str">
        <f t="shared" si="26"/>
        <v>2024-3</v>
      </c>
    </row>
    <row r="529" spans="16:23" x14ac:dyDescent="0.25">
      <c r="P529" t="s">
        <v>25</v>
      </c>
      <c r="Q529" t="s">
        <v>272</v>
      </c>
      <c r="R529" t="s">
        <v>327</v>
      </c>
      <c r="S529">
        <v>14412</v>
      </c>
      <c r="T529">
        <v>8</v>
      </c>
      <c r="U529">
        <f t="shared" si="24"/>
        <v>3</v>
      </c>
      <c r="V529">
        <f t="shared" si="25"/>
        <v>2024</v>
      </c>
      <c r="W529" t="str">
        <f t="shared" si="26"/>
        <v>2024-3</v>
      </c>
    </row>
    <row r="530" spans="16:23" x14ac:dyDescent="0.25">
      <c r="P530" t="s">
        <v>5</v>
      </c>
      <c r="Q530" t="s">
        <v>229</v>
      </c>
      <c r="R530" t="s">
        <v>328</v>
      </c>
      <c r="S530">
        <v>37306</v>
      </c>
      <c r="T530">
        <v>5</v>
      </c>
      <c r="U530">
        <f t="shared" si="24"/>
        <v>3</v>
      </c>
      <c r="V530">
        <f t="shared" si="25"/>
        <v>2024</v>
      </c>
      <c r="W530" t="str">
        <f t="shared" si="26"/>
        <v>2024-3</v>
      </c>
    </row>
    <row r="531" spans="16:23" x14ac:dyDescent="0.25">
      <c r="P531" t="s">
        <v>16</v>
      </c>
      <c r="Q531" t="s">
        <v>152</v>
      </c>
      <c r="R531" t="s">
        <v>328</v>
      </c>
      <c r="S531">
        <v>40041</v>
      </c>
      <c r="T531">
        <v>8</v>
      </c>
      <c r="U531">
        <f t="shared" si="24"/>
        <v>3</v>
      </c>
      <c r="V531">
        <f t="shared" si="25"/>
        <v>2024</v>
      </c>
      <c r="W531" t="str">
        <f t="shared" si="26"/>
        <v>2024-3</v>
      </c>
    </row>
    <row r="532" spans="16:23" x14ac:dyDescent="0.25">
      <c r="P532" t="s">
        <v>8</v>
      </c>
      <c r="Q532" t="s">
        <v>239</v>
      </c>
      <c r="R532" t="s">
        <v>328</v>
      </c>
      <c r="S532">
        <v>60918</v>
      </c>
      <c r="T532">
        <v>9</v>
      </c>
      <c r="U532">
        <f t="shared" si="24"/>
        <v>3</v>
      </c>
      <c r="V532">
        <f t="shared" si="25"/>
        <v>2024</v>
      </c>
      <c r="W532" t="str">
        <f t="shared" si="26"/>
        <v>2024-3</v>
      </c>
    </row>
    <row r="533" spans="16:23" x14ac:dyDescent="0.25">
      <c r="P533" t="s">
        <v>5</v>
      </c>
      <c r="Q533" t="s">
        <v>329</v>
      </c>
      <c r="R533" t="s">
        <v>330</v>
      </c>
      <c r="S533">
        <v>55635</v>
      </c>
      <c r="T533">
        <v>5</v>
      </c>
      <c r="U533">
        <f t="shared" si="24"/>
        <v>3</v>
      </c>
      <c r="V533">
        <f t="shared" si="25"/>
        <v>2024</v>
      </c>
      <c r="W533" t="str">
        <f t="shared" si="26"/>
        <v>2024-3</v>
      </c>
    </row>
    <row r="534" spans="16:23" x14ac:dyDescent="0.25">
      <c r="P534" t="s">
        <v>25</v>
      </c>
      <c r="Q534" t="s">
        <v>331</v>
      </c>
      <c r="R534" t="s">
        <v>330</v>
      </c>
      <c r="S534">
        <v>61166</v>
      </c>
      <c r="T534">
        <v>4</v>
      </c>
      <c r="U534">
        <f t="shared" si="24"/>
        <v>3</v>
      </c>
      <c r="V534">
        <f t="shared" si="25"/>
        <v>2024</v>
      </c>
      <c r="W534" t="str">
        <f t="shared" si="26"/>
        <v>2024-3</v>
      </c>
    </row>
    <row r="535" spans="16:23" x14ac:dyDescent="0.25">
      <c r="P535" t="s">
        <v>18</v>
      </c>
      <c r="Q535" t="s">
        <v>248</v>
      </c>
      <c r="R535" t="s">
        <v>330</v>
      </c>
      <c r="S535">
        <v>52493</v>
      </c>
      <c r="T535">
        <v>8</v>
      </c>
      <c r="U535">
        <f t="shared" si="24"/>
        <v>3</v>
      </c>
      <c r="V535">
        <f t="shared" si="25"/>
        <v>2024</v>
      </c>
      <c r="W535" t="str">
        <f t="shared" si="26"/>
        <v>2024-3</v>
      </c>
    </row>
    <row r="536" spans="16:23" x14ac:dyDescent="0.25">
      <c r="P536" t="s">
        <v>5</v>
      </c>
      <c r="Q536" t="s">
        <v>249</v>
      </c>
      <c r="R536" t="s">
        <v>330</v>
      </c>
      <c r="S536">
        <v>83654</v>
      </c>
      <c r="T536">
        <v>2</v>
      </c>
      <c r="U536">
        <f t="shared" si="24"/>
        <v>3</v>
      </c>
      <c r="V536">
        <f t="shared" si="25"/>
        <v>2024</v>
      </c>
      <c r="W536" t="str">
        <f t="shared" si="26"/>
        <v>2024-3</v>
      </c>
    </row>
    <row r="537" spans="16:23" x14ac:dyDescent="0.25">
      <c r="P537" t="s">
        <v>18</v>
      </c>
      <c r="Q537" t="s">
        <v>265</v>
      </c>
      <c r="R537" t="s">
        <v>330</v>
      </c>
      <c r="S537">
        <v>76306</v>
      </c>
      <c r="T537">
        <v>6</v>
      </c>
      <c r="U537">
        <f t="shared" si="24"/>
        <v>3</v>
      </c>
      <c r="V537">
        <f t="shared" si="25"/>
        <v>2024</v>
      </c>
      <c r="W537" t="str">
        <f t="shared" si="26"/>
        <v>2024-3</v>
      </c>
    </row>
    <row r="538" spans="16:23" x14ac:dyDescent="0.25">
      <c r="P538" t="s">
        <v>25</v>
      </c>
      <c r="Q538" t="s">
        <v>227</v>
      </c>
      <c r="R538" t="s">
        <v>330</v>
      </c>
      <c r="S538">
        <v>57915</v>
      </c>
      <c r="T538">
        <v>3</v>
      </c>
      <c r="U538">
        <f t="shared" si="24"/>
        <v>3</v>
      </c>
      <c r="V538">
        <f t="shared" si="25"/>
        <v>2024</v>
      </c>
      <c r="W538" t="str">
        <f t="shared" si="26"/>
        <v>2024-3</v>
      </c>
    </row>
    <row r="539" spans="16:23" x14ac:dyDescent="0.25">
      <c r="P539" t="s">
        <v>45</v>
      </c>
      <c r="Q539" t="s">
        <v>53</v>
      </c>
      <c r="R539" t="s">
        <v>330</v>
      </c>
      <c r="S539">
        <v>81308</v>
      </c>
      <c r="T539">
        <v>3</v>
      </c>
      <c r="U539">
        <f t="shared" si="24"/>
        <v>3</v>
      </c>
      <c r="V539">
        <f t="shared" si="25"/>
        <v>2024</v>
      </c>
      <c r="W539" t="str">
        <f t="shared" si="26"/>
        <v>2024-3</v>
      </c>
    </row>
    <row r="540" spans="16:23" x14ac:dyDescent="0.25">
      <c r="P540" t="s">
        <v>8</v>
      </c>
      <c r="Q540" t="s">
        <v>32</v>
      </c>
      <c r="R540" t="s">
        <v>330</v>
      </c>
      <c r="S540">
        <v>52608</v>
      </c>
      <c r="T540">
        <v>6</v>
      </c>
      <c r="U540">
        <f t="shared" si="24"/>
        <v>3</v>
      </c>
      <c r="V540">
        <f t="shared" si="25"/>
        <v>2024</v>
      </c>
      <c r="W540" t="str">
        <f t="shared" si="26"/>
        <v>2024-3</v>
      </c>
    </row>
    <row r="541" spans="16:23" x14ac:dyDescent="0.25">
      <c r="P541" t="s">
        <v>8</v>
      </c>
      <c r="Q541" t="s">
        <v>176</v>
      </c>
      <c r="R541" t="s">
        <v>330</v>
      </c>
      <c r="S541">
        <v>35805</v>
      </c>
      <c r="T541">
        <v>10</v>
      </c>
      <c r="U541">
        <f t="shared" si="24"/>
        <v>3</v>
      </c>
      <c r="V541">
        <f t="shared" si="25"/>
        <v>2024</v>
      </c>
      <c r="W541" t="str">
        <f t="shared" si="26"/>
        <v>2024-3</v>
      </c>
    </row>
    <row r="542" spans="16:23" x14ac:dyDescent="0.25">
      <c r="P542" t="s">
        <v>47</v>
      </c>
      <c r="Q542" t="s">
        <v>144</v>
      </c>
      <c r="R542" t="s">
        <v>330</v>
      </c>
      <c r="S542">
        <v>71200</v>
      </c>
      <c r="T542">
        <v>4</v>
      </c>
      <c r="U542">
        <f t="shared" si="24"/>
        <v>3</v>
      </c>
      <c r="V542">
        <f t="shared" si="25"/>
        <v>2024</v>
      </c>
      <c r="W542" t="str">
        <f t="shared" si="26"/>
        <v>2024-3</v>
      </c>
    </row>
    <row r="543" spans="16:23" x14ac:dyDescent="0.25">
      <c r="P543" t="s">
        <v>5</v>
      </c>
      <c r="Q543" t="s">
        <v>332</v>
      </c>
      <c r="R543" t="s">
        <v>333</v>
      </c>
      <c r="S543">
        <v>69983</v>
      </c>
      <c r="T543">
        <v>3</v>
      </c>
      <c r="U543">
        <f t="shared" si="24"/>
        <v>3</v>
      </c>
      <c r="V543">
        <f t="shared" si="25"/>
        <v>2024</v>
      </c>
      <c r="W543" t="str">
        <f t="shared" si="26"/>
        <v>2024-3</v>
      </c>
    </row>
    <row r="544" spans="16:23" x14ac:dyDescent="0.25">
      <c r="P544" t="s">
        <v>38</v>
      </c>
      <c r="Q544" t="s">
        <v>229</v>
      </c>
      <c r="R544" t="s">
        <v>334</v>
      </c>
      <c r="S544">
        <v>40515</v>
      </c>
      <c r="T544">
        <v>4</v>
      </c>
      <c r="U544">
        <f t="shared" si="24"/>
        <v>3</v>
      </c>
      <c r="V544">
        <f t="shared" si="25"/>
        <v>2024</v>
      </c>
      <c r="W544" t="str">
        <f t="shared" si="26"/>
        <v>2024-3</v>
      </c>
    </row>
    <row r="545" spans="16:23" x14ac:dyDescent="0.25">
      <c r="P545" t="s">
        <v>16</v>
      </c>
      <c r="Q545" t="s">
        <v>177</v>
      </c>
      <c r="R545" t="s">
        <v>335</v>
      </c>
      <c r="S545">
        <v>54632</v>
      </c>
      <c r="T545">
        <v>9</v>
      </c>
      <c r="U545">
        <f t="shared" si="24"/>
        <v>3</v>
      </c>
      <c r="V545">
        <f t="shared" si="25"/>
        <v>2024</v>
      </c>
      <c r="W545" t="str">
        <f t="shared" si="26"/>
        <v>2024-3</v>
      </c>
    </row>
    <row r="546" spans="16:23" x14ac:dyDescent="0.25">
      <c r="P546" t="s">
        <v>25</v>
      </c>
      <c r="Q546" t="s">
        <v>117</v>
      </c>
      <c r="R546" t="s">
        <v>335</v>
      </c>
      <c r="S546">
        <v>91783</v>
      </c>
      <c r="T546">
        <v>10</v>
      </c>
      <c r="U546">
        <f t="shared" si="24"/>
        <v>3</v>
      </c>
      <c r="V546">
        <f t="shared" si="25"/>
        <v>2024</v>
      </c>
      <c r="W546" t="str">
        <f t="shared" si="26"/>
        <v>2024-3</v>
      </c>
    </row>
    <row r="547" spans="16:23" x14ac:dyDescent="0.25">
      <c r="P547" t="s">
        <v>18</v>
      </c>
      <c r="Q547" t="s">
        <v>57</v>
      </c>
      <c r="R547" t="s">
        <v>336</v>
      </c>
      <c r="S547">
        <v>93780</v>
      </c>
      <c r="T547">
        <v>7</v>
      </c>
      <c r="U547">
        <f t="shared" si="24"/>
        <v>3</v>
      </c>
      <c r="V547">
        <f t="shared" si="25"/>
        <v>2024</v>
      </c>
      <c r="W547" t="str">
        <f t="shared" si="26"/>
        <v>2024-3</v>
      </c>
    </row>
    <row r="548" spans="16:23" x14ac:dyDescent="0.25">
      <c r="P548" t="s">
        <v>8</v>
      </c>
      <c r="Q548" t="s">
        <v>152</v>
      </c>
      <c r="R548" t="s">
        <v>336</v>
      </c>
      <c r="S548">
        <v>88851</v>
      </c>
      <c r="T548">
        <v>4</v>
      </c>
      <c r="U548">
        <f t="shared" si="24"/>
        <v>3</v>
      </c>
      <c r="V548">
        <f t="shared" si="25"/>
        <v>2024</v>
      </c>
      <c r="W548" t="str">
        <f t="shared" si="26"/>
        <v>2024-3</v>
      </c>
    </row>
    <row r="549" spans="16:23" x14ac:dyDescent="0.25">
      <c r="P549" t="s">
        <v>18</v>
      </c>
      <c r="Q549" t="s">
        <v>33</v>
      </c>
      <c r="R549" t="s">
        <v>337</v>
      </c>
      <c r="S549">
        <v>86465</v>
      </c>
      <c r="T549">
        <v>7</v>
      </c>
      <c r="U549">
        <f t="shared" si="24"/>
        <v>3</v>
      </c>
      <c r="V549">
        <f t="shared" si="25"/>
        <v>2024</v>
      </c>
      <c r="W549" t="str">
        <f t="shared" si="26"/>
        <v>2024-3</v>
      </c>
    </row>
    <row r="550" spans="16:23" x14ac:dyDescent="0.25">
      <c r="P550" t="s">
        <v>45</v>
      </c>
      <c r="Q550" t="s">
        <v>338</v>
      </c>
      <c r="R550" t="s">
        <v>337</v>
      </c>
      <c r="S550">
        <v>60537</v>
      </c>
      <c r="T550">
        <v>1</v>
      </c>
      <c r="U550">
        <f t="shared" si="24"/>
        <v>3</v>
      </c>
      <c r="V550">
        <f t="shared" si="25"/>
        <v>2024</v>
      </c>
      <c r="W550" t="str">
        <f t="shared" si="26"/>
        <v>2024-3</v>
      </c>
    </row>
    <row r="551" spans="16:23" x14ac:dyDescent="0.25">
      <c r="P551" t="s">
        <v>8</v>
      </c>
      <c r="Q551" t="s">
        <v>243</v>
      </c>
      <c r="R551" t="s">
        <v>337</v>
      </c>
      <c r="S551">
        <v>25625</v>
      </c>
      <c r="T551">
        <v>5</v>
      </c>
      <c r="U551">
        <f t="shared" si="24"/>
        <v>3</v>
      </c>
      <c r="V551">
        <f t="shared" si="25"/>
        <v>2024</v>
      </c>
      <c r="W551" t="str">
        <f t="shared" si="26"/>
        <v>2024-3</v>
      </c>
    </row>
    <row r="552" spans="16:23" x14ac:dyDescent="0.25">
      <c r="P552" t="s">
        <v>5</v>
      </c>
      <c r="Q552" t="s">
        <v>206</v>
      </c>
      <c r="R552" t="s">
        <v>339</v>
      </c>
      <c r="S552">
        <v>48001</v>
      </c>
      <c r="T552">
        <v>2</v>
      </c>
      <c r="U552">
        <f t="shared" si="24"/>
        <v>3</v>
      </c>
      <c r="V552">
        <f t="shared" si="25"/>
        <v>2024</v>
      </c>
      <c r="W552" t="str">
        <f t="shared" si="26"/>
        <v>2024-3</v>
      </c>
    </row>
    <row r="553" spans="16:23" x14ac:dyDescent="0.25">
      <c r="P553" t="s">
        <v>10</v>
      </c>
      <c r="Q553" t="s">
        <v>224</v>
      </c>
      <c r="R553" t="s">
        <v>339</v>
      </c>
      <c r="S553">
        <v>11498</v>
      </c>
      <c r="T553">
        <v>7</v>
      </c>
      <c r="U553">
        <f t="shared" si="24"/>
        <v>3</v>
      </c>
      <c r="V553">
        <f t="shared" si="25"/>
        <v>2024</v>
      </c>
      <c r="W553" t="str">
        <f t="shared" si="26"/>
        <v>2024-3</v>
      </c>
    </row>
    <row r="554" spans="16:23" x14ac:dyDescent="0.25">
      <c r="P554" t="s">
        <v>38</v>
      </c>
      <c r="Q554" t="s">
        <v>37</v>
      </c>
      <c r="R554" t="s">
        <v>339</v>
      </c>
      <c r="S554">
        <v>42918</v>
      </c>
      <c r="T554">
        <v>8</v>
      </c>
      <c r="U554">
        <f t="shared" si="24"/>
        <v>3</v>
      </c>
      <c r="V554">
        <f t="shared" si="25"/>
        <v>2024</v>
      </c>
      <c r="W554" t="str">
        <f t="shared" si="26"/>
        <v>2024-3</v>
      </c>
    </row>
    <row r="555" spans="16:23" x14ac:dyDescent="0.25">
      <c r="P555" t="s">
        <v>47</v>
      </c>
      <c r="Q555" t="s">
        <v>116</v>
      </c>
      <c r="R555" t="s">
        <v>340</v>
      </c>
      <c r="S555">
        <v>24987</v>
      </c>
      <c r="T555">
        <v>6</v>
      </c>
      <c r="U555">
        <f t="shared" si="24"/>
        <v>3</v>
      </c>
      <c r="V555">
        <f t="shared" si="25"/>
        <v>2024</v>
      </c>
      <c r="W555" t="str">
        <f t="shared" si="26"/>
        <v>2024-3</v>
      </c>
    </row>
    <row r="556" spans="16:23" x14ac:dyDescent="0.25">
      <c r="P556" t="s">
        <v>13</v>
      </c>
      <c r="Q556" t="s">
        <v>74</v>
      </c>
      <c r="R556" t="s">
        <v>340</v>
      </c>
      <c r="S556">
        <v>59543</v>
      </c>
      <c r="T556">
        <v>7</v>
      </c>
      <c r="U556">
        <f t="shared" si="24"/>
        <v>3</v>
      </c>
      <c r="V556">
        <f t="shared" si="25"/>
        <v>2024</v>
      </c>
      <c r="W556" t="str">
        <f t="shared" si="26"/>
        <v>2024-3</v>
      </c>
    </row>
    <row r="557" spans="16:23" x14ac:dyDescent="0.25">
      <c r="P557" t="s">
        <v>27</v>
      </c>
      <c r="Q557" t="s">
        <v>32</v>
      </c>
      <c r="R557" t="s">
        <v>341</v>
      </c>
      <c r="S557">
        <v>90046</v>
      </c>
      <c r="T557">
        <v>7</v>
      </c>
      <c r="U557">
        <f t="shared" si="24"/>
        <v>3</v>
      </c>
      <c r="V557">
        <f t="shared" si="25"/>
        <v>2024</v>
      </c>
      <c r="W557" t="str">
        <f t="shared" si="26"/>
        <v>2024-3</v>
      </c>
    </row>
    <row r="558" spans="16:23" x14ac:dyDescent="0.25">
      <c r="P558" t="s">
        <v>30</v>
      </c>
      <c r="Q558" t="s">
        <v>90</v>
      </c>
      <c r="R558" t="s">
        <v>341</v>
      </c>
      <c r="S558">
        <v>46328</v>
      </c>
      <c r="T558">
        <v>8</v>
      </c>
      <c r="U558">
        <f t="shared" si="24"/>
        <v>3</v>
      </c>
      <c r="V558">
        <f t="shared" si="25"/>
        <v>2024</v>
      </c>
      <c r="W558" t="str">
        <f t="shared" si="26"/>
        <v>2024-3</v>
      </c>
    </row>
    <row r="559" spans="16:23" x14ac:dyDescent="0.25">
      <c r="P559" t="s">
        <v>16</v>
      </c>
      <c r="Q559" t="s">
        <v>215</v>
      </c>
      <c r="R559" t="s">
        <v>342</v>
      </c>
      <c r="S559">
        <v>59318</v>
      </c>
      <c r="T559">
        <v>7</v>
      </c>
      <c r="U559">
        <f t="shared" si="24"/>
        <v>3</v>
      </c>
      <c r="V559">
        <f t="shared" si="25"/>
        <v>2024</v>
      </c>
      <c r="W559" t="str">
        <f t="shared" si="26"/>
        <v>2024-3</v>
      </c>
    </row>
    <row r="560" spans="16:23" x14ac:dyDescent="0.25">
      <c r="P560" t="s">
        <v>25</v>
      </c>
      <c r="Q560" t="s">
        <v>129</v>
      </c>
      <c r="R560" t="s">
        <v>342</v>
      </c>
      <c r="S560">
        <v>11404</v>
      </c>
      <c r="T560">
        <v>6</v>
      </c>
      <c r="U560">
        <f t="shared" si="24"/>
        <v>3</v>
      </c>
      <c r="V560">
        <f t="shared" si="25"/>
        <v>2024</v>
      </c>
      <c r="W560" t="str">
        <f t="shared" si="26"/>
        <v>2024-3</v>
      </c>
    </row>
    <row r="561" spans="16:23" x14ac:dyDescent="0.25">
      <c r="P561" t="s">
        <v>5</v>
      </c>
      <c r="Q561" t="s">
        <v>227</v>
      </c>
      <c r="R561" t="s">
        <v>343</v>
      </c>
      <c r="S561">
        <v>38437</v>
      </c>
      <c r="T561">
        <v>7</v>
      </c>
      <c r="U561">
        <f t="shared" si="24"/>
        <v>4</v>
      </c>
      <c r="V561">
        <f t="shared" si="25"/>
        <v>2024</v>
      </c>
      <c r="W561" t="str">
        <f t="shared" si="26"/>
        <v>2024-4</v>
      </c>
    </row>
    <row r="562" spans="16:23" x14ac:dyDescent="0.25">
      <c r="P562" t="s">
        <v>47</v>
      </c>
      <c r="Q562" t="s">
        <v>125</v>
      </c>
      <c r="R562" t="s">
        <v>343</v>
      </c>
      <c r="S562">
        <v>67209</v>
      </c>
      <c r="T562">
        <v>1</v>
      </c>
      <c r="U562">
        <f t="shared" si="24"/>
        <v>4</v>
      </c>
      <c r="V562">
        <f t="shared" si="25"/>
        <v>2024</v>
      </c>
      <c r="W562" t="str">
        <f t="shared" si="26"/>
        <v>2024-4</v>
      </c>
    </row>
    <row r="563" spans="16:23" x14ac:dyDescent="0.25">
      <c r="P563" t="s">
        <v>10</v>
      </c>
      <c r="Q563" t="s">
        <v>96</v>
      </c>
      <c r="R563" t="s">
        <v>343</v>
      </c>
      <c r="S563">
        <v>78471</v>
      </c>
      <c r="T563">
        <v>6</v>
      </c>
      <c r="U563">
        <f t="shared" si="24"/>
        <v>4</v>
      </c>
      <c r="V563">
        <f t="shared" si="25"/>
        <v>2024</v>
      </c>
      <c r="W563" t="str">
        <f t="shared" si="26"/>
        <v>2024-4</v>
      </c>
    </row>
    <row r="564" spans="16:23" x14ac:dyDescent="0.25">
      <c r="P564" t="s">
        <v>16</v>
      </c>
      <c r="Q564" t="s">
        <v>77</v>
      </c>
      <c r="R564" t="s">
        <v>343</v>
      </c>
      <c r="S564">
        <v>58627</v>
      </c>
      <c r="T564">
        <v>10</v>
      </c>
      <c r="U564">
        <f t="shared" si="24"/>
        <v>4</v>
      </c>
      <c r="V564">
        <f t="shared" si="25"/>
        <v>2024</v>
      </c>
      <c r="W564" t="str">
        <f t="shared" si="26"/>
        <v>2024-4</v>
      </c>
    </row>
    <row r="565" spans="16:23" x14ac:dyDescent="0.25">
      <c r="P565" t="s">
        <v>38</v>
      </c>
      <c r="Q565" t="s">
        <v>42</v>
      </c>
      <c r="R565" t="s">
        <v>343</v>
      </c>
      <c r="S565">
        <v>88574</v>
      </c>
      <c r="T565">
        <v>5</v>
      </c>
      <c r="U565">
        <f t="shared" si="24"/>
        <v>4</v>
      </c>
      <c r="V565">
        <f t="shared" si="25"/>
        <v>2024</v>
      </c>
      <c r="W565" t="str">
        <f t="shared" si="26"/>
        <v>2024-4</v>
      </c>
    </row>
    <row r="566" spans="16:23" x14ac:dyDescent="0.25">
      <c r="P566" t="s">
        <v>47</v>
      </c>
      <c r="Q566" t="s">
        <v>24</v>
      </c>
      <c r="R566" t="s">
        <v>343</v>
      </c>
      <c r="S566">
        <v>69737</v>
      </c>
      <c r="T566">
        <v>7</v>
      </c>
      <c r="U566">
        <f t="shared" si="24"/>
        <v>4</v>
      </c>
      <c r="V566">
        <f t="shared" si="25"/>
        <v>2024</v>
      </c>
      <c r="W566" t="str">
        <f t="shared" si="26"/>
        <v>2024-4</v>
      </c>
    </row>
    <row r="567" spans="16:23" x14ac:dyDescent="0.25">
      <c r="P567" t="s">
        <v>25</v>
      </c>
      <c r="Q567" t="s">
        <v>187</v>
      </c>
      <c r="R567" t="s">
        <v>343</v>
      </c>
      <c r="S567">
        <v>17208</v>
      </c>
      <c r="T567">
        <v>5</v>
      </c>
      <c r="U567">
        <f t="shared" si="24"/>
        <v>4</v>
      </c>
      <c r="V567">
        <f t="shared" si="25"/>
        <v>2024</v>
      </c>
      <c r="W567" t="str">
        <f t="shared" si="26"/>
        <v>2024-4</v>
      </c>
    </row>
    <row r="568" spans="16:23" x14ac:dyDescent="0.25">
      <c r="P568" t="s">
        <v>18</v>
      </c>
      <c r="Q568" t="s">
        <v>46</v>
      </c>
      <c r="R568" t="s">
        <v>343</v>
      </c>
      <c r="S568">
        <v>22039</v>
      </c>
      <c r="T568">
        <v>9</v>
      </c>
      <c r="U568">
        <f t="shared" si="24"/>
        <v>4</v>
      </c>
      <c r="V568">
        <f t="shared" si="25"/>
        <v>2024</v>
      </c>
      <c r="W568" t="str">
        <f t="shared" si="26"/>
        <v>2024-4</v>
      </c>
    </row>
    <row r="569" spans="16:23" x14ac:dyDescent="0.25">
      <c r="P569" t="s">
        <v>30</v>
      </c>
      <c r="Q569" t="s">
        <v>156</v>
      </c>
      <c r="R569" t="s">
        <v>343</v>
      </c>
      <c r="S569">
        <v>91403</v>
      </c>
      <c r="T569">
        <v>8</v>
      </c>
      <c r="U569">
        <f t="shared" si="24"/>
        <v>4</v>
      </c>
      <c r="V569">
        <f t="shared" si="25"/>
        <v>2024</v>
      </c>
      <c r="W569" t="str">
        <f t="shared" si="26"/>
        <v>2024-4</v>
      </c>
    </row>
    <row r="570" spans="16:23" x14ac:dyDescent="0.25">
      <c r="P570" t="s">
        <v>16</v>
      </c>
      <c r="Q570" t="s">
        <v>344</v>
      </c>
      <c r="R570" t="s">
        <v>345</v>
      </c>
      <c r="S570">
        <v>70068</v>
      </c>
      <c r="T570">
        <v>9</v>
      </c>
      <c r="U570">
        <f t="shared" si="24"/>
        <v>4</v>
      </c>
      <c r="V570">
        <f t="shared" si="25"/>
        <v>2024</v>
      </c>
      <c r="W570" t="str">
        <f t="shared" si="26"/>
        <v>2024-4</v>
      </c>
    </row>
    <row r="571" spans="16:23" x14ac:dyDescent="0.25">
      <c r="P571" t="s">
        <v>10</v>
      </c>
      <c r="Q571" t="s">
        <v>296</v>
      </c>
      <c r="R571" t="s">
        <v>345</v>
      </c>
      <c r="S571">
        <v>65461</v>
      </c>
      <c r="T571">
        <v>6</v>
      </c>
      <c r="U571">
        <f t="shared" si="24"/>
        <v>4</v>
      </c>
      <c r="V571">
        <f t="shared" si="25"/>
        <v>2024</v>
      </c>
      <c r="W571" t="str">
        <f t="shared" si="26"/>
        <v>2024-4</v>
      </c>
    </row>
    <row r="572" spans="16:23" x14ac:dyDescent="0.25">
      <c r="P572" t="s">
        <v>27</v>
      </c>
      <c r="Q572" t="s">
        <v>346</v>
      </c>
      <c r="R572" t="s">
        <v>345</v>
      </c>
      <c r="S572">
        <v>34157</v>
      </c>
      <c r="T572">
        <v>10</v>
      </c>
      <c r="U572">
        <f t="shared" si="24"/>
        <v>4</v>
      </c>
      <c r="V572">
        <f t="shared" si="25"/>
        <v>2024</v>
      </c>
      <c r="W572" t="str">
        <f t="shared" si="26"/>
        <v>2024-4</v>
      </c>
    </row>
    <row r="573" spans="16:23" x14ac:dyDescent="0.25">
      <c r="P573" t="s">
        <v>30</v>
      </c>
      <c r="Q573" t="s">
        <v>110</v>
      </c>
      <c r="R573" t="s">
        <v>347</v>
      </c>
      <c r="S573">
        <v>55695</v>
      </c>
      <c r="T573">
        <v>6</v>
      </c>
      <c r="U573">
        <f t="shared" si="24"/>
        <v>4</v>
      </c>
      <c r="V573">
        <f t="shared" si="25"/>
        <v>2024</v>
      </c>
      <c r="W573" t="str">
        <f t="shared" si="26"/>
        <v>2024-4</v>
      </c>
    </row>
    <row r="574" spans="16:23" x14ac:dyDescent="0.25">
      <c r="P574" t="s">
        <v>47</v>
      </c>
      <c r="Q574" t="s">
        <v>167</v>
      </c>
      <c r="R574" t="s">
        <v>347</v>
      </c>
      <c r="S574">
        <v>31835</v>
      </c>
      <c r="T574">
        <v>8</v>
      </c>
      <c r="U574">
        <f t="shared" si="24"/>
        <v>4</v>
      </c>
      <c r="V574">
        <f t="shared" si="25"/>
        <v>2024</v>
      </c>
      <c r="W574" t="str">
        <f t="shared" si="26"/>
        <v>2024-4</v>
      </c>
    </row>
    <row r="575" spans="16:23" x14ac:dyDescent="0.25">
      <c r="P575" t="s">
        <v>38</v>
      </c>
      <c r="Q575" t="s">
        <v>68</v>
      </c>
      <c r="R575" t="s">
        <v>347</v>
      </c>
      <c r="S575">
        <v>59678</v>
      </c>
      <c r="T575">
        <v>3</v>
      </c>
      <c r="U575">
        <f t="shared" si="24"/>
        <v>4</v>
      </c>
      <c r="V575">
        <f t="shared" si="25"/>
        <v>2024</v>
      </c>
      <c r="W575" t="str">
        <f t="shared" si="26"/>
        <v>2024-4</v>
      </c>
    </row>
    <row r="576" spans="16:23" x14ac:dyDescent="0.25">
      <c r="P576" t="s">
        <v>5</v>
      </c>
      <c r="Q576" t="s">
        <v>28</v>
      </c>
      <c r="R576" t="s">
        <v>348</v>
      </c>
      <c r="S576">
        <v>64998</v>
      </c>
      <c r="T576">
        <v>9</v>
      </c>
      <c r="U576">
        <f t="shared" si="24"/>
        <v>4</v>
      </c>
      <c r="V576">
        <f t="shared" si="25"/>
        <v>2024</v>
      </c>
      <c r="W576" t="str">
        <f t="shared" si="26"/>
        <v>2024-4</v>
      </c>
    </row>
    <row r="577" spans="16:23" x14ac:dyDescent="0.25">
      <c r="P577" t="s">
        <v>8</v>
      </c>
      <c r="Q577" t="s">
        <v>247</v>
      </c>
      <c r="R577" t="s">
        <v>348</v>
      </c>
      <c r="S577">
        <v>26333</v>
      </c>
      <c r="T577">
        <v>6</v>
      </c>
      <c r="U577">
        <f t="shared" si="24"/>
        <v>4</v>
      </c>
      <c r="V577">
        <f t="shared" si="25"/>
        <v>2024</v>
      </c>
      <c r="W577" t="str">
        <f t="shared" si="26"/>
        <v>2024-4</v>
      </c>
    </row>
    <row r="578" spans="16:23" x14ac:dyDescent="0.25">
      <c r="P578" t="s">
        <v>8</v>
      </c>
      <c r="Q578" t="s">
        <v>75</v>
      </c>
      <c r="R578" t="s">
        <v>349</v>
      </c>
      <c r="S578">
        <v>94955</v>
      </c>
      <c r="T578">
        <v>7</v>
      </c>
      <c r="U578">
        <f t="shared" si="24"/>
        <v>4</v>
      </c>
      <c r="V578">
        <f t="shared" si="25"/>
        <v>2024</v>
      </c>
      <c r="W578" t="str">
        <f t="shared" si="26"/>
        <v>2024-4</v>
      </c>
    </row>
    <row r="579" spans="16:23" x14ac:dyDescent="0.25">
      <c r="P579" t="s">
        <v>30</v>
      </c>
      <c r="Q579" t="s">
        <v>186</v>
      </c>
      <c r="R579" t="s">
        <v>349</v>
      </c>
      <c r="S579">
        <v>93962</v>
      </c>
      <c r="T579">
        <v>3</v>
      </c>
      <c r="U579">
        <f t="shared" ref="U579:U642" si="27">MONTH(R579)</f>
        <v>4</v>
      </c>
      <c r="V579">
        <f t="shared" ref="V579:V642" si="28">YEAR(R579)</f>
        <v>2024</v>
      </c>
      <c r="W579" t="str">
        <f t="shared" ref="W579:W642" si="29">V579&amp;"-"&amp;U579</f>
        <v>2024-4</v>
      </c>
    </row>
    <row r="580" spans="16:23" x14ac:dyDescent="0.25">
      <c r="P580" t="s">
        <v>47</v>
      </c>
      <c r="Q580" t="s">
        <v>66</v>
      </c>
      <c r="R580" t="s">
        <v>350</v>
      </c>
      <c r="S580">
        <v>68581</v>
      </c>
      <c r="T580">
        <v>3</v>
      </c>
      <c r="U580">
        <f t="shared" si="27"/>
        <v>4</v>
      </c>
      <c r="V580">
        <f t="shared" si="28"/>
        <v>2024</v>
      </c>
      <c r="W580" t="str">
        <f t="shared" si="29"/>
        <v>2024-4</v>
      </c>
    </row>
    <row r="581" spans="16:23" x14ac:dyDescent="0.25">
      <c r="P581" t="s">
        <v>16</v>
      </c>
      <c r="Q581" t="s">
        <v>158</v>
      </c>
      <c r="R581" t="s">
        <v>350</v>
      </c>
      <c r="S581">
        <v>93639</v>
      </c>
      <c r="T581">
        <v>6</v>
      </c>
      <c r="U581">
        <f t="shared" si="27"/>
        <v>4</v>
      </c>
      <c r="V581">
        <f t="shared" si="28"/>
        <v>2024</v>
      </c>
      <c r="W581" t="str">
        <f t="shared" si="29"/>
        <v>2024-4</v>
      </c>
    </row>
    <row r="582" spans="16:23" x14ac:dyDescent="0.25">
      <c r="P582" t="s">
        <v>18</v>
      </c>
      <c r="Q582" t="s">
        <v>201</v>
      </c>
      <c r="R582" t="s">
        <v>350</v>
      </c>
      <c r="S582">
        <v>51767</v>
      </c>
      <c r="T582">
        <v>6</v>
      </c>
      <c r="U582">
        <f t="shared" si="27"/>
        <v>4</v>
      </c>
      <c r="V582">
        <f t="shared" si="28"/>
        <v>2024</v>
      </c>
      <c r="W582" t="str">
        <f t="shared" si="29"/>
        <v>2024-4</v>
      </c>
    </row>
    <row r="583" spans="16:23" x14ac:dyDescent="0.25">
      <c r="P583" t="s">
        <v>45</v>
      </c>
      <c r="Q583" t="s">
        <v>111</v>
      </c>
      <c r="R583" t="s">
        <v>350</v>
      </c>
      <c r="S583">
        <v>26677</v>
      </c>
      <c r="T583">
        <v>4</v>
      </c>
      <c r="U583">
        <f t="shared" si="27"/>
        <v>4</v>
      </c>
      <c r="V583">
        <f t="shared" si="28"/>
        <v>2024</v>
      </c>
      <c r="W583" t="str">
        <f t="shared" si="29"/>
        <v>2024-4</v>
      </c>
    </row>
    <row r="584" spans="16:23" x14ac:dyDescent="0.25">
      <c r="P584" t="s">
        <v>30</v>
      </c>
      <c r="Q584" t="s">
        <v>99</v>
      </c>
      <c r="R584" t="s">
        <v>350</v>
      </c>
      <c r="S584">
        <v>25598</v>
      </c>
      <c r="T584">
        <v>7</v>
      </c>
      <c r="U584">
        <f t="shared" si="27"/>
        <v>4</v>
      </c>
      <c r="V584">
        <f t="shared" si="28"/>
        <v>2024</v>
      </c>
      <c r="W584" t="str">
        <f t="shared" si="29"/>
        <v>2024-4</v>
      </c>
    </row>
    <row r="585" spans="16:23" x14ac:dyDescent="0.25">
      <c r="P585" t="s">
        <v>45</v>
      </c>
      <c r="Q585" t="s">
        <v>248</v>
      </c>
      <c r="R585" t="s">
        <v>350</v>
      </c>
      <c r="S585">
        <v>85915</v>
      </c>
      <c r="T585">
        <v>4</v>
      </c>
      <c r="U585">
        <f t="shared" si="27"/>
        <v>4</v>
      </c>
      <c r="V585">
        <f t="shared" si="28"/>
        <v>2024</v>
      </c>
      <c r="W585" t="str">
        <f t="shared" si="29"/>
        <v>2024-4</v>
      </c>
    </row>
    <row r="586" spans="16:23" x14ac:dyDescent="0.25">
      <c r="P586" t="s">
        <v>13</v>
      </c>
      <c r="Q586" t="s">
        <v>332</v>
      </c>
      <c r="R586" t="s">
        <v>351</v>
      </c>
      <c r="S586">
        <v>38859</v>
      </c>
      <c r="T586">
        <v>3</v>
      </c>
      <c r="U586">
        <f t="shared" si="27"/>
        <v>4</v>
      </c>
      <c r="V586">
        <f t="shared" si="28"/>
        <v>2024</v>
      </c>
      <c r="W586" t="str">
        <f t="shared" si="29"/>
        <v>2024-4</v>
      </c>
    </row>
    <row r="587" spans="16:23" x14ac:dyDescent="0.25">
      <c r="P587" t="s">
        <v>8</v>
      </c>
      <c r="Q587" t="s">
        <v>331</v>
      </c>
      <c r="R587" t="s">
        <v>352</v>
      </c>
      <c r="S587">
        <v>83112</v>
      </c>
      <c r="T587">
        <v>8</v>
      </c>
      <c r="U587">
        <f t="shared" si="27"/>
        <v>4</v>
      </c>
      <c r="V587">
        <f t="shared" si="28"/>
        <v>2024</v>
      </c>
      <c r="W587" t="str">
        <f t="shared" si="29"/>
        <v>2024-4</v>
      </c>
    </row>
    <row r="588" spans="16:23" x14ac:dyDescent="0.25">
      <c r="P588" t="s">
        <v>18</v>
      </c>
      <c r="Q588" t="s">
        <v>209</v>
      </c>
      <c r="R588" t="s">
        <v>352</v>
      </c>
      <c r="S588">
        <v>22953</v>
      </c>
      <c r="T588">
        <v>2</v>
      </c>
      <c r="U588">
        <f t="shared" si="27"/>
        <v>4</v>
      </c>
      <c r="V588">
        <f t="shared" si="28"/>
        <v>2024</v>
      </c>
      <c r="W588" t="str">
        <f t="shared" si="29"/>
        <v>2024-4</v>
      </c>
    </row>
    <row r="589" spans="16:23" x14ac:dyDescent="0.25">
      <c r="P589" t="s">
        <v>13</v>
      </c>
      <c r="Q589" t="s">
        <v>167</v>
      </c>
      <c r="R589" t="s">
        <v>352</v>
      </c>
      <c r="S589">
        <v>56069</v>
      </c>
      <c r="T589">
        <v>3</v>
      </c>
      <c r="U589">
        <f t="shared" si="27"/>
        <v>4</v>
      </c>
      <c r="V589">
        <f t="shared" si="28"/>
        <v>2024</v>
      </c>
      <c r="W589" t="str">
        <f t="shared" si="29"/>
        <v>2024-4</v>
      </c>
    </row>
    <row r="590" spans="16:23" x14ac:dyDescent="0.25">
      <c r="P590" t="s">
        <v>18</v>
      </c>
      <c r="Q590" t="s">
        <v>73</v>
      </c>
      <c r="R590" t="s">
        <v>353</v>
      </c>
      <c r="S590">
        <v>49393</v>
      </c>
      <c r="T590">
        <v>8</v>
      </c>
      <c r="U590">
        <f t="shared" si="27"/>
        <v>4</v>
      </c>
      <c r="V590">
        <f t="shared" si="28"/>
        <v>2024</v>
      </c>
      <c r="W590" t="str">
        <f t="shared" si="29"/>
        <v>2024-4</v>
      </c>
    </row>
    <row r="591" spans="16:23" x14ac:dyDescent="0.25">
      <c r="P591" t="s">
        <v>13</v>
      </c>
      <c r="Q591" t="s">
        <v>239</v>
      </c>
      <c r="R591" t="s">
        <v>353</v>
      </c>
      <c r="S591">
        <v>76148</v>
      </c>
      <c r="T591">
        <v>4</v>
      </c>
      <c r="U591">
        <f t="shared" si="27"/>
        <v>4</v>
      </c>
      <c r="V591">
        <f t="shared" si="28"/>
        <v>2024</v>
      </c>
      <c r="W591" t="str">
        <f t="shared" si="29"/>
        <v>2024-4</v>
      </c>
    </row>
    <row r="592" spans="16:23" x14ac:dyDescent="0.25">
      <c r="P592" t="s">
        <v>8</v>
      </c>
      <c r="Q592" t="s">
        <v>93</v>
      </c>
      <c r="R592" t="s">
        <v>353</v>
      </c>
      <c r="S592">
        <v>32198</v>
      </c>
      <c r="T592">
        <v>9</v>
      </c>
      <c r="U592">
        <f t="shared" si="27"/>
        <v>4</v>
      </c>
      <c r="V592">
        <f t="shared" si="28"/>
        <v>2024</v>
      </c>
      <c r="W592" t="str">
        <f t="shared" si="29"/>
        <v>2024-4</v>
      </c>
    </row>
    <row r="593" spans="16:23" x14ac:dyDescent="0.25">
      <c r="P593" t="s">
        <v>16</v>
      </c>
      <c r="Q593" t="s">
        <v>121</v>
      </c>
      <c r="R593" t="s">
        <v>354</v>
      </c>
      <c r="S593">
        <v>12365</v>
      </c>
      <c r="T593">
        <v>7</v>
      </c>
      <c r="U593">
        <f t="shared" si="27"/>
        <v>4</v>
      </c>
      <c r="V593">
        <f t="shared" si="28"/>
        <v>2024</v>
      </c>
      <c r="W593" t="str">
        <f t="shared" si="29"/>
        <v>2024-4</v>
      </c>
    </row>
    <row r="594" spans="16:23" x14ac:dyDescent="0.25">
      <c r="P594" t="s">
        <v>10</v>
      </c>
      <c r="Q594" t="s">
        <v>346</v>
      </c>
      <c r="R594" t="s">
        <v>354</v>
      </c>
      <c r="S594">
        <v>73411</v>
      </c>
      <c r="T594">
        <v>9</v>
      </c>
      <c r="U594">
        <f t="shared" si="27"/>
        <v>4</v>
      </c>
      <c r="V594">
        <f t="shared" si="28"/>
        <v>2024</v>
      </c>
      <c r="W594" t="str">
        <f t="shared" si="29"/>
        <v>2024-4</v>
      </c>
    </row>
    <row r="595" spans="16:23" x14ac:dyDescent="0.25">
      <c r="P595" t="s">
        <v>38</v>
      </c>
      <c r="Q595" t="s">
        <v>99</v>
      </c>
      <c r="R595" t="s">
        <v>355</v>
      </c>
      <c r="S595">
        <v>23569</v>
      </c>
      <c r="T595">
        <v>8</v>
      </c>
      <c r="U595">
        <f t="shared" si="27"/>
        <v>4</v>
      </c>
      <c r="V595">
        <f t="shared" si="28"/>
        <v>2024</v>
      </c>
      <c r="W595" t="str">
        <f t="shared" si="29"/>
        <v>2024-4</v>
      </c>
    </row>
    <row r="596" spans="16:23" x14ac:dyDescent="0.25">
      <c r="P596" t="s">
        <v>16</v>
      </c>
      <c r="Q596" t="s">
        <v>89</v>
      </c>
      <c r="R596" t="s">
        <v>355</v>
      </c>
      <c r="S596">
        <v>49149</v>
      </c>
      <c r="T596">
        <v>4</v>
      </c>
      <c r="U596">
        <f t="shared" si="27"/>
        <v>4</v>
      </c>
      <c r="V596">
        <f t="shared" si="28"/>
        <v>2024</v>
      </c>
      <c r="W596" t="str">
        <f t="shared" si="29"/>
        <v>2024-4</v>
      </c>
    </row>
    <row r="597" spans="16:23" x14ac:dyDescent="0.25">
      <c r="P597" t="s">
        <v>8</v>
      </c>
      <c r="Q597" t="s">
        <v>22</v>
      </c>
      <c r="R597" t="s">
        <v>355</v>
      </c>
      <c r="S597">
        <v>10686</v>
      </c>
      <c r="T597">
        <v>8</v>
      </c>
      <c r="U597">
        <f t="shared" si="27"/>
        <v>4</v>
      </c>
      <c r="V597">
        <f t="shared" si="28"/>
        <v>2024</v>
      </c>
      <c r="W597" t="str">
        <f t="shared" si="29"/>
        <v>2024-4</v>
      </c>
    </row>
    <row r="598" spans="16:23" x14ac:dyDescent="0.25">
      <c r="P598" t="s">
        <v>25</v>
      </c>
      <c r="Q598" t="s">
        <v>43</v>
      </c>
      <c r="R598" t="s">
        <v>355</v>
      </c>
      <c r="S598">
        <v>97493</v>
      </c>
      <c r="T598">
        <v>4</v>
      </c>
      <c r="U598">
        <f t="shared" si="27"/>
        <v>4</v>
      </c>
      <c r="V598">
        <f t="shared" si="28"/>
        <v>2024</v>
      </c>
      <c r="W598" t="str">
        <f t="shared" si="29"/>
        <v>2024-4</v>
      </c>
    </row>
    <row r="599" spans="16:23" x14ac:dyDescent="0.25">
      <c r="P599" t="s">
        <v>38</v>
      </c>
      <c r="Q599" t="s">
        <v>161</v>
      </c>
      <c r="R599" t="s">
        <v>355</v>
      </c>
      <c r="S599">
        <v>96797</v>
      </c>
      <c r="T599">
        <v>5</v>
      </c>
      <c r="U599">
        <f t="shared" si="27"/>
        <v>4</v>
      </c>
      <c r="V599">
        <f t="shared" si="28"/>
        <v>2024</v>
      </c>
      <c r="W599" t="str">
        <f t="shared" si="29"/>
        <v>2024-4</v>
      </c>
    </row>
    <row r="600" spans="16:23" x14ac:dyDescent="0.25">
      <c r="P600" t="s">
        <v>13</v>
      </c>
      <c r="Q600" t="s">
        <v>137</v>
      </c>
      <c r="R600" t="s">
        <v>356</v>
      </c>
      <c r="S600">
        <v>54024</v>
      </c>
      <c r="T600">
        <v>7</v>
      </c>
      <c r="U600">
        <f t="shared" si="27"/>
        <v>4</v>
      </c>
      <c r="V600">
        <f t="shared" si="28"/>
        <v>2024</v>
      </c>
      <c r="W600" t="str">
        <f t="shared" si="29"/>
        <v>2024-4</v>
      </c>
    </row>
    <row r="601" spans="16:23" x14ac:dyDescent="0.25">
      <c r="P601" t="s">
        <v>5</v>
      </c>
      <c r="Q601" t="s">
        <v>22</v>
      </c>
      <c r="R601" t="s">
        <v>356</v>
      </c>
      <c r="S601">
        <v>48497</v>
      </c>
      <c r="T601">
        <v>6</v>
      </c>
      <c r="U601">
        <f t="shared" si="27"/>
        <v>4</v>
      </c>
      <c r="V601">
        <f t="shared" si="28"/>
        <v>2024</v>
      </c>
      <c r="W601" t="str">
        <f t="shared" si="29"/>
        <v>2024-4</v>
      </c>
    </row>
    <row r="602" spans="16:23" x14ac:dyDescent="0.25">
      <c r="P602" t="s">
        <v>13</v>
      </c>
      <c r="Q602" t="s">
        <v>249</v>
      </c>
      <c r="R602" t="s">
        <v>356</v>
      </c>
      <c r="S602">
        <v>62557</v>
      </c>
      <c r="T602">
        <v>5</v>
      </c>
      <c r="U602">
        <f t="shared" si="27"/>
        <v>4</v>
      </c>
      <c r="V602">
        <f t="shared" si="28"/>
        <v>2024</v>
      </c>
      <c r="W602" t="str">
        <f t="shared" si="29"/>
        <v>2024-4</v>
      </c>
    </row>
    <row r="603" spans="16:23" x14ac:dyDescent="0.25">
      <c r="P603" t="s">
        <v>38</v>
      </c>
      <c r="Q603" t="s">
        <v>212</v>
      </c>
      <c r="R603" t="s">
        <v>357</v>
      </c>
      <c r="S603">
        <v>74599</v>
      </c>
      <c r="T603">
        <v>0</v>
      </c>
      <c r="U603">
        <f t="shared" si="27"/>
        <v>4</v>
      </c>
      <c r="V603">
        <f t="shared" si="28"/>
        <v>2024</v>
      </c>
      <c r="W603" t="str">
        <f t="shared" si="29"/>
        <v>2024-4</v>
      </c>
    </row>
    <row r="604" spans="16:23" x14ac:dyDescent="0.25">
      <c r="P604" t="s">
        <v>47</v>
      </c>
      <c r="Q604" t="s">
        <v>139</v>
      </c>
      <c r="R604" t="s">
        <v>357</v>
      </c>
      <c r="S604">
        <v>79747</v>
      </c>
      <c r="T604">
        <v>0</v>
      </c>
      <c r="U604">
        <f t="shared" si="27"/>
        <v>4</v>
      </c>
      <c r="V604">
        <f t="shared" si="28"/>
        <v>2024</v>
      </c>
      <c r="W604" t="str">
        <f t="shared" si="29"/>
        <v>2024-4</v>
      </c>
    </row>
    <row r="605" spans="16:23" x14ac:dyDescent="0.25">
      <c r="P605" t="s">
        <v>30</v>
      </c>
      <c r="Q605" t="s">
        <v>70</v>
      </c>
      <c r="R605" t="s">
        <v>358</v>
      </c>
      <c r="S605">
        <v>87359</v>
      </c>
      <c r="T605">
        <v>7</v>
      </c>
      <c r="U605">
        <f t="shared" si="27"/>
        <v>4</v>
      </c>
      <c r="V605">
        <f t="shared" si="28"/>
        <v>2024</v>
      </c>
      <c r="W605" t="str">
        <f t="shared" si="29"/>
        <v>2024-4</v>
      </c>
    </row>
    <row r="606" spans="16:23" x14ac:dyDescent="0.25">
      <c r="P606" t="s">
        <v>38</v>
      </c>
      <c r="Q606" t="s">
        <v>331</v>
      </c>
      <c r="R606" t="s">
        <v>358</v>
      </c>
      <c r="S606">
        <v>56272</v>
      </c>
      <c r="T606">
        <v>8</v>
      </c>
      <c r="U606">
        <f t="shared" si="27"/>
        <v>4</v>
      </c>
      <c r="V606">
        <f t="shared" si="28"/>
        <v>2024</v>
      </c>
      <c r="W606" t="str">
        <f t="shared" si="29"/>
        <v>2024-4</v>
      </c>
    </row>
    <row r="607" spans="16:23" x14ac:dyDescent="0.25">
      <c r="P607" t="s">
        <v>45</v>
      </c>
      <c r="Q607" t="s">
        <v>24</v>
      </c>
      <c r="R607" t="s">
        <v>358</v>
      </c>
      <c r="S607">
        <v>42483</v>
      </c>
      <c r="T607">
        <v>6</v>
      </c>
      <c r="U607">
        <f t="shared" si="27"/>
        <v>4</v>
      </c>
      <c r="V607">
        <f t="shared" si="28"/>
        <v>2024</v>
      </c>
      <c r="W607" t="str">
        <f t="shared" si="29"/>
        <v>2024-4</v>
      </c>
    </row>
    <row r="608" spans="16:23" x14ac:dyDescent="0.25">
      <c r="P608" t="s">
        <v>5</v>
      </c>
      <c r="Q608" t="s">
        <v>196</v>
      </c>
      <c r="R608" t="s">
        <v>358</v>
      </c>
      <c r="S608">
        <v>64612</v>
      </c>
      <c r="T608">
        <v>8</v>
      </c>
      <c r="U608">
        <f t="shared" si="27"/>
        <v>4</v>
      </c>
      <c r="V608">
        <f t="shared" si="28"/>
        <v>2024</v>
      </c>
      <c r="W608" t="str">
        <f t="shared" si="29"/>
        <v>2024-4</v>
      </c>
    </row>
    <row r="609" spans="16:23" x14ac:dyDescent="0.25">
      <c r="P609" t="s">
        <v>10</v>
      </c>
      <c r="Q609" t="s">
        <v>50</v>
      </c>
      <c r="R609" t="s">
        <v>359</v>
      </c>
      <c r="S609">
        <v>82962</v>
      </c>
      <c r="T609">
        <v>5</v>
      </c>
      <c r="U609">
        <f t="shared" si="27"/>
        <v>4</v>
      </c>
      <c r="V609">
        <f t="shared" si="28"/>
        <v>2024</v>
      </c>
      <c r="W609" t="str">
        <f t="shared" si="29"/>
        <v>2024-4</v>
      </c>
    </row>
    <row r="610" spans="16:23" x14ac:dyDescent="0.25">
      <c r="P610" t="s">
        <v>27</v>
      </c>
      <c r="Q610" t="s">
        <v>80</v>
      </c>
      <c r="R610" t="s">
        <v>359</v>
      </c>
      <c r="S610">
        <v>68655</v>
      </c>
      <c r="T610">
        <v>2</v>
      </c>
      <c r="U610">
        <f t="shared" si="27"/>
        <v>4</v>
      </c>
      <c r="V610">
        <f t="shared" si="28"/>
        <v>2024</v>
      </c>
      <c r="W610" t="str">
        <f t="shared" si="29"/>
        <v>2024-4</v>
      </c>
    </row>
    <row r="611" spans="16:23" x14ac:dyDescent="0.25">
      <c r="P611" t="s">
        <v>27</v>
      </c>
      <c r="Q611" t="s">
        <v>239</v>
      </c>
      <c r="R611" t="s">
        <v>359</v>
      </c>
      <c r="S611">
        <v>25410</v>
      </c>
      <c r="T611">
        <v>7</v>
      </c>
      <c r="U611">
        <f t="shared" si="27"/>
        <v>4</v>
      </c>
      <c r="V611">
        <f t="shared" si="28"/>
        <v>2024</v>
      </c>
      <c r="W611" t="str">
        <f t="shared" si="29"/>
        <v>2024-4</v>
      </c>
    </row>
    <row r="612" spans="16:23" x14ac:dyDescent="0.25">
      <c r="P612" t="s">
        <v>25</v>
      </c>
      <c r="Q612" t="s">
        <v>108</v>
      </c>
      <c r="R612" t="s">
        <v>360</v>
      </c>
      <c r="S612">
        <v>92576</v>
      </c>
      <c r="T612">
        <v>7</v>
      </c>
      <c r="U612">
        <f t="shared" si="27"/>
        <v>4</v>
      </c>
      <c r="V612">
        <f t="shared" si="28"/>
        <v>2024</v>
      </c>
      <c r="W612" t="str">
        <f t="shared" si="29"/>
        <v>2024-4</v>
      </c>
    </row>
    <row r="613" spans="16:23" x14ac:dyDescent="0.25">
      <c r="P613" t="s">
        <v>25</v>
      </c>
      <c r="Q613" t="s">
        <v>287</v>
      </c>
      <c r="R613" t="s">
        <v>360</v>
      </c>
      <c r="S613">
        <v>72462</v>
      </c>
      <c r="T613">
        <v>3</v>
      </c>
      <c r="U613">
        <f t="shared" si="27"/>
        <v>4</v>
      </c>
      <c r="V613">
        <f t="shared" si="28"/>
        <v>2024</v>
      </c>
      <c r="W613" t="str">
        <f t="shared" si="29"/>
        <v>2024-4</v>
      </c>
    </row>
    <row r="614" spans="16:23" x14ac:dyDescent="0.25">
      <c r="P614" t="s">
        <v>8</v>
      </c>
      <c r="Q614" t="s">
        <v>211</v>
      </c>
      <c r="R614" t="s">
        <v>360</v>
      </c>
      <c r="S614">
        <v>36631</v>
      </c>
      <c r="T614">
        <v>5</v>
      </c>
      <c r="U614">
        <f t="shared" si="27"/>
        <v>4</v>
      </c>
      <c r="V614">
        <f t="shared" si="28"/>
        <v>2024</v>
      </c>
      <c r="W614" t="str">
        <f t="shared" si="29"/>
        <v>2024-4</v>
      </c>
    </row>
    <row r="615" spans="16:23" x14ac:dyDescent="0.25">
      <c r="P615" t="s">
        <v>47</v>
      </c>
      <c r="Q615" t="s">
        <v>306</v>
      </c>
      <c r="R615" t="s">
        <v>360</v>
      </c>
      <c r="S615">
        <v>39797</v>
      </c>
      <c r="T615">
        <v>7</v>
      </c>
      <c r="U615">
        <f t="shared" si="27"/>
        <v>4</v>
      </c>
      <c r="V615">
        <f t="shared" si="28"/>
        <v>2024</v>
      </c>
      <c r="W615" t="str">
        <f t="shared" si="29"/>
        <v>2024-4</v>
      </c>
    </row>
    <row r="616" spans="16:23" x14ac:dyDescent="0.25">
      <c r="P616" t="s">
        <v>5</v>
      </c>
      <c r="Q616" t="s">
        <v>64</v>
      </c>
      <c r="R616" t="s">
        <v>360</v>
      </c>
      <c r="S616">
        <v>92045</v>
      </c>
      <c r="T616">
        <v>7</v>
      </c>
      <c r="U616">
        <f t="shared" si="27"/>
        <v>4</v>
      </c>
      <c r="V616">
        <f t="shared" si="28"/>
        <v>2024</v>
      </c>
      <c r="W616" t="str">
        <f t="shared" si="29"/>
        <v>2024-4</v>
      </c>
    </row>
    <row r="617" spans="16:23" x14ac:dyDescent="0.25">
      <c r="P617" t="s">
        <v>16</v>
      </c>
      <c r="Q617" t="s">
        <v>81</v>
      </c>
      <c r="R617" t="s">
        <v>360</v>
      </c>
      <c r="S617">
        <v>34874</v>
      </c>
      <c r="T617">
        <v>9</v>
      </c>
      <c r="U617">
        <f t="shared" si="27"/>
        <v>4</v>
      </c>
      <c r="V617">
        <f t="shared" si="28"/>
        <v>2024</v>
      </c>
      <c r="W617" t="str">
        <f t="shared" si="29"/>
        <v>2024-4</v>
      </c>
    </row>
    <row r="618" spans="16:23" x14ac:dyDescent="0.25">
      <c r="P618" t="s">
        <v>30</v>
      </c>
      <c r="Q618" t="s">
        <v>134</v>
      </c>
      <c r="R618" t="s">
        <v>360</v>
      </c>
      <c r="S618">
        <v>13045</v>
      </c>
      <c r="T618">
        <v>9</v>
      </c>
      <c r="U618">
        <f t="shared" si="27"/>
        <v>4</v>
      </c>
      <c r="V618">
        <f t="shared" si="28"/>
        <v>2024</v>
      </c>
      <c r="W618" t="str">
        <f t="shared" si="29"/>
        <v>2024-4</v>
      </c>
    </row>
    <row r="619" spans="16:23" x14ac:dyDescent="0.25">
      <c r="P619" t="s">
        <v>30</v>
      </c>
      <c r="Q619" t="s">
        <v>28</v>
      </c>
      <c r="R619" t="s">
        <v>361</v>
      </c>
      <c r="S619">
        <v>38130</v>
      </c>
      <c r="T619">
        <v>6</v>
      </c>
      <c r="U619">
        <f t="shared" si="27"/>
        <v>4</v>
      </c>
      <c r="V619">
        <f t="shared" si="28"/>
        <v>2024</v>
      </c>
      <c r="W619" t="str">
        <f t="shared" si="29"/>
        <v>2024-4</v>
      </c>
    </row>
    <row r="620" spans="16:23" x14ac:dyDescent="0.25">
      <c r="P620" t="s">
        <v>47</v>
      </c>
      <c r="Q620" t="s">
        <v>88</v>
      </c>
      <c r="R620" t="s">
        <v>361</v>
      </c>
      <c r="S620">
        <v>17185</v>
      </c>
      <c r="T620">
        <v>7</v>
      </c>
      <c r="U620">
        <f t="shared" si="27"/>
        <v>4</v>
      </c>
      <c r="V620">
        <f t="shared" si="28"/>
        <v>2024</v>
      </c>
      <c r="W620" t="str">
        <f t="shared" si="29"/>
        <v>2024-4</v>
      </c>
    </row>
    <row r="621" spans="16:23" x14ac:dyDescent="0.25">
      <c r="P621" t="s">
        <v>38</v>
      </c>
      <c r="Q621" t="s">
        <v>307</v>
      </c>
      <c r="R621" t="s">
        <v>362</v>
      </c>
      <c r="S621">
        <v>15400</v>
      </c>
      <c r="T621">
        <v>8</v>
      </c>
      <c r="U621">
        <f t="shared" si="27"/>
        <v>4</v>
      </c>
      <c r="V621">
        <f t="shared" si="28"/>
        <v>2024</v>
      </c>
      <c r="W621" t="str">
        <f t="shared" si="29"/>
        <v>2024-4</v>
      </c>
    </row>
    <row r="622" spans="16:23" x14ac:dyDescent="0.25">
      <c r="P622" t="s">
        <v>47</v>
      </c>
      <c r="Q622" t="s">
        <v>306</v>
      </c>
      <c r="R622" t="s">
        <v>362</v>
      </c>
      <c r="S622">
        <v>22193</v>
      </c>
      <c r="T622">
        <v>9</v>
      </c>
      <c r="U622">
        <f t="shared" si="27"/>
        <v>4</v>
      </c>
      <c r="V622">
        <f t="shared" si="28"/>
        <v>2024</v>
      </c>
      <c r="W622" t="str">
        <f t="shared" si="29"/>
        <v>2024-4</v>
      </c>
    </row>
    <row r="623" spans="16:23" x14ac:dyDescent="0.25">
      <c r="P623" t="s">
        <v>25</v>
      </c>
      <c r="Q623" t="s">
        <v>82</v>
      </c>
      <c r="R623" t="s">
        <v>362</v>
      </c>
      <c r="S623">
        <v>98353</v>
      </c>
      <c r="T623">
        <v>8</v>
      </c>
      <c r="U623">
        <f t="shared" si="27"/>
        <v>4</v>
      </c>
      <c r="V623">
        <f t="shared" si="28"/>
        <v>2024</v>
      </c>
      <c r="W623" t="str">
        <f t="shared" si="29"/>
        <v>2024-4</v>
      </c>
    </row>
    <row r="624" spans="16:23" x14ac:dyDescent="0.25">
      <c r="P624" t="s">
        <v>30</v>
      </c>
      <c r="Q624" t="s">
        <v>58</v>
      </c>
      <c r="R624" t="s">
        <v>362</v>
      </c>
      <c r="S624">
        <v>73229</v>
      </c>
      <c r="T624">
        <v>7</v>
      </c>
      <c r="U624">
        <f t="shared" si="27"/>
        <v>4</v>
      </c>
      <c r="V624">
        <f t="shared" si="28"/>
        <v>2024</v>
      </c>
      <c r="W624" t="str">
        <f t="shared" si="29"/>
        <v>2024-4</v>
      </c>
    </row>
    <row r="625" spans="16:23" x14ac:dyDescent="0.25">
      <c r="P625" t="s">
        <v>10</v>
      </c>
      <c r="Q625" t="s">
        <v>113</v>
      </c>
      <c r="R625" t="s">
        <v>362</v>
      </c>
      <c r="S625">
        <v>48698</v>
      </c>
      <c r="T625">
        <v>8</v>
      </c>
      <c r="U625">
        <f t="shared" si="27"/>
        <v>4</v>
      </c>
      <c r="V625">
        <f t="shared" si="28"/>
        <v>2024</v>
      </c>
      <c r="W625" t="str">
        <f t="shared" si="29"/>
        <v>2024-4</v>
      </c>
    </row>
    <row r="626" spans="16:23" x14ac:dyDescent="0.25">
      <c r="P626" t="s">
        <v>16</v>
      </c>
      <c r="Q626" t="s">
        <v>146</v>
      </c>
      <c r="R626" t="s">
        <v>362</v>
      </c>
      <c r="S626">
        <v>99307</v>
      </c>
      <c r="T626">
        <v>7</v>
      </c>
      <c r="U626">
        <f t="shared" si="27"/>
        <v>4</v>
      </c>
      <c r="V626">
        <f t="shared" si="28"/>
        <v>2024</v>
      </c>
      <c r="W626" t="str">
        <f t="shared" si="29"/>
        <v>2024-4</v>
      </c>
    </row>
    <row r="627" spans="16:23" x14ac:dyDescent="0.25">
      <c r="P627" t="s">
        <v>47</v>
      </c>
      <c r="Q627" t="s">
        <v>363</v>
      </c>
      <c r="R627" t="s">
        <v>364</v>
      </c>
      <c r="S627">
        <v>32289</v>
      </c>
      <c r="T627">
        <v>6</v>
      </c>
      <c r="U627">
        <f t="shared" si="27"/>
        <v>4</v>
      </c>
      <c r="V627">
        <f t="shared" si="28"/>
        <v>2024</v>
      </c>
      <c r="W627" t="str">
        <f t="shared" si="29"/>
        <v>2024-4</v>
      </c>
    </row>
    <row r="628" spans="16:23" x14ac:dyDescent="0.25">
      <c r="P628" t="s">
        <v>30</v>
      </c>
      <c r="Q628" t="s">
        <v>81</v>
      </c>
      <c r="R628" t="s">
        <v>364</v>
      </c>
      <c r="S628">
        <v>77055</v>
      </c>
      <c r="T628">
        <v>3</v>
      </c>
      <c r="U628">
        <f t="shared" si="27"/>
        <v>4</v>
      </c>
      <c r="V628">
        <f t="shared" si="28"/>
        <v>2024</v>
      </c>
      <c r="W628" t="str">
        <f t="shared" si="29"/>
        <v>2024-4</v>
      </c>
    </row>
    <row r="629" spans="16:23" x14ac:dyDescent="0.25">
      <c r="P629" t="s">
        <v>18</v>
      </c>
      <c r="Q629" t="s">
        <v>180</v>
      </c>
      <c r="R629" t="s">
        <v>364</v>
      </c>
      <c r="S629">
        <v>59508</v>
      </c>
      <c r="T629">
        <v>8</v>
      </c>
      <c r="U629">
        <f t="shared" si="27"/>
        <v>4</v>
      </c>
      <c r="V629">
        <f t="shared" si="28"/>
        <v>2024</v>
      </c>
      <c r="W629" t="str">
        <f t="shared" si="29"/>
        <v>2024-4</v>
      </c>
    </row>
    <row r="630" spans="16:23" x14ac:dyDescent="0.25">
      <c r="P630" t="s">
        <v>13</v>
      </c>
      <c r="Q630" t="s">
        <v>63</v>
      </c>
      <c r="R630" t="s">
        <v>365</v>
      </c>
      <c r="S630">
        <v>46297</v>
      </c>
      <c r="T630">
        <v>7</v>
      </c>
      <c r="U630">
        <f t="shared" si="27"/>
        <v>4</v>
      </c>
      <c r="V630">
        <f t="shared" si="28"/>
        <v>2024</v>
      </c>
      <c r="W630" t="str">
        <f t="shared" si="29"/>
        <v>2024-4</v>
      </c>
    </row>
    <row r="631" spans="16:23" x14ac:dyDescent="0.25">
      <c r="P631" t="s">
        <v>8</v>
      </c>
      <c r="Q631" t="s">
        <v>190</v>
      </c>
      <c r="R631" t="s">
        <v>365</v>
      </c>
      <c r="S631">
        <v>85266</v>
      </c>
      <c r="T631">
        <v>10</v>
      </c>
      <c r="U631">
        <f t="shared" si="27"/>
        <v>4</v>
      </c>
      <c r="V631">
        <f t="shared" si="28"/>
        <v>2024</v>
      </c>
      <c r="W631" t="str">
        <f t="shared" si="29"/>
        <v>2024-4</v>
      </c>
    </row>
    <row r="632" spans="16:23" x14ac:dyDescent="0.25">
      <c r="P632" t="s">
        <v>45</v>
      </c>
      <c r="Q632" t="s">
        <v>233</v>
      </c>
      <c r="R632" t="s">
        <v>365</v>
      </c>
      <c r="S632">
        <v>76054</v>
      </c>
      <c r="T632">
        <v>8</v>
      </c>
      <c r="U632">
        <f t="shared" si="27"/>
        <v>4</v>
      </c>
      <c r="V632">
        <f t="shared" si="28"/>
        <v>2024</v>
      </c>
      <c r="W632" t="str">
        <f t="shared" si="29"/>
        <v>2024-4</v>
      </c>
    </row>
    <row r="633" spans="16:23" x14ac:dyDescent="0.25">
      <c r="P633" t="s">
        <v>10</v>
      </c>
      <c r="Q633" t="s">
        <v>279</v>
      </c>
      <c r="R633" t="s">
        <v>365</v>
      </c>
      <c r="S633">
        <v>72259</v>
      </c>
      <c r="T633">
        <v>6</v>
      </c>
      <c r="U633">
        <f t="shared" si="27"/>
        <v>4</v>
      </c>
      <c r="V633">
        <f t="shared" si="28"/>
        <v>2024</v>
      </c>
      <c r="W633" t="str">
        <f t="shared" si="29"/>
        <v>2024-4</v>
      </c>
    </row>
    <row r="634" spans="16:23" x14ac:dyDescent="0.25">
      <c r="P634" t="s">
        <v>10</v>
      </c>
      <c r="Q634" t="s">
        <v>137</v>
      </c>
      <c r="R634" t="s">
        <v>365</v>
      </c>
      <c r="S634">
        <v>57241</v>
      </c>
      <c r="T634">
        <v>10</v>
      </c>
      <c r="U634">
        <f t="shared" si="27"/>
        <v>4</v>
      </c>
      <c r="V634">
        <f t="shared" si="28"/>
        <v>2024</v>
      </c>
      <c r="W634" t="str">
        <f t="shared" si="29"/>
        <v>2024-4</v>
      </c>
    </row>
    <row r="635" spans="16:23" x14ac:dyDescent="0.25">
      <c r="P635" t="s">
        <v>27</v>
      </c>
      <c r="Q635" t="s">
        <v>215</v>
      </c>
      <c r="R635" t="s">
        <v>366</v>
      </c>
      <c r="S635">
        <v>35183</v>
      </c>
      <c r="T635">
        <v>6</v>
      </c>
      <c r="U635">
        <f t="shared" si="27"/>
        <v>4</v>
      </c>
      <c r="V635">
        <f t="shared" si="28"/>
        <v>2024</v>
      </c>
      <c r="W635" t="str">
        <f t="shared" si="29"/>
        <v>2024-4</v>
      </c>
    </row>
    <row r="636" spans="16:23" x14ac:dyDescent="0.25">
      <c r="P636" t="s">
        <v>16</v>
      </c>
      <c r="Q636" t="s">
        <v>77</v>
      </c>
      <c r="R636" t="s">
        <v>367</v>
      </c>
      <c r="S636">
        <v>40205</v>
      </c>
      <c r="T636">
        <v>6</v>
      </c>
      <c r="U636">
        <f t="shared" si="27"/>
        <v>5</v>
      </c>
      <c r="V636">
        <f t="shared" si="28"/>
        <v>2024</v>
      </c>
      <c r="W636" t="str">
        <f t="shared" si="29"/>
        <v>2024-5</v>
      </c>
    </row>
    <row r="637" spans="16:23" x14ac:dyDescent="0.25">
      <c r="P637" t="s">
        <v>8</v>
      </c>
      <c r="Q637" t="s">
        <v>70</v>
      </c>
      <c r="R637" t="s">
        <v>367</v>
      </c>
      <c r="S637">
        <v>95792</v>
      </c>
      <c r="T637">
        <v>5</v>
      </c>
      <c r="U637">
        <f t="shared" si="27"/>
        <v>5</v>
      </c>
      <c r="V637">
        <f t="shared" si="28"/>
        <v>2024</v>
      </c>
      <c r="W637" t="str">
        <f t="shared" si="29"/>
        <v>2024-5</v>
      </c>
    </row>
    <row r="638" spans="16:23" x14ac:dyDescent="0.25">
      <c r="P638" t="s">
        <v>16</v>
      </c>
      <c r="Q638" t="s">
        <v>126</v>
      </c>
      <c r="R638" t="s">
        <v>368</v>
      </c>
      <c r="S638">
        <v>81544</v>
      </c>
      <c r="T638">
        <v>3</v>
      </c>
      <c r="U638">
        <f t="shared" si="27"/>
        <v>5</v>
      </c>
      <c r="V638">
        <f t="shared" si="28"/>
        <v>2024</v>
      </c>
      <c r="W638" t="str">
        <f t="shared" si="29"/>
        <v>2024-5</v>
      </c>
    </row>
    <row r="639" spans="16:23" x14ac:dyDescent="0.25">
      <c r="P639" t="s">
        <v>18</v>
      </c>
      <c r="Q639" t="s">
        <v>19</v>
      </c>
      <c r="R639" t="s">
        <v>368</v>
      </c>
      <c r="S639">
        <v>84228</v>
      </c>
      <c r="T639">
        <v>5</v>
      </c>
      <c r="U639">
        <f t="shared" si="27"/>
        <v>5</v>
      </c>
      <c r="V639">
        <f t="shared" si="28"/>
        <v>2024</v>
      </c>
      <c r="W639" t="str">
        <f t="shared" si="29"/>
        <v>2024-5</v>
      </c>
    </row>
    <row r="640" spans="16:23" x14ac:dyDescent="0.25">
      <c r="P640" t="s">
        <v>10</v>
      </c>
      <c r="Q640" t="s">
        <v>346</v>
      </c>
      <c r="R640" t="s">
        <v>368</v>
      </c>
      <c r="S640">
        <v>36770</v>
      </c>
      <c r="T640">
        <v>7</v>
      </c>
      <c r="U640">
        <f t="shared" si="27"/>
        <v>5</v>
      </c>
      <c r="V640">
        <f t="shared" si="28"/>
        <v>2024</v>
      </c>
      <c r="W640" t="str">
        <f t="shared" si="29"/>
        <v>2024-5</v>
      </c>
    </row>
    <row r="641" spans="16:23" x14ac:dyDescent="0.25">
      <c r="P641" t="s">
        <v>47</v>
      </c>
      <c r="Q641" t="s">
        <v>344</v>
      </c>
      <c r="R641" t="s">
        <v>369</v>
      </c>
      <c r="S641">
        <v>70255</v>
      </c>
      <c r="T641">
        <v>6</v>
      </c>
      <c r="U641">
        <f t="shared" si="27"/>
        <v>5</v>
      </c>
      <c r="V641">
        <f t="shared" si="28"/>
        <v>2024</v>
      </c>
      <c r="W641" t="str">
        <f t="shared" si="29"/>
        <v>2024-5</v>
      </c>
    </row>
    <row r="642" spans="16:23" x14ac:dyDescent="0.25">
      <c r="P642" t="s">
        <v>16</v>
      </c>
      <c r="Q642" t="s">
        <v>270</v>
      </c>
      <c r="R642" t="s">
        <v>369</v>
      </c>
      <c r="S642">
        <v>66119</v>
      </c>
      <c r="T642">
        <v>7</v>
      </c>
      <c r="U642">
        <f t="shared" si="27"/>
        <v>5</v>
      </c>
      <c r="V642">
        <f t="shared" si="28"/>
        <v>2024</v>
      </c>
      <c r="W642" t="str">
        <f t="shared" si="29"/>
        <v>2024-5</v>
      </c>
    </row>
    <row r="643" spans="16:23" x14ac:dyDescent="0.25">
      <c r="P643" t="s">
        <v>13</v>
      </c>
      <c r="Q643" t="s">
        <v>11</v>
      </c>
      <c r="R643" t="s">
        <v>370</v>
      </c>
      <c r="S643">
        <v>79797</v>
      </c>
      <c r="T643">
        <v>1</v>
      </c>
      <c r="U643">
        <f t="shared" ref="U643:U706" si="30">MONTH(R643)</f>
        <v>5</v>
      </c>
      <c r="V643">
        <f t="shared" ref="V643:V706" si="31">YEAR(R643)</f>
        <v>2024</v>
      </c>
      <c r="W643" t="str">
        <f t="shared" ref="W643:W706" si="32">V643&amp;"-"&amp;U643</f>
        <v>2024-5</v>
      </c>
    </row>
    <row r="644" spans="16:23" x14ac:dyDescent="0.25">
      <c r="P644" t="s">
        <v>27</v>
      </c>
      <c r="Q644" t="s">
        <v>167</v>
      </c>
      <c r="R644" t="s">
        <v>370</v>
      </c>
      <c r="S644">
        <v>14046</v>
      </c>
      <c r="T644">
        <v>6</v>
      </c>
      <c r="U644">
        <f t="shared" si="30"/>
        <v>5</v>
      </c>
      <c r="V644">
        <f t="shared" si="31"/>
        <v>2024</v>
      </c>
      <c r="W644" t="str">
        <f t="shared" si="32"/>
        <v>2024-5</v>
      </c>
    </row>
    <row r="645" spans="16:23" x14ac:dyDescent="0.25">
      <c r="P645" t="s">
        <v>10</v>
      </c>
      <c r="Q645" t="s">
        <v>21</v>
      </c>
      <c r="R645" t="s">
        <v>370</v>
      </c>
      <c r="S645">
        <v>31319</v>
      </c>
      <c r="T645">
        <v>8</v>
      </c>
      <c r="U645">
        <f t="shared" si="30"/>
        <v>5</v>
      </c>
      <c r="V645">
        <f t="shared" si="31"/>
        <v>2024</v>
      </c>
      <c r="W645" t="str">
        <f t="shared" si="32"/>
        <v>2024-5</v>
      </c>
    </row>
    <row r="646" spans="16:23" x14ac:dyDescent="0.25">
      <c r="P646" t="s">
        <v>38</v>
      </c>
      <c r="Q646" t="s">
        <v>298</v>
      </c>
      <c r="R646" t="s">
        <v>370</v>
      </c>
      <c r="S646">
        <v>18012</v>
      </c>
      <c r="T646">
        <v>8</v>
      </c>
      <c r="U646">
        <f t="shared" si="30"/>
        <v>5</v>
      </c>
      <c r="V646">
        <f t="shared" si="31"/>
        <v>2024</v>
      </c>
      <c r="W646" t="str">
        <f t="shared" si="32"/>
        <v>2024-5</v>
      </c>
    </row>
    <row r="647" spans="16:23" x14ac:dyDescent="0.25">
      <c r="P647" t="s">
        <v>38</v>
      </c>
      <c r="Q647" t="s">
        <v>221</v>
      </c>
      <c r="R647" t="s">
        <v>370</v>
      </c>
      <c r="S647">
        <v>21278</v>
      </c>
      <c r="T647">
        <v>9</v>
      </c>
      <c r="U647">
        <f t="shared" si="30"/>
        <v>5</v>
      </c>
      <c r="V647">
        <f t="shared" si="31"/>
        <v>2024</v>
      </c>
      <c r="W647" t="str">
        <f t="shared" si="32"/>
        <v>2024-5</v>
      </c>
    </row>
    <row r="648" spans="16:23" x14ac:dyDescent="0.25">
      <c r="P648" t="s">
        <v>45</v>
      </c>
      <c r="Q648" t="s">
        <v>267</v>
      </c>
      <c r="R648" t="s">
        <v>370</v>
      </c>
      <c r="S648">
        <v>36092</v>
      </c>
      <c r="T648">
        <v>8</v>
      </c>
      <c r="U648">
        <f t="shared" si="30"/>
        <v>5</v>
      </c>
      <c r="V648">
        <f t="shared" si="31"/>
        <v>2024</v>
      </c>
      <c r="W648" t="str">
        <f t="shared" si="32"/>
        <v>2024-5</v>
      </c>
    </row>
    <row r="649" spans="16:23" x14ac:dyDescent="0.25">
      <c r="P649" t="s">
        <v>13</v>
      </c>
      <c r="Q649" t="s">
        <v>77</v>
      </c>
      <c r="R649" t="s">
        <v>370</v>
      </c>
      <c r="S649">
        <v>60145</v>
      </c>
      <c r="T649">
        <v>7</v>
      </c>
      <c r="U649">
        <f t="shared" si="30"/>
        <v>5</v>
      </c>
      <c r="V649">
        <f t="shared" si="31"/>
        <v>2024</v>
      </c>
      <c r="W649" t="str">
        <f t="shared" si="32"/>
        <v>2024-5</v>
      </c>
    </row>
    <row r="650" spans="16:23" x14ac:dyDescent="0.25">
      <c r="P650" t="s">
        <v>45</v>
      </c>
      <c r="Q650" t="s">
        <v>247</v>
      </c>
      <c r="R650" t="s">
        <v>371</v>
      </c>
      <c r="S650">
        <v>68160</v>
      </c>
      <c r="T650">
        <v>7</v>
      </c>
      <c r="U650">
        <f t="shared" si="30"/>
        <v>5</v>
      </c>
      <c r="V650">
        <f t="shared" si="31"/>
        <v>2024</v>
      </c>
      <c r="W650" t="str">
        <f t="shared" si="32"/>
        <v>2024-5</v>
      </c>
    </row>
    <row r="651" spans="16:23" x14ac:dyDescent="0.25">
      <c r="P651" t="s">
        <v>16</v>
      </c>
      <c r="Q651" t="s">
        <v>15</v>
      </c>
      <c r="R651" t="s">
        <v>371</v>
      </c>
      <c r="S651">
        <v>17434</v>
      </c>
      <c r="T651">
        <v>6</v>
      </c>
      <c r="U651">
        <f t="shared" si="30"/>
        <v>5</v>
      </c>
      <c r="V651">
        <f t="shared" si="31"/>
        <v>2024</v>
      </c>
      <c r="W651" t="str">
        <f t="shared" si="32"/>
        <v>2024-5</v>
      </c>
    </row>
    <row r="652" spans="16:23" x14ac:dyDescent="0.25">
      <c r="P652" t="s">
        <v>25</v>
      </c>
      <c r="Q652" t="s">
        <v>39</v>
      </c>
      <c r="R652" t="s">
        <v>372</v>
      </c>
      <c r="S652">
        <v>17409</v>
      </c>
      <c r="T652">
        <v>7</v>
      </c>
      <c r="U652">
        <f t="shared" si="30"/>
        <v>5</v>
      </c>
      <c r="V652">
        <f t="shared" si="31"/>
        <v>2024</v>
      </c>
      <c r="W652" t="str">
        <f t="shared" si="32"/>
        <v>2024-5</v>
      </c>
    </row>
    <row r="653" spans="16:23" x14ac:dyDescent="0.25">
      <c r="P653" t="s">
        <v>30</v>
      </c>
      <c r="Q653" t="s">
        <v>36</v>
      </c>
      <c r="R653" t="s">
        <v>372</v>
      </c>
      <c r="S653">
        <v>41228</v>
      </c>
      <c r="T653">
        <v>8</v>
      </c>
      <c r="U653">
        <f t="shared" si="30"/>
        <v>5</v>
      </c>
      <c r="V653">
        <f t="shared" si="31"/>
        <v>2024</v>
      </c>
      <c r="W653" t="str">
        <f t="shared" si="32"/>
        <v>2024-5</v>
      </c>
    </row>
    <row r="654" spans="16:23" x14ac:dyDescent="0.25">
      <c r="P654" t="s">
        <v>10</v>
      </c>
      <c r="Q654" t="s">
        <v>287</v>
      </c>
      <c r="R654" t="s">
        <v>373</v>
      </c>
      <c r="S654">
        <v>59734</v>
      </c>
      <c r="T654">
        <v>0</v>
      </c>
      <c r="U654">
        <f t="shared" si="30"/>
        <v>5</v>
      </c>
      <c r="V654">
        <f t="shared" si="31"/>
        <v>2024</v>
      </c>
      <c r="W654" t="str">
        <f t="shared" si="32"/>
        <v>2024-5</v>
      </c>
    </row>
    <row r="655" spans="16:23" x14ac:dyDescent="0.25">
      <c r="P655" t="s">
        <v>45</v>
      </c>
      <c r="Q655" t="s">
        <v>264</v>
      </c>
      <c r="R655" t="s">
        <v>373</v>
      </c>
      <c r="S655">
        <v>50335</v>
      </c>
      <c r="T655">
        <v>10</v>
      </c>
      <c r="U655">
        <f t="shared" si="30"/>
        <v>5</v>
      </c>
      <c r="V655">
        <f t="shared" si="31"/>
        <v>2024</v>
      </c>
      <c r="W655" t="str">
        <f t="shared" si="32"/>
        <v>2024-5</v>
      </c>
    </row>
    <row r="656" spans="16:23" x14ac:dyDescent="0.25">
      <c r="P656" t="s">
        <v>10</v>
      </c>
      <c r="Q656" t="s">
        <v>114</v>
      </c>
      <c r="R656" t="s">
        <v>374</v>
      </c>
      <c r="S656">
        <v>37379</v>
      </c>
      <c r="T656">
        <v>8</v>
      </c>
      <c r="U656">
        <f t="shared" si="30"/>
        <v>5</v>
      </c>
      <c r="V656">
        <f t="shared" si="31"/>
        <v>2024</v>
      </c>
      <c r="W656" t="str">
        <f t="shared" si="32"/>
        <v>2024-5</v>
      </c>
    </row>
    <row r="657" spans="16:23" x14ac:dyDescent="0.25">
      <c r="P657" t="s">
        <v>30</v>
      </c>
      <c r="Q657" t="s">
        <v>375</v>
      </c>
      <c r="R657" t="s">
        <v>374</v>
      </c>
      <c r="S657">
        <v>40657</v>
      </c>
      <c r="T657">
        <v>7</v>
      </c>
      <c r="U657">
        <f t="shared" si="30"/>
        <v>5</v>
      </c>
      <c r="V657">
        <f t="shared" si="31"/>
        <v>2024</v>
      </c>
      <c r="W657" t="str">
        <f t="shared" si="32"/>
        <v>2024-5</v>
      </c>
    </row>
    <row r="658" spans="16:23" x14ac:dyDescent="0.25">
      <c r="P658" t="s">
        <v>8</v>
      </c>
      <c r="Q658" t="s">
        <v>309</v>
      </c>
      <c r="R658" t="s">
        <v>376</v>
      </c>
      <c r="S658">
        <v>95673</v>
      </c>
      <c r="T658">
        <v>8</v>
      </c>
      <c r="U658">
        <f t="shared" si="30"/>
        <v>5</v>
      </c>
      <c r="V658">
        <f t="shared" si="31"/>
        <v>2024</v>
      </c>
      <c r="W658" t="str">
        <f t="shared" si="32"/>
        <v>2024-5</v>
      </c>
    </row>
    <row r="659" spans="16:23" x14ac:dyDescent="0.25">
      <c r="P659" t="s">
        <v>13</v>
      </c>
      <c r="Q659" t="s">
        <v>124</v>
      </c>
      <c r="R659" t="s">
        <v>376</v>
      </c>
      <c r="S659">
        <v>27187</v>
      </c>
      <c r="T659">
        <v>3</v>
      </c>
      <c r="U659">
        <f t="shared" si="30"/>
        <v>5</v>
      </c>
      <c r="V659">
        <f t="shared" si="31"/>
        <v>2024</v>
      </c>
      <c r="W659" t="str">
        <f t="shared" si="32"/>
        <v>2024-5</v>
      </c>
    </row>
    <row r="660" spans="16:23" x14ac:dyDescent="0.25">
      <c r="P660" t="s">
        <v>38</v>
      </c>
      <c r="Q660" t="s">
        <v>194</v>
      </c>
      <c r="R660" t="s">
        <v>376</v>
      </c>
      <c r="S660">
        <v>22103</v>
      </c>
      <c r="T660">
        <v>7</v>
      </c>
      <c r="U660">
        <f t="shared" si="30"/>
        <v>5</v>
      </c>
      <c r="V660">
        <f t="shared" si="31"/>
        <v>2024</v>
      </c>
      <c r="W660" t="str">
        <f t="shared" si="32"/>
        <v>2024-5</v>
      </c>
    </row>
    <row r="661" spans="16:23" x14ac:dyDescent="0.25">
      <c r="P661" t="s">
        <v>16</v>
      </c>
      <c r="Q661" t="s">
        <v>187</v>
      </c>
      <c r="R661" t="s">
        <v>376</v>
      </c>
      <c r="S661">
        <v>45744</v>
      </c>
      <c r="T661">
        <v>6</v>
      </c>
      <c r="U661">
        <f t="shared" si="30"/>
        <v>5</v>
      </c>
      <c r="V661">
        <f t="shared" si="31"/>
        <v>2024</v>
      </c>
      <c r="W661" t="str">
        <f t="shared" si="32"/>
        <v>2024-5</v>
      </c>
    </row>
    <row r="662" spans="16:23" x14ac:dyDescent="0.25">
      <c r="P662" t="s">
        <v>13</v>
      </c>
      <c r="Q662" t="s">
        <v>64</v>
      </c>
      <c r="R662" t="s">
        <v>376</v>
      </c>
      <c r="S662">
        <v>44537</v>
      </c>
      <c r="T662">
        <v>3</v>
      </c>
      <c r="U662">
        <f t="shared" si="30"/>
        <v>5</v>
      </c>
      <c r="V662">
        <f t="shared" si="31"/>
        <v>2024</v>
      </c>
      <c r="W662" t="str">
        <f t="shared" si="32"/>
        <v>2024-5</v>
      </c>
    </row>
    <row r="663" spans="16:23" x14ac:dyDescent="0.25">
      <c r="P663" t="s">
        <v>10</v>
      </c>
      <c r="Q663" t="s">
        <v>300</v>
      </c>
      <c r="R663" t="s">
        <v>376</v>
      </c>
      <c r="S663">
        <v>33701</v>
      </c>
      <c r="T663">
        <v>7</v>
      </c>
      <c r="U663">
        <f t="shared" si="30"/>
        <v>5</v>
      </c>
      <c r="V663">
        <f t="shared" si="31"/>
        <v>2024</v>
      </c>
      <c r="W663" t="str">
        <f t="shared" si="32"/>
        <v>2024-5</v>
      </c>
    </row>
    <row r="664" spans="16:23" x14ac:dyDescent="0.25">
      <c r="P664" t="s">
        <v>8</v>
      </c>
      <c r="Q664" t="s">
        <v>134</v>
      </c>
      <c r="R664" t="s">
        <v>376</v>
      </c>
      <c r="S664">
        <v>99947</v>
      </c>
      <c r="T664">
        <v>4</v>
      </c>
      <c r="U664">
        <f t="shared" si="30"/>
        <v>5</v>
      </c>
      <c r="V664">
        <f t="shared" si="31"/>
        <v>2024</v>
      </c>
      <c r="W664" t="str">
        <f t="shared" si="32"/>
        <v>2024-5</v>
      </c>
    </row>
    <row r="665" spans="16:23" x14ac:dyDescent="0.25">
      <c r="P665" t="s">
        <v>45</v>
      </c>
      <c r="Q665" t="s">
        <v>332</v>
      </c>
      <c r="R665" t="s">
        <v>377</v>
      </c>
      <c r="S665">
        <v>32540</v>
      </c>
      <c r="T665">
        <v>0</v>
      </c>
      <c r="U665">
        <f t="shared" si="30"/>
        <v>5</v>
      </c>
      <c r="V665">
        <f t="shared" si="31"/>
        <v>2024</v>
      </c>
      <c r="W665" t="str">
        <f t="shared" si="32"/>
        <v>2024-5</v>
      </c>
    </row>
    <row r="666" spans="16:23" x14ac:dyDescent="0.25">
      <c r="P666" t="s">
        <v>38</v>
      </c>
      <c r="Q666" t="s">
        <v>59</v>
      </c>
      <c r="R666" t="s">
        <v>377</v>
      </c>
      <c r="S666">
        <v>96394</v>
      </c>
      <c r="T666">
        <v>6</v>
      </c>
      <c r="U666">
        <f t="shared" si="30"/>
        <v>5</v>
      </c>
      <c r="V666">
        <f t="shared" si="31"/>
        <v>2024</v>
      </c>
      <c r="W666" t="str">
        <f t="shared" si="32"/>
        <v>2024-5</v>
      </c>
    </row>
    <row r="667" spans="16:23" x14ac:dyDescent="0.25">
      <c r="P667" t="s">
        <v>38</v>
      </c>
      <c r="Q667" t="s">
        <v>137</v>
      </c>
      <c r="R667" t="s">
        <v>377</v>
      </c>
      <c r="S667">
        <v>63888</v>
      </c>
      <c r="T667">
        <v>0</v>
      </c>
      <c r="U667">
        <f t="shared" si="30"/>
        <v>5</v>
      </c>
      <c r="V667">
        <f t="shared" si="31"/>
        <v>2024</v>
      </c>
      <c r="W667" t="str">
        <f t="shared" si="32"/>
        <v>2024-5</v>
      </c>
    </row>
    <row r="668" spans="16:23" x14ac:dyDescent="0.25">
      <c r="P668" t="s">
        <v>5</v>
      </c>
      <c r="Q668" t="s">
        <v>105</v>
      </c>
      <c r="R668" t="s">
        <v>378</v>
      </c>
      <c r="S668">
        <v>33636</v>
      </c>
      <c r="T668">
        <v>8</v>
      </c>
      <c r="U668">
        <f t="shared" si="30"/>
        <v>5</v>
      </c>
      <c r="V668">
        <f t="shared" si="31"/>
        <v>2024</v>
      </c>
      <c r="W668" t="str">
        <f t="shared" si="32"/>
        <v>2024-5</v>
      </c>
    </row>
    <row r="669" spans="16:23" x14ac:dyDescent="0.25">
      <c r="P669" t="s">
        <v>10</v>
      </c>
      <c r="Q669" t="s">
        <v>69</v>
      </c>
      <c r="R669" t="s">
        <v>378</v>
      </c>
      <c r="S669">
        <v>73299</v>
      </c>
      <c r="T669">
        <v>4</v>
      </c>
      <c r="U669">
        <f t="shared" si="30"/>
        <v>5</v>
      </c>
      <c r="V669">
        <f t="shared" si="31"/>
        <v>2024</v>
      </c>
      <c r="W669" t="str">
        <f t="shared" si="32"/>
        <v>2024-5</v>
      </c>
    </row>
    <row r="670" spans="16:23" x14ac:dyDescent="0.25">
      <c r="P670" t="s">
        <v>18</v>
      </c>
      <c r="Q670" t="s">
        <v>49</v>
      </c>
      <c r="R670" t="s">
        <v>379</v>
      </c>
      <c r="S670">
        <v>16842</v>
      </c>
      <c r="T670">
        <v>7</v>
      </c>
      <c r="U670">
        <f t="shared" si="30"/>
        <v>5</v>
      </c>
      <c r="V670">
        <f t="shared" si="31"/>
        <v>2024</v>
      </c>
      <c r="W670" t="str">
        <f t="shared" si="32"/>
        <v>2024-5</v>
      </c>
    </row>
    <row r="671" spans="16:23" x14ac:dyDescent="0.25">
      <c r="P671" t="s">
        <v>25</v>
      </c>
      <c r="Q671" t="s">
        <v>313</v>
      </c>
      <c r="R671" t="s">
        <v>379</v>
      </c>
      <c r="S671">
        <v>98829</v>
      </c>
      <c r="T671">
        <v>10</v>
      </c>
      <c r="U671">
        <f t="shared" si="30"/>
        <v>5</v>
      </c>
      <c r="V671">
        <f t="shared" si="31"/>
        <v>2024</v>
      </c>
      <c r="W671" t="str">
        <f t="shared" si="32"/>
        <v>2024-5</v>
      </c>
    </row>
    <row r="672" spans="16:23" x14ac:dyDescent="0.25">
      <c r="P672" t="s">
        <v>30</v>
      </c>
      <c r="Q672" t="s">
        <v>380</v>
      </c>
      <c r="R672" t="s">
        <v>379</v>
      </c>
      <c r="S672">
        <v>41145</v>
      </c>
      <c r="T672">
        <v>10</v>
      </c>
      <c r="U672">
        <f t="shared" si="30"/>
        <v>5</v>
      </c>
      <c r="V672">
        <f t="shared" si="31"/>
        <v>2024</v>
      </c>
      <c r="W672" t="str">
        <f t="shared" si="32"/>
        <v>2024-5</v>
      </c>
    </row>
    <row r="673" spans="16:23" x14ac:dyDescent="0.25">
      <c r="P673" t="s">
        <v>8</v>
      </c>
      <c r="Q673" t="s">
        <v>132</v>
      </c>
      <c r="R673" t="s">
        <v>379</v>
      </c>
      <c r="S673">
        <v>81492</v>
      </c>
      <c r="T673">
        <v>8</v>
      </c>
      <c r="U673">
        <f t="shared" si="30"/>
        <v>5</v>
      </c>
      <c r="V673">
        <f t="shared" si="31"/>
        <v>2024</v>
      </c>
      <c r="W673" t="str">
        <f t="shared" si="32"/>
        <v>2024-5</v>
      </c>
    </row>
    <row r="674" spans="16:23" x14ac:dyDescent="0.25">
      <c r="P674" t="s">
        <v>47</v>
      </c>
      <c r="Q674" t="s">
        <v>196</v>
      </c>
      <c r="R674" t="s">
        <v>379</v>
      </c>
      <c r="S674">
        <v>30243</v>
      </c>
      <c r="T674">
        <v>7</v>
      </c>
      <c r="U674">
        <f t="shared" si="30"/>
        <v>5</v>
      </c>
      <c r="V674">
        <f t="shared" si="31"/>
        <v>2024</v>
      </c>
      <c r="W674" t="str">
        <f t="shared" si="32"/>
        <v>2024-5</v>
      </c>
    </row>
    <row r="675" spans="16:23" x14ac:dyDescent="0.25">
      <c r="P675" t="s">
        <v>25</v>
      </c>
      <c r="Q675" t="s">
        <v>105</v>
      </c>
      <c r="R675" t="s">
        <v>379</v>
      </c>
      <c r="S675">
        <v>15103</v>
      </c>
      <c r="T675">
        <v>5</v>
      </c>
      <c r="U675">
        <f t="shared" si="30"/>
        <v>5</v>
      </c>
      <c r="V675">
        <f t="shared" si="31"/>
        <v>2024</v>
      </c>
      <c r="W675" t="str">
        <f t="shared" si="32"/>
        <v>2024-5</v>
      </c>
    </row>
    <row r="676" spans="16:23" x14ac:dyDescent="0.25">
      <c r="P676" t="s">
        <v>30</v>
      </c>
      <c r="Q676" t="s">
        <v>221</v>
      </c>
      <c r="R676" t="s">
        <v>379</v>
      </c>
      <c r="S676">
        <v>51938</v>
      </c>
      <c r="T676">
        <v>7</v>
      </c>
      <c r="U676">
        <f t="shared" si="30"/>
        <v>5</v>
      </c>
      <c r="V676">
        <f t="shared" si="31"/>
        <v>2024</v>
      </c>
      <c r="W676" t="str">
        <f t="shared" si="32"/>
        <v>2024-5</v>
      </c>
    </row>
    <row r="677" spans="16:23" x14ac:dyDescent="0.25">
      <c r="P677" t="s">
        <v>30</v>
      </c>
      <c r="Q677" t="s">
        <v>202</v>
      </c>
      <c r="R677" t="s">
        <v>379</v>
      </c>
      <c r="S677">
        <v>68301</v>
      </c>
      <c r="T677">
        <v>3</v>
      </c>
      <c r="U677">
        <f t="shared" si="30"/>
        <v>5</v>
      </c>
      <c r="V677">
        <f t="shared" si="31"/>
        <v>2024</v>
      </c>
      <c r="W677" t="str">
        <f t="shared" si="32"/>
        <v>2024-5</v>
      </c>
    </row>
    <row r="678" spans="16:23" x14ac:dyDescent="0.25">
      <c r="P678" t="s">
        <v>30</v>
      </c>
      <c r="Q678" t="s">
        <v>344</v>
      </c>
      <c r="R678" t="s">
        <v>381</v>
      </c>
      <c r="S678">
        <v>23651</v>
      </c>
      <c r="T678">
        <v>8</v>
      </c>
      <c r="U678">
        <f t="shared" si="30"/>
        <v>5</v>
      </c>
      <c r="V678">
        <f t="shared" si="31"/>
        <v>2024</v>
      </c>
      <c r="W678" t="str">
        <f t="shared" si="32"/>
        <v>2024-5</v>
      </c>
    </row>
    <row r="679" spans="16:23" x14ac:dyDescent="0.25">
      <c r="P679" t="s">
        <v>47</v>
      </c>
      <c r="Q679" t="s">
        <v>307</v>
      </c>
      <c r="R679" t="s">
        <v>381</v>
      </c>
      <c r="S679">
        <v>48631</v>
      </c>
      <c r="T679">
        <v>7</v>
      </c>
      <c r="U679">
        <f t="shared" si="30"/>
        <v>5</v>
      </c>
      <c r="V679">
        <f t="shared" si="31"/>
        <v>2024</v>
      </c>
      <c r="W679" t="str">
        <f t="shared" si="32"/>
        <v>2024-5</v>
      </c>
    </row>
    <row r="680" spans="16:23" x14ac:dyDescent="0.25">
      <c r="P680" t="s">
        <v>8</v>
      </c>
      <c r="Q680" t="s">
        <v>149</v>
      </c>
      <c r="R680" t="s">
        <v>381</v>
      </c>
      <c r="S680">
        <v>22093</v>
      </c>
      <c r="T680">
        <v>10</v>
      </c>
      <c r="U680">
        <f t="shared" si="30"/>
        <v>5</v>
      </c>
      <c r="V680">
        <f t="shared" si="31"/>
        <v>2024</v>
      </c>
      <c r="W680" t="str">
        <f t="shared" si="32"/>
        <v>2024-5</v>
      </c>
    </row>
    <row r="681" spans="16:23" x14ac:dyDescent="0.25">
      <c r="P681" t="s">
        <v>38</v>
      </c>
      <c r="Q681" t="s">
        <v>158</v>
      </c>
      <c r="R681" t="s">
        <v>381</v>
      </c>
      <c r="S681">
        <v>75160</v>
      </c>
      <c r="T681">
        <v>5</v>
      </c>
      <c r="U681">
        <f t="shared" si="30"/>
        <v>5</v>
      </c>
      <c r="V681">
        <f t="shared" si="31"/>
        <v>2024</v>
      </c>
      <c r="W681" t="str">
        <f t="shared" si="32"/>
        <v>2024-5</v>
      </c>
    </row>
    <row r="682" spans="16:23" x14ac:dyDescent="0.25">
      <c r="P682" t="s">
        <v>8</v>
      </c>
      <c r="Q682" t="s">
        <v>155</v>
      </c>
      <c r="R682" t="s">
        <v>381</v>
      </c>
      <c r="S682">
        <v>28426</v>
      </c>
      <c r="T682">
        <v>5</v>
      </c>
      <c r="U682">
        <f t="shared" si="30"/>
        <v>5</v>
      </c>
      <c r="V682">
        <f t="shared" si="31"/>
        <v>2024</v>
      </c>
      <c r="W682" t="str">
        <f t="shared" si="32"/>
        <v>2024-5</v>
      </c>
    </row>
    <row r="683" spans="16:23" x14ac:dyDescent="0.25">
      <c r="P683" t="s">
        <v>10</v>
      </c>
      <c r="Q683" t="s">
        <v>382</v>
      </c>
      <c r="R683" t="s">
        <v>383</v>
      </c>
      <c r="S683">
        <v>40276</v>
      </c>
      <c r="T683">
        <v>5</v>
      </c>
      <c r="U683">
        <f t="shared" si="30"/>
        <v>5</v>
      </c>
      <c r="V683">
        <f t="shared" si="31"/>
        <v>2024</v>
      </c>
      <c r="W683" t="str">
        <f t="shared" si="32"/>
        <v>2024-5</v>
      </c>
    </row>
    <row r="684" spans="16:23" x14ac:dyDescent="0.25">
      <c r="P684" t="s">
        <v>30</v>
      </c>
      <c r="Q684" t="s">
        <v>384</v>
      </c>
      <c r="R684" t="s">
        <v>383</v>
      </c>
      <c r="S684">
        <v>16429</v>
      </c>
      <c r="T684">
        <v>3</v>
      </c>
      <c r="U684">
        <f t="shared" si="30"/>
        <v>5</v>
      </c>
      <c r="V684">
        <f t="shared" si="31"/>
        <v>2024</v>
      </c>
      <c r="W684" t="str">
        <f t="shared" si="32"/>
        <v>2024-5</v>
      </c>
    </row>
    <row r="685" spans="16:23" x14ac:dyDescent="0.25">
      <c r="P685" t="s">
        <v>45</v>
      </c>
      <c r="Q685" t="s">
        <v>142</v>
      </c>
      <c r="R685" t="s">
        <v>383</v>
      </c>
      <c r="S685">
        <v>25047</v>
      </c>
      <c r="T685">
        <v>9</v>
      </c>
      <c r="U685">
        <f t="shared" si="30"/>
        <v>5</v>
      </c>
      <c r="V685">
        <f t="shared" si="31"/>
        <v>2024</v>
      </c>
      <c r="W685" t="str">
        <f t="shared" si="32"/>
        <v>2024-5</v>
      </c>
    </row>
    <row r="686" spans="16:23" x14ac:dyDescent="0.25">
      <c r="P686" t="s">
        <v>13</v>
      </c>
      <c r="Q686" t="s">
        <v>9</v>
      </c>
      <c r="R686" t="s">
        <v>383</v>
      </c>
      <c r="S686">
        <v>46160</v>
      </c>
      <c r="T686">
        <v>6</v>
      </c>
      <c r="U686">
        <f t="shared" si="30"/>
        <v>5</v>
      </c>
      <c r="V686">
        <f t="shared" si="31"/>
        <v>2024</v>
      </c>
      <c r="W686" t="str">
        <f t="shared" si="32"/>
        <v>2024-5</v>
      </c>
    </row>
    <row r="687" spans="16:23" x14ac:dyDescent="0.25">
      <c r="P687" t="s">
        <v>45</v>
      </c>
      <c r="Q687" t="s">
        <v>26</v>
      </c>
      <c r="R687" t="s">
        <v>383</v>
      </c>
      <c r="S687">
        <v>38601</v>
      </c>
      <c r="T687">
        <v>7</v>
      </c>
      <c r="U687">
        <f t="shared" si="30"/>
        <v>5</v>
      </c>
      <c r="V687">
        <f t="shared" si="31"/>
        <v>2024</v>
      </c>
      <c r="W687" t="str">
        <f t="shared" si="32"/>
        <v>2024-5</v>
      </c>
    </row>
    <row r="688" spans="16:23" x14ac:dyDescent="0.25">
      <c r="P688" t="s">
        <v>45</v>
      </c>
      <c r="Q688" t="s">
        <v>206</v>
      </c>
      <c r="R688" t="s">
        <v>383</v>
      </c>
      <c r="S688">
        <v>40768</v>
      </c>
      <c r="T688">
        <v>2</v>
      </c>
      <c r="U688">
        <f t="shared" si="30"/>
        <v>5</v>
      </c>
      <c r="V688">
        <f t="shared" si="31"/>
        <v>2024</v>
      </c>
      <c r="W688" t="str">
        <f t="shared" si="32"/>
        <v>2024-5</v>
      </c>
    </row>
    <row r="689" spans="16:23" x14ac:dyDescent="0.25">
      <c r="P689" t="s">
        <v>13</v>
      </c>
      <c r="Q689" t="s">
        <v>67</v>
      </c>
      <c r="R689" t="s">
        <v>383</v>
      </c>
      <c r="S689">
        <v>64682</v>
      </c>
      <c r="T689">
        <v>4</v>
      </c>
      <c r="U689">
        <f t="shared" si="30"/>
        <v>5</v>
      </c>
      <c r="V689">
        <f t="shared" si="31"/>
        <v>2024</v>
      </c>
      <c r="W689" t="str">
        <f t="shared" si="32"/>
        <v>2024-5</v>
      </c>
    </row>
    <row r="690" spans="16:23" x14ac:dyDescent="0.25">
      <c r="P690" t="s">
        <v>16</v>
      </c>
      <c r="Q690" t="s">
        <v>385</v>
      </c>
      <c r="R690" t="s">
        <v>383</v>
      </c>
      <c r="S690">
        <v>65426</v>
      </c>
      <c r="T690">
        <v>8</v>
      </c>
      <c r="U690">
        <f t="shared" si="30"/>
        <v>5</v>
      </c>
      <c r="V690">
        <f t="shared" si="31"/>
        <v>2024</v>
      </c>
      <c r="W690" t="str">
        <f t="shared" si="32"/>
        <v>2024-5</v>
      </c>
    </row>
    <row r="691" spans="16:23" x14ac:dyDescent="0.25">
      <c r="P691" t="s">
        <v>10</v>
      </c>
      <c r="Q691" t="s">
        <v>68</v>
      </c>
      <c r="R691" t="s">
        <v>383</v>
      </c>
      <c r="S691">
        <v>93215</v>
      </c>
      <c r="T691">
        <v>5</v>
      </c>
      <c r="U691">
        <f t="shared" si="30"/>
        <v>5</v>
      </c>
      <c r="V691">
        <f t="shared" si="31"/>
        <v>2024</v>
      </c>
      <c r="W691" t="str">
        <f t="shared" si="32"/>
        <v>2024-5</v>
      </c>
    </row>
    <row r="692" spans="16:23" x14ac:dyDescent="0.25">
      <c r="P692" t="s">
        <v>5</v>
      </c>
      <c r="Q692" t="s">
        <v>270</v>
      </c>
      <c r="R692" t="s">
        <v>383</v>
      </c>
      <c r="S692">
        <v>12958</v>
      </c>
      <c r="T692">
        <v>9</v>
      </c>
      <c r="U692">
        <f t="shared" si="30"/>
        <v>5</v>
      </c>
      <c r="V692">
        <f t="shared" si="31"/>
        <v>2024</v>
      </c>
      <c r="W692" t="str">
        <f t="shared" si="32"/>
        <v>2024-5</v>
      </c>
    </row>
    <row r="693" spans="16:23" x14ac:dyDescent="0.25">
      <c r="P693" t="s">
        <v>10</v>
      </c>
      <c r="Q693" t="s">
        <v>125</v>
      </c>
      <c r="R693" t="s">
        <v>383</v>
      </c>
      <c r="S693">
        <v>89799</v>
      </c>
      <c r="T693">
        <v>7</v>
      </c>
      <c r="U693">
        <f t="shared" si="30"/>
        <v>5</v>
      </c>
      <c r="V693">
        <f t="shared" si="31"/>
        <v>2024</v>
      </c>
      <c r="W693" t="str">
        <f t="shared" si="32"/>
        <v>2024-5</v>
      </c>
    </row>
    <row r="694" spans="16:23" x14ac:dyDescent="0.25">
      <c r="P694" t="s">
        <v>30</v>
      </c>
      <c r="Q694" t="s">
        <v>272</v>
      </c>
      <c r="R694" t="s">
        <v>383</v>
      </c>
      <c r="S694">
        <v>80671</v>
      </c>
      <c r="T694">
        <v>5</v>
      </c>
      <c r="U694">
        <f t="shared" si="30"/>
        <v>5</v>
      </c>
      <c r="V694">
        <f t="shared" si="31"/>
        <v>2024</v>
      </c>
      <c r="W694" t="str">
        <f t="shared" si="32"/>
        <v>2024-5</v>
      </c>
    </row>
    <row r="695" spans="16:23" x14ac:dyDescent="0.25">
      <c r="P695" t="s">
        <v>18</v>
      </c>
      <c r="Q695" t="s">
        <v>110</v>
      </c>
      <c r="R695" t="s">
        <v>383</v>
      </c>
      <c r="S695">
        <v>33110</v>
      </c>
      <c r="T695">
        <v>4</v>
      </c>
      <c r="U695">
        <f t="shared" si="30"/>
        <v>5</v>
      </c>
      <c r="V695">
        <f t="shared" si="31"/>
        <v>2024</v>
      </c>
      <c r="W695" t="str">
        <f t="shared" si="32"/>
        <v>2024-5</v>
      </c>
    </row>
    <row r="696" spans="16:23" x14ac:dyDescent="0.25">
      <c r="P696" t="s">
        <v>45</v>
      </c>
      <c r="Q696" t="s">
        <v>99</v>
      </c>
      <c r="R696" t="s">
        <v>386</v>
      </c>
      <c r="S696">
        <v>12347</v>
      </c>
      <c r="T696">
        <v>5</v>
      </c>
      <c r="U696">
        <f t="shared" si="30"/>
        <v>5</v>
      </c>
      <c r="V696">
        <f t="shared" si="31"/>
        <v>2024</v>
      </c>
      <c r="W696" t="str">
        <f t="shared" si="32"/>
        <v>2024-5</v>
      </c>
    </row>
    <row r="697" spans="16:23" x14ac:dyDescent="0.25">
      <c r="P697" t="s">
        <v>18</v>
      </c>
      <c r="Q697" t="s">
        <v>96</v>
      </c>
      <c r="R697" t="s">
        <v>386</v>
      </c>
      <c r="S697">
        <v>60176</v>
      </c>
      <c r="T697">
        <v>7</v>
      </c>
      <c r="U697">
        <f t="shared" si="30"/>
        <v>5</v>
      </c>
      <c r="V697">
        <f t="shared" si="31"/>
        <v>2024</v>
      </c>
      <c r="W697" t="str">
        <f t="shared" si="32"/>
        <v>2024-5</v>
      </c>
    </row>
    <row r="698" spans="16:23" x14ac:dyDescent="0.25">
      <c r="P698" t="s">
        <v>38</v>
      </c>
      <c r="Q698" t="s">
        <v>344</v>
      </c>
      <c r="R698" t="s">
        <v>386</v>
      </c>
      <c r="S698">
        <v>48892</v>
      </c>
      <c r="T698">
        <v>7</v>
      </c>
      <c r="U698">
        <f t="shared" si="30"/>
        <v>5</v>
      </c>
      <c r="V698">
        <f t="shared" si="31"/>
        <v>2024</v>
      </c>
      <c r="W698" t="str">
        <f t="shared" si="32"/>
        <v>2024-5</v>
      </c>
    </row>
    <row r="699" spans="16:23" x14ac:dyDescent="0.25">
      <c r="P699" t="s">
        <v>38</v>
      </c>
      <c r="Q699" t="s">
        <v>299</v>
      </c>
      <c r="R699" t="s">
        <v>386</v>
      </c>
      <c r="S699">
        <v>48323</v>
      </c>
      <c r="T699">
        <v>3</v>
      </c>
      <c r="U699">
        <f t="shared" si="30"/>
        <v>5</v>
      </c>
      <c r="V699">
        <f t="shared" si="31"/>
        <v>2024</v>
      </c>
      <c r="W699" t="str">
        <f t="shared" si="32"/>
        <v>2024-5</v>
      </c>
    </row>
    <row r="700" spans="16:23" x14ac:dyDescent="0.25">
      <c r="P700" t="s">
        <v>18</v>
      </c>
      <c r="Q700" t="s">
        <v>119</v>
      </c>
      <c r="R700" t="s">
        <v>387</v>
      </c>
      <c r="S700">
        <v>36165</v>
      </c>
      <c r="T700">
        <v>6</v>
      </c>
      <c r="U700">
        <f t="shared" si="30"/>
        <v>5</v>
      </c>
      <c r="V700">
        <f t="shared" si="31"/>
        <v>2024</v>
      </c>
      <c r="W700" t="str">
        <f t="shared" si="32"/>
        <v>2024-5</v>
      </c>
    </row>
    <row r="701" spans="16:23" x14ac:dyDescent="0.25">
      <c r="P701" t="s">
        <v>8</v>
      </c>
      <c r="Q701" t="s">
        <v>107</v>
      </c>
      <c r="R701" t="s">
        <v>387</v>
      </c>
      <c r="S701">
        <v>25308</v>
      </c>
      <c r="T701">
        <v>6</v>
      </c>
      <c r="U701">
        <f t="shared" si="30"/>
        <v>5</v>
      </c>
      <c r="V701">
        <f t="shared" si="31"/>
        <v>2024</v>
      </c>
      <c r="W701" t="str">
        <f t="shared" si="32"/>
        <v>2024-5</v>
      </c>
    </row>
    <row r="702" spans="16:23" x14ac:dyDescent="0.25">
      <c r="P702" t="s">
        <v>13</v>
      </c>
      <c r="Q702" t="s">
        <v>270</v>
      </c>
      <c r="R702" t="s">
        <v>387</v>
      </c>
      <c r="S702">
        <v>61005</v>
      </c>
      <c r="T702">
        <v>6</v>
      </c>
      <c r="U702">
        <f t="shared" si="30"/>
        <v>5</v>
      </c>
      <c r="V702">
        <f t="shared" si="31"/>
        <v>2024</v>
      </c>
      <c r="W702" t="str">
        <f t="shared" si="32"/>
        <v>2024-5</v>
      </c>
    </row>
    <row r="703" spans="16:23" x14ac:dyDescent="0.25">
      <c r="P703" t="s">
        <v>16</v>
      </c>
      <c r="Q703" t="s">
        <v>94</v>
      </c>
      <c r="R703" t="s">
        <v>387</v>
      </c>
      <c r="S703">
        <v>28195</v>
      </c>
      <c r="T703">
        <v>7</v>
      </c>
      <c r="U703">
        <f t="shared" si="30"/>
        <v>5</v>
      </c>
      <c r="V703">
        <f t="shared" si="31"/>
        <v>2024</v>
      </c>
      <c r="W703" t="str">
        <f t="shared" si="32"/>
        <v>2024-5</v>
      </c>
    </row>
    <row r="704" spans="16:23" x14ac:dyDescent="0.25">
      <c r="P704" t="s">
        <v>30</v>
      </c>
      <c r="Q704" t="s">
        <v>169</v>
      </c>
      <c r="R704" t="s">
        <v>388</v>
      </c>
      <c r="S704">
        <v>36661</v>
      </c>
      <c r="T704">
        <v>3</v>
      </c>
      <c r="U704">
        <f t="shared" si="30"/>
        <v>5</v>
      </c>
      <c r="V704">
        <f t="shared" si="31"/>
        <v>2024</v>
      </c>
      <c r="W704" t="str">
        <f t="shared" si="32"/>
        <v>2024-5</v>
      </c>
    </row>
    <row r="705" spans="16:23" x14ac:dyDescent="0.25">
      <c r="P705" t="s">
        <v>10</v>
      </c>
      <c r="Q705" t="s">
        <v>177</v>
      </c>
      <c r="R705" t="s">
        <v>388</v>
      </c>
      <c r="S705">
        <v>43138</v>
      </c>
      <c r="T705">
        <v>8</v>
      </c>
      <c r="U705">
        <f t="shared" si="30"/>
        <v>5</v>
      </c>
      <c r="V705">
        <f t="shared" si="31"/>
        <v>2024</v>
      </c>
      <c r="W705" t="str">
        <f t="shared" si="32"/>
        <v>2024-5</v>
      </c>
    </row>
    <row r="706" spans="16:23" x14ac:dyDescent="0.25">
      <c r="P706" t="s">
        <v>30</v>
      </c>
      <c r="Q706" t="s">
        <v>82</v>
      </c>
      <c r="R706" t="s">
        <v>388</v>
      </c>
      <c r="S706">
        <v>93660</v>
      </c>
      <c r="T706">
        <v>9</v>
      </c>
      <c r="U706">
        <f t="shared" si="30"/>
        <v>5</v>
      </c>
      <c r="V706">
        <f t="shared" si="31"/>
        <v>2024</v>
      </c>
      <c r="W706" t="str">
        <f t="shared" si="32"/>
        <v>2024-5</v>
      </c>
    </row>
    <row r="707" spans="16:23" x14ac:dyDescent="0.25">
      <c r="P707" t="s">
        <v>13</v>
      </c>
      <c r="Q707" t="s">
        <v>157</v>
      </c>
      <c r="R707" t="s">
        <v>388</v>
      </c>
      <c r="S707">
        <v>13664</v>
      </c>
      <c r="T707">
        <v>6</v>
      </c>
      <c r="U707">
        <f t="shared" ref="U707:U770" si="33">MONTH(R707)</f>
        <v>5</v>
      </c>
      <c r="V707">
        <f t="shared" ref="V707:V770" si="34">YEAR(R707)</f>
        <v>2024</v>
      </c>
      <c r="W707" t="str">
        <f t="shared" ref="W707:W770" si="35">V707&amp;"-"&amp;U707</f>
        <v>2024-5</v>
      </c>
    </row>
    <row r="708" spans="16:23" x14ac:dyDescent="0.25">
      <c r="P708" t="s">
        <v>30</v>
      </c>
      <c r="Q708" t="s">
        <v>249</v>
      </c>
      <c r="R708" t="s">
        <v>388</v>
      </c>
      <c r="S708">
        <v>39899</v>
      </c>
      <c r="T708">
        <v>7</v>
      </c>
      <c r="U708">
        <f t="shared" si="33"/>
        <v>5</v>
      </c>
      <c r="V708">
        <f t="shared" si="34"/>
        <v>2024</v>
      </c>
      <c r="W708" t="str">
        <f t="shared" si="35"/>
        <v>2024-5</v>
      </c>
    </row>
    <row r="709" spans="16:23" x14ac:dyDescent="0.25">
      <c r="P709" t="s">
        <v>30</v>
      </c>
      <c r="Q709" t="s">
        <v>134</v>
      </c>
      <c r="R709" t="s">
        <v>388</v>
      </c>
      <c r="S709">
        <v>93387</v>
      </c>
      <c r="T709">
        <v>6</v>
      </c>
      <c r="U709">
        <f t="shared" si="33"/>
        <v>5</v>
      </c>
      <c r="V709">
        <f t="shared" si="34"/>
        <v>2024</v>
      </c>
      <c r="W709" t="str">
        <f t="shared" si="35"/>
        <v>2024-5</v>
      </c>
    </row>
    <row r="710" spans="16:23" x14ac:dyDescent="0.25">
      <c r="P710" t="s">
        <v>38</v>
      </c>
      <c r="Q710" t="s">
        <v>57</v>
      </c>
      <c r="R710" t="s">
        <v>388</v>
      </c>
      <c r="S710">
        <v>65818</v>
      </c>
      <c r="T710">
        <v>5</v>
      </c>
      <c r="U710">
        <f t="shared" si="33"/>
        <v>5</v>
      </c>
      <c r="V710">
        <f t="shared" si="34"/>
        <v>2024</v>
      </c>
      <c r="W710" t="str">
        <f t="shared" si="35"/>
        <v>2024-5</v>
      </c>
    </row>
    <row r="711" spans="16:23" x14ac:dyDescent="0.25">
      <c r="P711" t="s">
        <v>45</v>
      </c>
      <c r="Q711" t="s">
        <v>219</v>
      </c>
      <c r="R711" t="s">
        <v>388</v>
      </c>
      <c r="S711">
        <v>66817</v>
      </c>
      <c r="T711">
        <v>8</v>
      </c>
      <c r="U711">
        <f t="shared" si="33"/>
        <v>5</v>
      </c>
      <c r="V711">
        <f t="shared" si="34"/>
        <v>2024</v>
      </c>
      <c r="W711" t="str">
        <f t="shared" si="35"/>
        <v>2024-5</v>
      </c>
    </row>
    <row r="712" spans="16:23" x14ac:dyDescent="0.25">
      <c r="P712" t="s">
        <v>13</v>
      </c>
      <c r="Q712" t="s">
        <v>155</v>
      </c>
      <c r="R712" t="s">
        <v>388</v>
      </c>
      <c r="S712">
        <v>17068</v>
      </c>
      <c r="T712">
        <v>9</v>
      </c>
      <c r="U712">
        <f t="shared" si="33"/>
        <v>5</v>
      </c>
      <c r="V712">
        <f t="shared" si="34"/>
        <v>2024</v>
      </c>
      <c r="W712" t="str">
        <f t="shared" si="35"/>
        <v>2024-5</v>
      </c>
    </row>
    <row r="713" spans="16:23" x14ac:dyDescent="0.25">
      <c r="P713" t="s">
        <v>38</v>
      </c>
      <c r="Q713" t="s">
        <v>173</v>
      </c>
      <c r="R713" t="s">
        <v>388</v>
      </c>
      <c r="S713">
        <v>29952</v>
      </c>
      <c r="T713">
        <v>9</v>
      </c>
      <c r="U713">
        <f t="shared" si="33"/>
        <v>5</v>
      </c>
      <c r="V713">
        <f t="shared" si="34"/>
        <v>2024</v>
      </c>
      <c r="W713" t="str">
        <f t="shared" si="35"/>
        <v>2024-5</v>
      </c>
    </row>
    <row r="714" spans="16:23" x14ac:dyDescent="0.25">
      <c r="P714" t="s">
        <v>27</v>
      </c>
      <c r="Q714" t="s">
        <v>224</v>
      </c>
      <c r="R714" t="s">
        <v>388</v>
      </c>
      <c r="S714">
        <v>23678</v>
      </c>
      <c r="T714">
        <v>10</v>
      </c>
      <c r="U714">
        <f t="shared" si="33"/>
        <v>5</v>
      </c>
      <c r="V714">
        <f t="shared" si="34"/>
        <v>2024</v>
      </c>
      <c r="W714" t="str">
        <f t="shared" si="35"/>
        <v>2024-5</v>
      </c>
    </row>
    <row r="715" spans="16:23" x14ac:dyDescent="0.25">
      <c r="P715" t="s">
        <v>13</v>
      </c>
      <c r="Q715" t="s">
        <v>211</v>
      </c>
      <c r="R715" t="s">
        <v>389</v>
      </c>
      <c r="S715">
        <v>54713</v>
      </c>
      <c r="T715">
        <v>5</v>
      </c>
      <c r="U715">
        <f t="shared" si="33"/>
        <v>5</v>
      </c>
      <c r="V715">
        <f t="shared" si="34"/>
        <v>2024</v>
      </c>
      <c r="W715" t="str">
        <f t="shared" si="35"/>
        <v>2024-5</v>
      </c>
    </row>
    <row r="716" spans="16:23" x14ac:dyDescent="0.25">
      <c r="P716" t="s">
        <v>45</v>
      </c>
      <c r="Q716" t="s">
        <v>26</v>
      </c>
      <c r="R716" t="s">
        <v>389</v>
      </c>
      <c r="S716">
        <v>18871</v>
      </c>
      <c r="T716">
        <v>10</v>
      </c>
      <c r="U716">
        <f t="shared" si="33"/>
        <v>5</v>
      </c>
      <c r="V716">
        <f t="shared" si="34"/>
        <v>2024</v>
      </c>
      <c r="W716" t="str">
        <f t="shared" si="35"/>
        <v>2024-5</v>
      </c>
    </row>
    <row r="717" spans="16:23" x14ac:dyDescent="0.25">
      <c r="P717" t="s">
        <v>8</v>
      </c>
      <c r="Q717" t="s">
        <v>247</v>
      </c>
      <c r="R717" t="s">
        <v>389</v>
      </c>
      <c r="S717">
        <v>75689</v>
      </c>
      <c r="T717">
        <v>7</v>
      </c>
      <c r="U717">
        <f t="shared" si="33"/>
        <v>5</v>
      </c>
      <c r="V717">
        <f t="shared" si="34"/>
        <v>2024</v>
      </c>
      <c r="W717" t="str">
        <f t="shared" si="35"/>
        <v>2024-5</v>
      </c>
    </row>
    <row r="718" spans="16:23" x14ac:dyDescent="0.25">
      <c r="P718" t="s">
        <v>47</v>
      </c>
      <c r="Q718" t="s">
        <v>121</v>
      </c>
      <c r="R718" t="s">
        <v>389</v>
      </c>
      <c r="S718">
        <v>67529</v>
      </c>
      <c r="T718">
        <v>7</v>
      </c>
      <c r="U718">
        <f t="shared" si="33"/>
        <v>5</v>
      </c>
      <c r="V718">
        <f t="shared" si="34"/>
        <v>2024</v>
      </c>
      <c r="W718" t="str">
        <f t="shared" si="35"/>
        <v>2024-5</v>
      </c>
    </row>
    <row r="719" spans="16:23" x14ac:dyDescent="0.25">
      <c r="P719" t="s">
        <v>10</v>
      </c>
      <c r="Q719" t="s">
        <v>287</v>
      </c>
      <c r="R719" t="s">
        <v>390</v>
      </c>
      <c r="S719">
        <v>79823</v>
      </c>
      <c r="T719">
        <v>7</v>
      </c>
      <c r="U719">
        <f t="shared" si="33"/>
        <v>5</v>
      </c>
      <c r="V719">
        <f t="shared" si="34"/>
        <v>2024</v>
      </c>
      <c r="W719" t="str">
        <f t="shared" si="35"/>
        <v>2024-5</v>
      </c>
    </row>
    <row r="720" spans="16:23" x14ac:dyDescent="0.25">
      <c r="P720" t="s">
        <v>27</v>
      </c>
      <c r="Q720" t="s">
        <v>77</v>
      </c>
      <c r="R720" t="s">
        <v>391</v>
      </c>
      <c r="S720">
        <v>54463</v>
      </c>
      <c r="T720">
        <v>3</v>
      </c>
      <c r="U720">
        <f t="shared" si="33"/>
        <v>5</v>
      </c>
      <c r="V720">
        <f t="shared" si="34"/>
        <v>2024</v>
      </c>
      <c r="W720" t="str">
        <f t="shared" si="35"/>
        <v>2024-5</v>
      </c>
    </row>
    <row r="721" spans="16:23" x14ac:dyDescent="0.25">
      <c r="P721" t="s">
        <v>13</v>
      </c>
      <c r="Q721" t="s">
        <v>226</v>
      </c>
      <c r="R721" t="s">
        <v>392</v>
      </c>
      <c r="S721">
        <v>56986</v>
      </c>
      <c r="T721">
        <v>6</v>
      </c>
      <c r="U721">
        <f t="shared" si="33"/>
        <v>5</v>
      </c>
      <c r="V721">
        <f t="shared" si="34"/>
        <v>2024</v>
      </c>
      <c r="W721" t="str">
        <f t="shared" si="35"/>
        <v>2024-5</v>
      </c>
    </row>
    <row r="722" spans="16:23" x14ac:dyDescent="0.25">
      <c r="P722" t="s">
        <v>18</v>
      </c>
      <c r="Q722" t="s">
        <v>393</v>
      </c>
      <c r="R722" t="s">
        <v>392</v>
      </c>
      <c r="S722">
        <v>69779</v>
      </c>
      <c r="T722">
        <v>10</v>
      </c>
      <c r="U722">
        <f t="shared" si="33"/>
        <v>5</v>
      </c>
      <c r="V722">
        <f t="shared" si="34"/>
        <v>2024</v>
      </c>
      <c r="W722" t="str">
        <f t="shared" si="35"/>
        <v>2024-5</v>
      </c>
    </row>
    <row r="723" spans="16:23" x14ac:dyDescent="0.25">
      <c r="P723" t="s">
        <v>10</v>
      </c>
      <c r="Q723" t="s">
        <v>22</v>
      </c>
      <c r="R723" t="s">
        <v>392</v>
      </c>
      <c r="S723">
        <v>36169</v>
      </c>
      <c r="T723">
        <v>1</v>
      </c>
      <c r="U723">
        <f t="shared" si="33"/>
        <v>5</v>
      </c>
      <c r="V723">
        <f t="shared" si="34"/>
        <v>2024</v>
      </c>
      <c r="W723" t="str">
        <f t="shared" si="35"/>
        <v>2024-5</v>
      </c>
    </row>
    <row r="724" spans="16:23" x14ac:dyDescent="0.25">
      <c r="P724" t="s">
        <v>27</v>
      </c>
      <c r="Q724" t="s">
        <v>212</v>
      </c>
      <c r="R724" t="s">
        <v>392</v>
      </c>
      <c r="S724">
        <v>65869</v>
      </c>
      <c r="T724">
        <v>8</v>
      </c>
      <c r="U724">
        <f t="shared" si="33"/>
        <v>5</v>
      </c>
      <c r="V724">
        <f t="shared" si="34"/>
        <v>2024</v>
      </c>
      <c r="W724" t="str">
        <f t="shared" si="35"/>
        <v>2024-5</v>
      </c>
    </row>
    <row r="725" spans="16:23" x14ac:dyDescent="0.25">
      <c r="P725" t="s">
        <v>47</v>
      </c>
      <c r="Q725" t="s">
        <v>89</v>
      </c>
      <c r="R725" t="s">
        <v>392</v>
      </c>
      <c r="S725">
        <v>19641</v>
      </c>
      <c r="T725">
        <v>9</v>
      </c>
      <c r="U725">
        <f t="shared" si="33"/>
        <v>5</v>
      </c>
      <c r="V725">
        <f t="shared" si="34"/>
        <v>2024</v>
      </c>
      <c r="W725" t="str">
        <f t="shared" si="35"/>
        <v>2024-5</v>
      </c>
    </row>
    <row r="726" spans="16:23" x14ac:dyDescent="0.25">
      <c r="P726" t="s">
        <v>25</v>
      </c>
      <c r="Q726" t="s">
        <v>94</v>
      </c>
      <c r="R726" t="s">
        <v>394</v>
      </c>
      <c r="S726">
        <v>69572</v>
      </c>
      <c r="T726">
        <v>6</v>
      </c>
      <c r="U726">
        <f t="shared" si="33"/>
        <v>6</v>
      </c>
      <c r="V726">
        <f t="shared" si="34"/>
        <v>2024</v>
      </c>
      <c r="W726" t="str">
        <f t="shared" si="35"/>
        <v>2024-6</v>
      </c>
    </row>
    <row r="727" spans="16:23" x14ac:dyDescent="0.25">
      <c r="P727" t="s">
        <v>45</v>
      </c>
      <c r="Q727" t="s">
        <v>279</v>
      </c>
      <c r="R727" t="s">
        <v>394</v>
      </c>
      <c r="S727">
        <v>24731</v>
      </c>
      <c r="T727">
        <v>10</v>
      </c>
      <c r="U727">
        <f t="shared" si="33"/>
        <v>6</v>
      </c>
      <c r="V727">
        <f t="shared" si="34"/>
        <v>2024</v>
      </c>
      <c r="W727" t="str">
        <f t="shared" si="35"/>
        <v>2024-6</v>
      </c>
    </row>
    <row r="728" spans="16:23" x14ac:dyDescent="0.25">
      <c r="P728" t="s">
        <v>18</v>
      </c>
      <c r="Q728" t="s">
        <v>309</v>
      </c>
      <c r="R728" t="s">
        <v>394</v>
      </c>
      <c r="S728">
        <v>15847</v>
      </c>
      <c r="T728">
        <v>9</v>
      </c>
      <c r="U728">
        <f t="shared" si="33"/>
        <v>6</v>
      </c>
      <c r="V728">
        <f t="shared" si="34"/>
        <v>2024</v>
      </c>
      <c r="W728" t="str">
        <f t="shared" si="35"/>
        <v>2024-6</v>
      </c>
    </row>
    <row r="729" spans="16:23" x14ac:dyDescent="0.25">
      <c r="P729" t="s">
        <v>13</v>
      </c>
      <c r="Q729" t="s">
        <v>55</v>
      </c>
      <c r="R729" t="s">
        <v>394</v>
      </c>
      <c r="S729">
        <v>72903</v>
      </c>
      <c r="T729">
        <v>8</v>
      </c>
      <c r="U729">
        <f t="shared" si="33"/>
        <v>6</v>
      </c>
      <c r="V729">
        <f t="shared" si="34"/>
        <v>2024</v>
      </c>
      <c r="W729" t="str">
        <f t="shared" si="35"/>
        <v>2024-6</v>
      </c>
    </row>
    <row r="730" spans="16:23" x14ac:dyDescent="0.25">
      <c r="P730" t="s">
        <v>8</v>
      </c>
      <c r="Q730" t="s">
        <v>41</v>
      </c>
      <c r="R730" t="s">
        <v>394</v>
      </c>
      <c r="S730">
        <v>17317</v>
      </c>
      <c r="T730">
        <v>10</v>
      </c>
      <c r="U730">
        <f t="shared" si="33"/>
        <v>6</v>
      </c>
      <c r="V730">
        <f t="shared" si="34"/>
        <v>2024</v>
      </c>
      <c r="W730" t="str">
        <f t="shared" si="35"/>
        <v>2024-6</v>
      </c>
    </row>
    <row r="731" spans="16:23" x14ac:dyDescent="0.25">
      <c r="P731" t="s">
        <v>27</v>
      </c>
      <c r="Q731" t="s">
        <v>126</v>
      </c>
      <c r="R731" t="s">
        <v>394</v>
      </c>
      <c r="S731">
        <v>90540</v>
      </c>
      <c r="T731">
        <v>1</v>
      </c>
      <c r="U731">
        <f t="shared" si="33"/>
        <v>6</v>
      </c>
      <c r="V731">
        <f t="shared" si="34"/>
        <v>2024</v>
      </c>
      <c r="W731" t="str">
        <f t="shared" si="35"/>
        <v>2024-6</v>
      </c>
    </row>
    <row r="732" spans="16:23" x14ac:dyDescent="0.25">
      <c r="P732" t="s">
        <v>45</v>
      </c>
      <c r="Q732" t="s">
        <v>209</v>
      </c>
      <c r="R732" t="s">
        <v>394</v>
      </c>
      <c r="S732">
        <v>34578</v>
      </c>
      <c r="T732">
        <v>0</v>
      </c>
      <c r="U732">
        <f t="shared" si="33"/>
        <v>6</v>
      </c>
      <c r="V732">
        <f t="shared" si="34"/>
        <v>2024</v>
      </c>
      <c r="W732" t="str">
        <f t="shared" si="35"/>
        <v>2024-6</v>
      </c>
    </row>
    <row r="733" spans="16:23" x14ac:dyDescent="0.25">
      <c r="P733" t="s">
        <v>25</v>
      </c>
      <c r="Q733" t="s">
        <v>137</v>
      </c>
      <c r="R733" t="s">
        <v>394</v>
      </c>
      <c r="S733">
        <v>91543</v>
      </c>
      <c r="T733">
        <v>7</v>
      </c>
      <c r="U733">
        <f t="shared" si="33"/>
        <v>6</v>
      </c>
      <c r="V733">
        <f t="shared" si="34"/>
        <v>2024</v>
      </c>
      <c r="W733" t="str">
        <f t="shared" si="35"/>
        <v>2024-6</v>
      </c>
    </row>
    <row r="734" spans="16:23" x14ac:dyDescent="0.25">
      <c r="P734" t="s">
        <v>18</v>
      </c>
      <c r="Q734" t="s">
        <v>33</v>
      </c>
      <c r="R734" t="s">
        <v>394</v>
      </c>
      <c r="S734">
        <v>17476</v>
      </c>
      <c r="T734">
        <v>7</v>
      </c>
      <c r="U734">
        <f t="shared" si="33"/>
        <v>6</v>
      </c>
      <c r="V734">
        <f t="shared" si="34"/>
        <v>2024</v>
      </c>
      <c r="W734" t="str">
        <f t="shared" si="35"/>
        <v>2024-6</v>
      </c>
    </row>
    <row r="735" spans="16:23" x14ac:dyDescent="0.25">
      <c r="P735" t="s">
        <v>30</v>
      </c>
      <c r="Q735" t="s">
        <v>194</v>
      </c>
      <c r="R735" t="s">
        <v>394</v>
      </c>
      <c r="S735">
        <v>69009</v>
      </c>
      <c r="T735">
        <v>8</v>
      </c>
      <c r="U735">
        <f t="shared" si="33"/>
        <v>6</v>
      </c>
      <c r="V735">
        <f t="shared" si="34"/>
        <v>2024</v>
      </c>
      <c r="W735" t="str">
        <f t="shared" si="35"/>
        <v>2024-6</v>
      </c>
    </row>
    <row r="736" spans="16:23" x14ac:dyDescent="0.25">
      <c r="P736" t="s">
        <v>18</v>
      </c>
      <c r="Q736" t="s">
        <v>395</v>
      </c>
      <c r="R736" t="s">
        <v>396</v>
      </c>
      <c r="S736">
        <v>80655</v>
      </c>
      <c r="T736">
        <v>8</v>
      </c>
      <c r="U736">
        <f t="shared" si="33"/>
        <v>6</v>
      </c>
      <c r="V736">
        <f t="shared" si="34"/>
        <v>2024</v>
      </c>
      <c r="W736" t="str">
        <f t="shared" si="35"/>
        <v>2024-6</v>
      </c>
    </row>
    <row r="737" spans="16:23" x14ac:dyDescent="0.25">
      <c r="P737" t="s">
        <v>47</v>
      </c>
      <c r="Q737" t="s">
        <v>157</v>
      </c>
      <c r="R737" t="s">
        <v>396</v>
      </c>
      <c r="S737">
        <v>94796</v>
      </c>
      <c r="T737">
        <v>7</v>
      </c>
      <c r="U737">
        <f t="shared" si="33"/>
        <v>6</v>
      </c>
      <c r="V737">
        <f t="shared" si="34"/>
        <v>2024</v>
      </c>
      <c r="W737" t="str">
        <f t="shared" si="35"/>
        <v>2024-6</v>
      </c>
    </row>
    <row r="738" spans="16:23" x14ac:dyDescent="0.25">
      <c r="P738" t="s">
        <v>18</v>
      </c>
      <c r="Q738" t="s">
        <v>157</v>
      </c>
      <c r="R738" t="s">
        <v>396</v>
      </c>
      <c r="S738">
        <v>94973</v>
      </c>
      <c r="T738">
        <v>3</v>
      </c>
      <c r="U738">
        <f t="shared" si="33"/>
        <v>6</v>
      </c>
      <c r="V738">
        <f t="shared" si="34"/>
        <v>2024</v>
      </c>
      <c r="W738" t="str">
        <f t="shared" si="35"/>
        <v>2024-6</v>
      </c>
    </row>
    <row r="739" spans="16:23" x14ac:dyDescent="0.25">
      <c r="P739" t="s">
        <v>8</v>
      </c>
      <c r="Q739" t="s">
        <v>53</v>
      </c>
      <c r="R739" t="s">
        <v>396</v>
      </c>
      <c r="S739">
        <v>58694</v>
      </c>
      <c r="T739">
        <v>7</v>
      </c>
      <c r="U739">
        <f t="shared" si="33"/>
        <v>6</v>
      </c>
      <c r="V739">
        <f t="shared" si="34"/>
        <v>2024</v>
      </c>
      <c r="W739" t="str">
        <f t="shared" si="35"/>
        <v>2024-6</v>
      </c>
    </row>
    <row r="740" spans="16:23" x14ac:dyDescent="0.25">
      <c r="P740" t="s">
        <v>47</v>
      </c>
      <c r="Q740" t="s">
        <v>107</v>
      </c>
      <c r="R740" t="s">
        <v>397</v>
      </c>
      <c r="S740">
        <v>95450</v>
      </c>
      <c r="T740">
        <v>2</v>
      </c>
      <c r="U740">
        <f t="shared" si="33"/>
        <v>6</v>
      </c>
      <c r="V740">
        <f t="shared" si="34"/>
        <v>2024</v>
      </c>
      <c r="W740" t="str">
        <f t="shared" si="35"/>
        <v>2024-6</v>
      </c>
    </row>
    <row r="741" spans="16:23" x14ac:dyDescent="0.25">
      <c r="P741" t="s">
        <v>5</v>
      </c>
      <c r="Q741" t="s">
        <v>363</v>
      </c>
      <c r="R741" t="s">
        <v>397</v>
      </c>
      <c r="S741">
        <v>24745</v>
      </c>
      <c r="T741">
        <v>3</v>
      </c>
      <c r="U741">
        <f t="shared" si="33"/>
        <v>6</v>
      </c>
      <c r="V741">
        <f t="shared" si="34"/>
        <v>2024</v>
      </c>
      <c r="W741" t="str">
        <f t="shared" si="35"/>
        <v>2024-6</v>
      </c>
    </row>
    <row r="742" spans="16:23" x14ac:dyDescent="0.25">
      <c r="P742" t="s">
        <v>45</v>
      </c>
      <c r="Q742" t="s">
        <v>142</v>
      </c>
      <c r="R742" t="s">
        <v>397</v>
      </c>
      <c r="S742">
        <v>98077</v>
      </c>
      <c r="T742">
        <v>5</v>
      </c>
      <c r="U742">
        <f t="shared" si="33"/>
        <v>6</v>
      </c>
      <c r="V742">
        <f t="shared" si="34"/>
        <v>2024</v>
      </c>
      <c r="W742" t="str">
        <f t="shared" si="35"/>
        <v>2024-6</v>
      </c>
    </row>
    <row r="743" spans="16:23" x14ac:dyDescent="0.25">
      <c r="P743" t="s">
        <v>30</v>
      </c>
      <c r="Q743" t="s">
        <v>85</v>
      </c>
      <c r="R743" t="s">
        <v>397</v>
      </c>
      <c r="S743">
        <v>97002</v>
      </c>
      <c r="T743">
        <v>2</v>
      </c>
      <c r="U743">
        <f t="shared" si="33"/>
        <v>6</v>
      </c>
      <c r="V743">
        <f t="shared" si="34"/>
        <v>2024</v>
      </c>
      <c r="W743" t="str">
        <f t="shared" si="35"/>
        <v>2024-6</v>
      </c>
    </row>
    <row r="744" spans="16:23" x14ac:dyDescent="0.25">
      <c r="P744" t="s">
        <v>38</v>
      </c>
      <c r="Q744" t="s">
        <v>89</v>
      </c>
      <c r="R744" t="s">
        <v>398</v>
      </c>
      <c r="S744">
        <v>69205</v>
      </c>
      <c r="T744">
        <v>4</v>
      </c>
      <c r="U744">
        <f t="shared" si="33"/>
        <v>6</v>
      </c>
      <c r="V744">
        <f t="shared" si="34"/>
        <v>2024</v>
      </c>
      <c r="W744" t="str">
        <f t="shared" si="35"/>
        <v>2024-6</v>
      </c>
    </row>
    <row r="745" spans="16:23" x14ac:dyDescent="0.25">
      <c r="P745" t="s">
        <v>47</v>
      </c>
      <c r="Q745" t="s">
        <v>289</v>
      </c>
      <c r="R745" t="s">
        <v>398</v>
      </c>
      <c r="S745">
        <v>43456</v>
      </c>
      <c r="T745">
        <v>6</v>
      </c>
      <c r="U745">
        <f t="shared" si="33"/>
        <v>6</v>
      </c>
      <c r="V745">
        <f t="shared" si="34"/>
        <v>2024</v>
      </c>
      <c r="W745" t="str">
        <f t="shared" si="35"/>
        <v>2024-6</v>
      </c>
    </row>
    <row r="746" spans="16:23" x14ac:dyDescent="0.25">
      <c r="P746" t="s">
        <v>47</v>
      </c>
      <c r="Q746" t="s">
        <v>289</v>
      </c>
      <c r="R746" t="s">
        <v>399</v>
      </c>
      <c r="S746">
        <v>20854</v>
      </c>
      <c r="T746">
        <v>8</v>
      </c>
      <c r="U746">
        <f t="shared" si="33"/>
        <v>6</v>
      </c>
      <c r="V746">
        <f t="shared" si="34"/>
        <v>2024</v>
      </c>
      <c r="W746" t="str">
        <f t="shared" si="35"/>
        <v>2024-6</v>
      </c>
    </row>
    <row r="747" spans="16:23" x14ac:dyDescent="0.25">
      <c r="P747" t="s">
        <v>8</v>
      </c>
      <c r="Q747" t="s">
        <v>77</v>
      </c>
      <c r="R747" t="s">
        <v>399</v>
      </c>
      <c r="S747">
        <v>90387</v>
      </c>
      <c r="T747">
        <v>7</v>
      </c>
      <c r="U747">
        <f t="shared" si="33"/>
        <v>6</v>
      </c>
      <c r="V747">
        <f t="shared" si="34"/>
        <v>2024</v>
      </c>
      <c r="W747" t="str">
        <f t="shared" si="35"/>
        <v>2024-6</v>
      </c>
    </row>
    <row r="748" spans="16:23" x14ac:dyDescent="0.25">
      <c r="P748" t="s">
        <v>38</v>
      </c>
      <c r="Q748" t="s">
        <v>20</v>
      </c>
      <c r="R748" t="s">
        <v>399</v>
      </c>
      <c r="S748">
        <v>65604</v>
      </c>
      <c r="T748">
        <v>6</v>
      </c>
      <c r="U748">
        <f t="shared" si="33"/>
        <v>6</v>
      </c>
      <c r="V748">
        <f t="shared" si="34"/>
        <v>2024</v>
      </c>
      <c r="W748" t="str">
        <f t="shared" si="35"/>
        <v>2024-6</v>
      </c>
    </row>
    <row r="749" spans="16:23" x14ac:dyDescent="0.25">
      <c r="P749" t="s">
        <v>10</v>
      </c>
      <c r="Q749" t="s">
        <v>393</v>
      </c>
      <c r="R749" t="s">
        <v>399</v>
      </c>
      <c r="S749">
        <v>28121</v>
      </c>
      <c r="T749">
        <v>5</v>
      </c>
      <c r="U749">
        <f t="shared" si="33"/>
        <v>6</v>
      </c>
      <c r="V749">
        <f t="shared" si="34"/>
        <v>2024</v>
      </c>
      <c r="W749" t="str">
        <f t="shared" si="35"/>
        <v>2024-6</v>
      </c>
    </row>
    <row r="750" spans="16:23" x14ac:dyDescent="0.25">
      <c r="P750" t="s">
        <v>47</v>
      </c>
      <c r="Q750" t="s">
        <v>94</v>
      </c>
      <c r="R750" t="s">
        <v>400</v>
      </c>
      <c r="S750">
        <v>81835</v>
      </c>
      <c r="T750">
        <v>6</v>
      </c>
      <c r="U750">
        <f t="shared" si="33"/>
        <v>6</v>
      </c>
      <c r="V750">
        <f t="shared" si="34"/>
        <v>2024</v>
      </c>
      <c r="W750" t="str">
        <f t="shared" si="35"/>
        <v>2024-6</v>
      </c>
    </row>
    <row r="751" spans="16:23" x14ac:dyDescent="0.25">
      <c r="P751" t="s">
        <v>13</v>
      </c>
      <c r="Q751" t="s">
        <v>114</v>
      </c>
      <c r="R751" t="s">
        <v>400</v>
      </c>
      <c r="S751">
        <v>38885</v>
      </c>
      <c r="T751">
        <v>4</v>
      </c>
      <c r="U751">
        <f t="shared" si="33"/>
        <v>6</v>
      </c>
      <c r="V751">
        <f t="shared" si="34"/>
        <v>2024</v>
      </c>
      <c r="W751" t="str">
        <f t="shared" si="35"/>
        <v>2024-6</v>
      </c>
    </row>
    <row r="752" spans="16:23" x14ac:dyDescent="0.25">
      <c r="P752" t="s">
        <v>18</v>
      </c>
      <c r="Q752" t="s">
        <v>194</v>
      </c>
      <c r="R752" t="s">
        <v>400</v>
      </c>
      <c r="S752">
        <v>26714</v>
      </c>
      <c r="T752">
        <v>1</v>
      </c>
      <c r="U752">
        <f t="shared" si="33"/>
        <v>6</v>
      </c>
      <c r="V752">
        <f t="shared" si="34"/>
        <v>2024</v>
      </c>
      <c r="W752" t="str">
        <f t="shared" si="35"/>
        <v>2024-6</v>
      </c>
    </row>
    <row r="753" spans="16:23" x14ac:dyDescent="0.25">
      <c r="P753" t="s">
        <v>47</v>
      </c>
      <c r="Q753" t="s">
        <v>24</v>
      </c>
      <c r="R753" t="s">
        <v>400</v>
      </c>
      <c r="S753">
        <v>10639</v>
      </c>
      <c r="T753">
        <v>7</v>
      </c>
      <c r="U753">
        <f t="shared" si="33"/>
        <v>6</v>
      </c>
      <c r="V753">
        <f t="shared" si="34"/>
        <v>2024</v>
      </c>
      <c r="W753" t="str">
        <f t="shared" si="35"/>
        <v>2024-6</v>
      </c>
    </row>
    <row r="754" spans="16:23" x14ac:dyDescent="0.25">
      <c r="P754" t="s">
        <v>47</v>
      </c>
      <c r="Q754" t="s">
        <v>270</v>
      </c>
      <c r="R754" t="s">
        <v>400</v>
      </c>
      <c r="S754">
        <v>82789</v>
      </c>
      <c r="T754">
        <v>4</v>
      </c>
      <c r="U754">
        <f t="shared" si="33"/>
        <v>6</v>
      </c>
      <c r="V754">
        <f t="shared" si="34"/>
        <v>2024</v>
      </c>
      <c r="W754" t="str">
        <f t="shared" si="35"/>
        <v>2024-6</v>
      </c>
    </row>
    <row r="755" spans="16:23" x14ac:dyDescent="0.25">
      <c r="P755" t="s">
        <v>16</v>
      </c>
      <c r="Q755" t="s">
        <v>9</v>
      </c>
      <c r="R755" t="s">
        <v>400</v>
      </c>
      <c r="S755">
        <v>67600</v>
      </c>
      <c r="T755">
        <v>5</v>
      </c>
      <c r="U755">
        <f t="shared" si="33"/>
        <v>6</v>
      </c>
      <c r="V755">
        <f t="shared" si="34"/>
        <v>2024</v>
      </c>
      <c r="W755" t="str">
        <f t="shared" si="35"/>
        <v>2024-6</v>
      </c>
    </row>
    <row r="756" spans="16:23" x14ac:dyDescent="0.25">
      <c r="P756" t="s">
        <v>45</v>
      </c>
      <c r="Q756" t="s">
        <v>46</v>
      </c>
      <c r="R756" t="s">
        <v>400</v>
      </c>
      <c r="S756">
        <v>91973</v>
      </c>
      <c r="T756">
        <v>9</v>
      </c>
      <c r="U756">
        <f t="shared" si="33"/>
        <v>6</v>
      </c>
      <c r="V756">
        <f t="shared" si="34"/>
        <v>2024</v>
      </c>
      <c r="W756" t="str">
        <f t="shared" si="35"/>
        <v>2024-6</v>
      </c>
    </row>
    <row r="757" spans="16:23" x14ac:dyDescent="0.25">
      <c r="P757" t="s">
        <v>10</v>
      </c>
      <c r="Q757" t="s">
        <v>187</v>
      </c>
      <c r="R757" t="s">
        <v>401</v>
      </c>
      <c r="S757">
        <v>49288</v>
      </c>
      <c r="T757">
        <v>8</v>
      </c>
      <c r="U757">
        <f t="shared" si="33"/>
        <v>6</v>
      </c>
      <c r="V757">
        <f t="shared" si="34"/>
        <v>2024</v>
      </c>
      <c r="W757" t="str">
        <f t="shared" si="35"/>
        <v>2024-6</v>
      </c>
    </row>
    <row r="758" spans="16:23" x14ac:dyDescent="0.25">
      <c r="P758" t="s">
        <v>38</v>
      </c>
      <c r="Q758" t="s">
        <v>116</v>
      </c>
      <c r="R758" t="s">
        <v>401</v>
      </c>
      <c r="S758">
        <v>81721</v>
      </c>
      <c r="T758">
        <v>4</v>
      </c>
      <c r="U758">
        <f t="shared" si="33"/>
        <v>6</v>
      </c>
      <c r="V758">
        <f t="shared" si="34"/>
        <v>2024</v>
      </c>
      <c r="W758" t="str">
        <f t="shared" si="35"/>
        <v>2024-6</v>
      </c>
    </row>
    <row r="759" spans="16:23" x14ac:dyDescent="0.25">
      <c r="P759" t="s">
        <v>16</v>
      </c>
      <c r="Q759" t="s">
        <v>149</v>
      </c>
      <c r="R759" t="s">
        <v>401</v>
      </c>
      <c r="S759">
        <v>76154</v>
      </c>
      <c r="T759">
        <v>5</v>
      </c>
      <c r="U759">
        <f t="shared" si="33"/>
        <v>6</v>
      </c>
      <c r="V759">
        <f t="shared" si="34"/>
        <v>2024</v>
      </c>
      <c r="W759" t="str">
        <f t="shared" si="35"/>
        <v>2024-6</v>
      </c>
    </row>
    <row r="760" spans="16:23" x14ac:dyDescent="0.25">
      <c r="P760" t="s">
        <v>30</v>
      </c>
      <c r="Q760" t="s">
        <v>59</v>
      </c>
      <c r="R760" t="s">
        <v>401</v>
      </c>
      <c r="S760">
        <v>47775</v>
      </c>
      <c r="T760">
        <v>3</v>
      </c>
      <c r="U760">
        <f t="shared" si="33"/>
        <v>6</v>
      </c>
      <c r="V760">
        <f t="shared" si="34"/>
        <v>2024</v>
      </c>
      <c r="W760" t="str">
        <f t="shared" si="35"/>
        <v>2024-6</v>
      </c>
    </row>
    <row r="761" spans="16:23" x14ac:dyDescent="0.25">
      <c r="P761" t="s">
        <v>38</v>
      </c>
      <c r="Q761" t="s">
        <v>146</v>
      </c>
      <c r="R761" t="s">
        <v>401</v>
      </c>
      <c r="S761">
        <v>47692</v>
      </c>
      <c r="T761">
        <v>7</v>
      </c>
      <c r="U761">
        <f t="shared" si="33"/>
        <v>6</v>
      </c>
      <c r="V761">
        <f t="shared" si="34"/>
        <v>2024</v>
      </c>
      <c r="W761" t="str">
        <f t="shared" si="35"/>
        <v>2024-6</v>
      </c>
    </row>
    <row r="762" spans="16:23" x14ac:dyDescent="0.25">
      <c r="P762" t="s">
        <v>8</v>
      </c>
      <c r="Q762" t="s">
        <v>186</v>
      </c>
      <c r="R762" t="s">
        <v>401</v>
      </c>
      <c r="S762">
        <v>61715</v>
      </c>
      <c r="T762">
        <v>6</v>
      </c>
      <c r="U762">
        <f t="shared" si="33"/>
        <v>6</v>
      </c>
      <c r="V762">
        <f t="shared" si="34"/>
        <v>2024</v>
      </c>
      <c r="W762" t="str">
        <f t="shared" si="35"/>
        <v>2024-6</v>
      </c>
    </row>
    <row r="763" spans="16:23" x14ac:dyDescent="0.25">
      <c r="P763" t="s">
        <v>30</v>
      </c>
      <c r="Q763" t="s">
        <v>33</v>
      </c>
      <c r="R763" t="s">
        <v>402</v>
      </c>
      <c r="S763">
        <v>74876</v>
      </c>
      <c r="T763">
        <v>9</v>
      </c>
      <c r="U763">
        <f t="shared" si="33"/>
        <v>6</v>
      </c>
      <c r="V763">
        <f t="shared" si="34"/>
        <v>2024</v>
      </c>
      <c r="W763" t="str">
        <f t="shared" si="35"/>
        <v>2024-6</v>
      </c>
    </row>
    <row r="764" spans="16:23" x14ac:dyDescent="0.25">
      <c r="P764" t="s">
        <v>38</v>
      </c>
      <c r="Q764" t="s">
        <v>247</v>
      </c>
      <c r="R764" t="s">
        <v>402</v>
      </c>
      <c r="S764">
        <v>45109</v>
      </c>
      <c r="T764">
        <v>1</v>
      </c>
      <c r="U764">
        <f t="shared" si="33"/>
        <v>6</v>
      </c>
      <c r="V764">
        <f t="shared" si="34"/>
        <v>2024</v>
      </c>
      <c r="W764" t="str">
        <f t="shared" si="35"/>
        <v>2024-6</v>
      </c>
    </row>
    <row r="765" spans="16:23" x14ac:dyDescent="0.25">
      <c r="P765" t="s">
        <v>10</v>
      </c>
      <c r="Q765" t="s">
        <v>153</v>
      </c>
      <c r="R765" t="s">
        <v>402</v>
      </c>
      <c r="S765">
        <v>11257</v>
      </c>
      <c r="T765">
        <v>8</v>
      </c>
      <c r="U765">
        <f t="shared" si="33"/>
        <v>6</v>
      </c>
      <c r="V765">
        <f t="shared" si="34"/>
        <v>2024</v>
      </c>
      <c r="W765" t="str">
        <f t="shared" si="35"/>
        <v>2024-6</v>
      </c>
    </row>
    <row r="766" spans="16:23" x14ac:dyDescent="0.25">
      <c r="P766" t="s">
        <v>18</v>
      </c>
      <c r="Q766" t="s">
        <v>215</v>
      </c>
      <c r="R766" t="s">
        <v>402</v>
      </c>
      <c r="S766">
        <v>60501</v>
      </c>
      <c r="T766">
        <v>7</v>
      </c>
      <c r="U766">
        <f t="shared" si="33"/>
        <v>6</v>
      </c>
      <c r="V766">
        <f t="shared" si="34"/>
        <v>2024</v>
      </c>
      <c r="W766" t="str">
        <f t="shared" si="35"/>
        <v>2024-6</v>
      </c>
    </row>
    <row r="767" spans="16:23" x14ac:dyDescent="0.25">
      <c r="P767" t="s">
        <v>8</v>
      </c>
      <c r="Q767" t="s">
        <v>300</v>
      </c>
      <c r="R767" t="s">
        <v>403</v>
      </c>
      <c r="S767">
        <v>19182</v>
      </c>
      <c r="T767">
        <v>8</v>
      </c>
      <c r="U767">
        <f t="shared" si="33"/>
        <v>6</v>
      </c>
      <c r="V767">
        <f t="shared" si="34"/>
        <v>2024</v>
      </c>
      <c r="W767" t="str">
        <f t="shared" si="35"/>
        <v>2024-6</v>
      </c>
    </row>
    <row r="768" spans="16:23" x14ac:dyDescent="0.25">
      <c r="P768" t="s">
        <v>10</v>
      </c>
      <c r="Q768" t="s">
        <v>32</v>
      </c>
      <c r="R768" t="s">
        <v>403</v>
      </c>
      <c r="S768">
        <v>33561</v>
      </c>
      <c r="T768">
        <v>4</v>
      </c>
      <c r="U768">
        <f t="shared" si="33"/>
        <v>6</v>
      </c>
      <c r="V768">
        <f t="shared" si="34"/>
        <v>2024</v>
      </c>
      <c r="W768" t="str">
        <f t="shared" si="35"/>
        <v>2024-6</v>
      </c>
    </row>
    <row r="769" spans="16:23" x14ac:dyDescent="0.25">
      <c r="P769" t="s">
        <v>18</v>
      </c>
      <c r="Q769" t="s">
        <v>252</v>
      </c>
      <c r="R769" t="s">
        <v>403</v>
      </c>
      <c r="S769">
        <v>40377</v>
      </c>
      <c r="T769">
        <v>6</v>
      </c>
      <c r="U769">
        <f t="shared" si="33"/>
        <v>6</v>
      </c>
      <c r="V769">
        <f t="shared" si="34"/>
        <v>2024</v>
      </c>
      <c r="W769" t="str">
        <f t="shared" si="35"/>
        <v>2024-6</v>
      </c>
    </row>
    <row r="770" spans="16:23" x14ac:dyDescent="0.25">
      <c r="P770" t="s">
        <v>45</v>
      </c>
      <c r="Q770" t="s">
        <v>73</v>
      </c>
      <c r="R770" t="s">
        <v>403</v>
      </c>
      <c r="S770">
        <v>17538</v>
      </c>
      <c r="T770">
        <v>2</v>
      </c>
      <c r="U770">
        <f t="shared" si="33"/>
        <v>6</v>
      </c>
      <c r="V770">
        <f t="shared" si="34"/>
        <v>2024</v>
      </c>
      <c r="W770" t="str">
        <f t="shared" si="35"/>
        <v>2024-6</v>
      </c>
    </row>
    <row r="771" spans="16:23" x14ac:dyDescent="0.25">
      <c r="P771" t="s">
        <v>13</v>
      </c>
      <c r="Q771" t="s">
        <v>184</v>
      </c>
      <c r="R771" t="s">
        <v>404</v>
      </c>
      <c r="S771">
        <v>20817</v>
      </c>
      <c r="T771">
        <v>4</v>
      </c>
      <c r="U771">
        <f t="shared" ref="U771:U834" si="36">MONTH(R771)</f>
        <v>6</v>
      </c>
      <c r="V771">
        <f t="shared" ref="V771:V834" si="37">YEAR(R771)</f>
        <v>2024</v>
      </c>
      <c r="W771" t="str">
        <f t="shared" ref="W771:W834" si="38">V771&amp;"-"&amp;U771</f>
        <v>2024-6</v>
      </c>
    </row>
    <row r="772" spans="16:23" x14ac:dyDescent="0.25">
      <c r="P772" t="s">
        <v>47</v>
      </c>
      <c r="Q772" t="s">
        <v>298</v>
      </c>
      <c r="R772" t="s">
        <v>404</v>
      </c>
      <c r="S772">
        <v>44978</v>
      </c>
      <c r="T772">
        <v>5</v>
      </c>
      <c r="U772">
        <f t="shared" si="36"/>
        <v>6</v>
      </c>
      <c r="V772">
        <f t="shared" si="37"/>
        <v>2024</v>
      </c>
      <c r="W772" t="str">
        <f t="shared" si="38"/>
        <v>2024-6</v>
      </c>
    </row>
    <row r="773" spans="16:23" x14ac:dyDescent="0.25">
      <c r="P773" t="s">
        <v>5</v>
      </c>
      <c r="Q773" t="s">
        <v>243</v>
      </c>
      <c r="R773" t="s">
        <v>404</v>
      </c>
      <c r="S773">
        <v>24823</v>
      </c>
      <c r="T773">
        <v>6</v>
      </c>
      <c r="U773">
        <f t="shared" si="36"/>
        <v>6</v>
      </c>
      <c r="V773">
        <f t="shared" si="37"/>
        <v>2024</v>
      </c>
      <c r="W773" t="str">
        <f t="shared" si="38"/>
        <v>2024-6</v>
      </c>
    </row>
    <row r="774" spans="16:23" x14ac:dyDescent="0.25">
      <c r="P774" t="s">
        <v>47</v>
      </c>
      <c r="Q774" t="s">
        <v>32</v>
      </c>
      <c r="R774" t="s">
        <v>404</v>
      </c>
      <c r="S774">
        <v>93394</v>
      </c>
      <c r="T774">
        <v>10</v>
      </c>
      <c r="U774">
        <f t="shared" si="36"/>
        <v>6</v>
      </c>
      <c r="V774">
        <f t="shared" si="37"/>
        <v>2024</v>
      </c>
      <c r="W774" t="str">
        <f t="shared" si="38"/>
        <v>2024-6</v>
      </c>
    </row>
    <row r="775" spans="16:23" x14ac:dyDescent="0.25">
      <c r="P775" t="s">
        <v>25</v>
      </c>
      <c r="Q775" t="s">
        <v>68</v>
      </c>
      <c r="R775" t="s">
        <v>404</v>
      </c>
      <c r="S775">
        <v>67847</v>
      </c>
      <c r="T775">
        <v>9</v>
      </c>
      <c r="U775">
        <f t="shared" si="36"/>
        <v>6</v>
      </c>
      <c r="V775">
        <f t="shared" si="37"/>
        <v>2024</v>
      </c>
      <c r="W775" t="str">
        <f t="shared" si="38"/>
        <v>2024-6</v>
      </c>
    </row>
    <row r="776" spans="16:23" x14ac:dyDescent="0.25">
      <c r="P776" t="s">
        <v>38</v>
      </c>
      <c r="Q776" t="s">
        <v>309</v>
      </c>
      <c r="R776" t="s">
        <v>405</v>
      </c>
      <c r="S776">
        <v>81900</v>
      </c>
      <c r="T776">
        <v>6</v>
      </c>
      <c r="U776">
        <f t="shared" si="36"/>
        <v>6</v>
      </c>
      <c r="V776">
        <f t="shared" si="37"/>
        <v>2024</v>
      </c>
      <c r="W776" t="str">
        <f t="shared" si="38"/>
        <v>2024-6</v>
      </c>
    </row>
    <row r="777" spans="16:23" x14ac:dyDescent="0.25">
      <c r="P777" t="s">
        <v>38</v>
      </c>
      <c r="Q777" t="s">
        <v>152</v>
      </c>
      <c r="R777" t="s">
        <v>405</v>
      </c>
      <c r="S777">
        <v>41777</v>
      </c>
      <c r="T777">
        <v>9</v>
      </c>
      <c r="U777">
        <f t="shared" si="36"/>
        <v>6</v>
      </c>
      <c r="V777">
        <f t="shared" si="37"/>
        <v>2024</v>
      </c>
      <c r="W777" t="str">
        <f t="shared" si="38"/>
        <v>2024-6</v>
      </c>
    </row>
    <row r="778" spans="16:23" x14ac:dyDescent="0.25">
      <c r="P778" t="s">
        <v>30</v>
      </c>
      <c r="Q778" t="s">
        <v>158</v>
      </c>
      <c r="R778" t="s">
        <v>405</v>
      </c>
      <c r="S778">
        <v>36982</v>
      </c>
      <c r="T778">
        <v>9</v>
      </c>
      <c r="U778">
        <f t="shared" si="36"/>
        <v>6</v>
      </c>
      <c r="V778">
        <f t="shared" si="37"/>
        <v>2024</v>
      </c>
      <c r="W778" t="str">
        <f t="shared" si="38"/>
        <v>2024-6</v>
      </c>
    </row>
    <row r="779" spans="16:23" x14ac:dyDescent="0.25">
      <c r="P779" t="s">
        <v>45</v>
      </c>
      <c r="Q779" t="s">
        <v>26</v>
      </c>
      <c r="R779" t="s">
        <v>405</v>
      </c>
      <c r="S779">
        <v>13816</v>
      </c>
      <c r="T779">
        <v>8</v>
      </c>
      <c r="U779">
        <f t="shared" si="36"/>
        <v>6</v>
      </c>
      <c r="V779">
        <f t="shared" si="37"/>
        <v>2024</v>
      </c>
      <c r="W779" t="str">
        <f t="shared" si="38"/>
        <v>2024-6</v>
      </c>
    </row>
    <row r="780" spans="16:23" x14ac:dyDescent="0.25">
      <c r="P780" t="s">
        <v>8</v>
      </c>
      <c r="Q780" t="s">
        <v>239</v>
      </c>
      <c r="R780" t="s">
        <v>405</v>
      </c>
      <c r="S780">
        <v>96463</v>
      </c>
      <c r="T780">
        <v>8</v>
      </c>
      <c r="U780">
        <f t="shared" si="36"/>
        <v>6</v>
      </c>
      <c r="V780">
        <f t="shared" si="37"/>
        <v>2024</v>
      </c>
      <c r="W780" t="str">
        <f t="shared" si="38"/>
        <v>2024-6</v>
      </c>
    </row>
    <row r="781" spans="16:23" x14ac:dyDescent="0.25">
      <c r="P781" t="s">
        <v>47</v>
      </c>
      <c r="Q781" t="s">
        <v>252</v>
      </c>
      <c r="R781" t="s">
        <v>405</v>
      </c>
      <c r="S781">
        <v>87870</v>
      </c>
      <c r="T781">
        <v>7</v>
      </c>
      <c r="U781">
        <f t="shared" si="36"/>
        <v>6</v>
      </c>
      <c r="V781">
        <f t="shared" si="37"/>
        <v>2024</v>
      </c>
      <c r="W781" t="str">
        <f t="shared" si="38"/>
        <v>2024-6</v>
      </c>
    </row>
    <row r="782" spans="16:23" x14ac:dyDescent="0.25">
      <c r="P782" t="s">
        <v>45</v>
      </c>
      <c r="Q782" t="s">
        <v>46</v>
      </c>
      <c r="R782" t="s">
        <v>405</v>
      </c>
      <c r="S782">
        <v>39417</v>
      </c>
      <c r="T782">
        <v>0</v>
      </c>
      <c r="U782">
        <f t="shared" si="36"/>
        <v>6</v>
      </c>
      <c r="V782">
        <f t="shared" si="37"/>
        <v>2024</v>
      </c>
      <c r="W782" t="str">
        <f t="shared" si="38"/>
        <v>2024-6</v>
      </c>
    </row>
    <row r="783" spans="16:23" x14ac:dyDescent="0.25">
      <c r="P783" t="s">
        <v>10</v>
      </c>
      <c r="Q783" t="s">
        <v>90</v>
      </c>
      <c r="R783" t="s">
        <v>405</v>
      </c>
      <c r="S783">
        <v>62880</v>
      </c>
      <c r="T783">
        <v>4</v>
      </c>
      <c r="U783">
        <f t="shared" si="36"/>
        <v>6</v>
      </c>
      <c r="V783">
        <f t="shared" si="37"/>
        <v>2024</v>
      </c>
      <c r="W783" t="str">
        <f t="shared" si="38"/>
        <v>2024-6</v>
      </c>
    </row>
    <row r="784" spans="16:23" x14ac:dyDescent="0.25">
      <c r="P784" t="s">
        <v>25</v>
      </c>
      <c r="Q784" t="s">
        <v>287</v>
      </c>
      <c r="R784" t="s">
        <v>405</v>
      </c>
      <c r="S784">
        <v>65442</v>
      </c>
      <c r="T784">
        <v>8</v>
      </c>
      <c r="U784">
        <f t="shared" si="36"/>
        <v>6</v>
      </c>
      <c r="V784">
        <f t="shared" si="37"/>
        <v>2024</v>
      </c>
      <c r="W784" t="str">
        <f t="shared" si="38"/>
        <v>2024-6</v>
      </c>
    </row>
    <row r="785" spans="16:23" x14ac:dyDescent="0.25">
      <c r="P785" t="s">
        <v>5</v>
      </c>
      <c r="Q785" t="s">
        <v>19</v>
      </c>
      <c r="R785" t="s">
        <v>406</v>
      </c>
      <c r="S785">
        <v>35454</v>
      </c>
      <c r="T785">
        <v>8</v>
      </c>
      <c r="U785">
        <f t="shared" si="36"/>
        <v>6</v>
      </c>
      <c r="V785">
        <f t="shared" si="37"/>
        <v>2024</v>
      </c>
      <c r="W785" t="str">
        <f t="shared" si="38"/>
        <v>2024-6</v>
      </c>
    </row>
    <row r="786" spans="16:23" x14ac:dyDescent="0.25">
      <c r="P786" t="s">
        <v>45</v>
      </c>
      <c r="Q786" t="s">
        <v>119</v>
      </c>
      <c r="R786" t="s">
        <v>406</v>
      </c>
      <c r="S786">
        <v>94535</v>
      </c>
      <c r="T786">
        <v>9</v>
      </c>
      <c r="U786">
        <f t="shared" si="36"/>
        <v>6</v>
      </c>
      <c r="V786">
        <f t="shared" si="37"/>
        <v>2024</v>
      </c>
      <c r="W786" t="str">
        <f t="shared" si="38"/>
        <v>2024-6</v>
      </c>
    </row>
    <row r="787" spans="16:23" x14ac:dyDescent="0.25">
      <c r="P787" t="s">
        <v>27</v>
      </c>
      <c r="Q787" t="s">
        <v>248</v>
      </c>
      <c r="R787" t="s">
        <v>406</v>
      </c>
      <c r="S787">
        <v>10170</v>
      </c>
      <c r="T787">
        <v>5</v>
      </c>
      <c r="U787">
        <f t="shared" si="36"/>
        <v>6</v>
      </c>
      <c r="V787">
        <f t="shared" si="37"/>
        <v>2024</v>
      </c>
      <c r="W787" t="str">
        <f t="shared" si="38"/>
        <v>2024-6</v>
      </c>
    </row>
    <row r="788" spans="16:23" x14ac:dyDescent="0.25">
      <c r="P788" t="s">
        <v>16</v>
      </c>
      <c r="Q788" t="s">
        <v>91</v>
      </c>
      <c r="R788" t="s">
        <v>407</v>
      </c>
      <c r="S788">
        <v>43440</v>
      </c>
      <c r="T788">
        <v>8</v>
      </c>
      <c r="U788">
        <f t="shared" si="36"/>
        <v>6</v>
      </c>
      <c r="V788">
        <f t="shared" si="37"/>
        <v>2024</v>
      </c>
      <c r="W788" t="str">
        <f t="shared" si="38"/>
        <v>2024-6</v>
      </c>
    </row>
    <row r="789" spans="16:23" x14ac:dyDescent="0.25">
      <c r="P789" t="s">
        <v>8</v>
      </c>
      <c r="Q789" t="s">
        <v>214</v>
      </c>
      <c r="R789" t="s">
        <v>407</v>
      </c>
      <c r="S789">
        <v>49391</v>
      </c>
      <c r="T789">
        <v>10</v>
      </c>
      <c r="U789">
        <f t="shared" si="36"/>
        <v>6</v>
      </c>
      <c r="V789">
        <f t="shared" si="37"/>
        <v>2024</v>
      </c>
      <c r="W789" t="str">
        <f t="shared" si="38"/>
        <v>2024-6</v>
      </c>
    </row>
    <row r="790" spans="16:23" x14ac:dyDescent="0.25">
      <c r="P790" t="s">
        <v>25</v>
      </c>
      <c r="Q790" t="s">
        <v>298</v>
      </c>
      <c r="R790" t="s">
        <v>407</v>
      </c>
      <c r="S790">
        <v>18116</v>
      </c>
      <c r="T790">
        <v>2</v>
      </c>
      <c r="U790">
        <f t="shared" si="36"/>
        <v>6</v>
      </c>
      <c r="V790">
        <f t="shared" si="37"/>
        <v>2024</v>
      </c>
      <c r="W790" t="str">
        <f t="shared" si="38"/>
        <v>2024-6</v>
      </c>
    </row>
    <row r="791" spans="16:23" x14ac:dyDescent="0.25">
      <c r="P791" t="s">
        <v>18</v>
      </c>
      <c r="Q791" t="s">
        <v>152</v>
      </c>
      <c r="R791" t="s">
        <v>408</v>
      </c>
      <c r="S791">
        <v>43931</v>
      </c>
      <c r="T791">
        <v>2</v>
      </c>
      <c r="U791">
        <f t="shared" si="36"/>
        <v>6</v>
      </c>
      <c r="V791">
        <f t="shared" si="37"/>
        <v>2024</v>
      </c>
      <c r="W791" t="str">
        <f t="shared" si="38"/>
        <v>2024-6</v>
      </c>
    </row>
    <row r="792" spans="16:23" x14ac:dyDescent="0.25">
      <c r="P792" t="s">
        <v>25</v>
      </c>
      <c r="Q792" t="s">
        <v>188</v>
      </c>
      <c r="R792" t="s">
        <v>408</v>
      </c>
      <c r="S792">
        <v>46742</v>
      </c>
      <c r="T792">
        <v>3</v>
      </c>
      <c r="U792">
        <f t="shared" si="36"/>
        <v>6</v>
      </c>
      <c r="V792">
        <f t="shared" si="37"/>
        <v>2024</v>
      </c>
      <c r="W792" t="str">
        <f t="shared" si="38"/>
        <v>2024-6</v>
      </c>
    </row>
    <row r="793" spans="16:23" x14ac:dyDescent="0.25">
      <c r="P793" t="s">
        <v>16</v>
      </c>
      <c r="Q793" t="s">
        <v>64</v>
      </c>
      <c r="R793" t="s">
        <v>408</v>
      </c>
      <c r="S793">
        <v>47732</v>
      </c>
      <c r="T793">
        <v>7</v>
      </c>
      <c r="U793">
        <f t="shared" si="36"/>
        <v>6</v>
      </c>
      <c r="V793">
        <f t="shared" si="37"/>
        <v>2024</v>
      </c>
      <c r="W793" t="str">
        <f t="shared" si="38"/>
        <v>2024-6</v>
      </c>
    </row>
    <row r="794" spans="16:23" x14ac:dyDescent="0.25">
      <c r="P794" t="s">
        <v>5</v>
      </c>
      <c r="Q794" t="s">
        <v>41</v>
      </c>
      <c r="R794" t="s">
        <v>408</v>
      </c>
      <c r="S794">
        <v>72672</v>
      </c>
      <c r="T794">
        <v>5</v>
      </c>
      <c r="U794">
        <f t="shared" si="36"/>
        <v>6</v>
      </c>
      <c r="V794">
        <f t="shared" si="37"/>
        <v>2024</v>
      </c>
      <c r="W794" t="str">
        <f t="shared" si="38"/>
        <v>2024-6</v>
      </c>
    </row>
    <row r="795" spans="16:23" x14ac:dyDescent="0.25">
      <c r="P795" t="s">
        <v>10</v>
      </c>
      <c r="Q795" t="s">
        <v>37</v>
      </c>
      <c r="R795" t="s">
        <v>408</v>
      </c>
      <c r="S795">
        <v>41159</v>
      </c>
      <c r="T795">
        <v>9</v>
      </c>
      <c r="U795">
        <f t="shared" si="36"/>
        <v>6</v>
      </c>
      <c r="V795">
        <f t="shared" si="37"/>
        <v>2024</v>
      </c>
      <c r="W795" t="str">
        <f t="shared" si="38"/>
        <v>2024-6</v>
      </c>
    </row>
    <row r="796" spans="16:23" x14ac:dyDescent="0.25">
      <c r="P796" t="s">
        <v>8</v>
      </c>
      <c r="Q796" t="s">
        <v>9</v>
      </c>
      <c r="R796" t="s">
        <v>408</v>
      </c>
      <c r="S796">
        <v>54105</v>
      </c>
      <c r="T796">
        <v>8</v>
      </c>
      <c r="U796">
        <f t="shared" si="36"/>
        <v>6</v>
      </c>
      <c r="V796">
        <f t="shared" si="37"/>
        <v>2024</v>
      </c>
      <c r="W796" t="str">
        <f t="shared" si="38"/>
        <v>2024-6</v>
      </c>
    </row>
    <row r="797" spans="16:23" x14ac:dyDescent="0.25">
      <c r="P797" t="s">
        <v>45</v>
      </c>
      <c r="Q797" t="s">
        <v>28</v>
      </c>
      <c r="R797" t="s">
        <v>408</v>
      </c>
      <c r="S797">
        <v>32941</v>
      </c>
      <c r="T797">
        <v>8</v>
      </c>
      <c r="U797">
        <f t="shared" si="36"/>
        <v>6</v>
      </c>
      <c r="V797">
        <f t="shared" si="37"/>
        <v>2024</v>
      </c>
      <c r="W797" t="str">
        <f t="shared" si="38"/>
        <v>2024-6</v>
      </c>
    </row>
    <row r="798" spans="16:23" x14ac:dyDescent="0.25">
      <c r="P798" t="s">
        <v>27</v>
      </c>
      <c r="Q798" t="s">
        <v>344</v>
      </c>
      <c r="R798" t="s">
        <v>409</v>
      </c>
      <c r="S798">
        <v>45913</v>
      </c>
      <c r="T798">
        <v>5</v>
      </c>
      <c r="U798">
        <f t="shared" si="36"/>
        <v>6</v>
      </c>
      <c r="V798">
        <f t="shared" si="37"/>
        <v>2024</v>
      </c>
      <c r="W798" t="str">
        <f t="shared" si="38"/>
        <v>2024-6</v>
      </c>
    </row>
    <row r="799" spans="16:23" x14ac:dyDescent="0.25">
      <c r="P799" t="s">
        <v>16</v>
      </c>
      <c r="Q799" t="s">
        <v>96</v>
      </c>
      <c r="R799" t="s">
        <v>409</v>
      </c>
      <c r="S799">
        <v>38473</v>
      </c>
      <c r="T799">
        <v>3</v>
      </c>
      <c r="U799">
        <f t="shared" si="36"/>
        <v>6</v>
      </c>
      <c r="V799">
        <f t="shared" si="37"/>
        <v>2024</v>
      </c>
      <c r="W799" t="str">
        <f t="shared" si="38"/>
        <v>2024-6</v>
      </c>
    </row>
    <row r="800" spans="16:23" x14ac:dyDescent="0.25">
      <c r="P800" t="s">
        <v>30</v>
      </c>
      <c r="Q800" t="s">
        <v>84</v>
      </c>
      <c r="R800" t="s">
        <v>409</v>
      </c>
      <c r="S800">
        <v>16356</v>
      </c>
      <c r="T800">
        <v>4</v>
      </c>
      <c r="U800">
        <f t="shared" si="36"/>
        <v>6</v>
      </c>
      <c r="V800">
        <f t="shared" si="37"/>
        <v>2024</v>
      </c>
      <c r="W800" t="str">
        <f t="shared" si="38"/>
        <v>2024-6</v>
      </c>
    </row>
    <row r="801" spans="16:23" x14ac:dyDescent="0.25">
      <c r="P801" t="s">
        <v>8</v>
      </c>
      <c r="Q801" t="s">
        <v>82</v>
      </c>
      <c r="R801" t="s">
        <v>410</v>
      </c>
      <c r="S801">
        <v>55502</v>
      </c>
      <c r="T801">
        <v>3</v>
      </c>
      <c r="U801">
        <f t="shared" si="36"/>
        <v>6</v>
      </c>
      <c r="V801">
        <f t="shared" si="37"/>
        <v>2024</v>
      </c>
      <c r="W801" t="str">
        <f t="shared" si="38"/>
        <v>2024-6</v>
      </c>
    </row>
    <row r="802" spans="16:23" x14ac:dyDescent="0.25">
      <c r="P802" t="s">
        <v>13</v>
      </c>
      <c r="Q802" t="s">
        <v>205</v>
      </c>
      <c r="R802" t="s">
        <v>410</v>
      </c>
      <c r="S802">
        <v>90543</v>
      </c>
      <c r="T802">
        <v>7</v>
      </c>
      <c r="U802">
        <f t="shared" si="36"/>
        <v>6</v>
      </c>
      <c r="V802">
        <f t="shared" si="37"/>
        <v>2024</v>
      </c>
      <c r="W802" t="str">
        <f t="shared" si="38"/>
        <v>2024-6</v>
      </c>
    </row>
    <row r="803" spans="16:23" x14ac:dyDescent="0.25">
      <c r="P803" t="s">
        <v>27</v>
      </c>
      <c r="Q803" t="s">
        <v>53</v>
      </c>
      <c r="R803" t="s">
        <v>410</v>
      </c>
      <c r="S803">
        <v>28577</v>
      </c>
      <c r="T803">
        <v>7</v>
      </c>
      <c r="U803">
        <f t="shared" si="36"/>
        <v>6</v>
      </c>
      <c r="V803">
        <f t="shared" si="37"/>
        <v>2024</v>
      </c>
      <c r="W803" t="str">
        <f t="shared" si="38"/>
        <v>2024-6</v>
      </c>
    </row>
    <row r="804" spans="16:23" x14ac:dyDescent="0.25">
      <c r="P804" t="s">
        <v>16</v>
      </c>
      <c r="Q804" t="s">
        <v>68</v>
      </c>
      <c r="R804" t="s">
        <v>411</v>
      </c>
      <c r="S804">
        <v>53960</v>
      </c>
      <c r="T804">
        <v>8</v>
      </c>
      <c r="U804">
        <f t="shared" si="36"/>
        <v>6</v>
      </c>
      <c r="V804">
        <f t="shared" si="37"/>
        <v>2024</v>
      </c>
      <c r="W804" t="str">
        <f t="shared" si="38"/>
        <v>2024-6</v>
      </c>
    </row>
    <row r="805" spans="16:23" x14ac:dyDescent="0.25">
      <c r="P805" t="s">
        <v>27</v>
      </c>
      <c r="Q805" t="s">
        <v>325</v>
      </c>
      <c r="R805" t="s">
        <v>412</v>
      </c>
      <c r="S805">
        <v>73139</v>
      </c>
      <c r="T805">
        <v>8</v>
      </c>
      <c r="U805">
        <f t="shared" si="36"/>
        <v>6</v>
      </c>
      <c r="V805">
        <f t="shared" si="37"/>
        <v>2024</v>
      </c>
      <c r="W805" t="str">
        <f t="shared" si="38"/>
        <v>2024-6</v>
      </c>
    </row>
    <row r="806" spans="16:23" x14ac:dyDescent="0.25">
      <c r="P806" t="s">
        <v>16</v>
      </c>
      <c r="Q806" t="s">
        <v>78</v>
      </c>
      <c r="R806" t="s">
        <v>412</v>
      </c>
      <c r="S806">
        <v>83726</v>
      </c>
      <c r="T806">
        <v>6</v>
      </c>
      <c r="U806">
        <f t="shared" si="36"/>
        <v>6</v>
      </c>
      <c r="V806">
        <f t="shared" si="37"/>
        <v>2024</v>
      </c>
      <c r="W806" t="str">
        <f t="shared" si="38"/>
        <v>2024-6</v>
      </c>
    </row>
    <row r="807" spans="16:23" x14ac:dyDescent="0.25">
      <c r="P807" t="s">
        <v>10</v>
      </c>
      <c r="Q807" t="s">
        <v>395</v>
      </c>
      <c r="R807" t="s">
        <v>412</v>
      </c>
      <c r="S807">
        <v>34670</v>
      </c>
      <c r="T807">
        <v>5</v>
      </c>
      <c r="U807">
        <f t="shared" si="36"/>
        <v>6</v>
      </c>
      <c r="V807">
        <f t="shared" si="37"/>
        <v>2024</v>
      </c>
      <c r="W807" t="str">
        <f t="shared" si="38"/>
        <v>2024-6</v>
      </c>
    </row>
    <row r="808" spans="16:23" x14ac:dyDescent="0.25">
      <c r="P808" t="s">
        <v>47</v>
      </c>
      <c r="Q808" t="s">
        <v>307</v>
      </c>
      <c r="R808" t="s">
        <v>413</v>
      </c>
      <c r="S808">
        <v>86620</v>
      </c>
      <c r="T808">
        <v>3</v>
      </c>
      <c r="U808">
        <f t="shared" si="36"/>
        <v>6</v>
      </c>
      <c r="V808">
        <f t="shared" si="37"/>
        <v>2024</v>
      </c>
      <c r="W808" t="str">
        <f t="shared" si="38"/>
        <v>2024-6</v>
      </c>
    </row>
    <row r="809" spans="16:23" x14ac:dyDescent="0.25">
      <c r="P809" t="s">
        <v>27</v>
      </c>
      <c r="Q809" t="s">
        <v>126</v>
      </c>
      <c r="R809" t="s">
        <v>413</v>
      </c>
      <c r="S809">
        <v>27107</v>
      </c>
      <c r="T809">
        <v>6</v>
      </c>
      <c r="U809">
        <f t="shared" si="36"/>
        <v>6</v>
      </c>
      <c r="V809">
        <f t="shared" si="37"/>
        <v>2024</v>
      </c>
      <c r="W809" t="str">
        <f t="shared" si="38"/>
        <v>2024-6</v>
      </c>
    </row>
    <row r="810" spans="16:23" x14ac:dyDescent="0.25">
      <c r="P810" t="s">
        <v>8</v>
      </c>
      <c r="Q810" t="s">
        <v>249</v>
      </c>
      <c r="R810" t="s">
        <v>413</v>
      </c>
      <c r="S810">
        <v>35755</v>
      </c>
      <c r="T810">
        <v>7</v>
      </c>
      <c r="U810">
        <f t="shared" si="36"/>
        <v>6</v>
      </c>
      <c r="V810">
        <f t="shared" si="37"/>
        <v>2024</v>
      </c>
      <c r="W810" t="str">
        <f t="shared" si="38"/>
        <v>2024-6</v>
      </c>
    </row>
    <row r="811" spans="16:23" x14ac:dyDescent="0.25">
      <c r="P811" t="s">
        <v>30</v>
      </c>
      <c r="Q811" t="s">
        <v>142</v>
      </c>
      <c r="R811" t="s">
        <v>414</v>
      </c>
      <c r="S811">
        <v>78827</v>
      </c>
      <c r="T811">
        <v>10</v>
      </c>
      <c r="U811">
        <f t="shared" si="36"/>
        <v>6</v>
      </c>
      <c r="V811">
        <f t="shared" si="37"/>
        <v>2024</v>
      </c>
      <c r="W811" t="str">
        <f t="shared" si="38"/>
        <v>2024-6</v>
      </c>
    </row>
    <row r="812" spans="16:23" x14ac:dyDescent="0.25">
      <c r="P812" t="s">
        <v>13</v>
      </c>
      <c r="Q812" t="s">
        <v>19</v>
      </c>
      <c r="R812" t="s">
        <v>414</v>
      </c>
      <c r="S812">
        <v>91413</v>
      </c>
      <c r="T812">
        <v>9</v>
      </c>
      <c r="U812">
        <f t="shared" si="36"/>
        <v>6</v>
      </c>
      <c r="V812">
        <f t="shared" si="37"/>
        <v>2024</v>
      </c>
      <c r="W812" t="str">
        <f t="shared" si="38"/>
        <v>2024-6</v>
      </c>
    </row>
    <row r="813" spans="16:23" x14ac:dyDescent="0.25">
      <c r="P813" t="s">
        <v>13</v>
      </c>
      <c r="Q813" t="s">
        <v>184</v>
      </c>
      <c r="R813" t="s">
        <v>414</v>
      </c>
      <c r="S813">
        <v>41489</v>
      </c>
      <c r="T813">
        <v>7</v>
      </c>
      <c r="U813">
        <f t="shared" si="36"/>
        <v>6</v>
      </c>
      <c r="V813">
        <f t="shared" si="37"/>
        <v>2024</v>
      </c>
      <c r="W813" t="str">
        <f t="shared" si="38"/>
        <v>2024-6</v>
      </c>
    </row>
    <row r="814" spans="16:23" x14ac:dyDescent="0.25">
      <c r="P814" t="s">
        <v>13</v>
      </c>
      <c r="Q814" t="s">
        <v>214</v>
      </c>
      <c r="R814" t="s">
        <v>415</v>
      </c>
      <c r="S814">
        <v>77456</v>
      </c>
      <c r="T814">
        <v>5</v>
      </c>
      <c r="U814">
        <f t="shared" si="36"/>
        <v>7</v>
      </c>
      <c r="V814">
        <f t="shared" si="37"/>
        <v>2024</v>
      </c>
      <c r="W814" t="str">
        <f t="shared" si="38"/>
        <v>2024-7</v>
      </c>
    </row>
    <row r="815" spans="16:23" x14ac:dyDescent="0.25">
      <c r="P815" t="s">
        <v>16</v>
      </c>
      <c r="Q815" t="s">
        <v>151</v>
      </c>
      <c r="R815" t="s">
        <v>415</v>
      </c>
      <c r="S815">
        <v>47885</v>
      </c>
      <c r="T815">
        <v>9</v>
      </c>
      <c r="U815">
        <f t="shared" si="36"/>
        <v>7</v>
      </c>
      <c r="V815">
        <f t="shared" si="37"/>
        <v>2024</v>
      </c>
      <c r="W815" t="str">
        <f t="shared" si="38"/>
        <v>2024-7</v>
      </c>
    </row>
    <row r="816" spans="16:23" x14ac:dyDescent="0.25">
      <c r="P816" t="s">
        <v>25</v>
      </c>
      <c r="Q816" t="s">
        <v>307</v>
      </c>
      <c r="R816" t="s">
        <v>415</v>
      </c>
      <c r="S816">
        <v>52963</v>
      </c>
      <c r="T816">
        <v>5</v>
      </c>
      <c r="U816">
        <f t="shared" si="36"/>
        <v>7</v>
      </c>
      <c r="V816">
        <f t="shared" si="37"/>
        <v>2024</v>
      </c>
      <c r="W816" t="str">
        <f t="shared" si="38"/>
        <v>2024-7</v>
      </c>
    </row>
    <row r="817" spans="16:23" x14ac:dyDescent="0.25">
      <c r="P817" t="s">
        <v>25</v>
      </c>
      <c r="Q817" t="s">
        <v>332</v>
      </c>
      <c r="R817" t="s">
        <v>415</v>
      </c>
      <c r="S817">
        <v>18778</v>
      </c>
      <c r="T817">
        <v>7</v>
      </c>
      <c r="U817">
        <f t="shared" si="36"/>
        <v>7</v>
      </c>
      <c r="V817">
        <f t="shared" si="37"/>
        <v>2024</v>
      </c>
      <c r="W817" t="str">
        <f t="shared" si="38"/>
        <v>2024-7</v>
      </c>
    </row>
    <row r="818" spans="16:23" x14ac:dyDescent="0.25">
      <c r="P818" t="s">
        <v>5</v>
      </c>
      <c r="Q818" t="s">
        <v>49</v>
      </c>
      <c r="R818" t="s">
        <v>415</v>
      </c>
      <c r="S818">
        <v>77790</v>
      </c>
      <c r="T818">
        <v>2</v>
      </c>
      <c r="U818">
        <f t="shared" si="36"/>
        <v>7</v>
      </c>
      <c r="V818">
        <f t="shared" si="37"/>
        <v>2024</v>
      </c>
      <c r="W818" t="str">
        <f t="shared" si="38"/>
        <v>2024-7</v>
      </c>
    </row>
    <row r="819" spans="16:23" x14ac:dyDescent="0.25">
      <c r="P819" t="s">
        <v>16</v>
      </c>
      <c r="Q819" t="s">
        <v>106</v>
      </c>
      <c r="R819" t="s">
        <v>415</v>
      </c>
      <c r="S819">
        <v>33898</v>
      </c>
      <c r="T819">
        <v>9</v>
      </c>
      <c r="U819">
        <f t="shared" si="36"/>
        <v>7</v>
      </c>
      <c r="V819">
        <f t="shared" si="37"/>
        <v>2024</v>
      </c>
      <c r="W819" t="str">
        <f t="shared" si="38"/>
        <v>2024-7</v>
      </c>
    </row>
    <row r="820" spans="16:23" x14ac:dyDescent="0.25">
      <c r="P820" t="s">
        <v>13</v>
      </c>
      <c r="Q820" t="s">
        <v>82</v>
      </c>
      <c r="R820" t="s">
        <v>415</v>
      </c>
      <c r="S820">
        <v>78647</v>
      </c>
      <c r="T820">
        <v>4</v>
      </c>
      <c r="U820">
        <f t="shared" si="36"/>
        <v>7</v>
      </c>
      <c r="V820">
        <f t="shared" si="37"/>
        <v>2024</v>
      </c>
      <c r="W820" t="str">
        <f t="shared" si="38"/>
        <v>2024-7</v>
      </c>
    </row>
    <row r="821" spans="16:23" x14ac:dyDescent="0.25">
      <c r="P821" t="s">
        <v>45</v>
      </c>
      <c r="Q821" t="s">
        <v>105</v>
      </c>
      <c r="R821" t="s">
        <v>415</v>
      </c>
      <c r="S821">
        <v>32727</v>
      </c>
      <c r="T821">
        <v>8</v>
      </c>
      <c r="U821">
        <f t="shared" si="36"/>
        <v>7</v>
      </c>
      <c r="V821">
        <f t="shared" si="37"/>
        <v>2024</v>
      </c>
      <c r="W821" t="str">
        <f t="shared" si="38"/>
        <v>2024-7</v>
      </c>
    </row>
    <row r="822" spans="16:23" x14ac:dyDescent="0.25">
      <c r="P822" t="s">
        <v>30</v>
      </c>
      <c r="Q822" t="s">
        <v>243</v>
      </c>
      <c r="R822" t="s">
        <v>415</v>
      </c>
      <c r="S822">
        <v>69766</v>
      </c>
      <c r="T822">
        <v>1</v>
      </c>
      <c r="U822">
        <f t="shared" si="36"/>
        <v>7</v>
      </c>
      <c r="V822">
        <f t="shared" si="37"/>
        <v>2024</v>
      </c>
      <c r="W822" t="str">
        <f t="shared" si="38"/>
        <v>2024-7</v>
      </c>
    </row>
    <row r="823" spans="16:23" x14ac:dyDescent="0.25">
      <c r="P823" t="s">
        <v>10</v>
      </c>
      <c r="Q823" t="s">
        <v>231</v>
      </c>
      <c r="R823" t="s">
        <v>415</v>
      </c>
      <c r="S823">
        <v>62935</v>
      </c>
      <c r="T823">
        <v>5</v>
      </c>
      <c r="U823">
        <f t="shared" si="36"/>
        <v>7</v>
      </c>
      <c r="V823">
        <f t="shared" si="37"/>
        <v>2024</v>
      </c>
      <c r="W823" t="str">
        <f t="shared" si="38"/>
        <v>2024-7</v>
      </c>
    </row>
    <row r="824" spans="16:23" x14ac:dyDescent="0.25">
      <c r="P824" t="s">
        <v>45</v>
      </c>
      <c r="Q824" t="s">
        <v>338</v>
      </c>
      <c r="R824" t="s">
        <v>416</v>
      </c>
      <c r="S824">
        <v>88832</v>
      </c>
      <c r="T824">
        <v>4</v>
      </c>
      <c r="U824">
        <f t="shared" si="36"/>
        <v>7</v>
      </c>
      <c r="V824">
        <f t="shared" si="37"/>
        <v>2024</v>
      </c>
      <c r="W824" t="str">
        <f t="shared" si="38"/>
        <v>2024-7</v>
      </c>
    </row>
    <row r="825" spans="16:23" x14ac:dyDescent="0.25">
      <c r="P825" t="s">
        <v>30</v>
      </c>
      <c r="Q825" t="s">
        <v>50</v>
      </c>
      <c r="R825" t="s">
        <v>416</v>
      </c>
      <c r="S825">
        <v>45506</v>
      </c>
      <c r="T825">
        <v>0</v>
      </c>
      <c r="U825">
        <f t="shared" si="36"/>
        <v>7</v>
      </c>
      <c r="V825">
        <f t="shared" si="37"/>
        <v>2024</v>
      </c>
      <c r="W825" t="str">
        <f t="shared" si="38"/>
        <v>2024-7</v>
      </c>
    </row>
    <row r="826" spans="16:23" x14ac:dyDescent="0.25">
      <c r="P826" t="s">
        <v>5</v>
      </c>
      <c r="Q826" t="s">
        <v>81</v>
      </c>
      <c r="R826" t="s">
        <v>416</v>
      </c>
      <c r="S826">
        <v>28762</v>
      </c>
      <c r="T826">
        <v>8</v>
      </c>
      <c r="U826">
        <f t="shared" si="36"/>
        <v>7</v>
      </c>
      <c r="V826">
        <f t="shared" si="37"/>
        <v>2024</v>
      </c>
      <c r="W826" t="str">
        <f t="shared" si="38"/>
        <v>2024-7</v>
      </c>
    </row>
    <row r="827" spans="16:23" x14ac:dyDescent="0.25">
      <c r="P827" t="s">
        <v>10</v>
      </c>
      <c r="Q827" t="s">
        <v>139</v>
      </c>
      <c r="R827" t="s">
        <v>416</v>
      </c>
      <c r="S827">
        <v>84692</v>
      </c>
      <c r="T827">
        <v>7</v>
      </c>
      <c r="U827">
        <f t="shared" si="36"/>
        <v>7</v>
      </c>
      <c r="V827">
        <f t="shared" si="37"/>
        <v>2024</v>
      </c>
      <c r="W827" t="str">
        <f t="shared" si="38"/>
        <v>2024-7</v>
      </c>
    </row>
    <row r="828" spans="16:23" x14ac:dyDescent="0.25">
      <c r="P828" t="s">
        <v>13</v>
      </c>
      <c r="Q828" t="s">
        <v>33</v>
      </c>
      <c r="R828" t="s">
        <v>416</v>
      </c>
      <c r="S828">
        <v>69773</v>
      </c>
      <c r="T828">
        <v>8</v>
      </c>
      <c r="U828">
        <f t="shared" si="36"/>
        <v>7</v>
      </c>
      <c r="V828">
        <f t="shared" si="37"/>
        <v>2024</v>
      </c>
      <c r="W828" t="str">
        <f t="shared" si="38"/>
        <v>2024-7</v>
      </c>
    </row>
    <row r="829" spans="16:23" x14ac:dyDescent="0.25">
      <c r="P829" t="s">
        <v>38</v>
      </c>
      <c r="Q829" t="s">
        <v>114</v>
      </c>
      <c r="R829" t="s">
        <v>416</v>
      </c>
      <c r="S829">
        <v>41439</v>
      </c>
      <c r="T829">
        <v>7</v>
      </c>
      <c r="U829">
        <f t="shared" si="36"/>
        <v>7</v>
      </c>
      <c r="V829">
        <f t="shared" si="37"/>
        <v>2024</v>
      </c>
      <c r="W829" t="str">
        <f t="shared" si="38"/>
        <v>2024-7</v>
      </c>
    </row>
    <row r="830" spans="16:23" x14ac:dyDescent="0.25">
      <c r="P830" t="s">
        <v>30</v>
      </c>
      <c r="Q830" t="s">
        <v>243</v>
      </c>
      <c r="R830" t="s">
        <v>417</v>
      </c>
      <c r="S830">
        <v>55212</v>
      </c>
      <c r="T830">
        <v>7</v>
      </c>
      <c r="U830">
        <f t="shared" si="36"/>
        <v>7</v>
      </c>
      <c r="V830">
        <f t="shared" si="37"/>
        <v>2024</v>
      </c>
      <c r="W830" t="str">
        <f t="shared" si="38"/>
        <v>2024-7</v>
      </c>
    </row>
    <row r="831" spans="16:23" x14ac:dyDescent="0.25">
      <c r="P831" t="s">
        <v>27</v>
      </c>
      <c r="Q831" t="s">
        <v>57</v>
      </c>
      <c r="R831" t="s">
        <v>418</v>
      </c>
      <c r="S831">
        <v>64279</v>
      </c>
      <c r="T831">
        <v>9</v>
      </c>
      <c r="U831">
        <f t="shared" si="36"/>
        <v>7</v>
      </c>
      <c r="V831">
        <f t="shared" si="37"/>
        <v>2024</v>
      </c>
      <c r="W831" t="str">
        <f t="shared" si="38"/>
        <v>2024-7</v>
      </c>
    </row>
    <row r="832" spans="16:23" x14ac:dyDescent="0.25">
      <c r="P832" t="s">
        <v>38</v>
      </c>
      <c r="Q832" t="s">
        <v>195</v>
      </c>
      <c r="R832" t="s">
        <v>418</v>
      </c>
      <c r="S832">
        <v>21014</v>
      </c>
      <c r="T832">
        <v>3</v>
      </c>
      <c r="U832">
        <f t="shared" si="36"/>
        <v>7</v>
      </c>
      <c r="V832">
        <f t="shared" si="37"/>
        <v>2024</v>
      </c>
      <c r="W832" t="str">
        <f t="shared" si="38"/>
        <v>2024-7</v>
      </c>
    </row>
    <row r="833" spans="16:23" x14ac:dyDescent="0.25">
      <c r="P833" t="s">
        <v>30</v>
      </c>
      <c r="Q833" t="s">
        <v>141</v>
      </c>
      <c r="R833" t="s">
        <v>418</v>
      </c>
      <c r="S833">
        <v>86403</v>
      </c>
      <c r="T833">
        <v>6</v>
      </c>
      <c r="U833">
        <f t="shared" si="36"/>
        <v>7</v>
      </c>
      <c r="V833">
        <f t="shared" si="37"/>
        <v>2024</v>
      </c>
      <c r="W833" t="str">
        <f t="shared" si="38"/>
        <v>2024-7</v>
      </c>
    </row>
    <row r="834" spans="16:23" x14ac:dyDescent="0.25">
      <c r="P834" t="s">
        <v>5</v>
      </c>
      <c r="Q834" t="s">
        <v>148</v>
      </c>
      <c r="R834" t="s">
        <v>419</v>
      </c>
      <c r="S834">
        <v>62384</v>
      </c>
      <c r="T834">
        <v>3</v>
      </c>
      <c r="U834">
        <f t="shared" si="36"/>
        <v>7</v>
      </c>
      <c r="V834">
        <f t="shared" si="37"/>
        <v>2024</v>
      </c>
      <c r="W834" t="str">
        <f t="shared" si="38"/>
        <v>2024-7</v>
      </c>
    </row>
    <row r="835" spans="16:23" x14ac:dyDescent="0.25">
      <c r="P835" t="s">
        <v>30</v>
      </c>
      <c r="Q835" t="s">
        <v>22</v>
      </c>
      <c r="R835" t="s">
        <v>419</v>
      </c>
      <c r="S835">
        <v>87177</v>
      </c>
      <c r="T835">
        <v>7</v>
      </c>
      <c r="U835">
        <f t="shared" ref="U835:U898" si="39">MONTH(R835)</f>
        <v>7</v>
      </c>
      <c r="V835">
        <f t="shared" ref="V835:V898" si="40">YEAR(R835)</f>
        <v>2024</v>
      </c>
      <c r="W835" t="str">
        <f t="shared" ref="W835:W898" si="41">V835&amp;"-"&amp;U835</f>
        <v>2024-7</v>
      </c>
    </row>
    <row r="836" spans="16:23" x14ac:dyDescent="0.25">
      <c r="P836" t="s">
        <v>45</v>
      </c>
      <c r="Q836" t="s">
        <v>6</v>
      </c>
      <c r="R836" t="s">
        <v>420</v>
      </c>
      <c r="S836">
        <v>96631</v>
      </c>
      <c r="T836">
        <v>5</v>
      </c>
      <c r="U836">
        <f t="shared" si="39"/>
        <v>7</v>
      </c>
      <c r="V836">
        <f t="shared" si="40"/>
        <v>2024</v>
      </c>
      <c r="W836" t="str">
        <f t="shared" si="41"/>
        <v>2024-7</v>
      </c>
    </row>
    <row r="837" spans="16:23" x14ac:dyDescent="0.25">
      <c r="P837" t="s">
        <v>10</v>
      </c>
      <c r="Q837" t="s">
        <v>167</v>
      </c>
      <c r="R837" t="s">
        <v>420</v>
      </c>
      <c r="S837">
        <v>83623</v>
      </c>
      <c r="T837">
        <v>6</v>
      </c>
      <c r="U837">
        <f t="shared" si="39"/>
        <v>7</v>
      </c>
      <c r="V837">
        <f t="shared" si="40"/>
        <v>2024</v>
      </c>
      <c r="W837" t="str">
        <f t="shared" si="41"/>
        <v>2024-7</v>
      </c>
    </row>
    <row r="838" spans="16:23" x14ac:dyDescent="0.25">
      <c r="P838" t="s">
        <v>47</v>
      </c>
      <c r="Q838" t="s">
        <v>113</v>
      </c>
      <c r="R838" t="s">
        <v>420</v>
      </c>
      <c r="S838">
        <v>84721</v>
      </c>
      <c r="T838">
        <v>2</v>
      </c>
      <c r="U838">
        <f t="shared" si="39"/>
        <v>7</v>
      </c>
      <c r="V838">
        <f t="shared" si="40"/>
        <v>2024</v>
      </c>
      <c r="W838" t="str">
        <f t="shared" si="41"/>
        <v>2024-7</v>
      </c>
    </row>
    <row r="839" spans="16:23" x14ac:dyDescent="0.25">
      <c r="P839" t="s">
        <v>18</v>
      </c>
      <c r="Q839" t="s">
        <v>264</v>
      </c>
      <c r="R839" t="s">
        <v>420</v>
      </c>
      <c r="S839">
        <v>66632</v>
      </c>
      <c r="T839">
        <v>6</v>
      </c>
      <c r="U839">
        <f t="shared" si="39"/>
        <v>7</v>
      </c>
      <c r="V839">
        <f t="shared" si="40"/>
        <v>2024</v>
      </c>
      <c r="W839" t="str">
        <f t="shared" si="41"/>
        <v>2024-7</v>
      </c>
    </row>
    <row r="840" spans="16:23" x14ac:dyDescent="0.25">
      <c r="P840" t="s">
        <v>45</v>
      </c>
      <c r="Q840" t="s">
        <v>146</v>
      </c>
      <c r="R840" t="s">
        <v>420</v>
      </c>
      <c r="S840">
        <v>89522</v>
      </c>
      <c r="T840">
        <v>8</v>
      </c>
      <c r="U840">
        <f t="shared" si="39"/>
        <v>7</v>
      </c>
      <c r="V840">
        <f t="shared" si="40"/>
        <v>2024</v>
      </c>
      <c r="W840" t="str">
        <f t="shared" si="41"/>
        <v>2024-7</v>
      </c>
    </row>
    <row r="841" spans="16:23" x14ac:dyDescent="0.25">
      <c r="P841" t="s">
        <v>5</v>
      </c>
      <c r="Q841" t="s">
        <v>50</v>
      </c>
      <c r="R841" t="s">
        <v>420</v>
      </c>
      <c r="S841">
        <v>81216</v>
      </c>
      <c r="T841">
        <v>7</v>
      </c>
      <c r="U841">
        <f t="shared" si="39"/>
        <v>7</v>
      </c>
      <c r="V841">
        <f t="shared" si="40"/>
        <v>2024</v>
      </c>
      <c r="W841" t="str">
        <f t="shared" si="41"/>
        <v>2024-7</v>
      </c>
    </row>
    <row r="842" spans="16:23" x14ac:dyDescent="0.25">
      <c r="P842" t="s">
        <v>13</v>
      </c>
      <c r="Q842" t="s">
        <v>125</v>
      </c>
      <c r="R842" t="s">
        <v>421</v>
      </c>
      <c r="S842">
        <v>37556</v>
      </c>
      <c r="T842">
        <v>5</v>
      </c>
      <c r="U842">
        <f t="shared" si="39"/>
        <v>7</v>
      </c>
      <c r="V842">
        <f t="shared" si="40"/>
        <v>2024</v>
      </c>
      <c r="W842" t="str">
        <f t="shared" si="41"/>
        <v>2024-7</v>
      </c>
    </row>
    <row r="843" spans="16:23" x14ac:dyDescent="0.25">
      <c r="P843" t="s">
        <v>8</v>
      </c>
      <c r="Q843" t="s">
        <v>33</v>
      </c>
      <c r="R843" t="s">
        <v>421</v>
      </c>
      <c r="S843">
        <v>45925</v>
      </c>
      <c r="T843">
        <v>2</v>
      </c>
      <c r="U843">
        <f t="shared" si="39"/>
        <v>7</v>
      </c>
      <c r="V843">
        <f t="shared" si="40"/>
        <v>2024</v>
      </c>
      <c r="W843" t="str">
        <f t="shared" si="41"/>
        <v>2024-7</v>
      </c>
    </row>
    <row r="844" spans="16:23" x14ac:dyDescent="0.25">
      <c r="P844" t="s">
        <v>5</v>
      </c>
      <c r="Q844" t="s">
        <v>180</v>
      </c>
      <c r="R844" t="s">
        <v>422</v>
      </c>
      <c r="S844">
        <v>80479</v>
      </c>
      <c r="T844">
        <v>7</v>
      </c>
      <c r="U844">
        <f t="shared" si="39"/>
        <v>7</v>
      </c>
      <c r="V844">
        <f t="shared" si="40"/>
        <v>2024</v>
      </c>
      <c r="W844" t="str">
        <f t="shared" si="41"/>
        <v>2024-7</v>
      </c>
    </row>
    <row r="845" spans="16:23" x14ac:dyDescent="0.25">
      <c r="P845" t="s">
        <v>27</v>
      </c>
      <c r="Q845" t="s">
        <v>363</v>
      </c>
      <c r="R845" t="s">
        <v>422</v>
      </c>
      <c r="S845">
        <v>33415</v>
      </c>
      <c r="T845">
        <v>5</v>
      </c>
      <c r="U845">
        <f t="shared" si="39"/>
        <v>7</v>
      </c>
      <c r="V845">
        <f t="shared" si="40"/>
        <v>2024</v>
      </c>
      <c r="W845" t="str">
        <f t="shared" si="41"/>
        <v>2024-7</v>
      </c>
    </row>
    <row r="846" spans="16:23" x14ac:dyDescent="0.25">
      <c r="P846" t="s">
        <v>18</v>
      </c>
      <c r="Q846" t="s">
        <v>395</v>
      </c>
      <c r="R846" t="s">
        <v>422</v>
      </c>
      <c r="S846">
        <v>28722</v>
      </c>
      <c r="T846">
        <v>7</v>
      </c>
      <c r="U846">
        <f t="shared" si="39"/>
        <v>7</v>
      </c>
      <c r="V846">
        <f t="shared" si="40"/>
        <v>2024</v>
      </c>
      <c r="W846" t="str">
        <f t="shared" si="41"/>
        <v>2024-7</v>
      </c>
    </row>
    <row r="847" spans="16:23" x14ac:dyDescent="0.25">
      <c r="P847" t="s">
        <v>38</v>
      </c>
      <c r="Q847" t="s">
        <v>19</v>
      </c>
      <c r="R847" t="s">
        <v>422</v>
      </c>
      <c r="S847">
        <v>97544</v>
      </c>
      <c r="T847">
        <v>10</v>
      </c>
      <c r="U847">
        <f t="shared" si="39"/>
        <v>7</v>
      </c>
      <c r="V847">
        <f t="shared" si="40"/>
        <v>2024</v>
      </c>
      <c r="W847" t="str">
        <f t="shared" si="41"/>
        <v>2024-7</v>
      </c>
    </row>
    <row r="848" spans="16:23" x14ac:dyDescent="0.25">
      <c r="P848" t="s">
        <v>18</v>
      </c>
      <c r="Q848" t="s">
        <v>124</v>
      </c>
      <c r="R848" t="s">
        <v>422</v>
      </c>
      <c r="S848">
        <v>39349</v>
      </c>
      <c r="T848">
        <v>8</v>
      </c>
      <c r="U848">
        <f t="shared" si="39"/>
        <v>7</v>
      </c>
      <c r="V848">
        <f t="shared" si="40"/>
        <v>2024</v>
      </c>
      <c r="W848" t="str">
        <f t="shared" si="41"/>
        <v>2024-7</v>
      </c>
    </row>
    <row r="849" spans="16:23" x14ac:dyDescent="0.25">
      <c r="P849" t="s">
        <v>8</v>
      </c>
      <c r="Q849" t="s">
        <v>92</v>
      </c>
      <c r="R849" t="s">
        <v>423</v>
      </c>
      <c r="S849">
        <v>47891</v>
      </c>
      <c r="T849">
        <v>6</v>
      </c>
      <c r="U849">
        <f t="shared" si="39"/>
        <v>7</v>
      </c>
      <c r="V849">
        <f t="shared" si="40"/>
        <v>2024</v>
      </c>
      <c r="W849" t="str">
        <f t="shared" si="41"/>
        <v>2024-7</v>
      </c>
    </row>
    <row r="850" spans="16:23" x14ac:dyDescent="0.25">
      <c r="P850" t="s">
        <v>5</v>
      </c>
      <c r="Q850" t="s">
        <v>53</v>
      </c>
      <c r="R850" t="s">
        <v>423</v>
      </c>
      <c r="S850">
        <v>66084</v>
      </c>
      <c r="T850">
        <v>9</v>
      </c>
      <c r="U850">
        <f t="shared" si="39"/>
        <v>7</v>
      </c>
      <c r="V850">
        <f t="shared" si="40"/>
        <v>2024</v>
      </c>
      <c r="W850" t="str">
        <f t="shared" si="41"/>
        <v>2024-7</v>
      </c>
    </row>
    <row r="851" spans="16:23" x14ac:dyDescent="0.25">
      <c r="P851" t="s">
        <v>30</v>
      </c>
      <c r="Q851" t="s">
        <v>69</v>
      </c>
      <c r="R851" t="s">
        <v>423</v>
      </c>
      <c r="S851">
        <v>20652</v>
      </c>
      <c r="T851">
        <v>7</v>
      </c>
      <c r="U851">
        <f t="shared" si="39"/>
        <v>7</v>
      </c>
      <c r="V851">
        <f t="shared" si="40"/>
        <v>2024</v>
      </c>
      <c r="W851" t="str">
        <f t="shared" si="41"/>
        <v>2024-7</v>
      </c>
    </row>
    <row r="852" spans="16:23" x14ac:dyDescent="0.25">
      <c r="P852" t="s">
        <v>8</v>
      </c>
      <c r="Q852" t="s">
        <v>149</v>
      </c>
      <c r="R852" t="s">
        <v>424</v>
      </c>
      <c r="S852">
        <v>18006</v>
      </c>
      <c r="T852">
        <v>4</v>
      </c>
      <c r="U852">
        <f t="shared" si="39"/>
        <v>7</v>
      </c>
      <c r="V852">
        <f t="shared" si="40"/>
        <v>2024</v>
      </c>
      <c r="W852" t="str">
        <f t="shared" si="41"/>
        <v>2024-7</v>
      </c>
    </row>
    <row r="853" spans="16:23" x14ac:dyDescent="0.25">
      <c r="P853" t="s">
        <v>27</v>
      </c>
      <c r="Q853" t="s">
        <v>41</v>
      </c>
      <c r="R853" t="s">
        <v>424</v>
      </c>
      <c r="S853">
        <v>88821</v>
      </c>
      <c r="T853">
        <v>6</v>
      </c>
      <c r="U853">
        <f t="shared" si="39"/>
        <v>7</v>
      </c>
      <c r="V853">
        <f t="shared" si="40"/>
        <v>2024</v>
      </c>
      <c r="W853" t="str">
        <f t="shared" si="41"/>
        <v>2024-7</v>
      </c>
    </row>
    <row r="854" spans="16:23" x14ac:dyDescent="0.25">
      <c r="P854" t="s">
        <v>16</v>
      </c>
      <c r="Q854" t="s">
        <v>73</v>
      </c>
      <c r="R854" t="s">
        <v>424</v>
      </c>
      <c r="S854">
        <v>24958</v>
      </c>
      <c r="T854">
        <v>7</v>
      </c>
      <c r="U854">
        <f t="shared" si="39"/>
        <v>7</v>
      </c>
      <c r="V854">
        <f t="shared" si="40"/>
        <v>2024</v>
      </c>
      <c r="W854" t="str">
        <f t="shared" si="41"/>
        <v>2024-7</v>
      </c>
    </row>
    <row r="855" spans="16:23" x14ac:dyDescent="0.25">
      <c r="P855" t="s">
        <v>38</v>
      </c>
      <c r="Q855" t="s">
        <v>130</v>
      </c>
      <c r="R855" t="s">
        <v>424</v>
      </c>
      <c r="S855">
        <v>18739</v>
      </c>
      <c r="T855">
        <v>6</v>
      </c>
      <c r="U855">
        <f t="shared" si="39"/>
        <v>7</v>
      </c>
      <c r="V855">
        <f t="shared" si="40"/>
        <v>2024</v>
      </c>
      <c r="W855" t="str">
        <f t="shared" si="41"/>
        <v>2024-7</v>
      </c>
    </row>
    <row r="856" spans="16:23" x14ac:dyDescent="0.25">
      <c r="P856" t="s">
        <v>25</v>
      </c>
      <c r="Q856" t="s">
        <v>249</v>
      </c>
      <c r="R856" t="s">
        <v>425</v>
      </c>
      <c r="S856">
        <v>98086</v>
      </c>
      <c r="T856">
        <v>1</v>
      </c>
      <c r="U856">
        <f t="shared" si="39"/>
        <v>7</v>
      </c>
      <c r="V856">
        <f t="shared" si="40"/>
        <v>2024</v>
      </c>
      <c r="W856" t="str">
        <f t="shared" si="41"/>
        <v>2024-7</v>
      </c>
    </row>
    <row r="857" spans="16:23" x14ac:dyDescent="0.25">
      <c r="P857" t="s">
        <v>30</v>
      </c>
      <c r="Q857" t="s">
        <v>144</v>
      </c>
      <c r="R857" t="s">
        <v>425</v>
      </c>
      <c r="S857">
        <v>79974</v>
      </c>
      <c r="T857">
        <v>2</v>
      </c>
      <c r="U857">
        <f t="shared" si="39"/>
        <v>7</v>
      </c>
      <c r="V857">
        <f t="shared" si="40"/>
        <v>2024</v>
      </c>
      <c r="W857" t="str">
        <f t="shared" si="41"/>
        <v>2024-7</v>
      </c>
    </row>
    <row r="858" spans="16:23" x14ac:dyDescent="0.25">
      <c r="P858" t="s">
        <v>10</v>
      </c>
      <c r="Q858" t="s">
        <v>35</v>
      </c>
      <c r="R858" t="s">
        <v>426</v>
      </c>
      <c r="S858">
        <v>96626</v>
      </c>
      <c r="T858">
        <v>7</v>
      </c>
      <c r="U858">
        <f t="shared" si="39"/>
        <v>7</v>
      </c>
      <c r="V858">
        <f t="shared" si="40"/>
        <v>2024</v>
      </c>
      <c r="W858" t="str">
        <f t="shared" si="41"/>
        <v>2024-7</v>
      </c>
    </row>
    <row r="859" spans="16:23" x14ac:dyDescent="0.25">
      <c r="P859" t="s">
        <v>30</v>
      </c>
      <c r="Q859" t="s">
        <v>148</v>
      </c>
      <c r="R859" t="s">
        <v>426</v>
      </c>
      <c r="S859">
        <v>84911</v>
      </c>
      <c r="T859">
        <v>9</v>
      </c>
      <c r="U859">
        <f t="shared" si="39"/>
        <v>7</v>
      </c>
      <c r="V859">
        <f t="shared" si="40"/>
        <v>2024</v>
      </c>
      <c r="W859" t="str">
        <f t="shared" si="41"/>
        <v>2024-7</v>
      </c>
    </row>
    <row r="860" spans="16:23" x14ac:dyDescent="0.25">
      <c r="P860" t="s">
        <v>45</v>
      </c>
      <c r="Q860" t="s">
        <v>24</v>
      </c>
      <c r="R860" t="s">
        <v>427</v>
      </c>
      <c r="S860">
        <v>47472</v>
      </c>
      <c r="T860">
        <v>6</v>
      </c>
      <c r="U860">
        <f t="shared" si="39"/>
        <v>7</v>
      </c>
      <c r="V860">
        <f t="shared" si="40"/>
        <v>2024</v>
      </c>
      <c r="W860" t="str">
        <f t="shared" si="41"/>
        <v>2024-7</v>
      </c>
    </row>
    <row r="861" spans="16:23" x14ac:dyDescent="0.25">
      <c r="P861" t="s">
        <v>45</v>
      </c>
      <c r="Q861" t="s">
        <v>21</v>
      </c>
      <c r="R861" t="s">
        <v>427</v>
      </c>
      <c r="S861">
        <v>46387</v>
      </c>
      <c r="T861">
        <v>8</v>
      </c>
      <c r="U861">
        <f t="shared" si="39"/>
        <v>7</v>
      </c>
      <c r="V861">
        <f t="shared" si="40"/>
        <v>2024</v>
      </c>
      <c r="W861" t="str">
        <f t="shared" si="41"/>
        <v>2024-7</v>
      </c>
    </row>
    <row r="862" spans="16:23" x14ac:dyDescent="0.25">
      <c r="P862" t="s">
        <v>47</v>
      </c>
      <c r="Q862" t="s">
        <v>393</v>
      </c>
      <c r="R862" t="s">
        <v>427</v>
      </c>
      <c r="S862">
        <v>12947</v>
      </c>
      <c r="T862">
        <v>7</v>
      </c>
      <c r="U862">
        <f t="shared" si="39"/>
        <v>7</v>
      </c>
      <c r="V862">
        <f t="shared" si="40"/>
        <v>2024</v>
      </c>
      <c r="W862" t="str">
        <f t="shared" si="41"/>
        <v>2024-7</v>
      </c>
    </row>
    <row r="863" spans="16:23" x14ac:dyDescent="0.25">
      <c r="P863" t="s">
        <v>5</v>
      </c>
      <c r="Q863" t="s">
        <v>205</v>
      </c>
      <c r="R863" t="s">
        <v>427</v>
      </c>
      <c r="S863">
        <v>24709</v>
      </c>
      <c r="T863">
        <v>7</v>
      </c>
      <c r="U863">
        <f t="shared" si="39"/>
        <v>7</v>
      </c>
      <c r="V863">
        <f t="shared" si="40"/>
        <v>2024</v>
      </c>
      <c r="W863" t="str">
        <f t="shared" si="41"/>
        <v>2024-7</v>
      </c>
    </row>
    <row r="864" spans="16:23" x14ac:dyDescent="0.25">
      <c r="P864" t="s">
        <v>27</v>
      </c>
      <c r="Q864" t="s">
        <v>91</v>
      </c>
      <c r="R864" t="s">
        <v>428</v>
      </c>
      <c r="S864">
        <v>39780</v>
      </c>
      <c r="T864">
        <v>1</v>
      </c>
      <c r="U864">
        <f t="shared" si="39"/>
        <v>7</v>
      </c>
      <c r="V864">
        <f t="shared" si="40"/>
        <v>2024</v>
      </c>
      <c r="W864" t="str">
        <f t="shared" si="41"/>
        <v>2024-7</v>
      </c>
    </row>
    <row r="865" spans="16:23" x14ac:dyDescent="0.25">
      <c r="P865" t="s">
        <v>18</v>
      </c>
      <c r="Q865" t="s">
        <v>395</v>
      </c>
      <c r="R865" t="s">
        <v>428</v>
      </c>
      <c r="S865">
        <v>13570</v>
      </c>
      <c r="T865">
        <v>1</v>
      </c>
      <c r="U865">
        <f t="shared" si="39"/>
        <v>7</v>
      </c>
      <c r="V865">
        <f t="shared" si="40"/>
        <v>2024</v>
      </c>
      <c r="W865" t="str">
        <f t="shared" si="41"/>
        <v>2024-7</v>
      </c>
    </row>
    <row r="866" spans="16:23" x14ac:dyDescent="0.25">
      <c r="P866" t="s">
        <v>27</v>
      </c>
      <c r="Q866" t="s">
        <v>92</v>
      </c>
      <c r="R866" t="s">
        <v>429</v>
      </c>
      <c r="S866">
        <v>78241</v>
      </c>
      <c r="T866">
        <v>7</v>
      </c>
      <c r="U866">
        <f t="shared" si="39"/>
        <v>7</v>
      </c>
      <c r="V866">
        <f t="shared" si="40"/>
        <v>2024</v>
      </c>
      <c r="W866" t="str">
        <f t="shared" si="41"/>
        <v>2024-7</v>
      </c>
    </row>
    <row r="867" spans="16:23" x14ac:dyDescent="0.25">
      <c r="P867" t="s">
        <v>13</v>
      </c>
      <c r="Q867" t="s">
        <v>67</v>
      </c>
      <c r="R867" t="s">
        <v>429</v>
      </c>
      <c r="S867">
        <v>62495</v>
      </c>
      <c r="T867">
        <v>6</v>
      </c>
      <c r="U867">
        <f t="shared" si="39"/>
        <v>7</v>
      </c>
      <c r="V867">
        <f t="shared" si="40"/>
        <v>2024</v>
      </c>
      <c r="W867" t="str">
        <f t="shared" si="41"/>
        <v>2024-7</v>
      </c>
    </row>
    <row r="868" spans="16:23" x14ac:dyDescent="0.25">
      <c r="P868" t="s">
        <v>25</v>
      </c>
      <c r="Q868" t="s">
        <v>59</v>
      </c>
      <c r="R868" t="s">
        <v>429</v>
      </c>
      <c r="S868">
        <v>42860</v>
      </c>
      <c r="T868">
        <v>7</v>
      </c>
      <c r="U868">
        <f t="shared" si="39"/>
        <v>7</v>
      </c>
      <c r="V868">
        <f t="shared" si="40"/>
        <v>2024</v>
      </c>
      <c r="W868" t="str">
        <f t="shared" si="41"/>
        <v>2024-7</v>
      </c>
    </row>
    <row r="869" spans="16:23" x14ac:dyDescent="0.25">
      <c r="P869" t="s">
        <v>5</v>
      </c>
      <c r="Q869" t="s">
        <v>66</v>
      </c>
      <c r="R869" t="s">
        <v>430</v>
      </c>
      <c r="S869">
        <v>89429</v>
      </c>
      <c r="T869">
        <v>7</v>
      </c>
      <c r="U869">
        <f t="shared" si="39"/>
        <v>7</v>
      </c>
      <c r="V869">
        <f t="shared" si="40"/>
        <v>2024</v>
      </c>
      <c r="W869" t="str">
        <f t="shared" si="41"/>
        <v>2024-7</v>
      </c>
    </row>
    <row r="870" spans="16:23" x14ac:dyDescent="0.25">
      <c r="P870" t="s">
        <v>25</v>
      </c>
      <c r="Q870" t="s">
        <v>233</v>
      </c>
      <c r="R870" t="s">
        <v>430</v>
      </c>
      <c r="S870">
        <v>17979</v>
      </c>
      <c r="T870">
        <v>6</v>
      </c>
      <c r="U870">
        <f t="shared" si="39"/>
        <v>7</v>
      </c>
      <c r="V870">
        <f t="shared" si="40"/>
        <v>2024</v>
      </c>
      <c r="W870" t="str">
        <f t="shared" si="41"/>
        <v>2024-7</v>
      </c>
    </row>
    <row r="871" spans="16:23" x14ac:dyDescent="0.25">
      <c r="P871" t="s">
        <v>30</v>
      </c>
      <c r="Q871" t="s">
        <v>65</v>
      </c>
      <c r="R871" t="s">
        <v>430</v>
      </c>
      <c r="S871">
        <v>30554</v>
      </c>
      <c r="T871">
        <v>4</v>
      </c>
      <c r="U871">
        <f t="shared" si="39"/>
        <v>7</v>
      </c>
      <c r="V871">
        <f t="shared" si="40"/>
        <v>2024</v>
      </c>
      <c r="W871" t="str">
        <f t="shared" si="41"/>
        <v>2024-7</v>
      </c>
    </row>
    <row r="872" spans="16:23" x14ac:dyDescent="0.25">
      <c r="P872" t="s">
        <v>16</v>
      </c>
      <c r="Q872" t="s">
        <v>80</v>
      </c>
      <c r="R872" t="s">
        <v>430</v>
      </c>
      <c r="S872">
        <v>77338</v>
      </c>
      <c r="T872">
        <v>8</v>
      </c>
      <c r="U872">
        <f t="shared" si="39"/>
        <v>7</v>
      </c>
      <c r="V872">
        <f t="shared" si="40"/>
        <v>2024</v>
      </c>
      <c r="W872" t="str">
        <f t="shared" si="41"/>
        <v>2024-7</v>
      </c>
    </row>
    <row r="873" spans="16:23" x14ac:dyDescent="0.25">
      <c r="P873" t="s">
        <v>5</v>
      </c>
      <c r="Q873" t="s">
        <v>224</v>
      </c>
      <c r="R873" t="s">
        <v>430</v>
      </c>
      <c r="S873">
        <v>40046</v>
      </c>
      <c r="T873">
        <v>0</v>
      </c>
      <c r="U873">
        <f t="shared" si="39"/>
        <v>7</v>
      </c>
      <c r="V873">
        <f t="shared" si="40"/>
        <v>2024</v>
      </c>
      <c r="W873" t="str">
        <f t="shared" si="41"/>
        <v>2024-7</v>
      </c>
    </row>
    <row r="874" spans="16:23" x14ac:dyDescent="0.25">
      <c r="P874" t="s">
        <v>16</v>
      </c>
      <c r="Q874" t="s">
        <v>194</v>
      </c>
      <c r="R874" t="s">
        <v>430</v>
      </c>
      <c r="S874">
        <v>79373</v>
      </c>
      <c r="T874">
        <v>8</v>
      </c>
      <c r="U874">
        <f t="shared" si="39"/>
        <v>7</v>
      </c>
      <c r="V874">
        <f t="shared" si="40"/>
        <v>2024</v>
      </c>
      <c r="W874" t="str">
        <f t="shared" si="41"/>
        <v>2024-7</v>
      </c>
    </row>
    <row r="875" spans="16:23" x14ac:dyDescent="0.25">
      <c r="P875" t="s">
        <v>38</v>
      </c>
      <c r="Q875" t="s">
        <v>57</v>
      </c>
      <c r="R875" t="s">
        <v>430</v>
      </c>
      <c r="S875">
        <v>14084</v>
      </c>
      <c r="T875">
        <v>8</v>
      </c>
      <c r="U875">
        <f t="shared" si="39"/>
        <v>7</v>
      </c>
      <c r="V875">
        <f t="shared" si="40"/>
        <v>2024</v>
      </c>
      <c r="W875" t="str">
        <f t="shared" si="41"/>
        <v>2024-7</v>
      </c>
    </row>
    <row r="876" spans="16:23" x14ac:dyDescent="0.25">
      <c r="P876" t="s">
        <v>18</v>
      </c>
      <c r="Q876" t="s">
        <v>256</v>
      </c>
      <c r="R876" t="s">
        <v>431</v>
      </c>
      <c r="S876">
        <v>20663</v>
      </c>
      <c r="T876">
        <v>0</v>
      </c>
      <c r="U876">
        <f t="shared" si="39"/>
        <v>7</v>
      </c>
      <c r="V876">
        <f t="shared" si="40"/>
        <v>2024</v>
      </c>
      <c r="W876" t="str">
        <f t="shared" si="41"/>
        <v>2024-7</v>
      </c>
    </row>
    <row r="877" spans="16:23" x14ac:dyDescent="0.25">
      <c r="P877" t="s">
        <v>38</v>
      </c>
      <c r="Q877" t="s">
        <v>65</v>
      </c>
      <c r="R877" t="s">
        <v>432</v>
      </c>
      <c r="S877">
        <v>48587</v>
      </c>
      <c r="T877">
        <v>8</v>
      </c>
      <c r="U877">
        <f t="shared" si="39"/>
        <v>7</v>
      </c>
      <c r="V877">
        <f t="shared" si="40"/>
        <v>2024</v>
      </c>
      <c r="W877" t="str">
        <f t="shared" si="41"/>
        <v>2024-7</v>
      </c>
    </row>
    <row r="878" spans="16:23" x14ac:dyDescent="0.25">
      <c r="P878" t="s">
        <v>25</v>
      </c>
      <c r="Q878" t="s">
        <v>90</v>
      </c>
      <c r="R878" t="s">
        <v>432</v>
      </c>
      <c r="S878">
        <v>76818</v>
      </c>
      <c r="T878">
        <v>6</v>
      </c>
      <c r="U878">
        <f t="shared" si="39"/>
        <v>7</v>
      </c>
      <c r="V878">
        <f t="shared" si="40"/>
        <v>2024</v>
      </c>
      <c r="W878" t="str">
        <f t="shared" si="41"/>
        <v>2024-7</v>
      </c>
    </row>
    <row r="879" spans="16:23" x14ac:dyDescent="0.25">
      <c r="P879" t="s">
        <v>18</v>
      </c>
      <c r="Q879" t="s">
        <v>88</v>
      </c>
      <c r="R879" t="s">
        <v>432</v>
      </c>
      <c r="S879">
        <v>88080</v>
      </c>
      <c r="T879">
        <v>6</v>
      </c>
      <c r="U879">
        <f t="shared" si="39"/>
        <v>7</v>
      </c>
      <c r="V879">
        <f t="shared" si="40"/>
        <v>2024</v>
      </c>
      <c r="W879" t="str">
        <f t="shared" si="41"/>
        <v>2024-7</v>
      </c>
    </row>
    <row r="880" spans="16:23" x14ac:dyDescent="0.25">
      <c r="P880" t="s">
        <v>45</v>
      </c>
      <c r="Q880" t="s">
        <v>249</v>
      </c>
      <c r="R880" t="s">
        <v>433</v>
      </c>
      <c r="S880">
        <v>64643</v>
      </c>
      <c r="T880">
        <v>4</v>
      </c>
      <c r="U880">
        <f t="shared" si="39"/>
        <v>7</v>
      </c>
      <c r="V880">
        <f t="shared" si="40"/>
        <v>2024</v>
      </c>
      <c r="W880" t="str">
        <f t="shared" si="41"/>
        <v>2024-7</v>
      </c>
    </row>
    <row r="881" spans="16:23" x14ac:dyDescent="0.25">
      <c r="P881" t="s">
        <v>13</v>
      </c>
      <c r="Q881" t="s">
        <v>194</v>
      </c>
      <c r="R881" t="s">
        <v>433</v>
      </c>
      <c r="S881">
        <v>93015</v>
      </c>
      <c r="T881">
        <v>8</v>
      </c>
      <c r="U881">
        <f t="shared" si="39"/>
        <v>7</v>
      </c>
      <c r="V881">
        <f t="shared" si="40"/>
        <v>2024</v>
      </c>
      <c r="W881" t="str">
        <f t="shared" si="41"/>
        <v>2024-7</v>
      </c>
    </row>
    <row r="882" spans="16:23" x14ac:dyDescent="0.25">
      <c r="P882" t="s">
        <v>8</v>
      </c>
      <c r="Q882" t="s">
        <v>94</v>
      </c>
      <c r="R882" t="s">
        <v>433</v>
      </c>
      <c r="S882">
        <v>52380</v>
      </c>
      <c r="T882">
        <v>7</v>
      </c>
      <c r="U882">
        <f t="shared" si="39"/>
        <v>7</v>
      </c>
      <c r="V882">
        <f t="shared" si="40"/>
        <v>2024</v>
      </c>
      <c r="W882" t="str">
        <f t="shared" si="41"/>
        <v>2024-7</v>
      </c>
    </row>
    <row r="883" spans="16:23" x14ac:dyDescent="0.25">
      <c r="P883" t="s">
        <v>30</v>
      </c>
      <c r="Q883" t="s">
        <v>65</v>
      </c>
      <c r="R883" t="s">
        <v>434</v>
      </c>
      <c r="S883">
        <v>46711</v>
      </c>
      <c r="T883">
        <v>7</v>
      </c>
      <c r="U883">
        <f t="shared" si="39"/>
        <v>7</v>
      </c>
      <c r="V883">
        <f t="shared" si="40"/>
        <v>2024</v>
      </c>
      <c r="W883" t="str">
        <f t="shared" si="41"/>
        <v>2024-7</v>
      </c>
    </row>
    <row r="884" spans="16:23" x14ac:dyDescent="0.25">
      <c r="P884" t="s">
        <v>16</v>
      </c>
      <c r="Q884" t="s">
        <v>299</v>
      </c>
      <c r="R884" t="s">
        <v>434</v>
      </c>
      <c r="S884">
        <v>46844</v>
      </c>
      <c r="T884">
        <v>6</v>
      </c>
      <c r="U884">
        <f t="shared" si="39"/>
        <v>7</v>
      </c>
      <c r="V884">
        <f t="shared" si="40"/>
        <v>2024</v>
      </c>
      <c r="W884" t="str">
        <f t="shared" si="41"/>
        <v>2024-7</v>
      </c>
    </row>
    <row r="885" spans="16:23" x14ac:dyDescent="0.25">
      <c r="P885" t="s">
        <v>25</v>
      </c>
      <c r="Q885" t="s">
        <v>111</v>
      </c>
      <c r="R885" t="s">
        <v>434</v>
      </c>
      <c r="S885">
        <v>98494</v>
      </c>
      <c r="T885">
        <v>7</v>
      </c>
      <c r="U885">
        <f t="shared" si="39"/>
        <v>7</v>
      </c>
      <c r="V885">
        <f t="shared" si="40"/>
        <v>2024</v>
      </c>
      <c r="W885" t="str">
        <f t="shared" si="41"/>
        <v>2024-7</v>
      </c>
    </row>
    <row r="886" spans="16:23" x14ac:dyDescent="0.25">
      <c r="P886" t="s">
        <v>27</v>
      </c>
      <c r="Q886" t="s">
        <v>116</v>
      </c>
      <c r="R886" t="s">
        <v>434</v>
      </c>
      <c r="S886">
        <v>76081</v>
      </c>
      <c r="T886">
        <v>8</v>
      </c>
      <c r="U886">
        <f t="shared" si="39"/>
        <v>7</v>
      </c>
      <c r="V886">
        <f t="shared" si="40"/>
        <v>2024</v>
      </c>
      <c r="W886" t="str">
        <f t="shared" si="41"/>
        <v>2024-7</v>
      </c>
    </row>
    <row r="887" spans="16:23" x14ac:dyDescent="0.25">
      <c r="P887" t="s">
        <v>13</v>
      </c>
      <c r="Q887" t="s">
        <v>73</v>
      </c>
      <c r="R887" t="s">
        <v>435</v>
      </c>
      <c r="S887">
        <v>98224</v>
      </c>
      <c r="T887">
        <v>1</v>
      </c>
      <c r="U887">
        <f t="shared" si="39"/>
        <v>7</v>
      </c>
      <c r="V887">
        <f t="shared" si="40"/>
        <v>2024</v>
      </c>
      <c r="W887" t="str">
        <f t="shared" si="41"/>
        <v>2024-7</v>
      </c>
    </row>
    <row r="888" spans="16:23" x14ac:dyDescent="0.25">
      <c r="P888" t="s">
        <v>18</v>
      </c>
      <c r="Q888" t="s">
        <v>134</v>
      </c>
      <c r="R888" t="s">
        <v>435</v>
      </c>
      <c r="S888">
        <v>26536</v>
      </c>
      <c r="T888">
        <v>6</v>
      </c>
      <c r="U888">
        <f t="shared" si="39"/>
        <v>7</v>
      </c>
      <c r="V888">
        <f t="shared" si="40"/>
        <v>2024</v>
      </c>
      <c r="W888" t="str">
        <f t="shared" si="41"/>
        <v>2024-7</v>
      </c>
    </row>
    <row r="889" spans="16:23" x14ac:dyDescent="0.25">
      <c r="P889" t="s">
        <v>27</v>
      </c>
      <c r="Q889" t="s">
        <v>69</v>
      </c>
      <c r="R889" t="s">
        <v>435</v>
      </c>
      <c r="S889">
        <v>14495</v>
      </c>
      <c r="T889">
        <v>9</v>
      </c>
      <c r="U889">
        <f t="shared" si="39"/>
        <v>7</v>
      </c>
      <c r="V889">
        <f t="shared" si="40"/>
        <v>2024</v>
      </c>
      <c r="W889" t="str">
        <f t="shared" si="41"/>
        <v>2024-7</v>
      </c>
    </row>
    <row r="890" spans="16:23" x14ac:dyDescent="0.25">
      <c r="P890" t="s">
        <v>47</v>
      </c>
      <c r="Q890" t="s">
        <v>186</v>
      </c>
      <c r="R890" t="s">
        <v>435</v>
      </c>
      <c r="S890">
        <v>57063</v>
      </c>
      <c r="T890">
        <v>7</v>
      </c>
      <c r="U890">
        <f t="shared" si="39"/>
        <v>7</v>
      </c>
      <c r="V890">
        <f t="shared" si="40"/>
        <v>2024</v>
      </c>
      <c r="W890" t="str">
        <f t="shared" si="41"/>
        <v>2024-7</v>
      </c>
    </row>
    <row r="891" spans="16:23" x14ac:dyDescent="0.25">
      <c r="P891" t="s">
        <v>30</v>
      </c>
      <c r="Q891" t="s">
        <v>239</v>
      </c>
      <c r="R891" t="s">
        <v>435</v>
      </c>
      <c r="S891">
        <v>95109</v>
      </c>
      <c r="T891">
        <v>8</v>
      </c>
      <c r="U891">
        <f t="shared" si="39"/>
        <v>7</v>
      </c>
      <c r="V891">
        <f t="shared" si="40"/>
        <v>2024</v>
      </c>
      <c r="W891" t="str">
        <f t="shared" si="41"/>
        <v>2024-7</v>
      </c>
    </row>
    <row r="892" spans="16:23" x14ac:dyDescent="0.25">
      <c r="P892" t="s">
        <v>30</v>
      </c>
      <c r="Q892" t="s">
        <v>113</v>
      </c>
      <c r="R892" t="s">
        <v>435</v>
      </c>
      <c r="S892">
        <v>27421</v>
      </c>
      <c r="T892">
        <v>7</v>
      </c>
      <c r="U892">
        <f t="shared" si="39"/>
        <v>7</v>
      </c>
      <c r="V892">
        <f t="shared" si="40"/>
        <v>2024</v>
      </c>
      <c r="W892" t="str">
        <f t="shared" si="41"/>
        <v>2024-7</v>
      </c>
    </row>
    <row r="893" spans="16:23" x14ac:dyDescent="0.25">
      <c r="P893" t="s">
        <v>27</v>
      </c>
      <c r="Q893" t="s">
        <v>169</v>
      </c>
      <c r="R893" t="s">
        <v>435</v>
      </c>
      <c r="S893">
        <v>47273</v>
      </c>
      <c r="T893">
        <v>5</v>
      </c>
      <c r="U893">
        <f t="shared" si="39"/>
        <v>7</v>
      </c>
      <c r="V893">
        <f t="shared" si="40"/>
        <v>2024</v>
      </c>
      <c r="W893" t="str">
        <f t="shared" si="41"/>
        <v>2024-7</v>
      </c>
    </row>
    <row r="894" spans="16:23" x14ac:dyDescent="0.25">
      <c r="P894" t="s">
        <v>47</v>
      </c>
      <c r="Q894" t="s">
        <v>32</v>
      </c>
      <c r="R894" t="s">
        <v>435</v>
      </c>
      <c r="S894">
        <v>39709</v>
      </c>
      <c r="T894">
        <v>9</v>
      </c>
      <c r="U894">
        <f t="shared" si="39"/>
        <v>7</v>
      </c>
      <c r="V894">
        <f t="shared" si="40"/>
        <v>2024</v>
      </c>
      <c r="W894" t="str">
        <f t="shared" si="41"/>
        <v>2024-7</v>
      </c>
    </row>
    <row r="895" spans="16:23" x14ac:dyDescent="0.25">
      <c r="P895" t="s">
        <v>27</v>
      </c>
      <c r="Q895" t="s">
        <v>69</v>
      </c>
      <c r="R895" t="s">
        <v>435</v>
      </c>
      <c r="S895">
        <v>38368</v>
      </c>
      <c r="T895">
        <v>7</v>
      </c>
      <c r="U895">
        <f t="shared" si="39"/>
        <v>7</v>
      </c>
      <c r="V895">
        <f t="shared" si="40"/>
        <v>2024</v>
      </c>
      <c r="W895" t="str">
        <f t="shared" si="41"/>
        <v>2024-7</v>
      </c>
    </row>
    <row r="896" spans="16:23" x14ac:dyDescent="0.25">
      <c r="P896" t="s">
        <v>25</v>
      </c>
      <c r="Q896" t="s">
        <v>136</v>
      </c>
      <c r="R896" t="s">
        <v>435</v>
      </c>
      <c r="S896">
        <v>19620</v>
      </c>
      <c r="T896">
        <v>7</v>
      </c>
      <c r="U896">
        <f t="shared" si="39"/>
        <v>7</v>
      </c>
      <c r="V896">
        <f t="shared" si="40"/>
        <v>2024</v>
      </c>
      <c r="W896" t="str">
        <f t="shared" si="41"/>
        <v>2024-7</v>
      </c>
    </row>
    <row r="897" spans="16:23" x14ac:dyDescent="0.25">
      <c r="P897" t="s">
        <v>45</v>
      </c>
      <c r="Q897" t="s">
        <v>363</v>
      </c>
      <c r="R897" t="s">
        <v>436</v>
      </c>
      <c r="S897">
        <v>87516</v>
      </c>
      <c r="T897">
        <v>3</v>
      </c>
      <c r="U897">
        <f t="shared" si="39"/>
        <v>7</v>
      </c>
      <c r="V897">
        <f t="shared" si="40"/>
        <v>2024</v>
      </c>
      <c r="W897" t="str">
        <f t="shared" si="41"/>
        <v>2024-7</v>
      </c>
    </row>
    <row r="898" spans="16:23" x14ac:dyDescent="0.25">
      <c r="P898" t="s">
        <v>47</v>
      </c>
      <c r="Q898" t="s">
        <v>59</v>
      </c>
      <c r="R898" t="s">
        <v>436</v>
      </c>
      <c r="S898">
        <v>54125</v>
      </c>
      <c r="T898">
        <v>6</v>
      </c>
      <c r="U898">
        <f t="shared" si="39"/>
        <v>7</v>
      </c>
      <c r="V898">
        <f t="shared" si="40"/>
        <v>2024</v>
      </c>
      <c r="W898" t="str">
        <f t="shared" si="41"/>
        <v>2024-7</v>
      </c>
    </row>
    <row r="899" spans="16:23" x14ac:dyDescent="0.25">
      <c r="P899" t="s">
        <v>18</v>
      </c>
      <c r="Q899" t="s">
        <v>363</v>
      </c>
      <c r="R899" t="s">
        <v>436</v>
      </c>
      <c r="S899">
        <v>64981</v>
      </c>
      <c r="T899">
        <v>5</v>
      </c>
      <c r="U899">
        <f t="shared" ref="U899:U962" si="42">MONTH(R899)</f>
        <v>7</v>
      </c>
      <c r="V899">
        <f t="shared" ref="V899:V962" si="43">YEAR(R899)</f>
        <v>2024</v>
      </c>
      <c r="W899" t="str">
        <f t="shared" ref="W899:W962" si="44">V899&amp;"-"&amp;U899</f>
        <v>2024-7</v>
      </c>
    </row>
    <row r="900" spans="16:23" x14ac:dyDescent="0.25">
      <c r="P900" t="s">
        <v>10</v>
      </c>
      <c r="Q900" t="s">
        <v>133</v>
      </c>
      <c r="R900" t="s">
        <v>436</v>
      </c>
      <c r="S900">
        <v>58280</v>
      </c>
      <c r="T900">
        <v>1</v>
      </c>
      <c r="U900">
        <f t="shared" si="42"/>
        <v>7</v>
      </c>
      <c r="V900">
        <f t="shared" si="43"/>
        <v>2024</v>
      </c>
      <c r="W900" t="str">
        <f t="shared" si="44"/>
        <v>2024-7</v>
      </c>
    </row>
    <row r="901" spans="16:23" x14ac:dyDescent="0.25">
      <c r="P901" t="s">
        <v>13</v>
      </c>
      <c r="Q901" t="s">
        <v>155</v>
      </c>
      <c r="R901" t="s">
        <v>437</v>
      </c>
      <c r="S901">
        <v>89186</v>
      </c>
      <c r="T901">
        <v>6</v>
      </c>
      <c r="U901">
        <f t="shared" si="42"/>
        <v>7</v>
      </c>
      <c r="V901">
        <f t="shared" si="43"/>
        <v>2024</v>
      </c>
      <c r="W901" t="str">
        <f t="shared" si="44"/>
        <v>2024-7</v>
      </c>
    </row>
    <row r="902" spans="16:23" x14ac:dyDescent="0.25">
      <c r="P902" t="s">
        <v>45</v>
      </c>
      <c r="Q902" t="s">
        <v>121</v>
      </c>
      <c r="R902" t="s">
        <v>437</v>
      </c>
      <c r="S902">
        <v>81674</v>
      </c>
      <c r="T902">
        <v>5</v>
      </c>
      <c r="U902">
        <f t="shared" si="42"/>
        <v>7</v>
      </c>
      <c r="V902">
        <f t="shared" si="43"/>
        <v>2024</v>
      </c>
      <c r="W902" t="str">
        <f t="shared" si="44"/>
        <v>2024-7</v>
      </c>
    </row>
    <row r="903" spans="16:23" x14ac:dyDescent="0.25">
      <c r="P903" t="s">
        <v>18</v>
      </c>
      <c r="Q903" t="s">
        <v>198</v>
      </c>
      <c r="R903" t="s">
        <v>437</v>
      </c>
      <c r="S903">
        <v>77747</v>
      </c>
      <c r="T903">
        <v>3</v>
      </c>
      <c r="U903">
        <f t="shared" si="42"/>
        <v>7</v>
      </c>
      <c r="V903">
        <f t="shared" si="43"/>
        <v>2024</v>
      </c>
      <c r="W903" t="str">
        <f t="shared" si="44"/>
        <v>2024-7</v>
      </c>
    </row>
    <row r="904" spans="16:23" x14ac:dyDescent="0.25">
      <c r="P904" t="s">
        <v>38</v>
      </c>
      <c r="Q904" t="s">
        <v>186</v>
      </c>
      <c r="R904" t="s">
        <v>438</v>
      </c>
      <c r="S904">
        <v>72907</v>
      </c>
      <c r="T904">
        <v>9</v>
      </c>
      <c r="U904">
        <f t="shared" si="42"/>
        <v>8</v>
      </c>
      <c r="V904">
        <f t="shared" si="43"/>
        <v>2024</v>
      </c>
      <c r="W904" t="str">
        <f t="shared" si="44"/>
        <v>2024-8</v>
      </c>
    </row>
    <row r="905" spans="16:23" x14ac:dyDescent="0.25">
      <c r="P905" t="s">
        <v>38</v>
      </c>
      <c r="Q905" t="s">
        <v>132</v>
      </c>
      <c r="R905" t="s">
        <v>438</v>
      </c>
      <c r="S905">
        <v>19215</v>
      </c>
      <c r="T905">
        <v>7</v>
      </c>
      <c r="U905">
        <f t="shared" si="42"/>
        <v>8</v>
      </c>
      <c r="V905">
        <f t="shared" si="43"/>
        <v>2024</v>
      </c>
      <c r="W905" t="str">
        <f t="shared" si="44"/>
        <v>2024-8</v>
      </c>
    </row>
    <row r="906" spans="16:23" x14ac:dyDescent="0.25">
      <c r="P906" t="s">
        <v>25</v>
      </c>
      <c r="Q906" t="s">
        <v>58</v>
      </c>
      <c r="R906" t="s">
        <v>438</v>
      </c>
      <c r="S906">
        <v>68805</v>
      </c>
      <c r="T906">
        <v>5</v>
      </c>
      <c r="U906">
        <f t="shared" si="42"/>
        <v>8</v>
      </c>
      <c r="V906">
        <f t="shared" si="43"/>
        <v>2024</v>
      </c>
      <c r="W906" t="str">
        <f t="shared" si="44"/>
        <v>2024-8</v>
      </c>
    </row>
    <row r="907" spans="16:23" x14ac:dyDescent="0.25">
      <c r="P907" t="s">
        <v>27</v>
      </c>
      <c r="Q907" t="s">
        <v>170</v>
      </c>
      <c r="R907" t="s">
        <v>438</v>
      </c>
      <c r="S907">
        <v>82141</v>
      </c>
      <c r="T907">
        <v>7</v>
      </c>
      <c r="U907">
        <f t="shared" si="42"/>
        <v>8</v>
      </c>
      <c r="V907">
        <f t="shared" si="43"/>
        <v>2024</v>
      </c>
      <c r="W907" t="str">
        <f t="shared" si="44"/>
        <v>2024-8</v>
      </c>
    </row>
    <row r="908" spans="16:23" x14ac:dyDescent="0.25">
      <c r="P908" t="s">
        <v>10</v>
      </c>
      <c r="Q908" t="s">
        <v>144</v>
      </c>
      <c r="R908" t="s">
        <v>439</v>
      </c>
      <c r="S908">
        <v>97241</v>
      </c>
      <c r="T908">
        <v>5</v>
      </c>
      <c r="U908">
        <f t="shared" si="42"/>
        <v>8</v>
      </c>
      <c r="V908">
        <f t="shared" si="43"/>
        <v>2024</v>
      </c>
      <c r="W908" t="str">
        <f t="shared" si="44"/>
        <v>2024-8</v>
      </c>
    </row>
    <row r="909" spans="16:23" x14ac:dyDescent="0.25">
      <c r="P909" t="s">
        <v>45</v>
      </c>
      <c r="Q909" t="s">
        <v>68</v>
      </c>
      <c r="R909" t="s">
        <v>439</v>
      </c>
      <c r="S909">
        <v>51432</v>
      </c>
      <c r="T909">
        <v>9</v>
      </c>
      <c r="U909">
        <f t="shared" si="42"/>
        <v>8</v>
      </c>
      <c r="V909">
        <f t="shared" si="43"/>
        <v>2024</v>
      </c>
      <c r="W909" t="str">
        <f t="shared" si="44"/>
        <v>2024-8</v>
      </c>
    </row>
    <row r="910" spans="16:23" x14ac:dyDescent="0.25">
      <c r="P910" t="s">
        <v>27</v>
      </c>
      <c r="Q910" t="s">
        <v>77</v>
      </c>
      <c r="R910" t="s">
        <v>440</v>
      </c>
      <c r="S910">
        <v>81510</v>
      </c>
      <c r="T910">
        <v>5</v>
      </c>
      <c r="U910">
        <f t="shared" si="42"/>
        <v>8</v>
      </c>
      <c r="V910">
        <f t="shared" si="43"/>
        <v>2024</v>
      </c>
      <c r="W910" t="str">
        <f t="shared" si="44"/>
        <v>2024-8</v>
      </c>
    </row>
    <row r="911" spans="16:23" x14ac:dyDescent="0.25">
      <c r="P911" t="s">
        <v>8</v>
      </c>
      <c r="Q911" t="s">
        <v>42</v>
      </c>
      <c r="R911" t="s">
        <v>440</v>
      </c>
      <c r="S911">
        <v>68145</v>
      </c>
      <c r="T911">
        <v>10</v>
      </c>
      <c r="U911">
        <f t="shared" si="42"/>
        <v>8</v>
      </c>
      <c r="V911">
        <f t="shared" si="43"/>
        <v>2024</v>
      </c>
      <c r="W911" t="str">
        <f t="shared" si="44"/>
        <v>2024-8</v>
      </c>
    </row>
    <row r="912" spans="16:23" x14ac:dyDescent="0.25">
      <c r="P912" t="s">
        <v>10</v>
      </c>
      <c r="Q912" t="s">
        <v>75</v>
      </c>
      <c r="R912" t="s">
        <v>440</v>
      </c>
      <c r="S912">
        <v>81023</v>
      </c>
      <c r="T912">
        <v>7</v>
      </c>
      <c r="U912">
        <f t="shared" si="42"/>
        <v>8</v>
      </c>
      <c r="V912">
        <f t="shared" si="43"/>
        <v>2024</v>
      </c>
      <c r="W912" t="str">
        <f t="shared" si="44"/>
        <v>2024-8</v>
      </c>
    </row>
    <row r="913" spans="16:23" x14ac:dyDescent="0.25">
      <c r="P913" t="s">
        <v>47</v>
      </c>
      <c r="Q913" t="s">
        <v>58</v>
      </c>
      <c r="R913" t="s">
        <v>440</v>
      </c>
      <c r="S913">
        <v>70276</v>
      </c>
      <c r="T913">
        <v>10</v>
      </c>
      <c r="U913">
        <f t="shared" si="42"/>
        <v>8</v>
      </c>
      <c r="V913">
        <f t="shared" si="43"/>
        <v>2024</v>
      </c>
      <c r="W913" t="str">
        <f t="shared" si="44"/>
        <v>2024-8</v>
      </c>
    </row>
    <row r="914" spans="16:23" x14ac:dyDescent="0.25">
      <c r="P914" t="s">
        <v>27</v>
      </c>
      <c r="Q914" t="s">
        <v>78</v>
      </c>
      <c r="R914" t="s">
        <v>440</v>
      </c>
      <c r="S914">
        <v>28980</v>
      </c>
      <c r="T914">
        <v>9</v>
      </c>
      <c r="U914">
        <f t="shared" si="42"/>
        <v>8</v>
      </c>
      <c r="V914">
        <f t="shared" si="43"/>
        <v>2024</v>
      </c>
      <c r="W914" t="str">
        <f t="shared" si="44"/>
        <v>2024-8</v>
      </c>
    </row>
    <row r="915" spans="16:23" x14ac:dyDescent="0.25">
      <c r="P915" t="s">
        <v>16</v>
      </c>
      <c r="Q915" t="s">
        <v>90</v>
      </c>
      <c r="R915" t="s">
        <v>440</v>
      </c>
      <c r="S915">
        <v>27499</v>
      </c>
      <c r="T915">
        <v>3</v>
      </c>
      <c r="U915">
        <f t="shared" si="42"/>
        <v>8</v>
      </c>
      <c r="V915">
        <f t="shared" si="43"/>
        <v>2024</v>
      </c>
      <c r="W915" t="str">
        <f t="shared" si="44"/>
        <v>2024-8</v>
      </c>
    </row>
    <row r="916" spans="16:23" x14ac:dyDescent="0.25">
      <c r="P916" t="s">
        <v>13</v>
      </c>
      <c r="Q916" t="s">
        <v>20</v>
      </c>
      <c r="R916" t="s">
        <v>440</v>
      </c>
      <c r="S916">
        <v>80337</v>
      </c>
      <c r="T916">
        <v>5</v>
      </c>
      <c r="U916">
        <f t="shared" si="42"/>
        <v>8</v>
      </c>
      <c r="V916">
        <f t="shared" si="43"/>
        <v>2024</v>
      </c>
      <c r="W916" t="str">
        <f t="shared" si="44"/>
        <v>2024-8</v>
      </c>
    </row>
    <row r="917" spans="16:23" x14ac:dyDescent="0.25">
      <c r="P917" t="s">
        <v>13</v>
      </c>
      <c r="Q917" t="s">
        <v>9</v>
      </c>
      <c r="R917" t="s">
        <v>440</v>
      </c>
      <c r="S917">
        <v>61048</v>
      </c>
      <c r="T917">
        <v>9</v>
      </c>
      <c r="U917">
        <f t="shared" si="42"/>
        <v>8</v>
      </c>
      <c r="V917">
        <f t="shared" si="43"/>
        <v>2024</v>
      </c>
      <c r="W917" t="str">
        <f t="shared" si="44"/>
        <v>2024-8</v>
      </c>
    </row>
    <row r="918" spans="16:23" x14ac:dyDescent="0.25">
      <c r="P918" t="s">
        <v>10</v>
      </c>
      <c r="Q918" t="s">
        <v>77</v>
      </c>
      <c r="R918" t="s">
        <v>440</v>
      </c>
      <c r="S918">
        <v>73082</v>
      </c>
      <c r="T918">
        <v>7</v>
      </c>
      <c r="U918">
        <f t="shared" si="42"/>
        <v>8</v>
      </c>
      <c r="V918">
        <f t="shared" si="43"/>
        <v>2024</v>
      </c>
      <c r="W918" t="str">
        <f t="shared" si="44"/>
        <v>2024-8</v>
      </c>
    </row>
    <row r="919" spans="16:23" x14ac:dyDescent="0.25">
      <c r="P919" t="s">
        <v>38</v>
      </c>
      <c r="Q919" t="s">
        <v>148</v>
      </c>
      <c r="R919" t="s">
        <v>441</v>
      </c>
      <c r="S919">
        <v>42514</v>
      </c>
      <c r="T919">
        <v>9</v>
      </c>
      <c r="U919">
        <f t="shared" si="42"/>
        <v>8</v>
      </c>
      <c r="V919">
        <f t="shared" si="43"/>
        <v>2024</v>
      </c>
      <c r="W919" t="str">
        <f t="shared" si="44"/>
        <v>2024-8</v>
      </c>
    </row>
    <row r="920" spans="16:23" x14ac:dyDescent="0.25">
      <c r="P920" t="s">
        <v>47</v>
      </c>
      <c r="Q920" t="s">
        <v>215</v>
      </c>
      <c r="R920" t="s">
        <v>441</v>
      </c>
      <c r="S920">
        <v>75579</v>
      </c>
      <c r="T920">
        <v>7</v>
      </c>
      <c r="U920">
        <f t="shared" si="42"/>
        <v>8</v>
      </c>
      <c r="V920">
        <f t="shared" si="43"/>
        <v>2024</v>
      </c>
      <c r="W920" t="str">
        <f t="shared" si="44"/>
        <v>2024-8</v>
      </c>
    </row>
    <row r="921" spans="16:23" x14ac:dyDescent="0.25">
      <c r="P921" t="s">
        <v>47</v>
      </c>
      <c r="Q921" t="s">
        <v>77</v>
      </c>
      <c r="R921" t="s">
        <v>441</v>
      </c>
      <c r="S921">
        <v>26177</v>
      </c>
      <c r="T921">
        <v>4</v>
      </c>
      <c r="U921">
        <f t="shared" si="42"/>
        <v>8</v>
      </c>
      <c r="V921">
        <f t="shared" si="43"/>
        <v>2024</v>
      </c>
      <c r="W921" t="str">
        <f t="shared" si="44"/>
        <v>2024-8</v>
      </c>
    </row>
    <row r="922" spans="16:23" x14ac:dyDescent="0.25">
      <c r="P922" t="s">
        <v>27</v>
      </c>
      <c r="Q922" t="s">
        <v>136</v>
      </c>
      <c r="R922" t="s">
        <v>442</v>
      </c>
      <c r="S922">
        <v>33132</v>
      </c>
      <c r="T922">
        <v>9</v>
      </c>
      <c r="U922">
        <f t="shared" si="42"/>
        <v>8</v>
      </c>
      <c r="V922">
        <f t="shared" si="43"/>
        <v>2024</v>
      </c>
      <c r="W922" t="str">
        <f t="shared" si="44"/>
        <v>2024-8</v>
      </c>
    </row>
    <row r="923" spans="16:23" x14ac:dyDescent="0.25">
      <c r="P923" t="s">
        <v>45</v>
      </c>
      <c r="Q923" t="s">
        <v>243</v>
      </c>
      <c r="R923" t="s">
        <v>442</v>
      </c>
      <c r="S923">
        <v>28200</v>
      </c>
      <c r="T923">
        <v>7</v>
      </c>
      <c r="U923">
        <f t="shared" si="42"/>
        <v>8</v>
      </c>
      <c r="V923">
        <f t="shared" si="43"/>
        <v>2024</v>
      </c>
      <c r="W923" t="str">
        <f t="shared" si="44"/>
        <v>2024-8</v>
      </c>
    </row>
    <row r="924" spans="16:23" x14ac:dyDescent="0.25">
      <c r="P924" t="s">
        <v>27</v>
      </c>
      <c r="Q924" t="s">
        <v>252</v>
      </c>
      <c r="R924" t="s">
        <v>442</v>
      </c>
      <c r="S924">
        <v>99108</v>
      </c>
      <c r="T924">
        <v>6</v>
      </c>
      <c r="U924">
        <f t="shared" si="42"/>
        <v>8</v>
      </c>
      <c r="V924">
        <f t="shared" si="43"/>
        <v>2024</v>
      </c>
      <c r="W924" t="str">
        <f t="shared" si="44"/>
        <v>2024-8</v>
      </c>
    </row>
    <row r="925" spans="16:23" x14ac:dyDescent="0.25">
      <c r="P925" t="s">
        <v>27</v>
      </c>
      <c r="Q925" t="s">
        <v>93</v>
      </c>
      <c r="R925" t="s">
        <v>442</v>
      </c>
      <c r="S925">
        <v>31560</v>
      </c>
      <c r="T925">
        <v>5</v>
      </c>
      <c r="U925">
        <f t="shared" si="42"/>
        <v>8</v>
      </c>
      <c r="V925">
        <f t="shared" si="43"/>
        <v>2024</v>
      </c>
      <c r="W925" t="str">
        <f t="shared" si="44"/>
        <v>2024-8</v>
      </c>
    </row>
    <row r="926" spans="16:23" x14ac:dyDescent="0.25">
      <c r="P926" t="s">
        <v>10</v>
      </c>
      <c r="Q926" t="s">
        <v>19</v>
      </c>
      <c r="R926" t="s">
        <v>442</v>
      </c>
      <c r="S926">
        <v>21254</v>
      </c>
      <c r="T926">
        <v>5</v>
      </c>
      <c r="U926">
        <f t="shared" si="42"/>
        <v>8</v>
      </c>
      <c r="V926">
        <f t="shared" si="43"/>
        <v>2024</v>
      </c>
      <c r="W926" t="str">
        <f t="shared" si="44"/>
        <v>2024-8</v>
      </c>
    </row>
    <row r="927" spans="16:23" x14ac:dyDescent="0.25">
      <c r="P927" t="s">
        <v>5</v>
      </c>
      <c r="Q927" t="s">
        <v>128</v>
      </c>
      <c r="R927" t="s">
        <v>442</v>
      </c>
      <c r="S927">
        <v>93054</v>
      </c>
      <c r="T927">
        <v>9</v>
      </c>
      <c r="U927">
        <f t="shared" si="42"/>
        <v>8</v>
      </c>
      <c r="V927">
        <f t="shared" si="43"/>
        <v>2024</v>
      </c>
      <c r="W927" t="str">
        <f t="shared" si="44"/>
        <v>2024-8</v>
      </c>
    </row>
    <row r="928" spans="16:23" x14ac:dyDescent="0.25">
      <c r="P928" t="s">
        <v>45</v>
      </c>
      <c r="Q928" t="s">
        <v>162</v>
      </c>
      <c r="R928" t="s">
        <v>442</v>
      </c>
      <c r="S928">
        <v>21888</v>
      </c>
      <c r="T928">
        <v>7</v>
      </c>
      <c r="U928">
        <f t="shared" si="42"/>
        <v>8</v>
      </c>
      <c r="V928">
        <f t="shared" si="43"/>
        <v>2024</v>
      </c>
      <c r="W928" t="str">
        <f t="shared" si="44"/>
        <v>2024-8</v>
      </c>
    </row>
    <row r="929" spans="16:23" x14ac:dyDescent="0.25">
      <c r="P929" t="s">
        <v>16</v>
      </c>
      <c r="Q929" t="s">
        <v>106</v>
      </c>
      <c r="R929" t="s">
        <v>442</v>
      </c>
      <c r="S929">
        <v>11808</v>
      </c>
      <c r="T929">
        <v>7</v>
      </c>
      <c r="U929">
        <f t="shared" si="42"/>
        <v>8</v>
      </c>
      <c r="V929">
        <f t="shared" si="43"/>
        <v>2024</v>
      </c>
      <c r="W929" t="str">
        <f t="shared" si="44"/>
        <v>2024-8</v>
      </c>
    </row>
    <row r="930" spans="16:23" x14ac:dyDescent="0.25">
      <c r="P930" t="s">
        <v>5</v>
      </c>
      <c r="Q930" t="s">
        <v>187</v>
      </c>
      <c r="R930" t="s">
        <v>443</v>
      </c>
      <c r="S930">
        <v>96082</v>
      </c>
      <c r="T930">
        <v>3</v>
      </c>
      <c r="U930">
        <f t="shared" si="42"/>
        <v>8</v>
      </c>
      <c r="V930">
        <f t="shared" si="43"/>
        <v>2024</v>
      </c>
      <c r="W930" t="str">
        <f t="shared" si="44"/>
        <v>2024-8</v>
      </c>
    </row>
    <row r="931" spans="16:23" x14ac:dyDescent="0.25">
      <c r="P931" t="s">
        <v>5</v>
      </c>
      <c r="Q931" t="s">
        <v>444</v>
      </c>
      <c r="R931" t="s">
        <v>443</v>
      </c>
      <c r="S931">
        <v>42249</v>
      </c>
      <c r="T931">
        <v>9</v>
      </c>
      <c r="U931">
        <f t="shared" si="42"/>
        <v>8</v>
      </c>
      <c r="V931">
        <f t="shared" si="43"/>
        <v>2024</v>
      </c>
      <c r="W931" t="str">
        <f t="shared" si="44"/>
        <v>2024-8</v>
      </c>
    </row>
    <row r="932" spans="16:23" x14ac:dyDescent="0.25">
      <c r="P932" t="s">
        <v>27</v>
      </c>
      <c r="Q932" t="s">
        <v>66</v>
      </c>
      <c r="R932" t="s">
        <v>445</v>
      </c>
      <c r="S932">
        <v>76334</v>
      </c>
      <c r="T932">
        <v>2</v>
      </c>
      <c r="U932">
        <f t="shared" si="42"/>
        <v>8</v>
      </c>
      <c r="V932">
        <f t="shared" si="43"/>
        <v>2024</v>
      </c>
      <c r="W932" t="str">
        <f t="shared" si="44"/>
        <v>2024-8</v>
      </c>
    </row>
    <row r="933" spans="16:23" x14ac:dyDescent="0.25">
      <c r="P933" t="s">
        <v>45</v>
      </c>
      <c r="Q933" t="s">
        <v>19</v>
      </c>
      <c r="R933" t="s">
        <v>445</v>
      </c>
      <c r="S933">
        <v>32646</v>
      </c>
      <c r="T933">
        <v>4</v>
      </c>
      <c r="U933">
        <f t="shared" si="42"/>
        <v>8</v>
      </c>
      <c r="V933">
        <f t="shared" si="43"/>
        <v>2024</v>
      </c>
      <c r="W933" t="str">
        <f t="shared" si="44"/>
        <v>2024-8</v>
      </c>
    </row>
    <row r="934" spans="16:23" x14ac:dyDescent="0.25">
      <c r="P934" t="s">
        <v>27</v>
      </c>
      <c r="Q934" t="s">
        <v>33</v>
      </c>
      <c r="R934" t="s">
        <v>446</v>
      </c>
      <c r="S934">
        <v>24913</v>
      </c>
      <c r="T934">
        <v>7</v>
      </c>
      <c r="U934">
        <f t="shared" si="42"/>
        <v>8</v>
      </c>
      <c r="V934">
        <f t="shared" si="43"/>
        <v>2024</v>
      </c>
      <c r="W934" t="str">
        <f t="shared" si="44"/>
        <v>2024-8</v>
      </c>
    </row>
    <row r="935" spans="16:23" x14ac:dyDescent="0.25">
      <c r="P935" t="s">
        <v>8</v>
      </c>
      <c r="Q935" t="s">
        <v>196</v>
      </c>
      <c r="R935" t="s">
        <v>446</v>
      </c>
      <c r="S935">
        <v>16979</v>
      </c>
      <c r="T935">
        <v>8</v>
      </c>
      <c r="U935">
        <f t="shared" si="42"/>
        <v>8</v>
      </c>
      <c r="V935">
        <f t="shared" si="43"/>
        <v>2024</v>
      </c>
      <c r="W935" t="str">
        <f t="shared" si="44"/>
        <v>2024-8</v>
      </c>
    </row>
    <row r="936" spans="16:23" x14ac:dyDescent="0.25">
      <c r="P936" t="s">
        <v>18</v>
      </c>
      <c r="Q936" t="s">
        <v>125</v>
      </c>
      <c r="R936" t="s">
        <v>446</v>
      </c>
      <c r="S936">
        <v>16800</v>
      </c>
      <c r="T936">
        <v>8</v>
      </c>
      <c r="U936">
        <f t="shared" si="42"/>
        <v>8</v>
      </c>
      <c r="V936">
        <f t="shared" si="43"/>
        <v>2024</v>
      </c>
      <c r="W936" t="str">
        <f t="shared" si="44"/>
        <v>2024-8</v>
      </c>
    </row>
    <row r="937" spans="16:23" x14ac:dyDescent="0.25">
      <c r="P937" t="s">
        <v>27</v>
      </c>
      <c r="Q937" t="s">
        <v>11</v>
      </c>
      <c r="R937" t="s">
        <v>446</v>
      </c>
      <c r="S937">
        <v>48323</v>
      </c>
      <c r="T937">
        <v>1</v>
      </c>
      <c r="U937">
        <f t="shared" si="42"/>
        <v>8</v>
      </c>
      <c r="V937">
        <f t="shared" si="43"/>
        <v>2024</v>
      </c>
      <c r="W937" t="str">
        <f t="shared" si="44"/>
        <v>2024-8</v>
      </c>
    </row>
    <row r="938" spans="16:23" x14ac:dyDescent="0.25">
      <c r="P938" t="s">
        <v>8</v>
      </c>
      <c r="Q938" t="s">
        <v>227</v>
      </c>
      <c r="R938" t="s">
        <v>446</v>
      </c>
      <c r="S938">
        <v>55920</v>
      </c>
      <c r="T938">
        <v>8</v>
      </c>
      <c r="U938">
        <f t="shared" si="42"/>
        <v>8</v>
      </c>
      <c r="V938">
        <f t="shared" si="43"/>
        <v>2024</v>
      </c>
      <c r="W938" t="str">
        <f t="shared" si="44"/>
        <v>2024-8</v>
      </c>
    </row>
    <row r="939" spans="16:23" x14ac:dyDescent="0.25">
      <c r="P939" t="s">
        <v>16</v>
      </c>
      <c r="Q939" t="s">
        <v>92</v>
      </c>
      <c r="R939" t="s">
        <v>446</v>
      </c>
      <c r="S939">
        <v>26819</v>
      </c>
      <c r="T939">
        <v>1</v>
      </c>
      <c r="U939">
        <f t="shared" si="42"/>
        <v>8</v>
      </c>
      <c r="V939">
        <f t="shared" si="43"/>
        <v>2024</v>
      </c>
      <c r="W939" t="str">
        <f t="shared" si="44"/>
        <v>2024-8</v>
      </c>
    </row>
    <row r="940" spans="16:23" x14ac:dyDescent="0.25">
      <c r="P940" t="s">
        <v>25</v>
      </c>
      <c r="Q940" t="s">
        <v>117</v>
      </c>
      <c r="R940" t="s">
        <v>446</v>
      </c>
      <c r="S940">
        <v>87568</v>
      </c>
      <c r="T940">
        <v>3</v>
      </c>
      <c r="U940">
        <f t="shared" si="42"/>
        <v>8</v>
      </c>
      <c r="V940">
        <f t="shared" si="43"/>
        <v>2024</v>
      </c>
      <c r="W940" t="str">
        <f t="shared" si="44"/>
        <v>2024-8</v>
      </c>
    </row>
    <row r="941" spans="16:23" x14ac:dyDescent="0.25">
      <c r="P941" t="s">
        <v>13</v>
      </c>
      <c r="Q941" t="s">
        <v>101</v>
      </c>
      <c r="R941" t="s">
        <v>446</v>
      </c>
      <c r="S941">
        <v>76342</v>
      </c>
      <c r="T941">
        <v>3</v>
      </c>
      <c r="U941">
        <f t="shared" si="42"/>
        <v>8</v>
      </c>
      <c r="V941">
        <f t="shared" si="43"/>
        <v>2024</v>
      </c>
      <c r="W941" t="str">
        <f t="shared" si="44"/>
        <v>2024-8</v>
      </c>
    </row>
    <row r="942" spans="16:23" x14ac:dyDescent="0.25">
      <c r="P942" t="s">
        <v>16</v>
      </c>
      <c r="Q942" t="s">
        <v>279</v>
      </c>
      <c r="R942" t="s">
        <v>446</v>
      </c>
      <c r="S942">
        <v>10352</v>
      </c>
      <c r="T942">
        <v>10</v>
      </c>
      <c r="U942">
        <f t="shared" si="42"/>
        <v>8</v>
      </c>
      <c r="V942">
        <f t="shared" si="43"/>
        <v>2024</v>
      </c>
      <c r="W942" t="str">
        <f t="shared" si="44"/>
        <v>2024-8</v>
      </c>
    </row>
    <row r="943" spans="16:23" x14ac:dyDescent="0.25">
      <c r="P943" t="s">
        <v>18</v>
      </c>
      <c r="Q943" t="s">
        <v>229</v>
      </c>
      <c r="R943" t="s">
        <v>447</v>
      </c>
      <c r="S943">
        <v>77038</v>
      </c>
      <c r="T943">
        <v>5</v>
      </c>
      <c r="U943">
        <f t="shared" si="42"/>
        <v>8</v>
      </c>
      <c r="V943">
        <f t="shared" si="43"/>
        <v>2024</v>
      </c>
      <c r="W943" t="str">
        <f t="shared" si="44"/>
        <v>2024-8</v>
      </c>
    </row>
    <row r="944" spans="16:23" x14ac:dyDescent="0.25">
      <c r="P944" t="s">
        <v>38</v>
      </c>
      <c r="Q944" t="s">
        <v>296</v>
      </c>
      <c r="R944" t="s">
        <v>448</v>
      </c>
      <c r="S944">
        <v>27077</v>
      </c>
      <c r="T944">
        <v>7</v>
      </c>
      <c r="U944">
        <f t="shared" si="42"/>
        <v>8</v>
      </c>
      <c r="V944">
        <f t="shared" si="43"/>
        <v>2024</v>
      </c>
      <c r="W944" t="str">
        <f t="shared" si="44"/>
        <v>2024-8</v>
      </c>
    </row>
    <row r="945" spans="16:23" x14ac:dyDescent="0.25">
      <c r="P945" t="s">
        <v>30</v>
      </c>
      <c r="Q945" t="s">
        <v>20</v>
      </c>
      <c r="R945" t="s">
        <v>448</v>
      </c>
      <c r="S945">
        <v>10110</v>
      </c>
      <c r="T945">
        <v>5</v>
      </c>
      <c r="U945">
        <f t="shared" si="42"/>
        <v>8</v>
      </c>
      <c r="V945">
        <f t="shared" si="43"/>
        <v>2024</v>
      </c>
      <c r="W945" t="str">
        <f t="shared" si="44"/>
        <v>2024-8</v>
      </c>
    </row>
    <row r="946" spans="16:23" x14ac:dyDescent="0.25">
      <c r="P946" t="s">
        <v>5</v>
      </c>
      <c r="Q946" t="s">
        <v>15</v>
      </c>
      <c r="R946" t="s">
        <v>448</v>
      </c>
      <c r="S946">
        <v>56192</v>
      </c>
      <c r="T946">
        <v>4</v>
      </c>
      <c r="U946">
        <f t="shared" si="42"/>
        <v>8</v>
      </c>
      <c r="V946">
        <f t="shared" si="43"/>
        <v>2024</v>
      </c>
      <c r="W946" t="str">
        <f t="shared" si="44"/>
        <v>2024-8</v>
      </c>
    </row>
    <row r="947" spans="16:23" x14ac:dyDescent="0.25">
      <c r="P947" t="s">
        <v>10</v>
      </c>
      <c r="Q947" t="s">
        <v>69</v>
      </c>
      <c r="R947" t="s">
        <v>449</v>
      </c>
      <c r="S947">
        <v>84230</v>
      </c>
      <c r="T947">
        <v>0</v>
      </c>
      <c r="U947">
        <f t="shared" si="42"/>
        <v>8</v>
      </c>
      <c r="V947">
        <f t="shared" si="43"/>
        <v>2024</v>
      </c>
      <c r="W947" t="str">
        <f t="shared" si="44"/>
        <v>2024-8</v>
      </c>
    </row>
    <row r="948" spans="16:23" x14ac:dyDescent="0.25">
      <c r="P948" t="s">
        <v>27</v>
      </c>
      <c r="Q948" t="s">
        <v>81</v>
      </c>
      <c r="R948" t="s">
        <v>449</v>
      </c>
      <c r="S948">
        <v>65909</v>
      </c>
      <c r="T948">
        <v>7</v>
      </c>
      <c r="U948">
        <f t="shared" si="42"/>
        <v>8</v>
      </c>
      <c r="V948">
        <f t="shared" si="43"/>
        <v>2024</v>
      </c>
      <c r="W948" t="str">
        <f t="shared" si="44"/>
        <v>2024-8</v>
      </c>
    </row>
    <row r="949" spans="16:23" x14ac:dyDescent="0.25">
      <c r="P949" t="s">
        <v>45</v>
      </c>
      <c r="Q949" t="s">
        <v>300</v>
      </c>
      <c r="R949" t="s">
        <v>449</v>
      </c>
      <c r="S949">
        <v>23931</v>
      </c>
      <c r="T949">
        <v>9</v>
      </c>
      <c r="U949">
        <f t="shared" si="42"/>
        <v>8</v>
      </c>
      <c r="V949">
        <f t="shared" si="43"/>
        <v>2024</v>
      </c>
      <c r="W949" t="str">
        <f t="shared" si="44"/>
        <v>2024-8</v>
      </c>
    </row>
    <row r="950" spans="16:23" x14ac:dyDescent="0.25">
      <c r="P950" t="s">
        <v>38</v>
      </c>
      <c r="Q950" t="s">
        <v>94</v>
      </c>
      <c r="R950" t="s">
        <v>449</v>
      </c>
      <c r="S950">
        <v>35818</v>
      </c>
      <c r="T950">
        <v>8</v>
      </c>
      <c r="U950">
        <f t="shared" si="42"/>
        <v>8</v>
      </c>
      <c r="V950">
        <f t="shared" si="43"/>
        <v>2024</v>
      </c>
      <c r="W950" t="str">
        <f t="shared" si="44"/>
        <v>2024-8</v>
      </c>
    </row>
    <row r="951" spans="16:23" x14ac:dyDescent="0.25">
      <c r="P951" t="s">
        <v>16</v>
      </c>
      <c r="Q951" t="s">
        <v>26</v>
      </c>
      <c r="R951" t="s">
        <v>450</v>
      </c>
      <c r="S951">
        <v>69806</v>
      </c>
      <c r="T951">
        <v>6</v>
      </c>
      <c r="U951">
        <f t="shared" si="42"/>
        <v>8</v>
      </c>
      <c r="V951">
        <f t="shared" si="43"/>
        <v>2024</v>
      </c>
      <c r="W951" t="str">
        <f t="shared" si="44"/>
        <v>2024-8</v>
      </c>
    </row>
    <row r="952" spans="16:23" x14ac:dyDescent="0.25">
      <c r="P952" t="s">
        <v>16</v>
      </c>
      <c r="Q952" t="s">
        <v>41</v>
      </c>
      <c r="R952" t="s">
        <v>450</v>
      </c>
      <c r="S952">
        <v>31565</v>
      </c>
      <c r="T952">
        <v>6</v>
      </c>
      <c r="U952">
        <f t="shared" si="42"/>
        <v>8</v>
      </c>
      <c r="V952">
        <f t="shared" si="43"/>
        <v>2024</v>
      </c>
      <c r="W952" t="str">
        <f t="shared" si="44"/>
        <v>2024-8</v>
      </c>
    </row>
    <row r="953" spans="16:23" x14ac:dyDescent="0.25">
      <c r="P953" t="s">
        <v>13</v>
      </c>
      <c r="Q953" t="s">
        <v>239</v>
      </c>
      <c r="R953" t="s">
        <v>450</v>
      </c>
      <c r="S953">
        <v>48185</v>
      </c>
      <c r="T953">
        <v>9</v>
      </c>
      <c r="U953">
        <f t="shared" si="42"/>
        <v>8</v>
      </c>
      <c r="V953">
        <f t="shared" si="43"/>
        <v>2024</v>
      </c>
      <c r="W953" t="str">
        <f t="shared" si="44"/>
        <v>2024-8</v>
      </c>
    </row>
    <row r="954" spans="16:23" x14ac:dyDescent="0.25">
      <c r="P954" t="s">
        <v>5</v>
      </c>
      <c r="Q954" t="s">
        <v>59</v>
      </c>
      <c r="R954" t="s">
        <v>450</v>
      </c>
      <c r="S954">
        <v>58063</v>
      </c>
      <c r="T954">
        <v>5</v>
      </c>
      <c r="U954">
        <f t="shared" si="42"/>
        <v>8</v>
      </c>
      <c r="V954">
        <f t="shared" si="43"/>
        <v>2024</v>
      </c>
      <c r="W954" t="str">
        <f t="shared" si="44"/>
        <v>2024-8</v>
      </c>
    </row>
    <row r="955" spans="16:23" x14ac:dyDescent="0.25">
      <c r="P955" t="s">
        <v>16</v>
      </c>
      <c r="Q955" t="s">
        <v>101</v>
      </c>
      <c r="R955" t="s">
        <v>450</v>
      </c>
      <c r="S955">
        <v>57308</v>
      </c>
      <c r="T955">
        <v>8</v>
      </c>
      <c r="U955">
        <f t="shared" si="42"/>
        <v>8</v>
      </c>
      <c r="V955">
        <f t="shared" si="43"/>
        <v>2024</v>
      </c>
      <c r="W955" t="str">
        <f t="shared" si="44"/>
        <v>2024-8</v>
      </c>
    </row>
    <row r="956" spans="16:23" x14ac:dyDescent="0.25">
      <c r="P956" t="s">
        <v>13</v>
      </c>
      <c r="Q956" t="s">
        <v>11</v>
      </c>
      <c r="R956" t="s">
        <v>451</v>
      </c>
      <c r="S956">
        <v>85016</v>
      </c>
      <c r="T956">
        <v>6</v>
      </c>
      <c r="U956">
        <f t="shared" si="42"/>
        <v>8</v>
      </c>
      <c r="V956">
        <f t="shared" si="43"/>
        <v>2024</v>
      </c>
      <c r="W956" t="str">
        <f t="shared" si="44"/>
        <v>2024-8</v>
      </c>
    </row>
    <row r="957" spans="16:23" x14ac:dyDescent="0.25">
      <c r="P957" t="s">
        <v>18</v>
      </c>
      <c r="Q957" t="s">
        <v>176</v>
      </c>
      <c r="R957" t="s">
        <v>451</v>
      </c>
      <c r="S957">
        <v>80393</v>
      </c>
      <c r="T957">
        <v>6</v>
      </c>
      <c r="U957">
        <f t="shared" si="42"/>
        <v>8</v>
      </c>
      <c r="V957">
        <f t="shared" si="43"/>
        <v>2024</v>
      </c>
      <c r="W957" t="str">
        <f t="shared" si="44"/>
        <v>2024-8</v>
      </c>
    </row>
    <row r="958" spans="16:23" x14ac:dyDescent="0.25">
      <c r="P958" t="s">
        <v>8</v>
      </c>
      <c r="Q958" t="s">
        <v>211</v>
      </c>
      <c r="R958" t="s">
        <v>451</v>
      </c>
      <c r="S958">
        <v>90220</v>
      </c>
      <c r="T958">
        <v>6</v>
      </c>
      <c r="U958">
        <f t="shared" si="42"/>
        <v>8</v>
      </c>
      <c r="V958">
        <f t="shared" si="43"/>
        <v>2024</v>
      </c>
      <c r="W958" t="str">
        <f t="shared" si="44"/>
        <v>2024-8</v>
      </c>
    </row>
    <row r="959" spans="16:23" x14ac:dyDescent="0.25">
      <c r="P959" t="s">
        <v>47</v>
      </c>
      <c r="Q959" t="s">
        <v>182</v>
      </c>
      <c r="R959" t="s">
        <v>451</v>
      </c>
      <c r="S959">
        <v>41449</v>
      </c>
      <c r="T959">
        <v>1</v>
      </c>
      <c r="U959">
        <f t="shared" si="42"/>
        <v>8</v>
      </c>
      <c r="V959">
        <f t="shared" si="43"/>
        <v>2024</v>
      </c>
      <c r="W959" t="str">
        <f t="shared" si="44"/>
        <v>2024-8</v>
      </c>
    </row>
    <row r="960" spans="16:23" x14ac:dyDescent="0.25">
      <c r="P960" t="s">
        <v>25</v>
      </c>
      <c r="Q960" t="s">
        <v>385</v>
      </c>
      <c r="R960" t="s">
        <v>451</v>
      </c>
      <c r="S960">
        <v>47717</v>
      </c>
      <c r="T960">
        <v>6</v>
      </c>
      <c r="U960">
        <f t="shared" si="42"/>
        <v>8</v>
      </c>
      <c r="V960">
        <f t="shared" si="43"/>
        <v>2024</v>
      </c>
      <c r="W960" t="str">
        <f t="shared" si="44"/>
        <v>2024-8</v>
      </c>
    </row>
    <row r="961" spans="16:23" x14ac:dyDescent="0.25">
      <c r="P961" t="s">
        <v>10</v>
      </c>
      <c r="Q961" t="s">
        <v>35</v>
      </c>
      <c r="R961" t="s">
        <v>451</v>
      </c>
      <c r="S961">
        <v>48159</v>
      </c>
      <c r="T961">
        <v>8</v>
      </c>
      <c r="U961">
        <f t="shared" si="42"/>
        <v>8</v>
      </c>
      <c r="V961">
        <f t="shared" si="43"/>
        <v>2024</v>
      </c>
      <c r="W961" t="str">
        <f t="shared" si="44"/>
        <v>2024-8</v>
      </c>
    </row>
    <row r="962" spans="16:23" x14ac:dyDescent="0.25">
      <c r="P962" t="s">
        <v>5</v>
      </c>
      <c r="Q962" t="s">
        <v>195</v>
      </c>
      <c r="R962" t="s">
        <v>452</v>
      </c>
      <c r="S962">
        <v>29634</v>
      </c>
      <c r="T962">
        <v>8</v>
      </c>
      <c r="U962">
        <f t="shared" si="42"/>
        <v>8</v>
      </c>
      <c r="V962">
        <f t="shared" si="43"/>
        <v>2024</v>
      </c>
      <c r="W962" t="str">
        <f t="shared" si="44"/>
        <v>2024-8</v>
      </c>
    </row>
    <row r="963" spans="16:23" x14ac:dyDescent="0.25">
      <c r="P963" t="s">
        <v>16</v>
      </c>
      <c r="Q963" t="s">
        <v>75</v>
      </c>
      <c r="R963" t="s">
        <v>452</v>
      </c>
      <c r="S963">
        <v>95509</v>
      </c>
      <c r="T963">
        <v>5</v>
      </c>
      <c r="U963">
        <f t="shared" ref="U963:U1001" si="45">MONTH(R963)</f>
        <v>8</v>
      </c>
      <c r="V963">
        <f t="shared" ref="V963:V1001" si="46">YEAR(R963)</f>
        <v>2024</v>
      </c>
      <c r="W963" t="str">
        <f t="shared" ref="W963:W1001" si="47">V963&amp;"-"&amp;U963</f>
        <v>2024-8</v>
      </c>
    </row>
    <row r="964" spans="16:23" x14ac:dyDescent="0.25">
      <c r="P964" t="s">
        <v>18</v>
      </c>
      <c r="Q964" t="s">
        <v>195</v>
      </c>
      <c r="R964" t="s">
        <v>452</v>
      </c>
      <c r="S964">
        <v>18535</v>
      </c>
      <c r="T964">
        <v>6</v>
      </c>
      <c r="U964">
        <f t="shared" si="45"/>
        <v>8</v>
      </c>
      <c r="V964">
        <f t="shared" si="46"/>
        <v>2024</v>
      </c>
      <c r="W964" t="str">
        <f t="shared" si="47"/>
        <v>2024-8</v>
      </c>
    </row>
    <row r="965" spans="16:23" x14ac:dyDescent="0.25">
      <c r="P965" t="s">
        <v>47</v>
      </c>
      <c r="Q965" t="s">
        <v>215</v>
      </c>
      <c r="R965" t="s">
        <v>452</v>
      </c>
      <c r="S965">
        <v>83992</v>
      </c>
      <c r="T965">
        <v>8</v>
      </c>
      <c r="U965">
        <f t="shared" si="45"/>
        <v>8</v>
      </c>
      <c r="V965">
        <f t="shared" si="46"/>
        <v>2024</v>
      </c>
      <c r="W965" t="str">
        <f t="shared" si="47"/>
        <v>2024-8</v>
      </c>
    </row>
    <row r="966" spans="16:23" x14ac:dyDescent="0.25">
      <c r="P966" t="s">
        <v>30</v>
      </c>
      <c r="Q966" t="s">
        <v>39</v>
      </c>
      <c r="R966" t="s">
        <v>453</v>
      </c>
      <c r="S966">
        <v>41258</v>
      </c>
      <c r="T966">
        <v>10</v>
      </c>
      <c r="U966">
        <f t="shared" si="45"/>
        <v>8</v>
      </c>
      <c r="V966">
        <f t="shared" si="46"/>
        <v>2024</v>
      </c>
      <c r="W966" t="str">
        <f t="shared" si="47"/>
        <v>2024-8</v>
      </c>
    </row>
    <row r="967" spans="16:23" x14ac:dyDescent="0.25">
      <c r="P967" t="s">
        <v>5</v>
      </c>
      <c r="Q967" t="s">
        <v>82</v>
      </c>
      <c r="R967" t="s">
        <v>453</v>
      </c>
      <c r="S967">
        <v>85855</v>
      </c>
      <c r="T967">
        <v>9</v>
      </c>
      <c r="U967">
        <f t="shared" si="45"/>
        <v>8</v>
      </c>
      <c r="V967">
        <f t="shared" si="46"/>
        <v>2024</v>
      </c>
      <c r="W967" t="str">
        <f t="shared" si="47"/>
        <v>2024-8</v>
      </c>
    </row>
    <row r="968" spans="16:23" x14ac:dyDescent="0.25">
      <c r="P968" t="s">
        <v>47</v>
      </c>
      <c r="Q968" t="s">
        <v>231</v>
      </c>
      <c r="R968" t="s">
        <v>454</v>
      </c>
      <c r="S968">
        <v>63302</v>
      </c>
      <c r="T968">
        <v>2</v>
      </c>
      <c r="U968">
        <f t="shared" si="45"/>
        <v>8</v>
      </c>
      <c r="V968">
        <f t="shared" si="46"/>
        <v>2024</v>
      </c>
      <c r="W968" t="str">
        <f t="shared" si="47"/>
        <v>2024-8</v>
      </c>
    </row>
    <row r="969" spans="16:23" x14ac:dyDescent="0.25">
      <c r="P969" t="s">
        <v>16</v>
      </c>
      <c r="Q969" t="s">
        <v>114</v>
      </c>
      <c r="R969" t="s">
        <v>454</v>
      </c>
      <c r="S969">
        <v>48275</v>
      </c>
      <c r="T969">
        <v>7</v>
      </c>
      <c r="U969">
        <f t="shared" si="45"/>
        <v>8</v>
      </c>
      <c r="V969">
        <f t="shared" si="46"/>
        <v>2024</v>
      </c>
      <c r="W969" t="str">
        <f t="shared" si="47"/>
        <v>2024-8</v>
      </c>
    </row>
    <row r="970" spans="16:23" x14ac:dyDescent="0.25">
      <c r="P970" t="s">
        <v>27</v>
      </c>
      <c r="Q970" t="s">
        <v>14</v>
      </c>
      <c r="R970" t="s">
        <v>454</v>
      </c>
      <c r="S970">
        <v>23511</v>
      </c>
      <c r="T970">
        <v>2</v>
      </c>
      <c r="U970">
        <f t="shared" si="45"/>
        <v>8</v>
      </c>
      <c r="V970">
        <f t="shared" si="46"/>
        <v>2024</v>
      </c>
      <c r="W970" t="str">
        <f t="shared" si="47"/>
        <v>2024-8</v>
      </c>
    </row>
    <row r="971" spans="16:23" x14ac:dyDescent="0.25">
      <c r="P971" t="s">
        <v>30</v>
      </c>
      <c r="Q971" t="s">
        <v>84</v>
      </c>
      <c r="R971" t="s">
        <v>454</v>
      </c>
      <c r="S971">
        <v>24002</v>
      </c>
      <c r="T971">
        <v>3</v>
      </c>
      <c r="U971">
        <f t="shared" si="45"/>
        <v>8</v>
      </c>
      <c r="V971">
        <f t="shared" si="46"/>
        <v>2024</v>
      </c>
      <c r="W971" t="str">
        <f t="shared" si="47"/>
        <v>2024-8</v>
      </c>
    </row>
    <row r="972" spans="16:23" x14ac:dyDescent="0.25">
      <c r="P972" t="s">
        <v>25</v>
      </c>
      <c r="Q972" t="s">
        <v>136</v>
      </c>
      <c r="R972" t="s">
        <v>454</v>
      </c>
      <c r="S972">
        <v>56672</v>
      </c>
      <c r="T972">
        <v>4</v>
      </c>
      <c r="U972">
        <f t="shared" si="45"/>
        <v>8</v>
      </c>
      <c r="V972">
        <f t="shared" si="46"/>
        <v>2024</v>
      </c>
      <c r="W972" t="str">
        <f t="shared" si="47"/>
        <v>2024-8</v>
      </c>
    </row>
    <row r="973" spans="16:23" x14ac:dyDescent="0.25">
      <c r="P973" t="s">
        <v>47</v>
      </c>
      <c r="Q973" t="s">
        <v>307</v>
      </c>
      <c r="R973" t="s">
        <v>454</v>
      </c>
      <c r="S973">
        <v>57491</v>
      </c>
      <c r="T973">
        <v>6</v>
      </c>
      <c r="U973">
        <f t="shared" si="45"/>
        <v>8</v>
      </c>
      <c r="V973">
        <f t="shared" si="46"/>
        <v>2024</v>
      </c>
      <c r="W973" t="str">
        <f t="shared" si="47"/>
        <v>2024-8</v>
      </c>
    </row>
    <row r="974" spans="16:23" x14ac:dyDescent="0.25">
      <c r="P974" t="s">
        <v>5</v>
      </c>
      <c r="Q974" t="s">
        <v>142</v>
      </c>
      <c r="R974" t="s">
        <v>454</v>
      </c>
      <c r="S974">
        <v>18142</v>
      </c>
      <c r="T974">
        <v>8</v>
      </c>
      <c r="U974">
        <f t="shared" si="45"/>
        <v>8</v>
      </c>
      <c r="V974">
        <f t="shared" si="46"/>
        <v>2024</v>
      </c>
      <c r="W974" t="str">
        <f t="shared" si="47"/>
        <v>2024-8</v>
      </c>
    </row>
    <row r="975" spans="16:23" x14ac:dyDescent="0.25">
      <c r="P975" t="s">
        <v>18</v>
      </c>
      <c r="Q975" t="s">
        <v>9</v>
      </c>
      <c r="R975" t="s">
        <v>455</v>
      </c>
      <c r="S975">
        <v>25819</v>
      </c>
      <c r="T975">
        <v>8</v>
      </c>
      <c r="U975">
        <f t="shared" si="45"/>
        <v>8</v>
      </c>
      <c r="V975">
        <f t="shared" si="46"/>
        <v>2024</v>
      </c>
      <c r="W975" t="str">
        <f t="shared" si="47"/>
        <v>2024-8</v>
      </c>
    </row>
    <row r="976" spans="16:23" x14ac:dyDescent="0.25">
      <c r="P976" t="s">
        <v>18</v>
      </c>
      <c r="Q976" t="s">
        <v>114</v>
      </c>
      <c r="R976" t="s">
        <v>455</v>
      </c>
      <c r="S976">
        <v>29208</v>
      </c>
      <c r="T976">
        <v>1</v>
      </c>
      <c r="U976">
        <f t="shared" si="45"/>
        <v>8</v>
      </c>
      <c r="V976">
        <f t="shared" si="46"/>
        <v>2024</v>
      </c>
      <c r="W976" t="str">
        <f t="shared" si="47"/>
        <v>2024-8</v>
      </c>
    </row>
    <row r="977" spans="16:23" x14ac:dyDescent="0.25">
      <c r="P977" t="s">
        <v>30</v>
      </c>
      <c r="Q977" t="s">
        <v>130</v>
      </c>
      <c r="R977" t="s">
        <v>455</v>
      </c>
      <c r="S977">
        <v>18477</v>
      </c>
      <c r="T977">
        <v>5</v>
      </c>
      <c r="U977">
        <f t="shared" si="45"/>
        <v>8</v>
      </c>
      <c r="V977">
        <f t="shared" si="46"/>
        <v>2024</v>
      </c>
      <c r="W977" t="str">
        <f t="shared" si="47"/>
        <v>2024-8</v>
      </c>
    </row>
    <row r="978" spans="16:23" x14ac:dyDescent="0.25">
      <c r="P978" t="s">
        <v>45</v>
      </c>
      <c r="Q978" t="s">
        <v>69</v>
      </c>
      <c r="R978" t="s">
        <v>455</v>
      </c>
      <c r="S978">
        <v>37012</v>
      </c>
      <c r="T978">
        <v>7</v>
      </c>
      <c r="U978">
        <f t="shared" si="45"/>
        <v>8</v>
      </c>
      <c r="V978">
        <f t="shared" si="46"/>
        <v>2024</v>
      </c>
      <c r="W978" t="str">
        <f t="shared" si="47"/>
        <v>2024-8</v>
      </c>
    </row>
    <row r="979" spans="16:23" x14ac:dyDescent="0.25">
      <c r="P979" t="s">
        <v>47</v>
      </c>
      <c r="Q979" t="s">
        <v>344</v>
      </c>
      <c r="R979" t="s">
        <v>456</v>
      </c>
      <c r="S979">
        <v>53461</v>
      </c>
      <c r="T979">
        <v>3</v>
      </c>
      <c r="U979">
        <f t="shared" si="45"/>
        <v>8</v>
      </c>
      <c r="V979">
        <f t="shared" si="46"/>
        <v>2024</v>
      </c>
      <c r="W979" t="str">
        <f t="shared" si="47"/>
        <v>2024-8</v>
      </c>
    </row>
    <row r="980" spans="16:23" x14ac:dyDescent="0.25">
      <c r="P980" t="s">
        <v>25</v>
      </c>
      <c r="Q980" t="s">
        <v>98</v>
      </c>
      <c r="R980" t="s">
        <v>456</v>
      </c>
      <c r="S980">
        <v>26874</v>
      </c>
      <c r="T980">
        <v>8</v>
      </c>
      <c r="U980">
        <f t="shared" si="45"/>
        <v>8</v>
      </c>
      <c r="V980">
        <f t="shared" si="46"/>
        <v>2024</v>
      </c>
      <c r="W980" t="str">
        <f t="shared" si="47"/>
        <v>2024-8</v>
      </c>
    </row>
    <row r="981" spans="16:23" x14ac:dyDescent="0.25">
      <c r="P981" t="s">
        <v>16</v>
      </c>
      <c r="Q981" t="s">
        <v>33</v>
      </c>
      <c r="R981" t="s">
        <v>456</v>
      </c>
      <c r="S981">
        <v>63560</v>
      </c>
      <c r="T981">
        <v>7</v>
      </c>
      <c r="U981">
        <f t="shared" si="45"/>
        <v>8</v>
      </c>
      <c r="V981">
        <f t="shared" si="46"/>
        <v>2024</v>
      </c>
      <c r="W981" t="str">
        <f t="shared" si="47"/>
        <v>2024-8</v>
      </c>
    </row>
    <row r="982" spans="16:23" x14ac:dyDescent="0.25">
      <c r="P982" t="s">
        <v>30</v>
      </c>
      <c r="Q982" t="s">
        <v>196</v>
      </c>
      <c r="R982" t="s">
        <v>456</v>
      </c>
      <c r="S982">
        <v>89531</v>
      </c>
      <c r="T982">
        <v>5</v>
      </c>
      <c r="U982">
        <f t="shared" si="45"/>
        <v>8</v>
      </c>
      <c r="V982">
        <f t="shared" si="46"/>
        <v>2024</v>
      </c>
      <c r="W982" t="str">
        <f t="shared" si="47"/>
        <v>2024-8</v>
      </c>
    </row>
    <row r="983" spans="16:23" x14ac:dyDescent="0.25">
      <c r="P983" t="s">
        <v>16</v>
      </c>
      <c r="Q983" t="s">
        <v>146</v>
      </c>
      <c r="R983" t="s">
        <v>456</v>
      </c>
      <c r="S983">
        <v>49508</v>
      </c>
      <c r="T983">
        <v>5</v>
      </c>
      <c r="U983">
        <f t="shared" si="45"/>
        <v>8</v>
      </c>
      <c r="V983">
        <f t="shared" si="46"/>
        <v>2024</v>
      </c>
      <c r="W983" t="str">
        <f t="shared" si="47"/>
        <v>2024-8</v>
      </c>
    </row>
    <row r="984" spans="16:23" x14ac:dyDescent="0.25">
      <c r="P984" t="s">
        <v>25</v>
      </c>
      <c r="Q984" t="s">
        <v>63</v>
      </c>
      <c r="R984" t="s">
        <v>456</v>
      </c>
      <c r="S984">
        <v>38600</v>
      </c>
      <c r="T984">
        <v>9</v>
      </c>
      <c r="U984">
        <f t="shared" si="45"/>
        <v>8</v>
      </c>
      <c r="V984">
        <f t="shared" si="46"/>
        <v>2024</v>
      </c>
      <c r="W984" t="str">
        <f t="shared" si="47"/>
        <v>2024-8</v>
      </c>
    </row>
    <row r="985" spans="16:23" x14ac:dyDescent="0.25">
      <c r="P985" t="s">
        <v>8</v>
      </c>
      <c r="Q985" t="s">
        <v>33</v>
      </c>
      <c r="R985" t="s">
        <v>456</v>
      </c>
      <c r="S985">
        <v>11556</v>
      </c>
      <c r="T985">
        <v>4</v>
      </c>
      <c r="U985">
        <f t="shared" si="45"/>
        <v>8</v>
      </c>
      <c r="V985">
        <f t="shared" si="46"/>
        <v>2024</v>
      </c>
      <c r="W985" t="str">
        <f t="shared" si="47"/>
        <v>2024-8</v>
      </c>
    </row>
    <row r="986" spans="16:23" x14ac:dyDescent="0.25">
      <c r="P986" t="s">
        <v>25</v>
      </c>
      <c r="Q986" t="s">
        <v>11</v>
      </c>
      <c r="R986" t="s">
        <v>456</v>
      </c>
      <c r="S986">
        <v>10985</v>
      </c>
      <c r="T986">
        <v>4</v>
      </c>
      <c r="U986">
        <f t="shared" si="45"/>
        <v>8</v>
      </c>
      <c r="V986">
        <f t="shared" si="46"/>
        <v>2024</v>
      </c>
      <c r="W986" t="str">
        <f t="shared" si="47"/>
        <v>2024-8</v>
      </c>
    </row>
    <row r="987" spans="16:23" x14ac:dyDescent="0.25">
      <c r="P987" t="s">
        <v>45</v>
      </c>
      <c r="Q987" t="s">
        <v>295</v>
      </c>
      <c r="R987" t="s">
        <v>456</v>
      </c>
      <c r="S987">
        <v>85767</v>
      </c>
      <c r="T987">
        <v>3</v>
      </c>
      <c r="U987">
        <f t="shared" si="45"/>
        <v>8</v>
      </c>
      <c r="V987">
        <f t="shared" si="46"/>
        <v>2024</v>
      </c>
      <c r="W987" t="str">
        <f t="shared" si="47"/>
        <v>2024-8</v>
      </c>
    </row>
    <row r="988" spans="16:23" x14ac:dyDescent="0.25">
      <c r="P988" t="s">
        <v>27</v>
      </c>
      <c r="Q988" t="s">
        <v>146</v>
      </c>
      <c r="R988" t="s">
        <v>456</v>
      </c>
      <c r="S988">
        <v>76128</v>
      </c>
      <c r="T988">
        <v>7</v>
      </c>
      <c r="U988">
        <f t="shared" si="45"/>
        <v>8</v>
      </c>
      <c r="V988">
        <f t="shared" si="46"/>
        <v>2024</v>
      </c>
      <c r="W988" t="str">
        <f t="shared" si="47"/>
        <v>2024-8</v>
      </c>
    </row>
    <row r="989" spans="16:23" x14ac:dyDescent="0.25">
      <c r="P989" t="s">
        <v>8</v>
      </c>
      <c r="Q989" t="s">
        <v>195</v>
      </c>
      <c r="R989" t="s">
        <v>457</v>
      </c>
      <c r="S989">
        <v>62813</v>
      </c>
      <c r="T989">
        <v>10</v>
      </c>
      <c r="U989">
        <f t="shared" si="45"/>
        <v>8</v>
      </c>
      <c r="V989">
        <f t="shared" si="46"/>
        <v>2024</v>
      </c>
      <c r="W989" t="str">
        <f t="shared" si="47"/>
        <v>2024-8</v>
      </c>
    </row>
    <row r="990" spans="16:23" x14ac:dyDescent="0.25">
      <c r="P990" t="s">
        <v>13</v>
      </c>
      <c r="Q990" t="s">
        <v>141</v>
      </c>
      <c r="R990" t="s">
        <v>457</v>
      </c>
      <c r="S990">
        <v>55228</v>
      </c>
      <c r="T990">
        <v>6</v>
      </c>
      <c r="U990">
        <f t="shared" si="45"/>
        <v>8</v>
      </c>
      <c r="V990">
        <f t="shared" si="46"/>
        <v>2024</v>
      </c>
      <c r="W990" t="str">
        <f t="shared" si="47"/>
        <v>2024-8</v>
      </c>
    </row>
    <row r="991" spans="16:23" x14ac:dyDescent="0.25">
      <c r="P991" t="s">
        <v>45</v>
      </c>
      <c r="Q991" t="s">
        <v>176</v>
      </c>
      <c r="R991" t="s">
        <v>457</v>
      </c>
      <c r="S991">
        <v>44261</v>
      </c>
      <c r="T991">
        <v>10</v>
      </c>
      <c r="U991">
        <f t="shared" si="45"/>
        <v>8</v>
      </c>
      <c r="V991">
        <f t="shared" si="46"/>
        <v>2024</v>
      </c>
      <c r="W991" t="str">
        <f t="shared" si="47"/>
        <v>2024-8</v>
      </c>
    </row>
    <row r="992" spans="16:23" x14ac:dyDescent="0.25">
      <c r="P992" t="s">
        <v>16</v>
      </c>
      <c r="Q992" t="s">
        <v>223</v>
      </c>
      <c r="R992" t="s">
        <v>458</v>
      </c>
      <c r="S992">
        <v>49562</v>
      </c>
      <c r="T992">
        <v>4</v>
      </c>
      <c r="U992">
        <f t="shared" si="45"/>
        <v>8</v>
      </c>
      <c r="V992">
        <f t="shared" si="46"/>
        <v>2024</v>
      </c>
      <c r="W992" t="str">
        <f t="shared" si="47"/>
        <v>2024-8</v>
      </c>
    </row>
    <row r="993" spans="16:23" x14ac:dyDescent="0.25">
      <c r="P993" t="s">
        <v>45</v>
      </c>
      <c r="Q993" t="s">
        <v>256</v>
      </c>
      <c r="R993" t="s">
        <v>458</v>
      </c>
      <c r="S993">
        <v>59038</v>
      </c>
      <c r="T993">
        <v>5</v>
      </c>
      <c r="U993">
        <f t="shared" si="45"/>
        <v>8</v>
      </c>
      <c r="V993">
        <f t="shared" si="46"/>
        <v>2024</v>
      </c>
      <c r="W993" t="str">
        <f t="shared" si="47"/>
        <v>2024-8</v>
      </c>
    </row>
    <row r="994" spans="16:23" x14ac:dyDescent="0.25">
      <c r="P994" t="s">
        <v>10</v>
      </c>
      <c r="Q994" t="s">
        <v>11</v>
      </c>
      <c r="R994" t="s">
        <v>459</v>
      </c>
      <c r="S994">
        <v>91020</v>
      </c>
      <c r="T994">
        <v>4</v>
      </c>
      <c r="U994">
        <f t="shared" si="45"/>
        <v>8</v>
      </c>
      <c r="V994">
        <f t="shared" si="46"/>
        <v>2024</v>
      </c>
      <c r="W994" t="str">
        <f t="shared" si="47"/>
        <v>2024-8</v>
      </c>
    </row>
    <row r="995" spans="16:23" x14ac:dyDescent="0.25">
      <c r="P995" t="s">
        <v>27</v>
      </c>
      <c r="Q995" t="s">
        <v>344</v>
      </c>
      <c r="R995" t="s">
        <v>459</v>
      </c>
      <c r="S995">
        <v>74297</v>
      </c>
      <c r="T995">
        <v>5</v>
      </c>
      <c r="U995">
        <f t="shared" si="45"/>
        <v>8</v>
      </c>
      <c r="V995">
        <f t="shared" si="46"/>
        <v>2024</v>
      </c>
      <c r="W995" t="str">
        <f t="shared" si="47"/>
        <v>2024-8</v>
      </c>
    </row>
    <row r="996" spans="16:23" x14ac:dyDescent="0.25">
      <c r="P996" t="s">
        <v>27</v>
      </c>
      <c r="Q996" t="s">
        <v>186</v>
      </c>
      <c r="R996" t="s">
        <v>459</v>
      </c>
      <c r="S996">
        <v>94413</v>
      </c>
      <c r="T996">
        <v>4</v>
      </c>
      <c r="U996">
        <f t="shared" si="45"/>
        <v>8</v>
      </c>
      <c r="V996">
        <f t="shared" si="46"/>
        <v>2024</v>
      </c>
      <c r="W996" t="str">
        <f t="shared" si="47"/>
        <v>2024-8</v>
      </c>
    </row>
    <row r="997" spans="16:23" x14ac:dyDescent="0.25">
      <c r="P997" t="s">
        <v>16</v>
      </c>
      <c r="Q997" t="s">
        <v>69</v>
      </c>
      <c r="R997" t="s">
        <v>459</v>
      </c>
      <c r="S997">
        <v>73835</v>
      </c>
      <c r="T997">
        <v>3</v>
      </c>
      <c r="U997">
        <f t="shared" si="45"/>
        <v>8</v>
      </c>
      <c r="V997">
        <f t="shared" si="46"/>
        <v>2024</v>
      </c>
      <c r="W997" t="str">
        <f t="shared" si="47"/>
        <v>2024-8</v>
      </c>
    </row>
    <row r="998" spans="16:23" x14ac:dyDescent="0.25">
      <c r="P998" t="s">
        <v>16</v>
      </c>
      <c r="Q998" t="s">
        <v>69</v>
      </c>
      <c r="R998" t="s">
        <v>460</v>
      </c>
      <c r="S998">
        <v>57679</v>
      </c>
      <c r="T998">
        <v>9</v>
      </c>
      <c r="U998">
        <f t="shared" si="45"/>
        <v>8</v>
      </c>
      <c r="V998">
        <f t="shared" si="46"/>
        <v>2024</v>
      </c>
      <c r="W998" t="str">
        <f t="shared" si="47"/>
        <v>2024-8</v>
      </c>
    </row>
    <row r="999" spans="16:23" x14ac:dyDescent="0.25">
      <c r="P999" t="s">
        <v>38</v>
      </c>
      <c r="Q999" t="s">
        <v>139</v>
      </c>
      <c r="R999" t="s">
        <v>460</v>
      </c>
      <c r="S999">
        <v>98328</v>
      </c>
      <c r="T999">
        <v>7</v>
      </c>
      <c r="U999">
        <f t="shared" si="45"/>
        <v>8</v>
      </c>
      <c r="V999">
        <f t="shared" si="46"/>
        <v>2024</v>
      </c>
      <c r="W999" t="str">
        <f t="shared" si="47"/>
        <v>2024-8</v>
      </c>
    </row>
    <row r="1000" spans="16:23" x14ac:dyDescent="0.25">
      <c r="P1000" t="s">
        <v>45</v>
      </c>
      <c r="Q1000" t="s">
        <v>256</v>
      </c>
      <c r="R1000" t="s">
        <v>461</v>
      </c>
      <c r="S1000">
        <v>16834</v>
      </c>
      <c r="T1000">
        <v>9</v>
      </c>
      <c r="U1000">
        <f t="shared" si="45"/>
        <v>9</v>
      </c>
      <c r="V1000">
        <f t="shared" si="46"/>
        <v>2024</v>
      </c>
      <c r="W1000" t="str">
        <f t="shared" si="47"/>
        <v>2024-9</v>
      </c>
    </row>
    <row r="1001" spans="16:23" x14ac:dyDescent="0.25">
      <c r="P1001" t="s">
        <v>27</v>
      </c>
      <c r="Q1001" t="s">
        <v>217</v>
      </c>
      <c r="R1001" t="s">
        <v>461</v>
      </c>
      <c r="S1001">
        <v>80783</v>
      </c>
      <c r="T1001">
        <v>6</v>
      </c>
      <c r="U1001">
        <f t="shared" si="45"/>
        <v>9</v>
      </c>
      <c r="V1001">
        <f t="shared" si="46"/>
        <v>2024</v>
      </c>
      <c r="W1001" t="str">
        <f t="shared" si="47"/>
        <v>2024-9</v>
      </c>
    </row>
  </sheetData>
  <phoneticPr fontId="7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D2202F-9CCB-436E-8838-B35E0F36459E}">
  <dimension ref="A1:Y1001"/>
  <sheetViews>
    <sheetView workbookViewId="0">
      <selection activeCell="B2" sqref="B2:N13"/>
    </sheetView>
  </sheetViews>
  <sheetFormatPr defaultRowHeight="15" x14ac:dyDescent="0.25"/>
  <cols>
    <col min="1" max="1" width="31.85546875" customWidth="1"/>
    <col min="18" max="19" width="33" customWidth="1"/>
    <col min="20" max="20" width="12" hidden="1" customWidth="1"/>
    <col min="21" max="21" width="15" hidden="1" customWidth="1"/>
    <col min="22" max="22" width="8.140625" customWidth="1"/>
    <col min="23" max="23" width="0" hidden="1" customWidth="1"/>
    <col min="24" max="24" width="8.42578125" hidden="1" customWidth="1"/>
    <col min="25" max="25" width="11.5703125" style="26" customWidth="1"/>
  </cols>
  <sheetData>
    <row r="1" spans="1:25" x14ac:dyDescent="0.25">
      <c r="A1" s="1"/>
      <c r="B1" s="31" t="s">
        <v>495</v>
      </c>
      <c r="C1" s="31" t="s">
        <v>496</v>
      </c>
      <c r="D1" s="31" t="s">
        <v>497</v>
      </c>
      <c r="E1" s="31" t="s">
        <v>498</v>
      </c>
      <c r="F1" s="31" t="s">
        <v>499</v>
      </c>
      <c r="G1" s="31" t="s">
        <v>500</v>
      </c>
      <c r="H1" s="31" t="s">
        <v>501</v>
      </c>
      <c r="I1" s="31" t="s">
        <v>502</v>
      </c>
      <c r="J1" s="31" t="s">
        <v>503</v>
      </c>
      <c r="K1" s="31" t="s">
        <v>504</v>
      </c>
      <c r="L1" s="31" t="s">
        <v>505</v>
      </c>
      <c r="M1" s="31" t="s">
        <v>506</v>
      </c>
      <c r="N1" s="31" t="s">
        <v>507</v>
      </c>
      <c r="R1" s="1" t="s">
        <v>0</v>
      </c>
      <c r="S1" s="1" t="s">
        <v>1</v>
      </c>
      <c r="T1" s="1" t="s">
        <v>2</v>
      </c>
      <c r="U1" s="1" t="s">
        <v>3</v>
      </c>
      <c r="V1" s="1" t="s">
        <v>4</v>
      </c>
      <c r="W1" s="29" t="s">
        <v>526</v>
      </c>
      <c r="X1" s="29" t="s">
        <v>527</v>
      </c>
      <c r="Y1" s="32" t="s">
        <v>525</v>
      </c>
    </row>
    <row r="2" spans="1:25" x14ac:dyDescent="0.25">
      <c r="A2" s="7" t="s">
        <v>25</v>
      </c>
      <c r="B2" s="30">
        <f>(COUNTIFS($R$2:$R$1001,$A2,$Y$2:$Y$1001,B$1,$V$2:$V$1001,"&gt;=9") - (COUNTIFS($R$2:$R$1001,$A2,$Y$2:$Y$1001,B$1,$V$2:$V$1001,"&lt;=6"))) / COUNTIFS($R$2:$R$1001,$A2,$Y$2:$Y$1001,B$1,$V$2:$V$1001,"&gt;0")</f>
        <v>-0.2</v>
      </c>
      <c r="C2" s="30">
        <f t="shared" ref="C2:N13" si="0">(COUNTIFS($R$2:$R$1001,$A2,$Y$2:$Y$1001,C$1,$V$2:$V$1001,"&gt;=9") - (COUNTIFS($R$2:$R$1001,$A2,$Y$2:$Y$1001,C$1,$V$2:$V$1001,"&lt;=6"))) / COUNTIFS($R$2:$R$1001,$A2,$Y$2:$Y$1001,C$1,$V$2:$V$1001,"&gt;0")</f>
        <v>0.16666666666666666</v>
      </c>
      <c r="D2" s="30">
        <f t="shared" si="0"/>
        <v>-0.33333333333333331</v>
      </c>
      <c r="E2" s="30">
        <f t="shared" si="0"/>
        <v>-0.1111111111111111</v>
      </c>
      <c r="F2" s="30">
        <f t="shared" si="0"/>
        <v>-0.42857142857142855</v>
      </c>
      <c r="G2" s="30">
        <f t="shared" si="0"/>
        <v>-0.75</v>
      </c>
      <c r="H2" s="30">
        <f t="shared" si="0"/>
        <v>-0.42857142857142855</v>
      </c>
      <c r="I2" s="30">
        <f t="shared" si="0"/>
        <v>-0.6</v>
      </c>
      <c r="J2" s="30">
        <f t="shared" si="0"/>
        <v>0</v>
      </c>
      <c r="K2" s="30">
        <f t="shared" si="0"/>
        <v>-0.33333333333333331</v>
      </c>
      <c r="L2" s="30">
        <f t="shared" si="0"/>
        <v>-0.5</v>
      </c>
      <c r="M2" s="30">
        <f t="shared" si="0"/>
        <v>-0.5714285714285714</v>
      </c>
      <c r="N2" s="30" t="e">
        <f>(COUNTIFS($R$2:$R$1001,$A2,$Y$2:$Y$1001,N$1,$V$2:$V$1001,"&gt;=9") - (COUNTIFS($R$2:$R$1001,$A2,$Y$2:$Y$1001,N$1,$V$2:$V$1001,"&lt;=6"))) / COUNTIFS($R$2:$R$1001,$A2,$Y$2:$Y$1001,N$1,$V$2:$V$1001,"&gt;0")</f>
        <v>#DIV/0!</v>
      </c>
      <c r="R2" t="s">
        <v>25</v>
      </c>
      <c r="S2" t="s">
        <v>26</v>
      </c>
      <c r="T2" t="s">
        <v>23</v>
      </c>
      <c r="U2">
        <v>75327</v>
      </c>
      <c r="V2">
        <v>8</v>
      </c>
      <c r="W2">
        <f>MONTH(T2)</f>
        <v>9</v>
      </c>
      <c r="X2">
        <f>YEAR(T2)</f>
        <v>2023</v>
      </c>
      <c r="Y2" s="26" t="str">
        <f>X2&amp;"-"&amp;W2</f>
        <v>2023-9</v>
      </c>
    </row>
    <row r="3" spans="1:25" x14ac:dyDescent="0.25">
      <c r="A3" s="7" t="s">
        <v>5</v>
      </c>
      <c r="B3" s="30">
        <f t="shared" ref="B3:B13" si="1">(COUNTIFS($R$2:$R$1001,$A3,$Y$2:$Y$1001,B$1,$V$2:$V$1001,"&gt;=9") - (COUNTIFS($R$2:$R$1001,$A3,$Y$2:$Y$1001,B$1,$V$2:$V$1001,"&lt;=6"))) / COUNTIFS($R$2:$R$1001,$A3,$Y$2:$Y$1001,B$1,$V$2:$V$1001,"&gt;0")</f>
        <v>-0.14285714285714285</v>
      </c>
      <c r="C3" s="30">
        <f t="shared" si="0"/>
        <v>-0.55555555555555558</v>
      </c>
      <c r="D3" s="30">
        <f t="shared" si="0"/>
        <v>-0.5</v>
      </c>
      <c r="E3" s="30">
        <f t="shared" si="0"/>
        <v>-0.4</v>
      </c>
      <c r="F3" s="30">
        <f t="shared" si="0"/>
        <v>0</v>
      </c>
      <c r="G3" s="30">
        <f t="shared" si="0"/>
        <v>-0.4</v>
      </c>
      <c r="H3" s="30">
        <f t="shared" si="0"/>
        <v>-0.45454545454545453</v>
      </c>
      <c r="I3" s="30">
        <f t="shared" si="0"/>
        <v>0</v>
      </c>
      <c r="J3" s="30">
        <f t="shared" si="0"/>
        <v>0.5</v>
      </c>
      <c r="K3" s="30">
        <f t="shared" si="0"/>
        <v>-0.75</v>
      </c>
      <c r="L3" s="30">
        <f t="shared" si="0"/>
        <v>-0.25</v>
      </c>
      <c r="M3" s="30">
        <f t="shared" si="0"/>
        <v>0</v>
      </c>
      <c r="N3" s="30" t="e">
        <f t="shared" si="0"/>
        <v>#DIV/0!</v>
      </c>
      <c r="R3" t="s">
        <v>25</v>
      </c>
      <c r="S3" t="s">
        <v>33</v>
      </c>
      <c r="T3" t="s">
        <v>34</v>
      </c>
      <c r="U3">
        <v>35787</v>
      </c>
      <c r="V3">
        <v>1</v>
      </c>
      <c r="W3">
        <f>MONTH(T3)</f>
        <v>9</v>
      </c>
      <c r="X3">
        <f>YEAR(T3)</f>
        <v>2023</v>
      </c>
      <c r="Y3" s="26" t="str">
        <f>X3&amp;"-"&amp;W3</f>
        <v>2023-9</v>
      </c>
    </row>
    <row r="4" spans="1:25" x14ac:dyDescent="0.25">
      <c r="A4" s="7" t="s">
        <v>13</v>
      </c>
      <c r="B4" s="30">
        <f t="shared" si="1"/>
        <v>0.16666666666666666</v>
      </c>
      <c r="C4" s="30">
        <f t="shared" si="0"/>
        <v>-0.18181818181818182</v>
      </c>
      <c r="D4" s="30">
        <f t="shared" si="0"/>
        <v>-0.2</v>
      </c>
      <c r="E4" s="30">
        <f t="shared" si="0"/>
        <v>-0.5</v>
      </c>
      <c r="F4" s="30">
        <f t="shared" si="0"/>
        <v>-0.5</v>
      </c>
      <c r="G4" s="30">
        <f t="shared" si="0"/>
        <v>-0.5</v>
      </c>
      <c r="H4" s="30">
        <f t="shared" si="0"/>
        <v>-0.66666666666666663</v>
      </c>
      <c r="I4" s="30">
        <f t="shared" si="0"/>
        <v>-0.66666666666666663</v>
      </c>
      <c r="J4" s="30">
        <f t="shared" si="0"/>
        <v>-0.72727272727272729</v>
      </c>
      <c r="K4" s="30">
        <f t="shared" si="0"/>
        <v>-0.16666666666666666</v>
      </c>
      <c r="L4" s="30">
        <f t="shared" si="0"/>
        <v>-0.75</v>
      </c>
      <c r="M4" s="30">
        <f t="shared" si="0"/>
        <v>-0.33333333333333331</v>
      </c>
      <c r="N4" s="30" t="e">
        <f t="shared" si="0"/>
        <v>#DIV/0!</v>
      </c>
      <c r="R4" t="s">
        <v>25</v>
      </c>
      <c r="S4" t="s">
        <v>57</v>
      </c>
      <c r="T4" t="s">
        <v>56</v>
      </c>
      <c r="U4">
        <v>48097</v>
      </c>
      <c r="V4">
        <v>9</v>
      </c>
      <c r="W4">
        <f>MONTH(T4)</f>
        <v>9</v>
      </c>
      <c r="X4">
        <f>YEAR(T4)</f>
        <v>2023</v>
      </c>
      <c r="Y4" s="26" t="str">
        <f>X4&amp;"-"&amp;W4</f>
        <v>2023-9</v>
      </c>
    </row>
    <row r="5" spans="1:25" x14ac:dyDescent="0.25">
      <c r="A5" s="7" t="s">
        <v>38</v>
      </c>
      <c r="B5" s="30">
        <f t="shared" si="1"/>
        <v>0</v>
      </c>
      <c r="C5" s="30">
        <f t="shared" si="0"/>
        <v>-0.5</v>
      </c>
      <c r="D5" s="30">
        <f t="shared" si="0"/>
        <v>-0.5</v>
      </c>
      <c r="E5" s="30">
        <f t="shared" si="0"/>
        <v>-0.5</v>
      </c>
      <c r="F5" s="30">
        <f t="shared" si="0"/>
        <v>-0.8</v>
      </c>
      <c r="G5" s="30">
        <f t="shared" si="0"/>
        <v>-1</v>
      </c>
      <c r="H5" s="30">
        <f t="shared" si="0"/>
        <v>-0.5</v>
      </c>
      <c r="I5" s="30">
        <f t="shared" si="0"/>
        <v>-0.66666666666666663</v>
      </c>
      <c r="J5" s="30">
        <f t="shared" si="0"/>
        <v>-0.33333333333333331</v>
      </c>
      <c r="K5" s="30">
        <f t="shared" si="0"/>
        <v>-0.5714285714285714</v>
      </c>
      <c r="L5" s="30">
        <f t="shared" si="0"/>
        <v>-0.16666666666666666</v>
      </c>
      <c r="M5" s="30">
        <f t="shared" si="0"/>
        <v>0.33333333333333331</v>
      </c>
      <c r="N5" s="30" t="e">
        <f t="shared" si="0"/>
        <v>#DIV/0!</v>
      </c>
      <c r="R5" t="s">
        <v>25</v>
      </c>
      <c r="S5" t="s">
        <v>89</v>
      </c>
      <c r="T5" t="s">
        <v>87</v>
      </c>
      <c r="U5">
        <v>92084</v>
      </c>
      <c r="V5">
        <v>4</v>
      </c>
      <c r="W5">
        <f>MONTH(T5)</f>
        <v>9</v>
      </c>
      <c r="X5">
        <f>YEAR(T5)</f>
        <v>2023</v>
      </c>
      <c r="Y5" s="26" t="str">
        <f>X5&amp;"-"&amp;W5</f>
        <v>2023-9</v>
      </c>
    </row>
    <row r="6" spans="1:25" x14ac:dyDescent="0.25">
      <c r="A6" s="7" t="s">
        <v>45</v>
      </c>
      <c r="B6" s="30">
        <f t="shared" si="1"/>
        <v>0</v>
      </c>
      <c r="C6" s="30">
        <f t="shared" si="0"/>
        <v>-0.7142857142857143</v>
      </c>
      <c r="D6" s="30">
        <f t="shared" si="0"/>
        <v>-0.5</v>
      </c>
      <c r="E6" s="30">
        <f t="shared" si="0"/>
        <v>-0.5</v>
      </c>
      <c r="F6" s="30">
        <f t="shared" si="0"/>
        <v>0.125</v>
      </c>
      <c r="G6" s="30">
        <f t="shared" si="0"/>
        <v>-0.45454545454545453</v>
      </c>
      <c r="H6" s="30">
        <f t="shared" si="0"/>
        <v>-0.83333333333333337</v>
      </c>
      <c r="I6" s="30">
        <f t="shared" si="0"/>
        <v>-0.75</v>
      </c>
      <c r="J6" s="30">
        <f t="shared" si="0"/>
        <v>0</v>
      </c>
      <c r="K6" s="30">
        <f t="shared" si="0"/>
        <v>-0.14285714285714285</v>
      </c>
      <c r="L6" s="30">
        <f t="shared" si="0"/>
        <v>-0.66666666666666663</v>
      </c>
      <c r="M6" s="30">
        <f t="shared" si="0"/>
        <v>0</v>
      </c>
      <c r="N6" s="30">
        <f t="shared" si="0"/>
        <v>1</v>
      </c>
      <c r="R6" t="s">
        <v>25</v>
      </c>
      <c r="S6" t="s">
        <v>91</v>
      </c>
      <c r="T6" t="s">
        <v>87</v>
      </c>
      <c r="U6">
        <v>53861</v>
      </c>
      <c r="V6">
        <v>8</v>
      </c>
      <c r="W6">
        <f>MONTH(T6)</f>
        <v>9</v>
      </c>
      <c r="X6">
        <f>YEAR(T6)</f>
        <v>2023</v>
      </c>
      <c r="Y6" s="26" t="str">
        <f>X6&amp;"-"&amp;W6</f>
        <v>2023-9</v>
      </c>
    </row>
    <row r="7" spans="1:25" x14ac:dyDescent="0.25">
      <c r="A7" s="7" t="s">
        <v>47</v>
      </c>
      <c r="B7" s="30">
        <f t="shared" si="1"/>
        <v>-1</v>
      </c>
      <c r="C7" s="30">
        <f t="shared" si="0"/>
        <v>-0.33333333333333331</v>
      </c>
      <c r="D7" s="30">
        <f t="shared" si="0"/>
        <v>-0.5</v>
      </c>
      <c r="E7" s="30">
        <f t="shared" si="0"/>
        <v>-0.6</v>
      </c>
      <c r="F7" s="30">
        <f t="shared" si="0"/>
        <v>-0.88888888888888884</v>
      </c>
      <c r="G7" s="30">
        <f t="shared" si="0"/>
        <v>-0.375</v>
      </c>
      <c r="H7" s="30">
        <f t="shared" si="0"/>
        <v>-0.66666666666666663</v>
      </c>
      <c r="I7" s="30">
        <f t="shared" si="0"/>
        <v>-0.375</v>
      </c>
      <c r="J7" s="30">
        <f t="shared" si="0"/>
        <v>0</v>
      </c>
      <c r="K7" s="30">
        <f t="shared" si="0"/>
        <v>-0.45454545454545453</v>
      </c>
      <c r="L7" s="30">
        <f t="shared" si="0"/>
        <v>-0.2</v>
      </c>
      <c r="M7" s="30">
        <f t="shared" si="0"/>
        <v>-0.5</v>
      </c>
      <c r="N7" s="30" t="e">
        <f t="shared" si="0"/>
        <v>#DIV/0!</v>
      </c>
      <c r="R7" t="s">
        <v>25</v>
      </c>
      <c r="S7" t="s">
        <v>117</v>
      </c>
      <c r="T7" t="s">
        <v>115</v>
      </c>
      <c r="U7">
        <v>92723</v>
      </c>
      <c r="V7">
        <v>9</v>
      </c>
      <c r="W7">
        <f>MONTH(T7)</f>
        <v>10</v>
      </c>
      <c r="X7">
        <f>YEAR(T7)</f>
        <v>2023</v>
      </c>
      <c r="Y7" s="26" t="str">
        <f>X7&amp;"-"&amp;W7</f>
        <v>2023-10</v>
      </c>
    </row>
    <row r="8" spans="1:25" x14ac:dyDescent="0.25">
      <c r="A8" s="7" t="s">
        <v>18</v>
      </c>
      <c r="B8" s="30">
        <f t="shared" si="1"/>
        <v>-0.75</v>
      </c>
      <c r="C8" s="30">
        <f t="shared" si="0"/>
        <v>-0.33333333333333331</v>
      </c>
      <c r="D8" s="30">
        <f t="shared" si="0"/>
        <v>-0.5</v>
      </c>
      <c r="E8" s="30">
        <f t="shared" si="0"/>
        <v>0.33333333333333331</v>
      </c>
      <c r="F8" s="30">
        <f t="shared" si="0"/>
        <v>0</v>
      </c>
      <c r="G8" s="30">
        <f t="shared" si="0"/>
        <v>-0.16666666666666666</v>
      </c>
      <c r="H8" s="30">
        <f t="shared" si="0"/>
        <v>-0.33333333333333331</v>
      </c>
      <c r="I8" s="30">
        <f t="shared" si="0"/>
        <v>-0.2</v>
      </c>
      <c r="J8" s="30">
        <f t="shared" si="0"/>
        <v>-0.33333333333333331</v>
      </c>
      <c r="K8" s="30">
        <f t="shared" si="0"/>
        <v>-0.375</v>
      </c>
      <c r="L8" s="30">
        <f t="shared" si="0"/>
        <v>-0.875</v>
      </c>
      <c r="M8" s="30">
        <f t="shared" si="0"/>
        <v>-0.66666666666666663</v>
      </c>
      <c r="N8" s="30" t="e">
        <f t="shared" si="0"/>
        <v>#DIV/0!</v>
      </c>
      <c r="R8" t="s">
        <v>25</v>
      </c>
      <c r="S8" t="s">
        <v>126</v>
      </c>
      <c r="T8" t="s">
        <v>120</v>
      </c>
      <c r="U8">
        <v>30795</v>
      </c>
      <c r="V8">
        <v>7</v>
      </c>
      <c r="W8">
        <f>MONTH(T8)</f>
        <v>10</v>
      </c>
      <c r="X8">
        <f>YEAR(T8)</f>
        <v>2023</v>
      </c>
      <c r="Y8" s="26" t="str">
        <f>X8&amp;"-"&amp;W8</f>
        <v>2023-10</v>
      </c>
    </row>
    <row r="9" spans="1:25" x14ac:dyDescent="0.25">
      <c r="A9" s="7" t="s">
        <v>10</v>
      </c>
      <c r="B9" s="30">
        <f t="shared" si="1"/>
        <v>-0.1</v>
      </c>
      <c r="C9" s="30">
        <f t="shared" si="0"/>
        <v>-1</v>
      </c>
      <c r="D9" s="30">
        <f t="shared" si="0"/>
        <v>-0.5</v>
      </c>
      <c r="E9" s="30">
        <f t="shared" si="0"/>
        <v>0</v>
      </c>
      <c r="F9" s="30">
        <f t="shared" si="0"/>
        <v>-0.7142857142857143</v>
      </c>
      <c r="G9" s="30">
        <f t="shared" si="0"/>
        <v>-0.66666666666666663</v>
      </c>
      <c r="H9" s="30">
        <f t="shared" si="0"/>
        <v>0</v>
      </c>
      <c r="I9" s="30">
        <f t="shared" si="0"/>
        <v>-0.2857142857142857</v>
      </c>
      <c r="J9" s="30">
        <f t="shared" si="0"/>
        <v>-0.45454545454545453</v>
      </c>
      <c r="K9" s="30">
        <f t="shared" si="0"/>
        <v>-0.42857142857142855</v>
      </c>
      <c r="L9" s="30">
        <f t="shared" si="0"/>
        <v>-0.6</v>
      </c>
      <c r="M9" s="30">
        <f t="shared" si="0"/>
        <v>-0.66666666666666663</v>
      </c>
      <c r="N9" s="30" t="e">
        <f t="shared" si="0"/>
        <v>#DIV/0!</v>
      </c>
      <c r="R9" t="s">
        <v>25</v>
      </c>
      <c r="S9" t="s">
        <v>129</v>
      </c>
      <c r="T9" t="s">
        <v>127</v>
      </c>
      <c r="U9">
        <v>24227</v>
      </c>
      <c r="V9">
        <v>2</v>
      </c>
      <c r="W9">
        <f>MONTH(T9)</f>
        <v>10</v>
      </c>
      <c r="X9">
        <f>YEAR(T9)</f>
        <v>2023</v>
      </c>
      <c r="Y9" s="26" t="str">
        <f>X9&amp;"-"&amp;W9</f>
        <v>2023-10</v>
      </c>
    </row>
    <row r="10" spans="1:25" x14ac:dyDescent="0.25">
      <c r="A10" s="7" t="s">
        <v>8</v>
      </c>
      <c r="B10" s="30">
        <f t="shared" si="1"/>
        <v>-0.42857142857142855</v>
      </c>
      <c r="C10" s="30">
        <f t="shared" si="0"/>
        <v>-0.36363636363636365</v>
      </c>
      <c r="D10" s="30">
        <f t="shared" si="0"/>
        <v>-0.7142857142857143</v>
      </c>
      <c r="E10" s="30">
        <f t="shared" si="0"/>
        <v>-0.42857142857142855</v>
      </c>
      <c r="F10" s="30">
        <f t="shared" si="0"/>
        <v>-0.66666666666666663</v>
      </c>
      <c r="G10" s="30">
        <f t="shared" si="0"/>
        <v>-0.5</v>
      </c>
      <c r="H10" s="30">
        <f t="shared" si="0"/>
        <v>-0.42857142857142855</v>
      </c>
      <c r="I10" s="30">
        <f t="shared" si="0"/>
        <v>0</v>
      </c>
      <c r="J10" s="30">
        <f t="shared" si="0"/>
        <v>-0.375</v>
      </c>
      <c r="K10" s="30">
        <f t="shared" si="0"/>
        <v>0</v>
      </c>
      <c r="L10" s="30">
        <f t="shared" si="0"/>
        <v>-0.75</v>
      </c>
      <c r="M10" s="30">
        <f t="shared" si="0"/>
        <v>0</v>
      </c>
      <c r="N10" s="30" t="e">
        <f t="shared" si="0"/>
        <v>#DIV/0!</v>
      </c>
      <c r="R10" t="s">
        <v>25</v>
      </c>
      <c r="S10" t="s">
        <v>22</v>
      </c>
      <c r="T10" t="s">
        <v>145</v>
      </c>
      <c r="U10">
        <v>97346</v>
      </c>
      <c r="V10">
        <v>7</v>
      </c>
      <c r="W10">
        <f>MONTH(T10)</f>
        <v>10</v>
      </c>
      <c r="X10">
        <f>YEAR(T10)</f>
        <v>2023</v>
      </c>
      <c r="Y10" s="26" t="str">
        <f>X10&amp;"-"&amp;W10</f>
        <v>2023-10</v>
      </c>
    </row>
    <row r="11" spans="1:25" x14ac:dyDescent="0.25">
      <c r="A11" s="7" t="s">
        <v>27</v>
      </c>
      <c r="B11" s="30">
        <f t="shared" si="1"/>
        <v>-0.75</v>
      </c>
      <c r="C11" s="30">
        <f t="shared" si="0"/>
        <v>-0.375</v>
      </c>
      <c r="D11" s="30">
        <f t="shared" si="0"/>
        <v>-0.42857142857142855</v>
      </c>
      <c r="E11" s="30">
        <f t="shared" si="0"/>
        <v>-1</v>
      </c>
      <c r="F11" s="30">
        <f t="shared" si="0"/>
        <v>-0.33333333333333331</v>
      </c>
      <c r="G11" s="30">
        <f t="shared" si="0"/>
        <v>-0.66666666666666663</v>
      </c>
      <c r="H11" s="30">
        <f t="shared" si="0"/>
        <v>-0.66666666666666663</v>
      </c>
      <c r="I11" s="30">
        <f t="shared" si="0"/>
        <v>-0.25</v>
      </c>
      <c r="J11" s="30">
        <f t="shared" si="0"/>
        <v>-0.25</v>
      </c>
      <c r="K11" s="30">
        <f t="shared" si="0"/>
        <v>-0.66666666666666663</v>
      </c>
      <c r="L11" s="30">
        <f t="shared" si="0"/>
        <v>-0.22222222222222221</v>
      </c>
      <c r="M11" s="30">
        <f t="shared" si="0"/>
        <v>-0.42857142857142855</v>
      </c>
      <c r="N11" s="30">
        <f t="shared" si="0"/>
        <v>-1</v>
      </c>
      <c r="R11" t="s">
        <v>25</v>
      </c>
      <c r="S11" t="s">
        <v>141</v>
      </c>
      <c r="T11" t="s">
        <v>154</v>
      </c>
      <c r="U11">
        <v>72935</v>
      </c>
      <c r="V11">
        <v>10</v>
      </c>
      <c r="W11">
        <f>MONTH(T11)</f>
        <v>10</v>
      </c>
      <c r="X11">
        <f>YEAR(T11)</f>
        <v>2023</v>
      </c>
      <c r="Y11" s="26" t="str">
        <f>X11&amp;"-"&amp;W11</f>
        <v>2023-10</v>
      </c>
    </row>
    <row r="12" spans="1:25" x14ac:dyDescent="0.25">
      <c r="A12" s="7" t="s">
        <v>16</v>
      </c>
      <c r="B12" s="30">
        <f t="shared" si="1"/>
        <v>-0.75</v>
      </c>
      <c r="C12" s="30">
        <f t="shared" si="0"/>
        <v>-0.4</v>
      </c>
      <c r="D12" s="30">
        <f t="shared" si="0"/>
        <v>-0.16666666666666666</v>
      </c>
      <c r="E12" s="30">
        <f t="shared" si="0"/>
        <v>-0.6</v>
      </c>
      <c r="F12" s="30">
        <f t="shared" si="0"/>
        <v>0.5</v>
      </c>
      <c r="G12" s="30">
        <f t="shared" si="0"/>
        <v>-0.14285714285714285</v>
      </c>
      <c r="H12" s="30">
        <f t="shared" si="0"/>
        <v>0.33333333333333331</v>
      </c>
      <c r="I12" s="30">
        <f t="shared" si="0"/>
        <v>0.14285714285714285</v>
      </c>
      <c r="J12" s="30">
        <f t="shared" si="0"/>
        <v>-0.5714285714285714</v>
      </c>
      <c r="K12" s="30">
        <f t="shared" si="0"/>
        <v>-0.5714285714285714</v>
      </c>
      <c r="L12" s="30">
        <f t="shared" si="0"/>
        <v>0.16666666666666666</v>
      </c>
      <c r="M12" s="30">
        <f t="shared" si="0"/>
        <v>-0.42857142857142855</v>
      </c>
      <c r="N12" s="30" t="e">
        <f t="shared" si="0"/>
        <v>#DIV/0!</v>
      </c>
      <c r="R12" t="s">
        <v>25</v>
      </c>
      <c r="S12" t="s">
        <v>50</v>
      </c>
      <c r="T12" t="s">
        <v>171</v>
      </c>
      <c r="U12">
        <v>71716</v>
      </c>
      <c r="V12">
        <v>7</v>
      </c>
      <c r="W12">
        <f>MONTH(T12)</f>
        <v>10</v>
      </c>
      <c r="X12">
        <f>YEAR(T12)</f>
        <v>2023</v>
      </c>
      <c r="Y12" s="26" t="str">
        <f>X12&amp;"-"&amp;W12</f>
        <v>2023-10</v>
      </c>
    </row>
    <row r="13" spans="1:25" x14ac:dyDescent="0.25">
      <c r="A13" s="7" t="s">
        <v>30</v>
      </c>
      <c r="B13" s="30">
        <f t="shared" si="1"/>
        <v>-0.25</v>
      </c>
      <c r="C13" s="30">
        <f t="shared" si="0"/>
        <v>-0.33333333333333331</v>
      </c>
      <c r="D13" s="30">
        <f t="shared" si="0"/>
        <v>-0.2857142857142857</v>
      </c>
      <c r="E13" s="30">
        <f t="shared" si="0"/>
        <v>-0.72727272727272729</v>
      </c>
      <c r="F13" s="30">
        <f t="shared" si="0"/>
        <v>-0.7142857142857143</v>
      </c>
      <c r="G13" s="30">
        <f t="shared" si="0"/>
        <v>-0.63636363636363635</v>
      </c>
      <c r="H13" s="30">
        <f t="shared" si="0"/>
        <v>0.14285714285714285</v>
      </c>
      <c r="I13" s="30">
        <f t="shared" si="0"/>
        <v>-0.33333333333333331</v>
      </c>
      <c r="J13" s="30">
        <f t="shared" si="0"/>
        <v>-0.25</v>
      </c>
      <c r="K13" s="30">
        <f t="shared" si="0"/>
        <v>0</v>
      </c>
      <c r="L13" s="30">
        <f t="shared" si="0"/>
        <v>-0.36363636363636365</v>
      </c>
      <c r="M13" s="30">
        <f t="shared" si="0"/>
        <v>-0.6</v>
      </c>
      <c r="N13" s="30" t="e">
        <f t="shared" si="0"/>
        <v>#DIV/0!</v>
      </c>
      <c r="R13" t="s">
        <v>25</v>
      </c>
      <c r="S13" t="s">
        <v>46</v>
      </c>
      <c r="T13" t="s">
        <v>172</v>
      </c>
      <c r="U13">
        <v>60383</v>
      </c>
      <c r="V13">
        <v>5</v>
      </c>
      <c r="W13">
        <f>MONTH(T13)</f>
        <v>11</v>
      </c>
      <c r="X13">
        <f>YEAR(T13)</f>
        <v>2023</v>
      </c>
      <c r="Y13" s="26" t="str">
        <f>X13&amp;"-"&amp;W13</f>
        <v>2023-11</v>
      </c>
    </row>
    <row r="14" spans="1:25" x14ac:dyDescent="0.25">
      <c r="R14" t="s">
        <v>25</v>
      </c>
      <c r="S14" t="s">
        <v>128</v>
      </c>
      <c r="T14" t="s">
        <v>191</v>
      </c>
      <c r="U14">
        <v>78781</v>
      </c>
      <c r="V14">
        <v>5</v>
      </c>
      <c r="W14">
        <f>MONTH(T14)</f>
        <v>11</v>
      </c>
      <c r="X14">
        <f>YEAR(T14)</f>
        <v>2023</v>
      </c>
      <c r="Y14" s="26" t="str">
        <f>X14&amp;"-"&amp;W14</f>
        <v>2023-11</v>
      </c>
    </row>
    <row r="15" spans="1:25" x14ac:dyDescent="0.25">
      <c r="R15" t="s">
        <v>25</v>
      </c>
      <c r="S15" t="s">
        <v>90</v>
      </c>
      <c r="T15" t="s">
        <v>197</v>
      </c>
      <c r="U15">
        <v>46426</v>
      </c>
      <c r="V15">
        <v>8</v>
      </c>
      <c r="W15">
        <f>MONTH(T15)</f>
        <v>11</v>
      </c>
      <c r="X15">
        <f>YEAR(T15)</f>
        <v>2023</v>
      </c>
      <c r="Y15" s="26" t="str">
        <f>X15&amp;"-"&amp;W15</f>
        <v>2023-11</v>
      </c>
    </row>
    <row r="16" spans="1:25" x14ac:dyDescent="0.25">
      <c r="R16" t="s">
        <v>25</v>
      </c>
      <c r="S16" t="s">
        <v>65</v>
      </c>
      <c r="T16" t="s">
        <v>203</v>
      </c>
      <c r="U16">
        <v>82836</v>
      </c>
      <c r="V16">
        <v>8</v>
      </c>
      <c r="W16">
        <f>MONTH(T16)</f>
        <v>11</v>
      </c>
      <c r="X16">
        <f>YEAR(T16)</f>
        <v>2023</v>
      </c>
      <c r="Y16" s="26" t="str">
        <f>X16&amp;"-"&amp;W16</f>
        <v>2023-11</v>
      </c>
    </row>
    <row r="17" spans="18:25" x14ac:dyDescent="0.25">
      <c r="R17" t="s">
        <v>25</v>
      </c>
      <c r="S17" t="s">
        <v>66</v>
      </c>
      <c r="T17" t="s">
        <v>203</v>
      </c>
      <c r="U17">
        <v>38711</v>
      </c>
      <c r="V17">
        <v>7</v>
      </c>
      <c r="W17">
        <f>MONTH(T17)</f>
        <v>11</v>
      </c>
      <c r="X17">
        <f>YEAR(T17)</f>
        <v>2023</v>
      </c>
      <c r="Y17" s="26" t="str">
        <f>X17&amp;"-"&amp;W17</f>
        <v>2023-11</v>
      </c>
    </row>
    <row r="18" spans="18:25" x14ac:dyDescent="0.25">
      <c r="R18" t="s">
        <v>25</v>
      </c>
      <c r="S18" t="s">
        <v>206</v>
      </c>
      <c r="T18" t="s">
        <v>204</v>
      </c>
      <c r="U18">
        <v>41213</v>
      </c>
      <c r="V18">
        <v>4</v>
      </c>
      <c r="W18">
        <f>MONTH(T18)</f>
        <v>11</v>
      </c>
      <c r="X18">
        <f>YEAR(T18)</f>
        <v>2023</v>
      </c>
      <c r="Y18" s="26" t="str">
        <f>X18&amp;"-"&amp;W18</f>
        <v>2023-11</v>
      </c>
    </row>
    <row r="19" spans="18:25" x14ac:dyDescent="0.25">
      <c r="R19" t="s">
        <v>25</v>
      </c>
      <c r="S19" t="s">
        <v>182</v>
      </c>
      <c r="T19" t="s">
        <v>210</v>
      </c>
      <c r="U19">
        <v>17775</v>
      </c>
      <c r="V19">
        <v>7</v>
      </c>
      <c r="W19">
        <f>MONTH(T19)</f>
        <v>11</v>
      </c>
      <c r="X19">
        <f>YEAR(T19)</f>
        <v>2023</v>
      </c>
      <c r="Y19" s="26" t="str">
        <f>X19&amp;"-"&amp;W19</f>
        <v>2023-11</v>
      </c>
    </row>
    <row r="20" spans="18:25" x14ac:dyDescent="0.25">
      <c r="R20" t="s">
        <v>25</v>
      </c>
      <c r="S20" t="s">
        <v>82</v>
      </c>
      <c r="T20" t="s">
        <v>210</v>
      </c>
      <c r="U20">
        <v>53102</v>
      </c>
      <c r="V20">
        <v>8</v>
      </c>
      <c r="W20">
        <f>MONTH(T20)</f>
        <v>11</v>
      </c>
      <c r="X20">
        <f>YEAR(T20)</f>
        <v>2023</v>
      </c>
      <c r="Y20" s="26" t="str">
        <f>X20&amp;"-"&amp;W20</f>
        <v>2023-11</v>
      </c>
    </row>
    <row r="21" spans="18:25" x14ac:dyDescent="0.25">
      <c r="R21" t="s">
        <v>25</v>
      </c>
      <c r="S21" t="s">
        <v>105</v>
      </c>
      <c r="T21" t="s">
        <v>210</v>
      </c>
      <c r="U21">
        <v>89020</v>
      </c>
      <c r="V21">
        <v>10</v>
      </c>
      <c r="W21">
        <f>MONTH(T21)</f>
        <v>11</v>
      </c>
      <c r="X21">
        <f>YEAR(T21)</f>
        <v>2023</v>
      </c>
      <c r="Y21" s="26" t="str">
        <f>X21&amp;"-"&amp;W21</f>
        <v>2023-11</v>
      </c>
    </row>
    <row r="22" spans="18:25" x14ac:dyDescent="0.25">
      <c r="R22" t="s">
        <v>25</v>
      </c>
      <c r="S22" t="s">
        <v>55</v>
      </c>
      <c r="T22" t="s">
        <v>210</v>
      </c>
      <c r="U22">
        <v>44757</v>
      </c>
      <c r="V22">
        <v>0</v>
      </c>
      <c r="W22">
        <f>MONTH(T22)</f>
        <v>11</v>
      </c>
      <c r="X22">
        <f>YEAR(T22)</f>
        <v>2023</v>
      </c>
      <c r="Y22" s="26" t="str">
        <f>X22&amp;"-"&amp;W22</f>
        <v>2023-11</v>
      </c>
    </row>
    <row r="23" spans="18:25" x14ac:dyDescent="0.25">
      <c r="R23" t="s">
        <v>25</v>
      </c>
      <c r="S23" t="s">
        <v>149</v>
      </c>
      <c r="T23" t="s">
        <v>218</v>
      </c>
      <c r="U23">
        <v>27704</v>
      </c>
      <c r="V23">
        <v>6</v>
      </c>
      <c r="W23">
        <f>MONTH(T23)</f>
        <v>12</v>
      </c>
      <c r="X23">
        <f>YEAR(T23)</f>
        <v>2023</v>
      </c>
      <c r="Y23" s="26" t="str">
        <f>X23&amp;"-"&amp;W23</f>
        <v>2023-12</v>
      </c>
    </row>
    <row r="24" spans="18:25" x14ac:dyDescent="0.25">
      <c r="R24" t="s">
        <v>25</v>
      </c>
      <c r="S24" t="s">
        <v>53</v>
      </c>
      <c r="T24" t="s">
        <v>237</v>
      </c>
      <c r="U24">
        <v>69938</v>
      </c>
      <c r="V24">
        <v>7</v>
      </c>
      <c r="W24">
        <f>MONTH(T24)</f>
        <v>12</v>
      </c>
      <c r="X24">
        <f>YEAR(T24)</f>
        <v>2023</v>
      </c>
      <c r="Y24" s="26" t="str">
        <f>X24&amp;"-"&amp;W24</f>
        <v>2023-12</v>
      </c>
    </row>
    <row r="25" spans="18:25" x14ac:dyDescent="0.25">
      <c r="R25" t="s">
        <v>25</v>
      </c>
      <c r="S25" t="s">
        <v>63</v>
      </c>
      <c r="T25" t="s">
        <v>238</v>
      </c>
      <c r="U25">
        <v>84960</v>
      </c>
      <c r="V25">
        <v>4</v>
      </c>
      <c r="W25">
        <f>MONTH(T25)</f>
        <v>12</v>
      </c>
      <c r="X25">
        <f>YEAR(T25)</f>
        <v>2023</v>
      </c>
      <c r="Y25" s="26" t="str">
        <f>X25&amp;"-"&amp;W25</f>
        <v>2023-12</v>
      </c>
    </row>
    <row r="26" spans="18:25" x14ac:dyDescent="0.25">
      <c r="R26" t="s">
        <v>25</v>
      </c>
      <c r="S26" t="s">
        <v>214</v>
      </c>
      <c r="T26" t="s">
        <v>238</v>
      </c>
      <c r="U26">
        <v>52218</v>
      </c>
      <c r="V26">
        <v>5</v>
      </c>
      <c r="W26">
        <f>MONTH(T26)</f>
        <v>12</v>
      </c>
      <c r="X26">
        <f>YEAR(T26)</f>
        <v>2023</v>
      </c>
      <c r="Y26" s="26" t="str">
        <f>X26&amp;"-"&amp;W26</f>
        <v>2023-12</v>
      </c>
    </row>
    <row r="27" spans="18:25" x14ac:dyDescent="0.25">
      <c r="R27" t="s">
        <v>25</v>
      </c>
      <c r="S27" t="s">
        <v>177</v>
      </c>
      <c r="T27" t="s">
        <v>241</v>
      </c>
      <c r="U27">
        <v>26942</v>
      </c>
      <c r="V27">
        <v>10</v>
      </c>
      <c r="W27">
        <f>MONTH(T27)</f>
        <v>12</v>
      </c>
      <c r="X27">
        <f>YEAR(T27)</f>
        <v>2023</v>
      </c>
      <c r="Y27" s="26" t="str">
        <f>X27&amp;"-"&amp;W27</f>
        <v>2023-12</v>
      </c>
    </row>
    <row r="28" spans="18:25" x14ac:dyDescent="0.25">
      <c r="R28" t="s">
        <v>25</v>
      </c>
      <c r="S28" t="s">
        <v>243</v>
      </c>
      <c r="T28" t="s">
        <v>241</v>
      </c>
      <c r="U28">
        <v>30186</v>
      </c>
      <c r="V28">
        <v>3</v>
      </c>
      <c r="W28">
        <f>MONTH(T28)</f>
        <v>12</v>
      </c>
      <c r="X28">
        <f>YEAR(T28)</f>
        <v>2023</v>
      </c>
      <c r="Y28" s="26" t="str">
        <f>X28&amp;"-"&amp;W28</f>
        <v>2023-12</v>
      </c>
    </row>
    <row r="29" spans="18:25" x14ac:dyDescent="0.25">
      <c r="R29" t="s">
        <v>25</v>
      </c>
      <c r="S29" t="s">
        <v>99</v>
      </c>
      <c r="T29" t="s">
        <v>245</v>
      </c>
      <c r="U29">
        <v>33573</v>
      </c>
      <c r="V29">
        <v>9</v>
      </c>
      <c r="W29">
        <f>MONTH(T29)</f>
        <v>12</v>
      </c>
      <c r="X29">
        <f>YEAR(T29)</f>
        <v>2023</v>
      </c>
      <c r="Y29" s="26" t="str">
        <f>X29&amp;"-"&amp;W29</f>
        <v>2023-12</v>
      </c>
    </row>
    <row r="30" spans="18:25" x14ac:dyDescent="0.25">
      <c r="R30" t="s">
        <v>25</v>
      </c>
      <c r="S30" t="s">
        <v>181</v>
      </c>
      <c r="T30" t="s">
        <v>246</v>
      </c>
      <c r="U30">
        <v>65904</v>
      </c>
      <c r="V30">
        <v>9</v>
      </c>
      <c r="W30">
        <f>MONTH(T30)</f>
        <v>12</v>
      </c>
      <c r="X30">
        <f>YEAR(T30)</f>
        <v>2023</v>
      </c>
      <c r="Y30" s="26" t="str">
        <f>X30&amp;"-"&amp;W30</f>
        <v>2023-12</v>
      </c>
    </row>
    <row r="31" spans="18:25" x14ac:dyDescent="0.25">
      <c r="R31" t="s">
        <v>25</v>
      </c>
      <c r="S31" t="s">
        <v>55</v>
      </c>
      <c r="T31" t="s">
        <v>251</v>
      </c>
      <c r="U31">
        <v>66005</v>
      </c>
      <c r="V31">
        <v>8</v>
      </c>
      <c r="W31">
        <f>MONTH(T31)</f>
        <v>12</v>
      </c>
      <c r="X31">
        <f>YEAR(T31)</f>
        <v>2023</v>
      </c>
      <c r="Y31" s="26" t="str">
        <f>X31&amp;"-"&amp;W31</f>
        <v>2023-12</v>
      </c>
    </row>
    <row r="32" spans="18:25" x14ac:dyDescent="0.25">
      <c r="R32" t="s">
        <v>25</v>
      </c>
      <c r="S32" t="s">
        <v>256</v>
      </c>
      <c r="T32" t="s">
        <v>255</v>
      </c>
      <c r="U32">
        <v>43631</v>
      </c>
      <c r="V32">
        <v>3</v>
      </c>
      <c r="W32">
        <f>MONTH(T32)</f>
        <v>1</v>
      </c>
      <c r="X32">
        <f>YEAR(T32)</f>
        <v>2024</v>
      </c>
      <c r="Y32" s="26" t="str">
        <f>X32&amp;"-"&amp;W32</f>
        <v>2024-1</v>
      </c>
    </row>
    <row r="33" spans="18:25" x14ac:dyDescent="0.25">
      <c r="R33" t="s">
        <v>25</v>
      </c>
      <c r="S33" t="s">
        <v>177</v>
      </c>
      <c r="T33" t="s">
        <v>255</v>
      </c>
      <c r="U33">
        <v>13042</v>
      </c>
      <c r="V33">
        <v>6</v>
      </c>
      <c r="W33">
        <f>MONTH(T33)</f>
        <v>1</v>
      </c>
      <c r="X33">
        <f>YEAR(T33)</f>
        <v>2024</v>
      </c>
      <c r="Y33" s="26" t="str">
        <f>X33&amp;"-"&amp;W33</f>
        <v>2024-1</v>
      </c>
    </row>
    <row r="34" spans="18:25" x14ac:dyDescent="0.25">
      <c r="R34" t="s">
        <v>25</v>
      </c>
      <c r="S34" t="s">
        <v>64</v>
      </c>
      <c r="T34" t="s">
        <v>263</v>
      </c>
      <c r="U34">
        <v>41998</v>
      </c>
      <c r="V34">
        <v>4</v>
      </c>
      <c r="W34">
        <f>MONTH(T34)</f>
        <v>1</v>
      </c>
      <c r="X34">
        <f>YEAR(T34)</f>
        <v>2024</v>
      </c>
      <c r="Y34" s="26" t="str">
        <f>X34&amp;"-"&amp;W34</f>
        <v>2024-1</v>
      </c>
    </row>
    <row r="35" spans="18:25" x14ac:dyDescent="0.25">
      <c r="R35" t="s">
        <v>25</v>
      </c>
      <c r="S35" t="s">
        <v>28</v>
      </c>
      <c r="T35" t="s">
        <v>275</v>
      </c>
      <c r="U35">
        <v>99629</v>
      </c>
      <c r="V35">
        <v>5</v>
      </c>
      <c r="W35">
        <f>MONTH(T35)</f>
        <v>1</v>
      </c>
      <c r="X35">
        <f>YEAR(T35)</f>
        <v>2024</v>
      </c>
      <c r="Y35" s="26" t="str">
        <f>X35&amp;"-"&amp;W35</f>
        <v>2024-1</v>
      </c>
    </row>
    <row r="36" spans="18:25" x14ac:dyDescent="0.25">
      <c r="R36" t="s">
        <v>25</v>
      </c>
      <c r="S36" t="s">
        <v>217</v>
      </c>
      <c r="T36" t="s">
        <v>275</v>
      </c>
      <c r="U36">
        <v>12636</v>
      </c>
      <c r="V36">
        <v>7</v>
      </c>
      <c r="W36">
        <f>MONTH(T36)</f>
        <v>1</v>
      </c>
      <c r="X36">
        <f>YEAR(T36)</f>
        <v>2024</v>
      </c>
      <c r="Y36" s="26" t="str">
        <f>X36&amp;"-"&amp;W36</f>
        <v>2024-1</v>
      </c>
    </row>
    <row r="37" spans="18:25" x14ac:dyDescent="0.25">
      <c r="R37" t="s">
        <v>25</v>
      </c>
      <c r="S37" t="s">
        <v>215</v>
      </c>
      <c r="T37" t="s">
        <v>282</v>
      </c>
      <c r="U37">
        <v>25454</v>
      </c>
      <c r="V37">
        <v>8</v>
      </c>
      <c r="W37">
        <f>MONTH(T37)</f>
        <v>1</v>
      </c>
      <c r="X37">
        <f>YEAR(T37)</f>
        <v>2024</v>
      </c>
      <c r="Y37" s="26" t="str">
        <f>X37&amp;"-"&amp;W37</f>
        <v>2024-1</v>
      </c>
    </row>
    <row r="38" spans="18:25" x14ac:dyDescent="0.25">
      <c r="R38" t="s">
        <v>25</v>
      </c>
      <c r="S38" t="s">
        <v>202</v>
      </c>
      <c r="T38" t="s">
        <v>284</v>
      </c>
      <c r="U38">
        <v>12882</v>
      </c>
      <c r="V38">
        <v>10</v>
      </c>
      <c r="W38">
        <f>MONTH(T38)</f>
        <v>1</v>
      </c>
      <c r="X38">
        <f>YEAR(T38)</f>
        <v>2024</v>
      </c>
      <c r="Y38" s="26" t="str">
        <f>X38&amp;"-"&amp;W38</f>
        <v>2024-1</v>
      </c>
    </row>
    <row r="39" spans="18:25" x14ac:dyDescent="0.25">
      <c r="R39" t="s">
        <v>25</v>
      </c>
      <c r="S39" t="s">
        <v>287</v>
      </c>
      <c r="T39" t="s">
        <v>288</v>
      </c>
      <c r="U39">
        <v>84092</v>
      </c>
      <c r="V39">
        <v>6</v>
      </c>
      <c r="W39">
        <f>MONTH(T39)</f>
        <v>2</v>
      </c>
      <c r="X39">
        <f>YEAR(T39)</f>
        <v>2024</v>
      </c>
      <c r="Y39" s="26" t="str">
        <f>X39&amp;"-"&amp;W39</f>
        <v>2024-2</v>
      </c>
    </row>
    <row r="40" spans="18:25" x14ac:dyDescent="0.25">
      <c r="R40" t="s">
        <v>25</v>
      </c>
      <c r="S40" t="s">
        <v>94</v>
      </c>
      <c r="T40" t="s">
        <v>304</v>
      </c>
      <c r="U40">
        <v>26572</v>
      </c>
      <c r="V40">
        <v>4</v>
      </c>
      <c r="W40">
        <f>MONTH(T40)</f>
        <v>2</v>
      </c>
      <c r="X40">
        <f>YEAR(T40)</f>
        <v>2024</v>
      </c>
      <c r="Y40" s="26" t="str">
        <f>X40&amp;"-"&amp;W40</f>
        <v>2024-2</v>
      </c>
    </row>
    <row r="41" spans="18:25" x14ac:dyDescent="0.25">
      <c r="R41" t="s">
        <v>25</v>
      </c>
      <c r="S41" t="s">
        <v>142</v>
      </c>
      <c r="T41" t="s">
        <v>308</v>
      </c>
      <c r="U41">
        <v>78749</v>
      </c>
      <c r="V41">
        <v>3</v>
      </c>
      <c r="W41">
        <f>MONTH(T41)</f>
        <v>2</v>
      </c>
      <c r="X41">
        <f>YEAR(T41)</f>
        <v>2024</v>
      </c>
      <c r="Y41" s="26" t="str">
        <f>X41&amp;"-"&amp;W41</f>
        <v>2024-2</v>
      </c>
    </row>
    <row r="42" spans="18:25" x14ac:dyDescent="0.25">
      <c r="R42" t="s">
        <v>25</v>
      </c>
      <c r="S42" t="s">
        <v>270</v>
      </c>
      <c r="T42" t="s">
        <v>316</v>
      </c>
      <c r="U42">
        <v>71638</v>
      </c>
      <c r="V42">
        <v>7</v>
      </c>
      <c r="W42">
        <f>MONTH(T42)</f>
        <v>2</v>
      </c>
      <c r="X42">
        <f>YEAR(T42)</f>
        <v>2024</v>
      </c>
      <c r="Y42" s="26" t="str">
        <f>X42&amp;"-"&amp;W42</f>
        <v>2024-2</v>
      </c>
    </row>
    <row r="43" spans="18:25" x14ac:dyDescent="0.25">
      <c r="R43" t="s">
        <v>25</v>
      </c>
      <c r="S43" t="s">
        <v>35</v>
      </c>
      <c r="T43" t="s">
        <v>318</v>
      </c>
      <c r="U43">
        <v>53185</v>
      </c>
      <c r="V43">
        <v>5</v>
      </c>
      <c r="W43">
        <f>MONTH(T43)</f>
        <v>3</v>
      </c>
      <c r="X43">
        <f>YEAR(T43)</f>
        <v>2024</v>
      </c>
      <c r="Y43" s="26" t="str">
        <f>X43&amp;"-"&amp;W43</f>
        <v>2024-3</v>
      </c>
    </row>
    <row r="44" spans="18:25" x14ac:dyDescent="0.25">
      <c r="R44" t="s">
        <v>25</v>
      </c>
      <c r="S44" t="s">
        <v>114</v>
      </c>
      <c r="T44" t="s">
        <v>321</v>
      </c>
      <c r="U44">
        <v>45226</v>
      </c>
      <c r="V44">
        <v>8</v>
      </c>
      <c r="W44">
        <f>MONTH(T44)</f>
        <v>3</v>
      </c>
      <c r="X44">
        <f>YEAR(T44)</f>
        <v>2024</v>
      </c>
      <c r="Y44" s="26" t="str">
        <f>X44&amp;"-"&amp;W44</f>
        <v>2024-3</v>
      </c>
    </row>
    <row r="45" spans="18:25" x14ac:dyDescent="0.25">
      <c r="R45" t="s">
        <v>25</v>
      </c>
      <c r="S45" t="s">
        <v>272</v>
      </c>
      <c r="T45" t="s">
        <v>327</v>
      </c>
      <c r="U45">
        <v>14412</v>
      </c>
      <c r="V45">
        <v>8</v>
      </c>
      <c r="W45">
        <f>MONTH(T45)</f>
        <v>3</v>
      </c>
      <c r="X45">
        <f>YEAR(T45)</f>
        <v>2024</v>
      </c>
      <c r="Y45" s="26" t="str">
        <f>X45&amp;"-"&amp;W45</f>
        <v>2024-3</v>
      </c>
    </row>
    <row r="46" spans="18:25" x14ac:dyDescent="0.25">
      <c r="R46" t="s">
        <v>25</v>
      </c>
      <c r="S46" t="s">
        <v>331</v>
      </c>
      <c r="T46" t="s">
        <v>330</v>
      </c>
      <c r="U46">
        <v>61166</v>
      </c>
      <c r="V46">
        <v>4</v>
      </c>
      <c r="W46">
        <f>MONTH(T46)</f>
        <v>3</v>
      </c>
      <c r="X46">
        <f>YEAR(T46)</f>
        <v>2024</v>
      </c>
      <c r="Y46" s="26" t="str">
        <f>X46&amp;"-"&amp;W46</f>
        <v>2024-3</v>
      </c>
    </row>
    <row r="47" spans="18:25" x14ac:dyDescent="0.25">
      <c r="R47" t="s">
        <v>25</v>
      </c>
      <c r="S47" t="s">
        <v>227</v>
      </c>
      <c r="T47" t="s">
        <v>330</v>
      </c>
      <c r="U47">
        <v>57915</v>
      </c>
      <c r="V47">
        <v>3</v>
      </c>
      <c r="W47">
        <f>MONTH(T47)</f>
        <v>3</v>
      </c>
      <c r="X47">
        <f>YEAR(T47)</f>
        <v>2024</v>
      </c>
      <c r="Y47" s="26" t="str">
        <f>X47&amp;"-"&amp;W47</f>
        <v>2024-3</v>
      </c>
    </row>
    <row r="48" spans="18:25" x14ac:dyDescent="0.25">
      <c r="R48" t="s">
        <v>25</v>
      </c>
      <c r="S48" t="s">
        <v>117</v>
      </c>
      <c r="T48" t="s">
        <v>335</v>
      </c>
      <c r="U48">
        <v>91783</v>
      </c>
      <c r="V48">
        <v>10</v>
      </c>
      <c r="W48">
        <f>MONTH(T48)</f>
        <v>3</v>
      </c>
      <c r="X48">
        <f>YEAR(T48)</f>
        <v>2024</v>
      </c>
      <c r="Y48" s="26" t="str">
        <f>X48&amp;"-"&amp;W48</f>
        <v>2024-3</v>
      </c>
    </row>
    <row r="49" spans="18:25" x14ac:dyDescent="0.25">
      <c r="R49" t="s">
        <v>25</v>
      </c>
      <c r="S49" t="s">
        <v>129</v>
      </c>
      <c r="T49" t="s">
        <v>342</v>
      </c>
      <c r="U49">
        <v>11404</v>
      </c>
      <c r="V49">
        <v>6</v>
      </c>
      <c r="W49">
        <f>MONTH(T49)</f>
        <v>3</v>
      </c>
      <c r="X49">
        <f>YEAR(T49)</f>
        <v>2024</v>
      </c>
      <c r="Y49" s="26" t="str">
        <f>X49&amp;"-"&amp;W49</f>
        <v>2024-3</v>
      </c>
    </row>
    <row r="50" spans="18:25" x14ac:dyDescent="0.25">
      <c r="R50" t="s">
        <v>25</v>
      </c>
      <c r="S50" t="s">
        <v>187</v>
      </c>
      <c r="T50" t="s">
        <v>343</v>
      </c>
      <c r="U50">
        <v>17208</v>
      </c>
      <c r="V50">
        <v>5</v>
      </c>
      <c r="W50">
        <f>MONTH(T50)</f>
        <v>4</v>
      </c>
      <c r="X50">
        <f>YEAR(T50)</f>
        <v>2024</v>
      </c>
      <c r="Y50" s="26" t="str">
        <f>X50&amp;"-"&amp;W50</f>
        <v>2024-4</v>
      </c>
    </row>
    <row r="51" spans="18:25" x14ac:dyDescent="0.25">
      <c r="R51" t="s">
        <v>25</v>
      </c>
      <c r="S51" t="s">
        <v>43</v>
      </c>
      <c r="T51" t="s">
        <v>355</v>
      </c>
      <c r="U51">
        <v>97493</v>
      </c>
      <c r="V51">
        <v>4</v>
      </c>
      <c r="W51">
        <f>MONTH(T51)</f>
        <v>4</v>
      </c>
      <c r="X51">
        <f>YEAR(T51)</f>
        <v>2024</v>
      </c>
      <c r="Y51" s="26" t="str">
        <f>X51&amp;"-"&amp;W51</f>
        <v>2024-4</v>
      </c>
    </row>
    <row r="52" spans="18:25" x14ac:dyDescent="0.25">
      <c r="R52" t="s">
        <v>25</v>
      </c>
      <c r="S52" t="s">
        <v>108</v>
      </c>
      <c r="T52" t="s">
        <v>360</v>
      </c>
      <c r="U52">
        <v>92576</v>
      </c>
      <c r="V52">
        <v>7</v>
      </c>
      <c r="W52">
        <f>MONTH(T52)</f>
        <v>4</v>
      </c>
      <c r="X52">
        <f>YEAR(T52)</f>
        <v>2024</v>
      </c>
      <c r="Y52" s="26" t="str">
        <f>X52&amp;"-"&amp;W52</f>
        <v>2024-4</v>
      </c>
    </row>
    <row r="53" spans="18:25" x14ac:dyDescent="0.25">
      <c r="R53" t="s">
        <v>25</v>
      </c>
      <c r="S53" t="s">
        <v>287</v>
      </c>
      <c r="T53" t="s">
        <v>360</v>
      </c>
      <c r="U53">
        <v>72462</v>
      </c>
      <c r="V53">
        <v>3</v>
      </c>
      <c r="W53">
        <f>MONTH(T53)</f>
        <v>4</v>
      </c>
      <c r="X53">
        <f>YEAR(T53)</f>
        <v>2024</v>
      </c>
      <c r="Y53" s="26" t="str">
        <f>X53&amp;"-"&amp;W53</f>
        <v>2024-4</v>
      </c>
    </row>
    <row r="54" spans="18:25" x14ac:dyDescent="0.25">
      <c r="R54" t="s">
        <v>25</v>
      </c>
      <c r="S54" t="s">
        <v>82</v>
      </c>
      <c r="T54" t="s">
        <v>362</v>
      </c>
      <c r="U54">
        <v>98353</v>
      </c>
      <c r="V54">
        <v>8</v>
      </c>
      <c r="W54">
        <f>MONTH(T54)</f>
        <v>4</v>
      </c>
      <c r="X54">
        <f>YEAR(T54)</f>
        <v>2024</v>
      </c>
      <c r="Y54" s="26" t="str">
        <f>X54&amp;"-"&amp;W54</f>
        <v>2024-4</v>
      </c>
    </row>
    <row r="55" spans="18:25" x14ac:dyDescent="0.25">
      <c r="R55" t="s">
        <v>25</v>
      </c>
      <c r="S55" t="s">
        <v>39</v>
      </c>
      <c r="T55" t="s">
        <v>372</v>
      </c>
      <c r="U55">
        <v>17409</v>
      </c>
      <c r="V55">
        <v>7</v>
      </c>
      <c r="W55">
        <f>MONTH(T55)</f>
        <v>5</v>
      </c>
      <c r="X55">
        <f>YEAR(T55)</f>
        <v>2024</v>
      </c>
      <c r="Y55" s="26" t="str">
        <f>X55&amp;"-"&amp;W55</f>
        <v>2024-5</v>
      </c>
    </row>
    <row r="56" spans="18:25" x14ac:dyDescent="0.25">
      <c r="R56" t="s">
        <v>25</v>
      </c>
      <c r="S56" t="s">
        <v>313</v>
      </c>
      <c r="T56" t="s">
        <v>379</v>
      </c>
      <c r="U56">
        <v>98829</v>
      </c>
      <c r="V56">
        <v>10</v>
      </c>
      <c r="W56">
        <f>MONTH(T56)</f>
        <v>5</v>
      </c>
      <c r="X56">
        <f>YEAR(T56)</f>
        <v>2024</v>
      </c>
      <c r="Y56" s="26" t="str">
        <f>X56&amp;"-"&amp;W56</f>
        <v>2024-5</v>
      </c>
    </row>
    <row r="57" spans="18:25" x14ac:dyDescent="0.25">
      <c r="R57" t="s">
        <v>25</v>
      </c>
      <c r="S57" t="s">
        <v>105</v>
      </c>
      <c r="T57" t="s">
        <v>379</v>
      </c>
      <c r="U57">
        <v>15103</v>
      </c>
      <c r="V57">
        <v>5</v>
      </c>
      <c r="W57">
        <f>MONTH(T57)</f>
        <v>5</v>
      </c>
      <c r="X57">
        <f>YEAR(T57)</f>
        <v>2024</v>
      </c>
      <c r="Y57" s="26" t="str">
        <f>X57&amp;"-"&amp;W57</f>
        <v>2024-5</v>
      </c>
    </row>
    <row r="58" spans="18:25" x14ac:dyDescent="0.25">
      <c r="R58" t="s">
        <v>25</v>
      </c>
      <c r="S58" t="s">
        <v>94</v>
      </c>
      <c r="T58" t="s">
        <v>394</v>
      </c>
      <c r="U58">
        <v>69572</v>
      </c>
      <c r="V58">
        <v>6</v>
      </c>
      <c r="W58">
        <f>MONTH(T58)</f>
        <v>6</v>
      </c>
      <c r="X58">
        <f>YEAR(T58)</f>
        <v>2024</v>
      </c>
      <c r="Y58" s="26" t="str">
        <f>X58&amp;"-"&amp;W58</f>
        <v>2024-6</v>
      </c>
    </row>
    <row r="59" spans="18:25" x14ac:dyDescent="0.25">
      <c r="R59" t="s">
        <v>25</v>
      </c>
      <c r="S59" t="s">
        <v>137</v>
      </c>
      <c r="T59" t="s">
        <v>394</v>
      </c>
      <c r="U59">
        <v>91543</v>
      </c>
      <c r="V59">
        <v>7</v>
      </c>
      <c r="W59">
        <f>MONTH(T59)</f>
        <v>6</v>
      </c>
      <c r="X59">
        <f>YEAR(T59)</f>
        <v>2024</v>
      </c>
      <c r="Y59" s="26" t="str">
        <f>X59&amp;"-"&amp;W59</f>
        <v>2024-6</v>
      </c>
    </row>
    <row r="60" spans="18:25" x14ac:dyDescent="0.25">
      <c r="R60" t="s">
        <v>25</v>
      </c>
      <c r="S60" t="s">
        <v>68</v>
      </c>
      <c r="T60" t="s">
        <v>404</v>
      </c>
      <c r="U60">
        <v>67847</v>
      </c>
      <c r="V60">
        <v>9</v>
      </c>
      <c r="W60">
        <f>MONTH(T60)</f>
        <v>6</v>
      </c>
      <c r="X60">
        <f>YEAR(T60)</f>
        <v>2024</v>
      </c>
      <c r="Y60" s="26" t="str">
        <f>X60&amp;"-"&amp;W60</f>
        <v>2024-6</v>
      </c>
    </row>
    <row r="61" spans="18:25" x14ac:dyDescent="0.25">
      <c r="R61" t="s">
        <v>25</v>
      </c>
      <c r="S61" t="s">
        <v>287</v>
      </c>
      <c r="T61" t="s">
        <v>405</v>
      </c>
      <c r="U61">
        <v>65442</v>
      </c>
      <c r="V61">
        <v>8</v>
      </c>
      <c r="W61">
        <f>MONTH(T61)</f>
        <v>6</v>
      </c>
      <c r="X61">
        <f>YEAR(T61)</f>
        <v>2024</v>
      </c>
      <c r="Y61" s="26" t="str">
        <f>X61&amp;"-"&amp;W61</f>
        <v>2024-6</v>
      </c>
    </row>
    <row r="62" spans="18:25" x14ac:dyDescent="0.25">
      <c r="R62" t="s">
        <v>25</v>
      </c>
      <c r="S62" t="s">
        <v>298</v>
      </c>
      <c r="T62" t="s">
        <v>407</v>
      </c>
      <c r="U62">
        <v>18116</v>
      </c>
      <c r="V62">
        <v>2</v>
      </c>
      <c r="W62">
        <f>MONTH(T62)</f>
        <v>6</v>
      </c>
      <c r="X62">
        <f>YEAR(T62)</f>
        <v>2024</v>
      </c>
      <c r="Y62" s="26" t="str">
        <f>X62&amp;"-"&amp;W62</f>
        <v>2024-6</v>
      </c>
    </row>
    <row r="63" spans="18:25" x14ac:dyDescent="0.25">
      <c r="R63" t="s">
        <v>25</v>
      </c>
      <c r="S63" t="s">
        <v>188</v>
      </c>
      <c r="T63" t="s">
        <v>408</v>
      </c>
      <c r="U63">
        <v>46742</v>
      </c>
      <c r="V63">
        <v>3</v>
      </c>
      <c r="W63">
        <f>MONTH(T63)</f>
        <v>6</v>
      </c>
      <c r="X63">
        <f>YEAR(T63)</f>
        <v>2024</v>
      </c>
      <c r="Y63" s="26" t="str">
        <f>X63&amp;"-"&amp;W63</f>
        <v>2024-6</v>
      </c>
    </row>
    <row r="64" spans="18:25" x14ac:dyDescent="0.25">
      <c r="R64" t="s">
        <v>25</v>
      </c>
      <c r="S64" t="s">
        <v>307</v>
      </c>
      <c r="T64" t="s">
        <v>415</v>
      </c>
      <c r="U64">
        <v>52963</v>
      </c>
      <c r="V64">
        <v>5</v>
      </c>
      <c r="W64">
        <f>MONTH(T64)</f>
        <v>7</v>
      </c>
      <c r="X64">
        <f>YEAR(T64)</f>
        <v>2024</v>
      </c>
      <c r="Y64" s="26" t="str">
        <f>X64&amp;"-"&amp;W64</f>
        <v>2024-7</v>
      </c>
    </row>
    <row r="65" spans="18:25" x14ac:dyDescent="0.25">
      <c r="R65" t="s">
        <v>25</v>
      </c>
      <c r="S65" t="s">
        <v>332</v>
      </c>
      <c r="T65" t="s">
        <v>415</v>
      </c>
      <c r="U65">
        <v>18778</v>
      </c>
      <c r="V65">
        <v>7</v>
      </c>
      <c r="W65">
        <f>MONTH(T65)</f>
        <v>7</v>
      </c>
      <c r="X65">
        <f>YEAR(T65)</f>
        <v>2024</v>
      </c>
      <c r="Y65" s="26" t="str">
        <f>X65&amp;"-"&amp;W65</f>
        <v>2024-7</v>
      </c>
    </row>
    <row r="66" spans="18:25" x14ac:dyDescent="0.25">
      <c r="R66" t="s">
        <v>25</v>
      </c>
      <c r="S66" t="s">
        <v>249</v>
      </c>
      <c r="T66" t="s">
        <v>425</v>
      </c>
      <c r="U66">
        <v>98086</v>
      </c>
      <c r="V66">
        <v>1</v>
      </c>
      <c r="W66">
        <f>MONTH(T66)</f>
        <v>7</v>
      </c>
      <c r="X66">
        <f>YEAR(T66)</f>
        <v>2024</v>
      </c>
      <c r="Y66" s="26" t="str">
        <f>X66&amp;"-"&amp;W66</f>
        <v>2024-7</v>
      </c>
    </row>
    <row r="67" spans="18:25" x14ac:dyDescent="0.25">
      <c r="R67" t="s">
        <v>25</v>
      </c>
      <c r="S67" t="s">
        <v>59</v>
      </c>
      <c r="T67" t="s">
        <v>429</v>
      </c>
      <c r="U67">
        <v>42860</v>
      </c>
      <c r="V67">
        <v>7</v>
      </c>
      <c r="W67">
        <f>MONTH(T67)</f>
        <v>7</v>
      </c>
      <c r="X67">
        <f>YEAR(T67)</f>
        <v>2024</v>
      </c>
      <c r="Y67" s="26" t="str">
        <f>X67&amp;"-"&amp;W67</f>
        <v>2024-7</v>
      </c>
    </row>
    <row r="68" spans="18:25" x14ac:dyDescent="0.25">
      <c r="R68" t="s">
        <v>25</v>
      </c>
      <c r="S68" t="s">
        <v>233</v>
      </c>
      <c r="T68" t="s">
        <v>430</v>
      </c>
      <c r="U68">
        <v>17979</v>
      </c>
      <c r="V68">
        <v>6</v>
      </c>
      <c r="W68">
        <f>MONTH(T68)</f>
        <v>7</v>
      </c>
      <c r="X68">
        <f>YEAR(T68)</f>
        <v>2024</v>
      </c>
      <c r="Y68" s="26" t="str">
        <f>X68&amp;"-"&amp;W68</f>
        <v>2024-7</v>
      </c>
    </row>
    <row r="69" spans="18:25" x14ac:dyDescent="0.25">
      <c r="R69" t="s">
        <v>25</v>
      </c>
      <c r="S69" t="s">
        <v>90</v>
      </c>
      <c r="T69" t="s">
        <v>432</v>
      </c>
      <c r="U69">
        <v>76818</v>
      </c>
      <c r="V69">
        <v>6</v>
      </c>
      <c r="W69">
        <f>MONTH(T69)</f>
        <v>7</v>
      </c>
      <c r="X69">
        <f>YEAR(T69)</f>
        <v>2024</v>
      </c>
      <c r="Y69" s="26" t="str">
        <f>X69&amp;"-"&amp;W69</f>
        <v>2024-7</v>
      </c>
    </row>
    <row r="70" spans="18:25" x14ac:dyDescent="0.25">
      <c r="R70" t="s">
        <v>25</v>
      </c>
      <c r="S70" t="s">
        <v>111</v>
      </c>
      <c r="T70" t="s">
        <v>434</v>
      </c>
      <c r="U70">
        <v>98494</v>
      </c>
      <c r="V70">
        <v>7</v>
      </c>
      <c r="W70">
        <f>MONTH(T70)</f>
        <v>7</v>
      </c>
      <c r="X70">
        <f>YEAR(T70)</f>
        <v>2024</v>
      </c>
      <c r="Y70" s="26" t="str">
        <f>X70&amp;"-"&amp;W70</f>
        <v>2024-7</v>
      </c>
    </row>
    <row r="71" spans="18:25" x14ac:dyDescent="0.25">
      <c r="R71" t="s">
        <v>25</v>
      </c>
      <c r="S71" t="s">
        <v>136</v>
      </c>
      <c r="T71" t="s">
        <v>435</v>
      </c>
      <c r="U71">
        <v>19620</v>
      </c>
      <c r="V71">
        <v>7</v>
      </c>
      <c r="W71">
        <f>MONTH(T71)</f>
        <v>7</v>
      </c>
      <c r="X71">
        <f>YEAR(T71)</f>
        <v>2024</v>
      </c>
      <c r="Y71" s="26" t="str">
        <f>X71&amp;"-"&amp;W71</f>
        <v>2024-7</v>
      </c>
    </row>
    <row r="72" spans="18:25" x14ac:dyDescent="0.25">
      <c r="R72" t="s">
        <v>25</v>
      </c>
      <c r="S72" t="s">
        <v>58</v>
      </c>
      <c r="T72" t="s">
        <v>438</v>
      </c>
      <c r="U72">
        <v>68805</v>
      </c>
      <c r="V72">
        <v>5</v>
      </c>
      <c r="W72">
        <f>MONTH(T72)</f>
        <v>8</v>
      </c>
      <c r="X72">
        <f>YEAR(T72)</f>
        <v>2024</v>
      </c>
      <c r="Y72" s="26" t="str">
        <f>X72&amp;"-"&amp;W72</f>
        <v>2024-8</v>
      </c>
    </row>
    <row r="73" spans="18:25" x14ac:dyDescent="0.25">
      <c r="R73" t="s">
        <v>25</v>
      </c>
      <c r="S73" t="s">
        <v>117</v>
      </c>
      <c r="T73" t="s">
        <v>446</v>
      </c>
      <c r="U73">
        <v>87568</v>
      </c>
      <c r="V73">
        <v>3</v>
      </c>
      <c r="W73">
        <f>MONTH(T73)</f>
        <v>8</v>
      </c>
      <c r="X73">
        <f>YEAR(T73)</f>
        <v>2024</v>
      </c>
      <c r="Y73" s="26" t="str">
        <f>X73&amp;"-"&amp;W73</f>
        <v>2024-8</v>
      </c>
    </row>
    <row r="74" spans="18:25" x14ac:dyDescent="0.25">
      <c r="R74" t="s">
        <v>25</v>
      </c>
      <c r="S74" t="s">
        <v>385</v>
      </c>
      <c r="T74" t="s">
        <v>451</v>
      </c>
      <c r="U74">
        <v>47717</v>
      </c>
      <c r="V74">
        <v>6</v>
      </c>
      <c r="W74">
        <f>MONTH(T74)</f>
        <v>8</v>
      </c>
      <c r="X74">
        <f>YEAR(T74)</f>
        <v>2024</v>
      </c>
      <c r="Y74" s="26" t="str">
        <f>X74&amp;"-"&amp;W74</f>
        <v>2024-8</v>
      </c>
    </row>
    <row r="75" spans="18:25" x14ac:dyDescent="0.25">
      <c r="R75" t="s">
        <v>25</v>
      </c>
      <c r="S75" t="s">
        <v>136</v>
      </c>
      <c r="T75" t="s">
        <v>454</v>
      </c>
      <c r="U75">
        <v>56672</v>
      </c>
      <c r="V75">
        <v>4</v>
      </c>
      <c r="W75">
        <f>MONTH(T75)</f>
        <v>8</v>
      </c>
      <c r="X75">
        <f>YEAR(T75)</f>
        <v>2024</v>
      </c>
      <c r="Y75" s="26" t="str">
        <f>X75&amp;"-"&amp;W75</f>
        <v>2024-8</v>
      </c>
    </row>
    <row r="76" spans="18:25" x14ac:dyDescent="0.25">
      <c r="R76" t="s">
        <v>25</v>
      </c>
      <c r="S76" t="s">
        <v>98</v>
      </c>
      <c r="T76" t="s">
        <v>456</v>
      </c>
      <c r="U76">
        <v>26874</v>
      </c>
      <c r="V76">
        <v>8</v>
      </c>
      <c r="W76">
        <f>MONTH(T76)</f>
        <v>8</v>
      </c>
      <c r="X76">
        <f>YEAR(T76)</f>
        <v>2024</v>
      </c>
      <c r="Y76" s="26" t="str">
        <f>X76&amp;"-"&amp;W76</f>
        <v>2024-8</v>
      </c>
    </row>
    <row r="77" spans="18:25" x14ac:dyDescent="0.25">
      <c r="R77" t="s">
        <v>25</v>
      </c>
      <c r="S77" t="s">
        <v>63</v>
      </c>
      <c r="T77" t="s">
        <v>456</v>
      </c>
      <c r="U77">
        <v>38600</v>
      </c>
      <c r="V77">
        <v>9</v>
      </c>
      <c r="W77">
        <f>MONTH(T77)</f>
        <v>8</v>
      </c>
      <c r="X77">
        <f>YEAR(T77)</f>
        <v>2024</v>
      </c>
      <c r="Y77" s="26" t="str">
        <f>X77&amp;"-"&amp;W77</f>
        <v>2024-8</v>
      </c>
    </row>
    <row r="78" spans="18:25" x14ac:dyDescent="0.25">
      <c r="R78" t="s">
        <v>25</v>
      </c>
      <c r="S78" t="s">
        <v>11</v>
      </c>
      <c r="T78" t="s">
        <v>456</v>
      </c>
      <c r="U78">
        <v>10985</v>
      </c>
      <c r="V78">
        <v>4</v>
      </c>
      <c r="W78">
        <f>MONTH(T78)</f>
        <v>8</v>
      </c>
      <c r="X78">
        <f>YEAR(T78)</f>
        <v>2024</v>
      </c>
      <c r="Y78" s="26" t="str">
        <f>X78&amp;"-"&amp;W78</f>
        <v>2024-8</v>
      </c>
    </row>
    <row r="79" spans="18:25" x14ac:dyDescent="0.25">
      <c r="R79" t="s">
        <v>5</v>
      </c>
      <c r="S79" t="s">
        <v>6</v>
      </c>
      <c r="T79" t="s">
        <v>7</v>
      </c>
      <c r="U79">
        <v>49585</v>
      </c>
      <c r="V79">
        <v>5</v>
      </c>
      <c r="W79">
        <f>MONTH(T79)</f>
        <v>9</v>
      </c>
      <c r="X79">
        <f>YEAR(T79)</f>
        <v>2023</v>
      </c>
      <c r="Y79" s="26" t="str">
        <f>X79&amp;"-"&amp;W79</f>
        <v>2023-9</v>
      </c>
    </row>
    <row r="80" spans="18:25" x14ac:dyDescent="0.25">
      <c r="R80" t="s">
        <v>5</v>
      </c>
      <c r="S80" t="s">
        <v>15</v>
      </c>
      <c r="T80" t="s">
        <v>12</v>
      </c>
      <c r="U80">
        <v>25583</v>
      </c>
      <c r="V80">
        <v>7</v>
      </c>
      <c r="W80">
        <f>MONTH(T80)</f>
        <v>9</v>
      </c>
      <c r="X80">
        <f>YEAR(T80)</f>
        <v>2023</v>
      </c>
      <c r="Y80" s="26" t="str">
        <f>X80&amp;"-"&amp;W80</f>
        <v>2023-9</v>
      </c>
    </row>
    <row r="81" spans="18:25" x14ac:dyDescent="0.25">
      <c r="R81" t="s">
        <v>5</v>
      </c>
      <c r="S81" t="s">
        <v>58</v>
      </c>
      <c r="T81" t="s">
        <v>56</v>
      </c>
      <c r="U81">
        <v>74405</v>
      </c>
      <c r="V81">
        <v>9</v>
      </c>
      <c r="W81">
        <f>MONTH(T81)</f>
        <v>9</v>
      </c>
      <c r="X81">
        <f>YEAR(T81)</f>
        <v>2023</v>
      </c>
      <c r="Y81" s="26" t="str">
        <f>X81&amp;"-"&amp;W81</f>
        <v>2023-9</v>
      </c>
    </row>
    <row r="82" spans="18:25" x14ac:dyDescent="0.25">
      <c r="R82" t="s">
        <v>5</v>
      </c>
      <c r="S82" t="s">
        <v>59</v>
      </c>
      <c r="T82" t="s">
        <v>60</v>
      </c>
      <c r="U82">
        <v>37910</v>
      </c>
      <c r="V82">
        <v>9</v>
      </c>
      <c r="W82">
        <f>MONTH(T82)</f>
        <v>9</v>
      </c>
      <c r="X82">
        <f>YEAR(T82)</f>
        <v>2023</v>
      </c>
      <c r="Y82" s="26" t="str">
        <f>X82&amp;"-"&amp;W82</f>
        <v>2023-9</v>
      </c>
    </row>
    <row r="83" spans="18:25" x14ac:dyDescent="0.25">
      <c r="R83" t="s">
        <v>5</v>
      </c>
      <c r="S83" t="s">
        <v>61</v>
      </c>
      <c r="T83" t="s">
        <v>62</v>
      </c>
      <c r="U83">
        <v>78611</v>
      </c>
      <c r="V83">
        <v>2</v>
      </c>
      <c r="W83">
        <f>MONTH(T83)</f>
        <v>9</v>
      </c>
      <c r="X83">
        <f>YEAR(T83)</f>
        <v>2023</v>
      </c>
      <c r="Y83" s="26" t="str">
        <f>X83&amp;"-"&amp;W83</f>
        <v>2023-9</v>
      </c>
    </row>
    <row r="84" spans="18:25" x14ac:dyDescent="0.25">
      <c r="R84" t="s">
        <v>5</v>
      </c>
      <c r="S84" t="s">
        <v>73</v>
      </c>
      <c r="T84" t="s">
        <v>71</v>
      </c>
      <c r="U84">
        <v>57693</v>
      </c>
      <c r="V84">
        <v>1</v>
      </c>
      <c r="W84">
        <f>MONTH(T84)</f>
        <v>9</v>
      </c>
      <c r="X84">
        <f>YEAR(T84)</f>
        <v>2023</v>
      </c>
      <c r="Y84" s="26" t="str">
        <f>X84&amp;"-"&amp;W84</f>
        <v>2023-9</v>
      </c>
    </row>
    <row r="85" spans="18:25" x14ac:dyDescent="0.25">
      <c r="R85" t="s">
        <v>5</v>
      </c>
      <c r="S85" t="s">
        <v>93</v>
      </c>
      <c r="T85" t="s">
        <v>87</v>
      </c>
      <c r="U85">
        <v>43484</v>
      </c>
      <c r="V85">
        <v>8</v>
      </c>
      <c r="W85">
        <f>MONTH(T85)</f>
        <v>9</v>
      </c>
      <c r="X85">
        <f>YEAR(T85)</f>
        <v>2023</v>
      </c>
      <c r="Y85" s="26" t="str">
        <f>X85&amp;"-"&amp;W85</f>
        <v>2023-9</v>
      </c>
    </row>
    <row r="86" spans="18:25" x14ac:dyDescent="0.25">
      <c r="R86" t="s">
        <v>5</v>
      </c>
      <c r="S86" t="s">
        <v>106</v>
      </c>
      <c r="T86" t="s">
        <v>104</v>
      </c>
      <c r="U86">
        <v>76029</v>
      </c>
      <c r="V86">
        <v>7</v>
      </c>
      <c r="W86">
        <f>MONTH(T86)</f>
        <v>10</v>
      </c>
      <c r="X86">
        <f>YEAR(T86)</f>
        <v>2023</v>
      </c>
      <c r="Y86" s="26" t="str">
        <f>X86&amp;"-"&amp;W86</f>
        <v>2023-10</v>
      </c>
    </row>
    <row r="87" spans="18:25" x14ac:dyDescent="0.25">
      <c r="R87" t="s">
        <v>5</v>
      </c>
      <c r="S87" t="s">
        <v>39</v>
      </c>
      <c r="T87" t="s">
        <v>109</v>
      </c>
      <c r="U87">
        <v>94646</v>
      </c>
      <c r="V87">
        <v>8</v>
      </c>
      <c r="W87">
        <f>MONTH(T87)</f>
        <v>10</v>
      </c>
      <c r="X87">
        <f>YEAR(T87)</f>
        <v>2023</v>
      </c>
      <c r="Y87" s="26" t="str">
        <f>X87&amp;"-"&amp;W87</f>
        <v>2023-10</v>
      </c>
    </row>
    <row r="88" spans="18:25" x14ac:dyDescent="0.25">
      <c r="R88" t="s">
        <v>5</v>
      </c>
      <c r="S88" t="s">
        <v>113</v>
      </c>
      <c r="T88" t="s">
        <v>112</v>
      </c>
      <c r="U88">
        <v>68928</v>
      </c>
      <c r="V88">
        <v>3</v>
      </c>
      <c r="W88">
        <f>MONTH(T88)</f>
        <v>10</v>
      </c>
      <c r="X88">
        <f>YEAR(T88)</f>
        <v>2023</v>
      </c>
      <c r="Y88" s="26" t="str">
        <f>X88&amp;"-"&amp;W88</f>
        <v>2023-10</v>
      </c>
    </row>
    <row r="89" spans="18:25" x14ac:dyDescent="0.25">
      <c r="R89" t="s">
        <v>5</v>
      </c>
      <c r="S89" t="s">
        <v>111</v>
      </c>
      <c r="T89" t="s">
        <v>118</v>
      </c>
      <c r="U89">
        <v>28834</v>
      </c>
      <c r="V89">
        <v>6</v>
      </c>
      <c r="W89">
        <f>MONTH(T89)</f>
        <v>10</v>
      </c>
      <c r="X89">
        <f>YEAR(T89)</f>
        <v>2023</v>
      </c>
      <c r="Y89" s="26" t="str">
        <f>X89&amp;"-"&amp;W89</f>
        <v>2023-10</v>
      </c>
    </row>
    <row r="90" spans="18:25" x14ac:dyDescent="0.25">
      <c r="R90" t="s">
        <v>5</v>
      </c>
      <c r="S90" t="s">
        <v>119</v>
      </c>
      <c r="T90" t="s">
        <v>118</v>
      </c>
      <c r="U90">
        <v>28347</v>
      </c>
      <c r="V90">
        <v>6</v>
      </c>
      <c r="W90">
        <f>MONTH(T90)</f>
        <v>10</v>
      </c>
      <c r="X90">
        <f>YEAR(T90)</f>
        <v>2023</v>
      </c>
      <c r="Y90" s="26" t="str">
        <f>X90&amp;"-"&amp;W90</f>
        <v>2023-10</v>
      </c>
    </row>
    <row r="91" spans="18:25" x14ac:dyDescent="0.25">
      <c r="R91" t="s">
        <v>5</v>
      </c>
      <c r="S91" t="s">
        <v>121</v>
      </c>
      <c r="T91" t="s">
        <v>120</v>
      </c>
      <c r="U91">
        <v>15194</v>
      </c>
      <c r="V91">
        <v>7</v>
      </c>
      <c r="W91">
        <f>MONTH(T91)</f>
        <v>10</v>
      </c>
      <c r="X91">
        <f>YEAR(T91)</f>
        <v>2023</v>
      </c>
      <c r="Y91" s="26" t="str">
        <f>X91&amp;"-"&amp;W91</f>
        <v>2023-10</v>
      </c>
    </row>
    <row r="92" spans="18:25" x14ac:dyDescent="0.25">
      <c r="R92" t="s">
        <v>5</v>
      </c>
      <c r="S92" t="s">
        <v>53</v>
      </c>
      <c r="T92" t="s">
        <v>127</v>
      </c>
      <c r="U92">
        <v>22398</v>
      </c>
      <c r="V92">
        <v>5</v>
      </c>
      <c r="W92">
        <f>MONTH(T92)</f>
        <v>10</v>
      </c>
      <c r="X92">
        <f>YEAR(T92)</f>
        <v>2023</v>
      </c>
      <c r="Y92" s="26" t="str">
        <f>X92&amp;"-"&amp;W92</f>
        <v>2023-10</v>
      </c>
    </row>
    <row r="93" spans="18:25" x14ac:dyDescent="0.25">
      <c r="R93" t="s">
        <v>5</v>
      </c>
      <c r="S93" t="s">
        <v>161</v>
      </c>
      <c r="T93" t="s">
        <v>160</v>
      </c>
      <c r="U93">
        <v>50289</v>
      </c>
      <c r="V93">
        <v>2</v>
      </c>
      <c r="W93">
        <f>MONTH(T93)</f>
        <v>10</v>
      </c>
      <c r="X93">
        <f>YEAR(T93)</f>
        <v>2023</v>
      </c>
      <c r="Y93" s="26" t="str">
        <f>X93&amp;"-"&amp;W93</f>
        <v>2023-10</v>
      </c>
    </row>
    <row r="94" spans="18:25" x14ac:dyDescent="0.25">
      <c r="R94" t="s">
        <v>5</v>
      </c>
      <c r="S94" t="s">
        <v>162</v>
      </c>
      <c r="T94" t="s">
        <v>163</v>
      </c>
      <c r="U94">
        <v>34917</v>
      </c>
      <c r="V94">
        <v>8</v>
      </c>
      <c r="W94">
        <f>MONTH(T94)</f>
        <v>10</v>
      </c>
      <c r="X94">
        <f>YEAR(T94)</f>
        <v>2023</v>
      </c>
      <c r="Y94" s="26" t="str">
        <f>X94&amp;"-"&amp;W94</f>
        <v>2023-10</v>
      </c>
    </row>
    <row r="95" spans="18:25" x14ac:dyDescent="0.25">
      <c r="R95" t="s">
        <v>5</v>
      </c>
      <c r="S95" t="s">
        <v>101</v>
      </c>
      <c r="T95" t="s">
        <v>174</v>
      </c>
      <c r="U95">
        <v>90834</v>
      </c>
      <c r="V95">
        <v>5</v>
      </c>
      <c r="W95">
        <f>MONTH(T95)</f>
        <v>11</v>
      </c>
      <c r="X95">
        <f>YEAR(T95)</f>
        <v>2023</v>
      </c>
      <c r="Y95" s="26" t="str">
        <f>X95&amp;"-"&amp;W95</f>
        <v>2023-11</v>
      </c>
    </row>
    <row r="96" spans="18:25" x14ac:dyDescent="0.25">
      <c r="R96" t="s">
        <v>5</v>
      </c>
      <c r="S96" t="s">
        <v>190</v>
      </c>
      <c r="T96" t="s">
        <v>189</v>
      </c>
      <c r="U96">
        <v>30967</v>
      </c>
      <c r="V96">
        <v>8</v>
      </c>
      <c r="W96">
        <f>MONTH(T96)</f>
        <v>11</v>
      </c>
      <c r="X96">
        <f>YEAR(T96)</f>
        <v>2023</v>
      </c>
      <c r="Y96" s="26" t="str">
        <f>X96&amp;"-"&amp;W96</f>
        <v>2023-11</v>
      </c>
    </row>
    <row r="97" spans="18:25" x14ac:dyDescent="0.25">
      <c r="R97" t="s">
        <v>5</v>
      </c>
      <c r="S97" t="s">
        <v>93</v>
      </c>
      <c r="T97" t="s">
        <v>191</v>
      </c>
      <c r="U97">
        <v>63400</v>
      </c>
      <c r="V97">
        <v>1</v>
      </c>
      <c r="W97">
        <f>MONTH(T97)</f>
        <v>11</v>
      </c>
      <c r="X97">
        <f>YEAR(T97)</f>
        <v>2023</v>
      </c>
      <c r="Y97" s="26" t="str">
        <f>X97&amp;"-"&amp;W97</f>
        <v>2023-11</v>
      </c>
    </row>
    <row r="98" spans="18:25" x14ac:dyDescent="0.25">
      <c r="R98" t="s">
        <v>5</v>
      </c>
      <c r="S98" t="s">
        <v>194</v>
      </c>
      <c r="T98" t="s">
        <v>193</v>
      </c>
      <c r="U98">
        <v>34120</v>
      </c>
      <c r="V98">
        <v>7</v>
      </c>
      <c r="W98">
        <f>MONTH(T98)</f>
        <v>11</v>
      </c>
      <c r="X98">
        <f>YEAR(T98)</f>
        <v>2023</v>
      </c>
      <c r="Y98" s="26" t="str">
        <f>X98&amp;"-"&amp;W98</f>
        <v>2023-11</v>
      </c>
    </row>
    <row r="99" spans="18:25" x14ac:dyDescent="0.25">
      <c r="R99" t="s">
        <v>5</v>
      </c>
      <c r="S99" t="s">
        <v>196</v>
      </c>
      <c r="T99" t="s">
        <v>197</v>
      </c>
      <c r="U99">
        <v>32589</v>
      </c>
      <c r="V99">
        <v>6</v>
      </c>
      <c r="W99">
        <f>MONTH(T99)</f>
        <v>11</v>
      </c>
      <c r="X99">
        <f>YEAR(T99)</f>
        <v>2023</v>
      </c>
      <c r="Y99" s="26" t="str">
        <f>X99&amp;"-"&amp;W99</f>
        <v>2023-11</v>
      </c>
    </row>
    <row r="100" spans="18:25" x14ac:dyDescent="0.25">
      <c r="R100" t="s">
        <v>5</v>
      </c>
      <c r="S100" t="s">
        <v>200</v>
      </c>
      <c r="T100" t="s">
        <v>199</v>
      </c>
      <c r="U100">
        <v>93791</v>
      </c>
      <c r="V100">
        <v>4</v>
      </c>
      <c r="W100">
        <f>MONTH(T100)</f>
        <v>11</v>
      </c>
      <c r="X100">
        <f>YEAR(T100)</f>
        <v>2023</v>
      </c>
      <c r="Y100" s="26" t="str">
        <f>X100&amp;"-"&amp;W100</f>
        <v>2023-11</v>
      </c>
    </row>
    <row r="101" spans="18:25" x14ac:dyDescent="0.25">
      <c r="R101" t="s">
        <v>5</v>
      </c>
      <c r="S101" t="s">
        <v>201</v>
      </c>
      <c r="T101" t="s">
        <v>199</v>
      </c>
      <c r="U101">
        <v>15164</v>
      </c>
      <c r="V101">
        <v>7</v>
      </c>
      <c r="W101">
        <f>MONTH(T101)</f>
        <v>11</v>
      </c>
      <c r="X101">
        <f>YEAR(T101)</f>
        <v>2023</v>
      </c>
      <c r="Y101" s="26" t="str">
        <f>X101&amp;"-"&amp;W101</f>
        <v>2023-11</v>
      </c>
    </row>
    <row r="102" spans="18:25" x14ac:dyDescent="0.25">
      <c r="R102" t="s">
        <v>5</v>
      </c>
      <c r="S102" t="s">
        <v>141</v>
      </c>
      <c r="T102" t="s">
        <v>204</v>
      </c>
      <c r="U102">
        <v>79661</v>
      </c>
      <c r="V102">
        <v>7</v>
      </c>
      <c r="W102">
        <f>MONTH(T102)</f>
        <v>11</v>
      </c>
      <c r="X102">
        <f>YEAR(T102)</f>
        <v>2023</v>
      </c>
      <c r="Y102" s="26" t="str">
        <f>X102&amp;"-"&amp;W102</f>
        <v>2023-11</v>
      </c>
    </row>
    <row r="103" spans="18:25" x14ac:dyDescent="0.25">
      <c r="R103" t="s">
        <v>5</v>
      </c>
      <c r="S103" t="s">
        <v>14</v>
      </c>
      <c r="T103" t="s">
        <v>225</v>
      </c>
      <c r="U103">
        <v>68267</v>
      </c>
      <c r="V103">
        <v>5</v>
      </c>
      <c r="W103">
        <f>MONTH(T103)</f>
        <v>12</v>
      </c>
      <c r="X103">
        <f>YEAR(T103)</f>
        <v>2023</v>
      </c>
      <c r="Y103" s="26" t="str">
        <f>X103&amp;"-"&amp;W103</f>
        <v>2023-12</v>
      </c>
    </row>
    <row r="104" spans="18:25" x14ac:dyDescent="0.25">
      <c r="R104" t="s">
        <v>5</v>
      </c>
      <c r="S104" t="s">
        <v>125</v>
      </c>
      <c r="T104" t="s">
        <v>230</v>
      </c>
      <c r="U104">
        <v>28052</v>
      </c>
      <c r="V104">
        <v>7</v>
      </c>
      <c r="W104">
        <f>MONTH(T104)</f>
        <v>12</v>
      </c>
      <c r="X104">
        <f>YEAR(T104)</f>
        <v>2023</v>
      </c>
      <c r="Y104" s="26" t="str">
        <f>X104&amp;"-"&amp;W104</f>
        <v>2023-12</v>
      </c>
    </row>
    <row r="105" spans="18:25" x14ac:dyDescent="0.25">
      <c r="R105" t="s">
        <v>5</v>
      </c>
      <c r="S105" t="s">
        <v>68</v>
      </c>
      <c r="T105" t="s">
        <v>230</v>
      </c>
      <c r="U105">
        <v>13620</v>
      </c>
      <c r="V105">
        <v>9</v>
      </c>
      <c r="W105">
        <f>MONTH(T105)</f>
        <v>12</v>
      </c>
      <c r="X105">
        <f>YEAR(T105)</f>
        <v>2023</v>
      </c>
      <c r="Y105" s="26" t="str">
        <f>X105&amp;"-"&amp;W105</f>
        <v>2023-12</v>
      </c>
    </row>
    <row r="106" spans="18:25" x14ac:dyDescent="0.25">
      <c r="R106" t="s">
        <v>5</v>
      </c>
      <c r="S106" t="s">
        <v>190</v>
      </c>
      <c r="T106" t="s">
        <v>237</v>
      </c>
      <c r="U106">
        <v>15330</v>
      </c>
      <c r="V106">
        <v>6</v>
      </c>
      <c r="W106">
        <f>MONTH(T106)</f>
        <v>12</v>
      </c>
      <c r="X106">
        <f>YEAR(T106)</f>
        <v>2023</v>
      </c>
      <c r="Y106" s="26" t="str">
        <f>X106&amp;"-"&amp;W106</f>
        <v>2023-12</v>
      </c>
    </row>
    <row r="107" spans="18:25" x14ac:dyDescent="0.25">
      <c r="R107" t="s">
        <v>5</v>
      </c>
      <c r="S107" t="s">
        <v>63</v>
      </c>
      <c r="T107" t="s">
        <v>241</v>
      </c>
      <c r="U107">
        <v>23120</v>
      </c>
      <c r="V107">
        <v>6</v>
      </c>
      <c r="W107">
        <f>MONTH(T107)</f>
        <v>12</v>
      </c>
      <c r="X107">
        <f>YEAR(T107)</f>
        <v>2023</v>
      </c>
      <c r="Y107" s="26" t="str">
        <f>X107&amp;"-"&amp;W107</f>
        <v>2023-12</v>
      </c>
    </row>
    <row r="108" spans="18:25" x14ac:dyDescent="0.25">
      <c r="R108" t="s">
        <v>5</v>
      </c>
      <c r="S108" t="s">
        <v>14</v>
      </c>
      <c r="T108" t="s">
        <v>258</v>
      </c>
      <c r="U108">
        <v>68332</v>
      </c>
      <c r="V108">
        <v>7</v>
      </c>
      <c r="W108">
        <f>MONTH(T108)</f>
        <v>1</v>
      </c>
      <c r="X108">
        <f>YEAR(T108)</f>
        <v>2024</v>
      </c>
      <c r="Y108" s="26" t="str">
        <f>X108&amp;"-"&amp;W108</f>
        <v>2024-1</v>
      </c>
    </row>
    <row r="109" spans="18:25" x14ac:dyDescent="0.25">
      <c r="R109" t="s">
        <v>5</v>
      </c>
      <c r="S109" t="s">
        <v>31</v>
      </c>
      <c r="T109" t="s">
        <v>259</v>
      </c>
      <c r="U109">
        <v>27979</v>
      </c>
      <c r="V109">
        <v>7</v>
      </c>
      <c r="W109">
        <f>MONTH(T109)</f>
        <v>1</v>
      </c>
      <c r="X109">
        <f>YEAR(T109)</f>
        <v>2024</v>
      </c>
      <c r="Y109" s="26" t="str">
        <f>X109&amp;"-"&amp;W109</f>
        <v>2024-1</v>
      </c>
    </row>
    <row r="110" spans="18:25" x14ac:dyDescent="0.25">
      <c r="R110" t="s">
        <v>5</v>
      </c>
      <c r="S110" t="s">
        <v>69</v>
      </c>
      <c r="T110" t="s">
        <v>261</v>
      </c>
      <c r="U110">
        <v>73600</v>
      </c>
      <c r="V110">
        <v>9</v>
      </c>
      <c r="W110">
        <f>MONTH(T110)</f>
        <v>1</v>
      </c>
      <c r="X110">
        <f>YEAR(T110)</f>
        <v>2024</v>
      </c>
      <c r="Y110" s="26" t="str">
        <f>X110&amp;"-"&amp;W110</f>
        <v>2024-1</v>
      </c>
    </row>
    <row r="111" spans="18:25" x14ac:dyDescent="0.25">
      <c r="R111" t="s">
        <v>5</v>
      </c>
      <c r="S111" t="s">
        <v>52</v>
      </c>
      <c r="T111" t="s">
        <v>273</v>
      </c>
      <c r="U111">
        <v>44012</v>
      </c>
      <c r="V111">
        <v>5</v>
      </c>
      <c r="W111">
        <f>MONTH(T111)</f>
        <v>1</v>
      </c>
      <c r="X111">
        <f>YEAR(T111)</f>
        <v>2024</v>
      </c>
      <c r="Y111" s="26" t="str">
        <f>X111&amp;"-"&amp;W111</f>
        <v>2024-1</v>
      </c>
    </row>
    <row r="112" spans="18:25" x14ac:dyDescent="0.25">
      <c r="R112" t="s">
        <v>5</v>
      </c>
      <c r="S112" t="s">
        <v>206</v>
      </c>
      <c r="T112" t="s">
        <v>282</v>
      </c>
      <c r="U112">
        <v>50796</v>
      </c>
      <c r="V112">
        <v>8</v>
      </c>
      <c r="W112">
        <f>MONTH(T112)</f>
        <v>1</v>
      </c>
      <c r="X112">
        <f>YEAR(T112)</f>
        <v>2024</v>
      </c>
      <c r="Y112" s="26" t="str">
        <f>X112&amp;"-"&amp;W112</f>
        <v>2024-1</v>
      </c>
    </row>
    <row r="113" spans="18:25" x14ac:dyDescent="0.25">
      <c r="R113" t="s">
        <v>5</v>
      </c>
      <c r="S113" t="s">
        <v>226</v>
      </c>
      <c r="T113" t="s">
        <v>285</v>
      </c>
      <c r="U113">
        <v>72540</v>
      </c>
      <c r="V113">
        <v>7</v>
      </c>
      <c r="W113">
        <f>MONTH(T113)</f>
        <v>2</v>
      </c>
      <c r="X113">
        <f>YEAR(T113)</f>
        <v>2024</v>
      </c>
      <c r="Y113" s="26" t="str">
        <f>X113&amp;"-"&amp;W113</f>
        <v>2024-2</v>
      </c>
    </row>
    <row r="114" spans="18:25" x14ac:dyDescent="0.25">
      <c r="R114" t="s">
        <v>5</v>
      </c>
      <c r="S114" t="s">
        <v>152</v>
      </c>
      <c r="T114" t="s">
        <v>305</v>
      </c>
      <c r="U114">
        <v>64723</v>
      </c>
      <c r="V114">
        <v>7</v>
      </c>
      <c r="W114">
        <f>MONTH(T114)</f>
        <v>2</v>
      </c>
      <c r="X114">
        <f>YEAR(T114)</f>
        <v>2024</v>
      </c>
      <c r="Y114" s="26" t="str">
        <f>X114&amp;"-"&amp;W114</f>
        <v>2024-2</v>
      </c>
    </row>
    <row r="115" spans="18:25" x14ac:dyDescent="0.25">
      <c r="R115" t="s">
        <v>5</v>
      </c>
      <c r="S115" t="s">
        <v>307</v>
      </c>
      <c r="T115" t="s">
        <v>305</v>
      </c>
      <c r="U115">
        <v>43982</v>
      </c>
      <c r="V115">
        <v>6</v>
      </c>
      <c r="W115">
        <f>MONTH(T115)</f>
        <v>2</v>
      </c>
      <c r="X115">
        <f>YEAR(T115)</f>
        <v>2024</v>
      </c>
      <c r="Y115" s="26" t="str">
        <f>X115&amp;"-"&amp;W115</f>
        <v>2024-2</v>
      </c>
    </row>
    <row r="116" spans="18:25" x14ac:dyDescent="0.25">
      <c r="R116" t="s">
        <v>5</v>
      </c>
      <c r="S116" t="s">
        <v>11</v>
      </c>
      <c r="T116" t="s">
        <v>312</v>
      </c>
      <c r="U116">
        <v>23686</v>
      </c>
      <c r="V116">
        <v>5</v>
      </c>
      <c r="W116">
        <f>MONTH(T116)</f>
        <v>2</v>
      </c>
      <c r="X116">
        <f>YEAR(T116)</f>
        <v>2024</v>
      </c>
      <c r="Y116" s="26" t="str">
        <f>X116&amp;"-"&amp;W116</f>
        <v>2024-2</v>
      </c>
    </row>
    <row r="117" spans="18:25" x14ac:dyDescent="0.25">
      <c r="R117" t="s">
        <v>5</v>
      </c>
      <c r="S117" t="s">
        <v>41</v>
      </c>
      <c r="T117" t="s">
        <v>315</v>
      </c>
      <c r="U117">
        <v>56939</v>
      </c>
      <c r="V117">
        <v>7</v>
      </c>
      <c r="W117">
        <f>MONTH(T117)</f>
        <v>2</v>
      </c>
      <c r="X117">
        <f>YEAR(T117)</f>
        <v>2024</v>
      </c>
      <c r="Y117" s="26" t="str">
        <f>X117&amp;"-"&amp;W117</f>
        <v>2024-2</v>
      </c>
    </row>
    <row r="118" spans="18:25" x14ac:dyDescent="0.25">
      <c r="R118" t="s">
        <v>5</v>
      </c>
      <c r="S118" t="s">
        <v>144</v>
      </c>
      <c r="T118" t="s">
        <v>318</v>
      </c>
      <c r="U118">
        <v>22804</v>
      </c>
      <c r="V118">
        <v>10</v>
      </c>
      <c r="W118">
        <f>MONTH(T118)</f>
        <v>3</v>
      </c>
      <c r="X118">
        <f>YEAR(T118)</f>
        <v>2024</v>
      </c>
      <c r="Y118" s="26" t="str">
        <f>X118&amp;"-"&amp;W118</f>
        <v>2024-3</v>
      </c>
    </row>
    <row r="119" spans="18:25" x14ac:dyDescent="0.25">
      <c r="R119" t="s">
        <v>5</v>
      </c>
      <c r="S119" t="s">
        <v>217</v>
      </c>
      <c r="T119" t="s">
        <v>319</v>
      </c>
      <c r="U119">
        <v>27287</v>
      </c>
      <c r="V119">
        <v>9</v>
      </c>
      <c r="W119">
        <f>MONTH(T119)</f>
        <v>3</v>
      </c>
      <c r="X119">
        <f>YEAR(T119)</f>
        <v>2024</v>
      </c>
      <c r="Y119" s="26" t="str">
        <f>X119&amp;"-"&amp;W119</f>
        <v>2024-3</v>
      </c>
    </row>
    <row r="120" spans="18:25" x14ac:dyDescent="0.25">
      <c r="R120" t="s">
        <v>5</v>
      </c>
      <c r="S120" t="s">
        <v>126</v>
      </c>
      <c r="T120" t="s">
        <v>319</v>
      </c>
      <c r="U120">
        <v>43551</v>
      </c>
      <c r="V120">
        <v>8</v>
      </c>
      <c r="W120">
        <f>MONTH(T120)</f>
        <v>3</v>
      </c>
      <c r="X120">
        <f>YEAR(T120)</f>
        <v>2024</v>
      </c>
      <c r="Y120" s="26" t="str">
        <f>X120&amp;"-"&amp;W120</f>
        <v>2024-3</v>
      </c>
    </row>
    <row r="121" spans="18:25" x14ac:dyDescent="0.25">
      <c r="R121" t="s">
        <v>5</v>
      </c>
      <c r="S121" t="s">
        <v>73</v>
      </c>
      <c r="T121" t="s">
        <v>320</v>
      </c>
      <c r="U121">
        <v>67671</v>
      </c>
      <c r="V121">
        <v>3</v>
      </c>
      <c r="W121">
        <f>MONTH(T121)</f>
        <v>3</v>
      </c>
      <c r="X121">
        <f>YEAR(T121)</f>
        <v>2024</v>
      </c>
      <c r="Y121" s="26" t="str">
        <f>X121&amp;"-"&amp;W121</f>
        <v>2024-3</v>
      </c>
    </row>
    <row r="122" spans="18:25" x14ac:dyDescent="0.25">
      <c r="R122" t="s">
        <v>5</v>
      </c>
      <c r="S122" t="s">
        <v>232</v>
      </c>
      <c r="T122" t="s">
        <v>323</v>
      </c>
      <c r="U122">
        <v>20910</v>
      </c>
      <c r="V122">
        <v>5</v>
      </c>
      <c r="W122">
        <f>MONTH(T122)</f>
        <v>3</v>
      </c>
      <c r="X122">
        <f>YEAR(T122)</f>
        <v>2024</v>
      </c>
      <c r="Y122" s="26" t="str">
        <f>X122&amp;"-"&amp;W122</f>
        <v>2024-3</v>
      </c>
    </row>
    <row r="123" spans="18:25" x14ac:dyDescent="0.25">
      <c r="R123" t="s">
        <v>5</v>
      </c>
      <c r="S123" t="s">
        <v>195</v>
      </c>
      <c r="T123" t="s">
        <v>323</v>
      </c>
      <c r="U123">
        <v>25238</v>
      </c>
      <c r="V123">
        <v>7</v>
      </c>
      <c r="W123">
        <f>MONTH(T123)</f>
        <v>3</v>
      </c>
      <c r="X123">
        <f>YEAR(T123)</f>
        <v>2024</v>
      </c>
      <c r="Y123" s="26" t="str">
        <f>X123&amp;"-"&amp;W123</f>
        <v>2024-3</v>
      </c>
    </row>
    <row r="124" spans="18:25" x14ac:dyDescent="0.25">
      <c r="R124" t="s">
        <v>5</v>
      </c>
      <c r="S124" t="s">
        <v>229</v>
      </c>
      <c r="T124" t="s">
        <v>328</v>
      </c>
      <c r="U124">
        <v>37306</v>
      </c>
      <c r="V124">
        <v>5</v>
      </c>
      <c r="W124">
        <f>MONTH(T124)</f>
        <v>3</v>
      </c>
      <c r="X124">
        <f>YEAR(T124)</f>
        <v>2024</v>
      </c>
      <c r="Y124" s="26" t="str">
        <f>X124&amp;"-"&amp;W124</f>
        <v>2024-3</v>
      </c>
    </row>
    <row r="125" spans="18:25" x14ac:dyDescent="0.25">
      <c r="R125" t="s">
        <v>5</v>
      </c>
      <c r="S125" t="s">
        <v>329</v>
      </c>
      <c r="T125" t="s">
        <v>330</v>
      </c>
      <c r="U125">
        <v>55635</v>
      </c>
      <c r="V125">
        <v>5</v>
      </c>
      <c r="W125">
        <f>MONTH(T125)</f>
        <v>3</v>
      </c>
      <c r="X125">
        <f>YEAR(T125)</f>
        <v>2024</v>
      </c>
      <c r="Y125" s="26" t="str">
        <f>X125&amp;"-"&amp;W125</f>
        <v>2024-3</v>
      </c>
    </row>
    <row r="126" spans="18:25" x14ac:dyDescent="0.25">
      <c r="R126" t="s">
        <v>5</v>
      </c>
      <c r="S126" t="s">
        <v>249</v>
      </c>
      <c r="T126" t="s">
        <v>330</v>
      </c>
      <c r="U126">
        <v>83654</v>
      </c>
      <c r="V126">
        <v>2</v>
      </c>
      <c r="W126">
        <f>MONTH(T126)</f>
        <v>3</v>
      </c>
      <c r="X126">
        <f>YEAR(T126)</f>
        <v>2024</v>
      </c>
      <c r="Y126" s="26" t="str">
        <f>X126&amp;"-"&amp;W126</f>
        <v>2024-3</v>
      </c>
    </row>
    <row r="127" spans="18:25" x14ac:dyDescent="0.25">
      <c r="R127" t="s">
        <v>5</v>
      </c>
      <c r="S127" t="s">
        <v>332</v>
      </c>
      <c r="T127" t="s">
        <v>333</v>
      </c>
      <c r="U127">
        <v>69983</v>
      </c>
      <c r="V127">
        <v>3</v>
      </c>
      <c r="W127">
        <f>MONTH(T127)</f>
        <v>3</v>
      </c>
      <c r="X127">
        <f>YEAR(T127)</f>
        <v>2024</v>
      </c>
      <c r="Y127" s="26" t="str">
        <f>X127&amp;"-"&amp;W127</f>
        <v>2024-3</v>
      </c>
    </row>
    <row r="128" spans="18:25" x14ac:dyDescent="0.25">
      <c r="R128" t="s">
        <v>5</v>
      </c>
      <c r="S128" t="s">
        <v>206</v>
      </c>
      <c r="T128" t="s">
        <v>339</v>
      </c>
      <c r="U128">
        <v>48001</v>
      </c>
      <c r="V128">
        <v>2</v>
      </c>
      <c r="W128">
        <f>MONTH(T128)</f>
        <v>3</v>
      </c>
      <c r="X128">
        <f>YEAR(T128)</f>
        <v>2024</v>
      </c>
      <c r="Y128" s="26" t="str">
        <f>X128&amp;"-"&amp;W128</f>
        <v>2024-3</v>
      </c>
    </row>
    <row r="129" spans="18:25" x14ac:dyDescent="0.25">
      <c r="R129" t="s">
        <v>5</v>
      </c>
      <c r="S129" t="s">
        <v>227</v>
      </c>
      <c r="T129" t="s">
        <v>343</v>
      </c>
      <c r="U129">
        <v>38437</v>
      </c>
      <c r="V129">
        <v>7</v>
      </c>
      <c r="W129">
        <f>MONTH(T129)</f>
        <v>4</v>
      </c>
      <c r="X129">
        <f>YEAR(T129)</f>
        <v>2024</v>
      </c>
      <c r="Y129" s="26" t="str">
        <f>X129&amp;"-"&amp;W129</f>
        <v>2024-4</v>
      </c>
    </row>
    <row r="130" spans="18:25" x14ac:dyDescent="0.25">
      <c r="R130" t="s">
        <v>5</v>
      </c>
      <c r="S130" t="s">
        <v>28</v>
      </c>
      <c r="T130" t="s">
        <v>348</v>
      </c>
      <c r="U130">
        <v>64998</v>
      </c>
      <c r="V130">
        <v>9</v>
      </c>
      <c r="W130">
        <f>MONTH(T130)</f>
        <v>4</v>
      </c>
      <c r="X130">
        <f>YEAR(T130)</f>
        <v>2024</v>
      </c>
      <c r="Y130" s="26" t="str">
        <f>X130&amp;"-"&amp;W130</f>
        <v>2024-4</v>
      </c>
    </row>
    <row r="131" spans="18:25" x14ac:dyDescent="0.25">
      <c r="R131" t="s">
        <v>5</v>
      </c>
      <c r="S131" t="s">
        <v>22</v>
      </c>
      <c r="T131" t="s">
        <v>356</v>
      </c>
      <c r="U131">
        <v>48497</v>
      </c>
      <c r="V131">
        <v>6</v>
      </c>
      <c r="W131">
        <f>MONTH(T131)</f>
        <v>4</v>
      </c>
      <c r="X131">
        <f>YEAR(T131)</f>
        <v>2024</v>
      </c>
      <c r="Y131" s="26" t="str">
        <f>X131&amp;"-"&amp;W131</f>
        <v>2024-4</v>
      </c>
    </row>
    <row r="132" spans="18:25" x14ac:dyDescent="0.25">
      <c r="R132" t="s">
        <v>5</v>
      </c>
      <c r="S132" t="s">
        <v>196</v>
      </c>
      <c r="T132" t="s">
        <v>358</v>
      </c>
      <c r="U132">
        <v>64612</v>
      </c>
      <c r="V132">
        <v>8</v>
      </c>
      <c r="W132">
        <f>MONTH(T132)</f>
        <v>4</v>
      </c>
      <c r="X132">
        <f>YEAR(T132)</f>
        <v>2024</v>
      </c>
      <c r="Y132" s="26" t="str">
        <f>X132&amp;"-"&amp;W132</f>
        <v>2024-4</v>
      </c>
    </row>
    <row r="133" spans="18:25" x14ac:dyDescent="0.25">
      <c r="R133" t="s">
        <v>5</v>
      </c>
      <c r="S133" t="s">
        <v>64</v>
      </c>
      <c r="T133" t="s">
        <v>360</v>
      </c>
      <c r="U133">
        <v>92045</v>
      </c>
      <c r="V133">
        <v>7</v>
      </c>
      <c r="W133">
        <f>MONTH(T133)</f>
        <v>4</v>
      </c>
      <c r="X133">
        <f>YEAR(T133)</f>
        <v>2024</v>
      </c>
      <c r="Y133" s="26" t="str">
        <f>X133&amp;"-"&amp;W133</f>
        <v>2024-4</v>
      </c>
    </row>
    <row r="134" spans="18:25" x14ac:dyDescent="0.25">
      <c r="R134" t="s">
        <v>5</v>
      </c>
      <c r="S134" t="s">
        <v>105</v>
      </c>
      <c r="T134" t="s">
        <v>378</v>
      </c>
      <c r="U134">
        <v>33636</v>
      </c>
      <c r="V134">
        <v>8</v>
      </c>
      <c r="W134">
        <f>MONTH(T134)</f>
        <v>5</v>
      </c>
      <c r="X134">
        <f>YEAR(T134)</f>
        <v>2024</v>
      </c>
      <c r="Y134" s="26" t="str">
        <f>X134&amp;"-"&amp;W134</f>
        <v>2024-5</v>
      </c>
    </row>
    <row r="135" spans="18:25" x14ac:dyDescent="0.25">
      <c r="R135" t="s">
        <v>5</v>
      </c>
      <c r="S135" t="s">
        <v>270</v>
      </c>
      <c r="T135" t="s">
        <v>383</v>
      </c>
      <c r="U135">
        <v>12958</v>
      </c>
      <c r="V135">
        <v>9</v>
      </c>
      <c r="W135">
        <f>MONTH(T135)</f>
        <v>5</v>
      </c>
      <c r="X135">
        <f>YEAR(T135)</f>
        <v>2024</v>
      </c>
      <c r="Y135" s="26" t="str">
        <f>X135&amp;"-"&amp;W135</f>
        <v>2024-5</v>
      </c>
    </row>
    <row r="136" spans="18:25" x14ac:dyDescent="0.25">
      <c r="R136" t="s">
        <v>5</v>
      </c>
      <c r="S136" t="s">
        <v>363</v>
      </c>
      <c r="T136" t="s">
        <v>397</v>
      </c>
      <c r="U136">
        <v>24745</v>
      </c>
      <c r="V136">
        <v>3</v>
      </c>
      <c r="W136">
        <f>MONTH(T136)</f>
        <v>6</v>
      </c>
      <c r="X136">
        <f>YEAR(T136)</f>
        <v>2024</v>
      </c>
      <c r="Y136" s="26" t="str">
        <f>X136&amp;"-"&amp;W136</f>
        <v>2024-6</v>
      </c>
    </row>
    <row r="137" spans="18:25" x14ac:dyDescent="0.25">
      <c r="R137" t="s">
        <v>5</v>
      </c>
      <c r="S137" t="s">
        <v>243</v>
      </c>
      <c r="T137" t="s">
        <v>404</v>
      </c>
      <c r="U137">
        <v>24823</v>
      </c>
      <c r="V137">
        <v>6</v>
      </c>
      <c r="W137">
        <f>MONTH(T137)</f>
        <v>6</v>
      </c>
      <c r="X137">
        <f>YEAR(T137)</f>
        <v>2024</v>
      </c>
      <c r="Y137" s="26" t="str">
        <f>X137&amp;"-"&amp;W137</f>
        <v>2024-6</v>
      </c>
    </row>
    <row r="138" spans="18:25" x14ac:dyDescent="0.25">
      <c r="R138" t="s">
        <v>5</v>
      </c>
      <c r="S138" t="s">
        <v>19</v>
      </c>
      <c r="T138" t="s">
        <v>406</v>
      </c>
      <c r="U138">
        <v>35454</v>
      </c>
      <c r="V138">
        <v>8</v>
      </c>
      <c r="W138">
        <f>MONTH(T138)</f>
        <v>6</v>
      </c>
      <c r="X138">
        <f>YEAR(T138)</f>
        <v>2024</v>
      </c>
      <c r="Y138" s="26" t="str">
        <f>X138&amp;"-"&amp;W138</f>
        <v>2024-6</v>
      </c>
    </row>
    <row r="139" spans="18:25" x14ac:dyDescent="0.25">
      <c r="R139" t="s">
        <v>5</v>
      </c>
      <c r="S139" t="s">
        <v>41</v>
      </c>
      <c r="T139" t="s">
        <v>408</v>
      </c>
      <c r="U139">
        <v>72672</v>
      </c>
      <c r="V139">
        <v>5</v>
      </c>
      <c r="W139">
        <f>MONTH(T139)</f>
        <v>6</v>
      </c>
      <c r="X139">
        <f>YEAR(T139)</f>
        <v>2024</v>
      </c>
      <c r="Y139" s="26" t="str">
        <f>X139&amp;"-"&amp;W139</f>
        <v>2024-6</v>
      </c>
    </row>
    <row r="140" spans="18:25" x14ac:dyDescent="0.25">
      <c r="R140" t="s">
        <v>5</v>
      </c>
      <c r="S140" t="s">
        <v>49</v>
      </c>
      <c r="T140" t="s">
        <v>415</v>
      </c>
      <c r="U140">
        <v>77790</v>
      </c>
      <c r="V140">
        <v>2</v>
      </c>
      <c r="W140">
        <f>MONTH(T140)</f>
        <v>7</v>
      </c>
      <c r="X140">
        <f>YEAR(T140)</f>
        <v>2024</v>
      </c>
      <c r="Y140" s="26" t="str">
        <f>X140&amp;"-"&amp;W140</f>
        <v>2024-7</v>
      </c>
    </row>
    <row r="141" spans="18:25" x14ac:dyDescent="0.25">
      <c r="R141" t="s">
        <v>5</v>
      </c>
      <c r="S141" t="s">
        <v>81</v>
      </c>
      <c r="T141" t="s">
        <v>416</v>
      </c>
      <c r="U141">
        <v>28762</v>
      </c>
      <c r="V141">
        <v>8</v>
      </c>
      <c r="W141">
        <f>MONTH(T141)</f>
        <v>7</v>
      </c>
      <c r="X141">
        <f>YEAR(T141)</f>
        <v>2024</v>
      </c>
      <c r="Y141" s="26" t="str">
        <f>X141&amp;"-"&amp;W141</f>
        <v>2024-7</v>
      </c>
    </row>
    <row r="142" spans="18:25" x14ac:dyDescent="0.25">
      <c r="R142" t="s">
        <v>5</v>
      </c>
      <c r="S142" t="s">
        <v>148</v>
      </c>
      <c r="T142" t="s">
        <v>419</v>
      </c>
      <c r="U142">
        <v>62384</v>
      </c>
      <c r="V142">
        <v>3</v>
      </c>
      <c r="W142">
        <f>MONTH(T142)</f>
        <v>7</v>
      </c>
      <c r="X142">
        <f>YEAR(T142)</f>
        <v>2024</v>
      </c>
      <c r="Y142" s="26" t="str">
        <f>X142&amp;"-"&amp;W142</f>
        <v>2024-7</v>
      </c>
    </row>
    <row r="143" spans="18:25" x14ac:dyDescent="0.25">
      <c r="R143" t="s">
        <v>5</v>
      </c>
      <c r="S143" t="s">
        <v>50</v>
      </c>
      <c r="T143" t="s">
        <v>420</v>
      </c>
      <c r="U143">
        <v>81216</v>
      </c>
      <c r="V143">
        <v>7</v>
      </c>
      <c r="W143">
        <f>MONTH(T143)</f>
        <v>7</v>
      </c>
      <c r="X143">
        <f>YEAR(T143)</f>
        <v>2024</v>
      </c>
      <c r="Y143" s="26" t="str">
        <f>X143&amp;"-"&amp;W143</f>
        <v>2024-7</v>
      </c>
    </row>
    <row r="144" spans="18:25" x14ac:dyDescent="0.25">
      <c r="R144" t="s">
        <v>5</v>
      </c>
      <c r="S144" t="s">
        <v>180</v>
      </c>
      <c r="T144" t="s">
        <v>422</v>
      </c>
      <c r="U144">
        <v>80479</v>
      </c>
      <c r="V144">
        <v>7</v>
      </c>
      <c r="W144">
        <f>MONTH(T144)</f>
        <v>7</v>
      </c>
      <c r="X144">
        <f>YEAR(T144)</f>
        <v>2024</v>
      </c>
      <c r="Y144" s="26" t="str">
        <f>X144&amp;"-"&amp;W144</f>
        <v>2024-7</v>
      </c>
    </row>
    <row r="145" spans="18:25" x14ac:dyDescent="0.25">
      <c r="R145" t="s">
        <v>5</v>
      </c>
      <c r="S145" t="s">
        <v>53</v>
      </c>
      <c r="T145" t="s">
        <v>423</v>
      </c>
      <c r="U145">
        <v>66084</v>
      </c>
      <c r="V145">
        <v>9</v>
      </c>
      <c r="W145">
        <f>MONTH(T145)</f>
        <v>7</v>
      </c>
      <c r="X145">
        <f>YEAR(T145)</f>
        <v>2024</v>
      </c>
      <c r="Y145" s="26" t="str">
        <f>X145&amp;"-"&amp;W145</f>
        <v>2024-7</v>
      </c>
    </row>
    <row r="146" spans="18:25" x14ac:dyDescent="0.25">
      <c r="R146" t="s">
        <v>5</v>
      </c>
      <c r="S146" t="s">
        <v>205</v>
      </c>
      <c r="T146" t="s">
        <v>427</v>
      </c>
      <c r="U146">
        <v>24709</v>
      </c>
      <c r="V146">
        <v>7</v>
      </c>
      <c r="W146">
        <f>MONTH(T146)</f>
        <v>7</v>
      </c>
      <c r="X146">
        <f>YEAR(T146)</f>
        <v>2024</v>
      </c>
      <c r="Y146" s="26" t="str">
        <f>X146&amp;"-"&amp;W146</f>
        <v>2024-7</v>
      </c>
    </row>
    <row r="147" spans="18:25" x14ac:dyDescent="0.25">
      <c r="R147" t="s">
        <v>5</v>
      </c>
      <c r="S147" t="s">
        <v>66</v>
      </c>
      <c r="T147" t="s">
        <v>430</v>
      </c>
      <c r="U147">
        <v>89429</v>
      </c>
      <c r="V147">
        <v>7</v>
      </c>
      <c r="W147">
        <f>MONTH(T147)</f>
        <v>7</v>
      </c>
      <c r="X147">
        <f>YEAR(T147)</f>
        <v>2024</v>
      </c>
      <c r="Y147" s="26" t="str">
        <f>X147&amp;"-"&amp;W147</f>
        <v>2024-7</v>
      </c>
    </row>
    <row r="148" spans="18:25" x14ac:dyDescent="0.25">
      <c r="R148" t="s">
        <v>5</v>
      </c>
      <c r="S148" t="s">
        <v>224</v>
      </c>
      <c r="T148" t="s">
        <v>430</v>
      </c>
      <c r="U148">
        <v>40046</v>
      </c>
      <c r="V148">
        <v>0</v>
      </c>
      <c r="W148">
        <f>MONTH(T148)</f>
        <v>7</v>
      </c>
      <c r="X148">
        <f>YEAR(T148)</f>
        <v>2024</v>
      </c>
      <c r="Y148" s="26" t="str">
        <f>X148&amp;"-"&amp;W148</f>
        <v>2024-7</v>
      </c>
    </row>
    <row r="149" spans="18:25" x14ac:dyDescent="0.25">
      <c r="R149" t="s">
        <v>5</v>
      </c>
      <c r="S149" t="s">
        <v>128</v>
      </c>
      <c r="T149" t="s">
        <v>442</v>
      </c>
      <c r="U149">
        <v>93054</v>
      </c>
      <c r="V149">
        <v>9</v>
      </c>
      <c r="W149">
        <f>MONTH(T149)</f>
        <v>8</v>
      </c>
      <c r="X149">
        <f>YEAR(T149)</f>
        <v>2024</v>
      </c>
      <c r="Y149" s="26" t="str">
        <f>X149&amp;"-"&amp;W149</f>
        <v>2024-8</v>
      </c>
    </row>
    <row r="150" spans="18:25" x14ac:dyDescent="0.25">
      <c r="R150" t="s">
        <v>5</v>
      </c>
      <c r="S150" t="s">
        <v>187</v>
      </c>
      <c r="T150" t="s">
        <v>443</v>
      </c>
      <c r="U150">
        <v>96082</v>
      </c>
      <c r="V150">
        <v>3</v>
      </c>
      <c r="W150">
        <f>MONTH(T150)</f>
        <v>8</v>
      </c>
      <c r="X150">
        <f>YEAR(T150)</f>
        <v>2024</v>
      </c>
      <c r="Y150" s="26" t="str">
        <f>X150&amp;"-"&amp;W150</f>
        <v>2024-8</v>
      </c>
    </row>
    <row r="151" spans="18:25" x14ac:dyDescent="0.25">
      <c r="R151" t="s">
        <v>5</v>
      </c>
      <c r="S151" t="s">
        <v>444</v>
      </c>
      <c r="T151" t="s">
        <v>443</v>
      </c>
      <c r="U151">
        <v>42249</v>
      </c>
      <c r="V151">
        <v>9</v>
      </c>
      <c r="W151">
        <f>MONTH(T151)</f>
        <v>8</v>
      </c>
      <c r="X151">
        <f>YEAR(T151)</f>
        <v>2024</v>
      </c>
      <c r="Y151" s="26" t="str">
        <f>X151&amp;"-"&amp;W151</f>
        <v>2024-8</v>
      </c>
    </row>
    <row r="152" spans="18:25" x14ac:dyDescent="0.25">
      <c r="R152" t="s">
        <v>5</v>
      </c>
      <c r="S152" t="s">
        <v>15</v>
      </c>
      <c r="T152" t="s">
        <v>448</v>
      </c>
      <c r="U152">
        <v>56192</v>
      </c>
      <c r="V152">
        <v>4</v>
      </c>
      <c r="W152">
        <f>MONTH(T152)</f>
        <v>8</v>
      </c>
      <c r="X152">
        <f>YEAR(T152)</f>
        <v>2024</v>
      </c>
      <c r="Y152" s="26" t="str">
        <f>X152&amp;"-"&amp;W152</f>
        <v>2024-8</v>
      </c>
    </row>
    <row r="153" spans="18:25" x14ac:dyDescent="0.25">
      <c r="R153" t="s">
        <v>5</v>
      </c>
      <c r="S153" t="s">
        <v>59</v>
      </c>
      <c r="T153" t="s">
        <v>450</v>
      </c>
      <c r="U153">
        <v>58063</v>
      </c>
      <c r="V153">
        <v>5</v>
      </c>
      <c r="W153">
        <f>MONTH(T153)</f>
        <v>8</v>
      </c>
      <c r="X153">
        <f>YEAR(T153)</f>
        <v>2024</v>
      </c>
      <c r="Y153" s="26" t="str">
        <f>X153&amp;"-"&amp;W153</f>
        <v>2024-8</v>
      </c>
    </row>
    <row r="154" spans="18:25" x14ac:dyDescent="0.25">
      <c r="R154" t="s">
        <v>5</v>
      </c>
      <c r="S154" t="s">
        <v>195</v>
      </c>
      <c r="T154" t="s">
        <v>452</v>
      </c>
      <c r="U154">
        <v>29634</v>
      </c>
      <c r="V154">
        <v>8</v>
      </c>
      <c r="W154">
        <f>MONTH(T154)</f>
        <v>8</v>
      </c>
      <c r="X154">
        <f>YEAR(T154)</f>
        <v>2024</v>
      </c>
      <c r="Y154" s="26" t="str">
        <f>X154&amp;"-"&amp;W154</f>
        <v>2024-8</v>
      </c>
    </row>
    <row r="155" spans="18:25" x14ac:dyDescent="0.25">
      <c r="R155" t="s">
        <v>5</v>
      </c>
      <c r="S155" t="s">
        <v>82</v>
      </c>
      <c r="T155" t="s">
        <v>453</v>
      </c>
      <c r="U155">
        <v>85855</v>
      </c>
      <c r="V155">
        <v>9</v>
      </c>
      <c r="W155">
        <f>MONTH(T155)</f>
        <v>8</v>
      </c>
      <c r="X155">
        <f>YEAR(T155)</f>
        <v>2024</v>
      </c>
      <c r="Y155" s="26" t="str">
        <f>X155&amp;"-"&amp;W155</f>
        <v>2024-8</v>
      </c>
    </row>
    <row r="156" spans="18:25" x14ac:dyDescent="0.25">
      <c r="R156" t="s">
        <v>5</v>
      </c>
      <c r="S156" t="s">
        <v>142</v>
      </c>
      <c r="T156" t="s">
        <v>454</v>
      </c>
      <c r="U156">
        <v>18142</v>
      </c>
      <c r="V156">
        <v>8</v>
      </c>
      <c r="W156">
        <f>MONTH(T156)</f>
        <v>8</v>
      </c>
      <c r="X156">
        <f>YEAR(T156)</f>
        <v>2024</v>
      </c>
      <c r="Y156" s="26" t="str">
        <f>X156&amp;"-"&amp;W156</f>
        <v>2024-8</v>
      </c>
    </row>
    <row r="157" spans="18:25" x14ac:dyDescent="0.25">
      <c r="R157" t="s">
        <v>13</v>
      </c>
      <c r="S157" t="s">
        <v>14</v>
      </c>
      <c r="T157" t="s">
        <v>12</v>
      </c>
      <c r="U157">
        <v>77152</v>
      </c>
      <c r="V157">
        <v>10</v>
      </c>
      <c r="W157">
        <f>MONTH(T157)</f>
        <v>9</v>
      </c>
      <c r="X157">
        <f>YEAR(T157)</f>
        <v>2023</v>
      </c>
      <c r="Y157" s="26" t="str">
        <f>X157&amp;"-"&amp;W157</f>
        <v>2023-9</v>
      </c>
    </row>
    <row r="158" spans="18:25" x14ac:dyDescent="0.25">
      <c r="R158" t="s">
        <v>13</v>
      </c>
      <c r="S158" t="s">
        <v>21</v>
      </c>
      <c r="T158" t="s">
        <v>12</v>
      </c>
      <c r="U158">
        <v>30493</v>
      </c>
      <c r="V158">
        <v>4</v>
      </c>
      <c r="W158">
        <f>MONTH(T158)</f>
        <v>9</v>
      </c>
      <c r="X158">
        <f>YEAR(T158)</f>
        <v>2023</v>
      </c>
      <c r="Y158" s="26" t="str">
        <f>X158&amp;"-"&amp;W158</f>
        <v>2023-9</v>
      </c>
    </row>
    <row r="159" spans="18:25" x14ac:dyDescent="0.25">
      <c r="R159" t="s">
        <v>13</v>
      </c>
      <c r="S159" t="s">
        <v>32</v>
      </c>
      <c r="T159" t="s">
        <v>29</v>
      </c>
      <c r="U159">
        <v>63884</v>
      </c>
      <c r="V159">
        <v>7</v>
      </c>
      <c r="W159">
        <f>MONTH(T159)</f>
        <v>9</v>
      </c>
      <c r="X159">
        <f>YEAR(T159)</f>
        <v>2023</v>
      </c>
      <c r="Y159" s="26" t="str">
        <f>X159&amp;"-"&amp;W159</f>
        <v>2023-9</v>
      </c>
    </row>
    <row r="160" spans="18:25" x14ac:dyDescent="0.25">
      <c r="R160" t="s">
        <v>13</v>
      </c>
      <c r="S160" t="s">
        <v>53</v>
      </c>
      <c r="T160" t="s">
        <v>54</v>
      </c>
      <c r="U160">
        <v>16523</v>
      </c>
      <c r="V160">
        <v>9</v>
      </c>
      <c r="W160">
        <f>MONTH(T160)</f>
        <v>9</v>
      </c>
      <c r="X160">
        <f>YEAR(T160)</f>
        <v>2023</v>
      </c>
      <c r="Y160" s="26" t="str">
        <f>X160&amp;"-"&amp;W160</f>
        <v>2023-9</v>
      </c>
    </row>
    <row r="161" spans="18:25" x14ac:dyDescent="0.25">
      <c r="R161" t="s">
        <v>13</v>
      </c>
      <c r="S161" t="s">
        <v>36</v>
      </c>
      <c r="T161" t="s">
        <v>71</v>
      </c>
      <c r="U161">
        <v>64562</v>
      </c>
      <c r="V161">
        <v>10</v>
      </c>
      <c r="W161">
        <f>MONTH(T161)</f>
        <v>9</v>
      </c>
      <c r="X161">
        <f>YEAR(T161)</f>
        <v>2023</v>
      </c>
      <c r="Y161" s="26" t="str">
        <f>X161&amp;"-"&amp;W161</f>
        <v>2023-9</v>
      </c>
    </row>
    <row r="162" spans="18:25" x14ac:dyDescent="0.25">
      <c r="R162" t="s">
        <v>13</v>
      </c>
      <c r="S162" t="s">
        <v>43</v>
      </c>
      <c r="T162" t="s">
        <v>95</v>
      </c>
      <c r="U162">
        <v>23337</v>
      </c>
      <c r="V162">
        <v>5</v>
      </c>
      <c r="W162">
        <f>MONTH(T162)</f>
        <v>9</v>
      </c>
      <c r="X162">
        <f>YEAR(T162)</f>
        <v>2023</v>
      </c>
      <c r="Y162" s="26" t="str">
        <f>X162&amp;"-"&amp;W162</f>
        <v>2023-9</v>
      </c>
    </row>
    <row r="163" spans="18:25" x14ac:dyDescent="0.25">
      <c r="R163" t="s">
        <v>13</v>
      </c>
      <c r="S163" t="s">
        <v>107</v>
      </c>
      <c r="T163" t="s">
        <v>104</v>
      </c>
      <c r="U163">
        <v>42572</v>
      </c>
      <c r="V163">
        <v>8</v>
      </c>
      <c r="W163">
        <f>MONTH(T163)</f>
        <v>10</v>
      </c>
      <c r="X163">
        <f>YEAR(T163)</f>
        <v>2023</v>
      </c>
      <c r="Y163" s="26" t="str">
        <f>X163&amp;"-"&amp;W163</f>
        <v>2023-10</v>
      </c>
    </row>
    <row r="164" spans="18:25" x14ac:dyDescent="0.25">
      <c r="R164" t="s">
        <v>13</v>
      </c>
      <c r="S164" t="s">
        <v>108</v>
      </c>
      <c r="T164" t="s">
        <v>104</v>
      </c>
      <c r="U164">
        <v>11217</v>
      </c>
      <c r="V164">
        <v>2</v>
      </c>
      <c r="W164">
        <f>MONTH(T164)</f>
        <v>10</v>
      </c>
      <c r="X164">
        <f>YEAR(T164)</f>
        <v>2023</v>
      </c>
      <c r="Y164" s="26" t="str">
        <f>X164&amp;"-"&amp;W164</f>
        <v>2023-10</v>
      </c>
    </row>
    <row r="165" spans="18:25" x14ac:dyDescent="0.25">
      <c r="R165" t="s">
        <v>13</v>
      </c>
      <c r="S165" t="s">
        <v>125</v>
      </c>
      <c r="T165" t="s">
        <v>120</v>
      </c>
      <c r="U165">
        <v>70255</v>
      </c>
      <c r="V165">
        <v>5</v>
      </c>
      <c r="W165">
        <f>MONTH(T165)</f>
        <v>10</v>
      </c>
      <c r="X165">
        <f>YEAR(T165)</f>
        <v>2023</v>
      </c>
      <c r="Y165" s="26" t="str">
        <f>X165&amp;"-"&amp;W165</f>
        <v>2023-10</v>
      </c>
    </row>
    <row r="166" spans="18:25" x14ac:dyDescent="0.25">
      <c r="R166" t="s">
        <v>13</v>
      </c>
      <c r="S166" t="s">
        <v>130</v>
      </c>
      <c r="T166" t="s">
        <v>127</v>
      </c>
      <c r="U166">
        <v>75831</v>
      </c>
      <c r="V166">
        <v>7</v>
      </c>
      <c r="W166">
        <f>MONTH(T166)</f>
        <v>10</v>
      </c>
      <c r="X166">
        <f>YEAR(T166)</f>
        <v>2023</v>
      </c>
      <c r="Y166" s="26" t="str">
        <f>X166&amp;"-"&amp;W166</f>
        <v>2023-10</v>
      </c>
    </row>
    <row r="167" spans="18:25" x14ac:dyDescent="0.25">
      <c r="R167" t="s">
        <v>13</v>
      </c>
      <c r="S167" t="s">
        <v>134</v>
      </c>
      <c r="T167" t="s">
        <v>131</v>
      </c>
      <c r="U167">
        <v>17020</v>
      </c>
      <c r="V167">
        <v>8</v>
      </c>
      <c r="W167">
        <f>MONTH(T167)</f>
        <v>10</v>
      </c>
      <c r="X167">
        <f>YEAR(T167)</f>
        <v>2023</v>
      </c>
      <c r="Y167" s="26" t="str">
        <f>X167&amp;"-"&amp;W167</f>
        <v>2023-10</v>
      </c>
    </row>
    <row r="168" spans="18:25" x14ac:dyDescent="0.25">
      <c r="R168" t="s">
        <v>13</v>
      </c>
      <c r="S168" t="s">
        <v>136</v>
      </c>
      <c r="T168" t="s">
        <v>135</v>
      </c>
      <c r="U168">
        <v>70793</v>
      </c>
      <c r="V168">
        <v>8</v>
      </c>
      <c r="W168">
        <f>MONTH(T168)</f>
        <v>10</v>
      </c>
      <c r="X168">
        <f>YEAR(T168)</f>
        <v>2023</v>
      </c>
      <c r="Y168" s="26" t="str">
        <f>X168&amp;"-"&amp;W168</f>
        <v>2023-10</v>
      </c>
    </row>
    <row r="169" spans="18:25" x14ac:dyDescent="0.25">
      <c r="R169" t="s">
        <v>13</v>
      </c>
      <c r="S169" t="s">
        <v>142</v>
      </c>
      <c r="T169" t="s">
        <v>143</v>
      </c>
      <c r="U169">
        <v>81042</v>
      </c>
      <c r="V169">
        <v>9</v>
      </c>
      <c r="W169">
        <f>MONTH(T169)</f>
        <v>10</v>
      </c>
      <c r="X169">
        <f>YEAR(T169)</f>
        <v>2023</v>
      </c>
      <c r="Y169" s="26" t="str">
        <f>X169&amp;"-"&amp;W169</f>
        <v>2023-10</v>
      </c>
    </row>
    <row r="170" spans="18:25" x14ac:dyDescent="0.25">
      <c r="R170" t="s">
        <v>13</v>
      </c>
      <c r="S170" t="s">
        <v>48</v>
      </c>
      <c r="T170" t="s">
        <v>147</v>
      </c>
      <c r="U170">
        <v>64703</v>
      </c>
      <c r="V170">
        <v>4</v>
      </c>
      <c r="W170">
        <f>MONTH(T170)</f>
        <v>10</v>
      </c>
      <c r="X170">
        <f>YEAR(T170)</f>
        <v>2023</v>
      </c>
      <c r="Y170" s="26" t="str">
        <f>X170&amp;"-"&amp;W170</f>
        <v>2023-10</v>
      </c>
    </row>
    <row r="171" spans="18:25" x14ac:dyDescent="0.25">
      <c r="R171" t="s">
        <v>13</v>
      </c>
      <c r="S171" t="s">
        <v>152</v>
      </c>
      <c r="T171" t="s">
        <v>150</v>
      </c>
      <c r="U171">
        <v>28832</v>
      </c>
      <c r="V171">
        <v>9</v>
      </c>
      <c r="W171">
        <f>MONTH(T171)</f>
        <v>10</v>
      </c>
      <c r="X171">
        <f>YEAR(T171)</f>
        <v>2023</v>
      </c>
      <c r="Y171" s="26" t="str">
        <f>X171&amp;"-"&amp;W171</f>
        <v>2023-10</v>
      </c>
    </row>
    <row r="172" spans="18:25" x14ac:dyDescent="0.25">
      <c r="R172" t="s">
        <v>13</v>
      </c>
      <c r="S172" t="s">
        <v>101</v>
      </c>
      <c r="T172" t="s">
        <v>154</v>
      </c>
      <c r="U172">
        <v>93610</v>
      </c>
      <c r="V172">
        <v>6</v>
      </c>
      <c r="W172">
        <f>MONTH(T172)</f>
        <v>10</v>
      </c>
      <c r="X172">
        <f>YEAR(T172)</f>
        <v>2023</v>
      </c>
      <c r="Y172" s="26" t="str">
        <f>X172&amp;"-"&amp;W172</f>
        <v>2023-10</v>
      </c>
    </row>
    <row r="173" spans="18:25" x14ac:dyDescent="0.25">
      <c r="R173" t="s">
        <v>13</v>
      </c>
      <c r="S173" t="s">
        <v>167</v>
      </c>
      <c r="T173" t="s">
        <v>168</v>
      </c>
      <c r="U173">
        <v>34690</v>
      </c>
      <c r="V173">
        <v>9</v>
      </c>
      <c r="W173">
        <f>MONTH(T173)</f>
        <v>10</v>
      </c>
      <c r="X173">
        <f>YEAR(T173)</f>
        <v>2023</v>
      </c>
      <c r="Y173" s="26" t="str">
        <f>X173&amp;"-"&amp;W173</f>
        <v>2023-10</v>
      </c>
    </row>
    <row r="174" spans="18:25" x14ac:dyDescent="0.25">
      <c r="R174" t="s">
        <v>13</v>
      </c>
      <c r="S174" t="s">
        <v>106</v>
      </c>
      <c r="T174" t="s">
        <v>168</v>
      </c>
      <c r="U174">
        <v>63212</v>
      </c>
      <c r="V174">
        <v>0</v>
      </c>
      <c r="W174">
        <f>MONTH(T174)</f>
        <v>10</v>
      </c>
      <c r="X174">
        <f>YEAR(T174)</f>
        <v>2023</v>
      </c>
      <c r="Y174" s="26" t="str">
        <f>X174&amp;"-"&amp;W174</f>
        <v>2023-10</v>
      </c>
    </row>
    <row r="175" spans="18:25" x14ac:dyDescent="0.25">
      <c r="R175" t="s">
        <v>13</v>
      </c>
      <c r="S175" t="s">
        <v>144</v>
      </c>
      <c r="T175" t="s">
        <v>172</v>
      </c>
      <c r="U175">
        <v>96587</v>
      </c>
      <c r="V175">
        <v>5</v>
      </c>
      <c r="W175">
        <f>MONTH(T175)</f>
        <v>11</v>
      </c>
      <c r="X175">
        <f>YEAR(T175)</f>
        <v>2023</v>
      </c>
      <c r="Y175" s="26" t="str">
        <f>X175&amp;"-"&amp;W175</f>
        <v>2023-11</v>
      </c>
    </row>
    <row r="176" spans="18:25" x14ac:dyDescent="0.25">
      <c r="R176" t="s">
        <v>13</v>
      </c>
      <c r="S176" t="s">
        <v>173</v>
      </c>
      <c r="T176" t="s">
        <v>174</v>
      </c>
      <c r="U176">
        <v>32327</v>
      </c>
      <c r="V176">
        <v>9</v>
      </c>
      <c r="W176">
        <f>MONTH(T176)</f>
        <v>11</v>
      </c>
      <c r="X176">
        <f>YEAR(T176)</f>
        <v>2023</v>
      </c>
      <c r="Y176" s="26" t="str">
        <f>X176&amp;"-"&amp;W176</f>
        <v>2023-11</v>
      </c>
    </row>
    <row r="177" spans="18:25" x14ac:dyDescent="0.25">
      <c r="R177" t="s">
        <v>13</v>
      </c>
      <c r="S177" t="s">
        <v>6</v>
      </c>
      <c r="T177" t="s">
        <v>189</v>
      </c>
      <c r="U177">
        <v>50829</v>
      </c>
      <c r="V177">
        <v>5</v>
      </c>
      <c r="W177">
        <f>MONTH(T177)</f>
        <v>11</v>
      </c>
      <c r="X177">
        <f>YEAR(T177)</f>
        <v>2023</v>
      </c>
      <c r="Y177" s="26" t="str">
        <f>X177&amp;"-"&amp;W177</f>
        <v>2023-11</v>
      </c>
    </row>
    <row r="178" spans="18:25" x14ac:dyDescent="0.25">
      <c r="R178" t="s">
        <v>13</v>
      </c>
      <c r="S178" t="s">
        <v>39</v>
      </c>
      <c r="T178" t="s">
        <v>193</v>
      </c>
      <c r="U178">
        <v>59560</v>
      </c>
      <c r="V178">
        <v>7</v>
      </c>
      <c r="W178">
        <f>MONTH(T178)</f>
        <v>11</v>
      </c>
      <c r="X178">
        <f>YEAR(T178)</f>
        <v>2023</v>
      </c>
      <c r="Y178" s="26" t="str">
        <f>X178&amp;"-"&amp;W178</f>
        <v>2023-11</v>
      </c>
    </row>
    <row r="179" spans="18:25" x14ac:dyDescent="0.25">
      <c r="R179" t="s">
        <v>13</v>
      </c>
      <c r="S179" t="s">
        <v>198</v>
      </c>
      <c r="T179" t="s">
        <v>199</v>
      </c>
      <c r="U179">
        <v>39448</v>
      </c>
      <c r="V179">
        <v>7</v>
      </c>
      <c r="W179">
        <f>MONTH(T179)</f>
        <v>11</v>
      </c>
      <c r="X179">
        <f>YEAR(T179)</f>
        <v>2023</v>
      </c>
      <c r="Y179" s="26" t="str">
        <f>X179&amp;"-"&amp;W179</f>
        <v>2023-11</v>
      </c>
    </row>
    <row r="180" spans="18:25" x14ac:dyDescent="0.25">
      <c r="R180" t="s">
        <v>13</v>
      </c>
      <c r="S180" t="s">
        <v>224</v>
      </c>
      <c r="T180" t="s">
        <v>222</v>
      </c>
      <c r="U180">
        <v>64807</v>
      </c>
      <c r="V180">
        <v>8</v>
      </c>
      <c r="W180">
        <f>MONTH(T180)</f>
        <v>12</v>
      </c>
      <c r="X180">
        <f>YEAR(T180)</f>
        <v>2023</v>
      </c>
      <c r="Y180" s="26" t="str">
        <f>X180&amp;"-"&amp;W180</f>
        <v>2023-12</v>
      </c>
    </row>
    <row r="181" spans="18:25" x14ac:dyDescent="0.25">
      <c r="R181" t="s">
        <v>13</v>
      </c>
      <c r="S181" t="s">
        <v>229</v>
      </c>
      <c r="T181" t="s">
        <v>228</v>
      </c>
      <c r="U181">
        <v>63398</v>
      </c>
      <c r="V181">
        <v>3</v>
      </c>
      <c r="W181">
        <f>MONTH(T181)</f>
        <v>12</v>
      </c>
      <c r="X181">
        <f>YEAR(T181)</f>
        <v>2023</v>
      </c>
      <c r="Y181" s="26" t="str">
        <f>X181&amp;"-"&amp;W181</f>
        <v>2023-12</v>
      </c>
    </row>
    <row r="182" spans="18:25" x14ac:dyDescent="0.25">
      <c r="R182" t="s">
        <v>13</v>
      </c>
      <c r="S182" t="s">
        <v>132</v>
      </c>
      <c r="T182" t="s">
        <v>235</v>
      </c>
      <c r="U182">
        <v>83825</v>
      </c>
      <c r="V182">
        <v>5</v>
      </c>
      <c r="W182">
        <f>MONTH(T182)</f>
        <v>12</v>
      </c>
      <c r="X182">
        <f>YEAR(T182)</f>
        <v>2023</v>
      </c>
      <c r="Y182" s="26" t="str">
        <f>X182&amp;"-"&amp;W182</f>
        <v>2023-12</v>
      </c>
    </row>
    <row r="183" spans="18:25" x14ac:dyDescent="0.25">
      <c r="R183" t="s">
        <v>13</v>
      </c>
      <c r="S183" t="s">
        <v>116</v>
      </c>
      <c r="T183" t="s">
        <v>236</v>
      </c>
      <c r="U183">
        <v>33097</v>
      </c>
      <c r="V183">
        <v>0</v>
      </c>
      <c r="W183">
        <f>MONTH(T183)</f>
        <v>12</v>
      </c>
      <c r="X183">
        <f>YEAR(T183)</f>
        <v>2023</v>
      </c>
      <c r="Y183" s="26" t="str">
        <f>X183&amp;"-"&amp;W183</f>
        <v>2023-12</v>
      </c>
    </row>
    <row r="184" spans="18:25" x14ac:dyDescent="0.25">
      <c r="R184" t="s">
        <v>13</v>
      </c>
      <c r="S184" t="s">
        <v>144</v>
      </c>
      <c r="T184" t="s">
        <v>237</v>
      </c>
      <c r="U184">
        <v>15898</v>
      </c>
      <c r="V184">
        <v>6</v>
      </c>
      <c r="W184">
        <f>MONTH(T184)</f>
        <v>12</v>
      </c>
      <c r="X184">
        <f>YEAR(T184)</f>
        <v>2023</v>
      </c>
      <c r="Y184" s="26" t="str">
        <f>X184&amp;"-"&amp;W184</f>
        <v>2023-12</v>
      </c>
    </row>
    <row r="185" spans="18:25" x14ac:dyDescent="0.25">
      <c r="R185" t="s">
        <v>13</v>
      </c>
      <c r="S185" t="s">
        <v>92</v>
      </c>
      <c r="T185" t="s">
        <v>244</v>
      </c>
      <c r="U185">
        <v>64619</v>
      </c>
      <c r="V185">
        <v>10</v>
      </c>
      <c r="W185">
        <f>MONTH(T185)</f>
        <v>12</v>
      </c>
      <c r="X185">
        <f>YEAR(T185)</f>
        <v>2023</v>
      </c>
      <c r="Y185" s="26" t="str">
        <f>X185&amp;"-"&amp;W185</f>
        <v>2023-12</v>
      </c>
    </row>
    <row r="186" spans="18:25" x14ac:dyDescent="0.25">
      <c r="R186" t="s">
        <v>13</v>
      </c>
      <c r="S186" t="s">
        <v>89</v>
      </c>
      <c r="T186" t="s">
        <v>246</v>
      </c>
      <c r="U186">
        <v>22812</v>
      </c>
      <c r="V186">
        <v>8</v>
      </c>
      <c r="W186">
        <f>MONTH(T186)</f>
        <v>12</v>
      </c>
      <c r="X186">
        <f>YEAR(T186)</f>
        <v>2023</v>
      </c>
      <c r="Y186" s="26" t="str">
        <f>X186&amp;"-"&amp;W186</f>
        <v>2023-12</v>
      </c>
    </row>
    <row r="187" spans="18:25" x14ac:dyDescent="0.25">
      <c r="R187" t="s">
        <v>13</v>
      </c>
      <c r="S187" t="s">
        <v>133</v>
      </c>
      <c r="T187" t="s">
        <v>274</v>
      </c>
      <c r="U187">
        <v>58781</v>
      </c>
      <c r="V187">
        <v>10</v>
      </c>
      <c r="W187">
        <f>MONTH(T187)</f>
        <v>1</v>
      </c>
      <c r="X187">
        <f>YEAR(T187)</f>
        <v>2024</v>
      </c>
      <c r="Y187" s="26" t="str">
        <f>X187&amp;"-"&amp;W187</f>
        <v>2024-1</v>
      </c>
    </row>
    <row r="188" spans="18:25" x14ac:dyDescent="0.25">
      <c r="R188" t="s">
        <v>13</v>
      </c>
      <c r="S188" t="s">
        <v>146</v>
      </c>
      <c r="T188" t="s">
        <v>276</v>
      </c>
      <c r="U188">
        <v>16736</v>
      </c>
      <c r="V188">
        <v>3</v>
      </c>
      <c r="W188">
        <f>MONTH(T188)</f>
        <v>1</v>
      </c>
      <c r="X188">
        <f>YEAR(T188)</f>
        <v>2024</v>
      </c>
      <c r="Y188" s="26" t="str">
        <f>X188&amp;"-"&amp;W188</f>
        <v>2024-1</v>
      </c>
    </row>
    <row r="189" spans="18:25" x14ac:dyDescent="0.25">
      <c r="R189" t="s">
        <v>13</v>
      </c>
      <c r="S189" t="s">
        <v>156</v>
      </c>
      <c r="T189" t="s">
        <v>277</v>
      </c>
      <c r="U189">
        <v>80196</v>
      </c>
      <c r="V189">
        <v>7</v>
      </c>
      <c r="W189">
        <f>MONTH(T189)</f>
        <v>1</v>
      </c>
      <c r="X189">
        <f>YEAR(T189)</f>
        <v>2024</v>
      </c>
      <c r="Y189" s="26" t="str">
        <f>X189&amp;"-"&amp;W189</f>
        <v>2024-1</v>
      </c>
    </row>
    <row r="190" spans="18:25" x14ac:dyDescent="0.25">
      <c r="R190" t="s">
        <v>13</v>
      </c>
      <c r="S190" t="s">
        <v>186</v>
      </c>
      <c r="T190" t="s">
        <v>277</v>
      </c>
      <c r="U190">
        <v>22749</v>
      </c>
      <c r="V190">
        <v>5</v>
      </c>
      <c r="W190">
        <f>MONTH(T190)</f>
        <v>1</v>
      </c>
      <c r="X190">
        <f>YEAR(T190)</f>
        <v>2024</v>
      </c>
      <c r="Y190" s="26" t="str">
        <f>X190&amp;"-"&amp;W190</f>
        <v>2024-1</v>
      </c>
    </row>
    <row r="191" spans="18:25" x14ac:dyDescent="0.25">
      <c r="R191" t="s">
        <v>13</v>
      </c>
      <c r="S191" t="s">
        <v>141</v>
      </c>
      <c r="T191" t="s">
        <v>283</v>
      </c>
      <c r="U191">
        <v>44702</v>
      </c>
      <c r="V191">
        <v>0</v>
      </c>
      <c r="W191">
        <f>MONTH(T191)</f>
        <v>1</v>
      </c>
      <c r="X191">
        <f>YEAR(T191)</f>
        <v>2024</v>
      </c>
      <c r="Y191" s="26" t="str">
        <f>X191&amp;"-"&amp;W191</f>
        <v>2024-1</v>
      </c>
    </row>
    <row r="192" spans="18:25" x14ac:dyDescent="0.25">
      <c r="R192" t="s">
        <v>13</v>
      </c>
      <c r="S192" t="s">
        <v>187</v>
      </c>
      <c r="T192" t="s">
        <v>304</v>
      </c>
      <c r="U192">
        <v>95294</v>
      </c>
      <c r="V192">
        <v>6</v>
      </c>
      <c r="W192">
        <f>MONTH(T192)</f>
        <v>2</v>
      </c>
      <c r="X192">
        <f>YEAR(T192)</f>
        <v>2024</v>
      </c>
      <c r="Y192" s="26" t="str">
        <f>X192&amp;"-"&amp;W192</f>
        <v>2024-2</v>
      </c>
    </row>
    <row r="193" spans="18:25" x14ac:dyDescent="0.25">
      <c r="R193" t="s">
        <v>13</v>
      </c>
      <c r="S193" t="s">
        <v>61</v>
      </c>
      <c r="T193" t="s">
        <v>308</v>
      </c>
      <c r="U193">
        <v>86275</v>
      </c>
      <c r="V193">
        <v>5</v>
      </c>
      <c r="W193">
        <f>MONTH(T193)</f>
        <v>2</v>
      </c>
      <c r="X193">
        <f>YEAR(T193)</f>
        <v>2024</v>
      </c>
      <c r="Y193" s="26" t="str">
        <f>X193&amp;"-"&amp;W193</f>
        <v>2024-2</v>
      </c>
    </row>
    <row r="194" spans="18:25" x14ac:dyDescent="0.25">
      <c r="R194" t="s">
        <v>13</v>
      </c>
      <c r="S194" t="s">
        <v>313</v>
      </c>
      <c r="T194" t="s">
        <v>312</v>
      </c>
      <c r="U194">
        <v>24798</v>
      </c>
      <c r="V194">
        <v>9</v>
      </c>
      <c r="W194">
        <f>MONTH(T194)</f>
        <v>2</v>
      </c>
      <c r="X194">
        <f>YEAR(T194)</f>
        <v>2024</v>
      </c>
      <c r="Y194" s="26" t="str">
        <f>X194&amp;"-"&amp;W194</f>
        <v>2024-2</v>
      </c>
    </row>
    <row r="195" spans="18:25" x14ac:dyDescent="0.25">
      <c r="R195" t="s">
        <v>13</v>
      </c>
      <c r="S195" t="s">
        <v>35</v>
      </c>
      <c r="T195" t="s">
        <v>312</v>
      </c>
      <c r="U195">
        <v>55120</v>
      </c>
      <c r="V195">
        <v>4</v>
      </c>
      <c r="W195">
        <f>MONTH(T195)</f>
        <v>2</v>
      </c>
      <c r="X195">
        <f>YEAR(T195)</f>
        <v>2024</v>
      </c>
      <c r="Y195" s="26" t="str">
        <f>X195&amp;"-"&amp;W195</f>
        <v>2024-2</v>
      </c>
    </row>
    <row r="196" spans="18:25" x14ac:dyDescent="0.25">
      <c r="R196" t="s">
        <v>13</v>
      </c>
      <c r="S196" t="s">
        <v>227</v>
      </c>
      <c r="T196" t="s">
        <v>319</v>
      </c>
      <c r="U196">
        <v>67649</v>
      </c>
      <c r="V196">
        <v>6</v>
      </c>
      <c r="W196">
        <f>MONTH(T196)</f>
        <v>3</v>
      </c>
      <c r="X196">
        <f>YEAR(T196)</f>
        <v>2024</v>
      </c>
      <c r="Y196" s="26" t="str">
        <f>X196&amp;"-"&amp;W196</f>
        <v>2024-3</v>
      </c>
    </row>
    <row r="197" spans="18:25" x14ac:dyDescent="0.25">
      <c r="R197" t="s">
        <v>13</v>
      </c>
      <c r="S197" t="s">
        <v>84</v>
      </c>
      <c r="T197" t="s">
        <v>320</v>
      </c>
      <c r="U197">
        <v>26632</v>
      </c>
      <c r="V197">
        <v>1</v>
      </c>
      <c r="W197">
        <f>MONTH(T197)</f>
        <v>3</v>
      </c>
      <c r="X197">
        <f>YEAR(T197)</f>
        <v>2024</v>
      </c>
      <c r="Y197" s="26" t="str">
        <f>X197&amp;"-"&amp;W197</f>
        <v>2024-3</v>
      </c>
    </row>
    <row r="198" spans="18:25" x14ac:dyDescent="0.25">
      <c r="R198" t="s">
        <v>13</v>
      </c>
      <c r="S198" t="s">
        <v>74</v>
      </c>
      <c r="T198" t="s">
        <v>340</v>
      </c>
      <c r="U198">
        <v>59543</v>
      </c>
      <c r="V198">
        <v>7</v>
      </c>
      <c r="W198">
        <f>MONTH(T198)</f>
        <v>3</v>
      </c>
      <c r="X198">
        <f>YEAR(T198)</f>
        <v>2024</v>
      </c>
      <c r="Y198" s="26" t="str">
        <f>X198&amp;"-"&amp;W198</f>
        <v>2024-3</v>
      </c>
    </row>
    <row r="199" spans="18:25" x14ac:dyDescent="0.25">
      <c r="R199" t="s">
        <v>13</v>
      </c>
      <c r="S199" t="s">
        <v>332</v>
      </c>
      <c r="T199" t="s">
        <v>351</v>
      </c>
      <c r="U199">
        <v>38859</v>
      </c>
      <c r="V199">
        <v>3</v>
      </c>
      <c r="W199">
        <f>MONTH(T199)</f>
        <v>4</v>
      </c>
      <c r="X199">
        <f>YEAR(T199)</f>
        <v>2024</v>
      </c>
      <c r="Y199" s="26" t="str">
        <f>X199&amp;"-"&amp;W199</f>
        <v>2024-4</v>
      </c>
    </row>
    <row r="200" spans="18:25" x14ac:dyDescent="0.25">
      <c r="R200" t="s">
        <v>13</v>
      </c>
      <c r="S200" t="s">
        <v>167</v>
      </c>
      <c r="T200" t="s">
        <v>352</v>
      </c>
      <c r="U200">
        <v>56069</v>
      </c>
      <c r="V200">
        <v>3</v>
      </c>
      <c r="W200">
        <f>MONTH(T200)</f>
        <v>4</v>
      </c>
      <c r="X200">
        <f>YEAR(T200)</f>
        <v>2024</v>
      </c>
      <c r="Y200" s="26" t="str">
        <f>X200&amp;"-"&amp;W200</f>
        <v>2024-4</v>
      </c>
    </row>
    <row r="201" spans="18:25" x14ac:dyDescent="0.25">
      <c r="R201" t="s">
        <v>13</v>
      </c>
      <c r="S201" t="s">
        <v>239</v>
      </c>
      <c r="T201" t="s">
        <v>353</v>
      </c>
      <c r="U201">
        <v>76148</v>
      </c>
      <c r="V201">
        <v>4</v>
      </c>
      <c r="W201">
        <f>MONTH(T201)</f>
        <v>4</v>
      </c>
      <c r="X201">
        <f>YEAR(T201)</f>
        <v>2024</v>
      </c>
      <c r="Y201" s="26" t="str">
        <f>X201&amp;"-"&amp;W201</f>
        <v>2024-4</v>
      </c>
    </row>
    <row r="202" spans="18:25" x14ac:dyDescent="0.25">
      <c r="R202" t="s">
        <v>13</v>
      </c>
      <c r="S202" t="s">
        <v>137</v>
      </c>
      <c r="T202" t="s">
        <v>356</v>
      </c>
      <c r="U202">
        <v>54024</v>
      </c>
      <c r="V202">
        <v>7</v>
      </c>
      <c r="W202">
        <f>MONTH(T202)</f>
        <v>4</v>
      </c>
      <c r="X202">
        <f>YEAR(T202)</f>
        <v>2024</v>
      </c>
      <c r="Y202" s="26" t="str">
        <f>X202&amp;"-"&amp;W202</f>
        <v>2024-4</v>
      </c>
    </row>
    <row r="203" spans="18:25" x14ac:dyDescent="0.25">
      <c r="R203" t="s">
        <v>13</v>
      </c>
      <c r="S203" t="s">
        <v>249</v>
      </c>
      <c r="T203" t="s">
        <v>356</v>
      </c>
      <c r="U203">
        <v>62557</v>
      </c>
      <c r="V203">
        <v>5</v>
      </c>
      <c r="W203">
        <f>MONTH(T203)</f>
        <v>4</v>
      </c>
      <c r="X203">
        <f>YEAR(T203)</f>
        <v>2024</v>
      </c>
      <c r="Y203" s="26" t="str">
        <f>X203&amp;"-"&amp;W203</f>
        <v>2024-4</v>
      </c>
    </row>
    <row r="204" spans="18:25" x14ac:dyDescent="0.25">
      <c r="R204" t="s">
        <v>13</v>
      </c>
      <c r="S204" t="s">
        <v>63</v>
      </c>
      <c r="T204" t="s">
        <v>365</v>
      </c>
      <c r="U204">
        <v>46297</v>
      </c>
      <c r="V204">
        <v>7</v>
      </c>
      <c r="W204">
        <f>MONTH(T204)</f>
        <v>4</v>
      </c>
      <c r="X204">
        <f>YEAR(T204)</f>
        <v>2024</v>
      </c>
      <c r="Y204" s="26" t="str">
        <f>X204&amp;"-"&amp;W204</f>
        <v>2024-4</v>
      </c>
    </row>
    <row r="205" spans="18:25" x14ac:dyDescent="0.25">
      <c r="R205" t="s">
        <v>13</v>
      </c>
      <c r="S205" t="s">
        <v>11</v>
      </c>
      <c r="T205" t="s">
        <v>370</v>
      </c>
      <c r="U205">
        <v>79797</v>
      </c>
      <c r="V205">
        <v>1</v>
      </c>
      <c r="W205">
        <f>MONTH(T205)</f>
        <v>5</v>
      </c>
      <c r="X205">
        <f>YEAR(T205)</f>
        <v>2024</v>
      </c>
      <c r="Y205" s="26" t="str">
        <f>X205&amp;"-"&amp;W205</f>
        <v>2024-5</v>
      </c>
    </row>
    <row r="206" spans="18:25" x14ac:dyDescent="0.25">
      <c r="R206" t="s">
        <v>13</v>
      </c>
      <c r="S206" t="s">
        <v>77</v>
      </c>
      <c r="T206" t="s">
        <v>370</v>
      </c>
      <c r="U206">
        <v>60145</v>
      </c>
      <c r="V206">
        <v>7</v>
      </c>
      <c r="W206">
        <f>MONTH(T206)</f>
        <v>5</v>
      </c>
      <c r="X206">
        <f>YEAR(T206)</f>
        <v>2024</v>
      </c>
      <c r="Y206" s="26" t="str">
        <f>X206&amp;"-"&amp;W206</f>
        <v>2024-5</v>
      </c>
    </row>
    <row r="207" spans="18:25" x14ac:dyDescent="0.25">
      <c r="R207" t="s">
        <v>13</v>
      </c>
      <c r="S207" t="s">
        <v>124</v>
      </c>
      <c r="T207" t="s">
        <v>376</v>
      </c>
      <c r="U207">
        <v>27187</v>
      </c>
      <c r="V207">
        <v>3</v>
      </c>
      <c r="W207">
        <f>MONTH(T207)</f>
        <v>5</v>
      </c>
      <c r="X207">
        <f>YEAR(T207)</f>
        <v>2024</v>
      </c>
      <c r="Y207" s="26" t="str">
        <f>X207&amp;"-"&amp;W207</f>
        <v>2024-5</v>
      </c>
    </row>
    <row r="208" spans="18:25" x14ac:dyDescent="0.25">
      <c r="R208" t="s">
        <v>13</v>
      </c>
      <c r="S208" t="s">
        <v>64</v>
      </c>
      <c r="T208" t="s">
        <v>376</v>
      </c>
      <c r="U208">
        <v>44537</v>
      </c>
      <c r="V208">
        <v>3</v>
      </c>
      <c r="W208">
        <f>MONTH(T208)</f>
        <v>5</v>
      </c>
      <c r="X208">
        <f>YEAR(T208)</f>
        <v>2024</v>
      </c>
      <c r="Y208" s="26" t="str">
        <f>X208&amp;"-"&amp;W208</f>
        <v>2024-5</v>
      </c>
    </row>
    <row r="209" spans="18:25" x14ac:dyDescent="0.25">
      <c r="R209" t="s">
        <v>13</v>
      </c>
      <c r="S209" t="s">
        <v>9</v>
      </c>
      <c r="T209" t="s">
        <v>383</v>
      </c>
      <c r="U209">
        <v>46160</v>
      </c>
      <c r="V209">
        <v>6</v>
      </c>
      <c r="W209">
        <f>MONTH(T209)</f>
        <v>5</v>
      </c>
      <c r="X209">
        <f>YEAR(T209)</f>
        <v>2024</v>
      </c>
      <c r="Y209" s="26" t="str">
        <f>X209&amp;"-"&amp;W209</f>
        <v>2024-5</v>
      </c>
    </row>
    <row r="210" spans="18:25" x14ac:dyDescent="0.25">
      <c r="R210" t="s">
        <v>13</v>
      </c>
      <c r="S210" t="s">
        <v>67</v>
      </c>
      <c r="T210" t="s">
        <v>383</v>
      </c>
      <c r="U210">
        <v>64682</v>
      </c>
      <c r="V210">
        <v>4</v>
      </c>
      <c r="W210">
        <f>MONTH(T210)</f>
        <v>5</v>
      </c>
      <c r="X210">
        <f>YEAR(T210)</f>
        <v>2024</v>
      </c>
      <c r="Y210" s="26" t="str">
        <f>X210&amp;"-"&amp;W210</f>
        <v>2024-5</v>
      </c>
    </row>
    <row r="211" spans="18:25" x14ac:dyDescent="0.25">
      <c r="R211" t="s">
        <v>13</v>
      </c>
      <c r="S211" t="s">
        <v>270</v>
      </c>
      <c r="T211" t="s">
        <v>387</v>
      </c>
      <c r="U211">
        <v>61005</v>
      </c>
      <c r="V211">
        <v>6</v>
      </c>
      <c r="W211">
        <f>MONTH(T211)</f>
        <v>5</v>
      </c>
      <c r="X211">
        <f>YEAR(T211)</f>
        <v>2024</v>
      </c>
      <c r="Y211" s="26" t="str">
        <f>X211&amp;"-"&amp;W211</f>
        <v>2024-5</v>
      </c>
    </row>
    <row r="212" spans="18:25" x14ac:dyDescent="0.25">
      <c r="R212" t="s">
        <v>13</v>
      </c>
      <c r="S212" t="s">
        <v>157</v>
      </c>
      <c r="T212" t="s">
        <v>388</v>
      </c>
      <c r="U212">
        <v>13664</v>
      </c>
      <c r="V212">
        <v>6</v>
      </c>
      <c r="W212">
        <f>MONTH(T212)</f>
        <v>5</v>
      </c>
      <c r="X212">
        <f>YEAR(T212)</f>
        <v>2024</v>
      </c>
      <c r="Y212" s="26" t="str">
        <f>X212&amp;"-"&amp;W212</f>
        <v>2024-5</v>
      </c>
    </row>
    <row r="213" spans="18:25" x14ac:dyDescent="0.25">
      <c r="R213" t="s">
        <v>13</v>
      </c>
      <c r="S213" t="s">
        <v>155</v>
      </c>
      <c r="T213" t="s">
        <v>388</v>
      </c>
      <c r="U213">
        <v>17068</v>
      </c>
      <c r="V213">
        <v>9</v>
      </c>
      <c r="W213">
        <f>MONTH(T213)</f>
        <v>5</v>
      </c>
      <c r="X213">
        <f>YEAR(T213)</f>
        <v>2024</v>
      </c>
      <c r="Y213" s="26" t="str">
        <f>X213&amp;"-"&amp;W213</f>
        <v>2024-5</v>
      </c>
    </row>
    <row r="214" spans="18:25" x14ac:dyDescent="0.25">
      <c r="R214" t="s">
        <v>13</v>
      </c>
      <c r="S214" t="s">
        <v>211</v>
      </c>
      <c r="T214" t="s">
        <v>389</v>
      </c>
      <c r="U214">
        <v>54713</v>
      </c>
      <c r="V214">
        <v>5</v>
      </c>
      <c r="W214">
        <f>MONTH(T214)</f>
        <v>5</v>
      </c>
      <c r="X214">
        <f>YEAR(T214)</f>
        <v>2024</v>
      </c>
      <c r="Y214" s="26" t="str">
        <f>X214&amp;"-"&amp;W214</f>
        <v>2024-5</v>
      </c>
    </row>
    <row r="215" spans="18:25" x14ac:dyDescent="0.25">
      <c r="R215" t="s">
        <v>13</v>
      </c>
      <c r="S215" t="s">
        <v>226</v>
      </c>
      <c r="T215" t="s">
        <v>392</v>
      </c>
      <c r="U215">
        <v>56986</v>
      </c>
      <c r="V215">
        <v>6</v>
      </c>
      <c r="W215">
        <f>MONTH(T215)</f>
        <v>5</v>
      </c>
      <c r="X215">
        <f>YEAR(T215)</f>
        <v>2024</v>
      </c>
      <c r="Y215" s="26" t="str">
        <f>X215&amp;"-"&amp;W215</f>
        <v>2024-5</v>
      </c>
    </row>
    <row r="216" spans="18:25" x14ac:dyDescent="0.25">
      <c r="R216" t="s">
        <v>13</v>
      </c>
      <c r="S216" t="s">
        <v>55</v>
      </c>
      <c r="T216" t="s">
        <v>394</v>
      </c>
      <c r="U216">
        <v>72903</v>
      </c>
      <c r="V216">
        <v>8</v>
      </c>
      <c r="W216">
        <f>MONTH(T216)</f>
        <v>6</v>
      </c>
      <c r="X216">
        <f>YEAR(T216)</f>
        <v>2024</v>
      </c>
      <c r="Y216" s="26" t="str">
        <f>X216&amp;"-"&amp;W216</f>
        <v>2024-6</v>
      </c>
    </row>
    <row r="217" spans="18:25" x14ac:dyDescent="0.25">
      <c r="R217" t="s">
        <v>13</v>
      </c>
      <c r="S217" t="s">
        <v>114</v>
      </c>
      <c r="T217" t="s">
        <v>400</v>
      </c>
      <c r="U217">
        <v>38885</v>
      </c>
      <c r="V217">
        <v>4</v>
      </c>
      <c r="W217">
        <f>MONTH(T217)</f>
        <v>6</v>
      </c>
      <c r="X217">
        <f>YEAR(T217)</f>
        <v>2024</v>
      </c>
      <c r="Y217" s="26" t="str">
        <f>X217&amp;"-"&amp;W217</f>
        <v>2024-6</v>
      </c>
    </row>
    <row r="218" spans="18:25" x14ac:dyDescent="0.25">
      <c r="R218" t="s">
        <v>13</v>
      </c>
      <c r="S218" t="s">
        <v>184</v>
      </c>
      <c r="T218" t="s">
        <v>404</v>
      </c>
      <c r="U218">
        <v>20817</v>
      </c>
      <c r="V218">
        <v>4</v>
      </c>
      <c r="W218">
        <f>MONTH(T218)</f>
        <v>6</v>
      </c>
      <c r="X218">
        <f>YEAR(T218)</f>
        <v>2024</v>
      </c>
      <c r="Y218" s="26" t="str">
        <f>X218&amp;"-"&amp;W218</f>
        <v>2024-6</v>
      </c>
    </row>
    <row r="219" spans="18:25" x14ac:dyDescent="0.25">
      <c r="R219" t="s">
        <v>13</v>
      </c>
      <c r="S219" t="s">
        <v>205</v>
      </c>
      <c r="T219" t="s">
        <v>410</v>
      </c>
      <c r="U219">
        <v>90543</v>
      </c>
      <c r="V219">
        <v>7</v>
      </c>
      <c r="W219">
        <f>MONTH(T219)</f>
        <v>6</v>
      </c>
      <c r="X219">
        <f>YEAR(T219)</f>
        <v>2024</v>
      </c>
      <c r="Y219" s="26" t="str">
        <f>X219&amp;"-"&amp;W219</f>
        <v>2024-6</v>
      </c>
    </row>
    <row r="220" spans="18:25" x14ac:dyDescent="0.25">
      <c r="R220" t="s">
        <v>13</v>
      </c>
      <c r="S220" t="s">
        <v>19</v>
      </c>
      <c r="T220" t="s">
        <v>414</v>
      </c>
      <c r="U220">
        <v>91413</v>
      </c>
      <c r="V220">
        <v>9</v>
      </c>
      <c r="W220">
        <f>MONTH(T220)</f>
        <v>6</v>
      </c>
      <c r="X220">
        <f>YEAR(T220)</f>
        <v>2024</v>
      </c>
      <c r="Y220" s="26" t="str">
        <f>X220&amp;"-"&amp;W220</f>
        <v>2024-6</v>
      </c>
    </row>
    <row r="221" spans="18:25" x14ac:dyDescent="0.25">
      <c r="R221" t="s">
        <v>13</v>
      </c>
      <c r="S221" t="s">
        <v>184</v>
      </c>
      <c r="T221" t="s">
        <v>414</v>
      </c>
      <c r="U221">
        <v>41489</v>
      </c>
      <c r="V221">
        <v>7</v>
      </c>
      <c r="W221">
        <f>MONTH(T221)</f>
        <v>6</v>
      </c>
      <c r="X221">
        <f>YEAR(T221)</f>
        <v>2024</v>
      </c>
      <c r="Y221" s="26" t="str">
        <f>X221&amp;"-"&amp;W221</f>
        <v>2024-6</v>
      </c>
    </row>
    <row r="222" spans="18:25" x14ac:dyDescent="0.25">
      <c r="R222" t="s">
        <v>13</v>
      </c>
      <c r="S222" t="s">
        <v>214</v>
      </c>
      <c r="T222" t="s">
        <v>415</v>
      </c>
      <c r="U222">
        <v>77456</v>
      </c>
      <c r="V222">
        <v>5</v>
      </c>
      <c r="W222">
        <f>MONTH(T222)</f>
        <v>7</v>
      </c>
      <c r="X222">
        <f>YEAR(T222)</f>
        <v>2024</v>
      </c>
      <c r="Y222" s="26" t="str">
        <f>X222&amp;"-"&amp;W222</f>
        <v>2024-7</v>
      </c>
    </row>
    <row r="223" spans="18:25" x14ac:dyDescent="0.25">
      <c r="R223" t="s">
        <v>13</v>
      </c>
      <c r="S223" t="s">
        <v>82</v>
      </c>
      <c r="T223" t="s">
        <v>415</v>
      </c>
      <c r="U223">
        <v>78647</v>
      </c>
      <c r="V223">
        <v>4</v>
      </c>
      <c r="W223">
        <f>MONTH(T223)</f>
        <v>7</v>
      </c>
      <c r="X223">
        <f>YEAR(T223)</f>
        <v>2024</v>
      </c>
      <c r="Y223" s="26" t="str">
        <f>X223&amp;"-"&amp;W223</f>
        <v>2024-7</v>
      </c>
    </row>
    <row r="224" spans="18:25" x14ac:dyDescent="0.25">
      <c r="R224" t="s">
        <v>13</v>
      </c>
      <c r="S224" t="s">
        <v>33</v>
      </c>
      <c r="T224" t="s">
        <v>416</v>
      </c>
      <c r="U224">
        <v>69773</v>
      </c>
      <c r="V224">
        <v>8</v>
      </c>
      <c r="W224">
        <f>MONTH(T224)</f>
        <v>7</v>
      </c>
      <c r="X224">
        <f>YEAR(T224)</f>
        <v>2024</v>
      </c>
      <c r="Y224" s="26" t="str">
        <f>X224&amp;"-"&amp;W224</f>
        <v>2024-7</v>
      </c>
    </row>
    <row r="225" spans="18:25" x14ac:dyDescent="0.25">
      <c r="R225" t="s">
        <v>13</v>
      </c>
      <c r="S225" t="s">
        <v>125</v>
      </c>
      <c r="T225" t="s">
        <v>421</v>
      </c>
      <c r="U225">
        <v>37556</v>
      </c>
      <c r="V225">
        <v>5</v>
      </c>
      <c r="W225">
        <f>MONTH(T225)</f>
        <v>7</v>
      </c>
      <c r="X225">
        <f>YEAR(T225)</f>
        <v>2024</v>
      </c>
      <c r="Y225" s="26" t="str">
        <f>X225&amp;"-"&amp;W225</f>
        <v>2024-7</v>
      </c>
    </row>
    <row r="226" spans="18:25" x14ac:dyDescent="0.25">
      <c r="R226" t="s">
        <v>13</v>
      </c>
      <c r="S226" t="s">
        <v>67</v>
      </c>
      <c r="T226" t="s">
        <v>429</v>
      </c>
      <c r="U226">
        <v>62495</v>
      </c>
      <c r="V226">
        <v>6</v>
      </c>
      <c r="W226">
        <f>MONTH(T226)</f>
        <v>7</v>
      </c>
      <c r="X226">
        <f>YEAR(T226)</f>
        <v>2024</v>
      </c>
      <c r="Y226" s="26" t="str">
        <f>X226&amp;"-"&amp;W226</f>
        <v>2024-7</v>
      </c>
    </row>
    <row r="227" spans="18:25" x14ac:dyDescent="0.25">
      <c r="R227" t="s">
        <v>13</v>
      </c>
      <c r="S227" t="s">
        <v>194</v>
      </c>
      <c r="T227" t="s">
        <v>433</v>
      </c>
      <c r="U227">
        <v>93015</v>
      </c>
      <c r="V227">
        <v>8</v>
      </c>
      <c r="W227">
        <f>MONTH(T227)</f>
        <v>7</v>
      </c>
      <c r="X227">
        <f>YEAR(T227)</f>
        <v>2024</v>
      </c>
      <c r="Y227" s="26" t="str">
        <f>X227&amp;"-"&amp;W227</f>
        <v>2024-7</v>
      </c>
    </row>
    <row r="228" spans="18:25" x14ac:dyDescent="0.25">
      <c r="R228" t="s">
        <v>13</v>
      </c>
      <c r="S228" t="s">
        <v>73</v>
      </c>
      <c r="T228" t="s">
        <v>435</v>
      </c>
      <c r="U228">
        <v>98224</v>
      </c>
      <c r="V228">
        <v>1</v>
      </c>
      <c r="W228">
        <f>MONTH(T228)</f>
        <v>7</v>
      </c>
      <c r="X228">
        <f>YEAR(T228)</f>
        <v>2024</v>
      </c>
      <c r="Y228" s="26" t="str">
        <f>X228&amp;"-"&amp;W228</f>
        <v>2024-7</v>
      </c>
    </row>
    <row r="229" spans="18:25" x14ac:dyDescent="0.25">
      <c r="R229" t="s">
        <v>13</v>
      </c>
      <c r="S229" t="s">
        <v>155</v>
      </c>
      <c r="T229" t="s">
        <v>437</v>
      </c>
      <c r="U229">
        <v>89186</v>
      </c>
      <c r="V229">
        <v>6</v>
      </c>
      <c r="W229">
        <f>MONTH(T229)</f>
        <v>7</v>
      </c>
      <c r="X229">
        <f>YEAR(T229)</f>
        <v>2024</v>
      </c>
      <c r="Y229" s="26" t="str">
        <f>X229&amp;"-"&amp;W229</f>
        <v>2024-7</v>
      </c>
    </row>
    <row r="230" spans="18:25" x14ac:dyDescent="0.25">
      <c r="R230" t="s">
        <v>13</v>
      </c>
      <c r="S230" t="s">
        <v>20</v>
      </c>
      <c r="T230" t="s">
        <v>440</v>
      </c>
      <c r="U230">
        <v>80337</v>
      </c>
      <c r="V230">
        <v>5</v>
      </c>
      <c r="W230">
        <f>MONTH(T230)</f>
        <v>8</v>
      </c>
      <c r="X230">
        <f>YEAR(T230)</f>
        <v>2024</v>
      </c>
      <c r="Y230" s="26" t="str">
        <f>X230&amp;"-"&amp;W230</f>
        <v>2024-8</v>
      </c>
    </row>
    <row r="231" spans="18:25" x14ac:dyDescent="0.25">
      <c r="R231" t="s">
        <v>13</v>
      </c>
      <c r="S231" t="s">
        <v>9</v>
      </c>
      <c r="T231" t="s">
        <v>440</v>
      </c>
      <c r="U231">
        <v>61048</v>
      </c>
      <c r="V231">
        <v>9</v>
      </c>
      <c r="W231">
        <f>MONTH(T231)</f>
        <v>8</v>
      </c>
      <c r="X231">
        <f>YEAR(T231)</f>
        <v>2024</v>
      </c>
      <c r="Y231" s="26" t="str">
        <f>X231&amp;"-"&amp;W231</f>
        <v>2024-8</v>
      </c>
    </row>
    <row r="232" spans="18:25" x14ac:dyDescent="0.25">
      <c r="R232" t="s">
        <v>13</v>
      </c>
      <c r="S232" t="s">
        <v>101</v>
      </c>
      <c r="T232" t="s">
        <v>446</v>
      </c>
      <c r="U232">
        <v>76342</v>
      </c>
      <c r="V232">
        <v>3</v>
      </c>
      <c r="W232">
        <f>MONTH(T232)</f>
        <v>8</v>
      </c>
      <c r="X232">
        <f>YEAR(T232)</f>
        <v>2024</v>
      </c>
      <c r="Y232" s="26" t="str">
        <f>X232&amp;"-"&amp;W232</f>
        <v>2024-8</v>
      </c>
    </row>
    <row r="233" spans="18:25" x14ac:dyDescent="0.25">
      <c r="R233" t="s">
        <v>13</v>
      </c>
      <c r="S233" t="s">
        <v>239</v>
      </c>
      <c r="T233" t="s">
        <v>450</v>
      </c>
      <c r="U233">
        <v>48185</v>
      </c>
      <c r="V233">
        <v>9</v>
      </c>
      <c r="W233">
        <f>MONTH(T233)</f>
        <v>8</v>
      </c>
      <c r="X233">
        <f>YEAR(T233)</f>
        <v>2024</v>
      </c>
      <c r="Y233" s="26" t="str">
        <f>X233&amp;"-"&amp;W233</f>
        <v>2024-8</v>
      </c>
    </row>
    <row r="234" spans="18:25" x14ac:dyDescent="0.25">
      <c r="R234" t="s">
        <v>13</v>
      </c>
      <c r="S234" t="s">
        <v>11</v>
      </c>
      <c r="T234" t="s">
        <v>451</v>
      </c>
      <c r="U234">
        <v>85016</v>
      </c>
      <c r="V234">
        <v>6</v>
      </c>
      <c r="W234">
        <f>MONTH(T234)</f>
        <v>8</v>
      </c>
      <c r="X234">
        <f>YEAR(T234)</f>
        <v>2024</v>
      </c>
      <c r="Y234" s="26" t="str">
        <f>X234&amp;"-"&amp;W234</f>
        <v>2024-8</v>
      </c>
    </row>
    <row r="235" spans="18:25" x14ac:dyDescent="0.25">
      <c r="R235" t="s">
        <v>13</v>
      </c>
      <c r="S235" t="s">
        <v>141</v>
      </c>
      <c r="T235" t="s">
        <v>457</v>
      </c>
      <c r="U235">
        <v>55228</v>
      </c>
      <c r="V235">
        <v>6</v>
      </c>
      <c r="W235">
        <f>MONTH(T235)</f>
        <v>8</v>
      </c>
      <c r="X235">
        <f>YEAR(T235)</f>
        <v>2024</v>
      </c>
      <c r="Y235" s="26" t="str">
        <f>X235&amp;"-"&amp;W235</f>
        <v>2024-8</v>
      </c>
    </row>
    <row r="236" spans="18:25" x14ac:dyDescent="0.25">
      <c r="R236" t="s">
        <v>38</v>
      </c>
      <c r="S236" t="s">
        <v>39</v>
      </c>
      <c r="T236" t="s">
        <v>40</v>
      </c>
      <c r="U236">
        <v>69529</v>
      </c>
      <c r="V236">
        <v>8</v>
      </c>
      <c r="W236">
        <f>MONTH(T236)</f>
        <v>9</v>
      </c>
      <c r="X236">
        <f>YEAR(T236)</f>
        <v>2023</v>
      </c>
      <c r="Y236" s="26" t="str">
        <f>X236&amp;"-"&amp;W236</f>
        <v>2023-9</v>
      </c>
    </row>
    <row r="237" spans="18:25" x14ac:dyDescent="0.25">
      <c r="R237" t="s">
        <v>38</v>
      </c>
      <c r="S237" t="s">
        <v>19</v>
      </c>
      <c r="T237" t="s">
        <v>44</v>
      </c>
      <c r="U237">
        <v>35608</v>
      </c>
      <c r="V237">
        <v>10</v>
      </c>
      <c r="W237">
        <f>MONTH(T237)</f>
        <v>9</v>
      </c>
      <c r="X237">
        <f>YEAR(T237)</f>
        <v>2023</v>
      </c>
      <c r="Y237" s="26" t="str">
        <f>X237&amp;"-"&amp;W237</f>
        <v>2023-9</v>
      </c>
    </row>
    <row r="238" spans="18:25" x14ac:dyDescent="0.25">
      <c r="R238" t="s">
        <v>38</v>
      </c>
      <c r="S238" t="s">
        <v>17</v>
      </c>
      <c r="T238" t="s">
        <v>44</v>
      </c>
      <c r="U238">
        <v>20221</v>
      </c>
      <c r="V238">
        <v>6</v>
      </c>
      <c r="W238">
        <f>MONTH(T238)</f>
        <v>9</v>
      </c>
      <c r="X238">
        <f>YEAR(T238)</f>
        <v>2023</v>
      </c>
      <c r="Y238" s="26" t="str">
        <f>X238&amp;"-"&amp;W238</f>
        <v>2023-9</v>
      </c>
    </row>
    <row r="239" spans="18:25" x14ac:dyDescent="0.25">
      <c r="R239" t="s">
        <v>38</v>
      </c>
      <c r="S239" t="s">
        <v>67</v>
      </c>
      <c r="T239" t="s">
        <v>62</v>
      </c>
      <c r="U239">
        <v>34383</v>
      </c>
      <c r="V239">
        <v>8</v>
      </c>
      <c r="W239">
        <f>MONTH(T239)</f>
        <v>9</v>
      </c>
      <c r="X239">
        <f>YEAR(T239)</f>
        <v>2023</v>
      </c>
      <c r="Y239" s="26" t="str">
        <f>X239&amp;"-"&amp;W239</f>
        <v>2023-9</v>
      </c>
    </row>
    <row r="240" spans="18:25" x14ac:dyDescent="0.25">
      <c r="R240" t="s">
        <v>38</v>
      </c>
      <c r="S240" t="s">
        <v>110</v>
      </c>
      <c r="T240" t="s">
        <v>109</v>
      </c>
      <c r="U240">
        <v>63177</v>
      </c>
      <c r="V240">
        <v>7</v>
      </c>
      <c r="W240">
        <f>MONTH(T240)</f>
        <v>10</v>
      </c>
      <c r="X240">
        <f>YEAR(T240)</f>
        <v>2023</v>
      </c>
      <c r="Y240" s="26" t="str">
        <f>X240&amp;"-"&amp;W240</f>
        <v>2023-10</v>
      </c>
    </row>
    <row r="241" spans="18:25" x14ac:dyDescent="0.25">
      <c r="R241" t="s">
        <v>38</v>
      </c>
      <c r="S241" t="s">
        <v>123</v>
      </c>
      <c r="T241" t="s">
        <v>120</v>
      </c>
      <c r="U241">
        <v>54092</v>
      </c>
      <c r="V241">
        <v>1</v>
      </c>
      <c r="W241">
        <f>MONTH(T241)</f>
        <v>10</v>
      </c>
      <c r="X241">
        <f>YEAR(T241)</f>
        <v>2023</v>
      </c>
      <c r="Y241" s="26" t="str">
        <f>X241&amp;"-"&amp;W241</f>
        <v>2023-10</v>
      </c>
    </row>
    <row r="242" spans="18:25" x14ac:dyDescent="0.25">
      <c r="R242" t="s">
        <v>38</v>
      </c>
      <c r="S242" t="s">
        <v>141</v>
      </c>
      <c r="T242" t="s">
        <v>140</v>
      </c>
      <c r="U242">
        <v>47478</v>
      </c>
      <c r="V242">
        <v>7</v>
      </c>
      <c r="W242">
        <f>MONTH(T242)</f>
        <v>10</v>
      </c>
      <c r="X242">
        <f>YEAR(T242)</f>
        <v>2023</v>
      </c>
      <c r="Y242" s="26" t="str">
        <f>X242&amp;"-"&amp;W242</f>
        <v>2023-10</v>
      </c>
    </row>
    <row r="243" spans="18:25" x14ac:dyDescent="0.25">
      <c r="R243" t="s">
        <v>38</v>
      </c>
      <c r="S243" t="s">
        <v>35</v>
      </c>
      <c r="T243" t="s">
        <v>154</v>
      </c>
      <c r="U243">
        <v>30813</v>
      </c>
      <c r="V243">
        <v>4</v>
      </c>
      <c r="W243">
        <f>MONTH(T243)</f>
        <v>10</v>
      </c>
      <c r="X243">
        <f>YEAR(T243)</f>
        <v>2023</v>
      </c>
      <c r="Y243" s="26" t="str">
        <f>X243&amp;"-"&amp;W243</f>
        <v>2023-10</v>
      </c>
    </row>
    <row r="244" spans="18:25" x14ac:dyDescent="0.25">
      <c r="R244" t="s">
        <v>38</v>
      </c>
      <c r="S244" t="s">
        <v>170</v>
      </c>
      <c r="T244" t="s">
        <v>172</v>
      </c>
      <c r="U244">
        <v>78814</v>
      </c>
      <c r="V244">
        <v>1</v>
      </c>
      <c r="W244">
        <f>MONTH(T244)</f>
        <v>11</v>
      </c>
      <c r="X244">
        <f>YEAR(T244)</f>
        <v>2023</v>
      </c>
      <c r="Y244" s="26" t="str">
        <f>X244&amp;"-"&amp;W244</f>
        <v>2023-11</v>
      </c>
    </row>
    <row r="245" spans="18:25" x14ac:dyDescent="0.25">
      <c r="R245" t="s">
        <v>38</v>
      </c>
      <c r="S245" t="s">
        <v>182</v>
      </c>
      <c r="T245" t="s">
        <v>179</v>
      </c>
      <c r="U245">
        <v>37209</v>
      </c>
      <c r="V245">
        <v>8</v>
      </c>
      <c r="W245">
        <f>MONTH(T245)</f>
        <v>11</v>
      </c>
      <c r="X245">
        <f>YEAR(T245)</f>
        <v>2023</v>
      </c>
      <c r="Y245" s="26" t="str">
        <f>X245&amp;"-"&amp;W245</f>
        <v>2023-11</v>
      </c>
    </row>
    <row r="246" spans="18:25" x14ac:dyDescent="0.25">
      <c r="R246" t="s">
        <v>38</v>
      </c>
      <c r="S246" t="s">
        <v>128</v>
      </c>
      <c r="T246" t="s">
        <v>199</v>
      </c>
      <c r="U246">
        <v>84651</v>
      </c>
      <c r="V246">
        <v>3</v>
      </c>
      <c r="W246">
        <f>MONTH(T246)</f>
        <v>11</v>
      </c>
      <c r="X246">
        <f>YEAR(T246)</f>
        <v>2023</v>
      </c>
      <c r="Y246" s="26" t="str">
        <f>X246&amp;"-"&amp;W246</f>
        <v>2023-11</v>
      </c>
    </row>
    <row r="247" spans="18:25" x14ac:dyDescent="0.25">
      <c r="R247" t="s">
        <v>38</v>
      </c>
      <c r="S247" t="s">
        <v>14</v>
      </c>
      <c r="T247" t="s">
        <v>199</v>
      </c>
      <c r="U247">
        <v>66606</v>
      </c>
      <c r="V247">
        <v>7</v>
      </c>
      <c r="W247">
        <f>MONTH(T247)</f>
        <v>11</v>
      </c>
      <c r="X247">
        <f>YEAR(T247)</f>
        <v>2023</v>
      </c>
      <c r="Y247" s="26" t="str">
        <f>X247&amp;"-"&amp;W247</f>
        <v>2023-11</v>
      </c>
    </row>
    <row r="248" spans="18:25" x14ac:dyDescent="0.25">
      <c r="R248" t="s">
        <v>38</v>
      </c>
      <c r="S248" t="s">
        <v>110</v>
      </c>
      <c r="T248" t="s">
        <v>207</v>
      </c>
      <c r="U248">
        <v>27815</v>
      </c>
      <c r="V248">
        <v>4</v>
      </c>
      <c r="W248">
        <f>MONTH(T248)</f>
        <v>11</v>
      </c>
      <c r="X248">
        <f>YEAR(T248)</f>
        <v>2023</v>
      </c>
      <c r="Y248" s="26" t="str">
        <f>X248&amp;"-"&amp;W248</f>
        <v>2023-11</v>
      </c>
    </row>
    <row r="249" spans="18:25" x14ac:dyDescent="0.25">
      <c r="R249" t="s">
        <v>38</v>
      </c>
      <c r="S249" t="s">
        <v>215</v>
      </c>
      <c r="T249" t="s">
        <v>213</v>
      </c>
      <c r="U249">
        <v>30811</v>
      </c>
      <c r="V249">
        <v>7</v>
      </c>
      <c r="W249">
        <f>MONTH(T249)</f>
        <v>11</v>
      </c>
      <c r="X249">
        <f>YEAR(T249)</f>
        <v>2023</v>
      </c>
      <c r="Y249" s="26" t="str">
        <f>X249&amp;"-"&amp;W249</f>
        <v>2023-11</v>
      </c>
    </row>
    <row r="250" spans="18:25" x14ac:dyDescent="0.25">
      <c r="R250" t="s">
        <v>38</v>
      </c>
      <c r="S250" t="s">
        <v>217</v>
      </c>
      <c r="T250" t="s">
        <v>218</v>
      </c>
      <c r="U250">
        <v>14275</v>
      </c>
      <c r="V250">
        <v>6</v>
      </c>
      <c r="W250">
        <f>MONTH(T250)</f>
        <v>12</v>
      </c>
      <c r="X250">
        <f>YEAR(T250)</f>
        <v>2023</v>
      </c>
      <c r="Y250" s="26" t="str">
        <f>X250&amp;"-"&amp;W250</f>
        <v>2023-12</v>
      </c>
    </row>
    <row r="251" spans="18:25" x14ac:dyDescent="0.25">
      <c r="R251" t="s">
        <v>38</v>
      </c>
      <c r="S251" t="s">
        <v>194</v>
      </c>
      <c r="T251" t="s">
        <v>234</v>
      </c>
      <c r="U251">
        <v>18859</v>
      </c>
      <c r="V251">
        <v>7</v>
      </c>
      <c r="W251">
        <f>MONTH(T251)</f>
        <v>12</v>
      </c>
      <c r="X251">
        <f>YEAR(T251)</f>
        <v>2023</v>
      </c>
      <c r="Y251" s="26" t="str">
        <f>X251&amp;"-"&amp;W251</f>
        <v>2023-12</v>
      </c>
    </row>
    <row r="252" spans="18:25" x14ac:dyDescent="0.25">
      <c r="R252" t="s">
        <v>38</v>
      </c>
      <c r="S252" t="s">
        <v>55</v>
      </c>
      <c r="T252" t="s">
        <v>236</v>
      </c>
      <c r="U252">
        <v>46249</v>
      </c>
      <c r="V252">
        <v>5</v>
      </c>
      <c r="W252">
        <f>MONTH(T252)</f>
        <v>12</v>
      </c>
      <c r="X252">
        <f>YEAR(T252)</f>
        <v>2023</v>
      </c>
      <c r="Y252" s="26" t="str">
        <f>X252&amp;"-"&amp;W252</f>
        <v>2023-12</v>
      </c>
    </row>
    <row r="253" spans="18:25" x14ac:dyDescent="0.25">
      <c r="R253" t="s">
        <v>38</v>
      </c>
      <c r="S253" t="s">
        <v>53</v>
      </c>
      <c r="T253" t="s">
        <v>237</v>
      </c>
      <c r="U253">
        <v>64711</v>
      </c>
      <c r="V253">
        <v>10</v>
      </c>
      <c r="W253">
        <f>MONTH(T253)</f>
        <v>12</v>
      </c>
      <c r="X253">
        <f>YEAR(T253)</f>
        <v>2023</v>
      </c>
      <c r="Y253" s="26" t="str">
        <f>X253&amp;"-"&amp;W253</f>
        <v>2023-12</v>
      </c>
    </row>
    <row r="254" spans="18:25" x14ac:dyDescent="0.25">
      <c r="R254" t="s">
        <v>38</v>
      </c>
      <c r="S254" t="s">
        <v>31</v>
      </c>
      <c r="T254" t="s">
        <v>238</v>
      </c>
      <c r="U254">
        <v>97611</v>
      </c>
      <c r="V254">
        <v>6</v>
      </c>
      <c r="W254">
        <f>MONTH(T254)</f>
        <v>12</v>
      </c>
      <c r="X254">
        <f>YEAR(T254)</f>
        <v>2023</v>
      </c>
      <c r="Y254" s="26" t="str">
        <f>X254&amp;"-"&amp;W254</f>
        <v>2023-12</v>
      </c>
    </row>
    <row r="255" spans="18:25" x14ac:dyDescent="0.25">
      <c r="R255" t="s">
        <v>38</v>
      </c>
      <c r="S255" t="s">
        <v>99</v>
      </c>
      <c r="T255" t="s">
        <v>238</v>
      </c>
      <c r="U255">
        <v>45898</v>
      </c>
      <c r="V255">
        <v>6</v>
      </c>
      <c r="W255">
        <f>MONTH(T255)</f>
        <v>12</v>
      </c>
      <c r="X255">
        <f>YEAR(T255)</f>
        <v>2023</v>
      </c>
      <c r="Y255" s="26" t="str">
        <f>X255&amp;"-"&amp;W255</f>
        <v>2023-12</v>
      </c>
    </row>
    <row r="256" spans="18:25" x14ac:dyDescent="0.25">
      <c r="R256" t="s">
        <v>38</v>
      </c>
      <c r="S256" t="s">
        <v>64</v>
      </c>
      <c r="T256" t="s">
        <v>250</v>
      </c>
      <c r="U256">
        <v>69386</v>
      </c>
      <c r="V256">
        <v>7</v>
      </c>
      <c r="W256">
        <f>MONTH(T256)</f>
        <v>12</v>
      </c>
      <c r="X256">
        <f>YEAR(T256)</f>
        <v>2023</v>
      </c>
      <c r="Y256" s="26" t="str">
        <f>X256&amp;"-"&amp;W256</f>
        <v>2023-12</v>
      </c>
    </row>
    <row r="257" spans="18:25" x14ac:dyDescent="0.25">
      <c r="R257" t="s">
        <v>38</v>
      </c>
      <c r="S257" t="s">
        <v>217</v>
      </c>
      <c r="T257" t="s">
        <v>251</v>
      </c>
      <c r="U257">
        <v>14897</v>
      </c>
      <c r="V257">
        <v>6</v>
      </c>
      <c r="W257">
        <f>MONTH(T257)</f>
        <v>12</v>
      </c>
      <c r="X257">
        <f>YEAR(T257)</f>
        <v>2023</v>
      </c>
      <c r="Y257" s="26" t="str">
        <f>X257&amp;"-"&amp;W257</f>
        <v>2023-12</v>
      </c>
    </row>
    <row r="258" spans="18:25" x14ac:dyDescent="0.25">
      <c r="R258" t="s">
        <v>38</v>
      </c>
      <c r="S258" t="s">
        <v>55</v>
      </c>
      <c r="T258" t="s">
        <v>255</v>
      </c>
      <c r="U258">
        <v>38286</v>
      </c>
      <c r="V258">
        <v>7</v>
      </c>
      <c r="W258">
        <f>MONTH(T258)</f>
        <v>1</v>
      </c>
      <c r="X258">
        <f>YEAR(T258)</f>
        <v>2024</v>
      </c>
      <c r="Y258" s="26" t="str">
        <f>X258&amp;"-"&amp;W258</f>
        <v>2024-1</v>
      </c>
    </row>
    <row r="259" spans="18:25" x14ac:dyDescent="0.25">
      <c r="R259" t="s">
        <v>38</v>
      </c>
      <c r="S259" t="s">
        <v>66</v>
      </c>
      <c r="T259" t="s">
        <v>257</v>
      </c>
      <c r="U259">
        <v>17286</v>
      </c>
      <c r="V259">
        <v>3</v>
      </c>
      <c r="W259">
        <f>MONTH(T259)</f>
        <v>1</v>
      </c>
      <c r="X259">
        <f>YEAR(T259)</f>
        <v>2024</v>
      </c>
      <c r="Y259" s="26" t="str">
        <f>X259&amp;"-"&amp;W259</f>
        <v>2024-1</v>
      </c>
    </row>
    <row r="260" spans="18:25" x14ac:dyDescent="0.25">
      <c r="R260" t="s">
        <v>38</v>
      </c>
      <c r="S260" t="s">
        <v>50</v>
      </c>
      <c r="T260" t="s">
        <v>271</v>
      </c>
      <c r="U260">
        <v>59274</v>
      </c>
      <c r="V260">
        <v>5</v>
      </c>
      <c r="W260">
        <f>MONTH(T260)</f>
        <v>1</v>
      </c>
      <c r="X260">
        <f>YEAR(T260)</f>
        <v>2024</v>
      </c>
      <c r="Y260" s="26" t="str">
        <f>X260&amp;"-"&amp;W260</f>
        <v>2024-1</v>
      </c>
    </row>
    <row r="261" spans="18:25" x14ac:dyDescent="0.25">
      <c r="R261" t="s">
        <v>38</v>
      </c>
      <c r="S261" t="s">
        <v>55</v>
      </c>
      <c r="T261" t="s">
        <v>282</v>
      </c>
      <c r="U261">
        <v>53245</v>
      </c>
      <c r="V261">
        <v>6</v>
      </c>
      <c r="W261">
        <f>MONTH(T261)</f>
        <v>1</v>
      </c>
      <c r="X261">
        <f>YEAR(T261)</f>
        <v>2024</v>
      </c>
      <c r="Y261" s="26" t="str">
        <f>X261&amp;"-"&amp;W261</f>
        <v>2024-1</v>
      </c>
    </row>
    <row r="262" spans="18:25" x14ac:dyDescent="0.25">
      <c r="R262" t="s">
        <v>38</v>
      </c>
      <c r="S262" t="s">
        <v>125</v>
      </c>
      <c r="T262" t="s">
        <v>282</v>
      </c>
      <c r="U262">
        <v>25877</v>
      </c>
      <c r="V262">
        <v>7</v>
      </c>
      <c r="W262">
        <f>MONTH(T262)</f>
        <v>1</v>
      </c>
      <c r="X262">
        <f>YEAR(T262)</f>
        <v>2024</v>
      </c>
      <c r="Y262" s="26" t="str">
        <f>X262&amp;"-"&amp;W262</f>
        <v>2024-1</v>
      </c>
    </row>
    <row r="263" spans="18:25" x14ac:dyDescent="0.25">
      <c r="R263" t="s">
        <v>38</v>
      </c>
      <c r="S263" t="s">
        <v>73</v>
      </c>
      <c r="T263" t="s">
        <v>283</v>
      </c>
      <c r="U263">
        <v>59044</v>
      </c>
      <c r="V263">
        <v>0</v>
      </c>
      <c r="W263">
        <f>MONTH(T263)</f>
        <v>1</v>
      </c>
      <c r="X263">
        <f>YEAR(T263)</f>
        <v>2024</v>
      </c>
      <c r="Y263" s="26" t="str">
        <f>X263&amp;"-"&amp;W263</f>
        <v>2024-1</v>
      </c>
    </row>
    <row r="264" spans="18:25" x14ac:dyDescent="0.25">
      <c r="R264" t="s">
        <v>38</v>
      </c>
      <c r="S264" t="s">
        <v>248</v>
      </c>
      <c r="T264" t="s">
        <v>291</v>
      </c>
      <c r="U264">
        <v>24642</v>
      </c>
      <c r="V264">
        <v>6</v>
      </c>
      <c r="W264">
        <f>MONTH(T264)</f>
        <v>2</v>
      </c>
      <c r="X264">
        <f>YEAR(T264)</f>
        <v>2024</v>
      </c>
      <c r="Y264" s="26" t="str">
        <f>X264&amp;"-"&amp;W264</f>
        <v>2024-2</v>
      </c>
    </row>
    <row r="265" spans="18:25" x14ac:dyDescent="0.25">
      <c r="R265" t="s">
        <v>38</v>
      </c>
      <c r="S265" t="s">
        <v>195</v>
      </c>
      <c r="T265" t="s">
        <v>301</v>
      </c>
      <c r="U265">
        <v>73166</v>
      </c>
      <c r="V265">
        <v>5</v>
      </c>
      <c r="W265">
        <f>MONTH(T265)</f>
        <v>2</v>
      </c>
      <c r="X265">
        <f>YEAR(T265)</f>
        <v>2024</v>
      </c>
      <c r="Y265" s="26" t="str">
        <f>X265&amp;"-"&amp;W265</f>
        <v>2024-2</v>
      </c>
    </row>
    <row r="266" spans="18:25" x14ac:dyDescent="0.25">
      <c r="R266" t="s">
        <v>38</v>
      </c>
      <c r="S266" t="s">
        <v>65</v>
      </c>
      <c r="T266" t="s">
        <v>312</v>
      </c>
      <c r="U266">
        <v>98700</v>
      </c>
      <c r="V266">
        <v>2</v>
      </c>
      <c r="W266">
        <f>MONTH(T266)</f>
        <v>2</v>
      </c>
      <c r="X266">
        <f>YEAR(T266)</f>
        <v>2024</v>
      </c>
      <c r="Y266" s="26" t="str">
        <f>X266&amp;"-"&amp;W266</f>
        <v>2024-2</v>
      </c>
    </row>
    <row r="267" spans="18:25" x14ac:dyDescent="0.25">
      <c r="R267" t="s">
        <v>38</v>
      </c>
      <c r="S267" t="s">
        <v>293</v>
      </c>
      <c r="T267" t="s">
        <v>312</v>
      </c>
      <c r="U267">
        <v>48520</v>
      </c>
      <c r="V267">
        <v>5</v>
      </c>
      <c r="W267">
        <f>MONTH(T267)</f>
        <v>2</v>
      </c>
      <c r="X267">
        <f>YEAR(T267)</f>
        <v>2024</v>
      </c>
      <c r="Y267" s="26" t="str">
        <f>X267&amp;"-"&amp;W267</f>
        <v>2024-2</v>
      </c>
    </row>
    <row r="268" spans="18:25" x14ac:dyDescent="0.25">
      <c r="R268" t="s">
        <v>38</v>
      </c>
      <c r="S268" t="s">
        <v>128</v>
      </c>
      <c r="T268" t="s">
        <v>312</v>
      </c>
      <c r="U268">
        <v>99529</v>
      </c>
      <c r="V268">
        <v>6</v>
      </c>
      <c r="W268">
        <f>MONTH(T268)</f>
        <v>2</v>
      </c>
      <c r="X268">
        <f>YEAR(T268)</f>
        <v>2024</v>
      </c>
      <c r="Y268" s="26" t="str">
        <f>X268&amp;"-"&amp;W268</f>
        <v>2024-2</v>
      </c>
    </row>
    <row r="269" spans="18:25" x14ac:dyDescent="0.25">
      <c r="R269" t="s">
        <v>38</v>
      </c>
      <c r="S269" t="s">
        <v>32</v>
      </c>
      <c r="T269" t="s">
        <v>318</v>
      </c>
      <c r="U269">
        <v>69841</v>
      </c>
      <c r="V269">
        <v>4</v>
      </c>
      <c r="W269">
        <f>MONTH(T269)</f>
        <v>3</v>
      </c>
      <c r="X269">
        <f>YEAR(T269)</f>
        <v>2024</v>
      </c>
      <c r="Y269" s="26" t="str">
        <f>X269&amp;"-"&amp;W269</f>
        <v>2024-3</v>
      </c>
    </row>
    <row r="270" spans="18:25" x14ac:dyDescent="0.25">
      <c r="R270" t="s">
        <v>38</v>
      </c>
      <c r="S270" t="s">
        <v>43</v>
      </c>
      <c r="T270" t="s">
        <v>324</v>
      </c>
      <c r="U270">
        <v>77174</v>
      </c>
      <c r="V270">
        <v>8</v>
      </c>
      <c r="W270">
        <f>MONTH(T270)</f>
        <v>3</v>
      </c>
      <c r="X270">
        <f>YEAR(T270)</f>
        <v>2024</v>
      </c>
      <c r="Y270" s="26" t="str">
        <f>X270&amp;"-"&amp;W270</f>
        <v>2024-3</v>
      </c>
    </row>
    <row r="271" spans="18:25" x14ac:dyDescent="0.25">
      <c r="R271" t="s">
        <v>38</v>
      </c>
      <c r="S271" t="s">
        <v>229</v>
      </c>
      <c r="T271" t="s">
        <v>334</v>
      </c>
      <c r="U271">
        <v>40515</v>
      </c>
      <c r="V271">
        <v>4</v>
      </c>
      <c r="W271">
        <f>MONTH(T271)</f>
        <v>3</v>
      </c>
      <c r="X271">
        <f>YEAR(T271)</f>
        <v>2024</v>
      </c>
      <c r="Y271" s="26" t="str">
        <f>X271&amp;"-"&amp;W271</f>
        <v>2024-3</v>
      </c>
    </row>
    <row r="272" spans="18:25" x14ac:dyDescent="0.25">
      <c r="R272" t="s">
        <v>38</v>
      </c>
      <c r="S272" t="s">
        <v>37</v>
      </c>
      <c r="T272" t="s">
        <v>339</v>
      </c>
      <c r="U272">
        <v>42918</v>
      </c>
      <c r="V272">
        <v>8</v>
      </c>
      <c r="W272">
        <f>MONTH(T272)</f>
        <v>3</v>
      </c>
      <c r="X272">
        <f>YEAR(T272)</f>
        <v>2024</v>
      </c>
      <c r="Y272" s="26" t="str">
        <f>X272&amp;"-"&amp;W272</f>
        <v>2024-3</v>
      </c>
    </row>
    <row r="273" spans="18:25" x14ac:dyDescent="0.25">
      <c r="R273" t="s">
        <v>38</v>
      </c>
      <c r="S273" t="s">
        <v>42</v>
      </c>
      <c r="T273" t="s">
        <v>343</v>
      </c>
      <c r="U273">
        <v>88574</v>
      </c>
      <c r="V273">
        <v>5</v>
      </c>
      <c r="W273">
        <f>MONTH(T273)</f>
        <v>4</v>
      </c>
      <c r="X273">
        <f>YEAR(T273)</f>
        <v>2024</v>
      </c>
      <c r="Y273" s="26" t="str">
        <f>X273&amp;"-"&amp;W273</f>
        <v>2024-4</v>
      </c>
    </row>
    <row r="274" spans="18:25" x14ac:dyDescent="0.25">
      <c r="R274" t="s">
        <v>38</v>
      </c>
      <c r="S274" t="s">
        <v>68</v>
      </c>
      <c r="T274" t="s">
        <v>347</v>
      </c>
      <c r="U274">
        <v>59678</v>
      </c>
      <c r="V274">
        <v>3</v>
      </c>
      <c r="W274">
        <f>MONTH(T274)</f>
        <v>4</v>
      </c>
      <c r="X274">
        <f>YEAR(T274)</f>
        <v>2024</v>
      </c>
      <c r="Y274" s="26" t="str">
        <f>X274&amp;"-"&amp;W274</f>
        <v>2024-4</v>
      </c>
    </row>
    <row r="275" spans="18:25" x14ac:dyDescent="0.25">
      <c r="R275" t="s">
        <v>38</v>
      </c>
      <c r="S275" t="s">
        <v>99</v>
      </c>
      <c r="T275" t="s">
        <v>355</v>
      </c>
      <c r="U275">
        <v>23569</v>
      </c>
      <c r="V275">
        <v>8</v>
      </c>
      <c r="W275">
        <f>MONTH(T275)</f>
        <v>4</v>
      </c>
      <c r="X275">
        <f>YEAR(T275)</f>
        <v>2024</v>
      </c>
      <c r="Y275" s="26" t="str">
        <f>X275&amp;"-"&amp;W275</f>
        <v>2024-4</v>
      </c>
    </row>
    <row r="276" spans="18:25" x14ac:dyDescent="0.25">
      <c r="R276" t="s">
        <v>38</v>
      </c>
      <c r="S276" t="s">
        <v>161</v>
      </c>
      <c r="T276" t="s">
        <v>355</v>
      </c>
      <c r="U276">
        <v>96797</v>
      </c>
      <c r="V276">
        <v>5</v>
      </c>
      <c r="W276">
        <f>MONTH(T276)</f>
        <v>4</v>
      </c>
      <c r="X276">
        <f>YEAR(T276)</f>
        <v>2024</v>
      </c>
      <c r="Y276" s="26" t="str">
        <f>X276&amp;"-"&amp;W276</f>
        <v>2024-4</v>
      </c>
    </row>
    <row r="277" spans="18:25" x14ac:dyDescent="0.25">
      <c r="R277" t="s">
        <v>38</v>
      </c>
      <c r="S277" t="s">
        <v>212</v>
      </c>
      <c r="T277" t="s">
        <v>357</v>
      </c>
      <c r="U277">
        <v>74599</v>
      </c>
      <c r="V277">
        <v>0</v>
      </c>
      <c r="W277">
        <f>MONTH(T277)</f>
        <v>4</v>
      </c>
      <c r="X277">
        <f>YEAR(T277)</f>
        <v>2024</v>
      </c>
      <c r="Y277" s="26" t="str">
        <f>X277&amp;"-"&amp;W277</f>
        <v>2024-4</v>
      </c>
    </row>
    <row r="278" spans="18:25" x14ac:dyDescent="0.25">
      <c r="R278" t="s">
        <v>38</v>
      </c>
      <c r="S278" t="s">
        <v>331</v>
      </c>
      <c r="T278" t="s">
        <v>358</v>
      </c>
      <c r="U278">
        <v>56272</v>
      </c>
      <c r="V278">
        <v>8</v>
      </c>
      <c r="W278">
        <f>MONTH(T278)</f>
        <v>4</v>
      </c>
      <c r="X278">
        <f>YEAR(T278)</f>
        <v>2024</v>
      </c>
      <c r="Y278" s="26" t="str">
        <f>X278&amp;"-"&amp;W278</f>
        <v>2024-4</v>
      </c>
    </row>
    <row r="279" spans="18:25" x14ac:dyDescent="0.25">
      <c r="R279" t="s">
        <v>38</v>
      </c>
      <c r="S279" t="s">
        <v>307</v>
      </c>
      <c r="T279" t="s">
        <v>362</v>
      </c>
      <c r="U279">
        <v>15400</v>
      </c>
      <c r="V279">
        <v>8</v>
      </c>
      <c r="W279">
        <f>MONTH(T279)</f>
        <v>4</v>
      </c>
      <c r="X279">
        <f>YEAR(T279)</f>
        <v>2024</v>
      </c>
      <c r="Y279" s="26" t="str">
        <f>X279&amp;"-"&amp;W279</f>
        <v>2024-4</v>
      </c>
    </row>
    <row r="280" spans="18:25" x14ac:dyDescent="0.25">
      <c r="R280" t="s">
        <v>38</v>
      </c>
      <c r="S280" t="s">
        <v>298</v>
      </c>
      <c r="T280" t="s">
        <v>370</v>
      </c>
      <c r="U280">
        <v>18012</v>
      </c>
      <c r="V280">
        <v>8</v>
      </c>
      <c r="W280">
        <f>MONTH(T280)</f>
        <v>5</v>
      </c>
      <c r="X280">
        <f>YEAR(T280)</f>
        <v>2024</v>
      </c>
      <c r="Y280" s="26" t="str">
        <f>X280&amp;"-"&amp;W280</f>
        <v>2024-5</v>
      </c>
    </row>
    <row r="281" spans="18:25" x14ac:dyDescent="0.25">
      <c r="R281" t="s">
        <v>38</v>
      </c>
      <c r="S281" t="s">
        <v>221</v>
      </c>
      <c r="T281" t="s">
        <v>370</v>
      </c>
      <c r="U281">
        <v>21278</v>
      </c>
      <c r="V281">
        <v>9</v>
      </c>
      <c r="W281">
        <f>MONTH(T281)</f>
        <v>5</v>
      </c>
      <c r="X281">
        <f>YEAR(T281)</f>
        <v>2024</v>
      </c>
      <c r="Y281" s="26" t="str">
        <f>X281&amp;"-"&amp;W281</f>
        <v>2024-5</v>
      </c>
    </row>
    <row r="282" spans="18:25" x14ac:dyDescent="0.25">
      <c r="R282" t="s">
        <v>38</v>
      </c>
      <c r="S282" t="s">
        <v>194</v>
      </c>
      <c r="T282" t="s">
        <v>376</v>
      </c>
      <c r="U282">
        <v>22103</v>
      </c>
      <c r="V282">
        <v>7</v>
      </c>
      <c r="W282">
        <f>MONTH(T282)</f>
        <v>5</v>
      </c>
      <c r="X282">
        <f>YEAR(T282)</f>
        <v>2024</v>
      </c>
      <c r="Y282" s="26" t="str">
        <f>X282&amp;"-"&amp;W282</f>
        <v>2024-5</v>
      </c>
    </row>
    <row r="283" spans="18:25" x14ac:dyDescent="0.25">
      <c r="R283" t="s">
        <v>38</v>
      </c>
      <c r="S283" t="s">
        <v>59</v>
      </c>
      <c r="T283" t="s">
        <v>377</v>
      </c>
      <c r="U283">
        <v>96394</v>
      </c>
      <c r="V283">
        <v>6</v>
      </c>
      <c r="W283">
        <f>MONTH(T283)</f>
        <v>5</v>
      </c>
      <c r="X283">
        <f>YEAR(T283)</f>
        <v>2024</v>
      </c>
      <c r="Y283" s="26" t="str">
        <f>X283&amp;"-"&amp;W283</f>
        <v>2024-5</v>
      </c>
    </row>
    <row r="284" spans="18:25" x14ac:dyDescent="0.25">
      <c r="R284" t="s">
        <v>38</v>
      </c>
      <c r="S284" t="s">
        <v>137</v>
      </c>
      <c r="T284" t="s">
        <v>377</v>
      </c>
      <c r="U284">
        <v>63888</v>
      </c>
      <c r="V284">
        <v>0</v>
      </c>
      <c r="W284">
        <f>MONTH(T284)</f>
        <v>5</v>
      </c>
      <c r="X284">
        <f>YEAR(T284)</f>
        <v>2024</v>
      </c>
      <c r="Y284" s="26" t="str">
        <f>X284&amp;"-"&amp;W284</f>
        <v>2024-5</v>
      </c>
    </row>
    <row r="285" spans="18:25" x14ac:dyDescent="0.25">
      <c r="R285" t="s">
        <v>38</v>
      </c>
      <c r="S285" t="s">
        <v>158</v>
      </c>
      <c r="T285" t="s">
        <v>381</v>
      </c>
      <c r="U285">
        <v>75160</v>
      </c>
      <c r="V285">
        <v>5</v>
      </c>
      <c r="W285">
        <f>MONTH(T285)</f>
        <v>5</v>
      </c>
      <c r="X285">
        <f>YEAR(T285)</f>
        <v>2024</v>
      </c>
      <c r="Y285" s="26" t="str">
        <f>X285&amp;"-"&amp;W285</f>
        <v>2024-5</v>
      </c>
    </row>
    <row r="286" spans="18:25" x14ac:dyDescent="0.25">
      <c r="R286" t="s">
        <v>38</v>
      </c>
      <c r="S286" t="s">
        <v>344</v>
      </c>
      <c r="T286" t="s">
        <v>386</v>
      </c>
      <c r="U286">
        <v>48892</v>
      </c>
      <c r="V286">
        <v>7</v>
      </c>
      <c r="W286">
        <f>MONTH(T286)</f>
        <v>5</v>
      </c>
      <c r="X286">
        <f>YEAR(T286)</f>
        <v>2024</v>
      </c>
      <c r="Y286" s="26" t="str">
        <f>X286&amp;"-"&amp;W286</f>
        <v>2024-5</v>
      </c>
    </row>
    <row r="287" spans="18:25" x14ac:dyDescent="0.25">
      <c r="R287" t="s">
        <v>38</v>
      </c>
      <c r="S287" t="s">
        <v>299</v>
      </c>
      <c r="T287" t="s">
        <v>386</v>
      </c>
      <c r="U287">
        <v>48323</v>
      </c>
      <c r="V287">
        <v>3</v>
      </c>
      <c r="W287">
        <f>MONTH(T287)</f>
        <v>5</v>
      </c>
      <c r="X287">
        <f>YEAR(T287)</f>
        <v>2024</v>
      </c>
      <c r="Y287" s="26" t="str">
        <f>X287&amp;"-"&amp;W287</f>
        <v>2024-5</v>
      </c>
    </row>
    <row r="288" spans="18:25" x14ac:dyDescent="0.25">
      <c r="R288" t="s">
        <v>38</v>
      </c>
      <c r="S288" t="s">
        <v>57</v>
      </c>
      <c r="T288" t="s">
        <v>388</v>
      </c>
      <c r="U288">
        <v>65818</v>
      </c>
      <c r="V288">
        <v>5</v>
      </c>
      <c r="W288">
        <f>MONTH(T288)</f>
        <v>5</v>
      </c>
      <c r="X288">
        <f>YEAR(T288)</f>
        <v>2024</v>
      </c>
      <c r="Y288" s="26" t="str">
        <f>X288&amp;"-"&amp;W288</f>
        <v>2024-5</v>
      </c>
    </row>
    <row r="289" spans="18:25" x14ac:dyDescent="0.25">
      <c r="R289" t="s">
        <v>38</v>
      </c>
      <c r="S289" t="s">
        <v>173</v>
      </c>
      <c r="T289" t="s">
        <v>388</v>
      </c>
      <c r="U289">
        <v>29952</v>
      </c>
      <c r="V289">
        <v>9</v>
      </c>
      <c r="W289">
        <f>MONTH(T289)</f>
        <v>5</v>
      </c>
      <c r="X289">
        <f>YEAR(T289)</f>
        <v>2024</v>
      </c>
      <c r="Y289" s="26" t="str">
        <f>X289&amp;"-"&amp;W289</f>
        <v>2024-5</v>
      </c>
    </row>
    <row r="290" spans="18:25" x14ac:dyDescent="0.25">
      <c r="R290" t="s">
        <v>38</v>
      </c>
      <c r="S290" t="s">
        <v>89</v>
      </c>
      <c r="T290" t="s">
        <v>398</v>
      </c>
      <c r="U290">
        <v>69205</v>
      </c>
      <c r="V290">
        <v>4</v>
      </c>
      <c r="W290">
        <f>MONTH(T290)</f>
        <v>6</v>
      </c>
      <c r="X290">
        <f>YEAR(T290)</f>
        <v>2024</v>
      </c>
      <c r="Y290" s="26" t="str">
        <f>X290&amp;"-"&amp;W290</f>
        <v>2024-6</v>
      </c>
    </row>
    <row r="291" spans="18:25" x14ac:dyDescent="0.25">
      <c r="R291" t="s">
        <v>38</v>
      </c>
      <c r="S291" t="s">
        <v>20</v>
      </c>
      <c r="T291" t="s">
        <v>399</v>
      </c>
      <c r="U291">
        <v>65604</v>
      </c>
      <c r="V291">
        <v>6</v>
      </c>
      <c r="W291">
        <f>MONTH(T291)</f>
        <v>6</v>
      </c>
      <c r="X291">
        <f>YEAR(T291)</f>
        <v>2024</v>
      </c>
      <c r="Y291" s="26" t="str">
        <f>X291&amp;"-"&amp;W291</f>
        <v>2024-6</v>
      </c>
    </row>
    <row r="292" spans="18:25" x14ac:dyDescent="0.25">
      <c r="R292" t="s">
        <v>38</v>
      </c>
      <c r="S292" t="s">
        <v>116</v>
      </c>
      <c r="T292" t="s">
        <v>401</v>
      </c>
      <c r="U292">
        <v>81721</v>
      </c>
      <c r="V292">
        <v>4</v>
      </c>
      <c r="W292">
        <f>MONTH(T292)</f>
        <v>6</v>
      </c>
      <c r="X292">
        <f>YEAR(T292)</f>
        <v>2024</v>
      </c>
      <c r="Y292" s="26" t="str">
        <f>X292&amp;"-"&amp;W292</f>
        <v>2024-6</v>
      </c>
    </row>
    <row r="293" spans="18:25" x14ac:dyDescent="0.25">
      <c r="R293" t="s">
        <v>38</v>
      </c>
      <c r="S293" t="s">
        <v>146</v>
      </c>
      <c r="T293" t="s">
        <v>401</v>
      </c>
      <c r="U293">
        <v>47692</v>
      </c>
      <c r="V293">
        <v>7</v>
      </c>
      <c r="W293">
        <f>MONTH(T293)</f>
        <v>6</v>
      </c>
      <c r="X293">
        <f>YEAR(T293)</f>
        <v>2024</v>
      </c>
      <c r="Y293" s="26" t="str">
        <f>X293&amp;"-"&amp;W293</f>
        <v>2024-6</v>
      </c>
    </row>
    <row r="294" spans="18:25" x14ac:dyDescent="0.25">
      <c r="R294" t="s">
        <v>38</v>
      </c>
      <c r="S294" t="s">
        <v>247</v>
      </c>
      <c r="T294" t="s">
        <v>402</v>
      </c>
      <c r="U294">
        <v>45109</v>
      </c>
      <c r="V294">
        <v>1</v>
      </c>
      <c r="W294">
        <f>MONTH(T294)</f>
        <v>6</v>
      </c>
      <c r="X294">
        <f>YEAR(T294)</f>
        <v>2024</v>
      </c>
      <c r="Y294" s="26" t="str">
        <f>X294&amp;"-"&amp;W294</f>
        <v>2024-6</v>
      </c>
    </row>
    <row r="295" spans="18:25" x14ac:dyDescent="0.25">
      <c r="R295" t="s">
        <v>38</v>
      </c>
      <c r="S295" t="s">
        <v>309</v>
      </c>
      <c r="T295" t="s">
        <v>405</v>
      </c>
      <c r="U295">
        <v>81900</v>
      </c>
      <c r="V295">
        <v>6</v>
      </c>
      <c r="W295">
        <f>MONTH(T295)</f>
        <v>6</v>
      </c>
      <c r="X295">
        <f>YEAR(T295)</f>
        <v>2024</v>
      </c>
      <c r="Y295" s="26" t="str">
        <f>X295&amp;"-"&amp;W295</f>
        <v>2024-6</v>
      </c>
    </row>
    <row r="296" spans="18:25" x14ac:dyDescent="0.25">
      <c r="R296" t="s">
        <v>38</v>
      </c>
      <c r="S296" t="s">
        <v>152</v>
      </c>
      <c r="T296" t="s">
        <v>405</v>
      </c>
      <c r="U296">
        <v>41777</v>
      </c>
      <c r="V296">
        <v>9</v>
      </c>
      <c r="W296">
        <f>MONTH(T296)</f>
        <v>6</v>
      </c>
      <c r="X296">
        <f>YEAR(T296)</f>
        <v>2024</v>
      </c>
      <c r="Y296" s="26" t="str">
        <f>X296&amp;"-"&amp;W296</f>
        <v>2024-6</v>
      </c>
    </row>
    <row r="297" spans="18:25" x14ac:dyDescent="0.25">
      <c r="R297" t="s">
        <v>38</v>
      </c>
      <c r="S297" t="s">
        <v>114</v>
      </c>
      <c r="T297" t="s">
        <v>416</v>
      </c>
      <c r="U297">
        <v>41439</v>
      </c>
      <c r="V297">
        <v>7</v>
      </c>
      <c r="W297">
        <f>MONTH(T297)</f>
        <v>7</v>
      </c>
      <c r="X297">
        <f>YEAR(T297)</f>
        <v>2024</v>
      </c>
      <c r="Y297" s="26" t="str">
        <f>X297&amp;"-"&amp;W297</f>
        <v>2024-7</v>
      </c>
    </row>
    <row r="298" spans="18:25" x14ac:dyDescent="0.25">
      <c r="R298" t="s">
        <v>38</v>
      </c>
      <c r="S298" t="s">
        <v>195</v>
      </c>
      <c r="T298" t="s">
        <v>418</v>
      </c>
      <c r="U298">
        <v>21014</v>
      </c>
      <c r="V298">
        <v>3</v>
      </c>
      <c r="W298">
        <f>MONTH(T298)</f>
        <v>7</v>
      </c>
      <c r="X298">
        <f>YEAR(T298)</f>
        <v>2024</v>
      </c>
      <c r="Y298" s="26" t="str">
        <f>X298&amp;"-"&amp;W298</f>
        <v>2024-7</v>
      </c>
    </row>
    <row r="299" spans="18:25" x14ac:dyDescent="0.25">
      <c r="R299" t="s">
        <v>38</v>
      </c>
      <c r="S299" t="s">
        <v>19</v>
      </c>
      <c r="T299" t="s">
        <v>422</v>
      </c>
      <c r="U299">
        <v>97544</v>
      </c>
      <c r="V299">
        <v>10</v>
      </c>
      <c r="W299">
        <f>MONTH(T299)</f>
        <v>7</v>
      </c>
      <c r="X299">
        <f>YEAR(T299)</f>
        <v>2024</v>
      </c>
      <c r="Y299" s="26" t="str">
        <f>X299&amp;"-"&amp;W299</f>
        <v>2024-7</v>
      </c>
    </row>
    <row r="300" spans="18:25" x14ac:dyDescent="0.25">
      <c r="R300" t="s">
        <v>38</v>
      </c>
      <c r="S300" t="s">
        <v>130</v>
      </c>
      <c r="T300" t="s">
        <v>424</v>
      </c>
      <c r="U300">
        <v>18739</v>
      </c>
      <c r="V300">
        <v>6</v>
      </c>
      <c r="W300">
        <f>MONTH(T300)</f>
        <v>7</v>
      </c>
      <c r="X300">
        <f>YEAR(T300)</f>
        <v>2024</v>
      </c>
      <c r="Y300" s="26" t="str">
        <f>X300&amp;"-"&amp;W300</f>
        <v>2024-7</v>
      </c>
    </row>
    <row r="301" spans="18:25" x14ac:dyDescent="0.25">
      <c r="R301" t="s">
        <v>38</v>
      </c>
      <c r="S301" t="s">
        <v>57</v>
      </c>
      <c r="T301" t="s">
        <v>430</v>
      </c>
      <c r="U301">
        <v>14084</v>
      </c>
      <c r="V301">
        <v>8</v>
      </c>
      <c r="W301">
        <f>MONTH(T301)</f>
        <v>7</v>
      </c>
      <c r="X301">
        <f>YEAR(T301)</f>
        <v>2024</v>
      </c>
      <c r="Y301" s="26" t="str">
        <f>X301&amp;"-"&amp;W301</f>
        <v>2024-7</v>
      </c>
    </row>
    <row r="302" spans="18:25" x14ac:dyDescent="0.25">
      <c r="R302" t="s">
        <v>38</v>
      </c>
      <c r="S302" t="s">
        <v>65</v>
      </c>
      <c r="T302" t="s">
        <v>432</v>
      </c>
      <c r="U302">
        <v>48587</v>
      </c>
      <c r="V302">
        <v>8</v>
      </c>
      <c r="W302">
        <f>MONTH(T302)</f>
        <v>7</v>
      </c>
      <c r="X302">
        <f>YEAR(T302)</f>
        <v>2024</v>
      </c>
      <c r="Y302" s="26" t="str">
        <f>X302&amp;"-"&amp;W302</f>
        <v>2024-7</v>
      </c>
    </row>
    <row r="303" spans="18:25" x14ac:dyDescent="0.25">
      <c r="R303" t="s">
        <v>38</v>
      </c>
      <c r="S303" t="s">
        <v>186</v>
      </c>
      <c r="T303" t="s">
        <v>438</v>
      </c>
      <c r="U303">
        <v>72907</v>
      </c>
      <c r="V303">
        <v>9</v>
      </c>
      <c r="W303">
        <f>MONTH(T303)</f>
        <v>8</v>
      </c>
      <c r="X303">
        <f>YEAR(T303)</f>
        <v>2024</v>
      </c>
      <c r="Y303" s="26" t="str">
        <f>X303&amp;"-"&amp;W303</f>
        <v>2024-8</v>
      </c>
    </row>
    <row r="304" spans="18:25" x14ac:dyDescent="0.25">
      <c r="R304" t="s">
        <v>38</v>
      </c>
      <c r="S304" t="s">
        <v>132</v>
      </c>
      <c r="T304" t="s">
        <v>438</v>
      </c>
      <c r="U304">
        <v>19215</v>
      </c>
      <c r="V304">
        <v>7</v>
      </c>
      <c r="W304">
        <f>MONTH(T304)</f>
        <v>8</v>
      </c>
      <c r="X304">
        <f>YEAR(T304)</f>
        <v>2024</v>
      </c>
      <c r="Y304" s="26" t="str">
        <f>X304&amp;"-"&amp;W304</f>
        <v>2024-8</v>
      </c>
    </row>
    <row r="305" spans="18:25" x14ac:dyDescent="0.25">
      <c r="R305" t="s">
        <v>38</v>
      </c>
      <c r="S305" t="s">
        <v>148</v>
      </c>
      <c r="T305" t="s">
        <v>441</v>
      </c>
      <c r="U305">
        <v>42514</v>
      </c>
      <c r="V305">
        <v>9</v>
      </c>
      <c r="W305">
        <f>MONTH(T305)</f>
        <v>8</v>
      </c>
      <c r="X305">
        <f>YEAR(T305)</f>
        <v>2024</v>
      </c>
      <c r="Y305" s="26" t="str">
        <f>X305&amp;"-"&amp;W305</f>
        <v>2024-8</v>
      </c>
    </row>
    <row r="306" spans="18:25" x14ac:dyDescent="0.25">
      <c r="R306" t="s">
        <v>38</v>
      </c>
      <c r="S306" t="s">
        <v>296</v>
      </c>
      <c r="T306" t="s">
        <v>448</v>
      </c>
      <c r="U306">
        <v>27077</v>
      </c>
      <c r="V306">
        <v>7</v>
      </c>
      <c r="W306">
        <f>MONTH(T306)</f>
        <v>8</v>
      </c>
      <c r="X306">
        <f>YEAR(T306)</f>
        <v>2024</v>
      </c>
      <c r="Y306" s="26" t="str">
        <f>X306&amp;"-"&amp;W306</f>
        <v>2024-8</v>
      </c>
    </row>
    <row r="307" spans="18:25" x14ac:dyDescent="0.25">
      <c r="R307" t="s">
        <v>38</v>
      </c>
      <c r="S307" t="s">
        <v>94</v>
      </c>
      <c r="T307" t="s">
        <v>449</v>
      </c>
      <c r="U307">
        <v>35818</v>
      </c>
      <c r="V307">
        <v>8</v>
      </c>
      <c r="W307">
        <f>MONTH(T307)</f>
        <v>8</v>
      </c>
      <c r="X307">
        <f>YEAR(T307)</f>
        <v>2024</v>
      </c>
      <c r="Y307" s="26" t="str">
        <f>X307&amp;"-"&amp;W307</f>
        <v>2024-8</v>
      </c>
    </row>
    <row r="308" spans="18:25" x14ac:dyDescent="0.25">
      <c r="R308" t="s">
        <v>38</v>
      </c>
      <c r="S308" t="s">
        <v>139</v>
      </c>
      <c r="T308" t="s">
        <v>460</v>
      </c>
      <c r="U308">
        <v>98328</v>
      </c>
      <c r="V308">
        <v>7</v>
      </c>
      <c r="W308">
        <f>MONTH(T308)</f>
        <v>8</v>
      </c>
      <c r="X308">
        <f>YEAR(T308)</f>
        <v>2024</v>
      </c>
      <c r="Y308" s="26" t="str">
        <f>X308&amp;"-"&amp;W308</f>
        <v>2024-8</v>
      </c>
    </row>
    <row r="309" spans="18:25" x14ac:dyDescent="0.25">
      <c r="R309" t="s">
        <v>45</v>
      </c>
      <c r="S309" t="s">
        <v>46</v>
      </c>
      <c r="T309" t="s">
        <v>44</v>
      </c>
      <c r="U309">
        <v>27016</v>
      </c>
      <c r="V309">
        <v>8</v>
      </c>
      <c r="W309">
        <f>MONTH(T309)</f>
        <v>9</v>
      </c>
      <c r="X309">
        <f>YEAR(T309)</f>
        <v>2023</v>
      </c>
      <c r="Y309" s="26" t="str">
        <f>X309&amp;"-"&amp;W309</f>
        <v>2023-9</v>
      </c>
    </row>
    <row r="310" spans="18:25" x14ac:dyDescent="0.25">
      <c r="R310" t="s">
        <v>45</v>
      </c>
      <c r="S310" t="s">
        <v>66</v>
      </c>
      <c r="T310" t="s">
        <v>62</v>
      </c>
      <c r="U310">
        <v>18447</v>
      </c>
      <c r="V310">
        <v>9</v>
      </c>
      <c r="W310">
        <f>MONTH(T310)</f>
        <v>9</v>
      </c>
      <c r="X310">
        <f>YEAR(T310)</f>
        <v>2023</v>
      </c>
      <c r="Y310" s="26" t="str">
        <f>X310&amp;"-"&amp;W310</f>
        <v>2023-9</v>
      </c>
    </row>
    <row r="311" spans="18:25" x14ac:dyDescent="0.25">
      <c r="R311" t="s">
        <v>45</v>
      </c>
      <c r="S311" t="s">
        <v>22</v>
      </c>
      <c r="T311" t="s">
        <v>71</v>
      </c>
      <c r="U311">
        <v>85722</v>
      </c>
      <c r="V311">
        <v>7</v>
      </c>
      <c r="W311">
        <f>MONTH(T311)</f>
        <v>9</v>
      </c>
      <c r="X311">
        <f>YEAR(T311)</f>
        <v>2023</v>
      </c>
      <c r="Y311" s="26" t="str">
        <f>X311&amp;"-"&amp;W311</f>
        <v>2023-9</v>
      </c>
    </row>
    <row r="312" spans="18:25" x14ac:dyDescent="0.25">
      <c r="R312" t="s">
        <v>45</v>
      </c>
      <c r="S312" t="s">
        <v>36</v>
      </c>
      <c r="T312" t="s">
        <v>102</v>
      </c>
      <c r="U312">
        <v>80990</v>
      </c>
      <c r="V312">
        <v>2</v>
      </c>
      <c r="W312">
        <f>MONTH(T312)</f>
        <v>9</v>
      </c>
      <c r="X312">
        <f>YEAR(T312)</f>
        <v>2023</v>
      </c>
      <c r="Y312" s="26" t="str">
        <f>X312&amp;"-"&amp;W312</f>
        <v>2023-9</v>
      </c>
    </row>
    <row r="313" spans="18:25" x14ac:dyDescent="0.25">
      <c r="R313" t="s">
        <v>45</v>
      </c>
      <c r="S313" t="s">
        <v>124</v>
      </c>
      <c r="T313" t="s">
        <v>120</v>
      </c>
      <c r="U313">
        <v>64890</v>
      </c>
      <c r="V313">
        <v>9</v>
      </c>
      <c r="W313">
        <f>MONTH(T313)</f>
        <v>10</v>
      </c>
      <c r="X313">
        <f>YEAR(T313)</f>
        <v>2023</v>
      </c>
      <c r="Y313" s="26" t="str">
        <f>X313&amp;"-"&amp;W313</f>
        <v>2023-10</v>
      </c>
    </row>
    <row r="314" spans="18:25" x14ac:dyDescent="0.25">
      <c r="R314" t="s">
        <v>45</v>
      </c>
      <c r="S314" t="s">
        <v>14</v>
      </c>
      <c r="T314" t="s">
        <v>135</v>
      </c>
      <c r="U314">
        <v>16372</v>
      </c>
      <c r="V314">
        <v>3</v>
      </c>
      <c r="W314">
        <f>MONTH(T314)</f>
        <v>10</v>
      </c>
      <c r="X314">
        <f>YEAR(T314)</f>
        <v>2023</v>
      </c>
      <c r="Y314" s="26" t="str">
        <f>X314&amp;"-"&amp;W314</f>
        <v>2023-10</v>
      </c>
    </row>
    <row r="315" spans="18:25" x14ac:dyDescent="0.25">
      <c r="R315" t="s">
        <v>45</v>
      </c>
      <c r="S315" t="s">
        <v>96</v>
      </c>
      <c r="T315" t="s">
        <v>140</v>
      </c>
      <c r="U315">
        <v>80799</v>
      </c>
      <c r="V315">
        <v>2</v>
      </c>
      <c r="W315">
        <f>MONTH(T315)</f>
        <v>10</v>
      </c>
      <c r="X315">
        <f>YEAR(T315)</f>
        <v>2023</v>
      </c>
      <c r="Y315" s="26" t="str">
        <f>X315&amp;"-"&amp;W315</f>
        <v>2023-10</v>
      </c>
    </row>
    <row r="316" spans="18:25" x14ac:dyDescent="0.25">
      <c r="R316" t="s">
        <v>45</v>
      </c>
      <c r="S316" t="s">
        <v>89</v>
      </c>
      <c r="T316" t="s">
        <v>140</v>
      </c>
      <c r="U316">
        <v>54320</v>
      </c>
      <c r="V316">
        <v>6</v>
      </c>
      <c r="W316">
        <f>MONTH(T316)</f>
        <v>10</v>
      </c>
      <c r="X316">
        <f>YEAR(T316)</f>
        <v>2023</v>
      </c>
      <c r="Y316" s="26" t="str">
        <f>X316&amp;"-"&amp;W316</f>
        <v>2023-10</v>
      </c>
    </row>
    <row r="317" spans="18:25" x14ac:dyDescent="0.25">
      <c r="R317" t="s">
        <v>45</v>
      </c>
      <c r="S317" t="s">
        <v>33</v>
      </c>
      <c r="T317" t="s">
        <v>164</v>
      </c>
      <c r="U317">
        <v>67985</v>
      </c>
      <c r="V317">
        <v>4</v>
      </c>
      <c r="W317">
        <f>MONTH(T317)</f>
        <v>10</v>
      </c>
      <c r="X317">
        <f>YEAR(T317)</f>
        <v>2023</v>
      </c>
      <c r="Y317" s="26" t="str">
        <f>X317&amp;"-"&amp;W317</f>
        <v>2023-10</v>
      </c>
    </row>
    <row r="318" spans="18:25" x14ac:dyDescent="0.25">
      <c r="R318" t="s">
        <v>45</v>
      </c>
      <c r="S318" t="s">
        <v>169</v>
      </c>
      <c r="T318" t="s">
        <v>168</v>
      </c>
      <c r="U318">
        <v>39689</v>
      </c>
      <c r="V318">
        <v>1</v>
      </c>
      <c r="W318">
        <f>MONTH(T318)</f>
        <v>10</v>
      </c>
      <c r="X318">
        <f>YEAR(T318)</f>
        <v>2023</v>
      </c>
      <c r="Y318" s="26" t="str">
        <f>X318&amp;"-"&amp;W318</f>
        <v>2023-10</v>
      </c>
    </row>
    <row r="319" spans="18:25" x14ac:dyDescent="0.25">
      <c r="R319" t="s">
        <v>45</v>
      </c>
      <c r="S319" t="s">
        <v>170</v>
      </c>
      <c r="T319" t="s">
        <v>171</v>
      </c>
      <c r="U319">
        <v>15354</v>
      </c>
      <c r="V319">
        <v>6</v>
      </c>
      <c r="W319">
        <f>MONTH(T319)</f>
        <v>10</v>
      </c>
      <c r="X319">
        <f>YEAR(T319)</f>
        <v>2023</v>
      </c>
      <c r="Y319" s="26" t="str">
        <f>X319&amp;"-"&amp;W319</f>
        <v>2023-10</v>
      </c>
    </row>
    <row r="320" spans="18:25" x14ac:dyDescent="0.25">
      <c r="R320" t="s">
        <v>45</v>
      </c>
      <c r="S320" t="s">
        <v>57</v>
      </c>
      <c r="T320" t="s">
        <v>172</v>
      </c>
      <c r="U320">
        <v>71495</v>
      </c>
      <c r="V320">
        <v>4</v>
      </c>
      <c r="W320">
        <f>MONTH(T320)</f>
        <v>11</v>
      </c>
      <c r="X320">
        <f>YEAR(T320)</f>
        <v>2023</v>
      </c>
      <c r="Y320" s="26" t="str">
        <f>X320&amp;"-"&amp;W320</f>
        <v>2023-11</v>
      </c>
    </row>
    <row r="321" spans="18:25" x14ac:dyDescent="0.25">
      <c r="R321" t="s">
        <v>45</v>
      </c>
      <c r="S321" t="s">
        <v>108</v>
      </c>
      <c r="T321" t="s">
        <v>179</v>
      </c>
      <c r="U321">
        <v>58805</v>
      </c>
      <c r="V321">
        <v>7</v>
      </c>
      <c r="W321">
        <f>MONTH(T321)</f>
        <v>11</v>
      </c>
      <c r="X321">
        <f>YEAR(T321)</f>
        <v>2023</v>
      </c>
      <c r="Y321" s="26" t="str">
        <f>X321&amp;"-"&amp;W321</f>
        <v>2023-11</v>
      </c>
    </row>
    <row r="322" spans="18:25" x14ac:dyDescent="0.25">
      <c r="R322" t="s">
        <v>45</v>
      </c>
      <c r="S322" t="s">
        <v>187</v>
      </c>
      <c r="T322" t="s">
        <v>185</v>
      </c>
      <c r="U322">
        <v>39575</v>
      </c>
      <c r="V322">
        <v>7</v>
      </c>
      <c r="W322">
        <f>MONTH(T322)</f>
        <v>11</v>
      </c>
      <c r="X322">
        <f>YEAR(T322)</f>
        <v>2023</v>
      </c>
      <c r="Y322" s="26" t="str">
        <f>X322&amp;"-"&amp;W322</f>
        <v>2023-11</v>
      </c>
    </row>
    <row r="323" spans="18:25" x14ac:dyDescent="0.25">
      <c r="R323" t="s">
        <v>45</v>
      </c>
      <c r="S323" t="s">
        <v>188</v>
      </c>
      <c r="T323" t="s">
        <v>189</v>
      </c>
      <c r="U323">
        <v>29570</v>
      </c>
      <c r="V323">
        <v>7</v>
      </c>
      <c r="W323">
        <f>MONTH(T323)</f>
        <v>11</v>
      </c>
      <c r="X323">
        <f>YEAR(T323)</f>
        <v>2023</v>
      </c>
      <c r="Y323" s="26" t="str">
        <f>X323&amp;"-"&amp;W323</f>
        <v>2023-11</v>
      </c>
    </row>
    <row r="324" spans="18:25" x14ac:dyDescent="0.25">
      <c r="R324" t="s">
        <v>45</v>
      </c>
      <c r="S324" t="s">
        <v>43</v>
      </c>
      <c r="T324" t="s">
        <v>189</v>
      </c>
      <c r="U324">
        <v>89878</v>
      </c>
      <c r="V324">
        <v>4</v>
      </c>
      <c r="W324">
        <f>MONTH(T324)</f>
        <v>11</v>
      </c>
      <c r="X324">
        <f>YEAR(T324)</f>
        <v>2023</v>
      </c>
      <c r="Y324" s="26" t="str">
        <f>X324&amp;"-"&amp;W324</f>
        <v>2023-11</v>
      </c>
    </row>
    <row r="325" spans="18:25" x14ac:dyDescent="0.25">
      <c r="R325" t="s">
        <v>45</v>
      </c>
      <c r="S325" t="s">
        <v>195</v>
      </c>
      <c r="T325" t="s">
        <v>193</v>
      </c>
      <c r="U325">
        <v>67299</v>
      </c>
      <c r="V325">
        <v>7</v>
      </c>
      <c r="W325">
        <f>MONTH(T325)</f>
        <v>11</v>
      </c>
      <c r="X325">
        <f>YEAR(T325)</f>
        <v>2023</v>
      </c>
      <c r="Y325" s="26" t="str">
        <f>X325&amp;"-"&amp;W325</f>
        <v>2023-11</v>
      </c>
    </row>
    <row r="326" spans="18:25" x14ac:dyDescent="0.25">
      <c r="R326" t="s">
        <v>45</v>
      </c>
      <c r="S326" t="s">
        <v>202</v>
      </c>
      <c r="T326" t="s">
        <v>199</v>
      </c>
      <c r="U326">
        <v>47274</v>
      </c>
      <c r="V326">
        <v>1</v>
      </c>
      <c r="W326">
        <f>MONTH(T326)</f>
        <v>11</v>
      </c>
      <c r="X326">
        <f>YEAR(T326)</f>
        <v>2023</v>
      </c>
      <c r="Y326" s="26" t="str">
        <f>X326&amp;"-"&amp;W326</f>
        <v>2023-11</v>
      </c>
    </row>
    <row r="327" spans="18:25" x14ac:dyDescent="0.25">
      <c r="R327" t="s">
        <v>45</v>
      </c>
      <c r="S327" t="s">
        <v>107</v>
      </c>
      <c r="T327" t="s">
        <v>210</v>
      </c>
      <c r="U327">
        <v>76344</v>
      </c>
      <c r="V327">
        <v>2</v>
      </c>
      <c r="W327">
        <f>MONTH(T327)</f>
        <v>11</v>
      </c>
      <c r="X327">
        <f>YEAR(T327)</f>
        <v>2023</v>
      </c>
      <c r="Y327" s="26" t="str">
        <f>X327&amp;"-"&amp;W327</f>
        <v>2023-11</v>
      </c>
    </row>
    <row r="328" spans="18:25" x14ac:dyDescent="0.25">
      <c r="R328" t="s">
        <v>45</v>
      </c>
      <c r="S328" t="s">
        <v>233</v>
      </c>
      <c r="T328" t="s">
        <v>230</v>
      </c>
      <c r="U328">
        <v>41034</v>
      </c>
      <c r="V328">
        <v>3</v>
      </c>
      <c r="W328">
        <f>MONTH(T328)</f>
        <v>12</v>
      </c>
      <c r="X328">
        <f>YEAR(T328)</f>
        <v>2023</v>
      </c>
      <c r="Y328" s="26" t="str">
        <f>X328&amp;"-"&amp;W328</f>
        <v>2023-12</v>
      </c>
    </row>
    <row r="329" spans="18:25" x14ac:dyDescent="0.25">
      <c r="R329" t="s">
        <v>45</v>
      </c>
      <c r="S329" t="s">
        <v>194</v>
      </c>
      <c r="T329" t="s">
        <v>238</v>
      </c>
      <c r="U329">
        <v>11769</v>
      </c>
      <c r="V329">
        <v>8</v>
      </c>
      <c r="W329">
        <f>MONTH(T329)</f>
        <v>12</v>
      </c>
      <c r="X329">
        <f>YEAR(T329)</f>
        <v>2023</v>
      </c>
      <c r="Y329" s="26" t="str">
        <f>X329&amp;"-"&amp;W329</f>
        <v>2023-12</v>
      </c>
    </row>
    <row r="330" spans="18:25" x14ac:dyDescent="0.25">
      <c r="R330" t="s">
        <v>45</v>
      </c>
      <c r="S330" t="s">
        <v>144</v>
      </c>
      <c r="T330" t="s">
        <v>240</v>
      </c>
      <c r="U330">
        <v>15585</v>
      </c>
      <c r="V330">
        <v>7</v>
      </c>
      <c r="W330">
        <f>MONTH(T330)</f>
        <v>12</v>
      </c>
      <c r="X330">
        <f>YEAR(T330)</f>
        <v>2023</v>
      </c>
      <c r="Y330" s="26" t="str">
        <f>X330&amp;"-"&amp;W330</f>
        <v>2023-12</v>
      </c>
    </row>
    <row r="331" spans="18:25" x14ac:dyDescent="0.25">
      <c r="R331" t="s">
        <v>45</v>
      </c>
      <c r="S331" t="s">
        <v>77</v>
      </c>
      <c r="T331" t="s">
        <v>245</v>
      </c>
      <c r="U331">
        <v>36661</v>
      </c>
      <c r="V331">
        <v>5</v>
      </c>
      <c r="W331">
        <f>MONTH(T331)</f>
        <v>12</v>
      </c>
      <c r="X331">
        <f>YEAR(T331)</f>
        <v>2023</v>
      </c>
      <c r="Y331" s="26" t="str">
        <f>X331&amp;"-"&amp;W331</f>
        <v>2023-12</v>
      </c>
    </row>
    <row r="332" spans="18:25" x14ac:dyDescent="0.25">
      <c r="R332" t="s">
        <v>45</v>
      </c>
      <c r="S332" t="s">
        <v>61</v>
      </c>
      <c r="T332" t="s">
        <v>246</v>
      </c>
      <c r="U332">
        <v>53168</v>
      </c>
      <c r="V332">
        <v>8</v>
      </c>
      <c r="W332">
        <f>MONTH(T332)</f>
        <v>12</v>
      </c>
      <c r="X332">
        <f>YEAR(T332)</f>
        <v>2023</v>
      </c>
      <c r="Y332" s="26" t="str">
        <f>X332&amp;"-"&amp;W332</f>
        <v>2023-12</v>
      </c>
    </row>
    <row r="333" spans="18:25" x14ac:dyDescent="0.25">
      <c r="R333" t="s">
        <v>45</v>
      </c>
      <c r="S333" t="s">
        <v>101</v>
      </c>
      <c r="T333" t="s">
        <v>250</v>
      </c>
      <c r="U333">
        <v>26143</v>
      </c>
      <c r="V333">
        <v>2</v>
      </c>
      <c r="W333">
        <f>MONTH(T333)</f>
        <v>12</v>
      </c>
      <c r="X333">
        <f>YEAR(T333)</f>
        <v>2023</v>
      </c>
      <c r="Y333" s="26" t="str">
        <f>X333&amp;"-"&amp;W333</f>
        <v>2023-12</v>
      </c>
    </row>
    <row r="334" spans="18:25" x14ac:dyDescent="0.25">
      <c r="R334" t="s">
        <v>45</v>
      </c>
      <c r="S334" t="s">
        <v>51</v>
      </c>
      <c r="T334" t="s">
        <v>262</v>
      </c>
      <c r="U334">
        <v>67795</v>
      </c>
      <c r="V334">
        <v>8</v>
      </c>
      <c r="W334">
        <f>MONTH(T334)</f>
        <v>1</v>
      </c>
      <c r="X334">
        <f>YEAR(T334)</f>
        <v>2024</v>
      </c>
      <c r="Y334" s="26" t="str">
        <f>X334&amp;"-"&amp;W334</f>
        <v>2024-1</v>
      </c>
    </row>
    <row r="335" spans="18:25" x14ac:dyDescent="0.25">
      <c r="R335" t="s">
        <v>45</v>
      </c>
      <c r="S335" t="s">
        <v>264</v>
      </c>
      <c r="T335" t="s">
        <v>263</v>
      </c>
      <c r="U335">
        <v>46841</v>
      </c>
      <c r="V335">
        <v>9</v>
      </c>
      <c r="W335">
        <f>MONTH(T335)</f>
        <v>1</v>
      </c>
      <c r="X335">
        <f>YEAR(T335)</f>
        <v>2024</v>
      </c>
      <c r="Y335" s="26" t="str">
        <f>X335&amp;"-"&amp;W335</f>
        <v>2024-1</v>
      </c>
    </row>
    <row r="336" spans="18:25" x14ac:dyDescent="0.25">
      <c r="R336" t="s">
        <v>45</v>
      </c>
      <c r="S336" t="s">
        <v>265</v>
      </c>
      <c r="T336" t="s">
        <v>266</v>
      </c>
      <c r="U336">
        <v>78582</v>
      </c>
      <c r="V336">
        <v>9</v>
      </c>
      <c r="W336">
        <f>MONTH(T336)</f>
        <v>1</v>
      </c>
      <c r="X336">
        <f>YEAR(T336)</f>
        <v>2024</v>
      </c>
      <c r="Y336" s="26" t="str">
        <f>X336&amp;"-"&amp;W336</f>
        <v>2024-1</v>
      </c>
    </row>
    <row r="337" spans="18:25" x14ac:dyDescent="0.25">
      <c r="R337" t="s">
        <v>45</v>
      </c>
      <c r="S337" t="s">
        <v>36</v>
      </c>
      <c r="T337" t="s">
        <v>273</v>
      </c>
      <c r="U337">
        <v>40464</v>
      </c>
      <c r="V337">
        <v>9</v>
      </c>
      <c r="W337">
        <f>MONTH(T337)</f>
        <v>1</v>
      </c>
      <c r="X337">
        <f>YEAR(T337)</f>
        <v>2024</v>
      </c>
      <c r="Y337" s="26" t="str">
        <f>X337&amp;"-"&amp;W337</f>
        <v>2024-1</v>
      </c>
    </row>
    <row r="338" spans="18:25" x14ac:dyDescent="0.25">
      <c r="R338" t="s">
        <v>45</v>
      </c>
      <c r="S338" t="s">
        <v>49</v>
      </c>
      <c r="T338" t="s">
        <v>277</v>
      </c>
      <c r="U338">
        <v>81618</v>
      </c>
      <c r="V338">
        <v>6</v>
      </c>
      <c r="W338">
        <f>MONTH(T338)</f>
        <v>1</v>
      </c>
      <c r="X338">
        <f>YEAR(T338)</f>
        <v>2024</v>
      </c>
      <c r="Y338" s="26" t="str">
        <f>X338&amp;"-"&amp;W338</f>
        <v>2024-1</v>
      </c>
    </row>
    <row r="339" spans="18:25" x14ac:dyDescent="0.25">
      <c r="R339" t="s">
        <v>45</v>
      </c>
      <c r="S339" t="s">
        <v>279</v>
      </c>
      <c r="T339" t="s">
        <v>280</v>
      </c>
      <c r="U339">
        <v>18445</v>
      </c>
      <c r="V339">
        <v>6</v>
      </c>
      <c r="W339">
        <f>MONTH(T339)</f>
        <v>1</v>
      </c>
      <c r="X339">
        <f>YEAR(T339)</f>
        <v>2024</v>
      </c>
      <c r="Y339" s="26" t="str">
        <f>X339&amp;"-"&amp;W339</f>
        <v>2024-1</v>
      </c>
    </row>
    <row r="340" spans="18:25" x14ac:dyDescent="0.25">
      <c r="R340" t="s">
        <v>45</v>
      </c>
      <c r="S340" t="s">
        <v>196</v>
      </c>
      <c r="T340" t="s">
        <v>281</v>
      </c>
      <c r="U340">
        <v>44762</v>
      </c>
      <c r="V340">
        <v>9</v>
      </c>
      <c r="W340">
        <f>MONTH(T340)</f>
        <v>1</v>
      </c>
      <c r="X340">
        <f>YEAR(T340)</f>
        <v>2024</v>
      </c>
      <c r="Y340" s="26" t="str">
        <f>X340&amp;"-"&amp;W340</f>
        <v>2024-1</v>
      </c>
    </row>
    <row r="341" spans="18:25" x14ac:dyDescent="0.25">
      <c r="R341" t="s">
        <v>45</v>
      </c>
      <c r="S341" t="s">
        <v>187</v>
      </c>
      <c r="T341" t="s">
        <v>282</v>
      </c>
      <c r="U341">
        <v>27458</v>
      </c>
      <c r="V341">
        <v>6</v>
      </c>
      <c r="W341">
        <f>MONTH(T341)</f>
        <v>1</v>
      </c>
      <c r="X341">
        <f>YEAR(T341)</f>
        <v>2024</v>
      </c>
      <c r="Y341" s="26" t="str">
        <f>X341&amp;"-"&amp;W341</f>
        <v>2024-1</v>
      </c>
    </row>
    <row r="342" spans="18:25" x14ac:dyDescent="0.25">
      <c r="R342" t="s">
        <v>45</v>
      </c>
      <c r="S342" t="s">
        <v>293</v>
      </c>
      <c r="T342" t="s">
        <v>292</v>
      </c>
      <c r="U342">
        <v>34583</v>
      </c>
      <c r="V342">
        <v>4</v>
      </c>
      <c r="W342">
        <f>MONTH(T342)</f>
        <v>2</v>
      </c>
      <c r="X342">
        <f>YEAR(T342)</f>
        <v>2024</v>
      </c>
      <c r="Y342" s="26" t="str">
        <f>X342&amp;"-"&amp;W342</f>
        <v>2024-2</v>
      </c>
    </row>
    <row r="343" spans="18:25" x14ac:dyDescent="0.25">
      <c r="R343" t="s">
        <v>45</v>
      </c>
      <c r="S343" t="s">
        <v>77</v>
      </c>
      <c r="T343" t="s">
        <v>292</v>
      </c>
      <c r="U343">
        <v>47962</v>
      </c>
      <c r="V343">
        <v>6</v>
      </c>
      <c r="W343">
        <f>MONTH(T343)</f>
        <v>2</v>
      </c>
      <c r="X343">
        <f>YEAR(T343)</f>
        <v>2024</v>
      </c>
      <c r="Y343" s="26" t="str">
        <f>X343&amp;"-"&amp;W343</f>
        <v>2024-2</v>
      </c>
    </row>
    <row r="344" spans="18:25" x14ac:dyDescent="0.25">
      <c r="R344" t="s">
        <v>45</v>
      </c>
      <c r="S344" t="s">
        <v>128</v>
      </c>
      <c r="T344" t="s">
        <v>302</v>
      </c>
      <c r="U344">
        <v>55251</v>
      </c>
      <c r="V344">
        <v>5</v>
      </c>
      <c r="W344">
        <f>MONTH(T344)</f>
        <v>2</v>
      </c>
      <c r="X344">
        <f>YEAR(T344)</f>
        <v>2024</v>
      </c>
      <c r="Y344" s="26" t="str">
        <f>X344&amp;"-"&amp;W344</f>
        <v>2024-2</v>
      </c>
    </row>
    <row r="345" spans="18:25" x14ac:dyDescent="0.25">
      <c r="R345" t="s">
        <v>45</v>
      </c>
      <c r="S345" t="s">
        <v>157</v>
      </c>
      <c r="T345" t="s">
        <v>304</v>
      </c>
      <c r="U345">
        <v>77306</v>
      </c>
      <c r="V345">
        <v>7</v>
      </c>
      <c r="W345">
        <f>MONTH(T345)</f>
        <v>2</v>
      </c>
      <c r="X345">
        <f>YEAR(T345)</f>
        <v>2024</v>
      </c>
      <c r="Y345" s="26" t="str">
        <f>X345&amp;"-"&amp;W345</f>
        <v>2024-2</v>
      </c>
    </row>
    <row r="346" spans="18:25" x14ac:dyDescent="0.25">
      <c r="R346" t="s">
        <v>45</v>
      </c>
      <c r="S346" t="s">
        <v>153</v>
      </c>
      <c r="T346" t="s">
        <v>305</v>
      </c>
      <c r="U346">
        <v>22814</v>
      </c>
      <c r="V346">
        <v>7</v>
      </c>
      <c r="W346">
        <f>MONTH(T346)</f>
        <v>2</v>
      </c>
      <c r="X346">
        <f>YEAR(T346)</f>
        <v>2024</v>
      </c>
      <c r="Y346" s="26" t="str">
        <f>X346&amp;"-"&amp;W346</f>
        <v>2024-2</v>
      </c>
    </row>
    <row r="347" spans="18:25" x14ac:dyDescent="0.25">
      <c r="R347" t="s">
        <v>45</v>
      </c>
      <c r="S347" t="s">
        <v>22</v>
      </c>
      <c r="T347" t="s">
        <v>310</v>
      </c>
      <c r="U347">
        <v>83444</v>
      </c>
      <c r="V347">
        <v>7</v>
      </c>
      <c r="W347">
        <f>MONTH(T347)</f>
        <v>2</v>
      </c>
      <c r="X347">
        <f>YEAR(T347)</f>
        <v>2024</v>
      </c>
      <c r="Y347" s="26" t="str">
        <f>X347&amp;"-"&amp;W347</f>
        <v>2024-2</v>
      </c>
    </row>
    <row r="348" spans="18:25" x14ac:dyDescent="0.25">
      <c r="R348" t="s">
        <v>45</v>
      </c>
      <c r="S348" t="s">
        <v>89</v>
      </c>
      <c r="T348" t="s">
        <v>311</v>
      </c>
      <c r="U348">
        <v>59269</v>
      </c>
      <c r="V348">
        <v>3</v>
      </c>
      <c r="W348">
        <f>MONTH(T348)</f>
        <v>2</v>
      </c>
      <c r="X348">
        <f>YEAR(T348)</f>
        <v>2024</v>
      </c>
      <c r="Y348" s="26" t="str">
        <f>X348&amp;"-"&amp;W348</f>
        <v>2024-2</v>
      </c>
    </row>
    <row r="349" spans="18:25" x14ac:dyDescent="0.25">
      <c r="R349" t="s">
        <v>45</v>
      </c>
      <c r="S349" t="s">
        <v>151</v>
      </c>
      <c r="T349" t="s">
        <v>312</v>
      </c>
      <c r="U349">
        <v>31226</v>
      </c>
      <c r="V349">
        <v>10</v>
      </c>
      <c r="W349">
        <f>MONTH(T349)</f>
        <v>2</v>
      </c>
      <c r="X349">
        <f>YEAR(T349)</f>
        <v>2024</v>
      </c>
      <c r="Y349" s="26" t="str">
        <f>X349&amp;"-"&amp;W349</f>
        <v>2024-2</v>
      </c>
    </row>
    <row r="350" spans="18:25" x14ac:dyDescent="0.25">
      <c r="R350" t="s">
        <v>45</v>
      </c>
      <c r="S350" t="s">
        <v>80</v>
      </c>
      <c r="T350" t="s">
        <v>312</v>
      </c>
      <c r="U350">
        <v>53059</v>
      </c>
      <c r="V350">
        <v>7</v>
      </c>
      <c r="W350">
        <f>MONTH(T350)</f>
        <v>2</v>
      </c>
      <c r="X350">
        <f>YEAR(T350)</f>
        <v>2024</v>
      </c>
      <c r="Y350" s="26" t="str">
        <f>X350&amp;"-"&amp;W350</f>
        <v>2024-2</v>
      </c>
    </row>
    <row r="351" spans="18:25" x14ac:dyDescent="0.25">
      <c r="R351" t="s">
        <v>45</v>
      </c>
      <c r="S351" t="s">
        <v>53</v>
      </c>
      <c r="T351" t="s">
        <v>312</v>
      </c>
      <c r="U351">
        <v>25910</v>
      </c>
      <c r="V351">
        <v>3</v>
      </c>
      <c r="W351">
        <f>MONTH(T351)</f>
        <v>2</v>
      </c>
      <c r="X351">
        <f>YEAR(T351)</f>
        <v>2024</v>
      </c>
      <c r="Y351" s="26" t="str">
        <f>X351&amp;"-"&amp;W351</f>
        <v>2024-2</v>
      </c>
    </row>
    <row r="352" spans="18:25" x14ac:dyDescent="0.25">
      <c r="R352" t="s">
        <v>45</v>
      </c>
      <c r="S352" t="s">
        <v>232</v>
      </c>
      <c r="T352" t="s">
        <v>312</v>
      </c>
      <c r="U352">
        <v>62556</v>
      </c>
      <c r="V352">
        <v>4</v>
      </c>
      <c r="W352">
        <f>MONTH(T352)</f>
        <v>2</v>
      </c>
      <c r="X352">
        <f>YEAR(T352)</f>
        <v>2024</v>
      </c>
      <c r="Y352" s="26" t="str">
        <f>X352&amp;"-"&amp;W352</f>
        <v>2024-2</v>
      </c>
    </row>
    <row r="353" spans="18:25" x14ac:dyDescent="0.25">
      <c r="R353" t="s">
        <v>45</v>
      </c>
      <c r="S353" t="s">
        <v>42</v>
      </c>
      <c r="T353" t="s">
        <v>319</v>
      </c>
      <c r="U353">
        <v>81850</v>
      </c>
      <c r="V353">
        <v>8</v>
      </c>
      <c r="W353">
        <f>MONTH(T353)</f>
        <v>3</v>
      </c>
      <c r="X353">
        <f>YEAR(T353)</f>
        <v>2024</v>
      </c>
      <c r="Y353" s="26" t="str">
        <f>X353&amp;"-"&amp;W353</f>
        <v>2024-3</v>
      </c>
    </row>
    <row r="354" spans="18:25" x14ac:dyDescent="0.25">
      <c r="R354" t="s">
        <v>45</v>
      </c>
      <c r="S354" t="s">
        <v>128</v>
      </c>
      <c r="T354" t="s">
        <v>321</v>
      </c>
      <c r="U354">
        <v>76038</v>
      </c>
      <c r="V354">
        <v>6</v>
      </c>
      <c r="W354">
        <f>MONTH(T354)</f>
        <v>3</v>
      </c>
      <c r="X354">
        <f>YEAR(T354)</f>
        <v>2024</v>
      </c>
      <c r="Y354" s="26" t="str">
        <f>X354&amp;"-"&amp;W354</f>
        <v>2024-3</v>
      </c>
    </row>
    <row r="355" spans="18:25" x14ac:dyDescent="0.25">
      <c r="R355" t="s">
        <v>45</v>
      </c>
      <c r="S355" t="s">
        <v>49</v>
      </c>
      <c r="T355" t="s">
        <v>323</v>
      </c>
      <c r="U355">
        <v>55772</v>
      </c>
      <c r="V355">
        <v>5</v>
      </c>
      <c r="W355">
        <f>MONTH(T355)</f>
        <v>3</v>
      </c>
      <c r="X355">
        <f>YEAR(T355)</f>
        <v>2024</v>
      </c>
      <c r="Y355" s="26" t="str">
        <f>X355&amp;"-"&amp;W355</f>
        <v>2024-3</v>
      </c>
    </row>
    <row r="356" spans="18:25" x14ac:dyDescent="0.25">
      <c r="R356" t="s">
        <v>45</v>
      </c>
      <c r="S356" t="s">
        <v>91</v>
      </c>
      <c r="T356" t="s">
        <v>326</v>
      </c>
      <c r="U356">
        <v>45398</v>
      </c>
      <c r="V356">
        <v>6</v>
      </c>
      <c r="W356">
        <f>MONTH(T356)</f>
        <v>3</v>
      </c>
      <c r="X356">
        <f>YEAR(T356)</f>
        <v>2024</v>
      </c>
      <c r="Y356" s="26" t="str">
        <f>X356&amp;"-"&amp;W356</f>
        <v>2024-3</v>
      </c>
    </row>
    <row r="357" spans="18:25" x14ac:dyDescent="0.25">
      <c r="R357" t="s">
        <v>45</v>
      </c>
      <c r="S357" t="s">
        <v>53</v>
      </c>
      <c r="T357" t="s">
        <v>330</v>
      </c>
      <c r="U357">
        <v>81308</v>
      </c>
      <c r="V357">
        <v>3</v>
      </c>
      <c r="W357">
        <f>MONTH(T357)</f>
        <v>3</v>
      </c>
      <c r="X357">
        <f>YEAR(T357)</f>
        <v>2024</v>
      </c>
      <c r="Y357" s="26" t="str">
        <f>X357&amp;"-"&amp;W357</f>
        <v>2024-3</v>
      </c>
    </row>
    <row r="358" spans="18:25" x14ac:dyDescent="0.25">
      <c r="R358" t="s">
        <v>45</v>
      </c>
      <c r="S358" t="s">
        <v>338</v>
      </c>
      <c r="T358" t="s">
        <v>337</v>
      </c>
      <c r="U358">
        <v>60537</v>
      </c>
      <c r="V358">
        <v>1</v>
      </c>
      <c r="W358">
        <f>MONTH(T358)</f>
        <v>3</v>
      </c>
      <c r="X358">
        <f>YEAR(T358)</f>
        <v>2024</v>
      </c>
      <c r="Y358" s="26" t="str">
        <f>X358&amp;"-"&amp;W358</f>
        <v>2024-3</v>
      </c>
    </row>
    <row r="359" spans="18:25" x14ac:dyDescent="0.25">
      <c r="R359" t="s">
        <v>45</v>
      </c>
      <c r="S359" t="s">
        <v>111</v>
      </c>
      <c r="T359" t="s">
        <v>350</v>
      </c>
      <c r="U359">
        <v>26677</v>
      </c>
      <c r="V359">
        <v>4</v>
      </c>
      <c r="W359">
        <f>MONTH(T359)</f>
        <v>4</v>
      </c>
      <c r="X359">
        <f>YEAR(T359)</f>
        <v>2024</v>
      </c>
      <c r="Y359" s="26" t="str">
        <f>X359&amp;"-"&amp;W359</f>
        <v>2024-4</v>
      </c>
    </row>
    <row r="360" spans="18:25" x14ac:dyDescent="0.25">
      <c r="R360" t="s">
        <v>45</v>
      </c>
      <c r="S360" t="s">
        <v>248</v>
      </c>
      <c r="T360" t="s">
        <v>350</v>
      </c>
      <c r="U360">
        <v>85915</v>
      </c>
      <c r="V360">
        <v>4</v>
      </c>
      <c r="W360">
        <f>MONTH(T360)</f>
        <v>4</v>
      </c>
      <c r="X360">
        <f>YEAR(T360)</f>
        <v>2024</v>
      </c>
      <c r="Y360" s="26" t="str">
        <f>X360&amp;"-"&amp;W360</f>
        <v>2024-4</v>
      </c>
    </row>
    <row r="361" spans="18:25" x14ac:dyDescent="0.25">
      <c r="R361" t="s">
        <v>45</v>
      </c>
      <c r="S361" t="s">
        <v>24</v>
      </c>
      <c r="T361" t="s">
        <v>358</v>
      </c>
      <c r="U361">
        <v>42483</v>
      </c>
      <c r="V361">
        <v>6</v>
      </c>
      <c r="W361">
        <f>MONTH(T361)</f>
        <v>4</v>
      </c>
      <c r="X361">
        <f>YEAR(T361)</f>
        <v>2024</v>
      </c>
      <c r="Y361" s="26" t="str">
        <f>X361&amp;"-"&amp;W361</f>
        <v>2024-4</v>
      </c>
    </row>
    <row r="362" spans="18:25" x14ac:dyDescent="0.25">
      <c r="R362" t="s">
        <v>45</v>
      </c>
      <c r="S362" t="s">
        <v>233</v>
      </c>
      <c r="T362" t="s">
        <v>365</v>
      </c>
      <c r="U362">
        <v>76054</v>
      </c>
      <c r="V362">
        <v>8</v>
      </c>
      <c r="W362">
        <f>MONTH(T362)</f>
        <v>4</v>
      </c>
      <c r="X362">
        <f>YEAR(T362)</f>
        <v>2024</v>
      </c>
      <c r="Y362" s="26" t="str">
        <f>X362&amp;"-"&amp;W362</f>
        <v>2024-4</v>
      </c>
    </row>
    <row r="363" spans="18:25" x14ac:dyDescent="0.25">
      <c r="R363" t="s">
        <v>45</v>
      </c>
      <c r="S363" t="s">
        <v>267</v>
      </c>
      <c r="T363" t="s">
        <v>370</v>
      </c>
      <c r="U363">
        <v>36092</v>
      </c>
      <c r="V363">
        <v>8</v>
      </c>
      <c r="W363">
        <f>MONTH(T363)</f>
        <v>5</v>
      </c>
      <c r="X363">
        <f>YEAR(T363)</f>
        <v>2024</v>
      </c>
      <c r="Y363" s="26" t="str">
        <f>X363&amp;"-"&amp;W363</f>
        <v>2024-5</v>
      </c>
    </row>
    <row r="364" spans="18:25" x14ac:dyDescent="0.25">
      <c r="R364" t="s">
        <v>45</v>
      </c>
      <c r="S364" t="s">
        <v>247</v>
      </c>
      <c r="T364" t="s">
        <v>371</v>
      </c>
      <c r="U364">
        <v>68160</v>
      </c>
      <c r="V364">
        <v>7</v>
      </c>
      <c r="W364">
        <f>MONTH(T364)</f>
        <v>5</v>
      </c>
      <c r="X364">
        <f>YEAR(T364)</f>
        <v>2024</v>
      </c>
      <c r="Y364" s="26" t="str">
        <f>X364&amp;"-"&amp;W364</f>
        <v>2024-5</v>
      </c>
    </row>
    <row r="365" spans="18:25" x14ac:dyDescent="0.25">
      <c r="R365" t="s">
        <v>45</v>
      </c>
      <c r="S365" t="s">
        <v>264</v>
      </c>
      <c r="T365" t="s">
        <v>373</v>
      </c>
      <c r="U365">
        <v>50335</v>
      </c>
      <c r="V365">
        <v>10</v>
      </c>
      <c r="W365">
        <f>MONTH(T365)</f>
        <v>5</v>
      </c>
      <c r="X365">
        <f>YEAR(T365)</f>
        <v>2024</v>
      </c>
      <c r="Y365" s="26" t="str">
        <f>X365&amp;"-"&amp;W365</f>
        <v>2024-5</v>
      </c>
    </row>
    <row r="366" spans="18:25" x14ac:dyDescent="0.25">
      <c r="R366" t="s">
        <v>45</v>
      </c>
      <c r="S366" t="s">
        <v>332</v>
      </c>
      <c r="T366" t="s">
        <v>377</v>
      </c>
      <c r="U366">
        <v>32540</v>
      </c>
      <c r="V366">
        <v>0</v>
      </c>
      <c r="W366">
        <f>MONTH(T366)</f>
        <v>5</v>
      </c>
      <c r="X366">
        <f>YEAR(T366)</f>
        <v>2024</v>
      </c>
      <c r="Y366" s="26" t="str">
        <f>X366&amp;"-"&amp;W366</f>
        <v>2024-5</v>
      </c>
    </row>
    <row r="367" spans="18:25" x14ac:dyDescent="0.25">
      <c r="R367" t="s">
        <v>45</v>
      </c>
      <c r="S367" t="s">
        <v>142</v>
      </c>
      <c r="T367" t="s">
        <v>383</v>
      </c>
      <c r="U367">
        <v>25047</v>
      </c>
      <c r="V367">
        <v>9</v>
      </c>
      <c r="W367">
        <f>MONTH(T367)</f>
        <v>5</v>
      </c>
      <c r="X367">
        <f>YEAR(T367)</f>
        <v>2024</v>
      </c>
      <c r="Y367" s="26" t="str">
        <f>X367&amp;"-"&amp;W367</f>
        <v>2024-5</v>
      </c>
    </row>
    <row r="368" spans="18:25" x14ac:dyDescent="0.25">
      <c r="R368" t="s">
        <v>45</v>
      </c>
      <c r="S368" t="s">
        <v>26</v>
      </c>
      <c r="T368" t="s">
        <v>383</v>
      </c>
      <c r="U368">
        <v>38601</v>
      </c>
      <c r="V368">
        <v>7</v>
      </c>
      <c r="W368">
        <f>MONTH(T368)</f>
        <v>5</v>
      </c>
      <c r="X368">
        <f>YEAR(T368)</f>
        <v>2024</v>
      </c>
      <c r="Y368" s="26" t="str">
        <f>X368&amp;"-"&amp;W368</f>
        <v>2024-5</v>
      </c>
    </row>
    <row r="369" spans="18:25" x14ac:dyDescent="0.25">
      <c r="R369" t="s">
        <v>45</v>
      </c>
      <c r="S369" t="s">
        <v>206</v>
      </c>
      <c r="T369" t="s">
        <v>383</v>
      </c>
      <c r="U369">
        <v>40768</v>
      </c>
      <c r="V369">
        <v>2</v>
      </c>
      <c r="W369">
        <f>MONTH(T369)</f>
        <v>5</v>
      </c>
      <c r="X369">
        <f>YEAR(T369)</f>
        <v>2024</v>
      </c>
      <c r="Y369" s="26" t="str">
        <f>X369&amp;"-"&amp;W369</f>
        <v>2024-5</v>
      </c>
    </row>
    <row r="370" spans="18:25" x14ac:dyDescent="0.25">
      <c r="R370" t="s">
        <v>45</v>
      </c>
      <c r="S370" t="s">
        <v>99</v>
      </c>
      <c r="T370" t="s">
        <v>386</v>
      </c>
      <c r="U370">
        <v>12347</v>
      </c>
      <c r="V370">
        <v>5</v>
      </c>
      <c r="W370">
        <f>MONTH(T370)</f>
        <v>5</v>
      </c>
      <c r="X370">
        <f>YEAR(T370)</f>
        <v>2024</v>
      </c>
      <c r="Y370" s="26" t="str">
        <f>X370&amp;"-"&amp;W370</f>
        <v>2024-5</v>
      </c>
    </row>
    <row r="371" spans="18:25" x14ac:dyDescent="0.25">
      <c r="R371" t="s">
        <v>45</v>
      </c>
      <c r="S371" t="s">
        <v>219</v>
      </c>
      <c r="T371" t="s">
        <v>388</v>
      </c>
      <c r="U371">
        <v>66817</v>
      </c>
      <c r="V371">
        <v>8</v>
      </c>
      <c r="W371">
        <f>MONTH(T371)</f>
        <v>5</v>
      </c>
      <c r="X371">
        <f>YEAR(T371)</f>
        <v>2024</v>
      </c>
      <c r="Y371" s="26" t="str">
        <f>X371&amp;"-"&amp;W371</f>
        <v>2024-5</v>
      </c>
    </row>
    <row r="372" spans="18:25" x14ac:dyDescent="0.25">
      <c r="R372" t="s">
        <v>45</v>
      </c>
      <c r="S372" t="s">
        <v>26</v>
      </c>
      <c r="T372" t="s">
        <v>389</v>
      </c>
      <c r="U372">
        <v>18871</v>
      </c>
      <c r="V372">
        <v>10</v>
      </c>
      <c r="W372">
        <f>MONTH(T372)</f>
        <v>5</v>
      </c>
      <c r="X372">
        <f>YEAR(T372)</f>
        <v>2024</v>
      </c>
      <c r="Y372" s="26" t="str">
        <f>X372&amp;"-"&amp;W372</f>
        <v>2024-5</v>
      </c>
    </row>
    <row r="373" spans="18:25" x14ac:dyDescent="0.25">
      <c r="R373" t="s">
        <v>45</v>
      </c>
      <c r="S373" t="s">
        <v>279</v>
      </c>
      <c r="T373" t="s">
        <v>394</v>
      </c>
      <c r="U373">
        <v>24731</v>
      </c>
      <c r="V373">
        <v>10</v>
      </c>
      <c r="W373">
        <f>MONTH(T373)</f>
        <v>6</v>
      </c>
      <c r="X373">
        <f>YEAR(T373)</f>
        <v>2024</v>
      </c>
      <c r="Y373" s="26" t="str">
        <f>X373&amp;"-"&amp;W373</f>
        <v>2024-6</v>
      </c>
    </row>
    <row r="374" spans="18:25" x14ac:dyDescent="0.25">
      <c r="R374" t="s">
        <v>45</v>
      </c>
      <c r="S374" t="s">
        <v>209</v>
      </c>
      <c r="T374" t="s">
        <v>394</v>
      </c>
      <c r="U374">
        <v>34578</v>
      </c>
      <c r="V374">
        <v>0</v>
      </c>
      <c r="W374">
        <f>MONTH(T374)</f>
        <v>6</v>
      </c>
      <c r="X374">
        <f>YEAR(T374)</f>
        <v>2024</v>
      </c>
      <c r="Y374" s="26" t="str">
        <f>X374&amp;"-"&amp;W374</f>
        <v>2024-6</v>
      </c>
    </row>
    <row r="375" spans="18:25" x14ac:dyDescent="0.25">
      <c r="R375" t="s">
        <v>45</v>
      </c>
      <c r="S375" t="s">
        <v>142</v>
      </c>
      <c r="T375" t="s">
        <v>397</v>
      </c>
      <c r="U375">
        <v>98077</v>
      </c>
      <c r="V375">
        <v>5</v>
      </c>
      <c r="W375">
        <f>MONTH(T375)</f>
        <v>6</v>
      </c>
      <c r="X375">
        <f>YEAR(T375)</f>
        <v>2024</v>
      </c>
      <c r="Y375" s="26" t="str">
        <f>X375&amp;"-"&amp;W375</f>
        <v>2024-6</v>
      </c>
    </row>
    <row r="376" spans="18:25" x14ac:dyDescent="0.25">
      <c r="R376" t="s">
        <v>45</v>
      </c>
      <c r="S376" t="s">
        <v>46</v>
      </c>
      <c r="T376" t="s">
        <v>400</v>
      </c>
      <c r="U376">
        <v>91973</v>
      </c>
      <c r="V376">
        <v>9</v>
      </c>
      <c r="W376">
        <f>MONTH(T376)</f>
        <v>6</v>
      </c>
      <c r="X376">
        <f>YEAR(T376)</f>
        <v>2024</v>
      </c>
      <c r="Y376" s="26" t="str">
        <f>X376&amp;"-"&amp;W376</f>
        <v>2024-6</v>
      </c>
    </row>
    <row r="377" spans="18:25" x14ac:dyDescent="0.25">
      <c r="R377" t="s">
        <v>45</v>
      </c>
      <c r="S377" t="s">
        <v>73</v>
      </c>
      <c r="T377" t="s">
        <v>403</v>
      </c>
      <c r="U377">
        <v>17538</v>
      </c>
      <c r="V377">
        <v>2</v>
      </c>
      <c r="W377">
        <f>MONTH(T377)</f>
        <v>6</v>
      </c>
      <c r="X377">
        <f>YEAR(T377)</f>
        <v>2024</v>
      </c>
      <c r="Y377" s="26" t="str">
        <f>X377&amp;"-"&amp;W377</f>
        <v>2024-6</v>
      </c>
    </row>
    <row r="378" spans="18:25" x14ac:dyDescent="0.25">
      <c r="R378" t="s">
        <v>45</v>
      </c>
      <c r="S378" t="s">
        <v>26</v>
      </c>
      <c r="T378" t="s">
        <v>405</v>
      </c>
      <c r="U378">
        <v>13816</v>
      </c>
      <c r="V378">
        <v>8</v>
      </c>
      <c r="W378">
        <f>MONTH(T378)</f>
        <v>6</v>
      </c>
      <c r="X378">
        <f>YEAR(T378)</f>
        <v>2024</v>
      </c>
      <c r="Y378" s="26" t="str">
        <f>X378&amp;"-"&amp;W378</f>
        <v>2024-6</v>
      </c>
    </row>
    <row r="379" spans="18:25" x14ac:dyDescent="0.25">
      <c r="R379" t="s">
        <v>45</v>
      </c>
      <c r="S379" t="s">
        <v>46</v>
      </c>
      <c r="T379" t="s">
        <v>405</v>
      </c>
      <c r="U379">
        <v>39417</v>
      </c>
      <c r="V379">
        <v>0</v>
      </c>
      <c r="W379">
        <f>MONTH(T379)</f>
        <v>6</v>
      </c>
      <c r="X379">
        <f>YEAR(T379)</f>
        <v>2024</v>
      </c>
      <c r="Y379" s="26" t="str">
        <f>X379&amp;"-"&amp;W379</f>
        <v>2024-6</v>
      </c>
    </row>
    <row r="380" spans="18:25" x14ac:dyDescent="0.25">
      <c r="R380" t="s">
        <v>45</v>
      </c>
      <c r="S380" t="s">
        <v>119</v>
      </c>
      <c r="T380" t="s">
        <v>406</v>
      </c>
      <c r="U380">
        <v>94535</v>
      </c>
      <c r="V380">
        <v>9</v>
      </c>
      <c r="W380">
        <f>MONTH(T380)</f>
        <v>6</v>
      </c>
      <c r="X380">
        <f>YEAR(T380)</f>
        <v>2024</v>
      </c>
      <c r="Y380" s="26" t="str">
        <f>X380&amp;"-"&amp;W380</f>
        <v>2024-6</v>
      </c>
    </row>
    <row r="381" spans="18:25" x14ac:dyDescent="0.25">
      <c r="R381" t="s">
        <v>45</v>
      </c>
      <c r="S381" t="s">
        <v>28</v>
      </c>
      <c r="T381" t="s">
        <v>408</v>
      </c>
      <c r="U381">
        <v>32941</v>
      </c>
      <c r="V381">
        <v>8</v>
      </c>
      <c r="W381">
        <f>MONTH(T381)</f>
        <v>6</v>
      </c>
      <c r="X381">
        <f>YEAR(T381)</f>
        <v>2024</v>
      </c>
      <c r="Y381" s="26" t="str">
        <f>X381&amp;"-"&amp;W381</f>
        <v>2024-6</v>
      </c>
    </row>
    <row r="382" spans="18:25" x14ac:dyDescent="0.25">
      <c r="R382" t="s">
        <v>45</v>
      </c>
      <c r="S382" t="s">
        <v>105</v>
      </c>
      <c r="T382" t="s">
        <v>415</v>
      </c>
      <c r="U382">
        <v>32727</v>
      </c>
      <c r="V382">
        <v>8</v>
      </c>
      <c r="W382">
        <f>MONTH(T382)</f>
        <v>7</v>
      </c>
      <c r="X382">
        <f>YEAR(T382)</f>
        <v>2024</v>
      </c>
      <c r="Y382" s="26" t="str">
        <f>X382&amp;"-"&amp;W382</f>
        <v>2024-7</v>
      </c>
    </row>
    <row r="383" spans="18:25" x14ac:dyDescent="0.25">
      <c r="R383" t="s">
        <v>45</v>
      </c>
      <c r="S383" t="s">
        <v>338</v>
      </c>
      <c r="T383" t="s">
        <v>416</v>
      </c>
      <c r="U383">
        <v>88832</v>
      </c>
      <c r="V383">
        <v>4</v>
      </c>
      <c r="W383">
        <f>MONTH(T383)</f>
        <v>7</v>
      </c>
      <c r="X383">
        <f>YEAR(T383)</f>
        <v>2024</v>
      </c>
      <c r="Y383" s="26" t="str">
        <f>X383&amp;"-"&amp;W383</f>
        <v>2024-7</v>
      </c>
    </row>
    <row r="384" spans="18:25" x14ac:dyDescent="0.25">
      <c r="R384" t="s">
        <v>45</v>
      </c>
      <c r="S384" t="s">
        <v>6</v>
      </c>
      <c r="T384" t="s">
        <v>420</v>
      </c>
      <c r="U384">
        <v>96631</v>
      </c>
      <c r="V384">
        <v>5</v>
      </c>
      <c r="W384">
        <f>MONTH(T384)</f>
        <v>7</v>
      </c>
      <c r="X384">
        <f>YEAR(T384)</f>
        <v>2024</v>
      </c>
      <c r="Y384" s="26" t="str">
        <f>X384&amp;"-"&amp;W384</f>
        <v>2024-7</v>
      </c>
    </row>
    <row r="385" spans="18:25" x14ac:dyDescent="0.25">
      <c r="R385" t="s">
        <v>45</v>
      </c>
      <c r="S385" t="s">
        <v>146</v>
      </c>
      <c r="T385" t="s">
        <v>420</v>
      </c>
      <c r="U385">
        <v>89522</v>
      </c>
      <c r="V385">
        <v>8</v>
      </c>
      <c r="W385">
        <f>MONTH(T385)</f>
        <v>7</v>
      </c>
      <c r="X385">
        <f>YEAR(T385)</f>
        <v>2024</v>
      </c>
      <c r="Y385" s="26" t="str">
        <f>X385&amp;"-"&amp;W385</f>
        <v>2024-7</v>
      </c>
    </row>
    <row r="386" spans="18:25" x14ac:dyDescent="0.25">
      <c r="R386" t="s">
        <v>45</v>
      </c>
      <c r="S386" t="s">
        <v>24</v>
      </c>
      <c r="T386" t="s">
        <v>427</v>
      </c>
      <c r="U386">
        <v>47472</v>
      </c>
      <c r="V386">
        <v>6</v>
      </c>
      <c r="W386">
        <f>MONTH(T386)</f>
        <v>7</v>
      </c>
      <c r="X386">
        <f>YEAR(T386)</f>
        <v>2024</v>
      </c>
      <c r="Y386" s="26" t="str">
        <f>X386&amp;"-"&amp;W386</f>
        <v>2024-7</v>
      </c>
    </row>
    <row r="387" spans="18:25" x14ac:dyDescent="0.25">
      <c r="R387" t="s">
        <v>45</v>
      </c>
      <c r="S387" t="s">
        <v>21</v>
      </c>
      <c r="T387" t="s">
        <v>427</v>
      </c>
      <c r="U387">
        <v>46387</v>
      </c>
      <c r="V387">
        <v>8</v>
      </c>
      <c r="W387">
        <f>MONTH(T387)</f>
        <v>7</v>
      </c>
      <c r="X387">
        <f>YEAR(T387)</f>
        <v>2024</v>
      </c>
      <c r="Y387" s="26" t="str">
        <f>X387&amp;"-"&amp;W387</f>
        <v>2024-7</v>
      </c>
    </row>
    <row r="388" spans="18:25" x14ac:dyDescent="0.25">
      <c r="R388" t="s">
        <v>45</v>
      </c>
      <c r="S388" t="s">
        <v>249</v>
      </c>
      <c r="T388" t="s">
        <v>433</v>
      </c>
      <c r="U388">
        <v>64643</v>
      </c>
      <c r="V388">
        <v>4</v>
      </c>
      <c r="W388">
        <f>MONTH(T388)</f>
        <v>7</v>
      </c>
      <c r="X388">
        <f>YEAR(T388)</f>
        <v>2024</v>
      </c>
      <c r="Y388" s="26" t="str">
        <f>X388&amp;"-"&amp;W388</f>
        <v>2024-7</v>
      </c>
    </row>
    <row r="389" spans="18:25" x14ac:dyDescent="0.25">
      <c r="R389" t="s">
        <v>45</v>
      </c>
      <c r="S389" t="s">
        <v>363</v>
      </c>
      <c r="T389" t="s">
        <v>436</v>
      </c>
      <c r="U389">
        <v>87516</v>
      </c>
      <c r="V389">
        <v>3</v>
      </c>
      <c r="W389">
        <f>MONTH(T389)</f>
        <v>7</v>
      </c>
      <c r="X389">
        <f>YEAR(T389)</f>
        <v>2024</v>
      </c>
      <c r="Y389" s="26" t="str">
        <f>X389&amp;"-"&amp;W389</f>
        <v>2024-7</v>
      </c>
    </row>
    <row r="390" spans="18:25" x14ac:dyDescent="0.25">
      <c r="R390" t="s">
        <v>45</v>
      </c>
      <c r="S390" t="s">
        <v>121</v>
      </c>
      <c r="T390" t="s">
        <v>437</v>
      </c>
      <c r="U390">
        <v>81674</v>
      </c>
      <c r="V390">
        <v>5</v>
      </c>
      <c r="W390">
        <f>MONTH(T390)</f>
        <v>7</v>
      </c>
      <c r="X390">
        <f>YEAR(T390)</f>
        <v>2024</v>
      </c>
      <c r="Y390" s="26" t="str">
        <f>X390&amp;"-"&amp;W390</f>
        <v>2024-7</v>
      </c>
    </row>
    <row r="391" spans="18:25" x14ac:dyDescent="0.25">
      <c r="R391" t="s">
        <v>45</v>
      </c>
      <c r="S391" t="s">
        <v>68</v>
      </c>
      <c r="T391" t="s">
        <v>439</v>
      </c>
      <c r="U391">
        <v>51432</v>
      </c>
      <c r="V391">
        <v>9</v>
      </c>
      <c r="W391">
        <f>MONTH(T391)</f>
        <v>8</v>
      </c>
      <c r="X391">
        <f>YEAR(T391)</f>
        <v>2024</v>
      </c>
      <c r="Y391" s="26" t="str">
        <f>X391&amp;"-"&amp;W391</f>
        <v>2024-8</v>
      </c>
    </row>
    <row r="392" spans="18:25" x14ac:dyDescent="0.25">
      <c r="R392" t="s">
        <v>45</v>
      </c>
      <c r="S392" t="s">
        <v>243</v>
      </c>
      <c r="T392" t="s">
        <v>442</v>
      </c>
      <c r="U392">
        <v>28200</v>
      </c>
      <c r="V392">
        <v>7</v>
      </c>
      <c r="W392">
        <f>MONTH(T392)</f>
        <v>8</v>
      </c>
      <c r="X392">
        <f>YEAR(T392)</f>
        <v>2024</v>
      </c>
      <c r="Y392" s="26" t="str">
        <f>X392&amp;"-"&amp;W392</f>
        <v>2024-8</v>
      </c>
    </row>
    <row r="393" spans="18:25" x14ac:dyDescent="0.25">
      <c r="R393" t="s">
        <v>45</v>
      </c>
      <c r="S393" t="s">
        <v>162</v>
      </c>
      <c r="T393" t="s">
        <v>442</v>
      </c>
      <c r="U393">
        <v>21888</v>
      </c>
      <c r="V393">
        <v>7</v>
      </c>
      <c r="W393">
        <f>MONTH(T393)</f>
        <v>8</v>
      </c>
      <c r="X393">
        <f>YEAR(T393)</f>
        <v>2024</v>
      </c>
      <c r="Y393" s="26" t="str">
        <f>X393&amp;"-"&amp;W393</f>
        <v>2024-8</v>
      </c>
    </row>
    <row r="394" spans="18:25" x14ac:dyDescent="0.25">
      <c r="R394" t="s">
        <v>45</v>
      </c>
      <c r="S394" t="s">
        <v>19</v>
      </c>
      <c r="T394" t="s">
        <v>445</v>
      </c>
      <c r="U394">
        <v>32646</v>
      </c>
      <c r="V394">
        <v>4</v>
      </c>
      <c r="W394">
        <f>MONTH(T394)</f>
        <v>8</v>
      </c>
      <c r="X394">
        <f>YEAR(T394)</f>
        <v>2024</v>
      </c>
      <c r="Y394" s="26" t="str">
        <f>X394&amp;"-"&amp;W394</f>
        <v>2024-8</v>
      </c>
    </row>
    <row r="395" spans="18:25" x14ac:dyDescent="0.25">
      <c r="R395" t="s">
        <v>45</v>
      </c>
      <c r="S395" t="s">
        <v>300</v>
      </c>
      <c r="T395" t="s">
        <v>449</v>
      </c>
      <c r="U395">
        <v>23931</v>
      </c>
      <c r="V395">
        <v>9</v>
      </c>
      <c r="W395">
        <f>MONTH(T395)</f>
        <v>8</v>
      </c>
      <c r="X395">
        <f>YEAR(T395)</f>
        <v>2024</v>
      </c>
      <c r="Y395" s="26" t="str">
        <f>X395&amp;"-"&amp;W395</f>
        <v>2024-8</v>
      </c>
    </row>
    <row r="396" spans="18:25" x14ac:dyDescent="0.25">
      <c r="R396" t="s">
        <v>45</v>
      </c>
      <c r="S396" t="s">
        <v>69</v>
      </c>
      <c r="T396" t="s">
        <v>455</v>
      </c>
      <c r="U396">
        <v>37012</v>
      </c>
      <c r="V396">
        <v>7</v>
      </c>
      <c r="W396">
        <f>MONTH(T396)</f>
        <v>8</v>
      </c>
      <c r="X396">
        <f>YEAR(T396)</f>
        <v>2024</v>
      </c>
      <c r="Y396" s="26" t="str">
        <f>X396&amp;"-"&amp;W396</f>
        <v>2024-8</v>
      </c>
    </row>
    <row r="397" spans="18:25" x14ac:dyDescent="0.25">
      <c r="R397" t="s">
        <v>45</v>
      </c>
      <c r="S397" t="s">
        <v>295</v>
      </c>
      <c r="T397" t="s">
        <v>456</v>
      </c>
      <c r="U397">
        <v>85767</v>
      </c>
      <c r="V397">
        <v>3</v>
      </c>
      <c r="W397">
        <f>MONTH(T397)</f>
        <v>8</v>
      </c>
      <c r="X397">
        <f>YEAR(T397)</f>
        <v>2024</v>
      </c>
      <c r="Y397" s="26" t="str">
        <f>X397&amp;"-"&amp;W397</f>
        <v>2024-8</v>
      </c>
    </row>
    <row r="398" spans="18:25" x14ac:dyDescent="0.25">
      <c r="R398" t="s">
        <v>45</v>
      </c>
      <c r="S398" t="s">
        <v>176</v>
      </c>
      <c r="T398" t="s">
        <v>457</v>
      </c>
      <c r="U398">
        <v>44261</v>
      </c>
      <c r="V398">
        <v>10</v>
      </c>
      <c r="W398">
        <f>MONTH(T398)</f>
        <v>8</v>
      </c>
      <c r="X398">
        <f>YEAR(T398)</f>
        <v>2024</v>
      </c>
      <c r="Y398" s="26" t="str">
        <f>X398&amp;"-"&amp;W398</f>
        <v>2024-8</v>
      </c>
    </row>
    <row r="399" spans="18:25" x14ac:dyDescent="0.25">
      <c r="R399" t="s">
        <v>45</v>
      </c>
      <c r="S399" t="s">
        <v>256</v>
      </c>
      <c r="T399" t="s">
        <v>458</v>
      </c>
      <c r="U399">
        <v>59038</v>
      </c>
      <c r="V399">
        <v>5</v>
      </c>
      <c r="W399">
        <f>MONTH(T399)</f>
        <v>8</v>
      </c>
      <c r="X399">
        <f>YEAR(T399)</f>
        <v>2024</v>
      </c>
      <c r="Y399" s="26" t="str">
        <f>X399&amp;"-"&amp;W399</f>
        <v>2024-8</v>
      </c>
    </row>
    <row r="400" spans="18:25" x14ac:dyDescent="0.25">
      <c r="R400" t="s">
        <v>45</v>
      </c>
      <c r="S400" t="s">
        <v>256</v>
      </c>
      <c r="T400" t="s">
        <v>461</v>
      </c>
      <c r="U400">
        <v>16834</v>
      </c>
      <c r="V400">
        <v>9</v>
      </c>
      <c r="W400">
        <f>MONTH(T400)</f>
        <v>9</v>
      </c>
      <c r="X400">
        <f>YEAR(T400)</f>
        <v>2024</v>
      </c>
      <c r="Y400" s="26" t="str">
        <f>X400&amp;"-"&amp;W400</f>
        <v>2024-9</v>
      </c>
    </row>
    <row r="401" spans="18:25" x14ac:dyDescent="0.25">
      <c r="R401" t="s">
        <v>47</v>
      </c>
      <c r="S401" t="s">
        <v>48</v>
      </c>
      <c r="T401" t="s">
        <v>44</v>
      </c>
      <c r="U401">
        <v>44279</v>
      </c>
      <c r="V401">
        <v>6</v>
      </c>
      <c r="W401">
        <f>MONTH(T401)</f>
        <v>9</v>
      </c>
      <c r="X401">
        <f>YEAR(T401)</f>
        <v>2023</v>
      </c>
      <c r="Y401" s="26" t="str">
        <f>X401&amp;"-"&amp;W401</f>
        <v>2023-9</v>
      </c>
    </row>
    <row r="402" spans="18:25" x14ac:dyDescent="0.25">
      <c r="R402" t="s">
        <v>47</v>
      </c>
      <c r="S402" t="s">
        <v>69</v>
      </c>
      <c r="T402" t="s">
        <v>62</v>
      </c>
      <c r="U402">
        <v>51661</v>
      </c>
      <c r="V402">
        <v>0</v>
      </c>
      <c r="W402">
        <f>MONTH(T402)</f>
        <v>9</v>
      </c>
      <c r="X402">
        <f>YEAR(T402)</f>
        <v>2023</v>
      </c>
      <c r="Y402" s="26" t="str">
        <f>X402&amp;"-"&amp;W402</f>
        <v>2023-9</v>
      </c>
    </row>
    <row r="403" spans="18:25" x14ac:dyDescent="0.25">
      <c r="R403" t="s">
        <v>47</v>
      </c>
      <c r="S403" t="s">
        <v>72</v>
      </c>
      <c r="T403" t="s">
        <v>71</v>
      </c>
      <c r="U403">
        <v>52590</v>
      </c>
      <c r="V403">
        <v>7</v>
      </c>
      <c r="W403">
        <f>MONTH(T403)</f>
        <v>9</v>
      </c>
      <c r="X403">
        <f>YEAR(T403)</f>
        <v>2023</v>
      </c>
      <c r="Y403" s="26" t="str">
        <f>X403&amp;"-"&amp;W403</f>
        <v>2023-9</v>
      </c>
    </row>
    <row r="404" spans="18:25" x14ac:dyDescent="0.25">
      <c r="R404" t="s">
        <v>47</v>
      </c>
      <c r="S404" t="s">
        <v>98</v>
      </c>
      <c r="T404" t="s">
        <v>97</v>
      </c>
      <c r="U404">
        <v>83123</v>
      </c>
      <c r="V404">
        <v>5</v>
      </c>
      <c r="W404">
        <f>MONTH(T404)</f>
        <v>9</v>
      </c>
      <c r="X404">
        <f>YEAR(T404)</f>
        <v>2023</v>
      </c>
      <c r="Y404" s="26" t="str">
        <f>X404&amp;"-"&amp;W404</f>
        <v>2023-9</v>
      </c>
    </row>
    <row r="405" spans="18:25" x14ac:dyDescent="0.25">
      <c r="R405" t="s">
        <v>47</v>
      </c>
      <c r="S405" t="s">
        <v>33</v>
      </c>
      <c r="T405" t="s">
        <v>120</v>
      </c>
      <c r="U405">
        <v>53115</v>
      </c>
      <c r="V405">
        <v>5</v>
      </c>
      <c r="W405">
        <f>MONTH(T405)</f>
        <v>10</v>
      </c>
      <c r="X405">
        <f>YEAR(T405)</f>
        <v>2023</v>
      </c>
      <c r="Y405" s="26" t="str">
        <f>X405&amp;"-"&amp;W405</f>
        <v>2023-10</v>
      </c>
    </row>
    <row r="406" spans="18:25" x14ac:dyDescent="0.25">
      <c r="R406" t="s">
        <v>47</v>
      </c>
      <c r="S406" t="s">
        <v>122</v>
      </c>
      <c r="T406" t="s">
        <v>120</v>
      </c>
      <c r="U406">
        <v>66929</v>
      </c>
      <c r="V406">
        <v>0</v>
      </c>
      <c r="W406">
        <f>MONTH(T406)</f>
        <v>10</v>
      </c>
      <c r="X406">
        <f>YEAR(T406)</f>
        <v>2023</v>
      </c>
      <c r="Y406" s="26" t="str">
        <f>X406&amp;"-"&amp;W406</f>
        <v>2023-10</v>
      </c>
    </row>
    <row r="407" spans="18:25" x14ac:dyDescent="0.25">
      <c r="R407" t="s">
        <v>47</v>
      </c>
      <c r="S407" t="s">
        <v>137</v>
      </c>
      <c r="T407" t="s">
        <v>138</v>
      </c>
      <c r="U407">
        <v>41243</v>
      </c>
      <c r="V407">
        <v>8</v>
      </c>
      <c r="W407">
        <f>MONTH(T407)</f>
        <v>10</v>
      </c>
      <c r="X407">
        <f>YEAR(T407)</f>
        <v>2023</v>
      </c>
      <c r="Y407" s="26" t="str">
        <f>X407&amp;"-"&amp;W407</f>
        <v>2023-10</v>
      </c>
    </row>
    <row r="408" spans="18:25" x14ac:dyDescent="0.25">
      <c r="R408" t="s">
        <v>47</v>
      </c>
      <c r="S408" t="s">
        <v>17</v>
      </c>
      <c r="T408" t="s">
        <v>145</v>
      </c>
      <c r="U408">
        <v>26509</v>
      </c>
      <c r="V408">
        <v>8</v>
      </c>
      <c r="W408">
        <f>MONTH(T408)</f>
        <v>10</v>
      </c>
      <c r="X408">
        <f>YEAR(T408)</f>
        <v>2023</v>
      </c>
      <c r="Y408" s="26" t="str">
        <f>X408&amp;"-"&amp;W408</f>
        <v>2023-10</v>
      </c>
    </row>
    <row r="409" spans="18:25" x14ac:dyDescent="0.25">
      <c r="R409" t="s">
        <v>47</v>
      </c>
      <c r="S409" t="s">
        <v>141</v>
      </c>
      <c r="T409" t="s">
        <v>147</v>
      </c>
      <c r="U409">
        <v>70043</v>
      </c>
      <c r="V409">
        <v>4</v>
      </c>
      <c r="W409">
        <f>MONTH(T409)</f>
        <v>10</v>
      </c>
      <c r="X409">
        <f>YEAR(T409)</f>
        <v>2023</v>
      </c>
      <c r="Y409" s="26" t="str">
        <f>X409&amp;"-"&amp;W409</f>
        <v>2023-10</v>
      </c>
    </row>
    <row r="410" spans="18:25" x14ac:dyDescent="0.25">
      <c r="R410" t="s">
        <v>47</v>
      </c>
      <c r="S410" t="s">
        <v>61</v>
      </c>
      <c r="T410" t="s">
        <v>147</v>
      </c>
      <c r="U410">
        <v>33287</v>
      </c>
      <c r="V410">
        <v>8</v>
      </c>
      <c r="W410">
        <f>MONTH(T410)</f>
        <v>10</v>
      </c>
      <c r="X410">
        <f>YEAR(T410)</f>
        <v>2023</v>
      </c>
      <c r="Y410" s="26" t="str">
        <f>X410&amp;"-"&amp;W410</f>
        <v>2023-10</v>
      </c>
    </row>
    <row r="411" spans="18:25" x14ac:dyDescent="0.25">
      <c r="R411" t="s">
        <v>47</v>
      </c>
      <c r="S411" t="s">
        <v>151</v>
      </c>
      <c r="T411" t="s">
        <v>150</v>
      </c>
      <c r="U411">
        <v>59277</v>
      </c>
      <c r="V411">
        <v>8</v>
      </c>
      <c r="W411">
        <f>MONTH(T411)</f>
        <v>10</v>
      </c>
      <c r="X411">
        <f>YEAR(T411)</f>
        <v>2023</v>
      </c>
      <c r="Y411" s="26" t="str">
        <f>X411&amp;"-"&amp;W411</f>
        <v>2023-10</v>
      </c>
    </row>
    <row r="412" spans="18:25" x14ac:dyDescent="0.25">
      <c r="R412" t="s">
        <v>47</v>
      </c>
      <c r="S412" t="s">
        <v>90</v>
      </c>
      <c r="T412" t="s">
        <v>154</v>
      </c>
      <c r="U412">
        <v>22343</v>
      </c>
      <c r="V412">
        <v>7</v>
      </c>
      <c r="W412">
        <f>MONTH(T412)</f>
        <v>10</v>
      </c>
      <c r="X412">
        <f>YEAR(T412)</f>
        <v>2023</v>
      </c>
      <c r="Y412" s="26" t="str">
        <f>X412&amp;"-"&amp;W412</f>
        <v>2023-10</v>
      </c>
    </row>
    <row r="413" spans="18:25" x14ac:dyDescent="0.25">
      <c r="R413" t="s">
        <v>47</v>
      </c>
      <c r="S413" t="s">
        <v>157</v>
      </c>
      <c r="T413" t="s">
        <v>154</v>
      </c>
      <c r="U413">
        <v>53176</v>
      </c>
      <c r="V413">
        <v>4</v>
      </c>
      <c r="W413">
        <f>MONTH(T413)</f>
        <v>10</v>
      </c>
      <c r="X413">
        <f>YEAR(T413)</f>
        <v>2023</v>
      </c>
      <c r="Y413" s="26" t="str">
        <f>X413&amp;"-"&amp;W413</f>
        <v>2023-10</v>
      </c>
    </row>
    <row r="414" spans="18:25" x14ac:dyDescent="0.25">
      <c r="R414" t="s">
        <v>47</v>
      </c>
      <c r="S414" t="s">
        <v>124</v>
      </c>
      <c r="T414" t="s">
        <v>168</v>
      </c>
      <c r="U414">
        <v>34428</v>
      </c>
      <c r="V414">
        <v>9</v>
      </c>
      <c r="W414">
        <f>MONTH(T414)</f>
        <v>10</v>
      </c>
      <c r="X414">
        <f>YEAR(T414)</f>
        <v>2023</v>
      </c>
      <c r="Y414" s="26" t="str">
        <f>X414&amp;"-"&amp;W414</f>
        <v>2023-10</v>
      </c>
    </row>
    <row r="415" spans="18:25" x14ac:dyDescent="0.25">
      <c r="R415" t="s">
        <v>47</v>
      </c>
      <c r="S415" t="s">
        <v>176</v>
      </c>
      <c r="T415" t="s">
        <v>175</v>
      </c>
      <c r="U415">
        <v>79297</v>
      </c>
      <c r="V415">
        <v>8</v>
      </c>
      <c r="W415">
        <f>MONTH(T415)</f>
        <v>11</v>
      </c>
      <c r="X415">
        <f>YEAR(T415)</f>
        <v>2023</v>
      </c>
      <c r="Y415" s="26" t="str">
        <f>X415&amp;"-"&amp;W415</f>
        <v>2023-11</v>
      </c>
    </row>
    <row r="416" spans="18:25" x14ac:dyDescent="0.25">
      <c r="R416" t="s">
        <v>47</v>
      </c>
      <c r="S416" t="s">
        <v>180</v>
      </c>
      <c r="T416" t="s">
        <v>179</v>
      </c>
      <c r="U416">
        <v>35741</v>
      </c>
      <c r="V416">
        <v>6</v>
      </c>
      <c r="W416">
        <f>MONTH(T416)</f>
        <v>11</v>
      </c>
      <c r="X416">
        <f>YEAR(T416)</f>
        <v>2023</v>
      </c>
      <c r="Y416" s="26" t="str">
        <f>X416&amp;"-"&amp;W416</f>
        <v>2023-11</v>
      </c>
    </row>
    <row r="417" spans="18:25" x14ac:dyDescent="0.25">
      <c r="R417" t="s">
        <v>47</v>
      </c>
      <c r="S417" t="s">
        <v>67</v>
      </c>
      <c r="T417" t="s">
        <v>199</v>
      </c>
      <c r="U417">
        <v>87171</v>
      </c>
      <c r="V417">
        <v>3</v>
      </c>
      <c r="W417">
        <f>MONTH(T417)</f>
        <v>11</v>
      </c>
      <c r="X417">
        <f>YEAR(T417)</f>
        <v>2023</v>
      </c>
      <c r="Y417" s="26" t="str">
        <f>X417&amp;"-"&amp;W417</f>
        <v>2023-11</v>
      </c>
    </row>
    <row r="418" spans="18:25" x14ac:dyDescent="0.25">
      <c r="R418" t="s">
        <v>47</v>
      </c>
      <c r="S418" t="s">
        <v>124</v>
      </c>
      <c r="T418" t="s">
        <v>208</v>
      </c>
      <c r="U418">
        <v>58212</v>
      </c>
      <c r="V418">
        <v>7</v>
      </c>
      <c r="W418">
        <f>MONTH(T418)</f>
        <v>11</v>
      </c>
      <c r="X418">
        <f>YEAR(T418)</f>
        <v>2023</v>
      </c>
      <c r="Y418" s="26" t="str">
        <f>X418&amp;"-"&amp;W418</f>
        <v>2023-11</v>
      </c>
    </row>
    <row r="419" spans="18:25" x14ac:dyDescent="0.25">
      <c r="R419" t="s">
        <v>47</v>
      </c>
      <c r="S419" t="s">
        <v>221</v>
      </c>
      <c r="T419" t="s">
        <v>222</v>
      </c>
      <c r="U419">
        <v>26654</v>
      </c>
      <c r="V419">
        <v>2</v>
      </c>
      <c r="W419">
        <f>MONTH(T419)</f>
        <v>12</v>
      </c>
      <c r="X419">
        <f>YEAR(T419)</f>
        <v>2023</v>
      </c>
      <c r="Y419" s="26" t="str">
        <f>X419&amp;"-"&amp;W419</f>
        <v>2023-12</v>
      </c>
    </row>
    <row r="420" spans="18:25" x14ac:dyDescent="0.25">
      <c r="R420" t="s">
        <v>47</v>
      </c>
      <c r="S420" t="s">
        <v>242</v>
      </c>
      <c r="T420" t="s">
        <v>241</v>
      </c>
      <c r="U420">
        <v>52464</v>
      </c>
      <c r="V420">
        <v>10</v>
      </c>
      <c r="W420">
        <f>MONTH(T420)</f>
        <v>12</v>
      </c>
      <c r="X420">
        <f>YEAR(T420)</f>
        <v>2023</v>
      </c>
      <c r="Y420" s="26" t="str">
        <f>X420&amp;"-"&amp;W420</f>
        <v>2023-12</v>
      </c>
    </row>
    <row r="421" spans="18:25" x14ac:dyDescent="0.25">
      <c r="R421" t="s">
        <v>47</v>
      </c>
      <c r="S421" t="s">
        <v>173</v>
      </c>
      <c r="T421" t="s">
        <v>245</v>
      </c>
      <c r="U421">
        <v>45691</v>
      </c>
      <c r="V421">
        <v>4</v>
      </c>
      <c r="W421">
        <f>MONTH(T421)</f>
        <v>12</v>
      </c>
      <c r="X421">
        <f>YEAR(T421)</f>
        <v>2023</v>
      </c>
      <c r="Y421" s="26" t="str">
        <f>X421&amp;"-"&amp;W421</f>
        <v>2023-12</v>
      </c>
    </row>
    <row r="422" spans="18:25" x14ac:dyDescent="0.25">
      <c r="R422" t="s">
        <v>47</v>
      </c>
      <c r="S422" t="s">
        <v>49</v>
      </c>
      <c r="T422" t="s">
        <v>251</v>
      </c>
      <c r="U422">
        <v>34564</v>
      </c>
      <c r="V422">
        <v>5</v>
      </c>
      <c r="W422">
        <f>MONTH(T422)</f>
        <v>12</v>
      </c>
      <c r="X422">
        <f>YEAR(T422)</f>
        <v>2023</v>
      </c>
      <c r="Y422" s="26" t="str">
        <f>X422&amp;"-"&amp;W422</f>
        <v>2023-12</v>
      </c>
    </row>
    <row r="423" spans="18:25" x14ac:dyDescent="0.25">
      <c r="R423" t="s">
        <v>47</v>
      </c>
      <c r="S423" t="s">
        <v>196</v>
      </c>
      <c r="T423" t="s">
        <v>254</v>
      </c>
      <c r="U423">
        <v>68591</v>
      </c>
      <c r="V423">
        <v>2</v>
      </c>
      <c r="W423">
        <f>MONTH(T423)</f>
        <v>12</v>
      </c>
      <c r="X423">
        <f>YEAR(T423)</f>
        <v>2023</v>
      </c>
      <c r="Y423" s="26" t="str">
        <f>X423&amp;"-"&amp;W423</f>
        <v>2023-12</v>
      </c>
    </row>
    <row r="424" spans="18:25" x14ac:dyDescent="0.25">
      <c r="R424" t="s">
        <v>47</v>
      </c>
      <c r="S424" t="s">
        <v>165</v>
      </c>
      <c r="T424" t="s">
        <v>257</v>
      </c>
      <c r="U424">
        <v>58872</v>
      </c>
      <c r="V424">
        <v>4</v>
      </c>
      <c r="W424">
        <f>MONTH(T424)</f>
        <v>1</v>
      </c>
      <c r="X424">
        <f>YEAR(T424)</f>
        <v>2024</v>
      </c>
      <c r="Y424" s="26" t="str">
        <f>X424&amp;"-"&amp;W424</f>
        <v>2024-1</v>
      </c>
    </row>
    <row r="425" spans="18:25" x14ac:dyDescent="0.25">
      <c r="R425" t="s">
        <v>47</v>
      </c>
      <c r="S425" t="s">
        <v>55</v>
      </c>
      <c r="T425" t="s">
        <v>261</v>
      </c>
      <c r="U425">
        <v>10386</v>
      </c>
      <c r="V425">
        <v>2</v>
      </c>
      <c r="W425">
        <f>MONTH(T425)</f>
        <v>1</v>
      </c>
      <c r="X425">
        <f>YEAR(T425)</f>
        <v>2024</v>
      </c>
      <c r="Y425" s="26" t="str">
        <f>X425&amp;"-"&amp;W425</f>
        <v>2024-1</v>
      </c>
    </row>
    <row r="426" spans="18:25" x14ac:dyDescent="0.25">
      <c r="R426" t="s">
        <v>47</v>
      </c>
      <c r="S426" t="s">
        <v>35</v>
      </c>
      <c r="T426" t="s">
        <v>261</v>
      </c>
      <c r="U426">
        <v>28776</v>
      </c>
      <c r="V426">
        <v>5</v>
      </c>
      <c r="W426">
        <f>MONTH(T426)</f>
        <v>1</v>
      </c>
      <c r="X426">
        <f>YEAR(T426)</f>
        <v>2024</v>
      </c>
      <c r="Y426" s="26" t="str">
        <f>X426&amp;"-"&amp;W426</f>
        <v>2024-1</v>
      </c>
    </row>
    <row r="427" spans="18:25" x14ac:dyDescent="0.25">
      <c r="R427" t="s">
        <v>47</v>
      </c>
      <c r="S427" t="s">
        <v>221</v>
      </c>
      <c r="T427" t="s">
        <v>262</v>
      </c>
      <c r="U427">
        <v>80684</v>
      </c>
      <c r="V427">
        <v>1</v>
      </c>
      <c r="W427">
        <f>MONTH(T427)</f>
        <v>1</v>
      </c>
      <c r="X427">
        <f>YEAR(T427)</f>
        <v>2024</v>
      </c>
      <c r="Y427" s="26" t="str">
        <f>X427&amp;"-"&amp;W427</f>
        <v>2024-1</v>
      </c>
    </row>
    <row r="428" spans="18:25" x14ac:dyDescent="0.25">
      <c r="R428" t="s">
        <v>47</v>
      </c>
      <c r="S428" t="s">
        <v>267</v>
      </c>
      <c r="T428" t="s">
        <v>268</v>
      </c>
      <c r="U428">
        <v>89270</v>
      </c>
      <c r="V428">
        <v>6</v>
      </c>
      <c r="W428">
        <f>MONTH(T428)</f>
        <v>1</v>
      </c>
      <c r="X428">
        <f>YEAR(T428)</f>
        <v>2024</v>
      </c>
      <c r="Y428" s="26" t="str">
        <f>X428&amp;"-"&amp;W428</f>
        <v>2024-1</v>
      </c>
    </row>
    <row r="429" spans="18:25" x14ac:dyDescent="0.25">
      <c r="R429" t="s">
        <v>47</v>
      </c>
      <c r="S429" t="s">
        <v>231</v>
      </c>
      <c r="T429" t="s">
        <v>271</v>
      </c>
      <c r="U429">
        <v>72214</v>
      </c>
      <c r="V429">
        <v>7</v>
      </c>
      <c r="W429">
        <f>MONTH(T429)</f>
        <v>1</v>
      </c>
      <c r="X429">
        <f>YEAR(T429)</f>
        <v>2024</v>
      </c>
      <c r="Y429" s="26" t="str">
        <f>X429&amp;"-"&amp;W429</f>
        <v>2024-1</v>
      </c>
    </row>
    <row r="430" spans="18:25" x14ac:dyDescent="0.25">
      <c r="R430" t="s">
        <v>47</v>
      </c>
      <c r="S430" t="s">
        <v>39</v>
      </c>
      <c r="T430" t="s">
        <v>271</v>
      </c>
      <c r="U430">
        <v>31258</v>
      </c>
      <c r="V430">
        <v>6</v>
      </c>
      <c r="W430">
        <f>MONTH(T430)</f>
        <v>1</v>
      </c>
      <c r="X430">
        <f>YEAR(T430)</f>
        <v>2024</v>
      </c>
      <c r="Y430" s="26" t="str">
        <f>X430&amp;"-"&amp;W430</f>
        <v>2024-1</v>
      </c>
    </row>
    <row r="431" spans="18:25" x14ac:dyDescent="0.25">
      <c r="R431" t="s">
        <v>47</v>
      </c>
      <c r="S431" t="s">
        <v>188</v>
      </c>
      <c r="T431" t="s">
        <v>273</v>
      </c>
      <c r="U431">
        <v>48980</v>
      </c>
      <c r="V431">
        <v>4</v>
      </c>
      <c r="W431">
        <f>MONTH(T431)</f>
        <v>1</v>
      </c>
      <c r="X431">
        <f>YEAR(T431)</f>
        <v>2024</v>
      </c>
      <c r="Y431" s="26" t="str">
        <f>X431&amp;"-"&amp;W431</f>
        <v>2024-1</v>
      </c>
    </row>
    <row r="432" spans="18:25" x14ac:dyDescent="0.25">
      <c r="R432" t="s">
        <v>47</v>
      </c>
      <c r="S432" t="s">
        <v>121</v>
      </c>
      <c r="T432" t="s">
        <v>278</v>
      </c>
      <c r="U432">
        <v>92039</v>
      </c>
      <c r="V432">
        <v>1</v>
      </c>
      <c r="W432">
        <f>MONTH(T432)</f>
        <v>1</v>
      </c>
      <c r="X432">
        <f>YEAR(T432)</f>
        <v>2024</v>
      </c>
      <c r="Y432" s="26" t="str">
        <f>X432&amp;"-"&amp;W432</f>
        <v>2024-1</v>
      </c>
    </row>
    <row r="433" spans="18:25" x14ac:dyDescent="0.25">
      <c r="R433" t="s">
        <v>47</v>
      </c>
      <c r="S433" t="s">
        <v>196</v>
      </c>
      <c r="T433" t="s">
        <v>288</v>
      </c>
      <c r="U433">
        <v>67921</v>
      </c>
      <c r="V433">
        <v>1</v>
      </c>
      <c r="W433">
        <f>MONTH(T433)</f>
        <v>2</v>
      </c>
      <c r="X433">
        <f>YEAR(T433)</f>
        <v>2024</v>
      </c>
      <c r="Y433" s="26" t="str">
        <f>X433&amp;"-"&amp;W433</f>
        <v>2024-2</v>
      </c>
    </row>
    <row r="434" spans="18:25" x14ac:dyDescent="0.25">
      <c r="R434" t="s">
        <v>47</v>
      </c>
      <c r="S434" t="s">
        <v>212</v>
      </c>
      <c r="T434" t="s">
        <v>288</v>
      </c>
      <c r="U434">
        <v>16657</v>
      </c>
      <c r="V434">
        <v>0</v>
      </c>
      <c r="W434">
        <f>MONTH(T434)</f>
        <v>2</v>
      </c>
      <c r="X434">
        <f>YEAR(T434)</f>
        <v>2024</v>
      </c>
      <c r="Y434" s="26" t="str">
        <f>X434&amp;"-"&amp;W434</f>
        <v>2024-2</v>
      </c>
    </row>
    <row r="435" spans="18:25" x14ac:dyDescent="0.25">
      <c r="R435" t="s">
        <v>47</v>
      </c>
      <c r="S435" t="s">
        <v>91</v>
      </c>
      <c r="T435" t="s">
        <v>290</v>
      </c>
      <c r="U435">
        <v>81580</v>
      </c>
      <c r="V435">
        <v>10</v>
      </c>
      <c r="W435">
        <f>MONTH(T435)</f>
        <v>2</v>
      </c>
      <c r="X435">
        <f>YEAR(T435)</f>
        <v>2024</v>
      </c>
      <c r="Y435" s="26" t="str">
        <f>X435&amp;"-"&amp;W435</f>
        <v>2024-2</v>
      </c>
    </row>
    <row r="436" spans="18:25" x14ac:dyDescent="0.25">
      <c r="R436" t="s">
        <v>47</v>
      </c>
      <c r="S436" t="s">
        <v>227</v>
      </c>
      <c r="T436" t="s">
        <v>294</v>
      </c>
      <c r="U436">
        <v>91164</v>
      </c>
      <c r="V436">
        <v>2</v>
      </c>
      <c r="W436">
        <f>MONTH(T436)</f>
        <v>2</v>
      </c>
      <c r="X436">
        <f>YEAR(T436)</f>
        <v>2024</v>
      </c>
      <c r="Y436" s="26" t="str">
        <f>X436&amp;"-"&amp;W436</f>
        <v>2024-2</v>
      </c>
    </row>
    <row r="437" spans="18:25" x14ac:dyDescent="0.25">
      <c r="R437" t="s">
        <v>47</v>
      </c>
      <c r="S437" t="s">
        <v>165</v>
      </c>
      <c r="T437" t="s">
        <v>297</v>
      </c>
      <c r="U437">
        <v>16533</v>
      </c>
      <c r="V437">
        <v>7</v>
      </c>
      <c r="W437">
        <f>MONTH(T437)</f>
        <v>2</v>
      </c>
      <c r="X437">
        <f>YEAR(T437)</f>
        <v>2024</v>
      </c>
      <c r="Y437" s="26" t="str">
        <f>X437&amp;"-"&amp;W437</f>
        <v>2024-2</v>
      </c>
    </row>
    <row r="438" spans="18:25" x14ac:dyDescent="0.25">
      <c r="R438" t="s">
        <v>47</v>
      </c>
      <c r="S438" t="s">
        <v>144</v>
      </c>
      <c r="T438" t="s">
        <v>302</v>
      </c>
      <c r="U438">
        <v>67868</v>
      </c>
      <c r="V438">
        <v>10</v>
      </c>
      <c r="W438">
        <f>MONTH(T438)</f>
        <v>2</v>
      </c>
      <c r="X438">
        <f>YEAR(T438)</f>
        <v>2024</v>
      </c>
      <c r="Y438" s="26" t="str">
        <f>X438&amp;"-"&amp;W438</f>
        <v>2024-2</v>
      </c>
    </row>
    <row r="439" spans="18:25" x14ac:dyDescent="0.25">
      <c r="R439" t="s">
        <v>47</v>
      </c>
      <c r="S439" t="s">
        <v>205</v>
      </c>
      <c r="T439" t="s">
        <v>305</v>
      </c>
      <c r="U439">
        <v>82369</v>
      </c>
      <c r="V439">
        <v>4</v>
      </c>
      <c r="W439">
        <f>MONTH(T439)</f>
        <v>2</v>
      </c>
      <c r="X439">
        <f>YEAR(T439)</f>
        <v>2024</v>
      </c>
      <c r="Y439" s="26" t="str">
        <f>X439&amp;"-"&amp;W439</f>
        <v>2024-2</v>
      </c>
    </row>
    <row r="440" spans="18:25" x14ac:dyDescent="0.25">
      <c r="R440" t="s">
        <v>47</v>
      </c>
      <c r="S440" t="s">
        <v>51</v>
      </c>
      <c r="T440" t="s">
        <v>305</v>
      </c>
      <c r="U440">
        <v>31744</v>
      </c>
      <c r="V440">
        <v>5</v>
      </c>
      <c r="W440">
        <f>MONTH(T440)</f>
        <v>2</v>
      </c>
      <c r="X440">
        <f>YEAR(T440)</f>
        <v>2024</v>
      </c>
      <c r="Y440" s="26" t="str">
        <f>X440&amp;"-"&amp;W440</f>
        <v>2024-2</v>
      </c>
    </row>
    <row r="441" spans="18:25" x14ac:dyDescent="0.25">
      <c r="R441" t="s">
        <v>47</v>
      </c>
      <c r="S441" t="s">
        <v>142</v>
      </c>
      <c r="T441" t="s">
        <v>311</v>
      </c>
      <c r="U441">
        <v>44459</v>
      </c>
      <c r="V441">
        <v>7</v>
      </c>
      <c r="W441">
        <f>MONTH(T441)</f>
        <v>2</v>
      </c>
      <c r="X441">
        <f>YEAR(T441)</f>
        <v>2024</v>
      </c>
      <c r="Y441" s="26" t="str">
        <f>X441&amp;"-"&amp;W441</f>
        <v>2024-2</v>
      </c>
    </row>
    <row r="442" spans="18:25" x14ac:dyDescent="0.25">
      <c r="R442" t="s">
        <v>47</v>
      </c>
      <c r="S442" t="s">
        <v>248</v>
      </c>
      <c r="T442" t="s">
        <v>318</v>
      </c>
      <c r="U442">
        <v>69122</v>
      </c>
      <c r="V442">
        <v>6</v>
      </c>
      <c r="W442">
        <f>MONTH(T442)</f>
        <v>3</v>
      </c>
      <c r="X442">
        <f>YEAR(T442)</f>
        <v>2024</v>
      </c>
      <c r="Y442" s="26" t="str">
        <f>X442&amp;"-"&amp;W442</f>
        <v>2024-3</v>
      </c>
    </row>
    <row r="443" spans="18:25" x14ac:dyDescent="0.25">
      <c r="R443" t="s">
        <v>47</v>
      </c>
      <c r="S443" t="s">
        <v>92</v>
      </c>
      <c r="T443" t="s">
        <v>318</v>
      </c>
      <c r="U443">
        <v>36924</v>
      </c>
      <c r="V443">
        <v>6</v>
      </c>
      <c r="W443">
        <f>MONTH(T443)</f>
        <v>3</v>
      </c>
      <c r="X443">
        <f>YEAR(T443)</f>
        <v>2024</v>
      </c>
      <c r="Y443" s="26" t="str">
        <f>X443&amp;"-"&amp;W443</f>
        <v>2024-3</v>
      </c>
    </row>
    <row r="444" spans="18:25" x14ac:dyDescent="0.25">
      <c r="R444" t="s">
        <v>47</v>
      </c>
      <c r="S444" t="s">
        <v>32</v>
      </c>
      <c r="T444" t="s">
        <v>320</v>
      </c>
      <c r="U444">
        <v>92782</v>
      </c>
      <c r="V444">
        <v>10</v>
      </c>
      <c r="W444">
        <f>MONTH(T444)</f>
        <v>3</v>
      </c>
      <c r="X444">
        <f>YEAR(T444)</f>
        <v>2024</v>
      </c>
      <c r="Y444" s="26" t="str">
        <f>X444&amp;"-"&amp;W444</f>
        <v>2024-3</v>
      </c>
    </row>
    <row r="445" spans="18:25" x14ac:dyDescent="0.25">
      <c r="R445" t="s">
        <v>47</v>
      </c>
      <c r="S445" t="s">
        <v>49</v>
      </c>
      <c r="T445" t="s">
        <v>326</v>
      </c>
      <c r="U445">
        <v>16470</v>
      </c>
      <c r="V445">
        <v>6</v>
      </c>
      <c r="W445">
        <f>MONTH(T445)</f>
        <v>3</v>
      </c>
      <c r="X445">
        <f>YEAR(T445)</f>
        <v>2024</v>
      </c>
      <c r="Y445" s="26" t="str">
        <f>X445&amp;"-"&amp;W445</f>
        <v>2024-3</v>
      </c>
    </row>
    <row r="446" spans="18:25" x14ac:dyDescent="0.25">
      <c r="R446" t="s">
        <v>47</v>
      </c>
      <c r="S446" t="s">
        <v>144</v>
      </c>
      <c r="T446" t="s">
        <v>330</v>
      </c>
      <c r="U446">
        <v>71200</v>
      </c>
      <c r="V446">
        <v>4</v>
      </c>
      <c r="W446">
        <f>MONTH(T446)</f>
        <v>3</v>
      </c>
      <c r="X446">
        <f>YEAR(T446)</f>
        <v>2024</v>
      </c>
      <c r="Y446" s="26" t="str">
        <f>X446&amp;"-"&amp;W446</f>
        <v>2024-3</v>
      </c>
    </row>
    <row r="447" spans="18:25" x14ac:dyDescent="0.25">
      <c r="R447" t="s">
        <v>47</v>
      </c>
      <c r="S447" t="s">
        <v>116</v>
      </c>
      <c r="T447" t="s">
        <v>340</v>
      </c>
      <c r="U447">
        <v>24987</v>
      </c>
      <c r="V447">
        <v>6</v>
      </c>
      <c r="W447">
        <f>MONTH(T447)</f>
        <v>3</v>
      </c>
      <c r="X447">
        <f>YEAR(T447)</f>
        <v>2024</v>
      </c>
      <c r="Y447" s="26" t="str">
        <f>X447&amp;"-"&amp;W447</f>
        <v>2024-3</v>
      </c>
    </row>
    <row r="448" spans="18:25" x14ac:dyDescent="0.25">
      <c r="R448" t="s">
        <v>47</v>
      </c>
      <c r="S448" t="s">
        <v>125</v>
      </c>
      <c r="T448" t="s">
        <v>343</v>
      </c>
      <c r="U448">
        <v>67209</v>
      </c>
      <c r="V448">
        <v>1</v>
      </c>
      <c r="W448">
        <f>MONTH(T448)</f>
        <v>4</v>
      </c>
      <c r="X448">
        <f>YEAR(T448)</f>
        <v>2024</v>
      </c>
      <c r="Y448" s="26" t="str">
        <f>X448&amp;"-"&amp;W448</f>
        <v>2024-4</v>
      </c>
    </row>
    <row r="449" spans="18:25" x14ac:dyDescent="0.25">
      <c r="R449" t="s">
        <v>47</v>
      </c>
      <c r="S449" t="s">
        <v>24</v>
      </c>
      <c r="T449" t="s">
        <v>343</v>
      </c>
      <c r="U449">
        <v>69737</v>
      </c>
      <c r="V449">
        <v>7</v>
      </c>
      <c r="W449">
        <f>MONTH(T449)</f>
        <v>4</v>
      </c>
      <c r="X449">
        <f>YEAR(T449)</f>
        <v>2024</v>
      </c>
      <c r="Y449" s="26" t="str">
        <f>X449&amp;"-"&amp;W449</f>
        <v>2024-4</v>
      </c>
    </row>
    <row r="450" spans="18:25" x14ac:dyDescent="0.25">
      <c r="R450" t="s">
        <v>47</v>
      </c>
      <c r="S450" t="s">
        <v>167</v>
      </c>
      <c r="T450" t="s">
        <v>347</v>
      </c>
      <c r="U450">
        <v>31835</v>
      </c>
      <c r="V450">
        <v>8</v>
      </c>
      <c r="W450">
        <f>MONTH(T450)</f>
        <v>4</v>
      </c>
      <c r="X450">
        <f>YEAR(T450)</f>
        <v>2024</v>
      </c>
      <c r="Y450" s="26" t="str">
        <f>X450&amp;"-"&amp;W450</f>
        <v>2024-4</v>
      </c>
    </row>
    <row r="451" spans="18:25" x14ac:dyDescent="0.25">
      <c r="R451" t="s">
        <v>47</v>
      </c>
      <c r="S451" t="s">
        <v>66</v>
      </c>
      <c r="T451" t="s">
        <v>350</v>
      </c>
      <c r="U451">
        <v>68581</v>
      </c>
      <c r="V451">
        <v>3</v>
      </c>
      <c r="W451">
        <f>MONTH(T451)</f>
        <v>4</v>
      </c>
      <c r="X451">
        <f>YEAR(T451)</f>
        <v>2024</v>
      </c>
      <c r="Y451" s="26" t="str">
        <f>X451&amp;"-"&amp;W451</f>
        <v>2024-4</v>
      </c>
    </row>
    <row r="452" spans="18:25" x14ac:dyDescent="0.25">
      <c r="R452" t="s">
        <v>47</v>
      </c>
      <c r="S452" t="s">
        <v>139</v>
      </c>
      <c r="T452" t="s">
        <v>357</v>
      </c>
      <c r="U452">
        <v>79747</v>
      </c>
      <c r="V452">
        <v>0</v>
      </c>
      <c r="W452">
        <f>MONTH(T452)</f>
        <v>4</v>
      </c>
      <c r="X452">
        <f>YEAR(T452)</f>
        <v>2024</v>
      </c>
      <c r="Y452" s="26" t="str">
        <f>X452&amp;"-"&amp;W452</f>
        <v>2024-4</v>
      </c>
    </row>
    <row r="453" spans="18:25" x14ac:dyDescent="0.25">
      <c r="R453" t="s">
        <v>47</v>
      </c>
      <c r="S453" t="s">
        <v>306</v>
      </c>
      <c r="T453" t="s">
        <v>360</v>
      </c>
      <c r="U453">
        <v>39797</v>
      </c>
      <c r="V453">
        <v>7</v>
      </c>
      <c r="W453">
        <f>MONTH(T453)</f>
        <v>4</v>
      </c>
      <c r="X453">
        <f>YEAR(T453)</f>
        <v>2024</v>
      </c>
      <c r="Y453" s="26" t="str">
        <f>X453&amp;"-"&amp;W453</f>
        <v>2024-4</v>
      </c>
    </row>
    <row r="454" spans="18:25" x14ac:dyDescent="0.25">
      <c r="R454" t="s">
        <v>47</v>
      </c>
      <c r="S454" t="s">
        <v>88</v>
      </c>
      <c r="T454" t="s">
        <v>361</v>
      </c>
      <c r="U454">
        <v>17185</v>
      </c>
      <c r="V454">
        <v>7</v>
      </c>
      <c r="W454">
        <f>MONTH(T454)</f>
        <v>4</v>
      </c>
      <c r="X454">
        <f>YEAR(T454)</f>
        <v>2024</v>
      </c>
      <c r="Y454" s="26" t="str">
        <f>X454&amp;"-"&amp;W454</f>
        <v>2024-4</v>
      </c>
    </row>
    <row r="455" spans="18:25" x14ac:dyDescent="0.25">
      <c r="R455" t="s">
        <v>47</v>
      </c>
      <c r="S455" t="s">
        <v>306</v>
      </c>
      <c r="T455" t="s">
        <v>362</v>
      </c>
      <c r="U455">
        <v>22193</v>
      </c>
      <c r="V455">
        <v>9</v>
      </c>
      <c r="W455">
        <f>MONTH(T455)</f>
        <v>4</v>
      </c>
      <c r="X455">
        <f>YEAR(T455)</f>
        <v>2024</v>
      </c>
      <c r="Y455" s="26" t="str">
        <f>X455&amp;"-"&amp;W455</f>
        <v>2024-4</v>
      </c>
    </row>
    <row r="456" spans="18:25" x14ac:dyDescent="0.25">
      <c r="R456" t="s">
        <v>47</v>
      </c>
      <c r="S456" t="s">
        <v>363</v>
      </c>
      <c r="T456" t="s">
        <v>364</v>
      </c>
      <c r="U456">
        <v>32289</v>
      </c>
      <c r="V456">
        <v>6</v>
      </c>
      <c r="W456">
        <f>MONTH(T456)</f>
        <v>4</v>
      </c>
      <c r="X456">
        <f>YEAR(T456)</f>
        <v>2024</v>
      </c>
      <c r="Y456" s="26" t="str">
        <f>X456&amp;"-"&amp;W456</f>
        <v>2024-4</v>
      </c>
    </row>
    <row r="457" spans="18:25" x14ac:dyDescent="0.25">
      <c r="R457" t="s">
        <v>47</v>
      </c>
      <c r="S457" t="s">
        <v>344</v>
      </c>
      <c r="T457" t="s">
        <v>369</v>
      </c>
      <c r="U457">
        <v>70255</v>
      </c>
      <c r="V457">
        <v>6</v>
      </c>
      <c r="W457">
        <f>MONTH(T457)</f>
        <v>5</v>
      </c>
      <c r="X457">
        <f>YEAR(T457)</f>
        <v>2024</v>
      </c>
      <c r="Y457" s="26" t="str">
        <f>X457&amp;"-"&amp;W457</f>
        <v>2024-5</v>
      </c>
    </row>
    <row r="458" spans="18:25" x14ac:dyDescent="0.25">
      <c r="R458" t="s">
        <v>47</v>
      </c>
      <c r="S458" t="s">
        <v>196</v>
      </c>
      <c r="T458" t="s">
        <v>379</v>
      </c>
      <c r="U458">
        <v>30243</v>
      </c>
      <c r="V458">
        <v>7</v>
      </c>
      <c r="W458">
        <f>MONTH(T458)</f>
        <v>5</v>
      </c>
      <c r="X458">
        <f>YEAR(T458)</f>
        <v>2024</v>
      </c>
      <c r="Y458" s="26" t="str">
        <f>X458&amp;"-"&amp;W458</f>
        <v>2024-5</v>
      </c>
    </row>
    <row r="459" spans="18:25" x14ac:dyDescent="0.25">
      <c r="R459" t="s">
        <v>47</v>
      </c>
      <c r="S459" t="s">
        <v>307</v>
      </c>
      <c r="T459" t="s">
        <v>381</v>
      </c>
      <c r="U459">
        <v>48631</v>
      </c>
      <c r="V459">
        <v>7</v>
      </c>
      <c r="W459">
        <f>MONTH(T459)</f>
        <v>5</v>
      </c>
      <c r="X459">
        <f>YEAR(T459)</f>
        <v>2024</v>
      </c>
      <c r="Y459" s="26" t="str">
        <f>X459&amp;"-"&amp;W459</f>
        <v>2024-5</v>
      </c>
    </row>
    <row r="460" spans="18:25" x14ac:dyDescent="0.25">
      <c r="R460" t="s">
        <v>47</v>
      </c>
      <c r="S460" t="s">
        <v>121</v>
      </c>
      <c r="T460" t="s">
        <v>389</v>
      </c>
      <c r="U460">
        <v>67529</v>
      </c>
      <c r="V460">
        <v>7</v>
      </c>
      <c r="W460">
        <f>MONTH(T460)</f>
        <v>5</v>
      </c>
      <c r="X460">
        <f>YEAR(T460)</f>
        <v>2024</v>
      </c>
      <c r="Y460" s="26" t="str">
        <f>X460&amp;"-"&amp;W460</f>
        <v>2024-5</v>
      </c>
    </row>
    <row r="461" spans="18:25" x14ac:dyDescent="0.25">
      <c r="R461" t="s">
        <v>47</v>
      </c>
      <c r="S461" t="s">
        <v>89</v>
      </c>
      <c r="T461" t="s">
        <v>392</v>
      </c>
      <c r="U461">
        <v>19641</v>
      </c>
      <c r="V461">
        <v>9</v>
      </c>
      <c r="W461">
        <f>MONTH(T461)</f>
        <v>5</v>
      </c>
      <c r="X461">
        <f>YEAR(T461)</f>
        <v>2024</v>
      </c>
      <c r="Y461" s="26" t="str">
        <f>X461&amp;"-"&amp;W461</f>
        <v>2024-5</v>
      </c>
    </row>
    <row r="462" spans="18:25" x14ac:dyDescent="0.25">
      <c r="R462" t="s">
        <v>47</v>
      </c>
      <c r="S462" t="s">
        <v>157</v>
      </c>
      <c r="T462" t="s">
        <v>396</v>
      </c>
      <c r="U462">
        <v>94796</v>
      </c>
      <c r="V462">
        <v>7</v>
      </c>
      <c r="W462">
        <f>MONTH(T462)</f>
        <v>6</v>
      </c>
      <c r="X462">
        <f>YEAR(T462)</f>
        <v>2024</v>
      </c>
      <c r="Y462" s="26" t="str">
        <f>X462&amp;"-"&amp;W462</f>
        <v>2024-6</v>
      </c>
    </row>
    <row r="463" spans="18:25" x14ac:dyDescent="0.25">
      <c r="R463" t="s">
        <v>47</v>
      </c>
      <c r="S463" t="s">
        <v>107</v>
      </c>
      <c r="T463" t="s">
        <v>397</v>
      </c>
      <c r="U463">
        <v>95450</v>
      </c>
      <c r="V463">
        <v>2</v>
      </c>
      <c r="W463">
        <f>MONTH(T463)</f>
        <v>6</v>
      </c>
      <c r="X463">
        <f>YEAR(T463)</f>
        <v>2024</v>
      </c>
      <c r="Y463" s="26" t="str">
        <f>X463&amp;"-"&amp;W463</f>
        <v>2024-6</v>
      </c>
    </row>
    <row r="464" spans="18:25" x14ac:dyDescent="0.25">
      <c r="R464" t="s">
        <v>47</v>
      </c>
      <c r="S464" t="s">
        <v>289</v>
      </c>
      <c r="T464" t="s">
        <v>398</v>
      </c>
      <c r="U464">
        <v>43456</v>
      </c>
      <c r="V464">
        <v>6</v>
      </c>
      <c r="W464">
        <f>MONTH(T464)</f>
        <v>6</v>
      </c>
      <c r="X464">
        <f>YEAR(T464)</f>
        <v>2024</v>
      </c>
      <c r="Y464" s="26" t="str">
        <f>X464&amp;"-"&amp;W464</f>
        <v>2024-6</v>
      </c>
    </row>
    <row r="465" spans="18:25" x14ac:dyDescent="0.25">
      <c r="R465" t="s">
        <v>47</v>
      </c>
      <c r="S465" t="s">
        <v>289</v>
      </c>
      <c r="T465" t="s">
        <v>399</v>
      </c>
      <c r="U465">
        <v>20854</v>
      </c>
      <c r="V465">
        <v>8</v>
      </c>
      <c r="W465">
        <f>MONTH(T465)</f>
        <v>6</v>
      </c>
      <c r="X465">
        <f>YEAR(T465)</f>
        <v>2024</v>
      </c>
      <c r="Y465" s="26" t="str">
        <f>X465&amp;"-"&amp;W465</f>
        <v>2024-6</v>
      </c>
    </row>
    <row r="466" spans="18:25" x14ac:dyDescent="0.25">
      <c r="R466" t="s">
        <v>47</v>
      </c>
      <c r="S466" t="s">
        <v>94</v>
      </c>
      <c r="T466" t="s">
        <v>400</v>
      </c>
      <c r="U466">
        <v>81835</v>
      </c>
      <c r="V466">
        <v>6</v>
      </c>
      <c r="W466">
        <f>MONTH(T466)</f>
        <v>6</v>
      </c>
      <c r="X466">
        <f>YEAR(T466)</f>
        <v>2024</v>
      </c>
      <c r="Y466" s="26" t="str">
        <f>X466&amp;"-"&amp;W466</f>
        <v>2024-6</v>
      </c>
    </row>
    <row r="467" spans="18:25" x14ac:dyDescent="0.25">
      <c r="R467" t="s">
        <v>47</v>
      </c>
      <c r="S467" t="s">
        <v>24</v>
      </c>
      <c r="T467" t="s">
        <v>400</v>
      </c>
      <c r="U467">
        <v>10639</v>
      </c>
      <c r="V467">
        <v>7</v>
      </c>
      <c r="W467">
        <f>MONTH(T467)</f>
        <v>6</v>
      </c>
      <c r="X467">
        <f>YEAR(T467)</f>
        <v>2024</v>
      </c>
      <c r="Y467" s="26" t="str">
        <f>X467&amp;"-"&amp;W467</f>
        <v>2024-6</v>
      </c>
    </row>
    <row r="468" spans="18:25" x14ac:dyDescent="0.25">
      <c r="R468" t="s">
        <v>47</v>
      </c>
      <c r="S468" t="s">
        <v>270</v>
      </c>
      <c r="T468" t="s">
        <v>400</v>
      </c>
      <c r="U468">
        <v>82789</v>
      </c>
      <c r="V468">
        <v>4</v>
      </c>
      <c r="W468">
        <f>MONTH(T468)</f>
        <v>6</v>
      </c>
      <c r="X468">
        <f>YEAR(T468)</f>
        <v>2024</v>
      </c>
      <c r="Y468" s="26" t="str">
        <f>X468&amp;"-"&amp;W468</f>
        <v>2024-6</v>
      </c>
    </row>
    <row r="469" spans="18:25" x14ac:dyDescent="0.25">
      <c r="R469" t="s">
        <v>47</v>
      </c>
      <c r="S469" t="s">
        <v>298</v>
      </c>
      <c r="T469" t="s">
        <v>404</v>
      </c>
      <c r="U469">
        <v>44978</v>
      </c>
      <c r="V469">
        <v>5</v>
      </c>
      <c r="W469">
        <f>MONTH(T469)</f>
        <v>6</v>
      </c>
      <c r="X469">
        <f>YEAR(T469)</f>
        <v>2024</v>
      </c>
      <c r="Y469" s="26" t="str">
        <f>X469&amp;"-"&amp;W469</f>
        <v>2024-6</v>
      </c>
    </row>
    <row r="470" spans="18:25" x14ac:dyDescent="0.25">
      <c r="R470" t="s">
        <v>47</v>
      </c>
      <c r="S470" t="s">
        <v>32</v>
      </c>
      <c r="T470" t="s">
        <v>404</v>
      </c>
      <c r="U470">
        <v>93394</v>
      </c>
      <c r="V470">
        <v>10</v>
      </c>
      <c r="W470">
        <f>MONTH(T470)</f>
        <v>6</v>
      </c>
      <c r="X470">
        <f>YEAR(T470)</f>
        <v>2024</v>
      </c>
      <c r="Y470" s="26" t="str">
        <f>X470&amp;"-"&amp;W470</f>
        <v>2024-6</v>
      </c>
    </row>
    <row r="471" spans="18:25" x14ac:dyDescent="0.25">
      <c r="R471" t="s">
        <v>47</v>
      </c>
      <c r="S471" t="s">
        <v>252</v>
      </c>
      <c r="T471" t="s">
        <v>405</v>
      </c>
      <c r="U471">
        <v>87870</v>
      </c>
      <c r="V471">
        <v>7</v>
      </c>
      <c r="W471">
        <f>MONTH(T471)</f>
        <v>6</v>
      </c>
      <c r="X471">
        <f>YEAR(T471)</f>
        <v>2024</v>
      </c>
      <c r="Y471" s="26" t="str">
        <f>X471&amp;"-"&amp;W471</f>
        <v>2024-6</v>
      </c>
    </row>
    <row r="472" spans="18:25" x14ac:dyDescent="0.25">
      <c r="R472" t="s">
        <v>47</v>
      </c>
      <c r="S472" t="s">
        <v>307</v>
      </c>
      <c r="T472" t="s">
        <v>413</v>
      </c>
      <c r="U472">
        <v>86620</v>
      </c>
      <c r="V472">
        <v>3</v>
      </c>
      <c r="W472">
        <f>MONTH(T472)</f>
        <v>6</v>
      </c>
      <c r="X472">
        <f>YEAR(T472)</f>
        <v>2024</v>
      </c>
      <c r="Y472" s="26" t="str">
        <f>X472&amp;"-"&amp;W472</f>
        <v>2024-6</v>
      </c>
    </row>
    <row r="473" spans="18:25" x14ac:dyDescent="0.25">
      <c r="R473" t="s">
        <v>47</v>
      </c>
      <c r="S473" t="s">
        <v>113</v>
      </c>
      <c r="T473" t="s">
        <v>420</v>
      </c>
      <c r="U473">
        <v>84721</v>
      </c>
      <c r="V473">
        <v>2</v>
      </c>
      <c r="W473">
        <f>MONTH(T473)</f>
        <v>7</v>
      </c>
      <c r="X473">
        <f>YEAR(T473)</f>
        <v>2024</v>
      </c>
      <c r="Y473" s="26" t="str">
        <f>X473&amp;"-"&amp;W473</f>
        <v>2024-7</v>
      </c>
    </row>
    <row r="474" spans="18:25" x14ac:dyDescent="0.25">
      <c r="R474" t="s">
        <v>47</v>
      </c>
      <c r="S474" t="s">
        <v>393</v>
      </c>
      <c r="T474" t="s">
        <v>427</v>
      </c>
      <c r="U474">
        <v>12947</v>
      </c>
      <c r="V474">
        <v>7</v>
      </c>
      <c r="W474">
        <f>MONTH(T474)</f>
        <v>7</v>
      </c>
      <c r="X474">
        <f>YEAR(T474)</f>
        <v>2024</v>
      </c>
      <c r="Y474" s="26" t="str">
        <f>X474&amp;"-"&amp;W474</f>
        <v>2024-7</v>
      </c>
    </row>
    <row r="475" spans="18:25" x14ac:dyDescent="0.25">
      <c r="R475" t="s">
        <v>47</v>
      </c>
      <c r="S475" t="s">
        <v>186</v>
      </c>
      <c r="T475" t="s">
        <v>435</v>
      </c>
      <c r="U475">
        <v>57063</v>
      </c>
      <c r="V475">
        <v>7</v>
      </c>
      <c r="W475">
        <f>MONTH(T475)</f>
        <v>7</v>
      </c>
      <c r="X475">
        <f>YEAR(T475)</f>
        <v>2024</v>
      </c>
      <c r="Y475" s="26" t="str">
        <f>X475&amp;"-"&amp;W475</f>
        <v>2024-7</v>
      </c>
    </row>
    <row r="476" spans="18:25" x14ac:dyDescent="0.25">
      <c r="R476" t="s">
        <v>47</v>
      </c>
      <c r="S476" t="s">
        <v>32</v>
      </c>
      <c r="T476" t="s">
        <v>435</v>
      </c>
      <c r="U476">
        <v>39709</v>
      </c>
      <c r="V476">
        <v>9</v>
      </c>
      <c r="W476">
        <f>MONTH(T476)</f>
        <v>7</v>
      </c>
      <c r="X476">
        <f>YEAR(T476)</f>
        <v>2024</v>
      </c>
      <c r="Y476" s="26" t="str">
        <f>X476&amp;"-"&amp;W476</f>
        <v>2024-7</v>
      </c>
    </row>
    <row r="477" spans="18:25" x14ac:dyDescent="0.25">
      <c r="R477" t="s">
        <v>47</v>
      </c>
      <c r="S477" t="s">
        <v>59</v>
      </c>
      <c r="T477" t="s">
        <v>436</v>
      </c>
      <c r="U477">
        <v>54125</v>
      </c>
      <c r="V477">
        <v>6</v>
      </c>
      <c r="W477">
        <f>MONTH(T477)</f>
        <v>7</v>
      </c>
      <c r="X477">
        <f>YEAR(T477)</f>
        <v>2024</v>
      </c>
      <c r="Y477" s="26" t="str">
        <f>X477&amp;"-"&amp;W477</f>
        <v>2024-7</v>
      </c>
    </row>
    <row r="478" spans="18:25" x14ac:dyDescent="0.25">
      <c r="R478" t="s">
        <v>47</v>
      </c>
      <c r="S478" t="s">
        <v>58</v>
      </c>
      <c r="T478" t="s">
        <v>440</v>
      </c>
      <c r="U478">
        <v>70276</v>
      </c>
      <c r="V478">
        <v>10</v>
      </c>
      <c r="W478">
        <f>MONTH(T478)</f>
        <v>8</v>
      </c>
      <c r="X478">
        <f>YEAR(T478)</f>
        <v>2024</v>
      </c>
      <c r="Y478" s="26" t="str">
        <f>X478&amp;"-"&amp;W478</f>
        <v>2024-8</v>
      </c>
    </row>
    <row r="479" spans="18:25" x14ac:dyDescent="0.25">
      <c r="R479" t="s">
        <v>47</v>
      </c>
      <c r="S479" t="s">
        <v>215</v>
      </c>
      <c r="T479" t="s">
        <v>441</v>
      </c>
      <c r="U479">
        <v>75579</v>
      </c>
      <c r="V479">
        <v>7</v>
      </c>
      <c r="W479">
        <f>MONTH(T479)</f>
        <v>8</v>
      </c>
      <c r="X479">
        <f>YEAR(T479)</f>
        <v>2024</v>
      </c>
      <c r="Y479" s="26" t="str">
        <f>X479&amp;"-"&amp;W479</f>
        <v>2024-8</v>
      </c>
    </row>
    <row r="480" spans="18:25" x14ac:dyDescent="0.25">
      <c r="R480" t="s">
        <v>47</v>
      </c>
      <c r="S480" t="s">
        <v>77</v>
      </c>
      <c r="T480" t="s">
        <v>441</v>
      </c>
      <c r="U480">
        <v>26177</v>
      </c>
      <c r="V480">
        <v>4</v>
      </c>
      <c r="W480">
        <f>MONTH(T480)</f>
        <v>8</v>
      </c>
      <c r="X480">
        <f>YEAR(T480)</f>
        <v>2024</v>
      </c>
      <c r="Y480" s="26" t="str">
        <f>X480&amp;"-"&amp;W480</f>
        <v>2024-8</v>
      </c>
    </row>
    <row r="481" spans="18:25" x14ac:dyDescent="0.25">
      <c r="R481" t="s">
        <v>47</v>
      </c>
      <c r="S481" t="s">
        <v>182</v>
      </c>
      <c r="T481" t="s">
        <v>451</v>
      </c>
      <c r="U481">
        <v>41449</v>
      </c>
      <c r="V481">
        <v>1</v>
      </c>
      <c r="W481">
        <f>MONTH(T481)</f>
        <v>8</v>
      </c>
      <c r="X481">
        <f>YEAR(T481)</f>
        <v>2024</v>
      </c>
      <c r="Y481" s="26" t="str">
        <f>X481&amp;"-"&amp;W481</f>
        <v>2024-8</v>
      </c>
    </row>
    <row r="482" spans="18:25" x14ac:dyDescent="0.25">
      <c r="R482" t="s">
        <v>47</v>
      </c>
      <c r="S482" t="s">
        <v>215</v>
      </c>
      <c r="T482" t="s">
        <v>452</v>
      </c>
      <c r="U482">
        <v>83992</v>
      </c>
      <c r="V482">
        <v>8</v>
      </c>
      <c r="W482">
        <f>MONTH(T482)</f>
        <v>8</v>
      </c>
      <c r="X482">
        <f>YEAR(T482)</f>
        <v>2024</v>
      </c>
      <c r="Y482" s="26" t="str">
        <f>X482&amp;"-"&amp;W482</f>
        <v>2024-8</v>
      </c>
    </row>
    <row r="483" spans="18:25" x14ac:dyDescent="0.25">
      <c r="R483" t="s">
        <v>47</v>
      </c>
      <c r="S483" t="s">
        <v>231</v>
      </c>
      <c r="T483" t="s">
        <v>454</v>
      </c>
      <c r="U483">
        <v>63302</v>
      </c>
      <c r="V483">
        <v>2</v>
      </c>
      <c r="W483">
        <f>MONTH(T483)</f>
        <v>8</v>
      </c>
      <c r="X483">
        <f>YEAR(T483)</f>
        <v>2024</v>
      </c>
      <c r="Y483" s="26" t="str">
        <f>X483&amp;"-"&amp;W483</f>
        <v>2024-8</v>
      </c>
    </row>
    <row r="484" spans="18:25" x14ac:dyDescent="0.25">
      <c r="R484" t="s">
        <v>47</v>
      </c>
      <c r="S484" t="s">
        <v>307</v>
      </c>
      <c r="T484" t="s">
        <v>454</v>
      </c>
      <c r="U484">
        <v>57491</v>
      </c>
      <c r="V484">
        <v>6</v>
      </c>
      <c r="W484">
        <f>MONTH(T484)</f>
        <v>8</v>
      </c>
      <c r="X484">
        <f>YEAR(T484)</f>
        <v>2024</v>
      </c>
      <c r="Y484" s="26" t="str">
        <f>X484&amp;"-"&amp;W484</f>
        <v>2024-8</v>
      </c>
    </row>
    <row r="485" spans="18:25" x14ac:dyDescent="0.25">
      <c r="R485" t="s">
        <v>47</v>
      </c>
      <c r="S485" t="s">
        <v>344</v>
      </c>
      <c r="T485" t="s">
        <v>456</v>
      </c>
      <c r="U485">
        <v>53461</v>
      </c>
      <c r="V485">
        <v>3</v>
      </c>
      <c r="W485">
        <f>MONTH(T485)</f>
        <v>8</v>
      </c>
      <c r="X485">
        <f>YEAR(T485)</f>
        <v>2024</v>
      </c>
      <c r="Y485" s="26" t="str">
        <f>X485&amp;"-"&amp;W485</f>
        <v>2024-8</v>
      </c>
    </row>
    <row r="486" spans="18:25" x14ac:dyDescent="0.25">
      <c r="R486" t="s">
        <v>18</v>
      </c>
      <c r="S486" t="s">
        <v>19</v>
      </c>
      <c r="T486" t="s">
        <v>12</v>
      </c>
      <c r="U486">
        <v>27772</v>
      </c>
      <c r="V486">
        <v>1</v>
      </c>
      <c r="W486">
        <f>MONTH(T486)</f>
        <v>9</v>
      </c>
      <c r="X486">
        <f>YEAR(T486)</f>
        <v>2023</v>
      </c>
      <c r="Y486" s="26" t="str">
        <f>X486&amp;"-"&amp;W486</f>
        <v>2023-9</v>
      </c>
    </row>
    <row r="487" spans="18:25" x14ac:dyDescent="0.25">
      <c r="R487" t="s">
        <v>18</v>
      </c>
      <c r="S487" t="s">
        <v>20</v>
      </c>
      <c r="T487" t="s">
        <v>12</v>
      </c>
      <c r="U487">
        <v>58246</v>
      </c>
      <c r="V487">
        <v>8</v>
      </c>
      <c r="W487">
        <f>MONTH(T487)</f>
        <v>9</v>
      </c>
      <c r="X487">
        <f>YEAR(T487)</f>
        <v>2023</v>
      </c>
      <c r="Y487" s="26" t="str">
        <f>X487&amp;"-"&amp;W487</f>
        <v>2023-9</v>
      </c>
    </row>
    <row r="488" spans="18:25" x14ac:dyDescent="0.25">
      <c r="R488" t="s">
        <v>18</v>
      </c>
      <c r="S488" t="s">
        <v>24</v>
      </c>
      <c r="T488" t="s">
        <v>23</v>
      </c>
      <c r="U488">
        <v>25078</v>
      </c>
      <c r="V488">
        <v>6</v>
      </c>
      <c r="W488">
        <f>MONTH(T488)</f>
        <v>9</v>
      </c>
      <c r="X488">
        <f>YEAR(T488)</f>
        <v>2023</v>
      </c>
      <c r="Y488" s="26" t="str">
        <f>X488&amp;"-"&amp;W488</f>
        <v>2023-9</v>
      </c>
    </row>
    <row r="489" spans="18:25" x14ac:dyDescent="0.25">
      <c r="R489" t="s">
        <v>18</v>
      </c>
      <c r="S489" t="s">
        <v>42</v>
      </c>
      <c r="T489" t="s">
        <v>40</v>
      </c>
      <c r="U489">
        <v>87820</v>
      </c>
      <c r="V489">
        <v>6</v>
      </c>
      <c r="W489">
        <f>MONTH(T489)</f>
        <v>9</v>
      </c>
      <c r="X489">
        <f>YEAR(T489)</f>
        <v>2023</v>
      </c>
      <c r="Y489" s="26" t="str">
        <f>X489&amp;"-"&amp;W489</f>
        <v>2023-9</v>
      </c>
    </row>
    <row r="490" spans="18:25" x14ac:dyDescent="0.25">
      <c r="R490" t="s">
        <v>18</v>
      </c>
      <c r="S490" t="s">
        <v>43</v>
      </c>
      <c r="T490" t="s">
        <v>44</v>
      </c>
      <c r="U490">
        <v>30927</v>
      </c>
      <c r="V490">
        <v>6</v>
      </c>
      <c r="W490">
        <f>MONTH(T490)</f>
        <v>9</v>
      </c>
      <c r="X490">
        <f>YEAR(T490)</f>
        <v>2023</v>
      </c>
      <c r="Y490" s="26" t="str">
        <f>X490&amp;"-"&amp;W490</f>
        <v>2023-9</v>
      </c>
    </row>
    <row r="491" spans="18:25" x14ac:dyDescent="0.25">
      <c r="R491" t="s">
        <v>18</v>
      </c>
      <c r="S491" t="s">
        <v>81</v>
      </c>
      <c r="T491" t="s">
        <v>79</v>
      </c>
      <c r="U491">
        <v>95212</v>
      </c>
      <c r="V491">
        <v>5</v>
      </c>
      <c r="W491">
        <f>MONTH(T491)</f>
        <v>9</v>
      </c>
      <c r="X491">
        <f>YEAR(T491)</f>
        <v>2023</v>
      </c>
      <c r="Y491" s="26" t="str">
        <f>X491&amp;"-"&amp;W491</f>
        <v>2023-9</v>
      </c>
    </row>
    <row r="492" spans="18:25" x14ac:dyDescent="0.25">
      <c r="R492" t="s">
        <v>18</v>
      </c>
      <c r="S492" t="s">
        <v>82</v>
      </c>
      <c r="T492" t="s">
        <v>83</v>
      </c>
      <c r="U492">
        <v>57103</v>
      </c>
      <c r="V492">
        <v>8</v>
      </c>
      <c r="W492">
        <f>MONTH(T492)</f>
        <v>9</v>
      </c>
      <c r="X492">
        <f>YEAR(T492)</f>
        <v>2023</v>
      </c>
      <c r="Y492" s="26" t="str">
        <f>X492&amp;"-"&amp;W492</f>
        <v>2023-9</v>
      </c>
    </row>
    <row r="493" spans="18:25" x14ac:dyDescent="0.25">
      <c r="R493" t="s">
        <v>18</v>
      </c>
      <c r="S493" t="s">
        <v>94</v>
      </c>
      <c r="T493" t="s">
        <v>87</v>
      </c>
      <c r="U493">
        <v>10779</v>
      </c>
      <c r="V493">
        <v>6</v>
      </c>
      <c r="W493">
        <f>MONTH(T493)</f>
        <v>9</v>
      </c>
      <c r="X493">
        <f>YEAR(T493)</f>
        <v>2023</v>
      </c>
      <c r="Y493" s="26" t="str">
        <f>X493&amp;"-"&amp;W493</f>
        <v>2023-9</v>
      </c>
    </row>
    <row r="494" spans="18:25" x14ac:dyDescent="0.25">
      <c r="R494" t="s">
        <v>18</v>
      </c>
      <c r="S494" t="s">
        <v>114</v>
      </c>
      <c r="T494" t="s">
        <v>115</v>
      </c>
      <c r="U494">
        <v>56713</v>
      </c>
      <c r="V494">
        <v>8</v>
      </c>
      <c r="W494">
        <f>MONTH(T494)</f>
        <v>10</v>
      </c>
      <c r="X494">
        <f>YEAR(T494)</f>
        <v>2023</v>
      </c>
      <c r="Y494" s="26" t="str">
        <f>X494&amp;"-"&amp;W494</f>
        <v>2023-10</v>
      </c>
    </row>
    <row r="495" spans="18:25" x14ac:dyDescent="0.25">
      <c r="R495" t="s">
        <v>18</v>
      </c>
      <c r="S495" t="s">
        <v>133</v>
      </c>
      <c r="T495" t="s">
        <v>131</v>
      </c>
      <c r="U495">
        <v>60025</v>
      </c>
      <c r="V495">
        <v>6</v>
      </c>
      <c r="W495">
        <f>MONTH(T495)</f>
        <v>10</v>
      </c>
      <c r="X495">
        <f>YEAR(T495)</f>
        <v>2023</v>
      </c>
      <c r="Y495" s="26" t="str">
        <f>X495&amp;"-"&amp;W495</f>
        <v>2023-10</v>
      </c>
    </row>
    <row r="496" spans="18:25" x14ac:dyDescent="0.25">
      <c r="R496" t="s">
        <v>18</v>
      </c>
      <c r="S496" t="s">
        <v>125</v>
      </c>
      <c r="T496" t="s">
        <v>135</v>
      </c>
      <c r="U496">
        <v>65885</v>
      </c>
      <c r="V496">
        <v>6</v>
      </c>
      <c r="W496">
        <f>MONTH(T496)</f>
        <v>10</v>
      </c>
      <c r="X496">
        <f>YEAR(T496)</f>
        <v>2023</v>
      </c>
      <c r="Y496" s="26" t="str">
        <f>X496&amp;"-"&amp;W496</f>
        <v>2023-10</v>
      </c>
    </row>
    <row r="497" spans="18:25" x14ac:dyDescent="0.25">
      <c r="R497" t="s">
        <v>18</v>
      </c>
      <c r="S497" t="s">
        <v>137</v>
      </c>
      <c r="T497" t="s">
        <v>140</v>
      </c>
      <c r="U497">
        <v>87118</v>
      </c>
      <c r="V497">
        <v>1</v>
      </c>
      <c r="W497">
        <f>MONTH(T497)</f>
        <v>10</v>
      </c>
      <c r="X497">
        <f>YEAR(T497)</f>
        <v>2023</v>
      </c>
      <c r="Y497" s="26" t="str">
        <f>X497&amp;"-"&amp;W497</f>
        <v>2023-10</v>
      </c>
    </row>
    <row r="498" spans="18:25" x14ac:dyDescent="0.25">
      <c r="R498" t="s">
        <v>18</v>
      </c>
      <c r="S498" t="s">
        <v>153</v>
      </c>
      <c r="T498" t="s">
        <v>150</v>
      </c>
      <c r="U498">
        <v>51355</v>
      </c>
      <c r="V498">
        <v>7</v>
      </c>
      <c r="W498">
        <f>MONTH(T498)</f>
        <v>10</v>
      </c>
      <c r="X498">
        <f>YEAR(T498)</f>
        <v>2023</v>
      </c>
      <c r="Y498" s="26" t="str">
        <f>X498&amp;"-"&amp;W498</f>
        <v>2023-10</v>
      </c>
    </row>
    <row r="499" spans="18:25" x14ac:dyDescent="0.25">
      <c r="R499" t="s">
        <v>18</v>
      </c>
      <c r="S499" t="s">
        <v>166</v>
      </c>
      <c r="T499" t="s">
        <v>164</v>
      </c>
      <c r="U499">
        <v>18426</v>
      </c>
      <c r="V499">
        <v>10</v>
      </c>
      <c r="W499">
        <f>MONTH(T499)</f>
        <v>10</v>
      </c>
      <c r="X499">
        <f>YEAR(T499)</f>
        <v>2023</v>
      </c>
      <c r="Y499" s="26" t="str">
        <f>X499&amp;"-"&amp;W499</f>
        <v>2023-10</v>
      </c>
    </row>
    <row r="500" spans="18:25" x14ac:dyDescent="0.25">
      <c r="R500" t="s">
        <v>18</v>
      </c>
      <c r="S500" t="s">
        <v>130</v>
      </c>
      <c r="T500" t="s">
        <v>199</v>
      </c>
      <c r="U500">
        <v>76729</v>
      </c>
      <c r="V500">
        <v>7</v>
      </c>
      <c r="W500">
        <f>MONTH(T500)</f>
        <v>11</v>
      </c>
      <c r="X500">
        <f>YEAR(T500)</f>
        <v>2023</v>
      </c>
      <c r="Y500" s="26" t="str">
        <f>X500&amp;"-"&amp;W500</f>
        <v>2023-11</v>
      </c>
    </row>
    <row r="501" spans="18:25" x14ac:dyDescent="0.25">
      <c r="R501" t="s">
        <v>18</v>
      </c>
      <c r="S501" t="s">
        <v>103</v>
      </c>
      <c r="T501" t="s">
        <v>203</v>
      </c>
      <c r="U501">
        <v>33857</v>
      </c>
      <c r="V501">
        <v>1</v>
      </c>
      <c r="W501">
        <f>MONTH(T501)</f>
        <v>11</v>
      </c>
      <c r="X501">
        <f>YEAR(T501)</f>
        <v>2023</v>
      </c>
      <c r="Y501" s="26" t="str">
        <f>X501&amp;"-"&amp;W501</f>
        <v>2023-11</v>
      </c>
    </row>
    <row r="502" spans="18:25" x14ac:dyDescent="0.25">
      <c r="R502" t="s">
        <v>18</v>
      </c>
      <c r="S502" t="s">
        <v>75</v>
      </c>
      <c r="T502" t="s">
        <v>218</v>
      </c>
      <c r="U502">
        <v>50851</v>
      </c>
      <c r="V502">
        <v>9</v>
      </c>
      <c r="W502">
        <f>MONTH(T502)</f>
        <v>12</v>
      </c>
      <c r="X502">
        <f>YEAR(T502)</f>
        <v>2023</v>
      </c>
      <c r="Y502" s="26" t="str">
        <f>X502&amp;"-"&amp;W502</f>
        <v>2023-12</v>
      </c>
    </row>
    <row r="503" spans="18:25" x14ac:dyDescent="0.25">
      <c r="R503" t="s">
        <v>18</v>
      </c>
      <c r="S503" t="s">
        <v>219</v>
      </c>
      <c r="T503" t="s">
        <v>220</v>
      </c>
      <c r="U503">
        <v>12192</v>
      </c>
      <c r="V503">
        <v>2</v>
      </c>
      <c r="W503">
        <f>MONTH(T503)</f>
        <v>12</v>
      </c>
      <c r="X503">
        <f>YEAR(T503)</f>
        <v>2023</v>
      </c>
      <c r="Y503" s="26" t="str">
        <f>X503&amp;"-"&amp;W503</f>
        <v>2023-12</v>
      </c>
    </row>
    <row r="504" spans="18:25" x14ac:dyDescent="0.25">
      <c r="R504" t="s">
        <v>18</v>
      </c>
      <c r="S504" t="s">
        <v>249</v>
      </c>
      <c r="T504" t="s">
        <v>246</v>
      </c>
      <c r="U504">
        <v>70908</v>
      </c>
      <c r="V504">
        <v>9</v>
      </c>
      <c r="W504">
        <f>MONTH(T504)</f>
        <v>12</v>
      </c>
      <c r="X504">
        <f>YEAR(T504)</f>
        <v>2023</v>
      </c>
      <c r="Y504" s="26" t="str">
        <f>X504&amp;"-"&amp;W504</f>
        <v>2023-12</v>
      </c>
    </row>
    <row r="505" spans="18:25" x14ac:dyDescent="0.25">
      <c r="R505" t="s">
        <v>18</v>
      </c>
      <c r="S505" t="s">
        <v>173</v>
      </c>
      <c r="T505" t="s">
        <v>255</v>
      </c>
      <c r="U505">
        <v>80570</v>
      </c>
      <c r="V505">
        <v>7</v>
      </c>
      <c r="W505">
        <f>MONTH(T505)</f>
        <v>1</v>
      </c>
      <c r="X505">
        <f>YEAR(T505)</f>
        <v>2024</v>
      </c>
      <c r="Y505" s="26" t="str">
        <f>X505&amp;"-"&amp;W505</f>
        <v>2024-1</v>
      </c>
    </row>
    <row r="506" spans="18:25" x14ac:dyDescent="0.25">
      <c r="R506" t="s">
        <v>18</v>
      </c>
      <c r="S506" t="s">
        <v>173</v>
      </c>
      <c r="T506" t="s">
        <v>258</v>
      </c>
      <c r="U506">
        <v>43984</v>
      </c>
      <c r="V506">
        <v>7</v>
      </c>
      <c r="W506">
        <f>MONTH(T506)</f>
        <v>1</v>
      </c>
      <c r="X506">
        <f>YEAR(T506)</f>
        <v>2024</v>
      </c>
      <c r="Y506" s="26" t="str">
        <f>X506&amp;"-"&amp;W506</f>
        <v>2024-1</v>
      </c>
    </row>
    <row r="507" spans="18:25" x14ac:dyDescent="0.25">
      <c r="R507" t="s">
        <v>18</v>
      </c>
      <c r="S507" t="s">
        <v>176</v>
      </c>
      <c r="T507" t="s">
        <v>266</v>
      </c>
      <c r="U507">
        <v>80655</v>
      </c>
      <c r="V507">
        <v>6</v>
      </c>
      <c r="W507">
        <f>MONTH(T507)</f>
        <v>1</v>
      </c>
      <c r="X507">
        <f>YEAR(T507)</f>
        <v>2024</v>
      </c>
      <c r="Y507" s="26" t="str">
        <f>X507&amp;"-"&amp;W507</f>
        <v>2024-1</v>
      </c>
    </row>
    <row r="508" spans="18:25" x14ac:dyDescent="0.25">
      <c r="R508" t="s">
        <v>18</v>
      </c>
      <c r="S508" t="s">
        <v>272</v>
      </c>
      <c r="T508" t="s">
        <v>271</v>
      </c>
      <c r="U508">
        <v>43381</v>
      </c>
      <c r="V508">
        <v>7</v>
      </c>
      <c r="W508">
        <f>MONTH(T508)</f>
        <v>1</v>
      </c>
      <c r="X508">
        <f>YEAR(T508)</f>
        <v>2024</v>
      </c>
      <c r="Y508" s="26" t="str">
        <f>X508&amp;"-"&amp;W508</f>
        <v>2024-1</v>
      </c>
    </row>
    <row r="509" spans="18:25" x14ac:dyDescent="0.25">
      <c r="R509" t="s">
        <v>18</v>
      </c>
      <c r="S509" t="s">
        <v>26</v>
      </c>
      <c r="T509" t="s">
        <v>276</v>
      </c>
      <c r="U509">
        <v>13733</v>
      </c>
      <c r="V509">
        <v>9</v>
      </c>
      <c r="W509">
        <f>MONTH(T509)</f>
        <v>1</v>
      </c>
      <c r="X509">
        <f>YEAR(T509)</f>
        <v>2024</v>
      </c>
      <c r="Y509" s="26" t="str">
        <f>X509&amp;"-"&amp;W509</f>
        <v>2024-1</v>
      </c>
    </row>
    <row r="510" spans="18:25" x14ac:dyDescent="0.25">
      <c r="R510" t="s">
        <v>18</v>
      </c>
      <c r="S510" t="s">
        <v>73</v>
      </c>
      <c r="T510" t="s">
        <v>278</v>
      </c>
      <c r="U510">
        <v>82814</v>
      </c>
      <c r="V510">
        <v>7</v>
      </c>
      <c r="W510">
        <f>MONTH(T510)</f>
        <v>1</v>
      </c>
      <c r="X510">
        <f>YEAR(T510)</f>
        <v>2024</v>
      </c>
      <c r="Y510" s="26" t="str">
        <f>X510&amp;"-"&amp;W510</f>
        <v>2024-1</v>
      </c>
    </row>
    <row r="511" spans="18:25" x14ac:dyDescent="0.25">
      <c r="R511" t="s">
        <v>18</v>
      </c>
      <c r="S511" t="s">
        <v>265</v>
      </c>
      <c r="T511" t="s">
        <v>286</v>
      </c>
      <c r="U511">
        <v>51321</v>
      </c>
      <c r="V511">
        <v>7</v>
      </c>
      <c r="W511">
        <f>MONTH(T511)</f>
        <v>2</v>
      </c>
      <c r="X511">
        <f>YEAR(T511)</f>
        <v>2024</v>
      </c>
      <c r="Y511" s="26" t="str">
        <f>X511&amp;"-"&amp;W511</f>
        <v>2024-2</v>
      </c>
    </row>
    <row r="512" spans="18:25" x14ac:dyDescent="0.25">
      <c r="R512" t="s">
        <v>18</v>
      </c>
      <c r="S512" t="s">
        <v>289</v>
      </c>
      <c r="T512" t="s">
        <v>288</v>
      </c>
      <c r="U512">
        <v>25816</v>
      </c>
      <c r="V512">
        <v>5</v>
      </c>
      <c r="W512">
        <f>MONTH(T512)</f>
        <v>2</v>
      </c>
      <c r="X512">
        <f>YEAR(T512)</f>
        <v>2024</v>
      </c>
      <c r="Y512" s="26" t="str">
        <f>X512&amp;"-"&amp;W512</f>
        <v>2024-2</v>
      </c>
    </row>
    <row r="513" spans="18:25" x14ac:dyDescent="0.25">
      <c r="R513" t="s">
        <v>18</v>
      </c>
      <c r="S513" t="s">
        <v>296</v>
      </c>
      <c r="T513" t="s">
        <v>294</v>
      </c>
      <c r="U513">
        <v>90805</v>
      </c>
      <c r="V513">
        <v>8</v>
      </c>
      <c r="W513">
        <f>MONTH(T513)</f>
        <v>2</v>
      </c>
      <c r="X513">
        <f>YEAR(T513)</f>
        <v>2024</v>
      </c>
      <c r="Y513" s="26" t="str">
        <f>X513&amp;"-"&amp;W513</f>
        <v>2024-2</v>
      </c>
    </row>
    <row r="514" spans="18:25" x14ac:dyDescent="0.25">
      <c r="R514" t="s">
        <v>18</v>
      </c>
      <c r="S514" t="s">
        <v>299</v>
      </c>
      <c r="T514" t="s">
        <v>297</v>
      </c>
      <c r="U514">
        <v>69833</v>
      </c>
      <c r="V514">
        <v>9</v>
      </c>
      <c r="W514">
        <f>MONTH(T514)</f>
        <v>2</v>
      </c>
      <c r="X514">
        <f>YEAR(T514)</f>
        <v>2024</v>
      </c>
      <c r="Y514" s="26" t="str">
        <f>X514&amp;"-"&amp;W514</f>
        <v>2024-2</v>
      </c>
    </row>
    <row r="515" spans="18:25" x14ac:dyDescent="0.25">
      <c r="R515" t="s">
        <v>18</v>
      </c>
      <c r="S515" t="s">
        <v>114</v>
      </c>
      <c r="T515" t="s">
        <v>304</v>
      </c>
      <c r="U515">
        <v>15184</v>
      </c>
      <c r="V515">
        <v>8</v>
      </c>
      <c r="W515">
        <f>MONTH(T515)</f>
        <v>2</v>
      </c>
      <c r="X515">
        <f>YEAR(T515)</f>
        <v>2024</v>
      </c>
      <c r="Y515" s="26" t="str">
        <f>X515&amp;"-"&amp;W515</f>
        <v>2024-2</v>
      </c>
    </row>
    <row r="516" spans="18:25" x14ac:dyDescent="0.25">
      <c r="R516" t="s">
        <v>18</v>
      </c>
      <c r="S516" t="s">
        <v>309</v>
      </c>
      <c r="T516" t="s">
        <v>308</v>
      </c>
      <c r="U516">
        <v>10817</v>
      </c>
      <c r="V516">
        <v>6</v>
      </c>
      <c r="W516">
        <f>MONTH(T516)</f>
        <v>2</v>
      </c>
      <c r="X516">
        <f>YEAR(T516)</f>
        <v>2024</v>
      </c>
      <c r="Y516" s="26" t="str">
        <f>X516&amp;"-"&amp;W516</f>
        <v>2024-2</v>
      </c>
    </row>
    <row r="517" spans="18:25" x14ac:dyDescent="0.25">
      <c r="R517" t="s">
        <v>18</v>
      </c>
      <c r="S517" t="s">
        <v>81</v>
      </c>
      <c r="T517" t="s">
        <v>320</v>
      </c>
      <c r="U517">
        <v>11041</v>
      </c>
      <c r="V517">
        <v>3</v>
      </c>
      <c r="W517">
        <f>MONTH(T517)</f>
        <v>3</v>
      </c>
      <c r="X517">
        <f>YEAR(T517)</f>
        <v>2024</v>
      </c>
      <c r="Y517" s="26" t="str">
        <f>X517&amp;"-"&amp;W517</f>
        <v>2024-3</v>
      </c>
    </row>
    <row r="518" spans="18:25" x14ac:dyDescent="0.25">
      <c r="R518" t="s">
        <v>18</v>
      </c>
      <c r="S518" t="s">
        <v>89</v>
      </c>
      <c r="T518" t="s">
        <v>323</v>
      </c>
      <c r="U518">
        <v>23685</v>
      </c>
      <c r="V518">
        <v>9</v>
      </c>
      <c r="W518">
        <f>MONTH(T518)</f>
        <v>3</v>
      </c>
      <c r="X518">
        <f>YEAR(T518)</f>
        <v>2024</v>
      </c>
      <c r="Y518" s="26" t="str">
        <f>X518&amp;"-"&amp;W518</f>
        <v>2024-3</v>
      </c>
    </row>
    <row r="519" spans="18:25" x14ac:dyDescent="0.25">
      <c r="R519" t="s">
        <v>18</v>
      </c>
      <c r="S519" t="s">
        <v>158</v>
      </c>
      <c r="T519" t="s">
        <v>324</v>
      </c>
      <c r="U519">
        <v>40110</v>
      </c>
      <c r="V519">
        <v>7</v>
      </c>
      <c r="W519">
        <f>MONTH(T519)</f>
        <v>3</v>
      </c>
      <c r="X519">
        <f>YEAR(T519)</f>
        <v>2024</v>
      </c>
      <c r="Y519" s="26" t="str">
        <f>X519&amp;"-"&amp;W519</f>
        <v>2024-3</v>
      </c>
    </row>
    <row r="520" spans="18:25" x14ac:dyDescent="0.25">
      <c r="R520" t="s">
        <v>18</v>
      </c>
      <c r="S520" t="s">
        <v>325</v>
      </c>
      <c r="T520" t="s">
        <v>324</v>
      </c>
      <c r="U520">
        <v>10902</v>
      </c>
      <c r="V520">
        <v>5</v>
      </c>
      <c r="W520">
        <f>MONTH(T520)</f>
        <v>3</v>
      </c>
      <c r="X520">
        <f>YEAR(T520)</f>
        <v>2024</v>
      </c>
      <c r="Y520" s="26" t="str">
        <f>X520&amp;"-"&amp;W520</f>
        <v>2024-3</v>
      </c>
    </row>
    <row r="521" spans="18:25" x14ac:dyDescent="0.25">
      <c r="R521" t="s">
        <v>18</v>
      </c>
      <c r="S521" t="s">
        <v>98</v>
      </c>
      <c r="T521" t="s">
        <v>327</v>
      </c>
      <c r="U521">
        <v>80556</v>
      </c>
      <c r="V521">
        <v>6</v>
      </c>
      <c r="W521">
        <f>MONTH(T521)</f>
        <v>3</v>
      </c>
      <c r="X521">
        <f>YEAR(T521)</f>
        <v>2024</v>
      </c>
      <c r="Y521" s="26" t="str">
        <f>X521&amp;"-"&amp;W521</f>
        <v>2024-3</v>
      </c>
    </row>
    <row r="522" spans="18:25" x14ac:dyDescent="0.25">
      <c r="R522" t="s">
        <v>18</v>
      </c>
      <c r="S522" t="s">
        <v>248</v>
      </c>
      <c r="T522" t="s">
        <v>330</v>
      </c>
      <c r="U522">
        <v>52493</v>
      </c>
      <c r="V522">
        <v>8</v>
      </c>
      <c r="W522">
        <f>MONTH(T522)</f>
        <v>3</v>
      </c>
      <c r="X522">
        <f>YEAR(T522)</f>
        <v>2024</v>
      </c>
      <c r="Y522" s="26" t="str">
        <f>X522&amp;"-"&amp;W522</f>
        <v>2024-3</v>
      </c>
    </row>
    <row r="523" spans="18:25" x14ac:dyDescent="0.25">
      <c r="R523" t="s">
        <v>18</v>
      </c>
      <c r="S523" t="s">
        <v>265</v>
      </c>
      <c r="T523" t="s">
        <v>330</v>
      </c>
      <c r="U523">
        <v>76306</v>
      </c>
      <c r="V523">
        <v>6</v>
      </c>
      <c r="W523">
        <f>MONTH(T523)</f>
        <v>3</v>
      </c>
      <c r="X523">
        <f>YEAR(T523)</f>
        <v>2024</v>
      </c>
      <c r="Y523" s="26" t="str">
        <f>X523&amp;"-"&amp;W523</f>
        <v>2024-3</v>
      </c>
    </row>
    <row r="524" spans="18:25" x14ac:dyDescent="0.25">
      <c r="R524" t="s">
        <v>18</v>
      </c>
      <c r="S524" t="s">
        <v>57</v>
      </c>
      <c r="T524" t="s">
        <v>336</v>
      </c>
      <c r="U524">
        <v>93780</v>
      </c>
      <c r="V524">
        <v>7</v>
      </c>
      <c r="W524">
        <f>MONTH(T524)</f>
        <v>3</v>
      </c>
      <c r="X524">
        <f>YEAR(T524)</f>
        <v>2024</v>
      </c>
      <c r="Y524" s="26" t="str">
        <f>X524&amp;"-"&amp;W524</f>
        <v>2024-3</v>
      </c>
    </row>
    <row r="525" spans="18:25" x14ac:dyDescent="0.25">
      <c r="R525" t="s">
        <v>18</v>
      </c>
      <c r="S525" t="s">
        <v>33</v>
      </c>
      <c r="T525" t="s">
        <v>337</v>
      </c>
      <c r="U525">
        <v>86465</v>
      </c>
      <c r="V525">
        <v>7</v>
      </c>
      <c r="W525">
        <f>MONTH(T525)</f>
        <v>3</v>
      </c>
      <c r="X525">
        <f>YEAR(T525)</f>
        <v>2024</v>
      </c>
      <c r="Y525" s="26" t="str">
        <f>X525&amp;"-"&amp;W525</f>
        <v>2024-3</v>
      </c>
    </row>
    <row r="526" spans="18:25" x14ac:dyDescent="0.25">
      <c r="R526" t="s">
        <v>18</v>
      </c>
      <c r="S526" t="s">
        <v>46</v>
      </c>
      <c r="T526" t="s">
        <v>343</v>
      </c>
      <c r="U526">
        <v>22039</v>
      </c>
      <c r="V526">
        <v>9</v>
      </c>
      <c r="W526">
        <f>MONTH(T526)</f>
        <v>4</v>
      </c>
      <c r="X526">
        <f>YEAR(T526)</f>
        <v>2024</v>
      </c>
      <c r="Y526" s="26" t="str">
        <f>X526&amp;"-"&amp;W526</f>
        <v>2024-4</v>
      </c>
    </row>
    <row r="527" spans="18:25" x14ac:dyDescent="0.25">
      <c r="R527" t="s">
        <v>18</v>
      </c>
      <c r="S527" t="s">
        <v>201</v>
      </c>
      <c r="T527" t="s">
        <v>350</v>
      </c>
      <c r="U527">
        <v>51767</v>
      </c>
      <c r="V527">
        <v>6</v>
      </c>
      <c r="W527">
        <f>MONTH(T527)</f>
        <v>4</v>
      </c>
      <c r="X527">
        <f>YEAR(T527)</f>
        <v>2024</v>
      </c>
      <c r="Y527" s="26" t="str">
        <f>X527&amp;"-"&amp;W527</f>
        <v>2024-4</v>
      </c>
    </row>
    <row r="528" spans="18:25" x14ac:dyDescent="0.25">
      <c r="R528" t="s">
        <v>18</v>
      </c>
      <c r="S528" t="s">
        <v>209</v>
      </c>
      <c r="T528" t="s">
        <v>352</v>
      </c>
      <c r="U528">
        <v>22953</v>
      </c>
      <c r="V528">
        <v>2</v>
      </c>
      <c r="W528">
        <f>MONTH(T528)</f>
        <v>4</v>
      </c>
      <c r="X528">
        <f>YEAR(T528)</f>
        <v>2024</v>
      </c>
      <c r="Y528" s="26" t="str">
        <f>X528&amp;"-"&amp;W528</f>
        <v>2024-4</v>
      </c>
    </row>
    <row r="529" spans="18:25" x14ac:dyDescent="0.25">
      <c r="R529" t="s">
        <v>18</v>
      </c>
      <c r="S529" t="s">
        <v>73</v>
      </c>
      <c r="T529" t="s">
        <v>353</v>
      </c>
      <c r="U529">
        <v>49393</v>
      </c>
      <c r="V529">
        <v>8</v>
      </c>
      <c r="W529">
        <f>MONTH(T529)</f>
        <v>4</v>
      </c>
      <c r="X529">
        <f>YEAR(T529)</f>
        <v>2024</v>
      </c>
      <c r="Y529" s="26" t="str">
        <f>X529&amp;"-"&amp;W529</f>
        <v>2024-4</v>
      </c>
    </row>
    <row r="530" spans="18:25" x14ac:dyDescent="0.25">
      <c r="R530" t="s">
        <v>18</v>
      </c>
      <c r="S530" t="s">
        <v>180</v>
      </c>
      <c r="T530" t="s">
        <v>364</v>
      </c>
      <c r="U530">
        <v>59508</v>
      </c>
      <c r="V530">
        <v>8</v>
      </c>
      <c r="W530">
        <f>MONTH(T530)</f>
        <v>4</v>
      </c>
      <c r="X530">
        <f>YEAR(T530)</f>
        <v>2024</v>
      </c>
      <c r="Y530" s="26" t="str">
        <f>X530&amp;"-"&amp;W530</f>
        <v>2024-4</v>
      </c>
    </row>
    <row r="531" spans="18:25" x14ac:dyDescent="0.25">
      <c r="R531" t="s">
        <v>18</v>
      </c>
      <c r="S531" t="s">
        <v>19</v>
      </c>
      <c r="T531" t="s">
        <v>368</v>
      </c>
      <c r="U531">
        <v>84228</v>
      </c>
      <c r="V531">
        <v>5</v>
      </c>
      <c r="W531">
        <f>MONTH(T531)</f>
        <v>5</v>
      </c>
      <c r="X531">
        <f>YEAR(T531)</f>
        <v>2024</v>
      </c>
      <c r="Y531" s="26" t="str">
        <f>X531&amp;"-"&amp;W531</f>
        <v>2024-5</v>
      </c>
    </row>
    <row r="532" spans="18:25" x14ac:dyDescent="0.25">
      <c r="R532" t="s">
        <v>18</v>
      </c>
      <c r="S532" t="s">
        <v>49</v>
      </c>
      <c r="T532" t="s">
        <v>379</v>
      </c>
      <c r="U532">
        <v>16842</v>
      </c>
      <c r="V532">
        <v>7</v>
      </c>
      <c r="W532">
        <f>MONTH(T532)</f>
        <v>5</v>
      </c>
      <c r="X532">
        <f>YEAR(T532)</f>
        <v>2024</v>
      </c>
      <c r="Y532" s="26" t="str">
        <f>X532&amp;"-"&amp;W532</f>
        <v>2024-5</v>
      </c>
    </row>
    <row r="533" spans="18:25" x14ac:dyDescent="0.25">
      <c r="R533" t="s">
        <v>18</v>
      </c>
      <c r="S533" t="s">
        <v>110</v>
      </c>
      <c r="T533" t="s">
        <v>383</v>
      </c>
      <c r="U533">
        <v>33110</v>
      </c>
      <c r="V533">
        <v>4</v>
      </c>
      <c r="W533">
        <f>MONTH(T533)</f>
        <v>5</v>
      </c>
      <c r="X533">
        <f>YEAR(T533)</f>
        <v>2024</v>
      </c>
      <c r="Y533" s="26" t="str">
        <f>X533&amp;"-"&amp;W533</f>
        <v>2024-5</v>
      </c>
    </row>
    <row r="534" spans="18:25" x14ac:dyDescent="0.25">
      <c r="R534" t="s">
        <v>18</v>
      </c>
      <c r="S534" t="s">
        <v>96</v>
      </c>
      <c r="T534" t="s">
        <v>386</v>
      </c>
      <c r="U534">
        <v>60176</v>
      </c>
      <c r="V534">
        <v>7</v>
      </c>
      <c r="W534">
        <f>MONTH(T534)</f>
        <v>5</v>
      </c>
      <c r="X534">
        <f>YEAR(T534)</f>
        <v>2024</v>
      </c>
      <c r="Y534" s="26" t="str">
        <f>X534&amp;"-"&amp;W534</f>
        <v>2024-5</v>
      </c>
    </row>
    <row r="535" spans="18:25" x14ac:dyDescent="0.25">
      <c r="R535" t="s">
        <v>18</v>
      </c>
      <c r="S535" t="s">
        <v>119</v>
      </c>
      <c r="T535" t="s">
        <v>387</v>
      </c>
      <c r="U535">
        <v>36165</v>
      </c>
      <c r="V535">
        <v>6</v>
      </c>
      <c r="W535">
        <f>MONTH(T535)</f>
        <v>5</v>
      </c>
      <c r="X535">
        <f>YEAR(T535)</f>
        <v>2024</v>
      </c>
      <c r="Y535" s="26" t="str">
        <f>X535&amp;"-"&amp;W535</f>
        <v>2024-5</v>
      </c>
    </row>
    <row r="536" spans="18:25" x14ac:dyDescent="0.25">
      <c r="R536" t="s">
        <v>18</v>
      </c>
      <c r="S536" t="s">
        <v>393</v>
      </c>
      <c r="T536" t="s">
        <v>392</v>
      </c>
      <c r="U536">
        <v>69779</v>
      </c>
      <c r="V536">
        <v>10</v>
      </c>
      <c r="W536">
        <f>MONTH(T536)</f>
        <v>5</v>
      </c>
      <c r="X536">
        <f>YEAR(T536)</f>
        <v>2024</v>
      </c>
      <c r="Y536" s="26" t="str">
        <f>X536&amp;"-"&amp;W536</f>
        <v>2024-5</v>
      </c>
    </row>
    <row r="537" spans="18:25" x14ac:dyDescent="0.25">
      <c r="R537" t="s">
        <v>18</v>
      </c>
      <c r="S537" t="s">
        <v>309</v>
      </c>
      <c r="T537" t="s">
        <v>394</v>
      </c>
      <c r="U537">
        <v>15847</v>
      </c>
      <c r="V537">
        <v>9</v>
      </c>
      <c r="W537">
        <f>MONTH(T537)</f>
        <v>6</v>
      </c>
      <c r="X537">
        <f>YEAR(T537)</f>
        <v>2024</v>
      </c>
      <c r="Y537" s="26" t="str">
        <f>X537&amp;"-"&amp;W537</f>
        <v>2024-6</v>
      </c>
    </row>
    <row r="538" spans="18:25" x14ac:dyDescent="0.25">
      <c r="R538" t="s">
        <v>18</v>
      </c>
      <c r="S538" t="s">
        <v>33</v>
      </c>
      <c r="T538" t="s">
        <v>394</v>
      </c>
      <c r="U538">
        <v>17476</v>
      </c>
      <c r="V538">
        <v>7</v>
      </c>
      <c r="W538">
        <f>MONTH(T538)</f>
        <v>6</v>
      </c>
      <c r="X538">
        <f>YEAR(T538)</f>
        <v>2024</v>
      </c>
      <c r="Y538" s="26" t="str">
        <f>X538&amp;"-"&amp;W538</f>
        <v>2024-6</v>
      </c>
    </row>
    <row r="539" spans="18:25" x14ac:dyDescent="0.25">
      <c r="R539" t="s">
        <v>18</v>
      </c>
      <c r="S539" t="s">
        <v>395</v>
      </c>
      <c r="T539" t="s">
        <v>396</v>
      </c>
      <c r="U539">
        <v>80655</v>
      </c>
      <c r="V539">
        <v>8</v>
      </c>
      <c r="W539">
        <f>MONTH(T539)</f>
        <v>6</v>
      </c>
      <c r="X539">
        <f>YEAR(T539)</f>
        <v>2024</v>
      </c>
      <c r="Y539" s="26" t="str">
        <f>X539&amp;"-"&amp;W539</f>
        <v>2024-6</v>
      </c>
    </row>
    <row r="540" spans="18:25" x14ac:dyDescent="0.25">
      <c r="R540" t="s">
        <v>18</v>
      </c>
      <c r="S540" t="s">
        <v>157</v>
      </c>
      <c r="T540" t="s">
        <v>396</v>
      </c>
      <c r="U540">
        <v>94973</v>
      </c>
      <c r="V540">
        <v>3</v>
      </c>
      <c r="W540">
        <f>MONTH(T540)</f>
        <v>6</v>
      </c>
      <c r="X540">
        <f>YEAR(T540)</f>
        <v>2024</v>
      </c>
      <c r="Y540" s="26" t="str">
        <f>X540&amp;"-"&amp;W540</f>
        <v>2024-6</v>
      </c>
    </row>
    <row r="541" spans="18:25" x14ac:dyDescent="0.25">
      <c r="R541" t="s">
        <v>18</v>
      </c>
      <c r="S541" t="s">
        <v>194</v>
      </c>
      <c r="T541" t="s">
        <v>400</v>
      </c>
      <c r="U541">
        <v>26714</v>
      </c>
      <c r="V541">
        <v>1</v>
      </c>
      <c r="W541">
        <f>MONTH(T541)</f>
        <v>6</v>
      </c>
      <c r="X541">
        <f>YEAR(T541)</f>
        <v>2024</v>
      </c>
      <c r="Y541" s="26" t="str">
        <f>X541&amp;"-"&amp;W541</f>
        <v>2024-6</v>
      </c>
    </row>
    <row r="542" spans="18:25" x14ac:dyDescent="0.25">
      <c r="R542" t="s">
        <v>18</v>
      </c>
      <c r="S542" t="s">
        <v>215</v>
      </c>
      <c r="T542" t="s">
        <v>402</v>
      </c>
      <c r="U542">
        <v>60501</v>
      </c>
      <c r="V542">
        <v>7</v>
      </c>
      <c r="W542">
        <f>MONTH(T542)</f>
        <v>6</v>
      </c>
      <c r="X542">
        <f>YEAR(T542)</f>
        <v>2024</v>
      </c>
      <c r="Y542" s="26" t="str">
        <f>X542&amp;"-"&amp;W542</f>
        <v>2024-6</v>
      </c>
    </row>
    <row r="543" spans="18:25" x14ac:dyDescent="0.25">
      <c r="R543" t="s">
        <v>18</v>
      </c>
      <c r="S543" t="s">
        <v>252</v>
      </c>
      <c r="T543" t="s">
        <v>403</v>
      </c>
      <c r="U543">
        <v>40377</v>
      </c>
      <c r="V543">
        <v>6</v>
      </c>
      <c r="W543">
        <f>MONTH(T543)</f>
        <v>6</v>
      </c>
      <c r="X543">
        <f>YEAR(T543)</f>
        <v>2024</v>
      </c>
      <c r="Y543" s="26" t="str">
        <f>X543&amp;"-"&amp;W543</f>
        <v>2024-6</v>
      </c>
    </row>
    <row r="544" spans="18:25" x14ac:dyDescent="0.25">
      <c r="R544" t="s">
        <v>18</v>
      </c>
      <c r="S544" t="s">
        <v>152</v>
      </c>
      <c r="T544" t="s">
        <v>408</v>
      </c>
      <c r="U544">
        <v>43931</v>
      </c>
      <c r="V544">
        <v>2</v>
      </c>
      <c r="W544">
        <f>MONTH(T544)</f>
        <v>6</v>
      </c>
      <c r="X544">
        <f>YEAR(T544)</f>
        <v>2024</v>
      </c>
      <c r="Y544" s="26" t="str">
        <f>X544&amp;"-"&amp;W544</f>
        <v>2024-6</v>
      </c>
    </row>
    <row r="545" spans="18:25" x14ac:dyDescent="0.25">
      <c r="R545" t="s">
        <v>18</v>
      </c>
      <c r="S545" t="s">
        <v>264</v>
      </c>
      <c r="T545" t="s">
        <v>420</v>
      </c>
      <c r="U545">
        <v>66632</v>
      </c>
      <c r="V545">
        <v>6</v>
      </c>
      <c r="W545">
        <f>MONTH(T545)</f>
        <v>7</v>
      </c>
      <c r="X545">
        <f>YEAR(T545)</f>
        <v>2024</v>
      </c>
      <c r="Y545" s="26" t="str">
        <f>X545&amp;"-"&amp;W545</f>
        <v>2024-7</v>
      </c>
    </row>
    <row r="546" spans="18:25" x14ac:dyDescent="0.25">
      <c r="R546" t="s">
        <v>18</v>
      </c>
      <c r="S546" t="s">
        <v>395</v>
      </c>
      <c r="T546" t="s">
        <v>422</v>
      </c>
      <c r="U546">
        <v>28722</v>
      </c>
      <c r="V546">
        <v>7</v>
      </c>
      <c r="W546">
        <f>MONTH(T546)</f>
        <v>7</v>
      </c>
      <c r="X546">
        <f>YEAR(T546)</f>
        <v>2024</v>
      </c>
      <c r="Y546" s="26" t="str">
        <f>X546&amp;"-"&amp;W546</f>
        <v>2024-7</v>
      </c>
    </row>
    <row r="547" spans="18:25" x14ac:dyDescent="0.25">
      <c r="R547" t="s">
        <v>18</v>
      </c>
      <c r="S547" t="s">
        <v>124</v>
      </c>
      <c r="T547" t="s">
        <v>422</v>
      </c>
      <c r="U547">
        <v>39349</v>
      </c>
      <c r="V547">
        <v>8</v>
      </c>
      <c r="W547">
        <f>MONTH(T547)</f>
        <v>7</v>
      </c>
      <c r="X547">
        <f>YEAR(T547)</f>
        <v>2024</v>
      </c>
      <c r="Y547" s="26" t="str">
        <f>X547&amp;"-"&amp;W547</f>
        <v>2024-7</v>
      </c>
    </row>
    <row r="548" spans="18:25" x14ac:dyDescent="0.25">
      <c r="R548" t="s">
        <v>18</v>
      </c>
      <c r="S548" t="s">
        <v>395</v>
      </c>
      <c r="T548" t="s">
        <v>428</v>
      </c>
      <c r="U548">
        <v>13570</v>
      </c>
      <c r="V548">
        <v>1</v>
      </c>
      <c r="W548">
        <f>MONTH(T548)</f>
        <v>7</v>
      </c>
      <c r="X548">
        <f>YEAR(T548)</f>
        <v>2024</v>
      </c>
      <c r="Y548" s="26" t="str">
        <f>X548&amp;"-"&amp;W548</f>
        <v>2024-7</v>
      </c>
    </row>
    <row r="549" spans="18:25" x14ac:dyDescent="0.25">
      <c r="R549" t="s">
        <v>18</v>
      </c>
      <c r="S549" t="s">
        <v>256</v>
      </c>
      <c r="T549" t="s">
        <v>431</v>
      </c>
      <c r="U549">
        <v>20663</v>
      </c>
      <c r="V549">
        <v>0</v>
      </c>
      <c r="W549">
        <f>MONTH(T549)</f>
        <v>7</v>
      </c>
      <c r="X549">
        <f>YEAR(T549)</f>
        <v>2024</v>
      </c>
      <c r="Y549" s="26" t="str">
        <f>X549&amp;"-"&amp;W549</f>
        <v>2024-7</v>
      </c>
    </row>
    <row r="550" spans="18:25" x14ac:dyDescent="0.25">
      <c r="R550" t="s">
        <v>18</v>
      </c>
      <c r="S550" t="s">
        <v>88</v>
      </c>
      <c r="T550" t="s">
        <v>432</v>
      </c>
      <c r="U550">
        <v>88080</v>
      </c>
      <c r="V550">
        <v>6</v>
      </c>
      <c r="W550">
        <f>MONTH(T550)</f>
        <v>7</v>
      </c>
      <c r="X550">
        <f>YEAR(T550)</f>
        <v>2024</v>
      </c>
      <c r="Y550" s="26" t="str">
        <f>X550&amp;"-"&amp;W550</f>
        <v>2024-7</v>
      </c>
    </row>
    <row r="551" spans="18:25" x14ac:dyDescent="0.25">
      <c r="R551" t="s">
        <v>18</v>
      </c>
      <c r="S551" t="s">
        <v>134</v>
      </c>
      <c r="T551" t="s">
        <v>435</v>
      </c>
      <c r="U551">
        <v>26536</v>
      </c>
      <c r="V551">
        <v>6</v>
      </c>
      <c r="W551">
        <f>MONTH(T551)</f>
        <v>7</v>
      </c>
      <c r="X551">
        <f>YEAR(T551)</f>
        <v>2024</v>
      </c>
      <c r="Y551" s="26" t="str">
        <f>X551&amp;"-"&amp;W551</f>
        <v>2024-7</v>
      </c>
    </row>
    <row r="552" spans="18:25" x14ac:dyDescent="0.25">
      <c r="R552" t="s">
        <v>18</v>
      </c>
      <c r="S552" t="s">
        <v>363</v>
      </c>
      <c r="T552" t="s">
        <v>436</v>
      </c>
      <c r="U552">
        <v>64981</v>
      </c>
      <c r="V552">
        <v>5</v>
      </c>
      <c r="W552">
        <f>MONTH(T552)</f>
        <v>7</v>
      </c>
      <c r="X552">
        <f>YEAR(T552)</f>
        <v>2024</v>
      </c>
      <c r="Y552" s="26" t="str">
        <f>X552&amp;"-"&amp;W552</f>
        <v>2024-7</v>
      </c>
    </row>
    <row r="553" spans="18:25" x14ac:dyDescent="0.25">
      <c r="R553" t="s">
        <v>18</v>
      </c>
      <c r="S553" t="s">
        <v>198</v>
      </c>
      <c r="T553" t="s">
        <v>437</v>
      </c>
      <c r="U553">
        <v>77747</v>
      </c>
      <c r="V553">
        <v>3</v>
      </c>
      <c r="W553">
        <f>MONTH(T553)</f>
        <v>7</v>
      </c>
      <c r="X553">
        <f>YEAR(T553)</f>
        <v>2024</v>
      </c>
      <c r="Y553" s="26" t="str">
        <f>X553&amp;"-"&amp;W553</f>
        <v>2024-7</v>
      </c>
    </row>
    <row r="554" spans="18:25" x14ac:dyDescent="0.25">
      <c r="R554" t="s">
        <v>18</v>
      </c>
      <c r="S554" t="s">
        <v>125</v>
      </c>
      <c r="T554" t="s">
        <v>446</v>
      </c>
      <c r="U554">
        <v>16800</v>
      </c>
      <c r="V554">
        <v>8</v>
      </c>
      <c r="W554">
        <f>MONTH(T554)</f>
        <v>8</v>
      </c>
      <c r="X554">
        <f>YEAR(T554)</f>
        <v>2024</v>
      </c>
      <c r="Y554" s="26" t="str">
        <f>X554&amp;"-"&amp;W554</f>
        <v>2024-8</v>
      </c>
    </row>
    <row r="555" spans="18:25" x14ac:dyDescent="0.25">
      <c r="R555" t="s">
        <v>18</v>
      </c>
      <c r="S555" t="s">
        <v>229</v>
      </c>
      <c r="T555" t="s">
        <v>447</v>
      </c>
      <c r="U555">
        <v>77038</v>
      </c>
      <c r="V555">
        <v>5</v>
      </c>
      <c r="W555">
        <f>MONTH(T555)</f>
        <v>8</v>
      </c>
      <c r="X555">
        <f>YEAR(T555)</f>
        <v>2024</v>
      </c>
      <c r="Y555" s="26" t="str">
        <f>X555&amp;"-"&amp;W555</f>
        <v>2024-8</v>
      </c>
    </row>
    <row r="556" spans="18:25" x14ac:dyDescent="0.25">
      <c r="R556" t="s">
        <v>18</v>
      </c>
      <c r="S556" t="s">
        <v>176</v>
      </c>
      <c r="T556" t="s">
        <v>451</v>
      </c>
      <c r="U556">
        <v>80393</v>
      </c>
      <c r="V556">
        <v>6</v>
      </c>
      <c r="W556">
        <f>MONTH(T556)</f>
        <v>8</v>
      </c>
      <c r="X556">
        <f>YEAR(T556)</f>
        <v>2024</v>
      </c>
      <c r="Y556" s="26" t="str">
        <f>X556&amp;"-"&amp;W556</f>
        <v>2024-8</v>
      </c>
    </row>
    <row r="557" spans="18:25" x14ac:dyDescent="0.25">
      <c r="R557" t="s">
        <v>18</v>
      </c>
      <c r="S557" t="s">
        <v>195</v>
      </c>
      <c r="T557" t="s">
        <v>452</v>
      </c>
      <c r="U557">
        <v>18535</v>
      </c>
      <c r="V557">
        <v>6</v>
      </c>
      <c r="W557">
        <f>MONTH(T557)</f>
        <v>8</v>
      </c>
      <c r="X557">
        <f>YEAR(T557)</f>
        <v>2024</v>
      </c>
      <c r="Y557" s="26" t="str">
        <f>X557&amp;"-"&amp;W557</f>
        <v>2024-8</v>
      </c>
    </row>
    <row r="558" spans="18:25" x14ac:dyDescent="0.25">
      <c r="R558" t="s">
        <v>18</v>
      </c>
      <c r="S558" t="s">
        <v>9</v>
      </c>
      <c r="T558" t="s">
        <v>455</v>
      </c>
      <c r="U558">
        <v>25819</v>
      </c>
      <c r="V558">
        <v>8</v>
      </c>
      <c r="W558">
        <f>MONTH(T558)</f>
        <v>8</v>
      </c>
      <c r="X558">
        <f>YEAR(T558)</f>
        <v>2024</v>
      </c>
      <c r="Y558" s="26" t="str">
        <f>X558&amp;"-"&amp;W558</f>
        <v>2024-8</v>
      </c>
    </row>
    <row r="559" spans="18:25" x14ac:dyDescent="0.25">
      <c r="R559" t="s">
        <v>18</v>
      </c>
      <c r="S559" t="s">
        <v>114</v>
      </c>
      <c r="T559" t="s">
        <v>455</v>
      </c>
      <c r="U559">
        <v>29208</v>
      </c>
      <c r="V559">
        <v>1</v>
      </c>
      <c r="W559">
        <f>MONTH(T559)</f>
        <v>8</v>
      </c>
      <c r="X559">
        <f>YEAR(T559)</f>
        <v>2024</v>
      </c>
      <c r="Y559" s="26" t="str">
        <f>X559&amp;"-"&amp;W559</f>
        <v>2024-8</v>
      </c>
    </row>
    <row r="560" spans="18:25" x14ac:dyDescent="0.25">
      <c r="R560" t="s">
        <v>10</v>
      </c>
      <c r="S560" t="s">
        <v>11</v>
      </c>
      <c r="T560" t="s">
        <v>12</v>
      </c>
      <c r="U560">
        <v>17347</v>
      </c>
      <c r="V560">
        <v>8</v>
      </c>
      <c r="W560">
        <f>MONTH(T560)</f>
        <v>9</v>
      </c>
      <c r="X560">
        <f>YEAR(T560)</f>
        <v>2023</v>
      </c>
      <c r="Y560" s="26" t="str">
        <f>X560&amp;"-"&amp;W560</f>
        <v>2023-9</v>
      </c>
    </row>
    <row r="561" spans="18:25" x14ac:dyDescent="0.25">
      <c r="R561" t="s">
        <v>10</v>
      </c>
      <c r="S561" t="s">
        <v>22</v>
      </c>
      <c r="T561" t="s">
        <v>23</v>
      </c>
      <c r="U561">
        <v>66366</v>
      </c>
      <c r="V561">
        <v>4</v>
      </c>
      <c r="W561">
        <f>MONTH(T561)</f>
        <v>9</v>
      </c>
      <c r="X561">
        <f>YEAR(T561)</f>
        <v>2023</v>
      </c>
      <c r="Y561" s="26" t="str">
        <f>X561&amp;"-"&amp;W561</f>
        <v>2023-9</v>
      </c>
    </row>
    <row r="562" spans="18:25" x14ac:dyDescent="0.25">
      <c r="R562" t="s">
        <v>10</v>
      </c>
      <c r="S562" t="s">
        <v>65</v>
      </c>
      <c r="T562" t="s">
        <v>62</v>
      </c>
      <c r="U562">
        <v>70195</v>
      </c>
      <c r="V562">
        <v>4</v>
      </c>
      <c r="W562">
        <f>MONTH(T562)</f>
        <v>9</v>
      </c>
      <c r="X562">
        <f>YEAR(T562)</f>
        <v>2023</v>
      </c>
      <c r="Y562" s="26" t="str">
        <f>X562&amp;"-"&amp;W562</f>
        <v>2023-9</v>
      </c>
    </row>
    <row r="563" spans="18:25" x14ac:dyDescent="0.25">
      <c r="R563" t="s">
        <v>10</v>
      </c>
      <c r="S563" t="s">
        <v>58</v>
      </c>
      <c r="T563" t="s">
        <v>76</v>
      </c>
      <c r="U563">
        <v>93210</v>
      </c>
      <c r="V563">
        <v>9</v>
      </c>
      <c r="W563">
        <f>MONTH(T563)</f>
        <v>9</v>
      </c>
      <c r="X563">
        <f>YEAR(T563)</f>
        <v>2023</v>
      </c>
      <c r="Y563" s="26" t="str">
        <f>X563&amp;"-"&amp;W563</f>
        <v>2023-9</v>
      </c>
    </row>
    <row r="564" spans="18:25" x14ac:dyDescent="0.25">
      <c r="R564" t="s">
        <v>10</v>
      </c>
      <c r="S564" t="s">
        <v>80</v>
      </c>
      <c r="T564" t="s">
        <v>79</v>
      </c>
      <c r="U564">
        <v>57146</v>
      </c>
      <c r="V564">
        <v>7</v>
      </c>
      <c r="W564">
        <f>MONTH(T564)</f>
        <v>9</v>
      </c>
      <c r="X564">
        <f>YEAR(T564)</f>
        <v>2023</v>
      </c>
      <c r="Y564" s="26" t="str">
        <f>X564&amp;"-"&amp;W564</f>
        <v>2023-9</v>
      </c>
    </row>
    <row r="565" spans="18:25" x14ac:dyDescent="0.25">
      <c r="R565" t="s">
        <v>10</v>
      </c>
      <c r="S565" t="s">
        <v>84</v>
      </c>
      <c r="T565" t="s">
        <v>83</v>
      </c>
      <c r="U565">
        <v>96611</v>
      </c>
      <c r="V565">
        <v>10</v>
      </c>
      <c r="W565">
        <f>MONTH(T565)</f>
        <v>9</v>
      </c>
      <c r="X565">
        <f>YEAR(T565)</f>
        <v>2023</v>
      </c>
      <c r="Y565" s="26" t="str">
        <f>X565&amp;"-"&amp;W565</f>
        <v>2023-9</v>
      </c>
    </row>
    <row r="566" spans="18:25" x14ac:dyDescent="0.25">
      <c r="R566" t="s">
        <v>10</v>
      </c>
      <c r="S566" t="s">
        <v>85</v>
      </c>
      <c r="T566" t="s">
        <v>83</v>
      </c>
      <c r="U566">
        <v>15126</v>
      </c>
      <c r="V566">
        <v>7</v>
      </c>
      <c r="W566">
        <f>MONTH(T566)</f>
        <v>9</v>
      </c>
      <c r="X566">
        <f>YEAR(T566)</f>
        <v>2023</v>
      </c>
      <c r="Y566" s="26" t="str">
        <f>X566&amp;"-"&amp;W566</f>
        <v>2023-9</v>
      </c>
    </row>
    <row r="567" spans="18:25" x14ac:dyDescent="0.25">
      <c r="R567" t="s">
        <v>10</v>
      </c>
      <c r="S567" t="s">
        <v>92</v>
      </c>
      <c r="T567" t="s">
        <v>87</v>
      </c>
      <c r="U567">
        <v>61384</v>
      </c>
      <c r="V567">
        <v>9</v>
      </c>
      <c r="W567">
        <f>MONTH(T567)</f>
        <v>9</v>
      </c>
      <c r="X567">
        <f>YEAR(T567)</f>
        <v>2023</v>
      </c>
      <c r="Y567" s="26" t="str">
        <f>X567&amp;"-"&amp;W567</f>
        <v>2023-9</v>
      </c>
    </row>
    <row r="568" spans="18:25" x14ac:dyDescent="0.25">
      <c r="R568" t="s">
        <v>10</v>
      </c>
      <c r="S568" t="s">
        <v>99</v>
      </c>
      <c r="T568" t="s">
        <v>100</v>
      </c>
      <c r="U568">
        <v>95408</v>
      </c>
      <c r="V568">
        <v>5</v>
      </c>
      <c r="W568">
        <f>MONTH(T568)</f>
        <v>9</v>
      </c>
      <c r="X568">
        <f>YEAR(T568)</f>
        <v>2023</v>
      </c>
      <c r="Y568" s="26" t="str">
        <f>X568&amp;"-"&amp;W568</f>
        <v>2023-9</v>
      </c>
    </row>
    <row r="569" spans="18:25" x14ac:dyDescent="0.25">
      <c r="R569" t="s">
        <v>10</v>
      </c>
      <c r="S569" t="s">
        <v>101</v>
      </c>
      <c r="T569" t="s">
        <v>102</v>
      </c>
      <c r="U569">
        <v>52724</v>
      </c>
      <c r="V569">
        <v>1</v>
      </c>
      <c r="W569">
        <f>MONTH(T569)</f>
        <v>9</v>
      </c>
      <c r="X569">
        <f>YEAR(T569)</f>
        <v>2023</v>
      </c>
      <c r="Y569" s="26" t="str">
        <f>X569&amp;"-"&amp;W569</f>
        <v>2023-9</v>
      </c>
    </row>
    <row r="570" spans="18:25" x14ac:dyDescent="0.25">
      <c r="R570" t="s">
        <v>10</v>
      </c>
      <c r="S570" t="s">
        <v>132</v>
      </c>
      <c r="T570" t="s">
        <v>131</v>
      </c>
      <c r="U570">
        <v>50577</v>
      </c>
      <c r="V570">
        <v>3</v>
      </c>
      <c r="W570">
        <f>MONTH(T570)</f>
        <v>10</v>
      </c>
      <c r="X570">
        <f>YEAR(T570)</f>
        <v>2023</v>
      </c>
      <c r="Y570" s="26" t="str">
        <f>X570&amp;"-"&amp;W570</f>
        <v>2023-10</v>
      </c>
    </row>
    <row r="571" spans="18:25" x14ac:dyDescent="0.25">
      <c r="R571" t="s">
        <v>10</v>
      </c>
      <c r="S571" t="s">
        <v>91</v>
      </c>
      <c r="T571" t="s">
        <v>160</v>
      </c>
      <c r="U571">
        <v>60062</v>
      </c>
      <c r="V571">
        <v>5</v>
      </c>
      <c r="W571">
        <f>MONTH(T571)</f>
        <v>10</v>
      </c>
      <c r="X571">
        <f>YEAR(T571)</f>
        <v>2023</v>
      </c>
      <c r="Y571" s="26" t="str">
        <f>X571&amp;"-"&amp;W571</f>
        <v>2023-10</v>
      </c>
    </row>
    <row r="572" spans="18:25" x14ac:dyDescent="0.25">
      <c r="R572" t="s">
        <v>10</v>
      </c>
      <c r="S572" t="s">
        <v>146</v>
      </c>
      <c r="T572" t="s">
        <v>164</v>
      </c>
      <c r="U572">
        <v>80304</v>
      </c>
      <c r="V572">
        <v>5</v>
      </c>
      <c r="W572">
        <f>MONTH(T572)</f>
        <v>10</v>
      </c>
      <c r="X572">
        <f>YEAR(T572)</f>
        <v>2023</v>
      </c>
      <c r="Y572" s="26" t="str">
        <f>X572&amp;"-"&amp;W572</f>
        <v>2023-10</v>
      </c>
    </row>
    <row r="573" spans="18:25" x14ac:dyDescent="0.25">
      <c r="R573" t="s">
        <v>10</v>
      </c>
      <c r="S573" t="s">
        <v>96</v>
      </c>
      <c r="T573" t="s">
        <v>172</v>
      </c>
      <c r="U573">
        <v>18712</v>
      </c>
      <c r="V573">
        <v>8</v>
      </c>
      <c r="W573">
        <f>MONTH(T573)</f>
        <v>11</v>
      </c>
      <c r="X573">
        <f>YEAR(T573)</f>
        <v>2023</v>
      </c>
      <c r="Y573" s="26" t="str">
        <f>X573&amp;"-"&amp;W573</f>
        <v>2023-11</v>
      </c>
    </row>
    <row r="574" spans="18:25" x14ac:dyDescent="0.25">
      <c r="R574" t="s">
        <v>10</v>
      </c>
      <c r="S574" t="s">
        <v>177</v>
      </c>
      <c r="T574" t="s">
        <v>175</v>
      </c>
      <c r="U574">
        <v>52488</v>
      </c>
      <c r="V574">
        <v>2</v>
      </c>
      <c r="W574">
        <f>MONTH(T574)</f>
        <v>11</v>
      </c>
      <c r="X574">
        <f>YEAR(T574)</f>
        <v>2023</v>
      </c>
      <c r="Y574" s="26" t="str">
        <f>X574&amp;"-"&amp;W574</f>
        <v>2023-11</v>
      </c>
    </row>
    <row r="575" spans="18:25" x14ac:dyDescent="0.25">
      <c r="R575" t="s">
        <v>10</v>
      </c>
      <c r="S575" t="s">
        <v>119</v>
      </c>
      <c r="T575" t="s">
        <v>183</v>
      </c>
      <c r="U575">
        <v>70113</v>
      </c>
      <c r="V575">
        <v>8</v>
      </c>
      <c r="W575">
        <f>MONTH(T575)</f>
        <v>11</v>
      </c>
      <c r="X575">
        <f>YEAR(T575)</f>
        <v>2023</v>
      </c>
      <c r="Y575" s="26" t="str">
        <f>X575&amp;"-"&amp;W575</f>
        <v>2023-11</v>
      </c>
    </row>
    <row r="576" spans="18:25" x14ac:dyDescent="0.25">
      <c r="R576" t="s">
        <v>10</v>
      </c>
      <c r="S576" t="s">
        <v>186</v>
      </c>
      <c r="T576" t="s">
        <v>185</v>
      </c>
      <c r="U576">
        <v>60472</v>
      </c>
      <c r="V576">
        <v>5</v>
      </c>
      <c r="W576">
        <f>MONTH(T576)</f>
        <v>11</v>
      </c>
      <c r="X576">
        <f>YEAR(T576)</f>
        <v>2023</v>
      </c>
      <c r="Y576" s="26" t="str">
        <f>X576&amp;"-"&amp;W576</f>
        <v>2023-11</v>
      </c>
    </row>
    <row r="577" spans="18:25" x14ac:dyDescent="0.25">
      <c r="R577" t="s">
        <v>10</v>
      </c>
      <c r="S577" t="s">
        <v>116</v>
      </c>
      <c r="T577" t="s">
        <v>189</v>
      </c>
      <c r="U577">
        <v>63399</v>
      </c>
      <c r="V577">
        <v>7</v>
      </c>
      <c r="W577">
        <f>MONTH(T577)</f>
        <v>11</v>
      </c>
      <c r="X577">
        <f>YEAR(T577)</f>
        <v>2023</v>
      </c>
      <c r="Y577" s="26" t="str">
        <f>X577&amp;"-"&amp;W577</f>
        <v>2023-11</v>
      </c>
    </row>
    <row r="578" spans="18:25" x14ac:dyDescent="0.25">
      <c r="R578" t="s">
        <v>10</v>
      </c>
      <c r="S578" t="s">
        <v>35</v>
      </c>
      <c r="T578" t="s">
        <v>210</v>
      </c>
      <c r="U578">
        <v>96835</v>
      </c>
      <c r="V578">
        <v>6</v>
      </c>
      <c r="W578">
        <f>MONTH(T578)</f>
        <v>11</v>
      </c>
      <c r="X578">
        <f>YEAR(T578)</f>
        <v>2023</v>
      </c>
      <c r="Y578" s="26" t="str">
        <f>X578&amp;"-"&amp;W578</f>
        <v>2023-11</v>
      </c>
    </row>
    <row r="579" spans="18:25" x14ac:dyDescent="0.25">
      <c r="R579" t="s">
        <v>10</v>
      </c>
      <c r="S579" t="s">
        <v>152</v>
      </c>
      <c r="T579" t="s">
        <v>228</v>
      </c>
      <c r="U579">
        <v>91099</v>
      </c>
      <c r="V579">
        <v>7</v>
      </c>
      <c r="W579">
        <f>MONTH(T579)</f>
        <v>12</v>
      </c>
      <c r="X579">
        <f>YEAR(T579)</f>
        <v>2023</v>
      </c>
      <c r="Y579" s="26" t="str">
        <f>X579&amp;"-"&amp;W579</f>
        <v>2023-12</v>
      </c>
    </row>
    <row r="580" spans="18:25" x14ac:dyDescent="0.25">
      <c r="R580" t="s">
        <v>10</v>
      </c>
      <c r="S580" t="s">
        <v>231</v>
      </c>
      <c r="T580" t="s">
        <v>230</v>
      </c>
      <c r="U580">
        <v>87469</v>
      </c>
      <c r="V580">
        <v>8</v>
      </c>
      <c r="W580">
        <f>MONTH(T580)</f>
        <v>12</v>
      </c>
      <c r="X580">
        <f>YEAR(T580)</f>
        <v>2023</v>
      </c>
      <c r="Y580" s="26" t="str">
        <f>X580&amp;"-"&amp;W580</f>
        <v>2023-12</v>
      </c>
    </row>
    <row r="581" spans="18:25" x14ac:dyDescent="0.25">
      <c r="R581" t="s">
        <v>10</v>
      </c>
      <c r="S581" t="s">
        <v>41</v>
      </c>
      <c r="T581" t="s">
        <v>238</v>
      </c>
      <c r="U581">
        <v>48416</v>
      </c>
      <c r="V581">
        <v>2</v>
      </c>
      <c r="W581">
        <f>MONTH(T581)</f>
        <v>12</v>
      </c>
      <c r="X581">
        <f>YEAR(T581)</f>
        <v>2023</v>
      </c>
      <c r="Y581" s="26" t="str">
        <f>X581&amp;"-"&amp;W581</f>
        <v>2023-12</v>
      </c>
    </row>
    <row r="582" spans="18:25" x14ac:dyDescent="0.25">
      <c r="R582" t="s">
        <v>10</v>
      </c>
      <c r="S582" t="s">
        <v>144</v>
      </c>
      <c r="T582" t="s">
        <v>240</v>
      </c>
      <c r="U582">
        <v>39107</v>
      </c>
      <c r="V582">
        <v>9</v>
      </c>
      <c r="W582">
        <f>MONTH(T582)</f>
        <v>12</v>
      </c>
      <c r="X582">
        <f>YEAR(T582)</f>
        <v>2023</v>
      </c>
      <c r="Y582" s="26" t="str">
        <f>X582&amp;"-"&amp;W582</f>
        <v>2023-12</v>
      </c>
    </row>
    <row r="583" spans="18:25" x14ac:dyDescent="0.25">
      <c r="R583" t="s">
        <v>10</v>
      </c>
      <c r="S583" t="s">
        <v>200</v>
      </c>
      <c r="T583" t="s">
        <v>241</v>
      </c>
      <c r="U583">
        <v>24943</v>
      </c>
      <c r="V583">
        <v>0</v>
      </c>
      <c r="W583">
        <f>MONTH(T583)</f>
        <v>12</v>
      </c>
      <c r="X583">
        <f>YEAR(T583)</f>
        <v>2023</v>
      </c>
      <c r="Y583" s="26" t="str">
        <f>X583&amp;"-"&amp;W583</f>
        <v>2023-12</v>
      </c>
    </row>
    <row r="584" spans="18:25" x14ac:dyDescent="0.25">
      <c r="R584" t="s">
        <v>10</v>
      </c>
      <c r="S584" t="s">
        <v>129</v>
      </c>
      <c r="T584" t="s">
        <v>246</v>
      </c>
      <c r="U584">
        <v>25383</v>
      </c>
      <c r="V584">
        <v>7</v>
      </c>
      <c r="W584">
        <f>MONTH(T584)</f>
        <v>12</v>
      </c>
      <c r="X584">
        <f>YEAR(T584)</f>
        <v>2023</v>
      </c>
      <c r="Y584" s="26" t="str">
        <f>X584&amp;"-"&amp;W584</f>
        <v>2023-12</v>
      </c>
    </row>
    <row r="585" spans="18:25" x14ac:dyDescent="0.25">
      <c r="R585" t="s">
        <v>10</v>
      </c>
      <c r="S585" t="s">
        <v>75</v>
      </c>
      <c r="T585" t="s">
        <v>251</v>
      </c>
      <c r="U585">
        <v>23872</v>
      </c>
      <c r="V585">
        <v>7</v>
      </c>
      <c r="W585">
        <f>MONTH(T585)</f>
        <v>12</v>
      </c>
      <c r="X585">
        <f>YEAR(T585)</f>
        <v>2023</v>
      </c>
      <c r="Y585" s="26" t="str">
        <f>X585&amp;"-"&amp;W585</f>
        <v>2023-12</v>
      </c>
    </row>
    <row r="586" spans="18:25" x14ac:dyDescent="0.25">
      <c r="R586" t="s">
        <v>10</v>
      </c>
      <c r="S586" t="s">
        <v>136</v>
      </c>
      <c r="T586" t="s">
        <v>251</v>
      </c>
      <c r="U586">
        <v>68993</v>
      </c>
      <c r="V586">
        <v>9</v>
      </c>
      <c r="W586">
        <f>MONTH(T586)</f>
        <v>12</v>
      </c>
      <c r="X586">
        <f>YEAR(T586)</f>
        <v>2023</v>
      </c>
      <c r="Y586" s="26" t="str">
        <f>X586&amp;"-"&amp;W586</f>
        <v>2023-12</v>
      </c>
    </row>
    <row r="587" spans="18:25" x14ac:dyDescent="0.25">
      <c r="R587" t="s">
        <v>10</v>
      </c>
      <c r="S587" t="s">
        <v>162</v>
      </c>
      <c r="T587" t="s">
        <v>276</v>
      </c>
      <c r="U587">
        <v>72293</v>
      </c>
      <c r="V587">
        <v>3</v>
      </c>
      <c r="W587">
        <f>MONTH(T587)</f>
        <v>1</v>
      </c>
      <c r="X587">
        <f>YEAR(T587)</f>
        <v>2024</v>
      </c>
      <c r="Y587" s="26" t="str">
        <f>X587&amp;"-"&amp;W587</f>
        <v>2024-1</v>
      </c>
    </row>
    <row r="588" spans="18:25" x14ac:dyDescent="0.25">
      <c r="R588" t="s">
        <v>10</v>
      </c>
      <c r="S588" t="s">
        <v>239</v>
      </c>
      <c r="T588" t="s">
        <v>277</v>
      </c>
      <c r="U588">
        <v>68430</v>
      </c>
      <c r="V588">
        <v>6</v>
      </c>
      <c r="W588">
        <f>MONTH(T588)</f>
        <v>1</v>
      </c>
      <c r="X588">
        <f>YEAR(T588)</f>
        <v>2024</v>
      </c>
      <c r="Y588" s="26" t="str">
        <f>X588&amp;"-"&amp;W588</f>
        <v>2024-1</v>
      </c>
    </row>
    <row r="589" spans="18:25" x14ac:dyDescent="0.25">
      <c r="R589" t="s">
        <v>10</v>
      </c>
      <c r="S589" t="s">
        <v>173</v>
      </c>
      <c r="T589" t="s">
        <v>278</v>
      </c>
      <c r="U589">
        <v>73072</v>
      </c>
      <c r="V589">
        <v>1</v>
      </c>
      <c r="W589">
        <f>MONTH(T589)</f>
        <v>1</v>
      </c>
      <c r="X589">
        <f>YEAR(T589)</f>
        <v>2024</v>
      </c>
      <c r="Y589" s="26" t="str">
        <f>X589&amp;"-"&amp;W589</f>
        <v>2024-1</v>
      </c>
    </row>
    <row r="590" spans="18:25" x14ac:dyDescent="0.25">
      <c r="R590" t="s">
        <v>10</v>
      </c>
      <c r="S590" t="s">
        <v>126</v>
      </c>
      <c r="T590" t="s">
        <v>278</v>
      </c>
      <c r="U590">
        <v>39083</v>
      </c>
      <c r="V590">
        <v>3</v>
      </c>
      <c r="W590">
        <f>MONTH(T590)</f>
        <v>1</v>
      </c>
      <c r="X590">
        <f>YEAR(T590)</f>
        <v>2024</v>
      </c>
      <c r="Y590" s="26" t="str">
        <f>X590&amp;"-"&amp;W590</f>
        <v>2024-1</v>
      </c>
    </row>
    <row r="591" spans="18:25" x14ac:dyDescent="0.25">
      <c r="R591" t="s">
        <v>10</v>
      </c>
      <c r="S591" t="s">
        <v>67</v>
      </c>
      <c r="T591" t="s">
        <v>281</v>
      </c>
      <c r="U591">
        <v>20763</v>
      </c>
      <c r="V591">
        <v>7</v>
      </c>
      <c r="W591">
        <f>MONTH(T591)</f>
        <v>1</v>
      </c>
      <c r="X591">
        <f>YEAR(T591)</f>
        <v>2024</v>
      </c>
      <c r="Y591" s="26" t="str">
        <f>X591&amp;"-"&amp;W591</f>
        <v>2024-1</v>
      </c>
    </row>
    <row r="592" spans="18:25" x14ac:dyDescent="0.25">
      <c r="R592" t="s">
        <v>10</v>
      </c>
      <c r="S592" t="s">
        <v>74</v>
      </c>
      <c r="T592" t="s">
        <v>282</v>
      </c>
      <c r="U592">
        <v>40123</v>
      </c>
      <c r="V592">
        <v>8</v>
      </c>
      <c r="W592">
        <f>MONTH(T592)</f>
        <v>1</v>
      </c>
      <c r="X592">
        <f>YEAR(T592)</f>
        <v>2024</v>
      </c>
      <c r="Y592" s="26" t="str">
        <f>X592&amp;"-"&amp;W592</f>
        <v>2024-1</v>
      </c>
    </row>
    <row r="593" spans="18:25" x14ac:dyDescent="0.25">
      <c r="R593" t="s">
        <v>10</v>
      </c>
      <c r="S593" t="s">
        <v>139</v>
      </c>
      <c r="T593" t="s">
        <v>282</v>
      </c>
      <c r="U593">
        <v>65035</v>
      </c>
      <c r="V593">
        <v>5</v>
      </c>
      <c r="W593">
        <f>MONTH(T593)</f>
        <v>1</v>
      </c>
      <c r="X593">
        <f>YEAR(T593)</f>
        <v>2024</v>
      </c>
      <c r="Y593" s="26" t="str">
        <f>X593&amp;"-"&amp;W593</f>
        <v>2024-1</v>
      </c>
    </row>
    <row r="594" spans="18:25" x14ac:dyDescent="0.25">
      <c r="R594" t="s">
        <v>10</v>
      </c>
      <c r="S594" t="s">
        <v>106</v>
      </c>
      <c r="T594" t="s">
        <v>286</v>
      </c>
      <c r="U594">
        <v>58634</v>
      </c>
      <c r="V594">
        <v>0</v>
      </c>
      <c r="W594">
        <f>MONTH(T594)</f>
        <v>2</v>
      </c>
      <c r="X594">
        <f>YEAR(T594)</f>
        <v>2024</v>
      </c>
      <c r="Y594" s="26" t="str">
        <f>X594&amp;"-"&amp;W594</f>
        <v>2024-2</v>
      </c>
    </row>
    <row r="595" spans="18:25" x14ac:dyDescent="0.25">
      <c r="R595" t="s">
        <v>10</v>
      </c>
      <c r="S595" t="s">
        <v>142</v>
      </c>
      <c r="T595" t="s">
        <v>290</v>
      </c>
      <c r="U595">
        <v>26476</v>
      </c>
      <c r="V595">
        <v>0</v>
      </c>
      <c r="W595">
        <f>MONTH(T595)</f>
        <v>2</v>
      </c>
      <c r="X595">
        <f>YEAR(T595)</f>
        <v>2024</v>
      </c>
      <c r="Y595" s="26" t="str">
        <f>X595&amp;"-"&amp;W595</f>
        <v>2024-2</v>
      </c>
    </row>
    <row r="596" spans="18:25" x14ac:dyDescent="0.25">
      <c r="R596" t="s">
        <v>10</v>
      </c>
      <c r="S596" t="s">
        <v>217</v>
      </c>
      <c r="T596" t="s">
        <v>292</v>
      </c>
      <c r="U596">
        <v>69956</v>
      </c>
      <c r="V596">
        <v>3</v>
      </c>
      <c r="W596">
        <f>MONTH(T596)</f>
        <v>2</v>
      </c>
      <c r="X596">
        <f>YEAR(T596)</f>
        <v>2024</v>
      </c>
      <c r="Y596" s="26" t="str">
        <f>X596&amp;"-"&amp;W596</f>
        <v>2024-2</v>
      </c>
    </row>
    <row r="597" spans="18:25" x14ac:dyDescent="0.25">
      <c r="R597" t="s">
        <v>10</v>
      </c>
      <c r="S597" t="s">
        <v>295</v>
      </c>
      <c r="T597" t="s">
        <v>294</v>
      </c>
      <c r="U597">
        <v>85979</v>
      </c>
      <c r="V597">
        <v>6</v>
      </c>
      <c r="W597">
        <f>MONTH(T597)</f>
        <v>2</v>
      </c>
      <c r="X597">
        <f>YEAR(T597)</f>
        <v>2024</v>
      </c>
      <c r="Y597" s="26" t="str">
        <f>X597&amp;"-"&amp;W597</f>
        <v>2024-2</v>
      </c>
    </row>
    <row r="598" spans="18:25" x14ac:dyDescent="0.25">
      <c r="R598" t="s">
        <v>10</v>
      </c>
      <c r="S598" t="s">
        <v>149</v>
      </c>
      <c r="T598" t="s">
        <v>297</v>
      </c>
      <c r="U598">
        <v>64084</v>
      </c>
      <c r="V598">
        <v>5</v>
      </c>
      <c r="W598">
        <f>MONTH(T598)</f>
        <v>2</v>
      </c>
      <c r="X598">
        <f>YEAR(T598)</f>
        <v>2024</v>
      </c>
      <c r="Y598" s="26" t="str">
        <f>X598&amp;"-"&amp;W598</f>
        <v>2024-2</v>
      </c>
    </row>
    <row r="599" spans="18:25" x14ac:dyDescent="0.25">
      <c r="R599" t="s">
        <v>10</v>
      </c>
      <c r="S599" t="s">
        <v>298</v>
      </c>
      <c r="T599" t="s">
        <v>297</v>
      </c>
      <c r="U599">
        <v>90026</v>
      </c>
      <c r="V599">
        <v>9</v>
      </c>
      <c r="W599">
        <f>MONTH(T599)</f>
        <v>2</v>
      </c>
      <c r="X599">
        <f>YEAR(T599)</f>
        <v>2024</v>
      </c>
      <c r="Y599" s="26" t="str">
        <f>X599&amp;"-"&amp;W599</f>
        <v>2024-2</v>
      </c>
    </row>
    <row r="600" spans="18:25" x14ac:dyDescent="0.25">
      <c r="R600" t="s">
        <v>10</v>
      </c>
      <c r="S600" t="s">
        <v>248</v>
      </c>
      <c r="T600" t="s">
        <v>302</v>
      </c>
      <c r="U600">
        <v>23412</v>
      </c>
      <c r="V600">
        <v>9</v>
      </c>
      <c r="W600">
        <f>MONTH(T600)</f>
        <v>2</v>
      </c>
      <c r="X600">
        <f>YEAR(T600)</f>
        <v>2024</v>
      </c>
      <c r="Y600" s="26" t="str">
        <f>X600&amp;"-"&amp;W600</f>
        <v>2024-2</v>
      </c>
    </row>
    <row r="601" spans="18:25" x14ac:dyDescent="0.25">
      <c r="R601" t="s">
        <v>10</v>
      </c>
      <c r="S601" t="s">
        <v>50</v>
      </c>
      <c r="T601" t="s">
        <v>305</v>
      </c>
      <c r="U601">
        <v>57303</v>
      </c>
      <c r="V601">
        <v>6</v>
      </c>
      <c r="W601">
        <f>MONTH(T601)</f>
        <v>2</v>
      </c>
      <c r="X601">
        <f>YEAR(T601)</f>
        <v>2024</v>
      </c>
      <c r="Y601" s="26" t="str">
        <f>X601&amp;"-"&amp;W601</f>
        <v>2024-2</v>
      </c>
    </row>
    <row r="602" spans="18:25" x14ac:dyDescent="0.25">
      <c r="R602" t="s">
        <v>10</v>
      </c>
      <c r="S602" t="s">
        <v>132</v>
      </c>
      <c r="T602" t="s">
        <v>314</v>
      </c>
      <c r="U602">
        <v>92363</v>
      </c>
      <c r="V602">
        <v>2</v>
      </c>
      <c r="W602">
        <f>MONTH(T602)</f>
        <v>2</v>
      </c>
      <c r="X602">
        <f>YEAR(T602)</f>
        <v>2024</v>
      </c>
      <c r="Y602" s="26" t="str">
        <f>X602&amp;"-"&amp;W602</f>
        <v>2024-2</v>
      </c>
    </row>
    <row r="603" spans="18:25" x14ac:dyDescent="0.25">
      <c r="R603" t="s">
        <v>10</v>
      </c>
      <c r="S603" t="s">
        <v>99</v>
      </c>
      <c r="T603" t="s">
        <v>314</v>
      </c>
      <c r="U603">
        <v>97000</v>
      </c>
      <c r="V603">
        <v>8</v>
      </c>
      <c r="W603">
        <f>MONTH(T603)</f>
        <v>2</v>
      </c>
      <c r="X603">
        <f>YEAR(T603)</f>
        <v>2024</v>
      </c>
      <c r="Y603" s="26" t="str">
        <f>X603&amp;"-"&amp;W603</f>
        <v>2024-2</v>
      </c>
    </row>
    <row r="604" spans="18:25" x14ac:dyDescent="0.25">
      <c r="R604" t="s">
        <v>10</v>
      </c>
      <c r="S604" t="s">
        <v>248</v>
      </c>
      <c r="T604" t="s">
        <v>314</v>
      </c>
      <c r="U604">
        <v>17782</v>
      </c>
      <c r="V604">
        <v>6</v>
      </c>
      <c r="W604">
        <f>MONTH(T604)</f>
        <v>2</v>
      </c>
      <c r="X604">
        <f>YEAR(T604)</f>
        <v>2024</v>
      </c>
      <c r="Y604" s="26" t="str">
        <f>X604&amp;"-"&amp;W604</f>
        <v>2024-2</v>
      </c>
    </row>
    <row r="605" spans="18:25" x14ac:dyDescent="0.25">
      <c r="R605" t="s">
        <v>10</v>
      </c>
      <c r="S605" t="s">
        <v>247</v>
      </c>
      <c r="T605" t="s">
        <v>320</v>
      </c>
      <c r="U605">
        <v>97658</v>
      </c>
      <c r="V605">
        <v>7</v>
      </c>
      <c r="W605">
        <f>MONTH(T605)</f>
        <v>3</v>
      </c>
      <c r="X605">
        <f>YEAR(T605)</f>
        <v>2024</v>
      </c>
      <c r="Y605" s="26" t="str">
        <f>X605&amp;"-"&amp;W605</f>
        <v>2024-3</v>
      </c>
    </row>
    <row r="606" spans="18:25" x14ac:dyDescent="0.25">
      <c r="R606" t="s">
        <v>10</v>
      </c>
      <c r="S606" t="s">
        <v>224</v>
      </c>
      <c r="T606" t="s">
        <v>339</v>
      </c>
      <c r="U606">
        <v>11498</v>
      </c>
      <c r="V606">
        <v>7</v>
      </c>
      <c r="W606">
        <f>MONTH(T606)</f>
        <v>3</v>
      </c>
      <c r="X606">
        <f>YEAR(T606)</f>
        <v>2024</v>
      </c>
      <c r="Y606" s="26" t="str">
        <f>X606&amp;"-"&amp;W606</f>
        <v>2024-3</v>
      </c>
    </row>
    <row r="607" spans="18:25" x14ac:dyDescent="0.25">
      <c r="R607" t="s">
        <v>10</v>
      </c>
      <c r="S607" t="s">
        <v>96</v>
      </c>
      <c r="T607" t="s">
        <v>343</v>
      </c>
      <c r="U607">
        <v>78471</v>
      </c>
      <c r="V607">
        <v>6</v>
      </c>
      <c r="W607">
        <f>MONTH(T607)</f>
        <v>4</v>
      </c>
      <c r="X607">
        <f>YEAR(T607)</f>
        <v>2024</v>
      </c>
      <c r="Y607" s="26" t="str">
        <f>X607&amp;"-"&amp;W607</f>
        <v>2024-4</v>
      </c>
    </row>
    <row r="608" spans="18:25" x14ac:dyDescent="0.25">
      <c r="R608" t="s">
        <v>10</v>
      </c>
      <c r="S608" t="s">
        <v>296</v>
      </c>
      <c r="T608" t="s">
        <v>345</v>
      </c>
      <c r="U608">
        <v>65461</v>
      </c>
      <c r="V608">
        <v>6</v>
      </c>
      <c r="W608">
        <f>MONTH(T608)</f>
        <v>4</v>
      </c>
      <c r="X608">
        <f>YEAR(T608)</f>
        <v>2024</v>
      </c>
      <c r="Y608" s="26" t="str">
        <f>X608&amp;"-"&amp;W608</f>
        <v>2024-4</v>
      </c>
    </row>
    <row r="609" spans="18:25" x14ac:dyDescent="0.25">
      <c r="R609" t="s">
        <v>10</v>
      </c>
      <c r="S609" t="s">
        <v>346</v>
      </c>
      <c r="T609" t="s">
        <v>354</v>
      </c>
      <c r="U609">
        <v>73411</v>
      </c>
      <c r="V609">
        <v>9</v>
      </c>
      <c r="W609">
        <f>MONTH(T609)</f>
        <v>4</v>
      </c>
      <c r="X609">
        <f>YEAR(T609)</f>
        <v>2024</v>
      </c>
      <c r="Y609" s="26" t="str">
        <f>X609&amp;"-"&amp;W609</f>
        <v>2024-4</v>
      </c>
    </row>
    <row r="610" spans="18:25" x14ac:dyDescent="0.25">
      <c r="R610" t="s">
        <v>10</v>
      </c>
      <c r="S610" t="s">
        <v>50</v>
      </c>
      <c r="T610" t="s">
        <v>359</v>
      </c>
      <c r="U610">
        <v>82962</v>
      </c>
      <c r="V610">
        <v>5</v>
      </c>
      <c r="W610">
        <f>MONTH(T610)</f>
        <v>4</v>
      </c>
      <c r="X610">
        <f>YEAR(T610)</f>
        <v>2024</v>
      </c>
      <c r="Y610" s="26" t="str">
        <f>X610&amp;"-"&amp;W610</f>
        <v>2024-4</v>
      </c>
    </row>
    <row r="611" spans="18:25" x14ac:dyDescent="0.25">
      <c r="R611" t="s">
        <v>10</v>
      </c>
      <c r="S611" t="s">
        <v>113</v>
      </c>
      <c r="T611" t="s">
        <v>362</v>
      </c>
      <c r="U611">
        <v>48698</v>
      </c>
      <c r="V611">
        <v>8</v>
      </c>
      <c r="W611">
        <f>MONTH(T611)</f>
        <v>4</v>
      </c>
      <c r="X611">
        <f>YEAR(T611)</f>
        <v>2024</v>
      </c>
      <c r="Y611" s="26" t="str">
        <f>X611&amp;"-"&amp;W611</f>
        <v>2024-4</v>
      </c>
    </row>
    <row r="612" spans="18:25" x14ac:dyDescent="0.25">
      <c r="R612" t="s">
        <v>10</v>
      </c>
      <c r="S612" t="s">
        <v>279</v>
      </c>
      <c r="T612" t="s">
        <v>365</v>
      </c>
      <c r="U612">
        <v>72259</v>
      </c>
      <c r="V612">
        <v>6</v>
      </c>
      <c r="W612">
        <f>MONTH(T612)</f>
        <v>4</v>
      </c>
      <c r="X612">
        <f>YEAR(T612)</f>
        <v>2024</v>
      </c>
      <c r="Y612" s="26" t="str">
        <f>X612&amp;"-"&amp;W612</f>
        <v>2024-4</v>
      </c>
    </row>
    <row r="613" spans="18:25" x14ac:dyDescent="0.25">
      <c r="R613" t="s">
        <v>10</v>
      </c>
      <c r="S613" t="s">
        <v>137</v>
      </c>
      <c r="T613" t="s">
        <v>365</v>
      </c>
      <c r="U613">
        <v>57241</v>
      </c>
      <c r="V613">
        <v>10</v>
      </c>
      <c r="W613">
        <f>MONTH(T613)</f>
        <v>4</v>
      </c>
      <c r="X613">
        <f>YEAR(T613)</f>
        <v>2024</v>
      </c>
      <c r="Y613" s="26" t="str">
        <f>X613&amp;"-"&amp;W613</f>
        <v>2024-4</v>
      </c>
    </row>
    <row r="614" spans="18:25" x14ac:dyDescent="0.25">
      <c r="R614" t="s">
        <v>10</v>
      </c>
      <c r="S614" t="s">
        <v>346</v>
      </c>
      <c r="T614" t="s">
        <v>368</v>
      </c>
      <c r="U614">
        <v>36770</v>
      </c>
      <c r="V614">
        <v>7</v>
      </c>
      <c r="W614">
        <f>MONTH(T614)</f>
        <v>5</v>
      </c>
      <c r="X614">
        <f>YEAR(T614)</f>
        <v>2024</v>
      </c>
      <c r="Y614" s="26" t="str">
        <f>X614&amp;"-"&amp;W614</f>
        <v>2024-5</v>
      </c>
    </row>
    <row r="615" spans="18:25" x14ac:dyDescent="0.25">
      <c r="R615" t="s">
        <v>10</v>
      </c>
      <c r="S615" t="s">
        <v>21</v>
      </c>
      <c r="T615" t="s">
        <v>370</v>
      </c>
      <c r="U615">
        <v>31319</v>
      </c>
      <c r="V615">
        <v>8</v>
      </c>
      <c r="W615">
        <f>MONTH(T615)</f>
        <v>5</v>
      </c>
      <c r="X615">
        <f>YEAR(T615)</f>
        <v>2024</v>
      </c>
      <c r="Y615" s="26" t="str">
        <f>X615&amp;"-"&amp;W615</f>
        <v>2024-5</v>
      </c>
    </row>
    <row r="616" spans="18:25" x14ac:dyDescent="0.25">
      <c r="R616" t="s">
        <v>10</v>
      </c>
      <c r="S616" t="s">
        <v>287</v>
      </c>
      <c r="T616" t="s">
        <v>373</v>
      </c>
      <c r="U616">
        <v>59734</v>
      </c>
      <c r="V616">
        <v>0</v>
      </c>
      <c r="W616">
        <f>MONTH(T616)</f>
        <v>5</v>
      </c>
      <c r="X616">
        <f>YEAR(T616)</f>
        <v>2024</v>
      </c>
      <c r="Y616" s="26" t="str">
        <f>X616&amp;"-"&amp;W616</f>
        <v>2024-5</v>
      </c>
    </row>
    <row r="617" spans="18:25" x14ac:dyDescent="0.25">
      <c r="R617" t="s">
        <v>10</v>
      </c>
      <c r="S617" t="s">
        <v>114</v>
      </c>
      <c r="T617" t="s">
        <v>374</v>
      </c>
      <c r="U617">
        <v>37379</v>
      </c>
      <c r="V617">
        <v>8</v>
      </c>
      <c r="W617">
        <f>MONTH(T617)</f>
        <v>5</v>
      </c>
      <c r="X617">
        <f>YEAR(T617)</f>
        <v>2024</v>
      </c>
      <c r="Y617" s="26" t="str">
        <f>X617&amp;"-"&amp;W617</f>
        <v>2024-5</v>
      </c>
    </row>
    <row r="618" spans="18:25" x14ac:dyDescent="0.25">
      <c r="R618" t="s">
        <v>10</v>
      </c>
      <c r="S618" t="s">
        <v>300</v>
      </c>
      <c r="T618" t="s">
        <v>376</v>
      </c>
      <c r="U618">
        <v>33701</v>
      </c>
      <c r="V618">
        <v>7</v>
      </c>
      <c r="W618">
        <f>MONTH(T618)</f>
        <v>5</v>
      </c>
      <c r="X618">
        <f>YEAR(T618)</f>
        <v>2024</v>
      </c>
      <c r="Y618" s="26" t="str">
        <f>X618&amp;"-"&amp;W618</f>
        <v>2024-5</v>
      </c>
    </row>
    <row r="619" spans="18:25" x14ac:dyDescent="0.25">
      <c r="R619" t="s">
        <v>10</v>
      </c>
      <c r="S619" t="s">
        <v>69</v>
      </c>
      <c r="T619" t="s">
        <v>378</v>
      </c>
      <c r="U619">
        <v>73299</v>
      </c>
      <c r="V619">
        <v>4</v>
      </c>
      <c r="W619">
        <f>MONTH(T619)</f>
        <v>5</v>
      </c>
      <c r="X619">
        <f>YEAR(T619)</f>
        <v>2024</v>
      </c>
      <c r="Y619" s="26" t="str">
        <f>X619&amp;"-"&amp;W619</f>
        <v>2024-5</v>
      </c>
    </row>
    <row r="620" spans="18:25" x14ac:dyDescent="0.25">
      <c r="R620" t="s">
        <v>10</v>
      </c>
      <c r="S620" t="s">
        <v>382</v>
      </c>
      <c r="T620" t="s">
        <v>383</v>
      </c>
      <c r="U620">
        <v>40276</v>
      </c>
      <c r="V620">
        <v>5</v>
      </c>
      <c r="W620">
        <f>MONTH(T620)</f>
        <v>5</v>
      </c>
      <c r="X620">
        <f>YEAR(T620)</f>
        <v>2024</v>
      </c>
      <c r="Y620" s="26" t="str">
        <f>X620&amp;"-"&amp;W620</f>
        <v>2024-5</v>
      </c>
    </row>
    <row r="621" spans="18:25" x14ac:dyDescent="0.25">
      <c r="R621" t="s">
        <v>10</v>
      </c>
      <c r="S621" t="s">
        <v>68</v>
      </c>
      <c r="T621" t="s">
        <v>383</v>
      </c>
      <c r="U621">
        <v>93215</v>
      </c>
      <c r="V621">
        <v>5</v>
      </c>
      <c r="W621">
        <f>MONTH(T621)</f>
        <v>5</v>
      </c>
      <c r="X621">
        <f>YEAR(T621)</f>
        <v>2024</v>
      </c>
      <c r="Y621" s="26" t="str">
        <f>X621&amp;"-"&amp;W621</f>
        <v>2024-5</v>
      </c>
    </row>
    <row r="622" spans="18:25" x14ac:dyDescent="0.25">
      <c r="R622" t="s">
        <v>10</v>
      </c>
      <c r="S622" t="s">
        <v>125</v>
      </c>
      <c r="T622" t="s">
        <v>383</v>
      </c>
      <c r="U622">
        <v>89799</v>
      </c>
      <c r="V622">
        <v>7</v>
      </c>
      <c r="W622">
        <f>MONTH(T622)</f>
        <v>5</v>
      </c>
      <c r="X622">
        <f>YEAR(T622)</f>
        <v>2024</v>
      </c>
      <c r="Y622" s="26" t="str">
        <f>X622&amp;"-"&amp;W622</f>
        <v>2024-5</v>
      </c>
    </row>
    <row r="623" spans="18:25" x14ac:dyDescent="0.25">
      <c r="R623" t="s">
        <v>10</v>
      </c>
      <c r="S623" t="s">
        <v>177</v>
      </c>
      <c r="T623" t="s">
        <v>388</v>
      </c>
      <c r="U623">
        <v>43138</v>
      </c>
      <c r="V623">
        <v>8</v>
      </c>
      <c r="W623">
        <f>MONTH(T623)</f>
        <v>5</v>
      </c>
      <c r="X623">
        <f>YEAR(T623)</f>
        <v>2024</v>
      </c>
      <c r="Y623" s="26" t="str">
        <f>X623&amp;"-"&amp;W623</f>
        <v>2024-5</v>
      </c>
    </row>
    <row r="624" spans="18:25" x14ac:dyDescent="0.25">
      <c r="R624" t="s">
        <v>10</v>
      </c>
      <c r="S624" t="s">
        <v>287</v>
      </c>
      <c r="T624" t="s">
        <v>390</v>
      </c>
      <c r="U624">
        <v>79823</v>
      </c>
      <c r="V624">
        <v>7</v>
      </c>
      <c r="W624">
        <f>MONTH(T624)</f>
        <v>5</v>
      </c>
      <c r="X624">
        <f>YEAR(T624)</f>
        <v>2024</v>
      </c>
      <c r="Y624" s="26" t="str">
        <f>X624&amp;"-"&amp;W624</f>
        <v>2024-5</v>
      </c>
    </row>
    <row r="625" spans="18:25" x14ac:dyDescent="0.25">
      <c r="R625" t="s">
        <v>10</v>
      </c>
      <c r="S625" t="s">
        <v>22</v>
      </c>
      <c r="T625" t="s">
        <v>392</v>
      </c>
      <c r="U625">
        <v>36169</v>
      </c>
      <c r="V625">
        <v>1</v>
      </c>
      <c r="W625">
        <f>MONTH(T625)</f>
        <v>5</v>
      </c>
      <c r="X625">
        <f>YEAR(T625)</f>
        <v>2024</v>
      </c>
      <c r="Y625" s="26" t="str">
        <f>X625&amp;"-"&amp;W625</f>
        <v>2024-5</v>
      </c>
    </row>
    <row r="626" spans="18:25" x14ac:dyDescent="0.25">
      <c r="R626" t="s">
        <v>10</v>
      </c>
      <c r="S626" t="s">
        <v>393</v>
      </c>
      <c r="T626" t="s">
        <v>399</v>
      </c>
      <c r="U626">
        <v>28121</v>
      </c>
      <c r="V626">
        <v>5</v>
      </c>
      <c r="W626">
        <f>MONTH(T626)</f>
        <v>6</v>
      </c>
      <c r="X626">
        <f>YEAR(T626)</f>
        <v>2024</v>
      </c>
      <c r="Y626" s="26" t="str">
        <f>X626&amp;"-"&amp;W626</f>
        <v>2024-6</v>
      </c>
    </row>
    <row r="627" spans="18:25" x14ac:dyDescent="0.25">
      <c r="R627" t="s">
        <v>10</v>
      </c>
      <c r="S627" t="s">
        <v>187</v>
      </c>
      <c r="T627" t="s">
        <v>401</v>
      </c>
      <c r="U627">
        <v>49288</v>
      </c>
      <c r="V627">
        <v>8</v>
      </c>
      <c r="W627">
        <f>MONTH(T627)</f>
        <v>6</v>
      </c>
      <c r="X627">
        <f>YEAR(T627)</f>
        <v>2024</v>
      </c>
      <c r="Y627" s="26" t="str">
        <f>X627&amp;"-"&amp;W627</f>
        <v>2024-6</v>
      </c>
    </row>
    <row r="628" spans="18:25" x14ac:dyDescent="0.25">
      <c r="R628" t="s">
        <v>10</v>
      </c>
      <c r="S628" t="s">
        <v>153</v>
      </c>
      <c r="T628" t="s">
        <v>402</v>
      </c>
      <c r="U628">
        <v>11257</v>
      </c>
      <c r="V628">
        <v>8</v>
      </c>
      <c r="W628">
        <f>MONTH(T628)</f>
        <v>6</v>
      </c>
      <c r="X628">
        <f>YEAR(T628)</f>
        <v>2024</v>
      </c>
      <c r="Y628" s="26" t="str">
        <f>X628&amp;"-"&amp;W628</f>
        <v>2024-6</v>
      </c>
    </row>
    <row r="629" spans="18:25" x14ac:dyDescent="0.25">
      <c r="R629" t="s">
        <v>10</v>
      </c>
      <c r="S629" t="s">
        <v>32</v>
      </c>
      <c r="T629" t="s">
        <v>403</v>
      </c>
      <c r="U629">
        <v>33561</v>
      </c>
      <c r="V629">
        <v>4</v>
      </c>
      <c r="W629">
        <f>MONTH(T629)</f>
        <v>6</v>
      </c>
      <c r="X629">
        <f>YEAR(T629)</f>
        <v>2024</v>
      </c>
      <c r="Y629" s="26" t="str">
        <f>X629&amp;"-"&amp;W629</f>
        <v>2024-6</v>
      </c>
    </row>
    <row r="630" spans="18:25" x14ac:dyDescent="0.25">
      <c r="R630" t="s">
        <v>10</v>
      </c>
      <c r="S630" t="s">
        <v>90</v>
      </c>
      <c r="T630" t="s">
        <v>405</v>
      </c>
      <c r="U630">
        <v>62880</v>
      </c>
      <c r="V630">
        <v>4</v>
      </c>
      <c r="W630">
        <f>MONTH(T630)</f>
        <v>6</v>
      </c>
      <c r="X630">
        <f>YEAR(T630)</f>
        <v>2024</v>
      </c>
      <c r="Y630" s="26" t="str">
        <f>X630&amp;"-"&amp;W630</f>
        <v>2024-6</v>
      </c>
    </row>
    <row r="631" spans="18:25" x14ac:dyDescent="0.25">
      <c r="R631" t="s">
        <v>10</v>
      </c>
      <c r="S631" t="s">
        <v>37</v>
      </c>
      <c r="T631" t="s">
        <v>408</v>
      </c>
      <c r="U631">
        <v>41159</v>
      </c>
      <c r="V631">
        <v>9</v>
      </c>
      <c r="W631">
        <f>MONTH(T631)</f>
        <v>6</v>
      </c>
      <c r="X631">
        <f>YEAR(T631)</f>
        <v>2024</v>
      </c>
      <c r="Y631" s="26" t="str">
        <f>X631&amp;"-"&amp;W631</f>
        <v>2024-6</v>
      </c>
    </row>
    <row r="632" spans="18:25" x14ac:dyDescent="0.25">
      <c r="R632" t="s">
        <v>10</v>
      </c>
      <c r="S632" t="s">
        <v>395</v>
      </c>
      <c r="T632" t="s">
        <v>412</v>
      </c>
      <c r="U632">
        <v>34670</v>
      </c>
      <c r="V632">
        <v>5</v>
      </c>
      <c r="W632">
        <f>MONTH(T632)</f>
        <v>6</v>
      </c>
      <c r="X632">
        <f>YEAR(T632)</f>
        <v>2024</v>
      </c>
      <c r="Y632" s="26" t="str">
        <f>X632&amp;"-"&amp;W632</f>
        <v>2024-6</v>
      </c>
    </row>
    <row r="633" spans="18:25" x14ac:dyDescent="0.25">
      <c r="R633" t="s">
        <v>10</v>
      </c>
      <c r="S633" t="s">
        <v>231</v>
      </c>
      <c r="T633" t="s">
        <v>415</v>
      </c>
      <c r="U633">
        <v>62935</v>
      </c>
      <c r="V633">
        <v>5</v>
      </c>
      <c r="W633">
        <f>MONTH(T633)</f>
        <v>7</v>
      </c>
      <c r="X633">
        <f>YEAR(T633)</f>
        <v>2024</v>
      </c>
      <c r="Y633" s="26" t="str">
        <f>X633&amp;"-"&amp;W633</f>
        <v>2024-7</v>
      </c>
    </row>
    <row r="634" spans="18:25" x14ac:dyDescent="0.25">
      <c r="R634" t="s">
        <v>10</v>
      </c>
      <c r="S634" t="s">
        <v>139</v>
      </c>
      <c r="T634" t="s">
        <v>416</v>
      </c>
      <c r="U634">
        <v>84692</v>
      </c>
      <c r="V634">
        <v>7</v>
      </c>
      <c r="W634">
        <f>MONTH(T634)</f>
        <v>7</v>
      </c>
      <c r="X634">
        <f>YEAR(T634)</f>
        <v>2024</v>
      </c>
      <c r="Y634" s="26" t="str">
        <f>X634&amp;"-"&amp;W634</f>
        <v>2024-7</v>
      </c>
    </row>
    <row r="635" spans="18:25" x14ac:dyDescent="0.25">
      <c r="R635" t="s">
        <v>10</v>
      </c>
      <c r="S635" t="s">
        <v>167</v>
      </c>
      <c r="T635" t="s">
        <v>420</v>
      </c>
      <c r="U635">
        <v>83623</v>
      </c>
      <c r="V635">
        <v>6</v>
      </c>
      <c r="W635">
        <f>MONTH(T635)</f>
        <v>7</v>
      </c>
      <c r="X635">
        <f>YEAR(T635)</f>
        <v>2024</v>
      </c>
      <c r="Y635" s="26" t="str">
        <f>X635&amp;"-"&amp;W635</f>
        <v>2024-7</v>
      </c>
    </row>
    <row r="636" spans="18:25" x14ac:dyDescent="0.25">
      <c r="R636" t="s">
        <v>10</v>
      </c>
      <c r="S636" t="s">
        <v>35</v>
      </c>
      <c r="T636" t="s">
        <v>426</v>
      </c>
      <c r="U636">
        <v>96626</v>
      </c>
      <c r="V636">
        <v>7</v>
      </c>
      <c r="W636">
        <f>MONTH(T636)</f>
        <v>7</v>
      </c>
      <c r="X636">
        <f>YEAR(T636)</f>
        <v>2024</v>
      </c>
      <c r="Y636" s="26" t="str">
        <f>X636&amp;"-"&amp;W636</f>
        <v>2024-7</v>
      </c>
    </row>
    <row r="637" spans="18:25" x14ac:dyDescent="0.25">
      <c r="R637" t="s">
        <v>10</v>
      </c>
      <c r="S637" t="s">
        <v>133</v>
      </c>
      <c r="T637" t="s">
        <v>436</v>
      </c>
      <c r="U637">
        <v>58280</v>
      </c>
      <c r="V637">
        <v>1</v>
      </c>
      <c r="W637">
        <f>MONTH(T637)</f>
        <v>7</v>
      </c>
      <c r="X637">
        <f>YEAR(T637)</f>
        <v>2024</v>
      </c>
      <c r="Y637" s="26" t="str">
        <f>X637&amp;"-"&amp;W637</f>
        <v>2024-7</v>
      </c>
    </row>
    <row r="638" spans="18:25" x14ac:dyDescent="0.25">
      <c r="R638" t="s">
        <v>10</v>
      </c>
      <c r="S638" t="s">
        <v>144</v>
      </c>
      <c r="T638" t="s">
        <v>439</v>
      </c>
      <c r="U638">
        <v>97241</v>
      </c>
      <c r="V638">
        <v>5</v>
      </c>
      <c r="W638">
        <f>MONTH(T638)</f>
        <v>8</v>
      </c>
      <c r="X638">
        <f>YEAR(T638)</f>
        <v>2024</v>
      </c>
      <c r="Y638" s="26" t="str">
        <f>X638&amp;"-"&amp;W638</f>
        <v>2024-8</v>
      </c>
    </row>
    <row r="639" spans="18:25" x14ac:dyDescent="0.25">
      <c r="R639" t="s">
        <v>10</v>
      </c>
      <c r="S639" t="s">
        <v>75</v>
      </c>
      <c r="T639" t="s">
        <v>440</v>
      </c>
      <c r="U639">
        <v>81023</v>
      </c>
      <c r="V639">
        <v>7</v>
      </c>
      <c r="W639">
        <f>MONTH(T639)</f>
        <v>8</v>
      </c>
      <c r="X639">
        <f>YEAR(T639)</f>
        <v>2024</v>
      </c>
      <c r="Y639" s="26" t="str">
        <f>X639&amp;"-"&amp;W639</f>
        <v>2024-8</v>
      </c>
    </row>
    <row r="640" spans="18:25" x14ac:dyDescent="0.25">
      <c r="R640" t="s">
        <v>10</v>
      </c>
      <c r="S640" t="s">
        <v>77</v>
      </c>
      <c r="T640" t="s">
        <v>440</v>
      </c>
      <c r="U640">
        <v>73082</v>
      </c>
      <c r="V640">
        <v>7</v>
      </c>
      <c r="W640">
        <f>MONTH(T640)</f>
        <v>8</v>
      </c>
      <c r="X640">
        <f>YEAR(T640)</f>
        <v>2024</v>
      </c>
      <c r="Y640" s="26" t="str">
        <f>X640&amp;"-"&amp;W640</f>
        <v>2024-8</v>
      </c>
    </row>
    <row r="641" spans="18:25" x14ac:dyDescent="0.25">
      <c r="R641" t="s">
        <v>10</v>
      </c>
      <c r="S641" t="s">
        <v>19</v>
      </c>
      <c r="T641" t="s">
        <v>442</v>
      </c>
      <c r="U641">
        <v>21254</v>
      </c>
      <c r="V641">
        <v>5</v>
      </c>
      <c r="W641">
        <f>MONTH(T641)</f>
        <v>8</v>
      </c>
      <c r="X641">
        <f>YEAR(T641)</f>
        <v>2024</v>
      </c>
      <c r="Y641" s="26" t="str">
        <f>X641&amp;"-"&amp;W641</f>
        <v>2024-8</v>
      </c>
    </row>
    <row r="642" spans="18:25" x14ac:dyDescent="0.25">
      <c r="R642" t="s">
        <v>10</v>
      </c>
      <c r="S642" t="s">
        <v>69</v>
      </c>
      <c r="T642" t="s">
        <v>449</v>
      </c>
      <c r="U642">
        <v>84230</v>
      </c>
      <c r="V642">
        <v>0</v>
      </c>
      <c r="W642">
        <f>MONTH(T642)</f>
        <v>8</v>
      </c>
      <c r="X642">
        <f>YEAR(T642)</f>
        <v>2024</v>
      </c>
      <c r="Y642" s="26" t="str">
        <f>X642&amp;"-"&amp;W642</f>
        <v>2024-8</v>
      </c>
    </row>
    <row r="643" spans="18:25" x14ac:dyDescent="0.25">
      <c r="R643" t="s">
        <v>10</v>
      </c>
      <c r="S643" t="s">
        <v>35</v>
      </c>
      <c r="T643" t="s">
        <v>451</v>
      </c>
      <c r="U643">
        <v>48159</v>
      </c>
      <c r="V643">
        <v>8</v>
      </c>
      <c r="W643">
        <f>MONTH(T643)</f>
        <v>8</v>
      </c>
      <c r="X643">
        <f>YEAR(T643)</f>
        <v>2024</v>
      </c>
      <c r="Y643" s="26" t="str">
        <f>X643&amp;"-"&amp;W643</f>
        <v>2024-8</v>
      </c>
    </row>
    <row r="644" spans="18:25" x14ac:dyDescent="0.25">
      <c r="R644" t="s">
        <v>10</v>
      </c>
      <c r="S644" t="s">
        <v>11</v>
      </c>
      <c r="T644" t="s">
        <v>459</v>
      </c>
      <c r="U644">
        <v>91020</v>
      </c>
      <c r="V644">
        <v>4</v>
      </c>
      <c r="W644">
        <f>MONTH(T644)</f>
        <v>8</v>
      </c>
      <c r="X644">
        <f>YEAR(T644)</f>
        <v>2024</v>
      </c>
      <c r="Y644" s="26" t="str">
        <f>X644&amp;"-"&amp;W644</f>
        <v>2024-8</v>
      </c>
    </row>
    <row r="645" spans="18:25" x14ac:dyDescent="0.25">
      <c r="R645" t="s">
        <v>8</v>
      </c>
      <c r="S645" t="s">
        <v>9</v>
      </c>
      <c r="T645" t="s">
        <v>7</v>
      </c>
      <c r="U645">
        <v>70374</v>
      </c>
      <c r="V645">
        <v>1</v>
      </c>
      <c r="W645">
        <f>MONTH(T645)</f>
        <v>9</v>
      </c>
      <c r="X645">
        <f>YEAR(T645)</f>
        <v>2023</v>
      </c>
      <c r="Y645" s="26" t="str">
        <f>X645&amp;"-"&amp;W645</f>
        <v>2023-9</v>
      </c>
    </row>
    <row r="646" spans="18:25" x14ac:dyDescent="0.25">
      <c r="R646" t="s">
        <v>8</v>
      </c>
      <c r="S646" t="s">
        <v>36</v>
      </c>
      <c r="T646" t="s">
        <v>34</v>
      </c>
      <c r="U646">
        <v>39832</v>
      </c>
      <c r="V646">
        <v>7</v>
      </c>
      <c r="W646">
        <f>MONTH(T646)</f>
        <v>9</v>
      </c>
      <c r="X646">
        <f>YEAR(T646)</f>
        <v>2023</v>
      </c>
      <c r="Y646" s="26" t="str">
        <f>X646&amp;"-"&amp;W646</f>
        <v>2023-9</v>
      </c>
    </row>
    <row r="647" spans="18:25" x14ac:dyDescent="0.25">
      <c r="R647" t="s">
        <v>8</v>
      </c>
      <c r="S647" t="s">
        <v>37</v>
      </c>
      <c r="T647" t="s">
        <v>34</v>
      </c>
      <c r="U647">
        <v>18687</v>
      </c>
      <c r="V647">
        <v>7</v>
      </c>
      <c r="W647">
        <f>MONTH(T647)</f>
        <v>9</v>
      </c>
      <c r="X647">
        <f>YEAR(T647)</f>
        <v>2023</v>
      </c>
      <c r="Y647" s="26" t="str">
        <f>X647&amp;"-"&amp;W647</f>
        <v>2023-9</v>
      </c>
    </row>
    <row r="648" spans="18:25" x14ac:dyDescent="0.25">
      <c r="R648" t="s">
        <v>8</v>
      </c>
      <c r="S648" t="s">
        <v>32</v>
      </c>
      <c r="T648" t="s">
        <v>56</v>
      </c>
      <c r="U648">
        <v>38597</v>
      </c>
      <c r="V648">
        <v>9</v>
      </c>
      <c r="W648">
        <f>MONTH(T648)</f>
        <v>9</v>
      </c>
      <c r="X648">
        <f>YEAR(T648)</f>
        <v>2023</v>
      </c>
      <c r="Y648" s="26" t="str">
        <f>X648&amp;"-"&amp;W648</f>
        <v>2023-9</v>
      </c>
    </row>
    <row r="649" spans="18:25" x14ac:dyDescent="0.25">
      <c r="R649" t="s">
        <v>8</v>
      </c>
      <c r="S649" t="s">
        <v>78</v>
      </c>
      <c r="T649" t="s">
        <v>79</v>
      </c>
      <c r="U649">
        <v>88998</v>
      </c>
      <c r="V649">
        <v>6</v>
      </c>
      <c r="W649">
        <f>MONTH(T649)</f>
        <v>9</v>
      </c>
      <c r="X649">
        <f>YEAR(T649)</f>
        <v>2023</v>
      </c>
      <c r="Y649" s="26" t="str">
        <f>X649&amp;"-"&amp;W649</f>
        <v>2023-9</v>
      </c>
    </row>
    <row r="650" spans="18:25" x14ac:dyDescent="0.25">
      <c r="R650" t="s">
        <v>8</v>
      </c>
      <c r="S650" t="s">
        <v>88</v>
      </c>
      <c r="T650" t="s">
        <v>87</v>
      </c>
      <c r="U650">
        <v>82853</v>
      </c>
      <c r="V650">
        <v>5</v>
      </c>
      <c r="W650">
        <f>MONTH(T650)</f>
        <v>9</v>
      </c>
      <c r="X650">
        <f>YEAR(T650)</f>
        <v>2023</v>
      </c>
      <c r="Y650" s="26" t="str">
        <f>X650&amp;"-"&amp;W650</f>
        <v>2023-9</v>
      </c>
    </row>
    <row r="651" spans="18:25" x14ac:dyDescent="0.25">
      <c r="R651" t="s">
        <v>8</v>
      </c>
      <c r="S651" t="s">
        <v>90</v>
      </c>
      <c r="T651" t="s">
        <v>87</v>
      </c>
      <c r="U651">
        <v>81247</v>
      </c>
      <c r="V651">
        <v>4</v>
      </c>
      <c r="W651">
        <f>MONTH(T651)</f>
        <v>9</v>
      </c>
      <c r="X651">
        <f>YEAR(T651)</f>
        <v>2023</v>
      </c>
      <c r="Y651" s="26" t="str">
        <f>X651&amp;"-"&amp;W651</f>
        <v>2023-9</v>
      </c>
    </row>
    <row r="652" spans="18:25" x14ac:dyDescent="0.25">
      <c r="R652" t="s">
        <v>8</v>
      </c>
      <c r="S652" t="s">
        <v>105</v>
      </c>
      <c r="T652" t="s">
        <v>104</v>
      </c>
      <c r="U652">
        <v>75815</v>
      </c>
      <c r="V652">
        <v>8</v>
      </c>
      <c r="W652">
        <f>MONTH(T652)</f>
        <v>10</v>
      </c>
      <c r="X652">
        <f>YEAR(T652)</f>
        <v>2023</v>
      </c>
      <c r="Y652" s="26" t="str">
        <f>X652&amp;"-"&amp;W652</f>
        <v>2023-10</v>
      </c>
    </row>
    <row r="653" spans="18:25" x14ac:dyDescent="0.25">
      <c r="R653" t="s">
        <v>8</v>
      </c>
      <c r="S653" t="s">
        <v>6</v>
      </c>
      <c r="T653" t="s">
        <v>104</v>
      </c>
      <c r="U653">
        <v>30299</v>
      </c>
      <c r="V653">
        <v>3</v>
      </c>
      <c r="W653">
        <f>MONTH(T653)</f>
        <v>10</v>
      </c>
      <c r="X653">
        <f>YEAR(T653)</f>
        <v>2023</v>
      </c>
      <c r="Y653" s="26" t="str">
        <f>X653&amp;"-"&amp;W653</f>
        <v>2023-10</v>
      </c>
    </row>
    <row r="654" spans="18:25" x14ac:dyDescent="0.25">
      <c r="R654" t="s">
        <v>8</v>
      </c>
      <c r="S654" t="s">
        <v>99</v>
      </c>
      <c r="T654" t="s">
        <v>120</v>
      </c>
      <c r="U654">
        <v>89735</v>
      </c>
      <c r="V654">
        <v>7</v>
      </c>
      <c r="W654">
        <f>MONTH(T654)</f>
        <v>10</v>
      </c>
      <c r="X654">
        <f>YEAR(T654)</f>
        <v>2023</v>
      </c>
      <c r="Y654" s="26" t="str">
        <f>X654&amp;"-"&amp;W654</f>
        <v>2023-10</v>
      </c>
    </row>
    <row r="655" spans="18:25" x14ac:dyDescent="0.25">
      <c r="R655" t="s">
        <v>8</v>
      </c>
      <c r="S655" t="s">
        <v>19</v>
      </c>
      <c r="T655" t="s">
        <v>120</v>
      </c>
      <c r="U655">
        <v>83867</v>
      </c>
      <c r="V655">
        <v>4</v>
      </c>
      <c r="W655">
        <f>MONTH(T655)</f>
        <v>10</v>
      </c>
      <c r="X655">
        <f>YEAR(T655)</f>
        <v>2023</v>
      </c>
      <c r="Y655" s="26" t="str">
        <f>X655&amp;"-"&amp;W655</f>
        <v>2023-10</v>
      </c>
    </row>
    <row r="656" spans="18:25" x14ac:dyDescent="0.25">
      <c r="R656" t="s">
        <v>8</v>
      </c>
      <c r="S656" t="s">
        <v>146</v>
      </c>
      <c r="T656" t="s">
        <v>145</v>
      </c>
      <c r="U656">
        <v>80268</v>
      </c>
      <c r="V656">
        <v>6</v>
      </c>
      <c r="W656">
        <f>MONTH(T656)</f>
        <v>10</v>
      </c>
      <c r="X656">
        <f>YEAR(T656)</f>
        <v>2023</v>
      </c>
      <c r="Y656" s="26" t="str">
        <f>X656&amp;"-"&amp;W656</f>
        <v>2023-10</v>
      </c>
    </row>
    <row r="657" spans="18:25" x14ac:dyDescent="0.25">
      <c r="R657" t="s">
        <v>8</v>
      </c>
      <c r="S657" t="s">
        <v>149</v>
      </c>
      <c r="T657" t="s">
        <v>150</v>
      </c>
      <c r="U657">
        <v>43824</v>
      </c>
      <c r="V657">
        <v>9</v>
      </c>
      <c r="W657">
        <f>MONTH(T657)</f>
        <v>10</v>
      </c>
      <c r="X657">
        <f>YEAR(T657)</f>
        <v>2023</v>
      </c>
      <c r="Y657" s="26" t="str">
        <f>X657&amp;"-"&amp;W657</f>
        <v>2023-10</v>
      </c>
    </row>
    <row r="658" spans="18:25" x14ac:dyDescent="0.25">
      <c r="R658" t="s">
        <v>8</v>
      </c>
      <c r="S658" t="s">
        <v>155</v>
      </c>
      <c r="T658" t="s">
        <v>154</v>
      </c>
      <c r="U658">
        <v>52369</v>
      </c>
      <c r="V658">
        <v>7</v>
      </c>
      <c r="W658">
        <f>MONTH(T658)</f>
        <v>10</v>
      </c>
      <c r="X658">
        <f>YEAR(T658)</f>
        <v>2023</v>
      </c>
      <c r="Y658" s="26" t="str">
        <f>X658&amp;"-"&amp;W658</f>
        <v>2023-10</v>
      </c>
    </row>
    <row r="659" spans="18:25" x14ac:dyDescent="0.25">
      <c r="R659" t="s">
        <v>8</v>
      </c>
      <c r="S659" t="s">
        <v>52</v>
      </c>
      <c r="T659" t="s">
        <v>159</v>
      </c>
      <c r="U659">
        <v>50779</v>
      </c>
      <c r="V659">
        <v>2</v>
      </c>
      <c r="W659">
        <f>MONTH(T659)</f>
        <v>10</v>
      </c>
      <c r="X659">
        <f>YEAR(T659)</f>
        <v>2023</v>
      </c>
      <c r="Y659" s="26" t="str">
        <f>X659&amp;"-"&amp;W659</f>
        <v>2023-10</v>
      </c>
    </row>
    <row r="660" spans="18:25" x14ac:dyDescent="0.25">
      <c r="R660" t="s">
        <v>8</v>
      </c>
      <c r="S660" t="s">
        <v>101</v>
      </c>
      <c r="T660" t="s">
        <v>160</v>
      </c>
      <c r="U660">
        <v>92490</v>
      </c>
      <c r="V660">
        <v>7</v>
      </c>
      <c r="W660">
        <f>MONTH(T660)</f>
        <v>10</v>
      </c>
      <c r="X660">
        <f>YEAR(T660)</f>
        <v>2023</v>
      </c>
      <c r="Y660" s="26" t="str">
        <f>X660&amp;"-"&amp;W660</f>
        <v>2023-10</v>
      </c>
    </row>
    <row r="661" spans="18:25" x14ac:dyDescent="0.25">
      <c r="R661" t="s">
        <v>8</v>
      </c>
      <c r="S661" t="s">
        <v>85</v>
      </c>
      <c r="T661" t="s">
        <v>164</v>
      </c>
      <c r="U661">
        <v>38926</v>
      </c>
      <c r="V661">
        <v>3</v>
      </c>
      <c r="W661">
        <f>MONTH(T661)</f>
        <v>10</v>
      </c>
      <c r="X661">
        <f>YEAR(T661)</f>
        <v>2023</v>
      </c>
      <c r="Y661" s="26" t="str">
        <f>X661&amp;"-"&amp;W661</f>
        <v>2023-10</v>
      </c>
    </row>
    <row r="662" spans="18:25" x14ac:dyDescent="0.25">
      <c r="R662" t="s">
        <v>8</v>
      </c>
      <c r="S662" t="s">
        <v>141</v>
      </c>
      <c r="T662" t="s">
        <v>168</v>
      </c>
      <c r="U662">
        <v>98011</v>
      </c>
      <c r="V662">
        <v>8</v>
      </c>
      <c r="W662">
        <f>MONTH(T662)</f>
        <v>10</v>
      </c>
      <c r="X662">
        <f>YEAR(T662)</f>
        <v>2023</v>
      </c>
      <c r="Y662" s="26" t="str">
        <f>X662&amp;"-"&amp;W662</f>
        <v>2023-10</v>
      </c>
    </row>
    <row r="663" spans="18:25" x14ac:dyDescent="0.25">
      <c r="R663" t="s">
        <v>8</v>
      </c>
      <c r="S663" t="s">
        <v>170</v>
      </c>
      <c r="T663" t="s">
        <v>175</v>
      </c>
      <c r="U663">
        <v>25079</v>
      </c>
      <c r="V663">
        <v>3</v>
      </c>
      <c r="W663">
        <f>MONTH(T663)</f>
        <v>11</v>
      </c>
      <c r="X663">
        <f>YEAR(T663)</f>
        <v>2023</v>
      </c>
      <c r="Y663" s="26" t="str">
        <f>X663&amp;"-"&amp;W663</f>
        <v>2023-11</v>
      </c>
    </row>
    <row r="664" spans="18:25" x14ac:dyDescent="0.25">
      <c r="R664" t="s">
        <v>8</v>
      </c>
      <c r="S664" t="s">
        <v>181</v>
      </c>
      <c r="T664" t="s">
        <v>179</v>
      </c>
      <c r="U664">
        <v>13188</v>
      </c>
      <c r="V664">
        <v>6</v>
      </c>
      <c r="W664">
        <f>MONTH(T664)</f>
        <v>11</v>
      </c>
      <c r="X664">
        <f>YEAR(T664)</f>
        <v>2023</v>
      </c>
      <c r="Y664" s="26" t="str">
        <f>X664&amp;"-"&amp;W664</f>
        <v>2023-11</v>
      </c>
    </row>
    <row r="665" spans="18:25" x14ac:dyDescent="0.25">
      <c r="R665" t="s">
        <v>8</v>
      </c>
      <c r="S665" t="s">
        <v>123</v>
      </c>
      <c r="T665" t="s">
        <v>192</v>
      </c>
      <c r="U665">
        <v>23673</v>
      </c>
      <c r="V665">
        <v>5</v>
      </c>
      <c r="W665">
        <f>MONTH(T665)</f>
        <v>11</v>
      </c>
      <c r="X665">
        <f>YEAR(T665)</f>
        <v>2023</v>
      </c>
      <c r="Y665" s="26" t="str">
        <f>X665&amp;"-"&amp;W665</f>
        <v>2023-11</v>
      </c>
    </row>
    <row r="666" spans="18:25" x14ac:dyDescent="0.25">
      <c r="R666" t="s">
        <v>8</v>
      </c>
      <c r="S666" t="s">
        <v>122</v>
      </c>
      <c r="T666" t="s">
        <v>204</v>
      </c>
      <c r="U666">
        <v>53543</v>
      </c>
      <c r="V666">
        <v>3</v>
      </c>
      <c r="W666">
        <f>MONTH(T666)</f>
        <v>11</v>
      </c>
      <c r="X666">
        <f>YEAR(T666)</f>
        <v>2023</v>
      </c>
      <c r="Y666" s="26" t="str">
        <f>X666&amp;"-"&amp;W666</f>
        <v>2023-11</v>
      </c>
    </row>
    <row r="667" spans="18:25" x14ac:dyDescent="0.25">
      <c r="R667" t="s">
        <v>8</v>
      </c>
      <c r="S667" t="s">
        <v>35</v>
      </c>
      <c r="T667" t="s">
        <v>207</v>
      </c>
      <c r="U667">
        <v>18655</v>
      </c>
      <c r="V667">
        <v>5</v>
      </c>
      <c r="W667">
        <f>MONTH(T667)</f>
        <v>11</v>
      </c>
      <c r="X667">
        <f>YEAR(T667)</f>
        <v>2023</v>
      </c>
      <c r="Y667" s="26" t="str">
        <f>X667&amp;"-"&amp;W667</f>
        <v>2023-11</v>
      </c>
    </row>
    <row r="668" spans="18:25" x14ac:dyDescent="0.25">
      <c r="R668" t="s">
        <v>8</v>
      </c>
      <c r="S668" t="s">
        <v>209</v>
      </c>
      <c r="T668" t="s">
        <v>208</v>
      </c>
      <c r="U668">
        <v>32980</v>
      </c>
      <c r="V668">
        <v>8</v>
      </c>
      <c r="W668">
        <f>MONTH(T668)</f>
        <v>11</v>
      </c>
      <c r="X668">
        <f>YEAR(T668)</f>
        <v>2023</v>
      </c>
      <c r="Y668" s="26" t="str">
        <f>X668&amp;"-"&amp;W668</f>
        <v>2023-11</v>
      </c>
    </row>
    <row r="669" spans="18:25" x14ac:dyDescent="0.25">
      <c r="R669" t="s">
        <v>8</v>
      </c>
      <c r="S669" t="s">
        <v>17</v>
      </c>
      <c r="T669" t="s">
        <v>213</v>
      </c>
      <c r="U669">
        <v>97747</v>
      </c>
      <c r="V669">
        <v>7</v>
      </c>
      <c r="W669">
        <f>MONTH(T669)</f>
        <v>11</v>
      </c>
      <c r="X669">
        <f>YEAR(T669)</f>
        <v>2023</v>
      </c>
      <c r="Y669" s="26" t="str">
        <f>X669&amp;"-"&amp;W669</f>
        <v>2023-11</v>
      </c>
    </row>
    <row r="670" spans="18:25" x14ac:dyDescent="0.25">
      <c r="R670" t="s">
        <v>8</v>
      </c>
      <c r="S670" t="s">
        <v>200</v>
      </c>
      <c r="T670" t="s">
        <v>218</v>
      </c>
      <c r="U670">
        <v>97245</v>
      </c>
      <c r="V670">
        <v>6</v>
      </c>
      <c r="W670">
        <f>MONTH(T670)</f>
        <v>12</v>
      </c>
      <c r="X670">
        <f>YEAR(T670)</f>
        <v>2023</v>
      </c>
      <c r="Y670" s="26" t="str">
        <f>X670&amp;"-"&amp;W670</f>
        <v>2023-12</v>
      </c>
    </row>
    <row r="671" spans="18:25" x14ac:dyDescent="0.25">
      <c r="R671" t="s">
        <v>8</v>
      </c>
      <c r="S671" t="s">
        <v>170</v>
      </c>
      <c r="T671" t="s">
        <v>218</v>
      </c>
      <c r="U671">
        <v>11019</v>
      </c>
      <c r="V671">
        <v>7</v>
      </c>
      <c r="W671">
        <f>MONTH(T671)</f>
        <v>12</v>
      </c>
      <c r="X671">
        <f>YEAR(T671)</f>
        <v>2023</v>
      </c>
      <c r="Y671" s="26" t="str">
        <f>X671&amp;"-"&amp;W671</f>
        <v>2023-12</v>
      </c>
    </row>
    <row r="672" spans="18:25" x14ac:dyDescent="0.25">
      <c r="R672" t="s">
        <v>8</v>
      </c>
      <c r="S672" t="s">
        <v>48</v>
      </c>
      <c r="T672" t="s">
        <v>225</v>
      </c>
      <c r="U672">
        <v>84032</v>
      </c>
      <c r="V672">
        <v>7</v>
      </c>
      <c r="W672">
        <f>MONTH(T672)</f>
        <v>12</v>
      </c>
      <c r="X672">
        <f>YEAR(T672)</f>
        <v>2023</v>
      </c>
      <c r="Y672" s="26" t="str">
        <f>X672&amp;"-"&amp;W672</f>
        <v>2023-12</v>
      </c>
    </row>
    <row r="673" spans="18:25" x14ac:dyDescent="0.25">
      <c r="R673" t="s">
        <v>8</v>
      </c>
      <c r="S673" t="s">
        <v>227</v>
      </c>
      <c r="T673" t="s">
        <v>228</v>
      </c>
      <c r="U673">
        <v>92651</v>
      </c>
      <c r="V673">
        <v>6</v>
      </c>
      <c r="W673">
        <f>MONTH(T673)</f>
        <v>12</v>
      </c>
      <c r="X673">
        <f>YEAR(T673)</f>
        <v>2023</v>
      </c>
      <c r="Y673" s="26" t="str">
        <f>X673&amp;"-"&amp;W673</f>
        <v>2023-12</v>
      </c>
    </row>
    <row r="674" spans="18:25" x14ac:dyDescent="0.25">
      <c r="R674" t="s">
        <v>8</v>
      </c>
      <c r="S674" t="s">
        <v>217</v>
      </c>
      <c r="T674" t="s">
        <v>230</v>
      </c>
      <c r="U674">
        <v>51433</v>
      </c>
      <c r="V674">
        <v>7</v>
      </c>
      <c r="W674">
        <f>MONTH(T674)</f>
        <v>12</v>
      </c>
      <c r="X674">
        <f>YEAR(T674)</f>
        <v>2023</v>
      </c>
      <c r="Y674" s="26" t="str">
        <f>X674&amp;"-"&amp;W674</f>
        <v>2023-12</v>
      </c>
    </row>
    <row r="675" spans="18:25" x14ac:dyDescent="0.25">
      <c r="R675" t="s">
        <v>8</v>
      </c>
      <c r="S675" t="s">
        <v>239</v>
      </c>
      <c r="T675" t="s">
        <v>238</v>
      </c>
      <c r="U675">
        <v>11184</v>
      </c>
      <c r="V675">
        <v>7</v>
      </c>
      <c r="W675">
        <f>MONTH(T675)</f>
        <v>12</v>
      </c>
      <c r="X675">
        <f>YEAR(T675)</f>
        <v>2023</v>
      </c>
      <c r="Y675" s="26" t="str">
        <f>X675&amp;"-"&amp;W675</f>
        <v>2023-12</v>
      </c>
    </row>
    <row r="676" spans="18:25" x14ac:dyDescent="0.25">
      <c r="R676" t="s">
        <v>8</v>
      </c>
      <c r="S676" t="s">
        <v>81</v>
      </c>
      <c r="T676" t="s">
        <v>244</v>
      </c>
      <c r="U676">
        <v>28331</v>
      </c>
      <c r="V676">
        <v>6</v>
      </c>
      <c r="W676">
        <f>MONTH(T676)</f>
        <v>12</v>
      </c>
      <c r="X676">
        <f>YEAR(T676)</f>
        <v>2023</v>
      </c>
      <c r="Y676" s="26" t="str">
        <f>X676&amp;"-"&amp;W676</f>
        <v>2023-12</v>
      </c>
    </row>
    <row r="677" spans="18:25" x14ac:dyDescent="0.25">
      <c r="R677" t="s">
        <v>8</v>
      </c>
      <c r="S677" t="s">
        <v>217</v>
      </c>
      <c r="T677" t="s">
        <v>255</v>
      </c>
      <c r="U677">
        <v>52197</v>
      </c>
      <c r="V677">
        <v>7</v>
      </c>
      <c r="W677">
        <f>MONTH(T677)</f>
        <v>1</v>
      </c>
      <c r="X677">
        <f>YEAR(T677)</f>
        <v>2024</v>
      </c>
      <c r="Y677" s="26" t="str">
        <f>X677&amp;"-"&amp;W677</f>
        <v>2024-1</v>
      </c>
    </row>
    <row r="678" spans="18:25" x14ac:dyDescent="0.25">
      <c r="R678" t="s">
        <v>8</v>
      </c>
      <c r="S678" t="s">
        <v>67</v>
      </c>
      <c r="T678" t="s">
        <v>261</v>
      </c>
      <c r="U678">
        <v>36433</v>
      </c>
      <c r="V678">
        <v>5</v>
      </c>
      <c r="W678">
        <f>MONTH(T678)</f>
        <v>1</v>
      </c>
      <c r="X678">
        <f>YEAR(T678)</f>
        <v>2024</v>
      </c>
      <c r="Y678" s="26" t="str">
        <f>X678&amp;"-"&amp;W678</f>
        <v>2024-1</v>
      </c>
    </row>
    <row r="679" spans="18:25" x14ac:dyDescent="0.25">
      <c r="R679" t="s">
        <v>8</v>
      </c>
      <c r="S679" t="s">
        <v>196</v>
      </c>
      <c r="T679" t="s">
        <v>261</v>
      </c>
      <c r="U679">
        <v>11283</v>
      </c>
      <c r="V679">
        <v>1</v>
      </c>
      <c r="W679">
        <f>MONTH(T679)</f>
        <v>1</v>
      </c>
      <c r="X679">
        <f>YEAR(T679)</f>
        <v>2024</v>
      </c>
      <c r="Y679" s="26" t="str">
        <f>X679&amp;"-"&amp;W679</f>
        <v>2024-1</v>
      </c>
    </row>
    <row r="680" spans="18:25" x14ac:dyDescent="0.25">
      <c r="R680" t="s">
        <v>8</v>
      </c>
      <c r="S680" t="s">
        <v>17</v>
      </c>
      <c r="T680" t="s">
        <v>263</v>
      </c>
      <c r="U680">
        <v>86922</v>
      </c>
      <c r="V680">
        <v>8</v>
      </c>
      <c r="W680">
        <f>MONTH(T680)</f>
        <v>1</v>
      </c>
      <c r="X680">
        <f>YEAR(T680)</f>
        <v>2024</v>
      </c>
      <c r="Y680" s="26" t="str">
        <f>X680&amp;"-"&amp;W680</f>
        <v>2024-1</v>
      </c>
    </row>
    <row r="681" spans="18:25" x14ac:dyDescent="0.25">
      <c r="R681" t="s">
        <v>8</v>
      </c>
      <c r="S681" t="s">
        <v>269</v>
      </c>
      <c r="T681" t="s">
        <v>268</v>
      </c>
      <c r="U681">
        <v>44923</v>
      </c>
      <c r="V681">
        <v>1</v>
      </c>
      <c r="W681">
        <f>MONTH(T681)</f>
        <v>1</v>
      </c>
      <c r="X681">
        <f>YEAR(T681)</f>
        <v>2024</v>
      </c>
      <c r="Y681" s="26" t="str">
        <f>X681&amp;"-"&amp;W681</f>
        <v>2024-1</v>
      </c>
    </row>
    <row r="682" spans="18:25" x14ac:dyDescent="0.25">
      <c r="R682" t="s">
        <v>8</v>
      </c>
      <c r="S682" t="s">
        <v>66</v>
      </c>
      <c r="T682" t="s">
        <v>283</v>
      </c>
      <c r="U682">
        <v>11613</v>
      </c>
      <c r="V682">
        <v>3</v>
      </c>
      <c r="W682">
        <f>MONTH(T682)</f>
        <v>1</v>
      </c>
      <c r="X682">
        <f>YEAR(T682)</f>
        <v>2024</v>
      </c>
      <c r="Y682" s="26" t="str">
        <f>X682&amp;"-"&amp;W682</f>
        <v>2024-1</v>
      </c>
    </row>
    <row r="683" spans="18:25" x14ac:dyDescent="0.25">
      <c r="R683" t="s">
        <v>8</v>
      </c>
      <c r="S683" t="s">
        <v>49</v>
      </c>
      <c r="T683" t="s">
        <v>285</v>
      </c>
      <c r="U683">
        <v>11789</v>
      </c>
      <c r="V683">
        <v>8</v>
      </c>
      <c r="W683">
        <f>MONTH(T683)</f>
        <v>2</v>
      </c>
      <c r="X683">
        <f>YEAR(T683)</f>
        <v>2024</v>
      </c>
      <c r="Y683" s="26" t="str">
        <f>X683&amp;"-"&amp;W683</f>
        <v>2024-2</v>
      </c>
    </row>
    <row r="684" spans="18:25" x14ac:dyDescent="0.25">
      <c r="R684" t="s">
        <v>8</v>
      </c>
      <c r="S684" t="s">
        <v>20</v>
      </c>
      <c r="T684" t="s">
        <v>288</v>
      </c>
      <c r="U684">
        <v>87129</v>
      </c>
      <c r="V684">
        <v>3</v>
      </c>
      <c r="W684">
        <f>MONTH(T684)</f>
        <v>2</v>
      </c>
      <c r="X684">
        <f>YEAR(T684)</f>
        <v>2024</v>
      </c>
      <c r="Y684" s="26" t="str">
        <f>X684&amp;"-"&amp;W684</f>
        <v>2024-2</v>
      </c>
    </row>
    <row r="685" spans="18:25" x14ac:dyDescent="0.25">
      <c r="R685" t="s">
        <v>8</v>
      </c>
      <c r="S685" t="s">
        <v>144</v>
      </c>
      <c r="T685" t="s">
        <v>290</v>
      </c>
      <c r="U685">
        <v>12252</v>
      </c>
      <c r="V685">
        <v>9</v>
      </c>
      <c r="W685">
        <f>MONTH(T685)</f>
        <v>2</v>
      </c>
      <c r="X685">
        <f>YEAR(T685)</f>
        <v>2024</v>
      </c>
      <c r="Y685" s="26" t="str">
        <f>X685&amp;"-"&amp;W685</f>
        <v>2024-2</v>
      </c>
    </row>
    <row r="686" spans="18:25" x14ac:dyDescent="0.25">
      <c r="R686" t="s">
        <v>8</v>
      </c>
      <c r="S686" t="s">
        <v>121</v>
      </c>
      <c r="T686" t="s">
        <v>291</v>
      </c>
      <c r="U686">
        <v>38481</v>
      </c>
      <c r="V686">
        <v>8</v>
      </c>
      <c r="W686">
        <f>MONTH(T686)</f>
        <v>2</v>
      </c>
      <c r="X686">
        <f>YEAR(T686)</f>
        <v>2024</v>
      </c>
      <c r="Y686" s="26" t="str">
        <f>X686&amp;"-"&amp;W686</f>
        <v>2024-2</v>
      </c>
    </row>
    <row r="687" spans="18:25" x14ac:dyDescent="0.25">
      <c r="R687" t="s">
        <v>8</v>
      </c>
      <c r="S687" t="s">
        <v>226</v>
      </c>
      <c r="T687" t="s">
        <v>297</v>
      </c>
      <c r="U687">
        <v>71070</v>
      </c>
      <c r="V687">
        <v>7</v>
      </c>
      <c r="W687">
        <f>MONTH(T687)</f>
        <v>2</v>
      </c>
      <c r="X687">
        <f>YEAR(T687)</f>
        <v>2024</v>
      </c>
      <c r="Y687" s="26" t="str">
        <f>X687&amp;"-"&amp;W687</f>
        <v>2024-2</v>
      </c>
    </row>
    <row r="688" spans="18:25" x14ac:dyDescent="0.25">
      <c r="R688" t="s">
        <v>8</v>
      </c>
      <c r="S688" t="s">
        <v>58</v>
      </c>
      <c r="T688" t="s">
        <v>302</v>
      </c>
      <c r="U688">
        <v>48556</v>
      </c>
      <c r="V688">
        <v>6</v>
      </c>
      <c r="W688">
        <f>MONTH(T688)</f>
        <v>2</v>
      </c>
      <c r="X688">
        <f>YEAR(T688)</f>
        <v>2024</v>
      </c>
      <c r="Y688" s="26" t="str">
        <f>X688&amp;"-"&amp;W688</f>
        <v>2024-2</v>
      </c>
    </row>
    <row r="689" spans="18:25" x14ac:dyDescent="0.25">
      <c r="R689" t="s">
        <v>8</v>
      </c>
      <c r="S689" t="s">
        <v>155</v>
      </c>
      <c r="T689" t="s">
        <v>305</v>
      </c>
      <c r="U689">
        <v>60252</v>
      </c>
      <c r="V689">
        <v>4</v>
      </c>
      <c r="W689">
        <f>MONTH(T689)</f>
        <v>2</v>
      </c>
      <c r="X689">
        <f>YEAR(T689)</f>
        <v>2024</v>
      </c>
      <c r="Y689" s="26" t="str">
        <f>X689&amp;"-"&amp;W689</f>
        <v>2024-2</v>
      </c>
    </row>
    <row r="690" spans="18:25" x14ac:dyDescent="0.25">
      <c r="R690" t="s">
        <v>8</v>
      </c>
      <c r="S690" t="s">
        <v>73</v>
      </c>
      <c r="T690" t="s">
        <v>305</v>
      </c>
      <c r="U690">
        <v>69179</v>
      </c>
      <c r="V690">
        <v>3</v>
      </c>
      <c r="W690">
        <f>MONTH(T690)</f>
        <v>2</v>
      </c>
      <c r="X690">
        <f>YEAR(T690)</f>
        <v>2024</v>
      </c>
      <c r="Y690" s="26" t="str">
        <f>X690&amp;"-"&amp;W690</f>
        <v>2024-2</v>
      </c>
    </row>
    <row r="691" spans="18:25" x14ac:dyDescent="0.25">
      <c r="R691" t="s">
        <v>8</v>
      </c>
      <c r="S691" t="s">
        <v>42</v>
      </c>
      <c r="T691" t="s">
        <v>308</v>
      </c>
      <c r="U691">
        <v>79846</v>
      </c>
      <c r="V691">
        <v>7</v>
      </c>
      <c r="W691">
        <f>MONTH(T691)</f>
        <v>2</v>
      </c>
      <c r="X691">
        <f>YEAR(T691)</f>
        <v>2024</v>
      </c>
      <c r="Y691" s="26" t="str">
        <f>X691&amp;"-"&amp;W691</f>
        <v>2024-2</v>
      </c>
    </row>
    <row r="692" spans="18:25" x14ac:dyDescent="0.25">
      <c r="R692" t="s">
        <v>8</v>
      </c>
      <c r="S692" t="s">
        <v>80</v>
      </c>
      <c r="T692" t="s">
        <v>308</v>
      </c>
      <c r="U692">
        <v>87603</v>
      </c>
      <c r="V692">
        <v>2</v>
      </c>
      <c r="W692">
        <f>MONTH(T692)</f>
        <v>2</v>
      </c>
      <c r="X692">
        <f>YEAR(T692)</f>
        <v>2024</v>
      </c>
      <c r="Y692" s="26" t="str">
        <f>X692&amp;"-"&amp;W692</f>
        <v>2024-2</v>
      </c>
    </row>
    <row r="693" spans="18:25" x14ac:dyDescent="0.25">
      <c r="R693" t="s">
        <v>8</v>
      </c>
      <c r="S693" t="s">
        <v>196</v>
      </c>
      <c r="T693" t="s">
        <v>312</v>
      </c>
      <c r="U693">
        <v>25124</v>
      </c>
      <c r="V693">
        <v>5</v>
      </c>
      <c r="W693">
        <f>MONTH(T693)</f>
        <v>2</v>
      </c>
      <c r="X693">
        <f>YEAR(T693)</f>
        <v>2024</v>
      </c>
      <c r="Y693" s="26" t="str">
        <f>X693&amp;"-"&amp;W693</f>
        <v>2024-2</v>
      </c>
    </row>
    <row r="694" spans="18:25" x14ac:dyDescent="0.25">
      <c r="R694" t="s">
        <v>8</v>
      </c>
      <c r="S694" t="s">
        <v>84</v>
      </c>
      <c r="T694" t="s">
        <v>314</v>
      </c>
      <c r="U694">
        <v>36285</v>
      </c>
      <c r="V694">
        <v>4</v>
      </c>
      <c r="W694">
        <f>MONTH(T694)</f>
        <v>2</v>
      </c>
      <c r="X694">
        <f>YEAR(T694)</f>
        <v>2024</v>
      </c>
      <c r="Y694" s="26" t="str">
        <f>X694&amp;"-"&amp;W694</f>
        <v>2024-2</v>
      </c>
    </row>
    <row r="695" spans="18:25" x14ac:dyDescent="0.25">
      <c r="R695" t="s">
        <v>8</v>
      </c>
      <c r="S695" t="s">
        <v>107</v>
      </c>
      <c r="T695" t="s">
        <v>318</v>
      </c>
      <c r="U695">
        <v>21669</v>
      </c>
      <c r="V695">
        <v>4</v>
      </c>
      <c r="W695">
        <f>MONTH(T695)</f>
        <v>3</v>
      </c>
      <c r="X695">
        <f>YEAR(T695)</f>
        <v>2024</v>
      </c>
      <c r="Y695" s="26" t="str">
        <f>X695&amp;"-"&amp;W695</f>
        <v>2024-3</v>
      </c>
    </row>
    <row r="696" spans="18:25" x14ac:dyDescent="0.25">
      <c r="R696" t="s">
        <v>8</v>
      </c>
      <c r="S696" t="s">
        <v>17</v>
      </c>
      <c r="T696" t="s">
        <v>324</v>
      </c>
      <c r="U696">
        <v>90662</v>
      </c>
      <c r="V696">
        <v>6</v>
      </c>
      <c r="W696">
        <f>MONTH(T696)</f>
        <v>3</v>
      </c>
      <c r="X696">
        <f>YEAR(T696)</f>
        <v>2024</v>
      </c>
      <c r="Y696" s="26" t="str">
        <f>X696&amp;"-"&amp;W696</f>
        <v>2024-3</v>
      </c>
    </row>
    <row r="697" spans="18:25" x14ac:dyDescent="0.25">
      <c r="R697" t="s">
        <v>8</v>
      </c>
      <c r="S697" t="s">
        <v>239</v>
      </c>
      <c r="T697" t="s">
        <v>328</v>
      </c>
      <c r="U697">
        <v>60918</v>
      </c>
      <c r="V697">
        <v>9</v>
      </c>
      <c r="W697">
        <f>MONTH(T697)</f>
        <v>3</v>
      </c>
      <c r="X697">
        <f>YEAR(T697)</f>
        <v>2024</v>
      </c>
      <c r="Y697" s="26" t="str">
        <f>X697&amp;"-"&amp;W697</f>
        <v>2024-3</v>
      </c>
    </row>
    <row r="698" spans="18:25" x14ac:dyDescent="0.25">
      <c r="R698" t="s">
        <v>8</v>
      </c>
      <c r="S698" t="s">
        <v>32</v>
      </c>
      <c r="T698" t="s">
        <v>330</v>
      </c>
      <c r="U698">
        <v>52608</v>
      </c>
      <c r="V698">
        <v>6</v>
      </c>
      <c r="W698">
        <f>MONTH(T698)</f>
        <v>3</v>
      </c>
      <c r="X698">
        <f>YEAR(T698)</f>
        <v>2024</v>
      </c>
      <c r="Y698" s="26" t="str">
        <f>X698&amp;"-"&amp;W698</f>
        <v>2024-3</v>
      </c>
    </row>
    <row r="699" spans="18:25" x14ac:dyDescent="0.25">
      <c r="R699" t="s">
        <v>8</v>
      </c>
      <c r="S699" t="s">
        <v>176</v>
      </c>
      <c r="T699" t="s">
        <v>330</v>
      </c>
      <c r="U699">
        <v>35805</v>
      </c>
      <c r="V699">
        <v>10</v>
      </c>
      <c r="W699">
        <f>MONTH(T699)</f>
        <v>3</v>
      </c>
      <c r="X699">
        <f>YEAR(T699)</f>
        <v>2024</v>
      </c>
      <c r="Y699" s="26" t="str">
        <f>X699&amp;"-"&amp;W699</f>
        <v>2024-3</v>
      </c>
    </row>
    <row r="700" spans="18:25" x14ac:dyDescent="0.25">
      <c r="R700" t="s">
        <v>8</v>
      </c>
      <c r="S700" t="s">
        <v>152</v>
      </c>
      <c r="T700" t="s">
        <v>336</v>
      </c>
      <c r="U700">
        <v>88851</v>
      </c>
      <c r="V700">
        <v>4</v>
      </c>
      <c r="W700">
        <f>MONTH(T700)</f>
        <v>3</v>
      </c>
      <c r="X700">
        <f>YEAR(T700)</f>
        <v>2024</v>
      </c>
      <c r="Y700" s="26" t="str">
        <f>X700&amp;"-"&amp;W700</f>
        <v>2024-3</v>
      </c>
    </row>
    <row r="701" spans="18:25" x14ac:dyDescent="0.25">
      <c r="R701" t="s">
        <v>8</v>
      </c>
      <c r="S701" t="s">
        <v>243</v>
      </c>
      <c r="T701" t="s">
        <v>337</v>
      </c>
      <c r="U701">
        <v>25625</v>
      </c>
      <c r="V701">
        <v>5</v>
      </c>
      <c r="W701">
        <f>MONTH(T701)</f>
        <v>3</v>
      </c>
      <c r="X701">
        <f>YEAR(T701)</f>
        <v>2024</v>
      </c>
      <c r="Y701" s="26" t="str">
        <f>X701&amp;"-"&amp;W701</f>
        <v>2024-3</v>
      </c>
    </row>
    <row r="702" spans="18:25" x14ac:dyDescent="0.25">
      <c r="R702" t="s">
        <v>8</v>
      </c>
      <c r="S702" t="s">
        <v>247</v>
      </c>
      <c r="T702" t="s">
        <v>348</v>
      </c>
      <c r="U702">
        <v>26333</v>
      </c>
      <c r="V702">
        <v>6</v>
      </c>
      <c r="W702">
        <f>MONTH(T702)</f>
        <v>4</v>
      </c>
      <c r="X702">
        <f>YEAR(T702)</f>
        <v>2024</v>
      </c>
      <c r="Y702" s="26" t="str">
        <f>X702&amp;"-"&amp;W702</f>
        <v>2024-4</v>
      </c>
    </row>
    <row r="703" spans="18:25" x14ac:dyDescent="0.25">
      <c r="R703" t="s">
        <v>8</v>
      </c>
      <c r="S703" t="s">
        <v>75</v>
      </c>
      <c r="T703" t="s">
        <v>349</v>
      </c>
      <c r="U703">
        <v>94955</v>
      </c>
      <c r="V703">
        <v>7</v>
      </c>
      <c r="W703">
        <f>MONTH(T703)</f>
        <v>4</v>
      </c>
      <c r="X703">
        <f>YEAR(T703)</f>
        <v>2024</v>
      </c>
      <c r="Y703" s="26" t="str">
        <f>X703&amp;"-"&amp;W703</f>
        <v>2024-4</v>
      </c>
    </row>
    <row r="704" spans="18:25" x14ac:dyDescent="0.25">
      <c r="R704" t="s">
        <v>8</v>
      </c>
      <c r="S704" t="s">
        <v>331</v>
      </c>
      <c r="T704" t="s">
        <v>352</v>
      </c>
      <c r="U704">
        <v>83112</v>
      </c>
      <c r="V704">
        <v>8</v>
      </c>
      <c r="W704">
        <f>MONTH(T704)</f>
        <v>4</v>
      </c>
      <c r="X704">
        <f>YEAR(T704)</f>
        <v>2024</v>
      </c>
      <c r="Y704" s="26" t="str">
        <f>X704&amp;"-"&amp;W704</f>
        <v>2024-4</v>
      </c>
    </row>
    <row r="705" spans="18:25" x14ac:dyDescent="0.25">
      <c r="R705" t="s">
        <v>8</v>
      </c>
      <c r="S705" t="s">
        <v>93</v>
      </c>
      <c r="T705" t="s">
        <v>353</v>
      </c>
      <c r="U705">
        <v>32198</v>
      </c>
      <c r="V705">
        <v>9</v>
      </c>
      <c r="W705">
        <f>MONTH(T705)</f>
        <v>4</v>
      </c>
      <c r="X705">
        <f>YEAR(T705)</f>
        <v>2024</v>
      </c>
      <c r="Y705" s="26" t="str">
        <f>X705&amp;"-"&amp;W705</f>
        <v>2024-4</v>
      </c>
    </row>
    <row r="706" spans="18:25" x14ac:dyDescent="0.25">
      <c r="R706" t="s">
        <v>8</v>
      </c>
      <c r="S706" t="s">
        <v>22</v>
      </c>
      <c r="T706" t="s">
        <v>355</v>
      </c>
      <c r="U706">
        <v>10686</v>
      </c>
      <c r="V706">
        <v>8</v>
      </c>
      <c r="W706">
        <f>MONTH(T706)</f>
        <v>4</v>
      </c>
      <c r="X706">
        <f>YEAR(T706)</f>
        <v>2024</v>
      </c>
      <c r="Y706" s="26" t="str">
        <f>X706&amp;"-"&amp;W706</f>
        <v>2024-4</v>
      </c>
    </row>
    <row r="707" spans="18:25" x14ac:dyDescent="0.25">
      <c r="R707" t="s">
        <v>8</v>
      </c>
      <c r="S707" t="s">
        <v>211</v>
      </c>
      <c r="T707" t="s">
        <v>360</v>
      </c>
      <c r="U707">
        <v>36631</v>
      </c>
      <c r="V707">
        <v>5</v>
      </c>
      <c r="W707">
        <f>MONTH(T707)</f>
        <v>4</v>
      </c>
      <c r="X707">
        <f>YEAR(T707)</f>
        <v>2024</v>
      </c>
      <c r="Y707" s="26" t="str">
        <f>X707&amp;"-"&amp;W707</f>
        <v>2024-4</v>
      </c>
    </row>
    <row r="708" spans="18:25" x14ac:dyDescent="0.25">
      <c r="R708" t="s">
        <v>8</v>
      </c>
      <c r="S708" t="s">
        <v>190</v>
      </c>
      <c r="T708" t="s">
        <v>365</v>
      </c>
      <c r="U708">
        <v>85266</v>
      </c>
      <c r="V708">
        <v>10</v>
      </c>
      <c r="W708">
        <f>MONTH(T708)</f>
        <v>4</v>
      </c>
      <c r="X708">
        <f>YEAR(T708)</f>
        <v>2024</v>
      </c>
      <c r="Y708" s="26" t="str">
        <f>X708&amp;"-"&amp;W708</f>
        <v>2024-4</v>
      </c>
    </row>
    <row r="709" spans="18:25" x14ac:dyDescent="0.25">
      <c r="R709" t="s">
        <v>8</v>
      </c>
      <c r="S709" t="s">
        <v>70</v>
      </c>
      <c r="T709" t="s">
        <v>367</v>
      </c>
      <c r="U709">
        <v>95792</v>
      </c>
      <c r="V709">
        <v>5</v>
      </c>
      <c r="W709">
        <f>MONTH(T709)</f>
        <v>5</v>
      </c>
      <c r="X709">
        <f>YEAR(T709)</f>
        <v>2024</v>
      </c>
      <c r="Y709" s="26" t="str">
        <f>X709&amp;"-"&amp;W709</f>
        <v>2024-5</v>
      </c>
    </row>
    <row r="710" spans="18:25" x14ac:dyDescent="0.25">
      <c r="R710" t="s">
        <v>8</v>
      </c>
      <c r="S710" t="s">
        <v>309</v>
      </c>
      <c r="T710" t="s">
        <v>376</v>
      </c>
      <c r="U710">
        <v>95673</v>
      </c>
      <c r="V710">
        <v>8</v>
      </c>
      <c r="W710">
        <f>MONTH(T710)</f>
        <v>5</v>
      </c>
      <c r="X710">
        <f>YEAR(T710)</f>
        <v>2024</v>
      </c>
      <c r="Y710" s="26" t="str">
        <f>X710&amp;"-"&amp;W710</f>
        <v>2024-5</v>
      </c>
    </row>
    <row r="711" spans="18:25" x14ac:dyDescent="0.25">
      <c r="R711" t="s">
        <v>8</v>
      </c>
      <c r="S711" t="s">
        <v>134</v>
      </c>
      <c r="T711" t="s">
        <v>376</v>
      </c>
      <c r="U711">
        <v>99947</v>
      </c>
      <c r="V711">
        <v>4</v>
      </c>
      <c r="W711">
        <f>MONTH(T711)</f>
        <v>5</v>
      </c>
      <c r="X711">
        <f>YEAR(T711)</f>
        <v>2024</v>
      </c>
      <c r="Y711" s="26" t="str">
        <f>X711&amp;"-"&amp;W711</f>
        <v>2024-5</v>
      </c>
    </row>
    <row r="712" spans="18:25" x14ac:dyDescent="0.25">
      <c r="R712" t="s">
        <v>8</v>
      </c>
      <c r="S712" t="s">
        <v>132</v>
      </c>
      <c r="T712" t="s">
        <v>379</v>
      </c>
      <c r="U712">
        <v>81492</v>
      </c>
      <c r="V712">
        <v>8</v>
      </c>
      <c r="W712">
        <f>MONTH(T712)</f>
        <v>5</v>
      </c>
      <c r="X712">
        <f>YEAR(T712)</f>
        <v>2024</v>
      </c>
      <c r="Y712" s="26" t="str">
        <f>X712&amp;"-"&amp;W712</f>
        <v>2024-5</v>
      </c>
    </row>
    <row r="713" spans="18:25" x14ac:dyDescent="0.25">
      <c r="R713" t="s">
        <v>8</v>
      </c>
      <c r="S713" t="s">
        <v>149</v>
      </c>
      <c r="T713" t="s">
        <v>381</v>
      </c>
      <c r="U713">
        <v>22093</v>
      </c>
      <c r="V713">
        <v>10</v>
      </c>
      <c r="W713">
        <f>MONTH(T713)</f>
        <v>5</v>
      </c>
      <c r="X713">
        <f>YEAR(T713)</f>
        <v>2024</v>
      </c>
      <c r="Y713" s="26" t="str">
        <f>X713&amp;"-"&amp;W713</f>
        <v>2024-5</v>
      </c>
    </row>
    <row r="714" spans="18:25" x14ac:dyDescent="0.25">
      <c r="R714" t="s">
        <v>8</v>
      </c>
      <c r="S714" t="s">
        <v>155</v>
      </c>
      <c r="T714" t="s">
        <v>381</v>
      </c>
      <c r="U714">
        <v>28426</v>
      </c>
      <c r="V714">
        <v>5</v>
      </c>
      <c r="W714">
        <f>MONTH(T714)</f>
        <v>5</v>
      </c>
      <c r="X714">
        <f>YEAR(T714)</f>
        <v>2024</v>
      </c>
      <c r="Y714" s="26" t="str">
        <f>X714&amp;"-"&amp;W714</f>
        <v>2024-5</v>
      </c>
    </row>
    <row r="715" spans="18:25" x14ac:dyDescent="0.25">
      <c r="R715" t="s">
        <v>8</v>
      </c>
      <c r="S715" t="s">
        <v>107</v>
      </c>
      <c r="T715" t="s">
        <v>387</v>
      </c>
      <c r="U715">
        <v>25308</v>
      </c>
      <c r="V715">
        <v>6</v>
      </c>
      <c r="W715">
        <f>MONTH(T715)</f>
        <v>5</v>
      </c>
      <c r="X715">
        <f>YEAR(T715)</f>
        <v>2024</v>
      </c>
      <c r="Y715" s="26" t="str">
        <f>X715&amp;"-"&amp;W715</f>
        <v>2024-5</v>
      </c>
    </row>
    <row r="716" spans="18:25" x14ac:dyDescent="0.25">
      <c r="R716" t="s">
        <v>8</v>
      </c>
      <c r="S716" t="s">
        <v>247</v>
      </c>
      <c r="T716" t="s">
        <v>389</v>
      </c>
      <c r="U716">
        <v>75689</v>
      </c>
      <c r="V716">
        <v>7</v>
      </c>
      <c r="W716">
        <f>MONTH(T716)</f>
        <v>5</v>
      </c>
      <c r="X716">
        <f>YEAR(T716)</f>
        <v>2024</v>
      </c>
      <c r="Y716" s="26" t="str">
        <f>X716&amp;"-"&amp;W716</f>
        <v>2024-5</v>
      </c>
    </row>
    <row r="717" spans="18:25" x14ac:dyDescent="0.25">
      <c r="R717" t="s">
        <v>8</v>
      </c>
      <c r="S717" t="s">
        <v>41</v>
      </c>
      <c r="T717" t="s">
        <v>394</v>
      </c>
      <c r="U717">
        <v>17317</v>
      </c>
      <c r="V717">
        <v>10</v>
      </c>
      <c r="W717">
        <f>MONTH(T717)</f>
        <v>6</v>
      </c>
      <c r="X717">
        <f>YEAR(T717)</f>
        <v>2024</v>
      </c>
      <c r="Y717" s="26" t="str">
        <f>X717&amp;"-"&amp;W717</f>
        <v>2024-6</v>
      </c>
    </row>
    <row r="718" spans="18:25" x14ac:dyDescent="0.25">
      <c r="R718" t="s">
        <v>8</v>
      </c>
      <c r="S718" t="s">
        <v>53</v>
      </c>
      <c r="T718" t="s">
        <v>396</v>
      </c>
      <c r="U718">
        <v>58694</v>
      </c>
      <c r="V718">
        <v>7</v>
      </c>
      <c r="W718">
        <f>MONTH(T718)</f>
        <v>6</v>
      </c>
      <c r="X718">
        <f>YEAR(T718)</f>
        <v>2024</v>
      </c>
      <c r="Y718" s="26" t="str">
        <f>X718&amp;"-"&amp;W718</f>
        <v>2024-6</v>
      </c>
    </row>
    <row r="719" spans="18:25" x14ac:dyDescent="0.25">
      <c r="R719" t="s">
        <v>8</v>
      </c>
      <c r="S719" t="s">
        <v>77</v>
      </c>
      <c r="T719" t="s">
        <v>399</v>
      </c>
      <c r="U719">
        <v>90387</v>
      </c>
      <c r="V719">
        <v>7</v>
      </c>
      <c r="W719">
        <f>MONTH(T719)</f>
        <v>6</v>
      </c>
      <c r="X719">
        <f>YEAR(T719)</f>
        <v>2024</v>
      </c>
      <c r="Y719" s="26" t="str">
        <f>X719&amp;"-"&amp;W719</f>
        <v>2024-6</v>
      </c>
    </row>
    <row r="720" spans="18:25" x14ac:dyDescent="0.25">
      <c r="R720" t="s">
        <v>8</v>
      </c>
      <c r="S720" t="s">
        <v>186</v>
      </c>
      <c r="T720" t="s">
        <v>401</v>
      </c>
      <c r="U720">
        <v>61715</v>
      </c>
      <c r="V720">
        <v>6</v>
      </c>
      <c r="W720">
        <f>MONTH(T720)</f>
        <v>6</v>
      </c>
      <c r="X720">
        <f>YEAR(T720)</f>
        <v>2024</v>
      </c>
      <c r="Y720" s="26" t="str">
        <f>X720&amp;"-"&amp;W720</f>
        <v>2024-6</v>
      </c>
    </row>
    <row r="721" spans="18:25" x14ac:dyDescent="0.25">
      <c r="R721" t="s">
        <v>8</v>
      </c>
      <c r="S721" t="s">
        <v>300</v>
      </c>
      <c r="T721" t="s">
        <v>403</v>
      </c>
      <c r="U721">
        <v>19182</v>
      </c>
      <c r="V721">
        <v>8</v>
      </c>
      <c r="W721">
        <f>MONTH(T721)</f>
        <v>6</v>
      </c>
      <c r="X721">
        <f>YEAR(T721)</f>
        <v>2024</v>
      </c>
      <c r="Y721" s="26" t="str">
        <f>X721&amp;"-"&amp;W721</f>
        <v>2024-6</v>
      </c>
    </row>
    <row r="722" spans="18:25" x14ac:dyDescent="0.25">
      <c r="R722" t="s">
        <v>8</v>
      </c>
      <c r="S722" t="s">
        <v>239</v>
      </c>
      <c r="T722" t="s">
        <v>405</v>
      </c>
      <c r="U722">
        <v>96463</v>
      </c>
      <c r="V722">
        <v>8</v>
      </c>
      <c r="W722">
        <f>MONTH(T722)</f>
        <v>6</v>
      </c>
      <c r="X722">
        <f>YEAR(T722)</f>
        <v>2024</v>
      </c>
      <c r="Y722" s="26" t="str">
        <f>X722&amp;"-"&amp;W722</f>
        <v>2024-6</v>
      </c>
    </row>
    <row r="723" spans="18:25" x14ac:dyDescent="0.25">
      <c r="R723" t="s">
        <v>8</v>
      </c>
      <c r="S723" t="s">
        <v>214</v>
      </c>
      <c r="T723" t="s">
        <v>407</v>
      </c>
      <c r="U723">
        <v>49391</v>
      </c>
      <c r="V723">
        <v>10</v>
      </c>
      <c r="W723">
        <f>MONTH(T723)</f>
        <v>6</v>
      </c>
      <c r="X723">
        <f>YEAR(T723)</f>
        <v>2024</v>
      </c>
      <c r="Y723" s="26" t="str">
        <f>X723&amp;"-"&amp;W723</f>
        <v>2024-6</v>
      </c>
    </row>
    <row r="724" spans="18:25" x14ac:dyDescent="0.25">
      <c r="R724" t="s">
        <v>8</v>
      </c>
      <c r="S724" t="s">
        <v>9</v>
      </c>
      <c r="T724" t="s">
        <v>408</v>
      </c>
      <c r="U724">
        <v>54105</v>
      </c>
      <c r="V724">
        <v>8</v>
      </c>
      <c r="W724">
        <f>MONTH(T724)</f>
        <v>6</v>
      </c>
      <c r="X724">
        <f>YEAR(T724)</f>
        <v>2024</v>
      </c>
      <c r="Y724" s="26" t="str">
        <f>X724&amp;"-"&amp;W724</f>
        <v>2024-6</v>
      </c>
    </row>
    <row r="725" spans="18:25" x14ac:dyDescent="0.25">
      <c r="R725" t="s">
        <v>8</v>
      </c>
      <c r="S725" t="s">
        <v>82</v>
      </c>
      <c r="T725" t="s">
        <v>410</v>
      </c>
      <c r="U725">
        <v>55502</v>
      </c>
      <c r="V725">
        <v>3</v>
      </c>
      <c r="W725">
        <f>MONTH(T725)</f>
        <v>6</v>
      </c>
      <c r="X725">
        <f>YEAR(T725)</f>
        <v>2024</v>
      </c>
      <c r="Y725" s="26" t="str">
        <f>X725&amp;"-"&amp;W725</f>
        <v>2024-6</v>
      </c>
    </row>
    <row r="726" spans="18:25" x14ac:dyDescent="0.25">
      <c r="R726" t="s">
        <v>8</v>
      </c>
      <c r="S726" t="s">
        <v>249</v>
      </c>
      <c r="T726" t="s">
        <v>413</v>
      </c>
      <c r="U726">
        <v>35755</v>
      </c>
      <c r="V726">
        <v>7</v>
      </c>
      <c r="W726">
        <f>MONTH(T726)</f>
        <v>6</v>
      </c>
      <c r="X726">
        <f>YEAR(T726)</f>
        <v>2024</v>
      </c>
      <c r="Y726" s="26" t="str">
        <f>X726&amp;"-"&amp;W726</f>
        <v>2024-6</v>
      </c>
    </row>
    <row r="727" spans="18:25" x14ac:dyDescent="0.25">
      <c r="R727" t="s">
        <v>8</v>
      </c>
      <c r="S727" t="s">
        <v>33</v>
      </c>
      <c r="T727" t="s">
        <v>421</v>
      </c>
      <c r="U727">
        <v>45925</v>
      </c>
      <c r="V727">
        <v>2</v>
      </c>
      <c r="W727">
        <f>MONTH(T727)</f>
        <v>7</v>
      </c>
      <c r="X727">
        <f>YEAR(T727)</f>
        <v>2024</v>
      </c>
      <c r="Y727" s="26" t="str">
        <f>X727&amp;"-"&amp;W727</f>
        <v>2024-7</v>
      </c>
    </row>
    <row r="728" spans="18:25" x14ac:dyDescent="0.25">
      <c r="R728" t="s">
        <v>8</v>
      </c>
      <c r="S728" t="s">
        <v>92</v>
      </c>
      <c r="T728" t="s">
        <v>423</v>
      </c>
      <c r="U728">
        <v>47891</v>
      </c>
      <c r="V728">
        <v>6</v>
      </c>
      <c r="W728">
        <f>MONTH(T728)</f>
        <v>7</v>
      </c>
      <c r="X728">
        <f>YEAR(T728)</f>
        <v>2024</v>
      </c>
      <c r="Y728" s="26" t="str">
        <f>X728&amp;"-"&amp;W728</f>
        <v>2024-7</v>
      </c>
    </row>
    <row r="729" spans="18:25" x14ac:dyDescent="0.25">
      <c r="R729" t="s">
        <v>8</v>
      </c>
      <c r="S729" t="s">
        <v>149</v>
      </c>
      <c r="T729" t="s">
        <v>424</v>
      </c>
      <c r="U729">
        <v>18006</v>
      </c>
      <c r="V729">
        <v>4</v>
      </c>
      <c r="W729">
        <f>MONTH(T729)</f>
        <v>7</v>
      </c>
      <c r="X729">
        <f>YEAR(T729)</f>
        <v>2024</v>
      </c>
      <c r="Y729" s="26" t="str">
        <f>X729&amp;"-"&amp;W729</f>
        <v>2024-7</v>
      </c>
    </row>
    <row r="730" spans="18:25" x14ac:dyDescent="0.25">
      <c r="R730" t="s">
        <v>8</v>
      </c>
      <c r="S730" t="s">
        <v>94</v>
      </c>
      <c r="T730" t="s">
        <v>433</v>
      </c>
      <c r="U730">
        <v>52380</v>
      </c>
      <c r="V730">
        <v>7</v>
      </c>
      <c r="W730">
        <f>MONTH(T730)</f>
        <v>7</v>
      </c>
      <c r="X730">
        <f>YEAR(T730)</f>
        <v>2024</v>
      </c>
      <c r="Y730" s="26" t="str">
        <f>X730&amp;"-"&amp;W730</f>
        <v>2024-7</v>
      </c>
    </row>
    <row r="731" spans="18:25" x14ac:dyDescent="0.25">
      <c r="R731" t="s">
        <v>8</v>
      </c>
      <c r="S731" t="s">
        <v>42</v>
      </c>
      <c r="T731" t="s">
        <v>440</v>
      </c>
      <c r="U731">
        <v>68145</v>
      </c>
      <c r="V731">
        <v>10</v>
      </c>
      <c r="W731">
        <f>MONTH(T731)</f>
        <v>8</v>
      </c>
      <c r="X731">
        <f>YEAR(T731)</f>
        <v>2024</v>
      </c>
      <c r="Y731" s="26" t="str">
        <f>X731&amp;"-"&amp;W731</f>
        <v>2024-8</v>
      </c>
    </row>
    <row r="732" spans="18:25" x14ac:dyDescent="0.25">
      <c r="R732" t="s">
        <v>8</v>
      </c>
      <c r="S732" t="s">
        <v>196</v>
      </c>
      <c r="T732" t="s">
        <v>446</v>
      </c>
      <c r="U732">
        <v>16979</v>
      </c>
      <c r="V732">
        <v>8</v>
      </c>
      <c r="W732">
        <f>MONTH(T732)</f>
        <v>8</v>
      </c>
      <c r="X732">
        <f>YEAR(T732)</f>
        <v>2024</v>
      </c>
      <c r="Y732" s="26" t="str">
        <f>X732&amp;"-"&amp;W732</f>
        <v>2024-8</v>
      </c>
    </row>
    <row r="733" spans="18:25" x14ac:dyDescent="0.25">
      <c r="R733" t="s">
        <v>8</v>
      </c>
      <c r="S733" t="s">
        <v>227</v>
      </c>
      <c r="T733" t="s">
        <v>446</v>
      </c>
      <c r="U733">
        <v>55920</v>
      </c>
      <c r="V733">
        <v>8</v>
      </c>
      <c r="W733">
        <f>MONTH(T733)</f>
        <v>8</v>
      </c>
      <c r="X733">
        <f>YEAR(T733)</f>
        <v>2024</v>
      </c>
      <c r="Y733" s="26" t="str">
        <f>X733&amp;"-"&amp;W733</f>
        <v>2024-8</v>
      </c>
    </row>
    <row r="734" spans="18:25" x14ac:dyDescent="0.25">
      <c r="R734" t="s">
        <v>8</v>
      </c>
      <c r="S734" t="s">
        <v>211</v>
      </c>
      <c r="T734" t="s">
        <v>451</v>
      </c>
      <c r="U734">
        <v>90220</v>
      </c>
      <c r="V734">
        <v>6</v>
      </c>
      <c r="W734">
        <f>MONTH(T734)</f>
        <v>8</v>
      </c>
      <c r="X734">
        <f>YEAR(T734)</f>
        <v>2024</v>
      </c>
      <c r="Y734" s="26" t="str">
        <f>X734&amp;"-"&amp;W734</f>
        <v>2024-8</v>
      </c>
    </row>
    <row r="735" spans="18:25" x14ac:dyDescent="0.25">
      <c r="R735" t="s">
        <v>8</v>
      </c>
      <c r="S735" t="s">
        <v>33</v>
      </c>
      <c r="T735" t="s">
        <v>456</v>
      </c>
      <c r="U735">
        <v>11556</v>
      </c>
      <c r="V735">
        <v>4</v>
      </c>
      <c r="W735">
        <f>MONTH(T735)</f>
        <v>8</v>
      </c>
      <c r="X735">
        <f>YEAR(T735)</f>
        <v>2024</v>
      </c>
      <c r="Y735" s="26" t="str">
        <f>X735&amp;"-"&amp;W735</f>
        <v>2024-8</v>
      </c>
    </row>
    <row r="736" spans="18:25" x14ac:dyDescent="0.25">
      <c r="R736" t="s">
        <v>8</v>
      </c>
      <c r="S736" t="s">
        <v>195</v>
      </c>
      <c r="T736" t="s">
        <v>457</v>
      </c>
      <c r="U736">
        <v>62813</v>
      </c>
      <c r="V736">
        <v>10</v>
      </c>
      <c r="W736">
        <f>MONTH(T736)</f>
        <v>8</v>
      </c>
      <c r="X736">
        <f>YEAR(T736)</f>
        <v>2024</v>
      </c>
      <c r="Y736" s="26" t="str">
        <f>X736&amp;"-"&amp;W736</f>
        <v>2024-8</v>
      </c>
    </row>
    <row r="737" spans="18:25" x14ac:dyDescent="0.25">
      <c r="R737" t="s">
        <v>27</v>
      </c>
      <c r="S737" t="s">
        <v>28</v>
      </c>
      <c r="T737" t="s">
        <v>29</v>
      </c>
      <c r="U737">
        <v>68907</v>
      </c>
      <c r="V737">
        <v>3</v>
      </c>
      <c r="W737">
        <f>MONTH(T737)</f>
        <v>9</v>
      </c>
      <c r="X737">
        <f>YEAR(T737)</f>
        <v>2023</v>
      </c>
      <c r="Y737" s="26" t="str">
        <f>X737&amp;"-"&amp;W737</f>
        <v>2023-9</v>
      </c>
    </row>
    <row r="738" spans="18:25" x14ac:dyDescent="0.25">
      <c r="R738" t="s">
        <v>27</v>
      </c>
      <c r="S738" t="s">
        <v>31</v>
      </c>
      <c r="T738" t="s">
        <v>44</v>
      </c>
      <c r="U738">
        <v>24172</v>
      </c>
      <c r="V738">
        <v>5</v>
      </c>
      <c r="W738">
        <f>MONTH(T738)</f>
        <v>9</v>
      </c>
      <c r="X738">
        <f>YEAR(T738)</f>
        <v>2023</v>
      </c>
      <c r="Y738" s="26" t="str">
        <f>X738&amp;"-"&amp;W738</f>
        <v>2023-9</v>
      </c>
    </row>
    <row r="739" spans="18:25" x14ac:dyDescent="0.25">
      <c r="R739" t="s">
        <v>27</v>
      </c>
      <c r="S739" t="s">
        <v>50</v>
      </c>
      <c r="T739" t="s">
        <v>44</v>
      </c>
      <c r="U739">
        <v>62593</v>
      </c>
      <c r="V739">
        <v>8</v>
      </c>
      <c r="W739">
        <f>MONTH(T739)</f>
        <v>9</v>
      </c>
      <c r="X739">
        <f>YEAR(T739)</f>
        <v>2023</v>
      </c>
      <c r="Y739" s="26" t="str">
        <f>X739&amp;"-"&amp;W739</f>
        <v>2023-9</v>
      </c>
    </row>
    <row r="740" spans="18:25" x14ac:dyDescent="0.25">
      <c r="R740" t="s">
        <v>27</v>
      </c>
      <c r="S740" t="s">
        <v>52</v>
      </c>
      <c r="T740" t="s">
        <v>44</v>
      </c>
      <c r="U740">
        <v>44430</v>
      </c>
      <c r="V740">
        <v>2</v>
      </c>
      <c r="W740">
        <f>MONTH(T740)</f>
        <v>9</v>
      </c>
      <c r="X740">
        <f>YEAR(T740)</f>
        <v>2023</v>
      </c>
      <c r="Y740" s="26" t="str">
        <f>X740&amp;"-"&amp;W740</f>
        <v>2023-9</v>
      </c>
    </row>
    <row r="741" spans="18:25" x14ac:dyDescent="0.25">
      <c r="R741" t="s">
        <v>27</v>
      </c>
      <c r="S741" t="s">
        <v>37</v>
      </c>
      <c r="T741" t="s">
        <v>62</v>
      </c>
      <c r="U741">
        <v>89242</v>
      </c>
      <c r="V741">
        <v>6</v>
      </c>
      <c r="W741">
        <f>MONTH(T741)</f>
        <v>9</v>
      </c>
      <c r="X741">
        <f>YEAR(T741)</f>
        <v>2023</v>
      </c>
      <c r="Y741" s="26" t="str">
        <f>X741&amp;"-"&amp;W741</f>
        <v>2023-9</v>
      </c>
    </row>
    <row r="742" spans="18:25" x14ac:dyDescent="0.25">
      <c r="R742" t="s">
        <v>27</v>
      </c>
      <c r="S742" t="s">
        <v>68</v>
      </c>
      <c r="T742" t="s">
        <v>62</v>
      </c>
      <c r="U742">
        <v>11300</v>
      </c>
      <c r="V742">
        <v>5</v>
      </c>
      <c r="W742">
        <f>MONTH(T742)</f>
        <v>9</v>
      </c>
      <c r="X742">
        <f>YEAR(T742)</f>
        <v>2023</v>
      </c>
      <c r="Y742" s="26" t="str">
        <f>X742&amp;"-"&amp;W742</f>
        <v>2023-9</v>
      </c>
    </row>
    <row r="743" spans="18:25" x14ac:dyDescent="0.25">
      <c r="R743" t="s">
        <v>27</v>
      </c>
      <c r="S743" t="s">
        <v>86</v>
      </c>
      <c r="T743" t="s">
        <v>87</v>
      </c>
      <c r="U743">
        <v>99945</v>
      </c>
      <c r="V743">
        <v>6</v>
      </c>
      <c r="W743">
        <f>MONTH(T743)</f>
        <v>9</v>
      </c>
      <c r="X743">
        <f>YEAR(T743)</f>
        <v>2023</v>
      </c>
      <c r="Y743" s="26" t="str">
        <f>X743&amp;"-"&amp;W743</f>
        <v>2023-9</v>
      </c>
    </row>
    <row r="744" spans="18:25" x14ac:dyDescent="0.25">
      <c r="R744" t="s">
        <v>27</v>
      </c>
      <c r="S744" t="s">
        <v>96</v>
      </c>
      <c r="T744" t="s">
        <v>97</v>
      </c>
      <c r="U744">
        <v>97783</v>
      </c>
      <c r="V744">
        <v>8</v>
      </c>
      <c r="W744">
        <f>MONTH(T744)</f>
        <v>9</v>
      </c>
      <c r="X744">
        <f>YEAR(T744)</f>
        <v>2023</v>
      </c>
      <c r="Y744" s="26" t="str">
        <f>X744&amp;"-"&amp;W744</f>
        <v>2023-9</v>
      </c>
    </row>
    <row r="745" spans="18:25" x14ac:dyDescent="0.25">
      <c r="R745" t="s">
        <v>27</v>
      </c>
      <c r="S745" t="s">
        <v>90</v>
      </c>
      <c r="T745" t="s">
        <v>109</v>
      </c>
      <c r="U745">
        <v>69358</v>
      </c>
      <c r="V745">
        <v>7</v>
      </c>
      <c r="W745">
        <f>MONTH(T745)</f>
        <v>10</v>
      </c>
      <c r="X745">
        <f>YEAR(T745)</f>
        <v>2023</v>
      </c>
      <c r="Y745" s="26" t="str">
        <f>X745&amp;"-"&amp;W745</f>
        <v>2023-10</v>
      </c>
    </row>
    <row r="746" spans="18:25" x14ac:dyDescent="0.25">
      <c r="R746" t="s">
        <v>27</v>
      </c>
      <c r="S746" t="s">
        <v>75</v>
      </c>
      <c r="T746" t="s">
        <v>109</v>
      </c>
      <c r="U746">
        <v>19847</v>
      </c>
      <c r="V746">
        <v>7</v>
      </c>
      <c r="W746">
        <f>MONTH(T746)</f>
        <v>10</v>
      </c>
      <c r="X746">
        <f>YEAR(T746)</f>
        <v>2023</v>
      </c>
      <c r="Y746" s="26" t="str">
        <f>X746&amp;"-"&amp;W746</f>
        <v>2023-10</v>
      </c>
    </row>
    <row r="747" spans="18:25" x14ac:dyDescent="0.25">
      <c r="R747" t="s">
        <v>27</v>
      </c>
      <c r="S747" t="s">
        <v>116</v>
      </c>
      <c r="T747" t="s">
        <v>115</v>
      </c>
      <c r="U747">
        <v>67191</v>
      </c>
      <c r="V747">
        <v>3</v>
      </c>
      <c r="W747">
        <f>MONTH(T747)</f>
        <v>10</v>
      </c>
      <c r="X747">
        <f>YEAR(T747)</f>
        <v>2023</v>
      </c>
      <c r="Y747" s="26" t="str">
        <f>X747&amp;"-"&amp;W747</f>
        <v>2023-10</v>
      </c>
    </row>
    <row r="748" spans="18:25" x14ac:dyDescent="0.25">
      <c r="R748" t="s">
        <v>27</v>
      </c>
      <c r="S748" t="s">
        <v>96</v>
      </c>
      <c r="T748" t="s">
        <v>127</v>
      </c>
      <c r="U748">
        <v>34353</v>
      </c>
      <c r="V748">
        <v>7</v>
      </c>
      <c r="W748">
        <f>MONTH(T748)</f>
        <v>10</v>
      </c>
      <c r="X748">
        <f>YEAR(T748)</f>
        <v>2023</v>
      </c>
      <c r="Y748" s="26" t="str">
        <f>X748&amp;"-"&amp;W748</f>
        <v>2023-10</v>
      </c>
    </row>
    <row r="749" spans="18:25" x14ac:dyDescent="0.25">
      <c r="R749" t="s">
        <v>27</v>
      </c>
      <c r="S749" t="s">
        <v>128</v>
      </c>
      <c r="T749" t="s">
        <v>127</v>
      </c>
      <c r="U749">
        <v>48993</v>
      </c>
      <c r="V749">
        <v>7</v>
      </c>
      <c r="W749">
        <f>MONTH(T749)</f>
        <v>10</v>
      </c>
      <c r="X749">
        <f>YEAR(T749)</f>
        <v>2023</v>
      </c>
      <c r="Y749" s="26" t="str">
        <f>X749&amp;"-"&amp;W749</f>
        <v>2023-10</v>
      </c>
    </row>
    <row r="750" spans="18:25" x14ac:dyDescent="0.25">
      <c r="R750" t="s">
        <v>27</v>
      </c>
      <c r="S750" t="s">
        <v>139</v>
      </c>
      <c r="T750" t="s">
        <v>138</v>
      </c>
      <c r="U750">
        <v>16846</v>
      </c>
      <c r="V750">
        <v>1</v>
      </c>
      <c r="W750">
        <f>MONTH(T750)</f>
        <v>10</v>
      </c>
      <c r="X750">
        <f>YEAR(T750)</f>
        <v>2023</v>
      </c>
      <c r="Y750" s="26" t="str">
        <f>X750&amp;"-"&amp;W750</f>
        <v>2023-10</v>
      </c>
    </row>
    <row r="751" spans="18:25" x14ac:dyDescent="0.25">
      <c r="R751" t="s">
        <v>27</v>
      </c>
      <c r="S751" t="s">
        <v>24</v>
      </c>
      <c r="T751" t="s">
        <v>143</v>
      </c>
      <c r="U751">
        <v>58768</v>
      </c>
      <c r="V751">
        <v>7</v>
      </c>
      <c r="W751">
        <f>MONTH(T751)</f>
        <v>10</v>
      </c>
      <c r="X751">
        <f>YEAR(T751)</f>
        <v>2023</v>
      </c>
      <c r="Y751" s="26" t="str">
        <f>X751&amp;"-"&amp;W751</f>
        <v>2023-10</v>
      </c>
    </row>
    <row r="752" spans="18:25" x14ac:dyDescent="0.25">
      <c r="R752" t="s">
        <v>27</v>
      </c>
      <c r="S752" t="s">
        <v>158</v>
      </c>
      <c r="T752" t="s">
        <v>154</v>
      </c>
      <c r="U752">
        <v>84891</v>
      </c>
      <c r="V752">
        <v>5</v>
      </c>
      <c r="W752">
        <f>MONTH(T752)</f>
        <v>10</v>
      </c>
      <c r="X752">
        <f>YEAR(T752)</f>
        <v>2023</v>
      </c>
      <c r="Y752" s="26" t="str">
        <f>X752&amp;"-"&amp;W752</f>
        <v>2023-10</v>
      </c>
    </row>
    <row r="753" spans="18:25" x14ac:dyDescent="0.25">
      <c r="R753" t="s">
        <v>27</v>
      </c>
      <c r="S753" t="s">
        <v>178</v>
      </c>
      <c r="T753" t="s">
        <v>179</v>
      </c>
      <c r="U753">
        <v>90276</v>
      </c>
      <c r="V753">
        <v>2</v>
      </c>
      <c r="W753">
        <f>MONTH(T753)</f>
        <v>11</v>
      </c>
      <c r="X753">
        <f>YEAR(T753)</f>
        <v>2023</v>
      </c>
      <c r="Y753" s="26" t="str">
        <f>X753&amp;"-"&amp;W753</f>
        <v>2023-11</v>
      </c>
    </row>
    <row r="754" spans="18:25" x14ac:dyDescent="0.25">
      <c r="R754" t="s">
        <v>27</v>
      </c>
      <c r="S754" t="s">
        <v>64</v>
      </c>
      <c r="T754" t="s">
        <v>189</v>
      </c>
      <c r="U754">
        <v>45549</v>
      </c>
      <c r="V754">
        <v>10</v>
      </c>
      <c r="W754">
        <f>MONTH(T754)</f>
        <v>11</v>
      </c>
      <c r="X754">
        <f>YEAR(T754)</f>
        <v>2023</v>
      </c>
      <c r="Y754" s="26" t="str">
        <f>X754&amp;"-"&amp;W754</f>
        <v>2023-11</v>
      </c>
    </row>
    <row r="755" spans="18:25" x14ac:dyDescent="0.25">
      <c r="R755" t="s">
        <v>27</v>
      </c>
      <c r="S755" t="s">
        <v>49</v>
      </c>
      <c r="T755" t="s">
        <v>189</v>
      </c>
      <c r="U755">
        <v>82432</v>
      </c>
      <c r="V755">
        <v>5</v>
      </c>
      <c r="W755">
        <f>MONTH(T755)</f>
        <v>11</v>
      </c>
      <c r="X755">
        <f>YEAR(T755)</f>
        <v>2023</v>
      </c>
      <c r="Y755" s="26" t="str">
        <f>X755&amp;"-"&amp;W755</f>
        <v>2023-11</v>
      </c>
    </row>
    <row r="756" spans="18:25" x14ac:dyDescent="0.25">
      <c r="R756" t="s">
        <v>27</v>
      </c>
      <c r="S756" t="s">
        <v>33</v>
      </c>
      <c r="T756" t="s">
        <v>203</v>
      </c>
      <c r="U756">
        <v>38423</v>
      </c>
      <c r="V756">
        <v>6</v>
      </c>
      <c r="W756">
        <f>MONTH(T756)</f>
        <v>11</v>
      </c>
      <c r="X756">
        <f>YEAR(T756)</f>
        <v>2023</v>
      </c>
      <c r="Y756" s="26" t="str">
        <f>X756&amp;"-"&amp;W756</f>
        <v>2023-11</v>
      </c>
    </row>
    <row r="757" spans="18:25" x14ac:dyDescent="0.25">
      <c r="R757" t="s">
        <v>27</v>
      </c>
      <c r="S757" t="s">
        <v>205</v>
      </c>
      <c r="T757" t="s">
        <v>204</v>
      </c>
      <c r="U757">
        <v>31304</v>
      </c>
      <c r="V757">
        <v>4</v>
      </c>
      <c r="W757">
        <f>MONTH(T757)</f>
        <v>11</v>
      </c>
      <c r="X757">
        <f>YEAR(T757)</f>
        <v>2023</v>
      </c>
      <c r="Y757" s="26" t="str">
        <f>X757&amp;"-"&amp;W757</f>
        <v>2023-11</v>
      </c>
    </row>
    <row r="758" spans="18:25" x14ac:dyDescent="0.25">
      <c r="R758" t="s">
        <v>27</v>
      </c>
      <c r="S758" t="s">
        <v>28</v>
      </c>
      <c r="T758" t="s">
        <v>207</v>
      </c>
      <c r="U758">
        <v>43479</v>
      </c>
      <c r="V758">
        <v>9</v>
      </c>
      <c r="W758">
        <f>MONTH(T758)</f>
        <v>11</v>
      </c>
      <c r="X758">
        <f>YEAR(T758)</f>
        <v>2023</v>
      </c>
      <c r="Y758" s="26" t="str">
        <f>X758&amp;"-"&amp;W758</f>
        <v>2023-11</v>
      </c>
    </row>
    <row r="759" spans="18:25" x14ac:dyDescent="0.25">
      <c r="R759" t="s">
        <v>27</v>
      </c>
      <c r="S759" t="s">
        <v>43</v>
      </c>
      <c r="T759" t="s">
        <v>210</v>
      </c>
      <c r="U759">
        <v>79954</v>
      </c>
      <c r="V759">
        <v>3</v>
      </c>
      <c r="W759">
        <f>MONTH(T759)</f>
        <v>11</v>
      </c>
      <c r="X759">
        <f>YEAR(T759)</f>
        <v>2023</v>
      </c>
      <c r="Y759" s="26" t="str">
        <f>X759&amp;"-"&amp;W759</f>
        <v>2023-11</v>
      </c>
    </row>
    <row r="760" spans="18:25" x14ac:dyDescent="0.25">
      <c r="R760" t="s">
        <v>27</v>
      </c>
      <c r="S760" t="s">
        <v>129</v>
      </c>
      <c r="T760" t="s">
        <v>216</v>
      </c>
      <c r="U760">
        <v>80839</v>
      </c>
      <c r="V760">
        <v>5</v>
      </c>
      <c r="W760">
        <f>MONTH(T760)</f>
        <v>12</v>
      </c>
      <c r="X760">
        <f>YEAR(T760)</f>
        <v>2023</v>
      </c>
      <c r="Y760" s="26" t="str">
        <f>X760&amp;"-"&amp;W760</f>
        <v>2023-12</v>
      </c>
    </row>
    <row r="761" spans="18:25" x14ac:dyDescent="0.25">
      <c r="R761" t="s">
        <v>27</v>
      </c>
      <c r="S761" t="s">
        <v>110</v>
      </c>
      <c r="T761" t="s">
        <v>220</v>
      </c>
      <c r="U761">
        <v>49743</v>
      </c>
      <c r="V761">
        <v>4</v>
      </c>
      <c r="W761">
        <f>MONTH(T761)</f>
        <v>12</v>
      </c>
      <c r="X761">
        <f>YEAR(T761)</f>
        <v>2023</v>
      </c>
      <c r="Y761" s="26" t="str">
        <f>X761&amp;"-"&amp;W761</f>
        <v>2023-12</v>
      </c>
    </row>
    <row r="762" spans="18:25" x14ac:dyDescent="0.25">
      <c r="R762" t="s">
        <v>27</v>
      </c>
      <c r="S762" t="s">
        <v>110</v>
      </c>
      <c r="T762" t="s">
        <v>230</v>
      </c>
      <c r="U762">
        <v>15374</v>
      </c>
      <c r="V762">
        <v>6</v>
      </c>
      <c r="W762">
        <f>MONTH(T762)</f>
        <v>12</v>
      </c>
      <c r="X762">
        <f>YEAR(T762)</f>
        <v>2023</v>
      </c>
      <c r="Y762" s="26" t="str">
        <f>X762&amp;"-"&amp;W762</f>
        <v>2023-12</v>
      </c>
    </row>
    <row r="763" spans="18:25" x14ac:dyDescent="0.25">
      <c r="R763" t="s">
        <v>27</v>
      </c>
      <c r="S763" t="s">
        <v>232</v>
      </c>
      <c r="T763" t="s">
        <v>230</v>
      </c>
      <c r="U763">
        <v>46765</v>
      </c>
      <c r="V763">
        <v>2</v>
      </c>
      <c r="W763">
        <f>MONTH(T763)</f>
        <v>12</v>
      </c>
      <c r="X763">
        <f>YEAR(T763)</f>
        <v>2023</v>
      </c>
      <c r="Y763" s="26" t="str">
        <f>X763&amp;"-"&amp;W763</f>
        <v>2023-12</v>
      </c>
    </row>
    <row r="764" spans="18:25" x14ac:dyDescent="0.25">
      <c r="R764" t="s">
        <v>27</v>
      </c>
      <c r="S764" t="s">
        <v>134</v>
      </c>
      <c r="T764" t="s">
        <v>230</v>
      </c>
      <c r="U764">
        <v>51565</v>
      </c>
      <c r="V764">
        <v>2</v>
      </c>
      <c r="W764">
        <f>MONTH(T764)</f>
        <v>12</v>
      </c>
      <c r="X764">
        <f>YEAR(T764)</f>
        <v>2023</v>
      </c>
      <c r="Y764" s="26" t="str">
        <f>X764&amp;"-"&amp;W764</f>
        <v>2023-12</v>
      </c>
    </row>
    <row r="765" spans="18:25" x14ac:dyDescent="0.25">
      <c r="R765" t="s">
        <v>27</v>
      </c>
      <c r="S765" t="s">
        <v>65</v>
      </c>
      <c r="T765" t="s">
        <v>238</v>
      </c>
      <c r="U765">
        <v>80485</v>
      </c>
      <c r="V765">
        <v>4</v>
      </c>
      <c r="W765">
        <f>MONTH(T765)</f>
        <v>12</v>
      </c>
      <c r="X765">
        <f>YEAR(T765)</f>
        <v>2023</v>
      </c>
      <c r="Y765" s="26" t="str">
        <f>X765&amp;"-"&amp;W765</f>
        <v>2023-12</v>
      </c>
    </row>
    <row r="766" spans="18:25" x14ac:dyDescent="0.25">
      <c r="R766" t="s">
        <v>27</v>
      </c>
      <c r="S766" t="s">
        <v>223</v>
      </c>
      <c r="T766" t="s">
        <v>255</v>
      </c>
      <c r="U766">
        <v>88188</v>
      </c>
      <c r="V766">
        <v>7</v>
      </c>
      <c r="W766">
        <f>MONTH(T766)</f>
        <v>1</v>
      </c>
      <c r="X766">
        <f>YEAR(T766)</f>
        <v>2024</v>
      </c>
      <c r="Y766" s="26" t="str">
        <f>X766&amp;"-"&amp;W766</f>
        <v>2024-1</v>
      </c>
    </row>
    <row r="767" spans="18:25" x14ac:dyDescent="0.25">
      <c r="R767" t="s">
        <v>27</v>
      </c>
      <c r="S767" t="s">
        <v>20</v>
      </c>
      <c r="T767" t="s">
        <v>260</v>
      </c>
      <c r="U767">
        <v>10843</v>
      </c>
      <c r="V767">
        <v>4</v>
      </c>
      <c r="W767">
        <f>MONTH(T767)</f>
        <v>1</v>
      </c>
      <c r="X767">
        <f>YEAR(T767)</f>
        <v>2024</v>
      </c>
      <c r="Y767" s="26" t="str">
        <f>X767&amp;"-"&amp;W767</f>
        <v>2024-1</v>
      </c>
    </row>
    <row r="768" spans="18:25" x14ac:dyDescent="0.25">
      <c r="R768" t="s">
        <v>27</v>
      </c>
      <c r="S768" t="s">
        <v>92</v>
      </c>
      <c r="T768" t="s">
        <v>268</v>
      </c>
      <c r="U768">
        <v>85312</v>
      </c>
      <c r="V768">
        <v>7</v>
      </c>
      <c r="W768">
        <f>MONTH(T768)</f>
        <v>1</v>
      </c>
      <c r="X768">
        <f>YEAR(T768)</f>
        <v>2024</v>
      </c>
      <c r="Y768" s="26" t="str">
        <f>X768&amp;"-"&amp;W768</f>
        <v>2024-1</v>
      </c>
    </row>
    <row r="769" spans="18:25" x14ac:dyDescent="0.25">
      <c r="R769" t="s">
        <v>27</v>
      </c>
      <c r="S769" t="s">
        <v>130</v>
      </c>
      <c r="T769" t="s">
        <v>291</v>
      </c>
      <c r="U769">
        <v>53498</v>
      </c>
      <c r="V769">
        <v>8</v>
      </c>
      <c r="W769">
        <f>MONTH(T769)</f>
        <v>2</v>
      </c>
      <c r="X769">
        <f>YEAR(T769)</f>
        <v>2024</v>
      </c>
      <c r="Y769" s="26" t="str">
        <f>X769&amp;"-"&amp;W769</f>
        <v>2024-2</v>
      </c>
    </row>
    <row r="770" spans="18:25" x14ac:dyDescent="0.25">
      <c r="R770" t="s">
        <v>27</v>
      </c>
      <c r="S770" t="s">
        <v>178</v>
      </c>
      <c r="T770" t="s">
        <v>303</v>
      </c>
      <c r="U770">
        <v>81408</v>
      </c>
      <c r="V770">
        <v>6</v>
      </c>
      <c r="W770">
        <f>MONTH(T770)</f>
        <v>2</v>
      </c>
      <c r="X770">
        <f>YEAR(T770)</f>
        <v>2024</v>
      </c>
      <c r="Y770" s="26" t="str">
        <f>X770&amp;"-"&amp;W770</f>
        <v>2024-2</v>
      </c>
    </row>
    <row r="771" spans="18:25" x14ac:dyDescent="0.25">
      <c r="R771" t="s">
        <v>27</v>
      </c>
      <c r="S771" t="s">
        <v>57</v>
      </c>
      <c r="T771" t="s">
        <v>314</v>
      </c>
      <c r="U771">
        <v>52124</v>
      </c>
      <c r="V771">
        <v>5</v>
      </c>
      <c r="W771">
        <f>MONTH(T771)</f>
        <v>2</v>
      </c>
      <c r="X771">
        <f>YEAR(T771)</f>
        <v>2024</v>
      </c>
      <c r="Y771" s="26" t="str">
        <f>X771&amp;"-"&amp;W771</f>
        <v>2024-2</v>
      </c>
    </row>
    <row r="772" spans="18:25" x14ac:dyDescent="0.25">
      <c r="R772" t="s">
        <v>27</v>
      </c>
      <c r="S772" t="s">
        <v>188</v>
      </c>
      <c r="T772" t="s">
        <v>318</v>
      </c>
      <c r="U772">
        <v>65545</v>
      </c>
      <c r="V772">
        <v>2</v>
      </c>
      <c r="W772">
        <f>MONTH(T772)</f>
        <v>3</v>
      </c>
      <c r="X772">
        <f>YEAR(T772)</f>
        <v>2024</v>
      </c>
      <c r="Y772" s="26" t="str">
        <f>X772&amp;"-"&amp;W772</f>
        <v>2024-3</v>
      </c>
    </row>
    <row r="773" spans="18:25" x14ac:dyDescent="0.25">
      <c r="R773" t="s">
        <v>27</v>
      </c>
      <c r="S773" t="s">
        <v>15</v>
      </c>
      <c r="T773" t="s">
        <v>318</v>
      </c>
      <c r="U773">
        <v>59839</v>
      </c>
      <c r="V773">
        <v>8</v>
      </c>
      <c r="W773">
        <f>MONTH(T773)</f>
        <v>3</v>
      </c>
      <c r="X773">
        <f>YEAR(T773)</f>
        <v>2024</v>
      </c>
      <c r="Y773" s="26" t="str">
        <f>X773&amp;"-"&amp;W773</f>
        <v>2024-3</v>
      </c>
    </row>
    <row r="774" spans="18:25" x14ac:dyDescent="0.25">
      <c r="R774" t="s">
        <v>27</v>
      </c>
      <c r="S774" t="s">
        <v>57</v>
      </c>
      <c r="T774" t="s">
        <v>322</v>
      </c>
      <c r="U774">
        <v>15686</v>
      </c>
      <c r="V774">
        <v>0</v>
      </c>
      <c r="W774">
        <f>MONTH(T774)</f>
        <v>3</v>
      </c>
      <c r="X774">
        <f>YEAR(T774)</f>
        <v>2024</v>
      </c>
      <c r="Y774" s="26" t="str">
        <f>X774&amp;"-"&amp;W774</f>
        <v>2024-3</v>
      </c>
    </row>
    <row r="775" spans="18:25" x14ac:dyDescent="0.25">
      <c r="R775" t="s">
        <v>27</v>
      </c>
      <c r="S775" t="s">
        <v>32</v>
      </c>
      <c r="T775" t="s">
        <v>341</v>
      </c>
      <c r="U775">
        <v>90046</v>
      </c>
      <c r="V775">
        <v>7</v>
      </c>
      <c r="W775">
        <f>MONTH(T775)</f>
        <v>3</v>
      </c>
      <c r="X775">
        <f>YEAR(T775)</f>
        <v>2024</v>
      </c>
      <c r="Y775" s="26" t="str">
        <f>X775&amp;"-"&amp;W775</f>
        <v>2024-3</v>
      </c>
    </row>
    <row r="776" spans="18:25" x14ac:dyDescent="0.25">
      <c r="R776" t="s">
        <v>27</v>
      </c>
      <c r="S776" t="s">
        <v>346</v>
      </c>
      <c r="T776" t="s">
        <v>345</v>
      </c>
      <c r="U776">
        <v>34157</v>
      </c>
      <c r="V776">
        <v>10</v>
      </c>
      <c r="W776">
        <f>MONTH(T776)</f>
        <v>4</v>
      </c>
      <c r="X776">
        <f>YEAR(T776)</f>
        <v>2024</v>
      </c>
      <c r="Y776" s="26" t="str">
        <f>X776&amp;"-"&amp;W776</f>
        <v>2024-4</v>
      </c>
    </row>
    <row r="777" spans="18:25" x14ac:dyDescent="0.25">
      <c r="R777" t="s">
        <v>27</v>
      </c>
      <c r="S777" t="s">
        <v>80</v>
      </c>
      <c r="T777" t="s">
        <v>359</v>
      </c>
      <c r="U777">
        <v>68655</v>
      </c>
      <c r="V777">
        <v>2</v>
      </c>
      <c r="W777">
        <f>MONTH(T777)</f>
        <v>4</v>
      </c>
      <c r="X777">
        <f>YEAR(T777)</f>
        <v>2024</v>
      </c>
      <c r="Y777" s="26" t="str">
        <f>X777&amp;"-"&amp;W777</f>
        <v>2024-4</v>
      </c>
    </row>
    <row r="778" spans="18:25" x14ac:dyDescent="0.25">
      <c r="R778" t="s">
        <v>27</v>
      </c>
      <c r="S778" t="s">
        <v>239</v>
      </c>
      <c r="T778" t="s">
        <v>359</v>
      </c>
      <c r="U778">
        <v>25410</v>
      </c>
      <c r="V778">
        <v>7</v>
      </c>
      <c r="W778">
        <f>MONTH(T778)</f>
        <v>4</v>
      </c>
      <c r="X778">
        <f>YEAR(T778)</f>
        <v>2024</v>
      </c>
      <c r="Y778" s="26" t="str">
        <f>X778&amp;"-"&amp;W778</f>
        <v>2024-4</v>
      </c>
    </row>
    <row r="779" spans="18:25" x14ac:dyDescent="0.25">
      <c r="R779" t="s">
        <v>27</v>
      </c>
      <c r="S779" t="s">
        <v>215</v>
      </c>
      <c r="T779" t="s">
        <v>366</v>
      </c>
      <c r="U779">
        <v>35183</v>
      </c>
      <c r="V779">
        <v>6</v>
      </c>
      <c r="W779">
        <f>MONTH(T779)</f>
        <v>4</v>
      </c>
      <c r="X779">
        <f>YEAR(T779)</f>
        <v>2024</v>
      </c>
      <c r="Y779" s="26" t="str">
        <f>X779&amp;"-"&amp;W779</f>
        <v>2024-4</v>
      </c>
    </row>
    <row r="780" spans="18:25" x14ac:dyDescent="0.25">
      <c r="R780" t="s">
        <v>27</v>
      </c>
      <c r="S780" t="s">
        <v>167</v>
      </c>
      <c r="T780" t="s">
        <v>370</v>
      </c>
      <c r="U780">
        <v>14046</v>
      </c>
      <c r="V780">
        <v>6</v>
      </c>
      <c r="W780">
        <f>MONTH(T780)</f>
        <v>5</v>
      </c>
      <c r="X780">
        <f>YEAR(T780)</f>
        <v>2024</v>
      </c>
      <c r="Y780" s="26" t="str">
        <f>X780&amp;"-"&amp;W780</f>
        <v>2024-5</v>
      </c>
    </row>
    <row r="781" spans="18:25" x14ac:dyDescent="0.25">
      <c r="R781" t="s">
        <v>27</v>
      </c>
      <c r="S781" t="s">
        <v>224</v>
      </c>
      <c r="T781" t="s">
        <v>388</v>
      </c>
      <c r="U781">
        <v>23678</v>
      </c>
      <c r="V781">
        <v>10</v>
      </c>
      <c r="W781">
        <f>MONTH(T781)</f>
        <v>5</v>
      </c>
      <c r="X781">
        <f>YEAR(T781)</f>
        <v>2024</v>
      </c>
      <c r="Y781" s="26" t="str">
        <f>X781&amp;"-"&amp;W781</f>
        <v>2024-5</v>
      </c>
    </row>
    <row r="782" spans="18:25" x14ac:dyDescent="0.25">
      <c r="R782" t="s">
        <v>27</v>
      </c>
      <c r="S782" t="s">
        <v>77</v>
      </c>
      <c r="T782" t="s">
        <v>391</v>
      </c>
      <c r="U782">
        <v>54463</v>
      </c>
      <c r="V782">
        <v>3</v>
      </c>
      <c r="W782">
        <f>MONTH(T782)</f>
        <v>5</v>
      </c>
      <c r="X782">
        <f>YEAR(T782)</f>
        <v>2024</v>
      </c>
      <c r="Y782" s="26" t="str">
        <f>X782&amp;"-"&amp;W782</f>
        <v>2024-5</v>
      </c>
    </row>
    <row r="783" spans="18:25" x14ac:dyDescent="0.25">
      <c r="R783" t="s">
        <v>27</v>
      </c>
      <c r="S783" t="s">
        <v>212</v>
      </c>
      <c r="T783" t="s">
        <v>392</v>
      </c>
      <c r="U783">
        <v>65869</v>
      </c>
      <c r="V783">
        <v>8</v>
      </c>
      <c r="W783">
        <f>MONTH(T783)</f>
        <v>5</v>
      </c>
      <c r="X783">
        <f>YEAR(T783)</f>
        <v>2024</v>
      </c>
      <c r="Y783" s="26" t="str">
        <f>X783&amp;"-"&amp;W783</f>
        <v>2024-5</v>
      </c>
    </row>
    <row r="784" spans="18:25" x14ac:dyDescent="0.25">
      <c r="R784" t="s">
        <v>27</v>
      </c>
      <c r="S784" t="s">
        <v>126</v>
      </c>
      <c r="T784" t="s">
        <v>394</v>
      </c>
      <c r="U784">
        <v>90540</v>
      </c>
      <c r="V784">
        <v>1</v>
      </c>
      <c r="W784">
        <f>MONTH(T784)</f>
        <v>6</v>
      </c>
      <c r="X784">
        <f>YEAR(T784)</f>
        <v>2024</v>
      </c>
      <c r="Y784" s="26" t="str">
        <f>X784&amp;"-"&amp;W784</f>
        <v>2024-6</v>
      </c>
    </row>
    <row r="785" spans="18:25" x14ac:dyDescent="0.25">
      <c r="R785" t="s">
        <v>27</v>
      </c>
      <c r="S785" t="s">
        <v>248</v>
      </c>
      <c r="T785" t="s">
        <v>406</v>
      </c>
      <c r="U785">
        <v>10170</v>
      </c>
      <c r="V785">
        <v>5</v>
      </c>
      <c r="W785">
        <f>MONTH(T785)</f>
        <v>6</v>
      </c>
      <c r="X785">
        <f>YEAR(T785)</f>
        <v>2024</v>
      </c>
      <c r="Y785" s="26" t="str">
        <f>X785&amp;"-"&amp;W785</f>
        <v>2024-6</v>
      </c>
    </row>
    <row r="786" spans="18:25" x14ac:dyDescent="0.25">
      <c r="R786" t="s">
        <v>27</v>
      </c>
      <c r="S786" t="s">
        <v>344</v>
      </c>
      <c r="T786" t="s">
        <v>409</v>
      </c>
      <c r="U786">
        <v>45913</v>
      </c>
      <c r="V786">
        <v>5</v>
      </c>
      <c r="W786">
        <f>MONTH(T786)</f>
        <v>6</v>
      </c>
      <c r="X786">
        <f>YEAR(T786)</f>
        <v>2024</v>
      </c>
      <c r="Y786" s="26" t="str">
        <f>X786&amp;"-"&amp;W786</f>
        <v>2024-6</v>
      </c>
    </row>
    <row r="787" spans="18:25" x14ac:dyDescent="0.25">
      <c r="R787" t="s">
        <v>27</v>
      </c>
      <c r="S787" t="s">
        <v>53</v>
      </c>
      <c r="T787" t="s">
        <v>410</v>
      </c>
      <c r="U787">
        <v>28577</v>
      </c>
      <c r="V787">
        <v>7</v>
      </c>
      <c r="W787">
        <f>MONTH(T787)</f>
        <v>6</v>
      </c>
      <c r="X787">
        <f>YEAR(T787)</f>
        <v>2024</v>
      </c>
      <c r="Y787" s="26" t="str">
        <f>X787&amp;"-"&amp;W787</f>
        <v>2024-6</v>
      </c>
    </row>
    <row r="788" spans="18:25" x14ac:dyDescent="0.25">
      <c r="R788" t="s">
        <v>27</v>
      </c>
      <c r="S788" t="s">
        <v>325</v>
      </c>
      <c r="T788" t="s">
        <v>412</v>
      </c>
      <c r="U788">
        <v>73139</v>
      </c>
      <c r="V788">
        <v>8</v>
      </c>
      <c r="W788">
        <f>MONTH(T788)</f>
        <v>6</v>
      </c>
      <c r="X788">
        <f>YEAR(T788)</f>
        <v>2024</v>
      </c>
      <c r="Y788" s="26" t="str">
        <f>X788&amp;"-"&amp;W788</f>
        <v>2024-6</v>
      </c>
    </row>
    <row r="789" spans="18:25" x14ac:dyDescent="0.25">
      <c r="R789" t="s">
        <v>27</v>
      </c>
      <c r="S789" t="s">
        <v>126</v>
      </c>
      <c r="T789" t="s">
        <v>413</v>
      </c>
      <c r="U789">
        <v>27107</v>
      </c>
      <c r="V789">
        <v>6</v>
      </c>
      <c r="W789">
        <f>MONTH(T789)</f>
        <v>6</v>
      </c>
      <c r="X789">
        <f>YEAR(T789)</f>
        <v>2024</v>
      </c>
      <c r="Y789" s="26" t="str">
        <f>X789&amp;"-"&amp;W789</f>
        <v>2024-6</v>
      </c>
    </row>
    <row r="790" spans="18:25" x14ac:dyDescent="0.25">
      <c r="R790" t="s">
        <v>27</v>
      </c>
      <c r="S790" t="s">
        <v>57</v>
      </c>
      <c r="T790" t="s">
        <v>418</v>
      </c>
      <c r="U790">
        <v>64279</v>
      </c>
      <c r="V790">
        <v>9</v>
      </c>
      <c r="W790">
        <f>MONTH(T790)</f>
        <v>7</v>
      </c>
      <c r="X790">
        <f>YEAR(T790)</f>
        <v>2024</v>
      </c>
      <c r="Y790" s="26" t="str">
        <f>X790&amp;"-"&amp;W790</f>
        <v>2024-7</v>
      </c>
    </row>
    <row r="791" spans="18:25" x14ac:dyDescent="0.25">
      <c r="R791" t="s">
        <v>27</v>
      </c>
      <c r="S791" t="s">
        <v>363</v>
      </c>
      <c r="T791" t="s">
        <v>422</v>
      </c>
      <c r="U791">
        <v>33415</v>
      </c>
      <c r="V791">
        <v>5</v>
      </c>
      <c r="W791">
        <f>MONTH(T791)</f>
        <v>7</v>
      </c>
      <c r="X791">
        <f>YEAR(T791)</f>
        <v>2024</v>
      </c>
      <c r="Y791" s="26" t="str">
        <f>X791&amp;"-"&amp;W791</f>
        <v>2024-7</v>
      </c>
    </row>
    <row r="792" spans="18:25" x14ac:dyDescent="0.25">
      <c r="R792" t="s">
        <v>27</v>
      </c>
      <c r="S792" t="s">
        <v>41</v>
      </c>
      <c r="T792" t="s">
        <v>424</v>
      </c>
      <c r="U792">
        <v>88821</v>
      </c>
      <c r="V792">
        <v>6</v>
      </c>
      <c r="W792">
        <f>MONTH(T792)</f>
        <v>7</v>
      </c>
      <c r="X792">
        <f>YEAR(T792)</f>
        <v>2024</v>
      </c>
      <c r="Y792" s="26" t="str">
        <f>X792&amp;"-"&amp;W792</f>
        <v>2024-7</v>
      </c>
    </row>
    <row r="793" spans="18:25" x14ac:dyDescent="0.25">
      <c r="R793" t="s">
        <v>27</v>
      </c>
      <c r="S793" t="s">
        <v>91</v>
      </c>
      <c r="T793" t="s">
        <v>428</v>
      </c>
      <c r="U793">
        <v>39780</v>
      </c>
      <c r="V793">
        <v>1</v>
      </c>
      <c r="W793">
        <f>MONTH(T793)</f>
        <v>7</v>
      </c>
      <c r="X793">
        <f>YEAR(T793)</f>
        <v>2024</v>
      </c>
      <c r="Y793" s="26" t="str">
        <f>X793&amp;"-"&amp;W793</f>
        <v>2024-7</v>
      </c>
    </row>
    <row r="794" spans="18:25" x14ac:dyDescent="0.25">
      <c r="R794" t="s">
        <v>27</v>
      </c>
      <c r="S794" t="s">
        <v>92</v>
      </c>
      <c r="T794" t="s">
        <v>429</v>
      </c>
      <c r="U794">
        <v>78241</v>
      </c>
      <c r="V794">
        <v>7</v>
      </c>
      <c r="W794">
        <f>MONTH(T794)</f>
        <v>7</v>
      </c>
      <c r="X794">
        <f>YEAR(T794)</f>
        <v>2024</v>
      </c>
      <c r="Y794" s="26" t="str">
        <f>X794&amp;"-"&amp;W794</f>
        <v>2024-7</v>
      </c>
    </row>
    <row r="795" spans="18:25" x14ac:dyDescent="0.25">
      <c r="R795" t="s">
        <v>27</v>
      </c>
      <c r="S795" t="s">
        <v>116</v>
      </c>
      <c r="T795" t="s">
        <v>434</v>
      </c>
      <c r="U795">
        <v>76081</v>
      </c>
      <c r="V795">
        <v>8</v>
      </c>
      <c r="W795">
        <f>MONTH(T795)</f>
        <v>7</v>
      </c>
      <c r="X795">
        <f>YEAR(T795)</f>
        <v>2024</v>
      </c>
      <c r="Y795" s="26" t="str">
        <f>X795&amp;"-"&amp;W795</f>
        <v>2024-7</v>
      </c>
    </row>
    <row r="796" spans="18:25" x14ac:dyDescent="0.25">
      <c r="R796" t="s">
        <v>27</v>
      </c>
      <c r="S796" t="s">
        <v>69</v>
      </c>
      <c r="T796" t="s">
        <v>435</v>
      </c>
      <c r="U796">
        <v>14495</v>
      </c>
      <c r="V796">
        <v>9</v>
      </c>
      <c r="W796">
        <f>MONTH(T796)</f>
        <v>7</v>
      </c>
      <c r="X796">
        <f>YEAR(T796)</f>
        <v>2024</v>
      </c>
      <c r="Y796" s="26" t="str">
        <f>X796&amp;"-"&amp;W796</f>
        <v>2024-7</v>
      </c>
    </row>
    <row r="797" spans="18:25" x14ac:dyDescent="0.25">
      <c r="R797" t="s">
        <v>27</v>
      </c>
      <c r="S797" t="s">
        <v>169</v>
      </c>
      <c r="T797" t="s">
        <v>435</v>
      </c>
      <c r="U797">
        <v>47273</v>
      </c>
      <c r="V797">
        <v>5</v>
      </c>
      <c r="W797">
        <f>MONTH(T797)</f>
        <v>7</v>
      </c>
      <c r="X797">
        <f>YEAR(T797)</f>
        <v>2024</v>
      </c>
      <c r="Y797" s="26" t="str">
        <f>X797&amp;"-"&amp;W797</f>
        <v>2024-7</v>
      </c>
    </row>
    <row r="798" spans="18:25" x14ac:dyDescent="0.25">
      <c r="R798" t="s">
        <v>27</v>
      </c>
      <c r="S798" t="s">
        <v>69</v>
      </c>
      <c r="T798" t="s">
        <v>435</v>
      </c>
      <c r="U798">
        <v>38368</v>
      </c>
      <c r="V798">
        <v>7</v>
      </c>
      <c r="W798">
        <f>MONTH(T798)</f>
        <v>7</v>
      </c>
      <c r="X798">
        <f>YEAR(T798)</f>
        <v>2024</v>
      </c>
      <c r="Y798" s="26" t="str">
        <f>X798&amp;"-"&amp;W798</f>
        <v>2024-7</v>
      </c>
    </row>
    <row r="799" spans="18:25" x14ac:dyDescent="0.25">
      <c r="R799" t="s">
        <v>27</v>
      </c>
      <c r="S799" t="s">
        <v>170</v>
      </c>
      <c r="T799" t="s">
        <v>438</v>
      </c>
      <c r="U799">
        <v>82141</v>
      </c>
      <c r="V799">
        <v>7</v>
      </c>
      <c r="W799">
        <f>MONTH(T799)</f>
        <v>8</v>
      </c>
      <c r="X799">
        <f>YEAR(T799)</f>
        <v>2024</v>
      </c>
      <c r="Y799" s="26" t="str">
        <f>X799&amp;"-"&amp;W799</f>
        <v>2024-8</v>
      </c>
    </row>
    <row r="800" spans="18:25" x14ac:dyDescent="0.25">
      <c r="R800" t="s">
        <v>27</v>
      </c>
      <c r="S800" t="s">
        <v>77</v>
      </c>
      <c r="T800" t="s">
        <v>440</v>
      </c>
      <c r="U800">
        <v>81510</v>
      </c>
      <c r="V800">
        <v>5</v>
      </c>
      <c r="W800">
        <f>MONTH(T800)</f>
        <v>8</v>
      </c>
      <c r="X800">
        <f>YEAR(T800)</f>
        <v>2024</v>
      </c>
      <c r="Y800" s="26" t="str">
        <f>X800&amp;"-"&amp;W800</f>
        <v>2024-8</v>
      </c>
    </row>
    <row r="801" spans="18:25" x14ac:dyDescent="0.25">
      <c r="R801" t="s">
        <v>27</v>
      </c>
      <c r="S801" t="s">
        <v>78</v>
      </c>
      <c r="T801" t="s">
        <v>440</v>
      </c>
      <c r="U801">
        <v>28980</v>
      </c>
      <c r="V801">
        <v>9</v>
      </c>
      <c r="W801">
        <f>MONTH(T801)</f>
        <v>8</v>
      </c>
      <c r="X801">
        <f>YEAR(T801)</f>
        <v>2024</v>
      </c>
      <c r="Y801" s="26" t="str">
        <f>X801&amp;"-"&amp;W801</f>
        <v>2024-8</v>
      </c>
    </row>
    <row r="802" spans="18:25" x14ac:dyDescent="0.25">
      <c r="R802" t="s">
        <v>27</v>
      </c>
      <c r="S802" t="s">
        <v>136</v>
      </c>
      <c r="T802" t="s">
        <v>442</v>
      </c>
      <c r="U802">
        <v>33132</v>
      </c>
      <c r="V802">
        <v>9</v>
      </c>
      <c r="W802">
        <f>MONTH(T802)</f>
        <v>8</v>
      </c>
      <c r="X802">
        <f>YEAR(T802)</f>
        <v>2024</v>
      </c>
      <c r="Y802" s="26" t="str">
        <f>X802&amp;"-"&amp;W802</f>
        <v>2024-8</v>
      </c>
    </row>
    <row r="803" spans="18:25" x14ac:dyDescent="0.25">
      <c r="R803" t="s">
        <v>27</v>
      </c>
      <c r="S803" t="s">
        <v>252</v>
      </c>
      <c r="T803" t="s">
        <v>442</v>
      </c>
      <c r="U803">
        <v>99108</v>
      </c>
      <c r="V803">
        <v>6</v>
      </c>
      <c r="W803">
        <f>MONTH(T803)</f>
        <v>8</v>
      </c>
      <c r="X803">
        <f>YEAR(T803)</f>
        <v>2024</v>
      </c>
      <c r="Y803" s="26" t="str">
        <f>X803&amp;"-"&amp;W803</f>
        <v>2024-8</v>
      </c>
    </row>
    <row r="804" spans="18:25" x14ac:dyDescent="0.25">
      <c r="R804" t="s">
        <v>27</v>
      </c>
      <c r="S804" t="s">
        <v>93</v>
      </c>
      <c r="T804" t="s">
        <v>442</v>
      </c>
      <c r="U804">
        <v>31560</v>
      </c>
      <c r="V804">
        <v>5</v>
      </c>
      <c r="W804">
        <f>MONTH(T804)</f>
        <v>8</v>
      </c>
      <c r="X804">
        <f>YEAR(T804)</f>
        <v>2024</v>
      </c>
      <c r="Y804" s="26" t="str">
        <f>X804&amp;"-"&amp;W804</f>
        <v>2024-8</v>
      </c>
    </row>
    <row r="805" spans="18:25" x14ac:dyDescent="0.25">
      <c r="R805" t="s">
        <v>27</v>
      </c>
      <c r="S805" t="s">
        <v>66</v>
      </c>
      <c r="T805" t="s">
        <v>445</v>
      </c>
      <c r="U805">
        <v>76334</v>
      </c>
      <c r="V805">
        <v>2</v>
      </c>
      <c r="W805">
        <f>MONTH(T805)</f>
        <v>8</v>
      </c>
      <c r="X805">
        <f>YEAR(T805)</f>
        <v>2024</v>
      </c>
      <c r="Y805" s="26" t="str">
        <f>X805&amp;"-"&amp;W805</f>
        <v>2024-8</v>
      </c>
    </row>
    <row r="806" spans="18:25" x14ac:dyDescent="0.25">
      <c r="R806" t="s">
        <v>27</v>
      </c>
      <c r="S806" t="s">
        <v>33</v>
      </c>
      <c r="T806" t="s">
        <v>446</v>
      </c>
      <c r="U806">
        <v>24913</v>
      </c>
      <c r="V806">
        <v>7</v>
      </c>
      <c r="W806">
        <f>MONTH(T806)</f>
        <v>8</v>
      </c>
      <c r="X806">
        <f>YEAR(T806)</f>
        <v>2024</v>
      </c>
      <c r="Y806" s="26" t="str">
        <f>X806&amp;"-"&amp;W806</f>
        <v>2024-8</v>
      </c>
    </row>
    <row r="807" spans="18:25" x14ac:dyDescent="0.25">
      <c r="R807" t="s">
        <v>27</v>
      </c>
      <c r="S807" t="s">
        <v>11</v>
      </c>
      <c r="T807" t="s">
        <v>446</v>
      </c>
      <c r="U807">
        <v>48323</v>
      </c>
      <c r="V807">
        <v>1</v>
      </c>
      <c r="W807">
        <f>MONTH(T807)</f>
        <v>8</v>
      </c>
      <c r="X807">
        <f>YEAR(T807)</f>
        <v>2024</v>
      </c>
      <c r="Y807" s="26" t="str">
        <f>X807&amp;"-"&amp;W807</f>
        <v>2024-8</v>
      </c>
    </row>
    <row r="808" spans="18:25" x14ac:dyDescent="0.25">
      <c r="R808" t="s">
        <v>27</v>
      </c>
      <c r="S808" t="s">
        <v>81</v>
      </c>
      <c r="T808" t="s">
        <v>449</v>
      </c>
      <c r="U808">
        <v>65909</v>
      </c>
      <c r="V808">
        <v>7</v>
      </c>
      <c r="W808">
        <f>MONTH(T808)</f>
        <v>8</v>
      </c>
      <c r="X808">
        <f>YEAR(T808)</f>
        <v>2024</v>
      </c>
      <c r="Y808" s="26" t="str">
        <f>X808&amp;"-"&amp;W808</f>
        <v>2024-8</v>
      </c>
    </row>
    <row r="809" spans="18:25" x14ac:dyDescent="0.25">
      <c r="R809" t="s">
        <v>27</v>
      </c>
      <c r="S809" t="s">
        <v>14</v>
      </c>
      <c r="T809" t="s">
        <v>454</v>
      </c>
      <c r="U809">
        <v>23511</v>
      </c>
      <c r="V809">
        <v>2</v>
      </c>
      <c r="W809">
        <f>MONTH(T809)</f>
        <v>8</v>
      </c>
      <c r="X809">
        <f>YEAR(T809)</f>
        <v>2024</v>
      </c>
      <c r="Y809" s="26" t="str">
        <f>X809&amp;"-"&amp;W809</f>
        <v>2024-8</v>
      </c>
    </row>
    <row r="810" spans="18:25" x14ac:dyDescent="0.25">
      <c r="R810" t="s">
        <v>27</v>
      </c>
      <c r="S810" t="s">
        <v>146</v>
      </c>
      <c r="T810" t="s">
        <v>456</v>
      </c>
      <c r="U810">
        <v>76128</v>
      </c>
      <c r="V810">
        <v>7</v>
      </c>
      <c r="W810">
        <f>MONTH(T810)</f>
        <v>8</v>
      </c>
      <c r="X810">
        <f>YEAR(T810)</f>
        <v>2024</v>
      </c>
      <c r="Y810" s="26" t="str">
        <f>X810&amp;"-"&amp;W810</f>
        <v>2024-8</v>
      </c>
    </row>
    <row r="811" spans="18:25" x14ac:dyDescent="0.25">
      <c r="R811" t="s">
        <v>27</v>
      </c>
      <c r="S811" t="s">
        <v>344</v>
      </c>
      <c r="T811" t="s">
        <v>459</v>
      </c>
      <c r="U811">
        <v>74297</v>
      </c>
      <c r="V811">
        <v>5</v>
      </c>
      <c r="W811">
        <f>MONTH(T811)</f>
        <v>8</v>
      </c>
      <c r="X811">
        <f>YEAR(T811)</f>
        <v>2024</v>
      </c>
      <c r="Y811" s="26" t="str">
        <f>X811&amp;"-"&amp;W811</f>
        <v>2024-8</v>
      </c>
    </row>
    <row r="812" spans="18:25" x14ac:dyDescent="0.25">
      <c r="R812" t="s">
        <v>27</v>
      </c>
      <c r="S812" t="s">
        <v>186</v>
      </c>
      <c r="T812" t="s">
        <v>459</v>
      </c>
      <c r="U812">
        <v>94413</v>
      </c>
      <c r="V812">
        <v>4</v>
      </c>
      <c r="W812">
        <f>MONTH(T812)</f>
        <v>8</v>
      </c>
      <c r="X812">
        <f>YEAR(T812)</f>
        <v>2024</v>
      </c>
      <c r="Y812" s="26" t="str">
        <f>X812&amp;"-"&amp;W812</f>
        <v>2024-8</v>
      </c>
    </row>
    <row r="813" spans="18:25" x14ac:dyDescent="0.25">
      <c r="R813" t="s">
        <v>27</v>
      </c>
      <c r="S813" t="s">
        <v>217</v>
      </c>
      <c r="T813" t="s">
        <v>461</v>
      </c>
      <c r="U813">
        <v>80783</v>
      </c>
      <c r="V813">
        <v>6</v>
      </c>
      <c r="W813">
        <f>MONTH(T813)</f>
        <v>9</v>
      </c>
      <c r="X813">
        <f>YEAR(T813)</f>
        <v>2024</v>
      </c>
      <c r="Y813" s="26" t="str">
        <f>X813&amp;"-"&amp;W813</f>
        <v>2024-9</v>
      </c>
    </row>
    <row r="814" spans="18:25" x14ac:dyDescent="0.25">
      <c r="R814" t="s">
        <v>16</v>
      </c>
      <c r="S814" t="s">
        <v>17</v>
      </c>
      <c r="T814" t="s">
        <v>12</v>
      </c>
      <c r="U814">
        <v>50424</v>
      </c>
      <c r="V814">
        <v>3</v>
      </c>
      <c r="W814">
        <f>MONTH(T814)</f>
        <v>9</v>
      </c>
      <c r="X814">
        <f>YEAR(T814)</f>
        <v>2023</v>
      </c>
      <c r="Y814" s="26" t="str">
        <f>X814&amp;"-"&amp;W814</f>
        <v>2023-9</v>
      </c>
    </row>
    <row r="815" spans="18:25" x14ac:dyDescent="0.25">
      <c r="R815" t="s">
        <v>16</v>
      </c>
      <c r="S815" t="s">
        <v>20</v>
      </c>
      <c r="T815" t="s">
        <v>34</v>
      </c>
      <c r="U815">
        <v>28370</v>
      </c>
      <c r="V815">
        <v>9</v>
      </c>
      <c r="W815">
        <f>MONTH(T815)</f>
        <v>9</v>
      </c>
      <c r="X815">
        <f>YEAR(T815)</f>
        <v>2023</v>
      </c>
      <c r="Y815" s="26" t="str">
        <f>X815&amp;"-"&amp;W815</f>
        <v>2023-9</v>
      </c>
    </row>
    <row r="816" spans="18:25" x14ac:dyDescent="0.25">
      <c r="R816" t="s">
        <v>16</v>
      </c>
      <c r="S816" t="s">
        <v>35</v>
      </c>
      <c r="T816" t="s">
        <v>34</v>
      </c>
      <c r="U816">
        <v>37951</v>
      </c>
      <c r="V816">
        <v>0</v>
      </c>
      <c r="W816">
        <f>MONTH(T816)</f>
        <v>9</v>
      </c>
      <c r="X816">
        <f>YEAR(T816)</f>
        <v>2023</v>
      </c>
      <c r="Y816" s="26" t="str">
        <f>X816&amp;"-"&amp;W816</f>
        <v>2023-9</v>
      </c>
    </row>
    <row r="817" spans="18:25" x14ac:dyDescent="0.25">
      <c r="R817" t="s">
        <v>16</v>
      </c>
      <c r="S817" t="s">
        <v>41</v>
      </c>
      <c r="T817" t="s">
        <v>40</v>
      </c>
      <c r="U817">
        <v>59076</v>
      </c>
      <c r="V817">
        <v>6</v>
      </c>
      <c r="W817">
        <f>MONTH(T817)</f>
        <v>9</v>
      </c>
      <c r="X817">
        <f>YEAR(T817)</f>
        <v>2023</v>
      </c>
      <c r="Y817" s="26" t="str">
        <f>X817&amp;"-"&amp;W817</f>
        <v>2023-9</v>
      </c>
    </row>
    <row r="818" spans="18:25" x14ac:dyDescent="0.25">
      <c r="R818" t="s">
        <v>16</v>
      </c>
      <c r="S818" t="s">
        <v>41</v>
      </c>
      <c r="T818" t="s">
        <v>54</v>
      </c>
      <c r="U818">
        <v>26957</v>
      </c>
      <c r="V818">
        <v>4</v>
      </c>
      <c r="W818">
        <f>MONTH(T818)</f>
        <v>9</v>
      </c>
      <c r="X818">
        <f>YEAR(T818)</f>
        <v>2023</v>
      </c>
      <c r="Y818" s="26" t="str">
        <f>X818&amp;"-"&amp;W818</f>
        <v>2023-9</v>
      </c>
    </row>
    <row r="819" spans="18:25" x14ac:dyDescent="0.25">
      <c r="R819" t="s">
        <v>16</v>
      </c>
      <c r="S819" t="s">
        <v>69</v>
      </c>
      <c r="T819" t="s">
        <v>62</v>
      </c>
      <c r="U819">
        <v>64611</v>
      </c>
      <c r="V819">
        <v>6</v>
      </c>
      <c r="W819">
        <f>MONTH(T819)</f>
        <v>9</v>
      </c>
      <c r="X819">
        <f>YEAR(T819)</f>
        <v>2023</v>
      </c>
      <c r="Y819" s="26" t="str">
        <f>X819&amp;"-"&amp;W819</f>
        <v>2023-9</v>
      </c>
    </row>
    <row r="820" spans="18:25" x14ac:dyDescent="0.25">
      <c r="R820" t="s">
        <v>16</v>
      </c>
      <c r="S820" t="s">
        <v>70</v>
      </c>
      <c r="T820" t="s">
        <v>62</v>
      </c>
      <c r="U820">
        <v>37502</v>
      </c>
      <c r="V820">
        <v>4</v>
      </c>
      <c r="W820">
        <f>MONTH(T820)</f>
        <v>9</v>
      </c>
      <c r="X820">
        <f>YEAR(T820)</f>
        <v>2023</v>
      </c>
      <c r="Y820" s="26" t="str">
        <f>X820&amp;"-"&amp;W820</f>
        <v>2023-9</v>
      </c>
    </row>
    <row r="821" spans="18:25" x14ac:dyDescent="0.25">
      <c r="R821" t="s">
        <v>16</v>
      </c>
      <c r="S821" t="s">
        <v>74</v>
      </c>
      <c r="T821" t="s">
        <v>71</v>
      </c>
      <c r="U821">
        <v>49341</v>
      </c>
      <c r="V821">
        <v>4</v>
      </c>
      <c r="W821">
        <f>MONTH(T821)</f>
        <v>9</v>
      </c>
      <c r="X821">
        <f>YEAR(T821)</f>
        <v>2023</v>
      </c>
      <c r="Y821" s="26" t="str">
        <f>X821&amp;"-"&amp;W821</f>
        <v>2023-9</v>
      </c>
    </row>
    <row r="822" spans="18:25" x14ac:dyDescent="0.25">
      <c r="R822" t="s">
        <v>16</v>
      </c>
      <c r="S822" t="s">
        <v>77</v>
      </c>
      <c r="T822" t="s">
        <v>76</v>
      </c>
      <c r="U822">
        <v>71076</v>
      </c>
      <c r="V822">
        <v>7</v>
      </c>
      <c r="W822">
        <f>MONTH(T822)</f>
        <v>9</v>
      </c>
      <c r="X822">
        <f>YEAR(T822)</f>
        <v>2023</v>
      </c>
      <c r="Y822" s="26" t="str">
        <f>X822&amp;"-"&amp;W822</f>
        <v>2023-9</v>
      </c>
    </row>
    <row r="823" spans="18:25" x14ac:dyDescent="0.25">
      <c r="R823" t="s">
        <v>16</v>
      </c>
      <c r="S823" t="s">
        <v>75</v>
      </c>
      <c r="T823" t="s">
        <v>104</v>
      </c>
      <c r="U823">
        <v>61547</v>
      </c>
      <c r="V823">
        <v>8</v>
      </c>
      <c r="W823">
        <f>MONTH(T823)</f>
        <v>10</v>
      </c>
      <c r="X823">
        <f>YEAR(T823)</f>
        <v>2023</v>
      </c>
      <c r="Y823" s="26" t="str">
        <f>X823&amp;"-"&amp;W823</f>
        <v>2023-10</v>
      </c>
    </row>
    <row r="824" spans="18:25" x14ac:dyDescent="0.25">
      <c r="R824" t="s">
        <v>16</v>
      </c>
      <c r="S824" t="s">
        <v>26</v>
      </c>
      <c r="T824" t="s">
        <v>120</v>
      </c>
      <c r="U824">
        <v>69956</v>
      </c>
      <c r="V824">
        <v>6</v>
      </c>
      <c r="W824">
        <f>MONTH(T824)</f>
        <v>10</v>
      </c>
      <c r="X824">
        <f>YEAR(T824)</f>
        <v>2023</v>
      </c>
      <c r="Y824" s="26" t="str">
        <f>X824&amp;"-"&amp;W824</f>
        <v>2023-10</v>
      </c>
    </row>
    <row r="825" spans="18:25" x14ac:dyDescent="0.25">
      <c r="R825" t="s">
        <v>16</v>
      </c>
      <c r="S825" t="s">
        <v>78</v>
      </c>
      <c r="T825" t="s">
        <v>120</v>
      </c>
      <c r="U825">
        <v>15652</v>
      </c>
      <c r="V825">
        <v>8</v>
      </c>
      <c r="W825">
        <f>MONTH(T825)</f>
        <v>10</v>
      </c>
      <c r="X825">
        <f>YEAR(T825)</f>
        <v>2023</v>
      </c>
      <c r="Y825" s="26" t="str">
        <f>X825&amp;"-"&amp;W825</f>
        <v>2023-10</v>
      </c>
    </row>
    <row r="826" spans="18:25" x14ac:dyDescent="0.25">
      <c r="R826" t="s">
        <v>16</v>
      </c>
      <c r="S826" t="s">
        <v>119</v>
      </c>
      <c r="T826" t="s">
        <v>131</v>
      </c>
      <c r="U826">
        <v>91993</v>
      </c>
      <c r="V826">
        <v>0</v>
      </c>
      <c r="W826">
        <f>MONTH(T826)</f>
        <v>10</v>
      </c>
      <c r="X826">
        <f>YEAR(T826)</f>
        <v>2023</v>
      </c>
      <c r="Y826" s="26" t="str">
        <f>X826&amp;"-"&amp;W826</f>
        <v>2023-10</v>
      </c>
    </row>
    <row r="827" spans="18:25" x14ac:dyDescent="0.25">
      <c r="R827" t="s">
        <v>16</v>
      </c>
      <c r="S827" t="s">
        <v>68</v>
      </c>
      <c r="T827" t="s">
        <v>160</v>
      </c>
      <c r="U827">
        <v>54355</v>
      </c>
      <c r="V827">
        <v>9</v>
      </c>
      <c r="W827">
        <f>MONTH(T827)</f>
        <v>10</v>
      </c>
      <c r="X827">
        <f>YEAR(T827)</f>
        <v>2023</v>
      </c>
      <c r="Y827" s="26" t="str">
        <f>X827&amp;"-"&amp;W827</f>
        <v>2023-10</v>
      </c>
    </row>
    <row r="828" spans="18:25" x14ac:dyDescent="0.25">
      <c r="R828" t="s">
        <v>16</v>
      </c>
      <c r="S828" t="s">
        <v>165</v>
      </c>
      <c r="T828" t="s">
        <v>164</v>
      </c>
      <c r="U828">
        <v>65958</v>
      </c>
      <c r="V828">
        <v>3</v>
      </c>
      <c r="W828">
        <f>MONTH(T828)</f>
        <v>10</v>
      </c>
      <c r="X828">
        <f>YEAR(T828)</f>
        <v>2023</v>
      </c>
      <c r="Y828" s="26" t="str">
        <f>X828&amp;"-"&amp;W828</f>
        <v>2023-10</v>
      </c>
    </row>
    <row r="829" spans="18:25" x14ac:dyDescent="0.25">
      <c r="R829" t="s">
        <v>16</v>
      </c>
      <c r="S829" t="s">
        <v>68</v>
      </c>
      <c r="T829" t="s">
        <v>183</v>
      </c>
      <c r="U829">
        <v>44354</v>
      </c>
      <c r="V829">
        <v>9</v>
      </c>
      <c r="W829">
        <f>MONTH(T829)</f>
        <v>11</v>
      </c>
      <c r="X829">
        <f>YEAR(T829)</f>
        <v>2023</v>
      </c>
      <c r="Y829" s="26" t="str">
        <f>X829&amp;"-"&amp;W829</f>
        <v>2023-11</v>
      </c>
    </row>
    <row r="830" spans="18:25" x14ac:dyDescent="0.25">
      <c r="R830" t="s">
        <v>16</v>
      </c>
      <c r="S830" t="s">
        <v>75</v>
      </c>
      <c r="T830" t="s">
        <v>185</v>
      </c>
      <c r="U830">
        <v>24852</v>
      </c>
      <c r="V830">
        <v>2</v>
      </c>
      <c r="W830">
        <f>MONTH(T830)</f>
        <v>11</v>
      </c>
      <c r="X830">
        <f>YEAR(T830)</f>
        <v>2023</v>
      </c>
      <c r="Y830" s="26" t="str">
        <f>X830&amp;"-"&amp;W830</f>
        <v>2023-11</v>
      </c>
    </row>
    <row r="831" spans="18:25" x14ac:dyDescent="0.25">
      <c r="R831" t="s">
        <v>16</v>
      </c>
      <c r="S831" t="s">
        <v>72</v>
      </c>
      <c r="T831" t="s">
        <v>189</v>
      </c>
      <c r="U831">
        <v>35346</v>
      </c>
      <c r="V831">
        <v>8</v>
      </c>
      <c r="W831">
        <f>MONTH(T831)</f>
        <v>11</v>
      </c>
      <c r="X831">
        <f>YEAR(T831)</f>
        <v>2023</v>
      </c>
      <c r="Y831" s="26" t="str">
        <f>X831&amp;"-"&amp;W831</f>
        <v>2023-11</v>
      </c>
    </row>
    <row r="832" spans="18:25" x14ac:dyDescent="0.25">
      <c r="R832" t="s">
        <v>16</v>
      </c>
      <c r="S832" t="s">
        <v>17</v>
      </c>
      <c r="T832" t="s">
        <v>192</v>
      </c>
      <c r="U832">
        <v>46519</v>
      </c>
      <c r="V832">
        <v>0</v>
      </c>
      <c r="W832">
        <f>MONTH(T832)</f>
        <v>11</v>
      </c>
      <c r="X832">
        <f>YEAR(T832)</f>
        <v>2023</v>
      </c>
      <c r="Y832" s="26" t="str">
        <f>X832&amp;"-"&amp;W832</f>
        <v>2023-11</v>
      </c>
    </row>
    <row r="833" spans="18:25" x14ac:dyDescent="0.25">
      <c r="R833" t="s">
        <v>16</v>
      </c>
      <c r="S833" t="s">
        <v>124</v>
      </c>
      <c r="T833" t="s">
        <v>197</v>
      </c>
      <c r="U833">
        <v>50780</v>
      </c>
      <c r="V833">
        <v>2</v>
      </c>
      <c r="W833">
        <f>MONTH(T833)</f>
        <v>11</v>
      </c>
      <c r="X833">
        <f>YEAR(T833)</f>
        <v>2023</v>
      </c>
      <c r="Y833" s="26" t="str">
        <f>X833&amp;"-"&amp;W833</f>
        <v>2023-11</v>
      </c>
    </row>
    <row r="834" spans="18:25" x14ac:dyDescent="0.25">
      <c r="R834" t="s">
        <v>16</v>
      </c>
      <c r="S834" t="s">
        <v>211</v>
      </c>
      <c r="T834" t="s">
        <v>210</v>
      </c>
      <c r="U834">
        <v>25041</v>
      </c>
      <c r="V834">
        <v>7</v>
      </c>
      <c r="W834">
        <f>MONTH(T834)</f>
        <v>11</v>
      </c>
      <c r="X834">
        <f>YEAR(T834)</f>
        <v>2023</v>
      </c>
      <c r="Y834" s="26" t="str">
        <f>X834&amp;"-"&amp;W834</f>
        <v>2023-11</v>
      </c>
    </row>
    <row r="835" spans="18:25" x14ac:dyDescent="0.25">
      <c r="R835" t="s">
        <v>16</v>
      </c>
      <c r="S835" t="s">
        <v>212</v>
      </c>
      <c r="T835" t="s">
        <v>210</v>
      </c>
      <c r="U835">
        <v>85290</v>
      </c>
      <c r="V835">
        <v>9</v>
      </c>
      <c r="W835">
        <f>MONTH(T835)</f>
        <v>11</v>
      </c>
      <c r="X835">
        <f>YEAR(T835)</f>
        <v>2023</v>
      </c>
      <c r="Y835" s="26" t="str">
        <f>X835&amp;"-"&amp;W835</f>
        <v>2023-11</v>
      </c>
    </row>
    <row r="836" spans="18:25" x14ac:dyDescent="0.25">
      <c r="R836" t="s">
        <v>16</v>
      </c>
      <c r="S836" t="s">
        <v>136</v>
      </c>
      <c r="T836" t="s">
        <v>218</v>
      </c>
      <c r="U836">
        <v>89825</v>
      </c>
      <c r="V836">
        <v>5</v>
      </c>
      <c r="W836">
        <f>MONTH(T836)</f>
        <v>12</v>
      </c>
      <c r="X836">
        <f>YEAR(T836)</f>
        <v>2023</v>
      </c>
      <c r="Y836" s="26" t="str">
        <f>X836&amp;"-"&amp;W836</f>
        <v>2023-12</v>
      </c>
    </row>
    <row r="837" spans="18:25" x14ac:dyDescent="0.25">
      <c r="R837" t="s">
        <v>16</v>
      </c>
      <c r="S837" t="s">
        <v>9</v>
      </c>
      <c r="T837" t="s">
        <v>218</v>
      </c>
      <c r="U837">
        <v>45509</v>
      </c>
      <c r="V837">
        <v>7</v>
      </c>
      <c r="W837">
        <f>MONTH(T837)</f>
        <v>12</v>
      </c>
      <c r="X837">
        <f>YEAR(T837)</f>
        <v>2023</v>
      </c>
      <c r="Y837" s="26" t="str">
        <f>X837&amp;"-"&amp;W837</f>
        <v>2023-12</v>
      </c>
    </row>
    <row r="838" spans="18:25" x14ac:dyDescent="0.25">
      <c r="R838" t="s">
        <v>16</v>
      </c>
      <c r="S838" t="s">
        <v>223</v>
      </c>
      <c r="T838" t="s">
        <v>222</v>
      </c>
      <c r="U838">
        <v>46257</v>
      </c>
      <c r="V838">
        <v>6</v>
      </c>
      <c r="W838">
        <f>MONTH(T838)</f>
        <v>12</v>
      </c>
      <c r="X838">
        <f>YEAR(T838)</f>
        <v>2023</v>
      </c>
      <c r="Y838" s="26" t="str">
        <f>X838&amp;"-"&amp;W838</f>
        <v>2023-12</v>
      </c>
    </row>
    <row r="839" spans="18:25" x14ac:dyDescent="0.25">
      <c r="R839" t="s">
        <v>16</v>
      </c>
      <c r="S839" t="s">
        <v>67</v>
      </c>
      <c r="T839" t="s">
        <v>246</v>
      </c>
      <c r="U839">
        <v>75582</v>
      </c>
      <c r="V839">
        <v>5</v>
      </c>
      <c r="W839">
        <f>MONTH(T839)</f>
        <v>12</v>
      </c>
      <c r="X839">
        <f>YEAR(T839)</f>
        <v>2023</v>
      </c>
      <c r="Y839" s="26" t="str">
        <f>X839&amp;"-"&amp;W839</f>
        <v>2023-12</v>
      </c>
    </row>
    <row r="840" spans="18:25" x14ac:dyDescent="0.25">
      <c r="R840" t="s">
        <v>16</v>
      </c>
      <c r="S840" t="s">
        <v>130</v>
      </c>
      <c r="T840" t="s">
        <v>246</v>
      </c>
      <c r="U840">
        <v>99879</v>
      </c>
      <c r="V840">
        <v>8</v>
      </c>
      <c r="W840">
        <f>MONTH(T840)</f>
        <v>12</v>
      </c>
      <c r="X840">
        <f>YEAR(T840)</f>
        <v>2023</v>
      </c>
      <c r="Y840" s="26" t="str">
        <f>X840&amp;"-"&amp;W840</f>
        <v>2023-12</v>
      </c>
    </row>
    <row r="841" spans="18:25" x14ac:dyDescent="0.25">
      <c r="R841" t="s">
        <v>16</v>
      </c>
      <c r="S841" t="s">
        <v>70</v>
      </c>
      <c r="T841" t="s">
        <v>262</v>
      </c>
      <c r="U841">
        <v>31639</v>
      </c>
      <c r="V841">
        <v>10</v>
      </c>
      <c r="W841">
        <f>MONTH(T841)</f>
        <v>1</v>
      </c>
      <c r="X841">
        <f>YEAR(T841)</f>
        <v>2024</v>
      </c>
      <c r="Y841" s="26" t="str">
        <f>X841&amp;"-"&amp;W841</f>
        <v>2024-1</v>
      </c>
    </row>
    <row r="842" spans="18:25" x14ac:dyDescent="0.25">
      <c r="R842" t="s">
        <v>16</v>
      </c>
      <c r="S842" t="s">
        <v>188</v>
      </c>
      <c r="T842" t="s">
        <v>271</v>
      </c>
      <c r="U842">
        <v>91311</v>
      </c>
      <c r="V842">
        <v>9</v>
      </c>
      <c r="W842">
        <f>MONTH(T842)</f>
        <v>1</v>
      </c>
      <c r="X842">
        <f>YEAR(T842)</f>
        <v>2024</v>
      </c>
      <c r="Y842" s="26" t="str">
        <f>X842&amp;"-"&amp;W842</f>
        <v>2024-1</v>
      </c>
    </row>
    <row r="843" spans="18:25" x14ac:dyDescent="0.25">
      <c r="R843" t="s">
        <v>16</v>
      </c>
      <c r="S843" t="s">
        <v>215</v>
      </c>
      <c r="T843" t="s">
        <v>277</v>
      </c>
      <c r="U843">
        <v>57909</v>
      </c>
      <c r="V843">
        <v>6</v>
      </c>
      <c r="W843">
        <f>MONTH(T843)</f>
        <v>1</v>
      </c>
      <c r="X843">
        <f>YEAR(T843)</f>
        <v>2024</v>
      </c>
      <c r="Y843" s="26" t="str">
        <f>X843&amp;"-"&amp;W843</f>
        <v>2024-1</v>
      </c>
    </row>
    <row r="844" spans="18:25" x14ac:dyDescent="0.25">
      <c r="R844" t="s">
        <v>16</v>
      </c>
      <c r="S844" t="s">
        <v>205</v>
      </c>
      <c r="T844" t="s">
        <v>278</v>
      </c>
      <c r="U844">
        <v>19290</v>
      </c>
      <c r="V844">
        <v>9</v>
      </c>
      <c r="W844">
        <f>MONTH(T844)</f>
        <v>1</v>
      </c>
      <c r="X844">
        <f>YEAR(T844)</f>
        <v>2024</v>
      </c>
      <c r="Y844" s="26" t="str">
        <f>X844&amp;"-"&amp;W844</f>
        <v>2024-1</v>
      </c>
    </row>
    <row r="845" spans="18:25" x14ac:dyDescent="0.25">
      <c r="R845" t="s">
        <v>16</v>
      </c>
      <c r="S845" t="s">
        <v>9</v>
      </c>
      <c r="T845" t="s">
        <v>288</v>
      </c>
      <c r="U845">
        <v>11739</v>
      </c>
      <c r="V845">
        <v>7</v>
      </c>
      <c r="W845">
        <f>MONTH(T845)</f>
        <v>2</v>
      </c>
      <c r="X845">
        <f>YEAR(T845)</f>
        <v>2024</v>
      </c>
      <c r="Y845" s="26" t="str">
        <f>X845&amp;"-"&amp;W845</f>
        <v>2024-2</v>
      </c>
    </row>
    <row r="846" spans="18:25" x14ac:dyDescent="0.25">
      <c r="R846" t="s">
        <v>16</v>
      </c>
      <c r="S846" t="s">
        <v>223</v>
      </c>
      <c r="T846" t="s">
        <v>288</v>
      </c>
      <c r="U846">
        <v>29234</v>
      </c>
      <c r="V846">
        <v>7</v>
      </c>
      <c r="W846">
        <f>MONTH(T846)</f>
        <v>2</v>
      </c>
      <c r="X846">
        <f>YEAR(T846)</f>
        <v>2024</v>
      </c>
      <c r="Y846" s="26" t="str">
        <f>X846&amp;"-"&amp;W846</f>
        <v>2024-2</v>
      </c>
    </row>
    <row r="847" spans="18:25" x14ac:dyDescent="0.25">
      <c r="R847" t="s">
        <v>16</v>
      </c>
      <c r="S847" t="s">
        <v>122</v>
      </c>
      <c r="T847" t="s">
        <v>292</v>
      </c>
      <c r="U847">
        <v>81554</v>
      </c>
      <c r="V847">
        <v>9</v>
      </c>
      <c r="W847">
        <f>MONTH(T847)</f>
        <v>2</v>
      </c>
      <c r="X847">
        <f>YEAR(T847)</f>
        <v>2024</v>
      </c>
      <c r="Y847" s="26" t="str">
        <f>X847&amp;"-"&amp;W847</f>
        <v>2024-2</v>
      </c>
    </row>
    <row r="848" spans="18:25" x14ac:dyDescent="0.25">
      <c r="R848" t="s">
        <v>16</v>
      </c>
      <c r="S848" t="s">
        <v>300</v>
      </c>
      <c r="T848" t="s">
        <v>297</v>
      </c>
      <c r="U848">
        <v>94410</v>
      </c>
      <c r="V848">
        <v>7</v>
      </c>
      <c r="W848">
        <f>MONTH(T848)</f>
        <v>2</v>
      </c>
      <c r="X848">
        <f>YEAR(T848)</f>
        <v>2024</v>
      </c>
      <c r="Y848" s="26" t="str">
        <f>X848&amp;"-"&amp;W848</f>
        <v>2024-2</v>
      </c>
    </row>
    <row r="849" spans="18:25" x14ac:dyDescent="0.25">
      <c r="R849" t="s">
        <v>16</v>
      </c>
      <c r="S849" t="s">
        <v>239</v>
      </c>
      <c r="T849" t="s">
        <v>301</v>
      </c>
      <c r="U849">
        <v>80046</v>
      </c>
      <c r="V849">
        <v>8</v>
      </c>
      <c r="W849">
        <f>MONTH(T849)</f>
        <v>2</v>
      </c>
      <c r="X849">
        <f>YEAR(T849)</f>
        <v>2024</v>
      </c>
      <c r="Y849" s="26" t="str">
        <f>X849&amp;"-"&amp;W849</f>
        <v>2024-2</v>
      </c>
    </row>
    <row r="850" spans="18:25" x14ac:dyDescent="0.25">
      <c r="R850" t="s">
        <v>16</v>
      </c>
      <c r="S850" t="s">
        <v>68</v>
      </c>
      <c r="T850" t="s">
        <v>305</v>
      </c>
      <c r="U850">
        <v>98743</v>
      </c>
      <c r="V850">
        <v>1</v>
      </c>
      <c r="W850">
        <f>MONTH(T850)</f>
        <v>2</v>
      </c>
      <c r="X850">
        <f>YEAR(T850)</f>
        <v>2024</v>
      </c>
      <c r="Y850" s="26" t="str">
        <f>X850&amp;"-"&amp;W850</f>
        <v>2024-2</v>
      </c>
    </row>
    <row r="851" spans="18:25" x14ac:dyDescent="0.25">
      <c r="R851" t="s">
        <v>16</v>
      </c>
      <c r="S851" t="s">
        <v>188</v>
      </c>
      <c r="T851" t="s">
        <v>312</v>
      </c>
      <c r="U851">
        <v>54781</v>
      </c>
      <c r="V851">
        <v>6</v>
      </c>
      <c r="W851">
        <f>MONTH(T851)</f>
        <v>2</v>
      </c>
      <c r="X851">
        <f>YEAR(T851)</f>
        <v>2024</v>
      </c>
      <c r="Y851" s="26" t="str">
        <f>X851&amp;"-"&amp;W851</f>
        <v>2024-2</v>
      </c>
    </row>
    <row r="852" spans="18:25" x14ac:dyDescent="0.25">
      <c r="R852" t="s">
        <v>16</v>
      </c>
      <c r="S852" t="s">
        <v>152</v>
      </c>
      <c r="T852" t="s">
        <v>328</v>
      </c>
      <c r="U852">
        <v>40041</v>
      </c>
      <c r="V852">
        <v>8</v>
      </c>
      <c r="W852">
        <f>MONTH(T852)</f>
        <v>3</v>
      </c>
      <c r="X852">
        <f>YEAR(T852)</f>
        <v>2024</v>
      </c>
      <c r="Y852" s="26" t="str">
        <f>X852&amp;"-"&amp;W852</f>
        <v>2024-3</v>
      </c>
    </row>
    <row r="853" spans="18:25" x14ac:dyDescent="0.25">
      <c r="R853" t="s">
        <v>16</v>
      </c>
      <c r="S853" t="s">
        <v>177</v>
      </c>
      <c r="T853" t="s">
        <v>335</v>
      </c>
      <c r="U853">
        <v>54632</v>
      </c>
      <c r="V853">
        <v>9</v>
      </c>
      <c r="W853">
        <f>MONTH(T853)</f>
        <v>3</v>
      </c>
      <c r="X853">
        <f>YEAR(T853)</f>
        <v>2024</v>
      </c>
      <c r="Y853" s="26" t="str">
        <f>X853&amp;"-"&amp;W853</f>
        <v>2024-3</v>
      </c>
    </row>
    <row r="854" spans="18:25" x14ac:dyDescent="0.25">
      <c r="R854" t="s">
        <v>16</v>
      </c>
      <c r="S854" t="s">
        <v>215</v>
      </c>
      <c r="T854" t="s">
        <v>342</v>
      </c>
      <c r="U854">
        <v>59318</v>
      </c>
      <c r="V854">
        <v>7</v>
      </c>
      <c r="W854">
        <f>MONTH(T854)</f>
        <v>3</v>
      </c>
      <c r="X854">
        <f>YEAR(T854)</f>
        <v>2024</v>
      </c>
      <c r="Y854" s="26" t="str">
        <f>X854&amp;"-"&amp;W854</f>
        <v>2024-3</v>
      </c>
    </row>
    <row r="855" spans="18:25" x14ac:dyDescent="0.25">
      <c r="R855" t="s">
        <v>16</v>
      </c>
      <c r="S855" t="s">
        <v>77</v>
      </c>
      <c r="T855" t="s">
        <v>343</v>
      </c>
      <c r="U855">
        <v>58627</v>
      </c>
      <c r="V855">
        <v>10</v>
      </c>
      <c r="W855">
        <f>MONTH(T855)</f>
        <v>4</v>
      </c>
      <c r="X855">
        <f>YEAR(T855)</f>
        <v>2024</v>
      </c>
      <c r="Y855" s="26" t="str">
        <f>X855&amp;"-"&amp;W855</f>
        <v>2024-4</v>
      </c>
    </row>
    <row r="856" spans="18:25" x14ac:dyDescent="0.25">
      <c r="R856" t="s">
        <v>16</v>
      </c>
      <c r="S856" t="s">
        <v>344</v>
      </c>
      <c r="T856" t="s">
        <v>345</v>
      </c>
      <c r="U856">
        <v>70068</v>
      </c>
      <c r="V856">
        <v>9</v>
      </c>
      <c r="W856">
        <f>MONTH(T856)</f>
        <v>4</v>
      </c>
      <c r="X856">
        <f>YEAR(T856)</f>
        <v>2024</v>
      </c>
      <c r="Y856" s="26" t="str">
        <f>X856&amp;"-"&amp;W856</f>
        <v>2024-4</v>
      </c>
    </row>
    <row r="857" spans="18:25" x14ac:dyDescent="0.25">
      <c r="R857" t="s">
        <v>16</v>
      </c>
      <c r="S857" t="s">
        <v>158</v>
      </c>
      <c r="T857" t="s">
        <v>350</v>
      </c>
      <c r="U857">
        <v>93639</v>
      </c>
      <c r="V857">
        <v>6</v>
      </c>
      <c r="W857">
        <f>MONTH(T857)</f>
        <v>4</v>
      </c>
      <c r="X857">
        <f>YEAR(T857)</f>
        <v>2024</v>
      </c>
      <c r="Y857" s="26" t="str">
        <f>X857&amp;"-"&amp;W857</f>
        <v>2024-4</v>
      </c>
    </row>
    <row r="858" spans="18:25" x14ac:dyDescent="0.25">
      <c r="R858" t="s">
        <v>16</v>
      </c>
      <c r="S858" t="s">
        <v>121</v>
      </c>
      <c r="T858" t="s">
        <v>354</v>
      </c>
      <c r="U858">
        <v>12365</v>
      </c>
      <c r="V858">
        <v>7</v>
      </c>
      <c r="W858">
        <f>MONTH(T858)</f>
        <v>4</v>
      </c>
      <c r="X858">
        <f>YEAR(T858)</f>
        <v>2024</v>
      </c>
      <c r="Y858" s="26" t="str">
        <f>X858&amp;"-"&amp;W858</f>
        <v>2024-4</v>
      </c>
    </row>
    <row r="859" spans="18:25" x14ac:dyDescent="0.25">
      <c r="R859" t="s">
        <v>16</v>
      </c>
      <c r="S859" t="s">
        <v>89</v>
      </c>
      <c r="T859" t="s">
        <v>355</v>
      </c>
      <c r="U859">
        <v>49149</v>
      </c>
      <c r="V859">
        <v>4</v>
      </c>
      <c r="W859">
        <f>MONTH(T859)</f>
        <v>4</v>
      </c>
      <c r="X859">
        <f>YEAR(T859)</f>
        <v>2024</v>
      </c>
      <c r="Y859" s="26" t="str">
        <f>X859&amp;"-"&amp;W859</f>
        <v>2024-4</v>
      </c>
    </row>
    <row r="860" spans="18:25" x14ac:dyDescent="0.25">
      <c r="R860" t="s">
        <v>16</v>
      </c>
      <c r="S860" t="s">
        <v>81</v>
      </c>
      <c r="T860" t="s">
        <v>360</v>
      </c>
      <c r="U860">
        <v>34874</v>
      </c>
      <c r="V860">
        <v>9</v>
      </c>
      <c r="W860">
        <f>MONTH(T860)</f>
        <v>4</v>
      </c>
      <c r="X860">
        <f>YEAR(T860)</f>
        <v>2024</v>
      </c>
      <c r="Y860" s="26" t="str">
        <f>X860&amp;"-"&amp;W860</f>
        <v>2024-4</v>
      </c>
    </row>
    <row r="861" spans="18:25" x14ac:dyDescent="0.25">
      <c r="R861" t="s">
        <v>16</v>
      </c>
      <c r="S861" t="s">
        <v>146</v>
      </c>
      <c r="T861" t="s">
        <v>362</v>
      </c>
      <c r="U861">
        <v>99307</v>
      </c>
      <c r="V861">
        <v>7</v>
      </c>
      <c r="W861">
        <f>MONTH(T861)</f>
        <v>4</v>
      </c>
      <c r="X861">
        <f>YEAR(T861)</f>
        <v>2024</v>
      </c>
      <c r="Y861" s="26" t="str">
        <f>X861&amp;"-"&amp;W861</f>
        <v>2024-4</v>
      </c>
    </row>
    <row r="862" spans="18:25" x14ac:dyDescent="0.25">
      <c r="R862" t="s">
        <v>16</v>
      </c>
      <c r="S862" t="s">
        <v>77</v>
      </c>
      <c r="T862" t="s">
        <v>367</v>
      </c>
      <c r="U862">
        <v>40205</v>
      </c>
      <c r="V862">
        <v>6</v>
      </c>
      <c r="W862">
        <f>MONTH(T862)</f>
        <v>5</v>
      </c>
      <c r="X862">
        <f>YEAR(T862)</f>
        <v>2024</v>
      </c>
      <c r="Y862" s="26" t="str">
        <f>X862&amp;"-"&amp;W862</f>
        <v>2024-5</v>
      </c>
    </row>
    <row r="863" spans="18:25" x14ac:dyDescent="0.25">
      <c r="R863" t="s">
        <v>16</v>
      </c>
      <c r="S863" t="s">
        <v>126</v>
      </c>
      <c r="T863" t="s">
        <v>368</v>
      </c>
      <c r="U863">
        <v>81544</v>
      </c>
      <c r="V863">
        <v>3</v>
      </c>
      <c r="W863">
        <f>MONTH(T863)</f>
        <v>5</v>
      </c>
      <c r="X863">
        <f>YEAR(T863)</f>
        <v>2024</v>
      </c>
      <c r="Y863" s="26" t="str">
        <f>X863&amp;"-"&amp;W863</f>
        <v>2024-5</v>
      </c>
    </row>
    <row r="864" spans="18:25" x14ac:dyDescent="0.25">
      <c r="R864" t="s">
        <v>16</v>
      </c>
      <c r="S864" t="s">
        <v>270</v>
      </c>
      <c r="T864" t="s">
        <v>369</v>
      </c>
      <c r="U864">
        <v>66119</v>
      </c>
      <c r="V864">
        <v>7</v>
      </c>
      <c r="W864">
        <f>MONTH(T864)</f>
        <v>5</v>
      </c>
      <c r="X864">
        <f>YEAR(T864)</f>
        <v>2024</v>
      </c>
      <c r="Y864" s="26" t="str">
        <f>X864&amp;"-"&amp;W864</f>
        <v>2024-5</v>
      </c>
    </row>
    <row r="865" spans="18:25" x14ac:dyDescent="0.25">
      <c r="R865" t="s">
        <v>16</v>
      </c>
      <c r="S865" t="s">
        <v>15</v>
      </c>
      <c r="T865" t="s">
        <v>371</v>
      </c>
      <c r="U865">
        <v>17434</v>
      </c>
      <c r="V865">
        <v>6</v>
      </c>
      <c r="W865">
        <f>MONTH(T865)</f>
        <v>5</v>
      </c>
      <c r="X865">
        <f>YEAR(T865)</f>
        <v>2024</v>
      </c>
      <c r="Y865" s="26" t="str">
        <f>X865&amp;"-"&amp;W865</f>
        <v>2024-5</v>
      </c>
    </row>
    <row r="866" spans="18:25" x14ac:dyDescent="0.25">
      <c r="R866" t="s">
        <v>16</v>
      </c>
      <c r="S866" t="s">
        <v>187</v>
      </c>
      <c r="T866" t="s">
        <v>376</v>
      </c>
      <c r="U866">
        <v>45744</v>
      </c>
      <c r="V866">
        <v>6</v>
      </c>
      <c r="W866">
        <f>MONTH(T866)</f>
        <v>5</v>
      </c>
      <c r="X866">
        <f>YEAR(T866)</f>
        <v>2024</v>
      </c>
      <c r="Y866" s="26" t="str">
        <f>X866&amp;"-"&amp;W866</f>
        <v>2024-5</v>
      </c>
    </row>
    <row r="867" spans="18:25" x14ac:dyDescent="0.25">
      <c r="R867" t="s">
        <v>16</v>
      </c>
      <c r="S867" t="s">
        <v>385</v>
      </c>
      <c r="T867" t="s">
        <v>383</v>
      </c>
      <c r="U867">
        <v>65426</v>
      </c>
      <c r="V867">
        <v>8</v>
      </c>
      <c r="W867">
        <f>MONTH(T867)</f>
        <v>5</v>
      </c>
      <c r="X867">
        <f>YEAR(T867)</f>
        <v>2024</v>
      </c>
      <c r="Y867" s="26" t="str">
        <f>X867&amp;"-"&amp;W867</f>
        <v>2024-5</v>
      </c>
    </row>
    <row r="868" spans="18:25" x14ac:dyDescent="0.25">
      <c r="R868" t="s">
        <v>16</v>
      </c>
      <c r="S868" t="s">
        <v>94</v>
      </c>
      <c r="T868" t="s">
        <v>387</v>
      </c>
      <c r="U868">
        <v>28195</v>
      </c>
      <c r="V868">
        <v>7</v>
      </c>
      <c r="W868">
        <f>MONTH(T868)</f>
        <v>5</v>
      </c>
      <c r="X868">
        <f>YEAR(T868)</f>
        <v>2024</v>
      </c>
      <c r="Y868" s="26" t="str">
        <f>X868&amp;"-"&amp;W868</f>
        <v>2024-5</v>
      </c>
    </row>
    <row r="869" spans="18:25" x14ac:dyDescent="0.25">
      <c r="R869" t="s">
        <v>16</v>
      </c>
      <c r="S869" t="s">
        <v>9</v>
      </c>
      <c r="T869" t="s">
        <v>400</v>
      </c>
      <c r="U869">
        <v>67600</v>
      </c>
      <c r="V869">
        <v>5</v>
      </c>
      <c r="W869">
        <f>MONTH(T869)</f>
        <v>6</v>
      </c>
      <c r="X869">
        <f>YEAR(T869)</f>
        <v>2024</v>
      </c>
      <c r="Y869" s="26" t="str">
        <f>X869&amp;"-"&amp;W869</f>
        <v>2024-6</v>
      </c>
    </row>
    <row r="870" spans="18:25" x14ac:dyDescent="0.25">
      <c r="R870" t="s">
        <v>16</v>
      </c>
      <c r="S870" t="s">
        <v>149</v>
      </c>
      <c r="T870" t="s">
        <v>401</v>
      </c>
      <c r="U870">
        <v>76154</v>
      </c>
      <c r="V870">
        <v>5</v>
      </c>
      <c r="W870">
        <f>MONTH(T870)</f>
        <v>6</v>
      </c>
      <c r="X870">
        <f>YEAR(T870)</f>
        <v>2024</v>
      </c>
      <c r="Y870" s="26" t="str">
        <f>X870&amp;"-"&amp;W870</f>
        <v>2024-6</v>
      </c>
    </row>
    <row r="871" spans="18:25" x14ac:dyDescent="0.25">
      <c r="R871" t="s">
        <v>16</v>
      </c>
      <c r="S871" t="s">
        <v>91</v>
      </c>
      <c r="T871" t="s">
        <v>407</v>
      </c>
      <c r="U871">
        <v>43440</v>
      </c>
      <c r="V871">
        <v>8</v>
      </c>
      <c r="W871">
        <f>MONTH(T871)</f>
        <v>6</v>
      </c>
      <c r="X871">
        <f>YEAR(T871)</f>
        <v>2024</v>
      </c>
      <c r="Y871" s="26" t="str">
        <f>X871&amp;"-"&amp;W871</f>
        <v>2024-6</v>
      </c>
    </row>
    <row r="872" spans="18:25" x14ac:dyDescent="0.25">
      <c r="R872" t="s">
        <v>16</v>
      </c>
      <c r="S872" t="s">
        <v>64</v>
      </c>
      <c r="T872" t="s">
        <v>408</v>
      </c>
      <c r="U872">
        <v>47732</v>
      </c>
      <c r="V872">
        <v>7</v>
      </c>
      <c r="W872">
        <f>MONTH(T872)</f>
        <v>6</v>
      </c>
      <c r="X872">
        <f>YEAR(T872)</f>
        <v>2024</v>
      </c>
      <c r="Y872" s="26" t="str">
        <f>X872&amp;"-"&amp;W872</f>
        <v>2024-6</v>
      </c>
    </row>
    <row r="873" spans="18:25" x14ac:dyDescent="0.25">
      <c r="R873" t="s">
        <v>16</v>
      </c>
      <c r="S873" t="s">
        <v>96</v>
      </c>
      <c r="T873" t="s">
        <v>409</v>
      </c>
      <c r="U873">
        <v>38473</v>
      </c>
      <c r="V873">
        <v>3</v>
      </c>
      <c r="W873">
        <f>MONTH(T873)</f>
        <v>6</v>
      </c>
      <c r="X873">
        <f>YEAR(T873)</f>
        <v>2024</v>
      </c>
      <c r="Y873" s="26" t="str">
        <f>X873&amp;"-"&amp;W873</f>
        <v>2024-6</v>
      </c>
    </row>
    <row r="874" spans="18:25" x14ac:dyDescent="0.25">
      <c r="R874" t="s">
        <v>16</v>
      </c>
      <c r="S874" t="s">
        <v>68</v>
      </c>
      <c r="T874" t="s">
        <v>411</v>
      </c>
      <c r="U874">
        <v>53960</v>
      </c>
      <c r="V874">
        <v>8</v>
      </c>
      <c r="W874">
        <f>MONTH(T874)</f>
        <v>6</v>
      </c>
      <c r="X874">
        <f>YEAR(T874)</f>
        <v>2024</v>
      </c>
      <c r="Y874" s="26" t="str">
        <f>X874&amp;"-"&amp;W874</f>
        <v>2024-6</v>
      </c>
    </row>
    <row r="875" spans="18:25" x14ac:dyDescent="0.25">
      <c r="R875" t="s">
        <v>16</v>
      </c>
      <c r="S875" t="s">
        <v>78</v>
      </c>
      <c r="T875" t="s">
        <v>412</v>
      </c>
      <c r="U875">
        <v>83726</v>
      </c>
      <c r="V875">
        <v>6</v>
      </c>
      <c r="W875">
        <f>MONTH(T875)</f>
        <v>6</v>
      </c>
      <c r="X875">
        <f>YEAR(T875)</f>
        <v>2024</v>
      </c>
      <c r="Y875" s="26" t="str">
        <f>X875&amp;"-"&amp;W875</f>
        <v>2024-6</v>
      </c>
    </row>
    <row r="876" spans="18:25" x14ac:dyDescent="0.25">
      <c r="R876" t="s">
        <v>16</v>
      </c>
      <c r="S876" t="s">
        <v>151</v>
      </c>
      <c r="T876" t="s">
        <v>415</v>
      </c>
      <c r="U876">
        <v>47885</v>
      </c>
      <c r="V876">
        <v>9</v>
      </c>
      <c r="W876">
        <f>MONTH(T876)</f>
        <v>7</v>
      </c>
      <c r="X876">
        <f>YEAR(T876)</f>
        <v>2024</v>
      </c>
      <c r="Y876" s="26" t="str">
        <f>X876&amp;"-"&amp;W876</f>
        <v>2024-7</v>
      </c>
    </row>
    <row r="877" spans="18:25" x14ac:dyDescent="0.25">
      <c r="R877" t="s">
        <v>16</v>
      </c>
      <c r="S877" t="s">
        <v>106</v>
      </c>
      <c r="T877" t="s">
        <v>415</v>
      </c>
      <c r="U877">
        <v>33898</v>
      </c>
      <c r="V877">
        <v>9</v>
      </c>
      <c r="W877">
        <f>MONTH(T877)</f>
        <v>7</v>
      </c>
      <c r="X877">
        <f>YEAR(T877)</f>
        <v>2024</v>
      </c>
      <c r="Y877" s="26" t="str">
        <f>X877&amp;"-"&amp;W877</f>
        <v>2024-7</v>
      </c>
    </row>
    <row r="878" spans="18:25" x14ac:dyDescent="0.25">
      <c r="R878" t="s">
        <v>16</v>
      </c>
      <c r="S878" t="s">
        <v>73</v>
      </c>
      <c r="T878" t="s">
        <v>424</v>
      </c>
      <c r="U878">
        <v>24958</v>
      </c>
      <c r="V878">
        <v>7</v>
      </c>
      <c r="W878">
        <f>MONTH(T878)</f>
        <v>7</v>
      </c>
      <c r="X878">
        <f>YEAR(T878)</f>
        <v>2024</v>
      </c>
      <c r="Y878" s="26" t="str">
        <f>X878&amp;"-"&amp;W878</f>
        <v>2024-7</v>
      </c>
    </row>
    <row r="879" spans="18:25" x14ac:dyDescent="0.25">
      <c r="R879" t="s">
        <v>16</v>
      </c>
      <c r="S879" t="s">
        <v>80</v>
      </c>
      <c r="T879" t="s">
        <v>430</v>
      </c>
      <c r="U879">
        <v>77338</v>
      </c>
      <c r="V879">
        <v>8</v>
      </c>
      <c r="W879">
        <f>MONTH(T879)</f>
        <v>7</v>
      </c>
      <c r="X879">
        <f>YEAR(T879)</f>
        <v>2024</v>
      </c>
      <c r="Y879" s="26" t="str">
        <f>X879&amp;"-"&amp;W879</f>
        <v>2024-7</v>
      </c>
    </row>
    <row r="880" spans="18:25" x14ac:dyDescent="0.25">
      <c r="R880" t="s">
        <v>16</v>
      </c>
      <c r="S880" t="s">
        <v>194</v>
      </c>
      <c r="T880" t="s">
        <v>430</v>
      </c>
      <c r="U880">
        <v>79373</v>
      </c>
      <c r="V880">
        <v>8</v>
      </c>
      <c r="W880">
        <f>MONTH(T880)</f>
        <v>7</v>
      </c>
      <c r="X880">
        <f>YEAR(T880)</f>
        <v>2024</v>
      </c>
      <c r="Y880" s="26" t="str">
        <f>X880&amp;"-"&amp;W880</f>
        <v>2024-7</v>
      </c>
    </row>
    <row r="881" spans="18:25" x14ac:dyDescent="0.25">
      <c r="R881" t="s">
        <v>16</v>
      </c>
      <c r="S881" t="s">
        <v>299</v>
      </c>
      <c r="T881" t="s">
        <v>434</v>
      </c>
      <c r="U881">
        <v>46844</v>
      </c>
      <c r="V881">
        <v>6</v>
      </c>
      <c r="W881">
        <f>MONTH(T881)</f>
        <v>7</v>
      </c>
      <c r="X881">
        <f>YEAR(T881)</f>
        <v>2024</v>
      </c>
      <c r="Y881" s="26" t="str">
        <f>X881&amp;"-"&amp;W881</f>
        <v>2024-7</v>
      </c>
    </row>
    <row r="882" spans="18:25" x14ac:dyDescent="0.25">
      <c r="R882" t="s">
        <v>16</v>
      </c>
      <c r="S882" t="s">
        <v>90</v>
      </c>
      <c r="T882" t="s">
        <v>440</v>
      </c>
      <c r="U882">
        <v>27499</v>
      </c>
      <c r="V882">
        <v>3</v>
      </c>
      <c r="W882">
        <f>MONTH(T882)</f>
        <v>8</v>
      </c>
      <c r="X882">
        <f>YEAR(T882)</f>
        <v>2024</v>
      </c>
      <c r="Y882" s="26" t="str">
        <f>X882&amp;"-"&amp;W882</f>
        <v>2024-8</v>
      </c>
    </row>
    <row r="883" spans="18:25" x14ac:dyDescent="0.25">
      <c r="R883" t="s">
        <v>16</v>
      </c>
      <c r="S883" t="s">
        <v>106</v>
      </c>
      <c r="T883" t="s">
        <v>442</v>
      </c>
      <c r="U883">
        <v>11808</v>
      </c>
      <c r="V883">
        <v>7</v>
      </c>
      <c r="W883">
        <f>MONTH(T883)</f>
        <v>8</v>
      </c>
      <c r="X883">
        <f>YEAR(T883)</f>
        <v>2024</v>
      </c>
      <c r="Y883" s="26" t="str">
        <f>X883&amp;"-"&amp;W883</f>
        <v>2024-8</v>
      </c>
    </row>
    <row r="884" spans="18:25" x14ac:dyDescent="0.25">
      <c r="R884" t="s">
        <v>16</v>
      </c>
      <c r="S884" t="s">
        <v>92</v>
      </c>
      <c r="T884" t="s">
        <v>446</v>
      </c>
      <c r="U884">
        <v>26819</v>
      </c>
      <c r="V884">
        <v>1</v>
      </c>
      <c r="W884">
        <f>MONTH(T884)</f>
        <v>8</v>
      </c>
      <c r="X884">
        <f>YEAR(T884)</f>
        <v>2024</v>
      </c>
      <c r="Y884" s="26" t="str">
        <f>X884&amp;"-"&amp;W884</f>
        <v>2024-8</v>
      </c>
    </row>
    <row r="885" spans="18:25" x14ac:dyDescent="0.25">
      <c r="R885" t="s">
        <v>16</v>
      </c>
      <c r="S885" t="s">
        <v>279</v>
      </c>
      <c r="T885" t="s">
        <v>446</v>
      </c>
      <c r="U885">
        <v>10352</v>
      </c>
      <c r="V885">
        <v>10</v>
      </c>
      <c r="W885">
        <f>MONTH(T885)</f>
        <v>8</v>
      </c>
      <c r="X885">
        <f>YEAR(T885)</f>
        <v>2024</v>
      </c>
      <c r="Y885" s="26" t="str">
        <f>X885&amp;"-"&amp;W885</f>
        <v>2024-8</v>
      </c>
    </row>
    <row r="886" spans="18:25" x14ac:dyDescent="0.25">
      <c r="R886" t="s">
        <v>16</v>
      </c>
      <c r="S886" t="s">
        <v>26</v>
      </c>
      <c r="T886" t="s">
        <v>450</v>
      </c>
      <c r="U886">
        <v>69806</v>
      </c>
      <c r="V886">
        <v>6</v>
      </c>
      <c r="W886">
        <f>MONTH(T886)</f>
        <v>8</v>
      </c>
      <c r="X886">
        <f>YEAR(T886)</f>
        <v>2024</v>
      </c>
      <c r="Y886" s="26" t="str">
        <f>X886&amp;"-"&amp;W886</f>
        <v>2024-8</v>
      </c>
    </row>
    <row r="887" spans="18:25" x14ac:dyDescent="0.25">
      <c r="R887" t="s">
        <v>16</v>
      </c>
      <c r="S887" t="s">
        <v>41</v>
      </c>
      <c r="T887" t="s">
        <v>450</v>
      </c>
      <c r="U887">
        <v>31565</v>
      </c>
      <c r="V887">
        <v>6</v>
      </c>
      <c r="W887">
        <f>MONTH(T887)</f>
        <v>8</v>
      </c>
      <c r="X887">
        <f>YEAR(T887)</f>
        <v>2024</v>
      </c>
      <c r="Y887" s="26" t="str">
        <f>X887&amp;"-"&amp;W887</f>
        <v>2024-8</v>
      </c>
    </row>
    <row r="888" spans="18:25" x14ac:dyDescent="0.25">
      <c r="R888" t="s">
        <v>16</v>
      </c>
      <c r="S888" t="s">
        <v>101</v>
      </c>
      <c r="T888" t="s">
        <v>450</v>
      </c>
      <c r="U888">
        <v>57308</v>
      </c>
      <c r="V888">
        <v>8</v>
      </c>
      <c r="W888">
        <f>MONTH(T888)</f>
        <v>8</v>
      </c>
      <c r="X888">
        <f>YEAR(T888)</f>
        <v>2024</v>
      </c>
      <c r="Y888" s="26" t="str">
        <f>X888&amp;"-"&amp;W888</f>
        <v>2024-8</v>
      </c>
    </row>
    <row r="889" spans="18:25" x14ac:dyDescent="0.25">
      <c r="R889" t="s">
        <v>16</v>
      </c>
      <c r="S889" t="s">
        <v>75</v>
      </c>
      <c r="T889" t="s">
        <v>452</v>
      </c>
      <c r="U889">
        <v>95509</v>
      </c>
      <c r="V889">
        <v>5</v>
      </c>
      <c r="W889">
        <f>MONTH(T889)</f>
        <v>8</v>
      </c>
      <c r="X889">
        <f>YEAR(T889)</f>
        <v>2024</v>
      </c>
      <c r="Y889" s="26" t="str">
        <f>X889&amp;"-"&amp;W889</f>
        <v>2024-8</v>
      </c>
    </row>
    <row r="890" spans="18:25" x14ac:dyDescent="0.25">
      <c r="R890" t="s">
        <v>16</v>
      </c>
      <c r="S890" t="s">
        <v>114</v>
      </c>
      <c r="T890" t="s">
        <v>454</v>
      </c>
      <c r="U890">
        <v>48275</v>
      </c>
      <c r="V890">
        <v>7</v>
      </c>
      <c r="W890">
        <f>MONTH(T890)</f>
        <v>8</v>
      </c>
      <c r="X890">
        <f>YEAR(T890)</f>
        <v>2024</v>
      </c>
      <c r="Y890" s="26" t="str">
        <f>X890&amp;"-"&amp;W890</f>
        <v>2024-8</v>
      </c>
    </row>
    <row r="891" spans="18:25" x14ac:dyDescent="0.25">
      <c r="R891" t="s">
        <v>16</v>
      </c>
      <c r="S891" t="s">
        <v>33</v>
      </c>
      <c r="T891" t="s">
        <v>456</v>
      </c>
      <c r="U891">
        <v>63560</v>
      </c>
      <c r="V891">
        <v>7</v>
      </c>
      <c r="W891">
        <f>MONTH(T891)</f>
        <v>8</v>
      </c>
      <c r="X891">
        <f>YEAR(T891)</f>
        <v>2024</v>
      </c>
      <c r="Y891" s="26" t="str">
        <f>X891&amp;"-"&amp;W891</f>
        <v>2024-8</v>
      </c>
    </row>
    <row r="892" spans="18:25" x14ac:dyDescent="0.25">
      <c r="R892" t="s">
        <v>16</v>
      </c>
      <c r="S892" t="s">
        <v>146</v>
      </c>
      <c r="T892" t="s">
        <v>456</v>
      </c>
      <c r="U892">
        <v>49508</v>
      </c>
      <c r="V892">
        <v>5</v>
      </c>
      <c r="W892">
        <f>MONTH(T892)</f>
        <v>8</v>
      </c>
      <c r="X892">
        <f>YEAR(T892)</f>
        <v>2024</v>
      </c>
      <c r="Y892" s="26" t="str">
        <f>X892&amp;"-"&amp;W892</f>
        <v>2024-8</v>
      </c>
    </row>
    <row r="893" spans="18:25" x14ac:dyDescent="0.25">
      <c r="R893" t="s">
        <v>16</v>
      </c>
      <c r="S893" t="s">
        <v>223</v>
      </c>
      <c r="T893" t="s">
        <v>458</v>
      </c>
      <c r="U893">
        <v>49562</v>
      </c>
      <c r="V893">
        <v>4</v>
      </c>
      <c r="W893">
        <f>MONTH(T893)</f>
        <v>8</v>
      </c>
      <c r="X893">
        <f>YEAR(T893)</f>
        <v>2024</v>
      </c>
      <c r="Y893" s="26" t="str">
        <f>X893&amp;"-"&amp;W893</f>
        <v>2024-8</v>
      </c>
    </row>
    <row r="894" spans="18:25" x14ac:dyDescent="0.25">
      <c r="R894" t="s">
        <v>16</v>
      </c>
      <c r="S894" t="s">
        <v>69</v>
      </c>
      <c r="T894" t="s">
        <v>459</v>
      </c>
      <c r="U894">
        <v>73835</v>
      </c>
      <c r="V894">
        <v>3</v>
      </c>
      <c r="W894">
        <f>MONTH(T894)</f>
        <v>8</v>
      </c>
      <c r="X894">
        <f>YEAR(T894)</f>
        <v>2024</v>
      </c>
      <c r="Y894" s="26" t="str">
        <f>X894&amp;"-"&amp;W894</f>
        <v>2024-8</v>
      </c>
    </row>
    <row r="895" spans="18:25" x14ac:dyDescent="0.25">
      <c r="R895" t="s">
        <v>16</v>
      </c>
      <c r="S895" t="s">
        <v>69</v>
      </c>
      <c r="T895" t="s">
        <v>460</v>
      </c>
      <c r="U895">
        <v>57679</v>
      </c>
      <c r="V895">
        <v>9</v>
      </c>
      <c r="W895">
        <f>MONTH(T895)</f>
        <v>8</v>
      </c>
      <c r="X895">
        <f>YEAR(T895)</f>
        <v>2024</v>
      </c>
      <c r="Y895" s="26" t="str">
        <f>X895&amp;"-"&amp;W895</f>
        <v>2024-8</v>
      </c>
    </row>
    <row r="896" spans="18:25" x14ac:dyDescent="0.25">
      <c r="R896" t="s">
        <v>30</v>
      </c>
      <c r="S896" t="s">
        <v>31</v>
      </c>
      <c r="T896" t="s">
        <v>29</v>
      </c>
      <c r="U896">
        <v>61980</v>
      </c>
      <c r="V896">
        <v>6</v>
      </c>
      <c r="W896">
        <f>MONTH(T896)</f>
        <v>9</v>
      </c>
      <c r="X896">
        <f>YEAR(T896)</f>
        <v>2023</v>
      </c>
      <c r="Y896" s="26" t="str">
        <f>X896&amp;"-"&amp;W896</f>
        <v>2023-9</v>
      </c>
    </row>
    <row r="897" spans="18:25" x14ac:dyDescent="0.25">
      <c r="R897" t="s">
        <v>30</v>
      </c>
      <c r="S897" t="s">
        <v>49</v>
      </c>
      <c r="T897" t="s">
        <v>44</v>
      </c>
      <c r="U897">
        <v>25430</v>
      </c>
      <c r="V897">
        <v>8</v>
      </c>
      <c r="W897">
        <f>MONTH(T897)</f>
        <v>9</v>
      </c>
      <c r="X897">
        <f>YEAR(T897)</f>
        <v>2023</v>
      </c>
      <c r="Y897" s="26" t="str">
        <f>X897&amp;"-"&amp;W897</f>
        <v>2023-9</v>
      </c>
    </row>
    <row r="898" spans="18:25" x14ac:dyDescent="0.25">
      <c r="R898" t="s">
        <v>30</v>
      </c>
      <c r="S898" t="s">
        <v>51</v>
      </c>
      <c r="T898" t="s">
        <v>44</v>
      </c>
      <c r="U898">
        <v>45798</v>
      </c>
      <c r="V898">
        <v>3</v>
      </c>
      <c r="W898">
        <f>MONTH(T898)</f>
        <v>9</v>
      </c>
      <c r="X898">
        <f>YEAR(T898)</f>
        <v>2023</v>
      </c>
      <c r="Y898" s="26" t="str">
        <f>X898&amp;"-"&amp;W898</f>
        <v>2023-9</v>
      </c>
    </row>
    <row r="899" spans="18:25" x14ac:dyDescent="0.25">
      <c r="R899" t="s">
        <v>30</v>
      </c>
      <c r="S899" t="s">
        <v>55</v>
      </c>
      <c r="T899" t="s">
        <v>56</v>
      </c>
      <c r="U899">
        <v>15896</v>
      </c>
      <c r="V899">
        <v>7</v>
      </c>
      <c r="W899">
        <f>MONTH(T899)</f>
        <v>9</v>
      </c>
      <c r="X899">
        <f>YEAR(T899)</f>
        <v>2023</v>
      </c>
      <c r="Y899" s="26" t="str">
        <f>X899&amp;"-"&amp;W899</f>
        <v>2023-9</v>
      </c>
    </row>
    <row r="900" spans="18:25" x14ac:dyDescent="0.25">
      <c r="R900" t="s">
        <v>30</v>
      </c>
      <c r="S900" t="s">
        <v>63</v>
      </c>
      <c r="T900" t="s">
        <v>62</v>
      </c>
      <c r="U900">
        <v>65076</v>
      </c>
      <c r="V900">
        <v>6</v>
      </c>
      <c r="W900">
        <f>MONTH(T900)</f>
        <v>9</v>
      </c>
      <c r="X900">
        <f>YEAR(T900)</f>
        <v>2023</v>
      </c>
      <c r="Y900" s="26" t="str">
        <f>X900&amp;"-"&amp;W900</f>
        <v>2023-9</v>
      </c>
    </row>
    <row r="901" spans="18:25" x14ac:dyDescent="0.25">
      <c r="R901" t="s">
        <v>30</v>
      </c>
      <c r="S901" t="s">
        <v>64</v>
      </c>
      <c r="T901" t="s">
        <v>62</v>
      </c>
      <c r="U901">
        <v>46536</v>
      </c>
      <c r="V901">
        <v>7</v>
      </c>
      <c r="W901">
        <f>MONTH(T901)</f>
        <v>9</v>
      </c>
      <c r="X901">
        <f>YEAR(T901)</f>
        <v>2023</v>
      </c>
      <c r="Y901" s="26" t="str">
        <f>X901&amp;"-"&amp;W901</f>
        <v>2023-9</v>
      </c>
    </row>
    <row r="902" spans="18:25" x14ac:dyDescent="0.25">
      <c r="R902" t="s">
        <v>30</v>
      </c>
      <c r="S902" t="s">
        <v>75</v>
      </c>
      <c r="T902" t="s">
        <v>76</v>
      </c>
      <c r="U902">
        <v>87309</v>
      </c>
      <c r="V902">
        <v>9</v>
      </c>
      <c r="W902">
        <f>MONTH(T902)</f>
        <v>9</v>
      </c>
      <c r="X902">
        <f>YEAR(T902)</f>
        <v>2023</v>
      </c>
      <c r="Y902" s="26" t="str">
        <f>X902&amp;"-"&amp;W902</f>
        <v>2023-9</v>
      </c>
    </row>
    <row r="903" spans="18:25" x14ac:dyDescent="0.25">
      <c r="R903" t="s">
        <v>30</v>
      </c>
      <c r="S903" t="s">
        <v>42</v>
      </c>
      <c r="T903" t="s">
        <v>87</v>
      </c>
      <c r="U903">
        <v>47237</v>
      </c>
      <c r="V903">
        <v>8</v>
      </c>
      <c r="W903">
        <f>MONTH(T903)</f>
        <v>9</v>
      </c>
      <c r="X903">
        <f>YEAR(T903)</f>
        <v>2023</v>
      </c>
      <c r="Y903" s="26" t="str">
        <f>X903&amp;"-"&amp;W903</f>
        <v>2023-9</v>
      </c>
    </row>
    <row r="904" spans="18:25" x14ac:dyDescent="0.25">
      <c r="R904" t="s">
        <v>30</v>
      </c>
      <c r="S904" t="s">
        <v>103</v>
      </c>
      <c r="T904" t="s">
        <v>104</v>
      </c>
      <c r="U904">
        <v>58839</v>
      </c>
      <c r="V904">
        <v>9</v>
      </c>
      <c r="W904">
        <f>MONTH(T904)</f>
        <v>10</v>
      </c>
      <c r="X904">
        <f>YEAR(T904)</f>
        <v>2023</v>
      </c>
      <c r="Y904" s="26" t="str">
        <f>X904&amp;"-"&amp;W904</f>
        <v>2023-10</v>
      </c>
    </row>
    <row r="905" spans="18:25" x14ac:dyDescent="0.25">
      <c r="R905" t="s">
        <v>30</v>
      </c>
      <c r="S905" t="s">
        <v>111</v>
      </c>
      <c r="T905" t="s">
        <v>112</v>
      </c>
      <c r="U905">
        <v>56381</v>
      </c>
      <c r="V905">
        <v>5</v>
      </c>
      <c r="W905">
        <f>MONTH(T905)</f>
        <v>10</v>
      </c>
      <c r="X905">
        <f>YEAR(T905)</f>
        <v>2023</v>
      </c>
      <c r="Y905" s="26" t="str">
        <f>X905&amp;"-"&amp;W905</f>
        <v>2023-10</v>
      </c>
    </row>
    <row r="906" spans="18:25" x14ac:dyDescent="0.25">
      <c r="R906" t="s">
        <v>30</v>
      </c>
      <c r="S906" t="s">
        <v>65</v>
      </c>
      <c r="T906" t="s">
        <v>112</v>
      </c>
      <c r="U906">
        <v>95364</v>
      </c>
      <c r="V906">
        <v>6</v>
      </c>
      <c r="W906">
        <f>MONTH(T906)</f>
        <v>10</v>
      </c>
      <c r="X906">
        <f>YEAR(T906)</f>
        <v>2023</v>
      </c>
      <c r="Y906" s="26" t="str">
        <f>X906&amp;"-"&amp;W906</f>
        <v>2023-10</v>
      </c>
    </row>
    <row r="907" spans="18:25" x14ac:dyDescent="0.25">
      <c r="R907" t="s">
        <v>30</v>
      </c>
      <c r="S907" t="s">
        <v>144</v>
      </c>
      <c r="T907" t="s">
        <v>143</v>
      </c>
      <c r="U907">
        <v>56779</v>
      </c>
      <c r="V907">
        <v>7</v>
      </c>
      <c r="W907">
        <f>MONTH(T907)</f>
        <v>10</v>
      </c>
      <c r="X907">
        <f>YEAR(T907)</f>
        <v>2023</v>
      </c>
      <c r="Y907" s="26" t="str">
        <f>X907&amp;"-"&amp;W907</f>
        <v>2023-10</v>
      </c>
    </row>
    <row r="908" spans="18:25" x14ac:dyDescent="0.25">
      <c r="R908" t="s">
        <v>30</v>
      </c>
      <c r="S908" t="s">
        <v>148</v>
      </c>
      <c r="T908" t="s">
        <v>147</v>
      </c>
      <c r="U908">
        <v>76470</v>
      </c>
      <c r="V908">
        <v>7</v>
      </c>
      <c r="W908">
        <f>MONTH(T908)</f>
        <v>10</v>
      </c>
      <c r="X908">
        <f>YEAR(T908)</f>
        <v>2023</v>
      </c>
      <c r="Y908" s="26" t="str">
        <f>X908&amp;"-"&amp;W908</f>
        <v>2023-10</v>
      </c>
    </row>
    <row r="909" spans="18:25" x14ac:dyDescent="0.25">
      <c r="R909" t="s">
        <v>30</v>
      </c>
      <c r="S909" t="s">
        <v>136</v>
      </c>
      <c r="T909" t="s">
        <v>147</v>
      </c>
      <c r="U909">
        <v>52412</v>
      </c>
      <c r="V909">
        <v>8</v>
      </c>
      <c r="W909">
        <f>MONTH(T909)</f>
        <v>10</v>
      </c>
      <c r="X909">
        <f>YEAR(T909)</f>
        <v>2023</v>
      </c>
      <c r="Y909" s="26" t="str">
        <f>X909&amp;"-"&amp;W909</f>
        <v>2023-10</v>
      </c>
    </row>
    <row r="910" spans="18:25" x14ac:dyDescent="0.25">
      <c r="R910" t="s">
        <v>30</v>
      </c>
      <c r="S910" t="s">
        <v>77</v>
      </c>
      <c r="T910" t="s">
        <v>154</v>
      </c>
      <c r="U910">
        <v>90888</v>
      </c>
      <c r="V910">
        <v>4</v>
      </c>
      <c r="W910">
        <f>MONTH(T910)</f>
        <v>10</v>
      </c>
      <c r="X910">
        <f>YEAR(T910)</f>
        <v>2023</v>
      </c>
      <c r="Y910" s="26" t="str">
        <f>X910&amp;"-"&amp;W910</f>
        <v>2023-10</v>
      </c>
    </row>
    <row r="911" spans="18:25" x14ac:dyDescent="0.25">
      <c r="R911" t="s">
        <v>30</v>
      </c>
      <c r="S911" t="s">
        <v>156</v>
      </c>
      <c r="T911" t="s">
        <v>154</v>
      </c>
      <c r="U911">
        <v>99505</v>
      </c>
      <c r="V911">
        <v>2</v>
      </c>
      <c r="W911">
        <f>MONTH(T911)</f>
        <v>10</v>
      </c>
      <c r="X911">
        <f>YEAR(T911)</f>
        <v>2023</v>
      </c>
      <c r="Y911" s="26" t="str">
        <f>X911&amp;"-"&amp;W911</f>
        <v>2023-10</v>
      </c>
    </row>
    <row r="912" spans="18:25" x14ac:dyDescent="0.25">
      <c r="R912" t="s">
        <v>30</v>
      </c>
      <c r="S912" t="s">
        <v>52</v>
      </c>
      <c r="T912" t="s">
        <v>168</v>
      </c>
      <c r="U912">
        <v>70276</v>
      </c>
      <c r="V912">
        <v>8</v>
      </c>
      <c r="W912">
        <f>MONTH(T912)</f>
        <v>10</v>
      </c>
      <c r="X912">
        <f>YEAR(T912)</f>
        <v>2023</v>
      </c>
      <c r="Y912" s="26" t="str">
        <f>X912&amp;"-"&amp;W912</f>
        <v>2023-10</v>
      </c>
    </row>
    <row r="913" spans="18:25" x14ac:dyDescent="0.25">
      <c r="R913" t="s">
        <v>30</v>
      </c>
      <c r="S913" t="s">
        <v>155</v>
      </c>
      <c r="T913" t="s">
        <v>175</v>
      </c>
      <c r="U913">
        <v>88112</v>
      </c>
      <c r="V913">
        <v>7</v>
      </c>
      <c r="W913">
        <f>MONTH(T913)</f>
        <v>11</v>
      </c>
      <c r="X913">
        <f>YEAR(T913)</f>
        <v>2023</v>
      </c>
      <c r="Y913" s="26" t="str">
        <f>X913&amp;"-"&amp;W913</f>
        <v>2023-11</v>
      </c>
    </row>
    <row r="914" spans="18:25" x14ac:dyDescent="0.25">
      <c r="R914" t="s">
        <v>30</v>
      </c>
      <c r="S914" t="s">
        <v>68</v>
      </c>
      <c r="T914" t="s">
        <v>183</v>
      </c>
      <c r="U914">
        <v>68300</v>
      </c>
      <c r="V914">
        <v>7</v>
      </c>
      <c r="W914">
        <f>MONTH(T914)</f>
        <v>11</v>
      </c>
      <c r="X914">
        <f>YEAR(T914)</f>
        <v>2023</v>
      </c>
      <c r="Y914" s="26" t="str">
        <f>X914&amp;"-"&amp;W914</f>
        <v>2023-11</v>
      </c>
    </row>
    <row r="915" spans="18:25" x14ac:dyDescent="0.25">
      <c r="R915" t="s">
        <v>30</v>
      </c>
      <c r="S915" t="s">
        <v>184</v>
      </c>
      <c r="T915" t="s">
        <v>185</v>
      </c>
      <c r="U915">
        <v>27219</v>
      </c>
      <c r="V915">
        <v>7</v>
      </c>
      <c r="W915">
        <f>MONTH(T915)</f>
        <v>11</v>
      </c>
      <c r="X915">
        <f>YEAR(T915)</f>
        <v>2023</v>
      </c>
      <c r="Y915" s="26" t="str">
        <f>X915&amp;"-"&amp;W915</f>
        <v>2023-11</v>
      </c>
    </row>
    <row r="916" spans="18:25" x14ac:dyDescent="0.25">
      <c r="R916" t="s">
        <v>30</v>
      </c>
      <c r="S916" t="s">
        <v>94</v>
      </c>
      <c r="T916" t="s">
        <v>189</v>
      </c>
      <c r="U916">
        <v>17188</v>
      </c>
      <c r="V916">
        <v>4</v>
      </c>
      <c r="W916">
        <f>MONTH(T916)</f>
        <v>11</v>
      </c>
      <c r="X916">
        <f>YEAR(T916)</f>
        <v>2023</v>
      </c>
      <c r="Y916" s="26" t="str">
        <f>X916&amp;"-"&amp;W916</f>
        <v>2023-11</v>
      </c>
    </row>
    <row r="917" spans="18:25" x14ac:dyDescent="0.25">
      <c r="R917" t="s">
        <v>30</v>
      </c>
      <c r="S917" t="s">
        <v>105</v>
      </c>
      <c r="T917" t="s">
        <v>189</v>
      </c>
      <c r="U917">
        <v>92124</v>
      </c>
      <c r="V917">
        <v>7</v>
      </c>
      <c r="W917">
        <f>MONTH(T917)</f>
        <v>11</v>
      </c>
      <c r="X917">
        <f>YEAR(T917)</f>
        <v>2023</v>
      </c>
      <c r="Y917" s="26" t="str">
        <f>X917&amp;"-"&amp;W917</f>
        <v>2023-11</v>
      </c>
    </row>
    <row r="918" spans="18:25" x14ac:dyDescent="0.25">
      <c r="R918" t="s">
        <v>30</v>
      </c>
      <c r="S918" t="s">
        <v>96</v>
      </c>
      <c r="T918" t="s">
        <v>189</v>
      </c>
      <c r="U918">
        <v>12352</v>
      </c>
      <c r="V918">
        <v>7</v>
      </c>
      <c r="W918">
        <f>MONTH(T918)</f>
        <v>11</v>
      </c>
      <c r="X918">
        <f>YEAR(T918)</f>
        <v>2023</v>
      </c>
      <c r="Y918" s="26" t="str">
        <f>X918&amp;"-"&amp;W918</f>
        <v>2023-11</v>
      </c>
    </row>
    <row r="919" spans="18:25" x14ac:dyDescent="0.25">
      <c r="R919" t="s">
        <v>30</v>
      </c>
      <c r="S919" t="s">
        <v>214</v>
      </c>
      <c r="T919" t="s">
        <v>213</v>
      </c>
      <c r="U919">
        <v>14266</v>
      </c>
      <c r="V919">
        <v>5</v>
      </c>
      <c r="W919">
        <f>MONTH(T919)</f>
        <v>11</v>
      </c>
      <c r="X919">
        <f>YEAR(T919)</f>
        <v>2023</v>
      </c>
      <c r="Y919" s="26" t="str">
        <f>X919&amp;"-"&amp;W919</f>
        <v>2023-11</v>
      </c>
    </row>
    <row r="920" spans="18:25" x14ac:dyDescent="0.25">
      <c r="R920" t="s">
        <v>30</v>
      </c>
      <c r="S920" t="s">
        <v>20</v>
      </c>
      <c r="T920" t="s">
        <v>222</v>
      </c>
      <c r="U920">
        <v>89185</v>
      </c>
      <c r="V920">
        <v>5</v>
      </c>
      <c r="W920">
        <f>MONTH(T920)</f>
        <v>12</v>
      </c>
      <c r="X920">
        <f>YEAR(T920)</f>
        <v>2023</v>
      </c>
      <c r="Y920" s="26" t="str">
        <f>X920&amp;"-"&amp;W920</f>
        <v>2023-12</v>
      </c>
    </row>
    <row r="921" spans="18:25" x14ac:dyDescent="0.25">
      <c r="R921" t="s">
        <v>30</v>
      </c>
      <c r="S921" t="s">
        <v>33</v>
      </c>
      <c r="T921" t="s">
        <v>225</v>
      </c>
      <c r="U921">
        <v>77540</v>
      </c>
      <c r="V921">
        <v>1</v>
      </c>
      <c r="W921">
        <f>MONTH(T921)</f>
        <v>12</v>
      </c>
      <c r="X921">
        <f>YEAR(T921)</f>
        <v>2023</v>
      </c>
      <c r="Y921" s="26" t="str">
        <f>X921&amp;"-"&amp;W921</f>
        <v>2023-12</v>
      </c>
    </row>
    <row r="922" spans="18:25" x14ac:dyDescent="0.25">
      <c r="R922" t="s">
        <v>30</v>
      </c>
      <c r="S922" t="s">
        <v>226</v>
      </c>
      <c r="T922" t="s">
        <v>225</v>
      </c>
      <c r="U922">
        <v>57201</v>
      </c>
      <c r="V922">
        <v>8</v>
      </c>
      <c r="W922">
        <f>MONTH(T922)</f>
        <v>12</v>
      </c>
      <c r="X922">
        <f>YEAR(T922)</f>
        <v>2023</v>
      </c>
      <c r="Y922" s="26" t="str">
        <f>X922&amp;"-"&amp;W922</f>
        <v>2023-12</v>
      </c>
    </row>
    <row r="923" spans="18:25" x14ac:dyDescent="0.25">
      <c r="R923" t="s">
        <v>30</v>
      </c>
      <c r="S923" t="s">
        <v>184</v>
      </c>
      <c r="T923" t="s">
        <v>228</v>
      </c>
      <c r="U923">
        <v>76774</v>
      </c>
      <c r="V923">
        <v>8</v>
      </c>
      <c r="W923">
        <f>MONTH(T923)</f>
        <v>12</v>
      </c>
      <c r="X923">
        <f>YEAR(T923)</f>
        <v>2023</v>
      </c>
      <c r="Y923" s="26" t="str">
        <f>X923&amp;"-"&amp;W923</f>
        <v>2023-12</v>
      </c>
    </row>
    <row r="924" spans="18:25" x14ac:dyDescent="0.25">
      <c r="R924" t="s">
        <v>30</v>
      </c>
      <c r="S924" t="s">
        <v>31</v>
      </c>
      <c r="T924" t="s">
        <v>228</v>
      </c>
      <c r="U924">
        <v>55109</v>
      </c>
      <c r="V924">
        <v>7</v>
      </c>
      <c r="W924">
        <f>MONTH(T924)</f>
        <v>12</v>
      </c>
      <c r="X924">
        <f>YEAR(T924)</f>
        <v>2023</v>
      </c>
      <c r="Y924" s="26" t="str">
        <f>X924&amp;"-"&amp;W924</f>
        <v>2023-12</v>
      </c>
    </row>
    <row r="925" spans="18:25" x14ac:dyDescent="0.25">
      <c r="R925" t="s">
        <v>30</v>
      </c>
      <c r="S925" t="s">
        <v>33</v>
      </c>
      <c r="T925" t="s">
        <v>228</v>
      </c>
      <c r="U925">
        <v>92124</v>
      </c>
      <c r="V925">
        <v>7</v>
      </c>
      <c r="W925">
        <f>MONTH(T925)</f>
        <v>12</v>
      </c>
      <c r="X925">
        <f>YEAR(T925)</f>
        <v>2023</v>
      </c>
      <c r="Y925" s="26" t="str">
        <f>X925&amp;"-"&amp;W925</f>
        <v>2023-12</v>
      </c>
    </row>
    <row r="926" spans="18:25" x14ac:dyDescent="0.25">
      <c r="R926" t="s">
        <v>30</v>
      </c>
      <c r="S926" t="s">
        <v>153</v>
      </c>
      <c r="T926" t="s">
        <v>230</v>
      </c>
      <c r="U926">
        <v>13092</v>
      </c>
      <c r="V926">
        <v>2</v>
      </c>
      <c r="W926">
        <f>MONTH(T926)</f>
        <v>12</v>
      </c>
      <c r="X926">
        <f>YEAR(T926)</f>
        <v>2023</v>
      </c>
      <c r="Y926" s="26" t="str">
        <f>X926&amp;"-"&amp;W926</f>
        <v>2023-12</v>
      </c>
    </row>
    <row r="927" spans="18:25" x14ac:dyDescent="0.25">
      <c r="R927" t="s">
        <v>30</v>
      </c>
      <c r="S927" t="s">
        <v>6</v>
      </c>
      <c r="T927" t="s">
        <v>238</v>
      </c>
      <c r="U927">
        <v>82934</v>
      </c>
      <c r="V927">
        <v>6</v>
      </c>
      <c r="W927">
        <f>MONTH(T927)</f>
        <v>12</v>
      </c>
      <c r="X927">
        <f>YEAR(T927)</f>
        <v>2023</v>
      </c>
      <c r="Y927" s="26" t="str">
        <f>X927&amp;"-"&amp;W927</f>
        <v>2023-12</v>
      </c>
    </row>
    <row r="928" spans="18:25" x14ac:dyDescent="0.25">
      <c r="R928" t="s">
        <v>30</v>
      </c>
      <c r="S928" t="s">
        <v>247</v>
      </c>
      <c r="T928" t="s">
        <v>246</v>
      </c>
      <c r="U928">
        <v>62255</v>
      </c>
      <c r="V928">
        <v>0</v>
      </c>
      <c r="W928">
        <f>MONTH(T928)</f>
        <v>12</v>
      </c>
      <c r="X928">
        <f>YEAR(T928)</f>
        <v>2023</v>
      </c>
      <c r="Y928" s="26" t="str">
        <f>X928&amp;"-"&amp;W928</f>
        <v>2023-12</v>
      </c>
    </row>
    <row r="929" spans="18:25" x14ac:dyDescent="0.25">
      <c r="R929" t="s">
        <v>30</v>
      </c>
      <c r="S929" t="s">
        <v>248</v>
      </c>
      <c r="T929" t="s">
        <v>246</v>
      </c>
      <c r="U929">
        <v>15528</v>
      </c>
      <c r="V929">
        <v>3</v>
      </c>
      <c r="W929">
        <f>MONTH(T929)</f>
        <v>12</v>
      </c>
      <c r="X929">
        <f>YEAR(T929)</f>
        <v>2023</v>
      </c>
      <c r="Y929" s="26" t="str">
        <f>X929&amp;"-"&amp;W929</f>
        <v>2023-12</v>
      </c>
    </row>
    <row r="930" spans="18:25" x14ac:dyDescent="0.25">
      <c r="R930" t="s">
        <v>30</v>
      </c>
      <c r="S930" t="s">
        <v>217</v>
      </c>
      <c r="T930" t="s">
        <v>251</v>
      </c>
      <c r="U930">
        <v>20727</v>
      </c>
      <c r="V930">
        <v>6</v>
      </c>
      <c r="W930">
        <f>MONTH(T930)</f>
        <v>12</v>
      </c>
      <c r="X930">
        <f>YEAR(T930)</f>
        <v>2023</v>
      </c>
      <c r="Y930" s="26" t="str">
        <f>X930&amp;"-"&amp;W930</f>
        <v>2023-12</v>
      </c>
    </row>
    <row r="931" spans="18:25" x14ac:dyDescent="0.25">
      <c r="R931" t="s">
        <v>30</v>
      </c>
      <c r="S931" t="s">
        <v>252</v>
      </c>
      <c r="T931" t="s">
        <v>253</v>
      </c>
      <c r="U931">
        <v>55569</v>
      </c>
      <c r="V931">
        <v>3</v>
      </c>
      <c r="W931">
        <f>MONTH(T931)</f>
        <v>12</v>
      </c>
      <c r="X931">
        <f>YEAR(T931)</f>
        <v>2023</v>
      </c>
      <c r="Y931" s="26" t="str">
        <f>X931&amp;"-"&amp;W931</f>
        <v>2023-12</v>
      </c>
    </row>
    <row r="932" spans="18:25" x14ac:dyDescent="0.25">
      <c r="R932" t="s">
        <v>30</v>
      </c>
      <c r="S932" t="s">
        <v>223</v>
      </c>
      <c r="T932" t="s">
        <v>257</v>
      </c>
      <c r="U932">
        <v>65230</v>
      </c>
      <c r="V932">
        <v>5</v>
      </c>
      <c r="W932">
        <f>MONTH(T932)</f>
        <v>1</v>
      </c>
      <c r="X932">
        <f>YEAR(T932)</f>
        <v>2024</v>
      </c>
      <c r="Y932" s="26" t="str">
        <f>X932&amp;"-"&amp;W932</f>
        <v>2024-1</v>
      </c>
    </row>
    <row r="933" spans="18:25" x14ac:dyDescent="0.25">
      <c r="R933" t="s">
        <v>30</v>
      </c>
      <c r="S933" t="s">
        <v>94</v>
      </c>
      <c r="T933" t="s">
        <v>261</v>
      </c>
      <c r="U933">
        <v>97321</v>
      </c>
      <c r="V933">
        <v>7</v>
      </c>
      <c r="W933">
        <f>MONTH(T933)</f>
        <v>1</v>
      </c>
      <c r="X933">
        <f>YEAR(T933)</f>
        <v>2024</v>
      </c>
      <c r="Y933" s="26" t="str">
        <f>X933&amp;"-"&amp;W933</f>
        <v>2024-1</v>
      </c>
    </row>
    <row r="934" spans="18:25" x14ac:dyDescent="0.25">
      <c r="R934" t="s">
        <v>30</v>
      </c>
      <c r="S934" t="s">
        <v>152</v>
      </c>
      <c r="T934" t="s">
        <v>266</v>
      </c>
      <c r="U934">
        <v>52380</v>
      </c>
      <c r="V934">
        <v>4</v>
      </c>
      <c r="W934">
        <f>MONTH(T934)</f>
        <v>1</v>
      </c>
      <c r="X934">
        <f>YEAR(T934)</f>
        <v>2024</v>
      </c>
      <c r="Y934" s="26" t="str">
        <f>X934&amp;"-"&amp;W934</f>
        <v>2024-1</v>
      </c>
    </row>
    <row r="935" spans="18:25" x14ac:dyDescent="0.25">
      <c r="R935" t="s">
        <v>30</v>
      </c>
      <c r="S935" t="s">
        <v>270</v>
      </c>
      <c r="T935" t="s">
        <v>271</v>
      </c>
      <c r="U935">
        <v>19804</v>
      </c>
      <c r="V935">
        <v>6</v>
      </c>
      <c r="W935">
        <f>MONTH(T935)</f>
        <v>1</v>
      </c>
      <c r="X935">
        <f>YEAR(T935)</f>
        <v>2024</v>
      </c>
      <c r="Y935" s="26" t="str">
        <f>X935&amp;"-"&amp;W935</f>
        <v>2024-1</v>
      </c>
    </row>
    <row r="936" spans="18:25" x14ac:dyDescent="0.25">
      <c r="R936" t="s">
        <v>30</v>
      </c>
      <c r="S936" t="s">
        <v>227</v>
      </c>
      <c r="T936" t="s">
        <v>271</v>
      </c>
      <c r="U936">
        <v>28460</v>
      </c>
      <c r="V936">
        <v>8</v>
      </c>
      <c r="W936">
        <f>MONTH(T936)</f>
        <v>1</v>
      </c>
      <c r="X936">
        <f>YEAR(T936)</f>
        <v>2024</v>
      </c>
      <c r="Y936" s="26" t="str">
        <f>X936&amp;"-"&amp;W936</f>
        <v>2024-1</v>
      </c>
    </row>
    <row r="937" spans="18:25" x14ac:dyDescent="0.25">
      <c r="R937" t="s">
        <v>30</v>
      </c>
      <c r="S937" t="s">
        <v>187</v>
      </c>
      <c r="T937" t="s">
        <v>277</v>
      </c>
      <c r="U937">
        <v>16195</v>
      </c>
      <c r="V937">
        <v>3</v>
      </c>
      <c r="W937">
        <f>MONTH(T937)</f>
        <v>1</v>
      </c>
      <c r="X937">
        <f>YEAR(T937)</f>
        <v>2024</v>
      </c>
      <c r="Y937" s="26" t="str">
        <f>X937&amp;"-"&amp;W937</f>
        <v>2024-1</v>
      </c>
    </row>
    <row r="938" spans="18:25" x14ac:dyDescent="0.25">
      <c r="R938" t="s">
        <v>30</v>
      </c>
      <c r="S938" t="s">
        <v>58</v>
      </c>
      <c r="T938" t="s">
        <v>283</v>
      </c>
      <c r="U938">
        <v>44485</v>
      </c>
      <c r="V938">
        <v>6</v>
      </c>
      <c r="W938">
        <f>MONTH(T938)</f>
        <v>1</v>
      </c>
      <c r="X938">
        <f>YEAR(T938)</f>
        <v>2024</v>
      </c>
      <c r="Y938" s="26" t="str">
        <f>X938&amp;"-"&amp;W938</f>
        <v>2024-1</v>
      </c>
    </row>
    <row r="939" spans="18:25" x14ac:dyDescent="0.25">
      <c r="R939" t="s">
        <v>30</v>
      </c>
      <c r="S939" t="s">
        <v>221</v>
      </c>
      <c r="T939" t="s">
        <v>285</v>
      </c>
      <c r="U939">
        <v>34658</v>
      </c>
      <c r="V939">
        <v>6</v>
      </c>
      <c r="W939">
        <f>MONTH(T939)</f>
        <v>2</v>
      </c>
      <c r="X939">
        <f>YEAR(T939)</f>
        <v>2024</v>
      </c>
      <c r="Y939" s="26" t="str">
        <f>X939&amp;"-"&amp;W939</f>
        <v>2024-2</v>
      </c>
    </row>
    <row r="940" spans="18:25" x14ac:dyDescent="0.25">
      <c r="R940" t="s">
        <v>30</v>
      </c>
      <c r="S940" t="s">
        <v>20</v>
      </c>
      <c r="T940" t="s">
        <v>288</v>
      </c>
      <c r="U940">
        <v>29630</v>
      </c>
      <c r="V940">
        <v>6</v>
      </c>
      <c r="W940">
        <f>MONTH(T940)</f>
        <v>2</v>
      </c>
      <c r="X940">
        <f>YEAR(T940)</f>
        <v>2024</v>
      </c>
      <c r="Y940" s="26" t="str">
        <f>X940&amp;"-"&amp;W940</f>
        <v>2024-2</v>
      </c>
    </row>
    <row r="941" spans="18:25" x14ac:dyDescent="0.25">
      <c r="R941" t="s">
        <v>30</v>
      </c>
      <c r="S941" t="s">
        <v>134</v>
      </c>
      <c r="T941" t="s">
        <v>294</v>
      </c>
      <c r="U941">
        <v>51610</v>
      </c>
      <c r="V941">
        <v>4</v>
      </c>
      <c r="W941">
        <f>MONTH(T941)</f>
        <v>2</v>
      </c>
      <c r="X941">
        <f>YEAR(T941)</f>
        <v>2024</v>
      </c>
      <c r="Y941" s="26" t="str">
        <f>X941&amp;"-"&amp;W941</f>
        <v>2024-2</v>
      </c>
    </row>
    <row r="942" spans="18:25" x14ac:dyDescent="0.25">
      <c r="R942" t="s">
        <v>30</v>
      </c>
      <c r="S942" t="s">
        <v>289</v>
      </c>
      <c r="T942" t="s">
        <v>297</v>
      </c>
      <c r="U942">
        <v>81103</v>
      </c>
      <c r="V942">
        <v>7</v>
      </c>
      <c r="W942">
        <f>MONTH(T942)</f>
        <v>2</v>
      </c>
      <c r="X942">
        <f>YEAR(T942)</f>
        <v>2024</v>
      </c>
      <c r="Y942" s="26" t="str">
        <f>X942&amp;"-"&amp;W942</f>
        <v>2024-2</v>
      </c>
    </row>
    <row r="943" spans="18:25" x14ac:dyDescent="0.25">
      <c r="R943" t="s">
        <v>30</v>
      </c>
      <c r="S943" t="s">
        <v>20</v>
      </c>
      <c r="T943" t="s">
        <v>297</v>
      </c>
      <c r="U943">
        <v>33788</v>
      </c>
      <c r="V943">
        <v>8</v>
      </c>
      <c r="W943">
        <f>MONTH(T943)</f>
        <v>2</v>
      </c>
      <c r="X943">
        <f>YEAR(T943)</f>
        <v>2024</v>
      </c>
      <c r="Y943" s="26" t="str">
        <f>X943&amp;"-"&amp;W943</f>
        <v>2024-2</v>
      </c>
    </row>
    <row r="944" spans="18:25" x14ac:dyDescent="0.25">
      <c r="R944" t="s">
        <v>30</v>
      </c>
      <c r="S944" t="s">
        <v>190</v>
      </c>
      <c r="T944" t="s">
        <v>301</v>
      </c>
      <c r="U944">
        <v>43547</v>
      </c>
      <c r="V944">
        <v>6</v>
      </c>
      <c r="W944">
        <f>MONTH(T944)</f>
        <v>2</v>
      </c>
      <c r="X944">
        <f>YEAR(T944)</f>
        <v>2024</v>
      </c>
      <c r="Y944" s="26" t="str">
        <f>X944&amp;"-"&amp;W944</f>
        <v>2024-2</v>
      </c>
    </row>
    <row r="945" spans="18:25" x14ac:dyDescent="0.25">
      <c r="R945" t="s">
        <v>30</v>
      </c>
      <c r="S945" t="s">
        <v>94</v>
      </c>
      <c r="T945" t="s">
        <v>303</v>
      </c>
      <c r="U945">
        <v>22123</v>
      </c>
      <c r="V945">
        <v>5</v>
      </c>
      <c r="W945">
        <f>MONTH(T945)</f>
        <v>2</v>
      </c>
      <c r="X945">
        <f>YEAR(T945)</f>
        <v>2024</v>
      </c>
      <c r="Y945" s="26" t="str">
        <f>X945&amp;"-"&amp;W945</f>
        <v>2024-2</v>
      </c>
    </row>
    <row r="946" spans="18:25" x14ac:dyDescent="0.25">
      <c r="R946" t="s">
        <v>30</v>
      </c>
      <c r="S946" t="s">
        <v>217</v>
      </c>
      <c r="T946" t="s">
        <v>305</v>
      </c>
      <c r="U946">
        <v>31469</v>
      </c>
      <c r="V946">
        <v>8</v>
      </c>
      <c r="W946">
        <f>MONTH(T946)</f>
        <v>2</v>
      </c>
      <c r="X946">
        <f>YEAR(T946)</f>
        <v>2024</v>
      </c>
      <c r="Y946" s="26" t="str">
        <f>X946&amp;"-"&amp;W946</f>
        <v>2024-2</v>
      </c>
    </row>
    <row r="947" spans="18:25" x14ac:dyDescent="0.25">
      <c r="R947" t="s">
        <v>30</v>
      </c>
      <c r="S947" t="s">
        <v>306</v>
      </c>
      <c r="T947" t="s">
        <v>305</v>
      </c>
      <c r="U947">
        <v>40473</v>
      </c>
      <c r="V947">
        <v>5</v>
      </c>
      <c r="W947">
        <f>MONTH(T947)</f>
        <v>2</v>
      </c>
      <c r="X947">
        <f>YEAR(T947)</f>
        <v>2024</v>
      </c>
      <c r="Y947" s="26" t="str">
        <f>X947&amp;"-"&amp;W947</f>
        <v>2024-2</v>
      </c>
    </row>
    <row r="948" spans="18:25" x14ac:dyDescent="0.25">
      <c r="R948" t="s">
        <v>30</v>
      </c>
      <c r="S948" t="s">
        <v>72</v>
      </c>
      <c r="T948" t="s">
        <v>305</v>
      </c>
      <c r="U948">
        <v>49564</v>
      </c>
      <c r="V948">
        <v>5</v>
      </c>
      <c r="W948">
        <f>MONTH(T948)</f>
        <v>2</v>
      </c>
      <c r="X948">
        <f>YEAR(T948)</f>
        <v>2024</v>
      </c>
      <c r="Y948" s="26" t="str">
        <f>X948&amp;"-"&amp;W948</f>
        <v>2024-2</v>
      </c>
    </row>
    <row r="949" spans="18:25" x14ac:dyDescent="0.25">
      <c r="R949" t="s">
        <v>30</v>
      </c>
      <c r="S949" t="s">
        <v>61</v>
      </c>
      <c r="T949" t="s">
        <v>312</v>
      </c>
      <c r="U949">
        <v>86161</v>
      </c>
      <c r="V949">
        <v>7</v>
      </c>
      <c r="W949">
        <f>MONTH(T949)</f>
        <v>2</v>
      </c>
      <c r="X949">
        <f>YEAR(T949)</f>
        <v>2024</v>
      </c>
      <c r="Y949" s="26" t="str">
        <f>X949&amp;"-"&amp;W949</f>
        <v>2024-2</v>
      </c>
    </row>
    <row r="950" spans="18:25" x14ac:dyDescent="0.25">
      <c r="R950" t="s">
        <v>30</v>
      </c>
      <c r="S950" t="s">
        <v>55</v>
      </c>
      <c r="T950" t="s">
        <v>317</v>
      </c>
      <c r="U950">
        <v>83603</v>
      </c>
      <c r="V950">
        <v>8</v>
      </c>
      <c r="W950">
        <f>MONTH(T950)</f>
        <v>3</v>
      </c>
      <c r="X950">
        <f>YEAR(T950)</f>
        <v>2024</v>
      </c>
      <c r="Y950" s="26" t="str">
        <f>X950&amp;"-"&amp;W950</f>
        <v>2024-3</v>
      </c>
    </row>
    <row r="951" spans="18:25" x14ac:dyDescent="0.25">
      <c r="R951" t="s">
        <v>30</v>
      </c>
      <c r="S951" t="s">
        <v>103</v>
      </c>
      <c r="T951" t="s">
        <v>318</v>
      </c>
      <c r="U951">
        <v>18286</v>
      </c>
      <c r="V951">
        <v>10</v>
      </c>
      <c r="W951">
        <f>MONTH(T951)</f>
        <v>3</v>
      </c>
      <c r="X951">
        <f>YEAR(T951)</f>
        <v>2024</v>
      </c>
      <c r="Y951" s="26" t="str">
        <f>X951&amp;"-"&amp;W951</f>
        <v>2024-3</v>
      </c>
    </row>
    <row r="952" spans="18:25" x14ac:dyDescent="0.25">
      <c r="R952" t="s">
        <v>30</v>
      </c>
      <c r="S952" t="s">
        <v>264</v>
      </c>
      <c r="T952" t="s">
        <v>318</v>
      </c>
      <c r="U952">
        <v>80270</v>
      </c>
      <c r="V952">
        <v>4</v>
      </c>
      <c r="W952">
        <f>MONTH(T952)</f>
        <v>3</v>
      </c>
      <c r="X952">
        <f>YEAR(T952)</f>
        <v>2024</v>
      </c>
      <c r="Y952" s="26" t="str">
        <f>X952&amp;"-"&amp;W952</f>
        <v>2024-3</v>
      </c>
    </row>
    <row r="953" spans="18:25" x14ac:dyDescent="0.25">
      <c r="R953" t="s">
        <v>30</v>
      </c>
      <c r="S953" t="s">
        <v>152</v>
      </c>
      <c r="T953" t="s">
        <v>319</v>
      </c>
      <c r="U953">
        <v>86460</v>
      </c>
      <c r="V953">
        <v>3</v>
      </c>
      <c r="W953">
        <f>MONTH(T953)</f>
        <v>3</v>
      </c>
      <c r="X953">
        <f>YEAR(T953)</f>
        <v>2024</v>
      </c>
      <c r="Y953" s="26" t="str">
        <f>X953&amp;"-"&amp;W953</f>
        <v>2024-3</v>
      </c>
    </row>
    <row r="954" spans="18:25" x14ac:dyDescent="0.25">
      <c r="R954" t="s">
        <v>30</v>
      </c>
      <c r="S954" t="s">
        <v>9</v>
      </c>
      <c r="T954" t="s">
        <v>321</v>
      </c>
      <c r="U954">
        <v>82823</v>
      </c>
      <c r="V954">
        <v>9</v>
      </c>
      <c r="W954">
        <f>MONTH(T954)</f>
        <v>3</v>
      </c>
      <c r="X954">
        <f>YEAR(T954)</f>
        <v>2024</v>
      </c>
      <c r="Y954" s="26" t="str">
        <f>X954&amp;"-"&amp;W954</f>
        <v>2024-3</v>
      </c>
    </row>
    <row r="955" spans="18:25" x14ac:dyDescent="0.25">
      <c r="R955" t="s">
        <v>30</v>
      </c>
      <c r="S955" t="s">
        <v>269</v>
      </c>
      <c r="T955" t="s">
        <v>322</v>
      </c>
      <c r="U955">
        <v>75735</v>
      </c>
      <c r="V955">
        <v>10</v>
      </c>
      <c r="W955">
        <f>MONTH(T955)</f>
        <v>3</v>
      </c>
      <c r="X955">
        <f>YEAR(T955)</f>
        <v>2024</v>
      </c>
      <c r="Y955" s="26" t="str">
        <f>X955&amp;"-"&amp;W955</f>
        <v>2024-3</v>
      </c>
    </row>
    <row r="956" spans="18:25" x14ac:dyDescent="0.25">
      <c r="R956" t="s">
        <v>30</v>
      </c>
      <c r="S956" t="s">
        <v>90</v>
      </c>
      <c r="T956" t="s">
        <v>341</v>
      </c>
      <c r="U956">
        <v>46328</v>
      </c>
      <c r="V956">
        <v>8</v>
      </c>
      <c r="W956">
        <f>MONTH(T956)</f>
        <v>3</v>
      </c>
      <c r="X956">
        <f>YEAR(T956)</f>
        <v>2024</v>
      </c>
      <c r="Y956" s="26" t="str">
        <f>X956&amp;"-"&amp;W956</f>
        <v>2024-3</v>
      </c>
    </row>
    <row r="957" spans="18:25" x14ac:dyDescent="0.25">
      <c r="R957" t="s">
        <v>30</v>
      </c>
      <c r="S957" t="s">
        <v>156</v>
      </c>
      <c r="T957" t="s">
        <v>343</v>
      </c>
      <c r="U957">
        <v>91403</v>
      </c>
      <c r="V957">
        <v>8</v>
      </c>
      <c r="W957">
        <f>MONTH(T957)</f>
        <v>4</v>
      </c>
      <c r="X957">
        <f>YEAR(T957)</f>
        <v>2024</v>
      </c>
      <c r="Y957" s="26" t="str">
        <f>X957&amp;"-"&amp;W957</f>
        <v>2024-4</v>
      </c>
    </row>
    <row r="958" spans="18:25" x14ac:dyDescent="0.25">
      <c r="R958" t="s">
        <v>30</v>
      </c>
      <c r="S958" t="s">
        <v>110</v>
      </c>
      <c r="T958" t="s">
        <v>347</v>
      </c>
      <c r="U958">
        <v>55695</v>
      </c>
      <c r="V958">
        <v>6</v>
      </c>
      <c r="W958">
        <f>MONTH(T958)</f>
        <v>4</v>
      </c>
      <c r="X958">
        <f>YEAR(T958)</f>
        <v>2024</v>
      </c>
      <c r="Y958" s="26" t="str">
        <f>X958&amp;"-"&amp;W958</f>
        <v>2024-4</v>
      </c>
    </row>
    <row r="959" spans="18:25" x14ac:dyDescent="0.25">
      <c r="R959" t="s">
        <v>30</v>
      </c>
      <c r="S959" t="s">
        <v>186</v>
      </c>
      <c r="T959" t="s">
        <v>349</v>
      </c>
      <c r="U959">
        <v>93962</v>
      </c>
      <c r="V959">
        <v>3</v>
      </c>
      <c r="W959">
        <f>MONTH(T959)</f>
        <v>4</v>
      </c>
      <c r="X959">
        <f>YEAR(T959)</f>
        <v>2024</v>
      </c>
      <c r="Y959" s="26" t="str">
        <f>X959&amp;"-"&amp;W959</f>
        <v>2024-4</v>
      </c>
    </row>
    <row r="960" spans="18:25" x14ac:dyDescent="0.25">
      <c r="R960" t="s">
        <v>30</v>
      </c>
      <c r="S960" t="s">
        <v>99</v>
      </c>
      <c r="T960" t="s">
        <v>350</v>
      </c>
      <c r="U960">
        <v>25598</v>
      </c>
      <c r="V960">
        <v>7</v>
      </c>
      <c r="W960">
        <f>MONTH(T960)</f>
        <v>4</v>
      </c>
      <c r="X960">
        <f>YEAR(T960)</f>
        <v>2024</v>
      </c>
      <c r="Y960" s="26" t="str">
        <f>X960&amp;"-"&amp;W960</f>
        <v>2024-4</v>
      </c>
    </row>
    <row r="961" spans="18:25" x14ac:dyDescent="0.25">
      <c r="R961" t="s">
        <v>30</v>
      </c>
      <c r="S961" t="s">
        <v>70</v>
      </c>
      <c r="T961" t="s">
        <v>358</v>
      </c>
      <c r="U961">
        <v>87359</v>
      </c>
      <c r="V961">
        <v>7</v>
      </c>
      <c r="W961">
        <f>MONTH(T961)</f>
        <v>4</v>
      </c>
      <c r="X961">
        <f>YEAR(T961)</f>
        <v>2024</v>
      </c>
      <c r="Y961" s="26" t="str">
        <f>X961&amp;"-"&amp;W961</f>
        <v>2024-4</v>
      </c>
    </row>
    <row r="962" spans="18:25" x14ac:dyDescent="0.25">
      <c r="R962" t="s">
        <v>30</v>
      </c>
      <c r="S962" t="s">
        <v>134</v>
      </c>
      <c r="T962" t="s">
        <v>360</v>
      </c>
      <c r="U962">
        <v>13045</v>
      </c>
      <c r="V962">
        <v>9</v>
      </c>
      <c r="W962">
        <f>MONTH(T962)</f>
        <v>4</v>
      </c>
      <c r="X962">
        <f>YEAR(T962)</f>
        <v>2024</v>
      </c>
      <c r="Y962" s="26" t="str">
        <f>X962&amp;"-"&amp;W962</f>
        <v>2024-4</v>
      </c>
    </row>
    <row r="963" spans="18:25" x14ac:dyDescent="0.25">
      <c r="R963" t="s">
        <v>30</v>
      </c>
      <c r="S963" t="s">
        <v>28</v>
      </c>
      <c r="T963" t="s">
        <v>361</v>
      </c>
      <c r="U963">
        <v>38130</v>
      </c>
      <c r="V963">
        <v>6</v>
      </c>
      <c r="W963">
        <f>MONTH(T963)</f>
        <v>4</v>
      </c>
      <c r="X963">
        <f>YEAR(T963)</f>
        <v>2024</v>
      </c>
      <c r="Y963" s="26" t="str">
        <f>X963&amp;"-"&amp;W963</f>
        <v>2024-4</v>
      </c>
    </row>
    <row r="964" spans="18:25" x14ac:dyDescent="0.25">
      <c r="R964" t="s">
        <v>30</v>
      </c>
      <c r="S964" t="s">
        <v>58</v>
      </c>
      <c r="T964" t="s">
        <v>362</v>
      </c>
      <c r="U964">
        <v>73229</v>
      </c>
      <c r="V964">
        <v>7</v>
      </c>
      <c r="W964">
        <f>MONTH(T964)</f>
        <v>4</v>
      </c>
      <c r="X964">
        <f>YEAR(T964)</f>
        <v>2024</v>
      </c>
      <c r="Y964" s="26" t="str">
        <f>X964&amp;"-"&amp;W964</f>
        <v>2024-4</v>
      </c>
    </row>
    <row r="965" spans="18:25" x14ac:dyDescent="0.25">
      <c r="R965" t="s">
        <v>30</v>
      </c>
      <c r="S965" t="s">
        <v>81</v>
      </c>
      <c r="T965" t="s">
        <v>364</v>
      </c>
      <c r="U965">
        <v>77055</v>
      </c>
      <c r="V965">
        <v>3</v>
      </c>
      <c r="W965">
        <f>MONTH(T965)</f>
        <v>4</v>
      </c>
      <c r="X965">
        <f>YEAR(T965)</f>
        <v>2024</v>
      </c>
      <c r="Y965" s="26" t="str">
        <f>X965&amp;"-"&amp;W965</f>
        <v>2024-4</v>
      </c>
    </row>
    <row r="966" spans="18:25" x14ac:dyDescent="0.25">
      <c r="R966" t="s">
        <v>30</v>
      </c>
      <c r="S966" t="s">
        <v>36</v>
      </c>
      <c r="T966" t="s">
        <v>372</v>
      </c>
      <c r="U966">
        <v>41228</v>
      </c>
      <c r="V966">
        <v>8</v>
      </c>
      <c r="W966">
        <f>MONTH(T966)</f>
        <v>5</v>
      </c>
      <c r="X966">
        <f>YEAR(T966)</f>
        <v>2024</v>
      </c>
      <c r="Y966" s="26" t="str">
        <f>X966&amp;"-"&amp;W966</f>
        <v>2024-5</v>
      </c>
    </row>
    <row r="967" spans="18:25" x14ac:dyDescent="0.25">
      <c r="R967" t="s">
        <v>30</v>
      </c>
      <c r="S967" t="s">
        <v>375</v>
      </c>
      <c r="T967" t="s">
        <v>374</v>
      </c>
      <c r="U967">
        <v>40657</v>
      </c>
      <c r="V967">
        <v>7</v>
      </c>
      <c r="W967">
        <f>MONTH(T967)</f>
        <v>5</v>
      </c>
      <c r="X967">
        <f>YEAR(T967)</f>
        <v>2024</v>
      </c>
      <c r="Y967" s="26" t="str">
        <f>X967&amp;"-"&amp;W967</f>
        <v>2024-5</v>
      </c>
    </row>
    <row r="968" spans="18:25" x14ac:dyDescent="0.25">
      <c r="R968" t="s">
        <v>30</v>
      </c>
      <c r="S968" t="s">
        <v>380</v>
      </c>
      <c r="T968" t="s">
        <v>379</v>
      </c>
      <c r="U968">
        <v>41145</v>
      </c>
      <c r="V968">
        <v>10</v>
      </c>
      <c r="W968">
        <f>MONTH(T968)</f>
        <v>5</v>
      </c>
      <c r="X968">
        <f>YEAR(T968)</f>
        <v>2024</v>
      </c>
      <c r="Y968" s="26" t="str">
        <f>X968&amp;"-"&amp;W968</f>
        <v>2024-5</v>
      </c>
    </row>
    <row r="969" spans="18:25" x14ac:dyDescent="0.25">
      <c r="R969" t="s">
        <v>30</v>
      </c>
      <c r="S969" t="s">
        <v>221</v>
      </c>
      <c r="T969" t="s">
        <v>379</v>
      </c>
      <c r="U969">
        <v>51938</v>
      </c>
      <c r="V969">
        <v>7</v>
      </c>
      <c r="W969">
        <f>MONTH(T969)</f>
        <v>5</v>
      </c>
      <c r="X969">
        <f>YEAR(T969)</f>
        <v>2024</v>
      </c>
      <c r="Y969" s="26" t="str">
        <f>X969&amp;"-"&amp;W969</f>
        <v>2024-5</v>
      </c>
    </row>
    <row r="970" spans="18:25" x14ac:dyDescent="0.25">
      <c r="R970" t="s">
        <v>30</v>
      </c>
      <c r="S970" t="s">
        <v>202</v>
      </c>
      <c r="T970" t="s">
        <v>379</v>
      </c>
      <c r="U970">
        <v>68301</v>
      </c>
      <c r="V970">
        <v>3</v>
      </c>
      <c r="W970">
        <f>MONTH(T970)</f>
        <v>5</v>
      </c>
      <c r="X970">
        <f>YEAR(T970)</f>
        <v>2024</v>
      </c>
      <c r="Y970" s="26" t="str">
        <f>X970&amp;"-"&amp;W970</f>
        <v>2024-5</v>
      </c>
    </row>
    <row r="971" spans="18:25" x14ac:dyDescent="0.25">
      <c r="R971" t="s">
        <v>30</v>
      </c>
      <c r="S971" t="s">
        <v>344</v>
      </c>
      <c r="T971" t="s">
        <v>381</v>
      </c>
      <c r="U971">
        <v>23651</v>
      </c>
      <c r="V971">
        <v>8</v>
      </c>
      <c r="W971">
        <f>MONTH(T971)</f>
        <v>5</v>
      </c>
      <c r="X971">
        <f>YEAR(T971)</f>
        <v>2024</v>
      </c>
      <c r="Y971" s="26" t="str">
        <f>X971&amp;"-"&amp;W971</f>
        <v>2024-5</v>
      </c>
    </row>
    <row r="972" spans="18:25" x14ac:dyDescent="0.25">
      <c r="R972" t="s">
        <v>30</v>
      </c>
      <c r="S972" t="s">
        <v>384</v>
      </c>
      <c r="T972" t="s">
        <v>383</v>
      </c>
      <c r="U972">
        <v>16429</v>
      </c>
      <c r="V972">
        <v>3</v>
      </c>
      <c r="W972">
        <f>MONTH(T972)</f>
        <v>5</v>
      </c>
      <c r="X972">
        <f>YEAR(T972)</f>
        <v>2024</v>
      </c>
      <c r="Y972" s="26" t="str">
        <f>X972&amp;"-"&amp;W972</f>
        <v>2024-5</v>
      </c>
    </row>
    <row r="973" spans="18:25" x14ac:dyDescent="0.25">
      <c r="R973" t="s">
        <v>30</v>
      </c>
      <c r="S973" t="s">
        <v>272</v>
      </c>
      <c r="T973" t="s">
        <v>383</v>
      </c>
      <c r="U973">
        <v>80671</v>
      </c>
      <c r="V973">
        <v>5</v>
      </c>
      <c r="W973">
        <f>MONTH(T973)</f>
        <v>5</v>
      </c>
      <c r="X973">
        <f>YEAR(T973)</f>
        <v>2024</v>
      </c>
      <c r="Y973" s="26" t="str">
        <f>X973&amp;"-"&amp;W973</f>
        <v>2024-5</v>
      </c>
    </row>
    <row r="974" spans="18:25" x14ac:dyDescent="0.25">
      <c r="R974" t="s">
        <v>30</v>
      </c>
      <c r="S974" t="s">
        <v>169</v>
      </c>
      <c r="T974" t="s">
        <v>388</v>
      </c>
      <c r="U974">
        <v>36661</v>
      </c>
      <c r="V974">
        <v>3</v>
      </c>
      <c r="W974">
        <f>MONTH(T974)</f>
        <v>5</v>
      </c>
      <c r="X974">
        <f>YEAR(T974)</f>
        <v>2024</v>
      </c>
      <c r="Y974" s="26" t="str">
        <f>X974&amp;"-"&amp;W974</f>
        <v>2024-5</v>
      </c>
    </row>
    <row r="975" spans="18:25" x14ac:dyDescent="0.25">
      <c r="R975" t="s">
        <v>30</v>
      </c>
      <c r="S975" t="s">
        <v>82</v>
      </c>
      <c r="T975" t="s">
        <v>388</v>
      </c>
      <c r="U975">
        <v>93660</v>
      </c>
      <c r="V975">
        <v>9</v>
      </c>
      <c r="W975">
        <f>MONTH(T975)</f>
        <v>5</v>
      </c>
      <c r="X975">
        <f>YEAR(T975)</f>
        <v>2024</v>
      </c>
      <c r="Y975" s="26" t="str">
        <f>X975&amp;"-"&amp;W975</f>
        <v>2024-5</v>
      </c>
    </row>
    <row r="976" spans="18:25" x14ac:dyDescent="0.25">
      <c r="R976" t="s">
        <v>30</v>
      </c>
      <c r="S976" t="s">
        <v>249</v>
      </c>
      <c r="T976" t="s">
        <v>388</v>
      </c>
      <c r="U976">
        <v>39899</v>
      </c>
      <c r="V976">
        <v>7</v>
      </c>
      <c r="W976">
        <f>MONTH(T976)</f>
        <v>5</v>
      </c>
      <c r="X976">
        <f>YEAR(T976)</f>
        <v>2024</v>
      </c>
      <c r="Y976" s="26" t="str">
        <f>X976&amp;"-"&amp;W976</f>
        <v>2024-5</v>
      </c>
    </row>
    <row r="977" spans="18:25" x14ac:dyDescent="0.25">
      <c r="R977" t="s">
        <v>30</v>
      </c>
      <c r="S977" t="s">
        <v>134</v>
      </c>
      <c r="T977" t="s">
        <v>388</v>
      </c>
      <c r="U977">
        <v>93387</v>
      </c>
      <c r="V977">
        <v>6</v>
      </c>
      <c r="W977">
        <f>MONTH(T977)</f>
        <v>5</v>
      </c>
      <c r="X977">
        <f>YEAR(T977)</f>
        <v>2024</v>
      </c>
      <c r="Y977" s="26" t="str">
        <f>X977&amp;"-"&amp;W977</f>
        <v>2024-5</v>
      </c>
    </row>
    <row r="978" spans="18:25" x14ac:dyDescent="0.25">
      <c r="R978" t="s">
        <v>30</v>
      </c>
      <c r="S978" t="s">
        <v>194</v>
      </c>
      <c r="T978" t="s">
        <v>394</v>
      </c>
      <c r="U978">
        <v>69009</v>
      </c>
      <c r="V978">
        <v>8</v>
      </c>
      <c r="W978">
        <f>MONTH(T978)</f>
        <v>6</v>
      </c>
      <c r="X978">
        <f>YEAR(T978)</f>
        <v>2024</v>
      </c>
      <c r="Y978" s="26" t="str">
        <f>X978&amp;"-"&amp;W978</f>
        <v>2024-6</v>
      </c>
    </row>
    <row r="979" spans="18:25" x14ac:dyDescent="0.25">
      <c r="R979" t="s">
        <v>30</v>
      </c>
      <c r="S979" t="s">
        <v>85</v>
      </c>
      <c r="T979" t="s">
        <v>397</v>
      </c>
      <c r="U979">
        <v>97002</v>
      </c>
      <c r="V979">
        <v>2</v>
      </c>
      <c r="W979">
        <f>MONTH(T979)</f>
        <v>6</v>
      </c>
      <c r="X979">
        <f>YEAR(T979)</f>
        <v>2024</v>
      </c>
      <c r="Y979" s="26" t="str">
        <f>X979&amp;"-"&amp;W979</f>
        <v>2024-6</v>
      </c>
    </row>
    <row r="980" spans="18:25" x14ac:dyDescent="0.25">
      <c r="R980" t="s">
        <v>30</v>
      </c>
      <c r="S980" t="s">
        <v>59</v>
      </c>
      <c r="T980" t="s">
        <v>401</v>
      </c>
      <c r="U980">
        <v>47775</v>
      </c>
      <c r="V980">
        <v>3</v>
      </c>
      <c r="W980">
        <f>MONTH(T980)</f>
        <v>6</v>
      </c>
      <c r="X980">
        <f>YEAR(T980)</f>
        <v>2024</v>
      </c>
      <c r="Y980" s="26" t="str">
        <f>X980&amp;"-"&amp;W980</f>
        <v>2024-6</v>
      </c>
    </row>
    <row r="981" spans="18:25" x14ac:dyDescent="0.25">
      <c r="R981" t="s">
        <v>30</v>
      </c>
      <c r="S981" t="s">
        <v>33</v>
      </c>
      <c r="T981" t="s">
        <v>402</v>
      </c>
      <c r="U981">
        <v>74876</v>
      </c>
      <c r="V981">
        <v>9</v>
      </c>
      <c r="W981">
        <f>MONTH(T981)</f>
        <v>6</v>
      </c>
      <c r="X981">
        <f>YEAR(T981)</f>
        <v>2024</v>
      </c>
      <c r="Y981" s="26" t="str">
        <f>X981&amp;"-"&amp;W981</f>
        <v>2024-6</v>
      </c>
    </row>
    <row r="982" spans="18:25" x14ac:dyDescent="0.25">
      <c r="R982" t="s">
        <v>30</v>
      </c>
      <c r="S982" t="s">
        <v>158</v>
      </c>
      <c r="T982" t="s">
        <v>405</v>
      </c>
      <c r="U982">
        <v>36982</v>
      </c>
      <c r="V982">
        <v>9</v>
      </c>
      <c r="W982">
        <f>MONTH(T982)</f>
        <v>6</v>
      </c>
      <c r="X982">
        <f>YEAR(T982)</f>
        <v>2024</v>
      </c>
      <c r="Y982" s="26" t="str">
        <f>X982&amp;"-"&amp;W982</f>
        <v>2024-6</v>
      </c>
    </row>
    <row r="983" spans="18:25" x14ac:dyDescent="0.25">
      <c r="R983" t="s">
        <v>30</v>
      </c>
      <c r="S983" t="s">
        <v>84</v>
      </c>
      <c r="T983" t="s">
        <v>409</v>
      </c>
      <c r="U983">
        <v>16356</v>
      </c>
      <c r="V983">
        <v>4</v>
      </c>
      <c r="W983">
        <f>MONTH(T983)</f>
        <v>6</v>
      </c>
      <c r="X983">
        <f>YEAR(T983)</f>
        <v>2024</v>
      </c>
      <c r="Y983" s="26" t="str">
        <f>X983&amp;"-"&amp;W983</f>
        <v>2024-6</v>
      </c>
    </row>
    <row r="984" spans="18:25" x14ac:dyDescent="0.25">
      <c r="R984" t="s">
        <v>30</v>
      </c>
      <c r="S984" t="s">
        <v>142</v>
      </c>
      <c r="T984" t="s">
        <v>414</v>
      </c>
      <c r="U984">
        <v>78827</v>
      </c>
      <c r="V984">
        <v>10</v>
      </c>
      <c r="W984">
        <f>MONTH(T984)</f>
        <v>6</v>
      </c>
      <c r="X984">
        <f>YEAR(T984)</f>
        <v>2024</v>
      </c>
      <c r="Y984" s="26" t="str">
        <f>X984&amp;"-"&amp;W984</f>
        <v>2024-6</v>
      </c>
    </row>
    <row r="985" spans="18:25" x14ac:dyDescent="0.25">
      <c r="R985" t="s">
        <v>30</v>
      </c>
      <c r="S985" t="s">
        <v>243</v>
      </c>
      <c r="T985" t="s">
        <v>415</v>
      </c>
      <c r="U985">
        <v>69766</v>
      </c>
      <c r="V985">
        <v>1</v>
      </c>
      <c r="W985">
        <f>MONTH(T985)</f>
        <v>7</v>
      </c>
      <c r="X985">
        <f>YEAR(T985)</f>
        <v>2024</v>
      </c>
      <c r="Y985" s="26" t="str">
        <f>X985&amp;"-"&amp;W985</f>
        <v>2024-7</v>
      </c>
    </row>
    <row r="986" spans="18:25" x14ac:dyDescent="0.25">
      <c r="R986" t="s">
        <v>30</v>
      </c>
      <c r="S986" t="s">
        <v>50</v>
      </c>
      <c r="T986" t="s">
        <v>416</v>
      </c>
      <c r="U986">
        <v>45506</v>
      </c>
      <c r="V986">
        <v>0</v>
      </c>
      <c r="W986">
        <f>MONTH(T986)</f>
        <v>7</v>
      </c>
      <c r="X986">
        <f>YEAR(T986)</f>
        <v>2024</v>
      </c>
      <c r="Y986" s="26" t="str">
        <f>X986&amp;"-"&amp;W986</f>
        <v>2024-7</v>
      </c>
    </row>
    <row r="987" spans="18:25" x14ac:dyDescent="0.25">
      <c r="R987" t="s">
        <v>30</v>
      </c>
      <c r="S987" t="s">
        <v>243</v>
      </c>
      <c r="T987" t="s">
        <v>417</v>
      </c>
      <c r="U987">
        <v>55212</v>
      </c>
      <c r="V987">
        <v>7</v>
      </c>
      <c r="W987">
        <f>MONTH(T987)</f>
        <v>7</v>
      </c>
      <c r="X987">
        <f>YEAR(T987)</f>
        <v>2024</v>
      </c>
      <c r="Y987" s="26" t="str">
        <f>X987&amp;"-"&amp;W987</f>
        <v>2024-7</v>
      </c>
    </row>
    <row r="988" spans="18:25" x14ac:dyDescent="0.25">
      <c r="R988" t="s">
        <v>30</v>
      </c>
      <c r="S988" t="s">
        <v>141</v>
      </c>
      <c r="T988" t="s">
        <v>418</v>
      </c>
      <c r="U988">
        <v>86403</v>
      </c>
      <c r="V988">
        <v>6</v>
      </c>
      <c r="W988">
        <f>MONTH(T988)</f>
        <v>7</v>
      </c>
      <c r="X988">
        <f>YEAR(T988)</f>
        <v>2024</v>
      </c>
      <c r="Y988" s="26" t="str">
        <f>X988&amp;"-"&amp;W988</f>
        <v>2024-7</v>
      </c>
    </row>
    <row r="989" spans="18:25" x14ac:dyDescent="0.25">
      <c r="R989" t="s">
        <v>30</v>
      </c>
      <c r="S989" t="s">
        <v>22</v>
      </c>
      <c r="T989" t="s">
        <v>419</v>
      </c>
      <c r="U989">
        <v>87177</v>
      </c>
      <c r="V989">
        <v>7</v>
      </c>
      <c r="W989">
        <f>MONTH(T989)</f>
        <v>7</v>
      </c>
      <c r="X989">
        <f>YEAR(T989)</f>
        <v>2024</v>
      </c>
      <c r="Y989" s="26" t="str">
        <f>X989&amp;"-"&amp;W989</f>
        <v>2024-7</v>
      </c>
    </row>
    <row r="990" spans="18:25" x14ac:dyDescent="0.25">
      <c r="R990" t="s">
        <v>30</v>
      </c>
      <c r="S990" t="s">
        <v>69</v>
      </c>
      <c r="T990" t="s">
        <v>423</v>
      </c>
      <c r="U990">
        <v>20652</v>
      </c>
      <c r="V990">
        <v>7</v>
      </c>
      <c r="W990">
        <f>MONTH(T990)</f>
        <v>7</v>
      </c>
      <c r="X990">
        <f>YEAR(T990)</f>
        <v>2024</v>
      </c>
      <c r="Y990" s="26" t="str">
        <f>X990&amp;"-"&amp;W990</f>
        <v>2024-7</v>
      </c>
    </row>
    <row r="991" spans="18:25" x14ac:dyDescent="0.25">
      <c r="R991" t="s">
        <v>30</v>
      </c>
      <c r="S991" t="s">
        <v>144</v>
      </c>
      <c r="T991" t="s">
        <v>425</v>
      </c>
      <c r="U991">
        <v>79974</v>
      </c>
      <c r="V991">
        <v>2</v>
      </c>
      <c r="W991">
        <f>MONTH(T991)</f>
        <v>7</v>
      </c>
      <c r="X991">
        <f>YEAR(T991)</f>
        <v>2024</v>
      </c>
      <c r="Y991" s="26" t="str">
        <f>X991&amp;"-"&amp;W991</f>
        <v>2024-7</v>
      </c>
    </row>
    <row r="992" spans="18:25" x14ac:dyDescent="0.25">
      <c r="R992" t="s">
        <v>30</v>
      </c>
      <c r="S992" t="s">
        <v>148</v>
      </c>
      <c r="T992" t="s">
        <v>426</v>
      </c>
      <c r="U992">
        <v>84911</v>
      </c>
      <c r="V992">
        <v>9</v>
      </c>
      <c r="W992">
        <f>MONTH(T992)</f>
        <v>7</v>
      </c>
      <c r="X992">
        <f>YEAR(T992)</f>
        <v>2024</v>
      </c>
      <c r="Y992" s="26" t="str">
        <f>X992&amp;"-"&amp;W992</f>
        <v>2024-7</v>
      </c>
    </row>
    <row r="993" spans="18:25" x14ac:dyDescent="0.25">
      <c r="R993" t="s">
        <v>30</v>
      </c>
      <c r="S993" t="s">
        <v>65</v>
      </c>
      <c r="T993" t="s">
        <v>430</v>
      </c>
      <c r="U993">
        <v>30554</v>
      </c>
      <c r="V993">
        <v>4</v>
      </c>
      <c r="W993">
        <f>MONTH(T993)</f>
        <v>7</v>
      </c>
      <c r="X993">
        <f>YEAR(T993)</f>
        <v>2024</v>
      </c>
      <c r="Y993" s="26" t="str">
        <f>X993&amp;"-"&amp;W993</f>
        <v>2024-7</v>
      </c>
    </row>
    <row r="994" spans="18:25" x14ac:dyDescent="0.25">
      <c r="R994" t="s">
        <v>30</v>
      </c>
      <c r="S994" t="s">
        <v>65</v>
      </c>
      <c r="T994" t="s">
        <v>434</v>
      </c>
      <c r="U994">
        <v>46711</v>
      </c>
      <c r="V994">
        <v>7</v>
      </c>
      <c r="W994">
        <f>MONTH(T994)</f>
        <v>7</v>
      </c>
      <c r="X994">
        <f>YEAR(T994)</f>
        <v>2024</v>
      </c>
      <c r="Y994" s="26" t="str">
        <f>X994&amp;"-"&amp;W994</f>
        <v>2024-7</v>
      </c>
    </row>
    <row r="995" spans="18:25" x14ac:dyDescent="0.25">
      <c r="R995" t="s">
        <v>30</v>
      </c>
      <c r="S995" t="s">
        <v>239</v>
      </c>
      <c r="T995" t="s">
        <v>435</v>
      </c>
      <c r="U995">
        <v>95109</v>
      </c>
      <c r="V995">
        <v>8</v>
      </c>
      <c r="W995">
        <f>MONTH(T995)</f>
        <v>7</v>
      </c>
      <c r="X995">
        <f>YEAR(T995)</f>
        <v>2024</v>
      </c>
      <c r="Y995" s="26" t="str">
        <f>X995&amp;"-"&amp;W995</f>
        <v>2024-7</v>
      </c>
    </row>
    <row r="996" spans="18:25" x14ac:dyDescent="0.25">
      <c r="R996" t="s">
        <v>30</v>
      </c>
      <c r="S996" t="s">
        <v>113</v>
      </c>
      <c r="T996" t="s">
        <v>435</v>
      </c>
      <c r="U996">
        <v>27421</v>
      </c>
      <c r="V996">
        <v>7</v>
      </c>
      <c r="W996">
        <f>MONTH(T996)</f>
        <v>7</v>
      </c>
      <c r="X996">
        <f>YEAR(T996)</f>
        <v>2024</v>
      </c>
      <c r="Y996" s="26" t="str">
        <f>X996&amp;"-"&amp;W996</f>
        <v>2024-7</v>
      </c>
    </row>
    <row r="997" spans="18:25" x14ac:dyDescent="0.25">
      <c r="R997" t="s">
        <v>30</v>
      </c>
      <c r="S997" t="s">
        <v>20</v>
      </c>
      <c r="T997" t="s">
        <v>448</v>
      </c>
      <c r="U997">
        <v>10110</v>
      </c>
      <c r="V997">
        <v>5</v>
      </c>
      <c r="W997">
        <f>MONTH(T997)</f>
        <v>8</v>
      </c>
      <c r="X997">
        <f>YEAR(T997)</f>
        <v>2024</v>
      </c>
      <c r="Y997" s="26" t="str">
        <f>X997&amp;"-"&amp;W997</f>
        <v>2024-8</v>
      </c>
    </row>
    <row r="998" spans="18:25" x14ac:dyDescent="0.25">
      <c r="R998" t="s">
        <v>30</v>
      </c>
      <c r="S998" t="s">
        <v>39</v>
      </c>
      <c r="T998" t="s">
        <v>453</v>
      </c>
      <c r="U998">
        <v>41258</v>
      </c>
      <c r="V998">
        <v>10</v>
      </c>
      <c r="W998">
        <f>MONTH(T998)</f>
        <v>8</v>
      </c>
      <c r="X998">
        <f>YEAR(T998)</f>
        <v>2024</v>
      </c>
      <c r="Y998" s="26" t="str">
        <f>X998&amp;"-"&amp;W998</f>
        <v>2024-8</v>
      </c>
    </row>
    <row r="999" spans="18:25" x14ac:dyDescent="0.25">
      <c r="R999" t="s">
        <v>30</v>
      </c>
      <c r="S999" t="s">
        <v>84</v>
      </c>
      <c r="T999" t="s">
        <v>454</v>
      </c>
      <c r="U999">
        <v>24002</v>
      </c>
      <c r="V999">
        <v>3</v>
      </c>
      <c r="W999">
        <f>MONTH(T999)</f>
        <v>8</v>
      </c>
      <c r="X999">
        <f>YEAR(T999)</f>
        <v>2024</v>
      </c>
      <c r="Y999" s="26" t="str">
        <f>X999&amp;"-"&amp;W999</f>
        <v>2024-8</v>
      </c>
    </row>
    <row r="1000" spans="18:25" x14ac:dyDescent="0.25">
      <c r="R1000" t="s">
        <v>30</v>
      </c>
      <c r="S1000" t="s">
        <v>130</v>
      </c>
      <c r="T1000" t="s">
        <v>455</v>
      </c>
      <c r="U1000">
        <v>18477</v>
      </c>
      <c r="V1000">
        <v>5</v>
      </c>
      <c r="W1000">
        <f>MONTH(T1000)</f>
        <v>8</v>
      </c>
      <c r="X1000">
        <f>YEAR(T1000)</f>
        <v>2024</v>
      </c>
      <c r="Y1000" s="26" t="str">
        <f>X1000&amp;"-"&amp;W1000</f>
        <v>2024-8</v>
      </c>
    </row>
    <row r="1001" spans="18:25" x14ac:dyDescent="0.25">
      <c r="R1001" t="s">
        <v>30</v>
      </c>
      <c r="S1001" t="s">
        <v>196</v>
      </c>
      <c r="T1001" t="s">
        <v>456</v>
      </c>
      <c r="U1001">
        <v>89531</v>
      </c>
      <c r="V1001">
        <v>5</v>
      </c>
      <c r="W1001">
        <f>MONTH(T1001)</f>
        <v>8</v>
      </c>
      <c r="X1001">
        <f>YEAR(T1001)</f>
        <v>2024</v>
      </c>
      <c r="Y1001" s="26" t="str">
        <f>X1001&amp;"-"&amp;W1001</f>
        <v>2024-8</v>
      </c>
    </row>
  </sheetData>
  <autoFilter ref="V1:V1002" xr:uid="{A5D2202F-9CCB-436E-8838-B35E0F36459E}"/>
  <sortState xmlns:xlrd2="http://schemas.microsoft.com/office/spreadsheetml/2017/richdata2" ref="R2:Y1001">
    <sortCondition ref="R1:R1001"/>
  </sortState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0B2813-6E79-4120-9F16-6FA0DDD72FC6}">
  <dimension ref="A1:AD15"/>
  <sheetViews>
    <sheetView topLeftCell="I1" workbookViewId="0">
      <selection activeCell="Q3" sqref="Q3:AC14"/>
    </sheetView>
  </sheetViews>
  <sheetFormatPr defaultRowHeight="15" x14ac:dyDescent="0.25"/>
  <cols>
    <col min="1" max="1" width="33.28515625" customWidth="1"/>
    <col min="16" max="16" width="30.5703125" bestFit="1" customWidth="1"/>
    <col min="17" max="17" width="20.85546875" bestFit="1" customWidth="1"/>
    <col min="18" max="28" width="8" bestFit="1" customWidth="1"/>
    <col min="29" max="29" width="6.7109375" bestFit="1" customWidth="1"/>
    <col min="30" max="30" width="7.42578125" bestFit="1" customWidth="1"/>
    <col min="31" max="31" width="11.85546875" bestFit="1" customWidth="1"/>
  </cols>
  <sheetData>
    <row r="1" spans="1:30" x14ac:dyDescent="0.25">
      <c r="A1" s="1"/>
      <c r="B1" s="17" t="s">
        <v>495</v>
      </c>
      <c r="C1" s="17" t="s">
        <v>496</v>
      </c>
      <c r="D1" s="17" t="s">
        <v>497</v>
      </c>
      <c r="E1" s="17" t="s">
        <v>498</v>
      </c>
      <c r="F1" s="17" t="s">
        <v>499</v>
      </c>
      <c r="G1" s="17" t="s">
        <v>500</v>
      </c>
      <c r="H1" s="17" t="s">
        <v>501</v>
      </c>
      <c r="I1" s="17" t="s">
        <v>502</v>
      </c>
      <c r="J1" s="17" t="s">
        <v>503</v>
      </c>
      <c r="K1" s="17" t="s">
        <v>504</v>
      </c>
      <c r="L1" s="17" t="s">
        <v>505</v>
      </c>
      <c r="M1" s="17" t="s">
        <v>506</v>
      </c>
      <c r="N1" s="17" t="s">
        <v>507</v>
      </c>
      <c r="P1" s="22" t="s">
        <v>528</v>
      </c>
      <c r="Q1" s="22" t="s">
        <v>520</v>
      </c>
    </row>
    <row r="2" spans="1:30" x14ac:dyDescent="0.25">
      <c r="A2" s="7" t="s">
        <v>25</v>
      </c>
      <c r="P2" s="22" t="s">
        <v>512</v>
      </c>
      <c r="Q2" t="s">
        <v>496</v>
      </c>
      <c r="R2" t="s">
        <v>497</v>
      </c>
      <c r="S2" t="s">
        <v>498</v>
      </c>
      <c r="T2" t="s">
        <v>495</v>
      </c>
      <c r="U2" t="s">
        <v>499</v>
      </c>
      <c r="V2" t="s">
        <v>500</v>
      </c>
      <c r="W2" t="s">
        <v>501</v>
      </c>
      <c r="X2" t="s">
        <v>502</v>
      </c>
      <c r="Y2" t="s">
        <v>503</v>
      </c>
      <c r="Z2" t="s">
        <v>504</v>
      </c>
      <c r="AA2" t="s">
        <v>505</v>
      </c>
      <c r="AB2" t="s">
        <v>506</v>
      </c>
      <c r="AC2" t="s">
        <v>507</v>
      </c>
      <c r="AD2" t="s">
        <v>513</v>
      </c>
    </row>
    <row r="3" spans="1:30" x14ac:dyDescent="0.25">
      <c r="A3" s="7" t="s">
        <v>5</v>
      </c>
      <c r="P3" s="20" t="s">
        <v>25</v>
      </c>
      <c r="Q3" s="23">
        <v>64957</v>
      </c>
      <c r="R3" s="23">
        <v>55300.4</v>
      </c>
      <c r="S3" s="23">
        <v>50825.555555555555</v>
      </c>
      <c r="T3" s="23">
        <v>61031.199999999997</v>
      </c>
      <c r="U3" s="23">
        <v>35610.285714285717</v>
      </c>
      <c r="V3" s="23">
        <v>65262.75</v>
      </c>
      <c r="W3" s="23">
        <v>47870.142857142855</v>
      </c>
      <c r="X3" s="23">
        <v>75618.399999999994</v>
      </c>
      <c r="Y3" s="23">
        <v>43780.333333333336</v>
      </c>
      <c r="Z3" s="23">
        <v>59877</v>
      </c>
      <c r="AA3" s="23">
        <v>53199.75</v>
      </c>
      <c r="AB3" s="23">
        <v>48174.428571428572</v>
      </c>
      <c r="AC3" s="23"/>
      <c r="AD3" s="23"/>
    </row>
    <row r="4" spans="1:30" x14ac:dyDescent="0.25">
      <c r="A4" s="7" t="s">
        <v>13</v>
      </c>
      <c r="P4" s="20" t="s">
        <v>5</v>
      </c>
      <c r="Q4" s="23">
        <v>46620.222222222219</v>
      </c>
      <c r="R4" s="23">
        <v>55065.75</v>
      </c>
      <c r="S4" s="23">
        <v>29677.8</v>
      </c>
      <c r="T4" s="23">
        <v>52467.285714285717</v>
      </c>
      <c r="U4" s="23">
        <v>52943.8</v>
      </c>
      <c r="V4" s="23">
        <v>52374</v>
      </c>
      <c r="W4" s="23">
        <v>45640</v>
      </c>
      <c r="X4" s="23">
        <v>61717.8</v>
      </c>
      <c r="Y4" s="23">
        <v>23297</v>
      </c>
      <c r="Z4" s="23">
        <v>39423.5</v>
      </c>
      <c r="AA4" s="23">
        <v>61211</v>
      </c>
      <c r="AB4" s="23">
        <v>59908.875</v>
      </c>
      <c r="AC4" s="23"/>
      <c r="AD4" s="23"/>
    </row>
    <row r="5" spans="1:30" x14ac:dyDescent="0.25">
      <c r="A5" s="7" t="s">
        <v>38</v>
      </c>
      <c r="P5" s="20" t="s">
        <v>13</v>
      </c>
      <c r="Q5" s="23">
        <v>54481.416666666664</v>
      </c>
      <c r="R5" s="23">
        <v>55750.2</v>
      </c>
      <c r="S5" s="23">
        <v>49779.428571428572</v>
      </c>
      <c r="T5" s="23">
        <v>45991.833333333336</v>
      </c>
      <c r="U5" s="23">
        <v>44632.800000000003</v>
      </c>
      <c r="V5" s="23">
        <v>65371.75</v>
      </c>
      <c r="W5" s="23">
        <v>51274.666666666664</v>
      </c>
      <c r="X5" s="23">
        <v>55659</v>
      </c>
      <c r="Y5" s="23">
        <v>47813.090909090912</v>
      </c>
      <c r="Z5" s="23">
        <v>59341.666666666664</v>
      </c>
      <c r="AA5" s="23">
        <v>75794</v>
      </c>
      <c r="AB5" s="23">
        <v>67692.666666666672</v>
      </c>
      <c r="AC5" s="23"/>
      <c r="AD5" s="23"/>
    </row>
    <row r="6" spans="1:30" x14ac:dyDescent="0.25">
      <c r="A6" s="7" t="s">
        <v>45</v>
      </c>
      <c r="P6" s="20" t="s">
        <v>38</v>
      </c>
      <c r="Q6" s="23">
        <v>48890</v>
      </c>
      <c r="R6" s="23">
        <v>54317.666666666664</v>
      </c>
      <c r="S6" s="23">
        <v>46485.75</v>
      </c>
      <c r="T6" s="23">
        <v>39935.25</v>
      </c>
      <c r="U6" s="23">
        <v>42168.666666666664</v>
      </c>
      <c r="V6" s="23">
        <v>68911.399999999994</v>
      </c>
      <c r="W6" s="23">
        <v>57612</v>
      </c>
      <c r="X6" s="23">
        <v>59269.857142857145</v>
      </c>
      <c r="Y6" s="23">
        <v>48982</v>
      </c>
      <c r="Z6" s="23">
        <v>61858.285714285717</v>
      </c>
      <c r="AA6" s="23">
        <v>40234.5</v>
      </c>
      <c r="AB6" s="23">
        <v>49309.833333333336</v>
      </c>
      <c r="AC6" s="23"/>
      <c r="AD6" s="23"/>
    </row>
    <row r="7" spans="1:30" x14ac:dyDescent="0.25">
      <c r="A7" s="7" t="s">
        <v>47</v>
      </c>
      <c r="P7" s="20" t="s">
        <v>45</v>
      </c>
      <c r="Q7" s="23">
        <v>48487</v>
      </c>
      <c r="R7" s="23">
        <v>60030</v>
      </c>
      <c r="S7" s="23">
        <v>30726.666666666668</v>
      </c>
      <c r="T7" s="23">
        <v>53043.75</v>
      </c>
      <c r="U7" s="23">
        <v>50745.625</v>
      </c>
      <c r="V7" s="23">
        <v>50307.272727272728</v>
      </c>
      <c r="W7" s="23">
        <v>66817.166666666672</v>
      </c>
      <c r="X7" s="23">
        <v>57782.25</v>
      </c>
      <c r="Y7" s="23">
        <v>38957.800000000003</v>
      </c>
      <c r="Z7" s="23">
        <v>49734</v>
      </c>
      <c r="AA7" s="23">
        <v>70600.444444444438</v>
      </c>
      <c r="AB7" s="23">
        <v>42686.111111111109</v>
      </c>
      <c r="AC7" s="23">
        <v>16834</v>
      </c>
      <c r="AD7" s="23"/>
    </row>
    <row r="8" spans="1:30" x14ac:dyDescent="0.25">
      <c r="A8" s="7" t="s">
        <v>18</v>
      </c>
      <c r="P8" s="20" t="s">
        <v>47</v>
      </c>
      <c r="Q8" s="23">
        <v>46035</v>
      </c>
      <c r="R8" s="23">
        <v>65105.25</v>
      </c>
      <c r="S8" s="23">
        <v>45592.800000000003</v>
      </c>
      <c r="T8" s="23">
        <v>57913.25</v>
      </c>
      <c r="U8" s="23">
        <v>56942.111111111109</v>
      </c>
      <c r="V8" s="23">
        <v>55588.333333333336</v>
      </c>
      <c r="W8" s="23">
        <v>51914.166666666664</v>
      </c>
      <c r="X8" s="23">
        <v>47619.222222222219</v>
      </c>
      <c r="Y8" s="23">
        <v>47259.8</v>
      </c>
      <c r="Z8" s="23">
        <v>67516.454545454544</v>
      </c>
      <c r="AA8" s="23">
        <v>49713</v>
      </c>
      <c r="AB8" s="23">
        <v>58965.875</v>
      </c>
      <c r="AC8" s="23"/>
      <c r="AD8" s="23"/>
    </row>
    <row r="9" spans="1:30" x14ac:dyDescent="0.25">
      <c r="A9" s="7" t="s">
        <v>10</v>
      </c>
      <c r="P9" s="20" t="s">
        <v>18</v>
      </c>
      <c r="Q9" s="23">
        <v>56587</v>
      </c>
      <c r="R9" s="23">
        <v>55293</v>
      </c>
      <c r="S9" s="23">
        <v>44650.333333333336</v>
      </c>
      <c r="T9" s="23">
        <v>49117.125</v>
      </c>
      <c r="U9" s="23">
        <v>57522.833333333336</v>
      </c>
      <c r="V9" s="23">
        <v>43962.666666666664</v>
      </c>
      <c r="W9" s="23">
        <v>52815.333333333336</v>
      </c>
      <c r="X9" s="23">
        <v>41132</v>
      </c>
      <c r="Y9" s="23">
        <v>50050</v>
      </c>
      <c r="Z9" s="23">
        <v>47559.25</v>
      </c>
      <c r="AA9" s="23">
        <v>47364.444444444445</v>
      </c>
      <c r="AB9" s="23">
        <v>41298.833333333336</v>
      </c>
      <c r="AC9" s="23"/>
      <c r="AD9" s="23"/>
    </row>
    <row r="10" spans="1:30" x14ac:dyDescent="0.25">
      <c r="A10" s="7" t="s">
        <v>8</v>
      </c>
      <c r="P10" s="20" t="s">
        <v>10</v>
      </c>
      <c r="Q10" s="23">
        <v>63647.666666666664</v>
      </c>
      <c r="R10" s="23">
        <v>60336.5</v>
      </c>
      <c r="S10" s="23">
        <v>51160.25</v>
      </c>
      <c r="T10" s="23">
        <v>62551.7</v>
      </c>
      <c r="U10" s="23">
        <v>54114.142857142855</v>
      </c>
      <c r="V10" s="23">
        <v>62092.272727272728</v>
      </c>
      <c r="W10" s="23">
        <v>54578</v>
      </c>
      <c r="X10" s="23">
        <v>68357.571428571435</v>
      </c>
      <c r="Y10" s="23">
        <v>54551.833333333336</v>
      </c>
      <c r="Z10" s="23">
        <v>37276.571428571428</v>
      </c>
      <c r="AA10" s="23">
        <v>77231.199999999997</v>
      </c>
      <c r="AB10" s="23">
        <v>70858.428571428565</v>
      </c>
      <c r="AC10" s="23"/>
      <c r="AD10" s="23"/>
    </row>
    <row r="11" spans="1:30" x14ac:dyDescent="0.25">
      <c r="A11" s="7" t="s">
        <v>27</v>
      </c>
      <c r="P11" s="20" t="s">
        <v>8</v>
      </c>
      <c r="Q11" s="23">
        <v>66943.909090909088</v>
      </c>
      <c r="R11" s="23">
        <v>37837.857142857145</v>
      </c>
      <c r="S11" s="23">
        <v>53699.285714285717</v>
      </c>
      <c r="T11" s="23">
        <v>60084</v>
      </c>
      <c r="U11" s="23">
        <v>40561.833333333336</v>
      </c>
      <c r="V11" s="23">
        <v>52297.166666666664</v>
      </c>
      <c r="W11" s="23">
        <v>53734</v>
      </c>
      <c r="X11" s="23">
        <v>52740.142857142855</v>
      </c>
      <c r="Y11" s="23">
        <v>65552.5</v>
      </c>
      <c r="Z11" s="23">
        <v>53851.1</v>
      </c>
      <c r="AA11" s="23">
        <v>41050.5</v>
      </c>
      <c r="AB11" s="23">
        <v>50938.833333333336</v>
      </c>
      <c r="AC11" s="23"/>
      <c r="AD11" s="23"/>
    </row>
    <row r="12" spans="1:30" x14ac:dyDescent="0.25">
      <c r="A12" s="7" t="s">
        <v>16</v>
      </c>
      <c r="P12" s="20" t="s">
        <v>27</v>
      </c>
      <c r="Q12" s="23">
        <v>50030.875</v>
      </c>
      <c r="R12" s="23">
        <v>58773.857142857145</v>
      </c>
      <c r="S12" s="23">
        <v>54128.5</v>
      </c>
      <c r="T12" s="23">
        <v>62296.5</v>
      </c>
      <c r="U12" s="23">
        <v>61447.666666666664</v>
      </c>
      <c r="V12" s="23">
        <v>62343.333333333336</v>
      </c>
      <c r="W12" s="23">
        <v>57779</v>
      </c>
      <c r="X12" s="23">
        <v>40851.25</v>
      </c>
      <c r="Y12" s="23">
        <v>39514</v>
      </c>
      <c r="Z12" s="23">
        <v>45907.666666666664</v>
      </c>
      <c r="AA12" s="23">
        <v>53417</v>
      </c>
      <c r="AB12" s="23">
        <v>60018.5</v>
      </c>
      <c r="AC12" s="23">
        <v>80783</v>
      </c>
      <c r="AD12" s="23"/>
    </row>
    <row r="13" spans="1:30" x14ac:dyDescent="0.25">
      <c r="A13" s="7" t="s">
        <v>30</v>
      </c>
      <c r="P13" s="20" t="s">
        <v>16</v>
      </c>
      <c r="Q13" s="23">
        <v>59910.166666666664</v>
      </c>
      <c r="R13" s="23">
        <v>44597.428571428572</v>
      </c>
      <c r="S13" s="23">
        <v>71410.399999999994</v>
      </c>
      <c r="T13" s="23">
        <v>47256.444444444445</v>
      </c>
      <c r="U13" s="23">
        <v>50037.25</v>
      </c>
      <c r="V13" s="23">
        <v>64358.142857142855</v>
      </c>
      <c r="W13" s="23">
        <v>51330.333333333336</v>
      </c>
      <c r="X13" s="23">
        <v>59718.428571428572</v>
      </c>
      <c r="Y13" s="23">
        <v>49238.142857142855</v>
      </c>
      <c r="Z13" s="23">
        <v>58726.428571428572</v>
      </c>
      <c r="AA13" s="23">
        <v>51716</v>
      </c>
      <c r="AB13" s="23">
        <v>48077.5</v>
      </c>
      <c r="AC13" s="23"/>
      <c r="AD13" s="23"/>
    </row>
    <row r="14" spans="1:30" x14ac:dyDescent="0.25">
      <c r="P14" s="20" t="s">
        <v>30</v>
      </c>
      <c r="Q14" s="23">
        <v>72990.444444444438</v>
      </c>
      <c r="R14" s="23">
        <v>45651.571428571428</v>
      </c>
      <c r="S14" s="23">
        <v>58169.833333333336</v>
      </c>
      <c r="T14" s="23">
        <v>49407.75</v>
      </c>
      <c r="U14" s="23">
        <v>46267.857142857145</v>
      </c>
      <c r="V14" s="23">
        <v>45829.63636363636</v>
      </c>
      <c r="W14" s="23">
        <v>67643.571428571435</v>
      </c>
      <c r="X14" s="23">
        <v>61719.555555555555</v>
      </c>
      <c r="Y14" s="23">
        <v>52302.25</v>
      </c>
      <c r="Z14" s="23">
        <v>60118.142857142855</v>
      </c>
      <c r="AA14" s="23">
        <v>60783</v>
      </c>
      <c r="AB14" s="23">
        <v>36675.599999999999</v>
      </c>
      <c r="AC14" s="23"/>
      <c r="AD14" s="23"/>
    </row>
    <row r="15" spans="1:30" x14ac:dyDescent="0.25">
      <c r="P15" s="20" t="s">
        <v>513</v>
      </c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  <c r="AD15" s="2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9</vt:i4>
      </vt:variant>
    </vt:vector>
  </HeadingPairs>
  <TitlesOfParts>
    <vt:vector size="9" baseType="lpstr">
      <vt:lpstr>Данные</vt:lpstr>
      <vt:lpstr>результат</vt:lpstr>
      <vt:lpstr>Задача 1</vt:lpstr>
      <vt:lpstr>Задача 1(2)</vt:lpstr>
      <vt:lpstr>Задача 2</vt:lpstr>
      <vt:lpstr>Задача 2_1</vt:lpstr>
      <vt:lpstr>Задача 3_1</vt:lpstr>
      <vt:lpstr>Задача 3_2</vt:lpstr>
      <vt:lpstr>Задача 3_3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Антон Репин</cp:lastModifiedBy>
  <dcterms:created xsi:type="dcterms:W3CDTF">2025-11-13T20:18:48Z</dcterms:created>
  <dcterms:modified xsi:type="dcterms:W3CDTF">2026-10-02T18:40:06Z</dcterms:modified>
</cp:coreProperties>
</file>